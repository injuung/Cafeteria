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생산일지\키즈락\"/>
    </mc:Choice>
  </mc:AlternateContent>
  <xr:revisionPtr revIDLastSave="0" documentId="13_ncr:1_{38A4B2B1-2576-40D1-A0B8-EA0FB5C6A22D}" xr6:coauthVersionLast="47" xr6:coauthVersionMax="47" xr10:uidLastSave="{00000000-0000-0000-0000-000000000000}"/>
  <bookViews>
    <workbookView xWindow="-135" yWindow="0" windowWidth="27630" windowHeight="15585" tabRatio="941" firstSheet="6" activeTab="23" xr2:uid="{00000000-000D-0000-FFFF-FFFF00000000}"/>
  </bookViews>
  <sheets>
    <sheet name="식단표 (알레르기표기) (2)" sheetId="1252" r:id="rId1"/>
    <sheet name="식단표 (알레르기표기)" sheetId="760" r:id="rId2"/>
    <sheet name="온라인_반찬" sheetId="21" r:id="rId3"/>
    <sheet name="01-02" sheetId="1287" r:id="rId4"/>
    <sheet name="01-05" sheetId="1315" r:id="rId5"/>
    <sheet name="01-06" sheetId="1316" r:id="rId6"/>
    <sheet name="01-07" sheetId="1317" r:id="rId7"/>
    <sheet name="01-08" sheetId="1314" r:id="rId8"/>
    <sheet name="01-09" sheetId="1308" r:id="rId9"/>
    <sheet name="01-12" sheetId="1313" r:id="rId10"/>
    <sheet name="01-13" sheetId="1312" r:id="rId11"/>
    <sheet name="01-14" sheetId="1311" r:id="rId12"/>
    <sheet name="01-15" sheetId="1310" r:id="rId13"/>
    <sheet name="01-16" sheetId="1309" r:id="rId14"/>
    <sheet name="01-19" sheetId="1306" r:id="rId15"/>
    <sheet name="01-20" sheetId="1318" r:id="rId16"/>
    <sheet name="01-21" sheetId="1320" r:id="rId17"/>
    <sheet name="01-22" sheetId="1319" r:id="rId18"/>
    <sheet name="01-23" sheetId="1307" r:id="rId19"/>
    <sheet name="01-26" sheetId="1324" r:id="rId20"/>
    <sheet name="01-27" sheetId="1323" r:id="rId21"/>
    <sheet name="01-28" sheetId="1322" r:id="rId22"/>
    <sheet name="01-29" sheetId="1321" r:id="rId23"/>
    <sheet name="01-30" sheetId="1325" r:id="rId24"/>
    <sheet name="01-02 (2)" sheetId="1288" r:id="rId25"/>
    <sheet name="급식_반찬" sheetId="22" r:id="rId26"/>
    <sheet name="온라인_국" sheetId="23" r:id="rId27"/>
    <sheet name="급식_국" sheetId="24" r:id="rId28"/>
    <sheet name="급식_밥" sheetId="25" r:id="rId29"/>
    <sheet name="HowToUse" sheetId="26" r:id="rId30"/>
  </sheets>
  <externalReferences>
    <externalReference r:id="rId31"/>
  </externalReferences>
  <definedNames>
    <definedName name="_xlnm.Print_Area" localSheetId="3">'01-02'!$A$1:$L$15</definedName>
    <definedName name="_xlnm.Print_Area" localSheetId="24">'01-02 (2)'!$A$1:$L$18</definedName>
    <definedName name="_xlnm.Print_Area" localSheetId="4">'01-05'!$A$1:$L$18</definedName>
    <definedName name="_xlnm.Print_Area" localSheetId="5">'01-06'!$A$1:$L$17</definedName>
    <definedName name="_xlnm.Print_Area" localSheetId="6">'01-07'!$A$1:$L$18</definedName>
    <definedName name="_xlnm.Print_Area" localSheetId="7">'01-08'!$A$1:$L$17</definedName>
    <definedName name="_xlnm.Print_Area" localSheetId="8">'01-09'!$A$1:$L$18</definedName>
    <definedName name="_xlnm.Print_Area" localSheetId="9">'01-12'!$A$1:$L$17</definedName>
    <definedName name="_xlnm.Print_Area" localSheetId="10">'01-13'!$A$1:$L$18</definedName>
    <definedName name="_xlnm.Print_Area" localSheetId="11">'01-14'!$A$1:$L$17</definedName>
    <definedName name="_xlnm.Print_Area" localSheetId="12">'01-15'!$A$1:$L$17</definedName>
    <definedName name="_xlnm.Print_Area" localSheetId="13">'01-16'!$A$1:$L$17</definedName>
    <definedName name="_xlnm.Print_Area" localSheetId="14">'01-19'!$A$1:$L$19</definedName>
    <definedName name="_xlnm.Print_Area" localSheetId="15">'01-20'!$A$1:$L$17</definedName>
    <definedName name="_xlnm.Print_Area" localSheetId="16">'01-21'!$A$1:$L$20</definedName>
    <definedName name="_xlnm.Print_Area" localSheetId="17">'01-22'!$A$1:$L$17</definedName>
    <definedName name="_xlnm.Print_Area" localSheetId="18">'01-23'!$A$1:$L$17</definedName>
    <definedName name="_xlnm.Print_Area" localSheetId="19">'01-26'!$A$1:$L$17</definedName>
    <definedName name="_xlnm.Print_Area" localSheetId="20">'01-27'!$A$1:$L$17</definedName>
    <definedName name="_xlnm.Print_Area" localSheetId="21">'01-28'!$A$1:$L$17</definedName>
    <definedName name="_xlnm.Print_Area" localSheetId="22">'01-29'!$A$1:$L$17</definedName>
    <definedName name="_xlnm.Print_Area" localSheetId="23">'01-30'!$A$1:$L$17</definedName>
    <definedName name="_xlnm.Print_Area" localSheetId="25">급식_반찬!$A$1:$E$192</definedName>
    <definedName name="_xlnm.Print_Area" localSheetId="1">'식단표 (알레르기표기)'!$A$1:$K$52</definedName>
    <definedName name="_xlnm.Print_Area" localSheetId="0">'식단표 (알레르기표기) (2)'!$A$1:$K$52</definedName>
    <definedName name="_xlnm.Print_Area" localSheetId="26">온라인_국!$A$1:$E$38</definedName>
    <definedName name="_xlnm.Print_Area" localSheetId="2">온라인_반찬!$A$1:$H$87</definedName>
    <definedName name="_xlnm.Print_Titles" localSheetId="2">온라인_반찬!$1:$1</definedName>
    <definedName name="급식국">급식_국!$C$2:$C$38</definedName>
    <definedName name="급식밥">급식_밥!$C$2:$C$13</definedName>
    <definedName name="김치">급식_반찬!$C$27:$C$28</definedName>
    <definedName name="반찬1">온라인_반찬!$C$122:$C$279</definedName>
    <definedName name="반찬2">온라인_반찬!$C$280:$C$376</definedName>
    <definedName name="반찬3">온라인_반찬!$C$361:$C$409</definedName>
    <definedName name="반찬4">온라인_반찬!$C$328:$C$473</definedName>
    <definedName name="온라인국">온라인_반찬!$C$2:$C$87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309" l="1"/>
  <c r="L9" i="1310"/>
  <c r="H9" i="1310"/>
  <c r="G9" i="1310"/>
  <c r="L16" i="1308"/>
  <c r="H8" i="1315"/>
  <c r="G8" i="1315"/>
  <c r="L9" i="1312" l="1"/>
  <c r="H9" i="1312"/>
  <c r="G9" i="1312"/>
  <c r="L23" i="1325" l="1"/>
  <c r="H23" i="1325"/>
  <c r="G23" i="1325"/>
  <c r="L22" i="1325"/>
  <c r="H22" i="1325"/>
  <c r="G22" i="1325"/>
  <c r="L21" i="1325"/>
  <c r="H21" i="1325"/>
  <c r="G21" i="1325"/>
  <c r="L20" i="1325"/>
  <c r="H20" i="1325"/>
  <c r="G20" i="1325"/>
  <c r="L19" i="1325"/>
  <c r="H19" i="1325"/>
  <c r="G19" i="1325"/>
  <c r="L18" i="1325"/>
  <c r="H18" i="1325"/>
  <c r="G18" i="1325"/>
  <c r="L16" i="1325"/>
  <c r="H16" i="1325"/>
  <c r="G16" i="1325"/>
  <c r="L15" i="1325"/>
  <c r="H15" i="1325"/>
  <c r="G15" i="1325"/>
  <c r="L14" i="1325"/>
  <c r="H14" i="1325"/>
  <c r="G14" i="1325"/>
  <c r="L13" i="1325"/>
  <c r="H13" i="1325"/>
  <c r="G13" i="1325"/>
  <c r="L12" i="1325"/>
  <c r="H12" i="1325"/>
  <c r="G12" i="1325"/>
  <c r="L11" i="1325"/>
  <c r="H11" i="1325"/>
  <c r="G11" i="1325"/>
  <c r="L10" i="1325"/>
  <c r="H10" i="1325"/>
  <c r="G10" i="1325"/>
  <c r="L8" i="1325"/>
  <c r="H8" i="1325"/>
  <c r="G8" i="1325"/>
  <c r="L7" i="1325"/>
  <c r="H7" i="1325"/>
  <c r="G7" i="1325"/>
  <c r="L6" i="1325"/>
  <c r="H6" i="1325"/>
  <c r="G6" i="1325"/>
  <c r="L5" i="1325"/>
  <c r="H5" i="1325"/>
  <c r="G5" i="1325"/>
  <c r="L4" i="1325"/>
  <c r="H4" i="1325"/>
  <c r="G4" i="1325"/>
  <c r="L3" i="1325"/>
  <c r="H3" i="1325"/>
  <c r="G3" i="1325"/>
  <c r="L23" i="1324" l="1"/>
  <c r="H23" i="1324"/>
  <c r="G23" i="1324"/>
  <c r="L22" i="1324"/>
  <c r="H22" i="1324"/>
  <c r="G22" i="1324"/>
  <c r="L21" i="1324"/>
  <c r="H21" i="1324"/>
  <c r="G21" i="1324"/>
  <c r="L20" i="1324"/>
  <c r="H20" i="1324"/>
  <c r="G20" i="1324"/>
  <c r="L19" i="1324"/>
  <c r="H19" i="1324"/>
  <c r="G19" i="1324"/>
  <c r="L18" i="1324"/>
  <c r="H18" i="1324"/>
  <c r="G18" i="1324"/>
  <c r="L16" i="1324"/>
  <c r="H16" i="1324"/>
  <c r="G16" i="1324"/>
  <c r="L15" i="1324"/>
  <c r="H15" i="1324"/>
  <c r="G15" i="1324"/>
  <c r="L14" i="1324"/>
  <c r="H14" i="1324"/>
  <c r="G14" i="1324"/>
  <c r="L13" i="1324"/>
  <c r="H13" i="1324"/>
  <c r="G13" i="1324"/>
  <c r="L12" i="1324"/>
  <c r="H12" i="1324"/>
  <c r="G12" i="1324"/>
  <c r="L11" i="1324"/>
  <c r="H11" i="1324"/>
  <c r="G11" i="1324"/>
  <c r="L10" i="1324"/>
  <c r="H10" i="1324"/>
  <c r="G10" i="1324"/>
  <c r="L8" i="1324"/>
  <c r="H8" i="1324"/>
  <c r="G8" i="1324"/>
  <c r="L7" i="1324"/>
  <c r="H7" i="1324"/>
  <c r="G7" i="1324"/>
  <c r="L6" i="1324"/>
  <c r="H6" i="1324"/>
  <c r="G6" i="1324"/>
  <c r="L5" i="1324"/>
  <c r="H5" i="1324"/>
  <c r="G5" i="1324"/>
  <c r="L4" i="1324"/>
  <c r="H4" i="1324"/>
  <c r="G4" i="1324"/>
  <c r="L3" i="1324"/>
  <c r="H3" i="1324"/>
  <c r="G3" i="1324"/>
  <c r="L23" i="1323"/>
  <c r="H23" i="1323"/>
  <c r="G23" i="1323"/>
  <c r="L22" i="1323"/>
  <c r="H22" i="1323"/>
  <c r="G22" i="1323"/>
  <c r="L21" i="1323"/>
  <c r="H21" i="1323"/>
  <c r="G21" i="1323"/>
  <c r="L20" i="1323"/>
  <c r="H20" i="1323"/>
  <c r="G20" i="1323"/>
  <c r="L19" i="1323"/>
  <c r="H19" i="1323"/>
  <c r="G19" i="1323"/>
  <c r="L18" i="1323"/>
  <c r="H18" i="1323"/>
  <c r="G18" i="1323"/>
  <c r="L16" i="1323"/>
  <c r="H16" i="1323"/>
  <c r="L15" i="1323"/>
  <c r="H15" i="1323"/>
  <c r="G15" i="1323"/>
  <c r="L14" i="1323"/>
  <c r="H14" i="1323"/>
  <c r="G14" i="1323"/>
  <c r="L13" i="1323"/>
  <c r="H13" i="1323"/>
  <c r="G13" i="1323"/>
  <c r="L12" i="1323"/>
  <c r="H12" i="1323"/>
  <c r="G12" i="1323"/>
  <c r="L11" i="1323"/>
  <c r="H11" i="1323"/>
  <c r="G11" i="1323"/>
  <c r="L10" i="1323"/>
  <c r="H10" i="1323"/>
  <c r="G10" i="1323"/>
  <c r="L8" i="1323"/>
  <c r="H8" i="1323"/>
  <c r="G8" i="1323"/>
  <c r="L7" i="1323"/>
  <c r="H7" i="1323"/>
  <c r="G7" i="1323"/>
  <c r="L6" i="1323"/>
  <c r="H6" i="1323"/>
  <c r="G6" i="1323"/>
  <c r="L5" i="1323"/>
  <c r="H5" i="1323"/>
  <c r="G5" i="1323"/>
  <c r="L4" i="1323"/>
  <c r="H4" i="1323"/>
  <c r="G4" i="1323"/>
  <c r="L3" i="1323"/>
  <c r="H3" i="1323"/>
  <c r="G3" i="1323"/>
  <c r="L23" i="1322"/>
  <c r="H23" i="1322"/>
  <c r="G23" i="1322"/>
  <c r="L22" i="1322"/>
  <c r="H22" i="1322"/>
  <c r="G22" i="1322"/>
  <c r="L21" i="1322"/>
  <c r="H21" i="1322"/>
  <c r="G21" i="1322"/>
  <c r="L20" i="1322"/>
  <c r="H20" i="1322"/>
  <c r="G20" i="1322"/>
  <c r="L19" i="1322"/>
  <c r="H19" i="1322"/>
  <c r="G19" i="1322"/>
  <c r="L18" i="1322"/>
  <c r="H18" i="1322"/>
  <c r="G18" i="1322"/>
  <c r="L16" i="1322"/>
  <c r="H16" i="1322"/>
  <c r="G16" i="1322"/>
  <c r="L15" i="1322"/>
  <c r="H15" i="1322"/>
  <c r="G15" i="1322"/>
  <c r="L14" i="1322"/>
  <c r="H14" i="1322"/>
  <c r="G14" i="1322"/>
  <c r="L13" i="1322"/>
  <c r="H13" i="1322"/>
  <c r="G13" i="1322"/>
  <c r="L12" i="1322"/>
  <c r="H12" i="1322"/>
  <c r="G12" i="1322"/>
  <c r="L11" i="1322"/>
  <c r="H11" i="1322"/>
  <c r="G11" i="1322"/>
  <c r="L10" i="1322"/>
  <c r="H10" i="1322"/>
  <c r="G10" i="1322"/>
  <c r="L8" i="1322"/>
  <c r="H8" i="1322"/>
  <c r="G8" i="1322"/>
  <c r="L7" i="1322"/>
  <c r="H7" i="1322"/>
  <c r="G7" i="1322"/>
  <c r="L6" i="1322"/>
  <c r="H6" i="1322"/>
  <c r="G6" i="1322"/>
  <c r="L5" i="1322"/>
  <c r="H5" i="1322"/>
  <c r="G5" i="1322"/>
  <c r="L4" i="1322"/>
  <c r="H4" i="1322"/>
  <c r="G4" i="1322"/>
  <c r="L3" i="1322"/>
  <c r="H3" i="1322"/>
  <c r="G3" i="1322"/>
  <c r="L23" i="1321"/>
  <c r="H23" i="1321"/>
  <c r="G23" i="1321"/>
  <c r="L22" i="1321"/>
  <c r="H22" i="1321"/>
  <c r="G22" i="1321"/>
  <c r="L21" i="1321"/>
  <c r="H21" i="1321"/>
  <c r="G21" i="1321"/>
  <c r="L20" i="1321"/>
  <c r="H20" i="1321"/>
  <c r="G20" i="1321"/>
  <c r="L19" i="1321"/>
  <c r="H19" i="1321"/>
  <c r="G19" i="1321"/>
  <c r="L18" i="1321"/>
  <c r="H18" i="1321"/>
  <c r="G18" i="1321"/>
  <c r="L16" i="1321"/>
  <c r="H16" i="1321"/>
  <c r="L15" i="1321"/>
  <c r="H15" i="1321"/>
  <c r="G15" i="1321"/>
  <c r="L14" i="1321"/>
  <c r="H14" i="1321"/>
  <c r="G14" i="1321"/>
  <c r="L13" i="1321"/>
  <c r="H13" i="1321"/>
  <c r="L12" i="1321"/>
  <c r="H12" i="1321"/>
  <c r="G12" i="1321"/>
  <c r="L11" i="1321"/>
  <c r="H11" i="1321"/>
  <c r="G11" i="1321"/>
  <c r="L10" i="1321"/>
  <c r="H10" i="1321"/>
  <c r="G10" i="1321"/>
  <c r="L8" i="1321"/>
  <c r="H8" i="1321"/>
  <c r="G8" i="1321"/>
  <c r="L7" i="1321"/>
  <c r="H7" i="1321"/>
  <c r="G7" i="1321"/>
  <c r="L6" i="1321"/>
  <c r="H6" i="1321"/>
  <c r="L5" i="1321"/>
  <c r="H5" i="1321"/>
  <c r="G5" i="1321"/>
  <c r="L4" i="1321"/>
  <c r="H4" i="1321"/>
  <c r="G4" i="1321"/>
  <c r="L3" i="1321"/>
  <c r="H3" i="1321"/>
  <c r="G3" i="1321"/>
  <c r="L18" i="1320" l="1"/>
  <c r="H18" i="1320"/>
  <c r="G18" i="1320"/>
  <c r="L16" i="1320"/>
  <c r="H16" i="1320"/>
  <c r="G16" i="1320"/>
  <c r="L8" i="1320"/>
  <c r="H8" i="1320"/>
  <c r="G8" i="1320"/>
  <c r="L9" i="1317" l="1"/>
  <c r="H9" i="1317"/>
  <c r="G9" i="1317"/>
  <c r="L14" i="1306"/>
  <c r="H14" i="1306"/>
  <c r="G14" i="1306"/>
  <c r="L6" i="1306"/>
  <c r="H6" i="1306"/>
  <c r="G6" i="1306"/>
  <c r="L26" i="1320"/>
  <c r="H26" i="1320"/>
  <c r="G26" i="1320"/>
  <c r="L25" i="1320"/>
  <c r="H25" i="1320"/>
  <c r="G25" i="1320"/>
  <c r="L24" i="1320"/>
  <c r="H24" i="1320"/>
  <c r="G24" i="1320"/>
  <c r="L23" i="1320"/>
  <c r="H23" i="1320"/>
  <c r="G23" i="1320"/>
  <c r="L22" i="1320"/>
  <c r="H22" i="1320"/>
  <c r="G22" i="1320"/>
  <c r="L21" i="1320"/>
  <c r="H21" i="1320"/>
  <c r="G21" i="1320"/>
  <c r="L19" i="1320"/>
  <c r="H19" i="1320"/>
  <c r="G19" i="1320"/>
  <c r="L17" i="1320"/>
  <c r="H17" i="1320"/>
  <c r="G17" i="1320"/>
  <c r="L15" i="1320"/>
  <c r="H15" i="1320"/>
  <c r="G15" i="1320"/>
  <c r="L14" i="1320"/>
  <c r="H14" i="1320"/>
  <c r="G14" i="1320"/>
  <c r="L13" i="1320"/>
  <c r="H13" i="1320"/>
  <c r="G13" i="1320"/>
  <c r="L12" i="1320"/>
  <c r="H12" i="1320"/>
  <c r="G12" i="1320"/>
  <c r="L11" i="1320"/>
  <c r="H11" i="1320"/>
  <c r="G11" i="1320"/>
  <c r="L9" i="1320"/>
  <c r="H9" i="1320"/>
  <c r="G9" i="1320"/>
  <c r="L7" i="1320"/>
  <c r="H7" i="1320"/>
  <c r="G7" i="1320"/>
  <c r="L6" i="1320"/>
  <c r="H6" i="1320"/>
  <c r="G6" i="1320"/>
  <c r="L5" i="1320"/>
  <c r="H5" i="1320"/>
  <c r="G5" i="1320"/>
  <c r="L4" i="1320"/>
  <c r="H4" i="1320"/>
  <c r="G4" i="1320"/>
  <c r="L3" i="1320"/>
  <c r="H3" i="1320"/>
  <c r="G3" i="1320"/>
  <c r="L23" i="1319"/>
  <c r="H23" i="1319"/>
  <c r="G23" i="1319"/>
  <c r="L22" i="1319"/>
  <c r="H22" i="1319"/>
  <c r="G22" i="1319"/>
  <c r="L21" i="1319"/>
  <c r="H21" i="1319"/>
  <c r="G21" i="1319"/>
  <c r="L20" i="1319"/>
  <c r="H20" i="1319"/>
  <c r="G20" i="1319"/>
  <c r="L19" i="1319"/>
  <c r="H19" i="1319"/>
  <c r="G19" i="1319"/>
  <c r="L18" i="1319"/>
  <c r="H18" i="1319"/>
  <c r="G18" i="1319"/>
  <c r="L16" i="1319"/>
  <c r="H16" i="1319"/>
  <c r="L15" i="1319"/>
  <c r="H15" i="1319"/>
  <c r="G15" i="1319"/>
  <c r="L14" i="1319"/>
  <c r="H14" i="1319"/>
  <c r="G14" i="1319"/>
  <c r="L13" i="1319"/>
  <c r="H13" i="1319"/>
  <c r="G13" i="1319"/>
  <c r="L12" i="1319"/>
  <c r="H12" i="1319"/>
  <c r="G12" i="1319"/>
  <c r="L11" i="1319"/>
  <c r="H11" i="1319"/>
  <c r="G11" i="1319"/>
  <c r="L10" i="1319"/>
  <c r="H10" i="1319"/>
  <c r="G10" i="1319"/>
  <c r="L8" i="1319"/>
  <c r="H8" i="1319"/>
  <c r="G8" i="1319"/>
  <c r="L7" i="1319"/>
  <c r="H7" i="1319"/>
  <c r="G7" i="1319"/>
  <c r="L6" i="1319"/>
  <c r="H6" i="1319"/>
  <c r="G6" i="1319"/>
  <c r="L5" i="1319"/>
  <c r="H5" i="1319"/>
  <c r="G5" i="1319"/>
  <c r="L4" i="1319"/>
  <c r="H4" i="1319"/>
  <c r="G4" i="1319"/>
  <c r="L3" i="1319"/>
  <c r="H3" i="1319"/>
  <c r="G3" i="1319"/>
  <c r="L23" i="1318"/>
  <c r="H23" i="1318"/>
  <c r="G23" i="1318"/>
  <c r="L22" i="1318"/>
  <c r="H22" i="1318"/>
  <c r="G22" i="1318"/>
  <c r="L21" i="1318"/>
  <c r="H21" i="1318"/>
  <c r="G21" i="1318"/>
  <c r="L20" i="1318"/>
  <c r="H20" i="1318"/>
  <c r="G20" i="1318"/>
  <c r="L19" i="1318"/>
  <c r="H19" i="1318"/>
  <c r="G19" i="1318"/>
  <c r="L18" i="1318"/>
  <c r="H18" i="1318"/>
  <c r="G18" i="1318"/>
  <c r="L16" i="1318"/>
  <c r="H16" i="1318"/>
  <c r="L15" i="1318"/>
  <c r="H15" i="1318"/>
  <c r="G15" i="1318"/>
  <c r="L14" i="1318"/>
  <c r="H14" i="1318"/>
  <c r="G14" i="1318"/>
  <c r="L13" i="1318"/>
  <c r="H13" i="1318"/>
  <c r="G13" i="1318"/>
  <c r="L12" i="1318"/>
  <c r="H12" i="1318"/>
  <c r="G12" i="1318"/>
  <c r="L11" i="1318"/>
  <c r="H11" i="1318"/>
  <c r="G11" i="1318"/>
  <c r="L10" i="1318"/>
  <c r="H10" i="1318"/>
  <c r="G10" i="1318"/>
  <c r="L8" i="1318"/>
  <c r="H8" i="1318"/>
  <c r="G8" i="1318"/>
  <c r="L7" i="1318"/>
  <c r="H7" i="1318"/>
  <c r="G7" i="1318"/>
  <c r="L6" i="1318"/>
  <c r="H6" i="1318"/>
  <c r="G6" i="1318"/>
  <c r="L5" i="1318"/>
  <c r="H5" i="1318"/>
  <c r="G5" i="1318"/>
  <c r="L4" i="1318"/>
  <c r="H4" i="1318"/>
  <c r="G4" i="1318"/>
  <c r="L3" i="1318"/>
  <c r="H3" i="1318"/>
  <c r="G3" i="1318"/>
  <c r="H16" i="1308"/>
  <c r="G16" i="1308"/>
  <c r="L6" i="1315" l="1"/>
  <c r="H6" i="1315"/>
  <c r="G6" i="1315"/>
  <c r="L24" i="1317"/>
  <c r="H24" i="1317"/>
  <c r="G24" i="1317"/>
  <c r="L23" i="1317"/>
  <c r="H23" i="1317"/>
  <c r="G23" i="1317"/>
  <c r="L22" i="1317"/>
  <c r="H22" i="1317"/>
  <c r="G22" i="1317"/>
  <c r="L21" i="1317"/>
  <c r="H21" i="1317"/>
  <c r="G21" i="1317"/>
  <c r="L20" i="1317"/>
  <c r="H20" i="1317"/>
  <c r="G20" i="1317"/>
  <c r="L19" i="1317"/>
  <c r="H19" i="1317"/>
  <c r="G19" i="1317"/>
  <c r="L17" i="1317"/>
  <c r="H17" i="1317"/>
  <c r="G17" i="1317"/>
  <c r="L16" i="1317"/>
  <c r="H16" i="1317"/>
  <c r="G16" i="1317"/>
  <c r="L15" i="1317"/>
  <c r="H15" i="1317"/>
  <c r="G15" i="1317"/>
  <c r="L14" i="1317"/>
  <c r="H14" i="1317"/>
  <c r="G14" i="1317"/>
  <c r="L13" i="1317"/>
  <c r="H13" i="1317"/>
  <c r="G13" i="1317"/>
  <c r="L12" i="1317"/>
  <c r="H12" i="1317"/>
  <c r="G12" i="1317"/>
  <c r="L11" i="1317"/>
  <c r="H11" i="1317"/>
  <c r="G11" i="1317"/>
  <c r="L8" i="1317"/>
  <c r="H8" i="1317"/>
  <c r="G8" i="1317"/>
  <c r="L7" i="1317"/>
  <c r="H7" i="1317"/>
  <c r="G7" i="1317"/>
  <c r="L6" i="1317"/>
  <c r="H6" i="1317"/>
  <c r="G6" i="1317"/>
  <c r="L5" i="1317"/>
  <c r="H5" i="1317"/>
  <c r="G5" i="1317"/>
  <c r="L4" i="1317"/>
  <c r="H4" i="1317"/>
  <c r="G4" i="1317"/>
  <c r="L3" i="1317"/>
  <c r="H3" i="1317"/>
  <c r="G3" i="1317"/>
  <c r="L23" i="1316"/>
  <c r="H23" i="1316"/>
  <c r="G23" i="1316"/>
  <c r="L22" i="1316"/>
  <c r="H22" i="1316"/>
  <c r="G22" i="1316"/>
  <c r="L21" i="1316"/>
  <c r="H21" i="1316"/>
  <c r="G21" i="1316"/>
  <c r="L20" i="1316"/>
  <c r="H20" i="1316"/>
  <c r="G20" i="1316"/>
  <c r="L19" i="1316"/>
  <c r="H19" i="1316"/>
  <c r="G19" i="1316"/>
  <c r="L18" i="1316"/>
  <c r="H18" i="1316"/>
  <c r="G18" i="1316"/>
  <c r="L16" i="1316"/>
  <c r="H16" i="1316"/>
  <c r="L15" i="1316"/>
  <c r="H15" i="1316"/>
  <c r="G15" i="1316"/>
  <c r="L14" i="1316"/>
  <c r="H14" i="1316"/>
  <c r="G14" i="1316"/>
  <c r="L13" i="1316"/>
  <c r="H13" i="1316"/>
  <c r="G13" i="1316"/>
  <c r="L12" i="1316"/>
  <c r="L11" i="1316"/>
  <c r="H11" i="1316"/>
  <c r="G11" i="1316"/>
  <c r="L10" i="1316"/>
  <c r="H10" i="1316"/>
  <c r="G10" i="1316"/>
  <c r="L8" i="1316"/>
  <c r="H8" i="1316"/>
  <c r="G8" i="1316"/>
  <c r="L7" i="1316"/>
  <c r="H7" i="1316"/>
  <c r="G7" i="1316"/>
  <c r="L6" i="1316"/>
  <c r="H6" i="1316"/>
  <c r="G6" i="1316"/>
  <c r="L5" i="1316"/>
  <c r="H5" i="1316"/>
  <c r="G5" i="1316"/>
  <c r="L4" i="1316"/>
  <c r="H4" i="1316"/>
  <c r="G4" i="1316"/>
  <c r="L3" i="1316"/>
  <c r="H3" i="1316"/>
  <c r="G3" i="1316"/>
  <c r="L24" i="1315"/>
  <c r="H24" i="1315"/>
  <c r="G24" i="1315"/>
  <c r="L23" i="1315"/>
  <c r="H23" i="1315"/>
  <c r="G23" i="1315"/>
  <c r="L22" i="1315"/>
  <c r="H22" i="1315"/>
  <c r="G22" i="1315"/>
  <c r="L21" i="1315"/>
  <c r="H21" i="1315"/>
  <c r="G21" i="1315"/>
  <c r="L20" i="1315"/>
  <c r="H20" i="1315"/>
  <c r="G20" i="1315"/>
  <c r="L19" i="1315"/>
  <c r="H19" i="1315"/>
  <c r="G19" i="1315"/>
  <c r="L17" i="1315"/>
  <c r="H17" i="1315"/>
  <c r="G17" i="1315"/>
  <c r="L16" i="1315"/>
  <c r="H16" i="1315"/>
  <c r="G16" i="1315"/>
  <c r="L15" i="1315"/>
  <c r="H15" i="1315"/>
  <c r="G15" i="1315"/>
  <c r="L14" i="1315"/>
  <c r="H14" i="1315"/>
  <c r="G14" i="1315"/>
  <c r="L13" i="1315"/>
  <c r="H13" i="1315"/>
  <c r="G13" i="1315"/>
  <c r="L12" i="1315"/>
  <c r="H12" i="1315"/>
  <c r="G12" i="1315"/>
  <c r="L11" i="1315"/>
  <c r="H11" i="1315"/>
  <c r="G11" i="1315"/>
  <c r="L9" i="1315"/>
  <c r="H9" i="1315"/>
  <c r="G9" i="1315"/>
  <c r="L8" i="1315"/>
  <c r="L7" i="1315"/>
  <c r="H7" i="1315"/>
  <c r="G7" i="1315"/>
  <c r="L5" i="1315"/>
  <c r="H5" i="1315"/>
  <c r="G5" i="1315"/>
  <c r="L4" i="1315"/>
  <c r="H4" i="1315"/>
  <c r="G4" i="1315"/>
  <c r="L3" i="1315"/>
  <c r="H3" i="1315"/>
  <c r="G3" i="1315"/>
  <c r="L23" i="1314"/>
  <c r="H23" i="1314"/>
  <c r="G23" i="1314"/>
  <c r="L22" i="1314"/>
  <c r="H22" i="1314"/>
  <c r="G22" i="1314"/>
  <c r="L21" i="1314"/>
  <c r="H21" i="1314"/>
  <c r="G21" i="1314"/>
  <c r="L20" i="1314"/>
  <c r="H20" i="1314"/>
  <c r="G20" i="1314"/>
  <c r="L19" i="1314"/>
  <c r="H19" i="1314"/>
  <c r="G19" i="1314"/>
  <c r="L18" i="1314"/>
  <c r="H18" i="1314"/>
  <c r="G18" i="1314"/>
  <c r="L16" i="1314"/>
  <c r="H16" i="1314"/>
  <c r="L15" i="1314"/>
  <c r="H15" i="1314"/>
  <c r="G15" i="1314"/>
  <c r="L14" i="1314"/>
  <c r="H14" i="1314"/>
  <c r="G14" i="1314"/>
  <c r="L13" i="1314"/>
  <c r="H13" i="1314"/>
  <c r="G13" i="1314"/>
  <c r="L12" i="1314"/>
  <c r="H12" i="1314"/>
  <c r="G12" i="1314"/>
  <c r="L11" i="1314"/>
  <c r="H11" i="1314"/>
  <c r="G11" i="1314"/>
  <c r="L10" i="1314"/>
  <c r="H10" i="1314"/>
  <c r="G10" i="1314"/>
  <c r="L8" i="1314"/>
  <c r="H8" i="1314"/>
  <c r="G8" i="1314"/>
  <c r="L7" i="1314"/>
  <c r="H7" i="1314"/>
  <c r="G7" i="1314"/>
  <c r="L6" i="1314"/>
  <c r="H6" i="1314"/>
  <c r="G6" i="1314"/>
  <c r="L5" i="1314"/>
  <c r="H5" i="1314"/>
  <c r="G5" i="1314"/>
  <c r="L4" i="1314"/>
  <c r="H4" i="1314"/>
  <c r="G4" i="1314"/>
  <c r="L3" i="1314"/>
  <c r="H3" i="1314"/>
  <c r="G3" i="1314"/>
  <c r="L23" i="1313"/>
  <c r="H23" i="1313"/>
  <c r="G23" i="1313"/>
  <c r="L22" i="1313"/>
  <c r="H22" i="1313"/>
  <c r="G22" i="1313"/>
  <c r="L21" i="1313"/>
  <c r="H21" i="1313"/>
  <c r="G21" i="1313"/>
  <c r="L20" i="1313"/>
  <c r="H20" i="1313"/>
  <c r="G20" i="1313"/>
  <c r="L19" i="1313"/>
  <c r="H19" i="1313"/>
  <c r="G19" i="1313"/>
  <c r="L18" i="1313"/>
  <c r="H18" i="1313"/>
  <c r="G18" i="1313"/>
  <c r="L16" i="1313"/>
  <c r="H16" i="1313"/>
  <c r="G16" i="1313"/>
  <c r="L15" i="1313"/>
  <c r="H15" i="1313"/>
  <c r="G15" i="1313"/>
  <c r="L14" i="1313"/>
  <c r="H14" i="1313"/>
  <c r="G14" i="1313"/>
  <c r="L13" i="1313"/>
  <c r="H13" i="1313"/>
  <c r="G13" i="1313"/>
  <c r="L12" i="1313"/>
  <c r="H12" i="1313"/>
  <c r="G12" i="1313"/>
  <c r="L11" i="1313"/>
  <c r="H11" i="1313"/>
  <c r="G11" i="1313"/>
  <c r="L10" i="1313"/>
  <c r="H10" i="1313"/>
  <c r="G10" i="1313"/>
  <c r="L8" i="1313"/>
  <c r="H8" i="1313"/>
  <c r="G8" i="1313"/>
  <c r="L7" i="1313"/>
  <c r="H7" i="1313"/>
  <c r="G7" i="1313"/>
  <c r="L6" i="1313"/>
  <c r="H6" i="1313"/>
  <c r="G6" i="1313"/>
  <c r="L5" i="1313"/>
  <c r="H5" i="1313"/>
  <c r="G5" i="1313"/>
  <c r="L4" i="1313"/>
  <c r="H4" i="1313"/>
  <c r="G4" i="1313"/>
  <c r="L3" i="1313"/>
  <c r="H3" i="1313"/>
  <c r="G3" i="1313"/>
  <c r="L24" i="1312"/>
  <c r="H24" i="1312"/>
  <c r="G24" i="1312"/>
  <c r="L23" i="1312"/>
  <c r="H23" i="1312"/>
  <c r="G23" i="1312"/>
  <c r="L22" i="1312"/>
  <c r="H22" i="1312"/>
  <c r="G22" i="1312"/>
  <c r="L21" i="1312"/>
  <c r="H21" i="1312"/>
  <c r="G21" i="1312"/>
  <c r="L20" i="1312"/>
  <c r="H20" i="1312"/>
  <c r="G20" i="1312"/>
  <c r="L19" i="1312"/>
  <c r="H19" i="1312"/>
  <c r="G19" i="1312"/>
  <c r="L17" i="1312"/>
  <c r="H17" i="1312"/>
  <c r="L16" i="1312"/>
  <c r="H16" i="1312"/>
  <c r="G16" i="1312"/>
  <c r="L15" i="1312"/>
  <c r="H15" i="1312"/>
  <c r="G15" i="1312"/>
  <c r="L14" i="1312"/>
  <c r="H14" i="1312"/>
  <c r="G14" i="1312"/>
  <c r="L13" i="1312"/>
  <c r="H13" i="1312"/>
  <c r="G13" i="1312"/>
  <c r="L12" i="1312"/>
  <c r="H12" i="1312"/>
  <c r="G12" i="1312"/>
  <c r="L11" i="1312"/>
  <c r="H11" i="1312"/>
  <c r="G11" i="1312"/>
  <c r="L8" i="1312"/>
  <c r="H8" i="1312"/>
  <c r="G8" i="1312"/>
  <c r="L7" i="1312"/>
  <c r="H7" i="1312"/>
  <c r="G7" i="1312"/>
  <c r="L6" i="1312"/>
  <c r="H6" i="1312"/>
  <c r="G6" i="1312"/>
  <c r="L5" i="1312"/>
  <c r="H5" i="1312"/>
  <c r="G5" i="1312"/>
  <c r="L4" i="1312"/>
  <c r="H4" i="1312"/>
  <c r="G4" i="1312"/>
  <c r="L3" i="1312"/>
  <c r="H3" i="1312"/>
  <c r="G3" i="1312"/>
  <c r="L23" i="1311"/>
  <c r="H23" i="1311"/>
  <c r="G23" i="1311"/>
  <c r="L22" i="1311"/>
  <c r="H22" i="1311"/>
  <c r="G22" i="1311"/>
  <c r="L21" i="1311"/>
  <c r="H21" i="1311"/>
  <c r="G21" i="1311"/>
  <c r="L20" i="1311"/>
  <c r="H20" i="1311"/>
  <c r="G20" i="1311"/>
  <c r="L19" i="1311"/>
  <c r="H19" i="1311"/>
  <c r="G19" i="1311"/>
  <c r="L18" i="1311"/>
  <c r="H18" i="1311"/>
  <c r="G18" i="1311"/>
  <c r="L16" i="1311"/>
  <c r="H16" i="1311"/>
  <c r="G16" i="1311"/>
  <c r="L15" i="1311"/>
  <c r="H15" i="1311"/>
  <c r="G15" i="1311"/>
  <c r="L14" i="1311"/>
  <c r="H14" i="1311"/>
  <c r="G14" i="1311"/>
  <c r="L13" i="1311"/>
  <c r="H13" i="1311"/>
  <c r="G13" i="1311"/>
  <c r="L12" i="1311"/>
  <c r="H12" i="1311"/>
  <c r="G12" i="1311"/>
  <c r="L11" i="1311"/>
  <c r="H11" i="1311"/>
  <c r="G11" i="1311"/>
  <c r="L10" i="1311"/>
  <c r="H10" i="1311"/>
  <c r="G10" i="1311"/>
  <c r="L8" i="1311"/>
  <c r="H8" i="1311"/>
  <c r="G8" i="1311"/>
  <c r="L7" i="1311"/>
  <c r="H7" i="1311"/>
  <c r="G7" i="1311"/>
  <c r="L6" i="1311"/>
  <c r="H6" i="1311"/>
  <c r="G6" i="1311"/>
  <c r="L5" i="1311"/>
  <c r="H5" i="1311"/>
  <c r="G5" i="1311"/>
  <c r="L4" i="1311"/>
  <c r="H4" i="1311"/>
  <c r="G4" i="1311"/>
  <c r="L3" i="1311"/>
  <c r="H3" i="1311"/>
  <c r="G3" i="1311"/>
  <c r="L16" i="1310"/>
  <c r="H16" i="1310"/>
  <c r="G16" i="1310"/>
  <c r="L15" i="1310"/>
  <c r="H15" i="1310"/>
  <c r="G15" i="1310"/>
  <c r="L14" i="1310"/>
  <c r="H14" i="1310"/>
  <c r="G14" i="1310"/>
  <c r="L13" i="1310"/>
  <c r="H13" i="1310"/>
  <c r="G13" i="1310"/>
  <c r="L12" i="1310"/>
  <c r="H12" i="1310"/>
  <c r="G12" i="1310"/>
  <c r="L11" i="1310"/>
  <c r="H11" i="1310"/>
  <c r="G11" i="1310"/>
  <c r="L24" i="1310"/>
  <c r="H24" i="1310"/>
  <c r="L23" i="1310"/>
  <c r="H23" i="1310"/>
  <c r="G23" i="1310"/>
  <c r="L22" i="1310"/>
  <c r="H22" i="1310"/>
  <c r="G22" i="1310"/>
  <c r="L21" i="1310"/>
  <c r="H21" i="1310"/>
  <c r="G21" i="1310"/>
  <c r="L20" i="1310"/>
  <c r="H20" i="1310"/>
  <c r="G20" i="1310"/>
  <c r="L19" i="1310"/>
  <c r="H19" i="1310"/>
  <c r="G19" i="1310"/>
  <c r="L18" i="1310"/>
  <c r="H18" i="1310"/>
  <c r="G18" i="1310"/>
  <c r="L8" i="1310"/>
  <c r="H8" i="1310"/>
  <c r="G8" i="1310"/>
  <c r="L7" i="1310"/>
  <c r="H7" i="1310"/>
  <c r="G7" i="1310"/>
  <c r="L6" i="1310"/>
  <c r="H6" i="1310"/>
  <c r="G6" i="1310"/>
  <c r="L5" i="1310"/>
  <c r="H5" i="1310"/>
  <c r="G5" i="1310"/>
  <c r="L4" i="1310"/>
  <c r="H4" i="1310"/>
  <c r="G4" i="1310"/>
  <c r="L3" i="1310"/>
  <c r="H3" i="1310"/>
  <c r="G3" i="1310"/>
  <c r="L23" i="1309"/>
  <c r="H23" i="1309"/>
  <c r="G23" i="1309"/>
  <c r="L22" i="1309"/>
  <c r="H22" i="1309"/>
  <c r="G22" i="1309"/>
  <c r="L21" i="1309"/>
  <c r="H21" i="1309"/>
  <c r="G21" i="1309"/>
  <c r="L20" i="1309"/>
  <c r="H20" i="1309"/>
  <c r="G20" i="1309"/>
  <c r="L19" i="1309"/>
  <c r="H19" i="1309"/>
  <c r="G19" i="1309"/>
  <c r="L18" i="1309"/>
  <c r="H18" i="1309"/>
  <c r="G18" i="1309"/>
  <c r="L16" i="1309"/>
  <c r="H16" i="1309"/>
  <c r="G16" i="1309"/>
  <c r="L15" i="1309"/>
  <c r="H15" i="1309"/>
  <c r="G15" i="1309"/>
  <c r="L14" i="1309"/>
  <c r="H14" i="1309"/>
  <c r="G14" i="1309"/>
  <c r="L13" i="1309"/>
  <c r="H13" i="1309"/>
  <c r="G13" i="1309"/>
  <c r="L12" i="1309"/>
  <c r="H12" i="1309"/>
  <c r="G12" i="1309"/>
  <c r="L11" i="1309"/>
  <c r="H11" i="1309"/>
  <c r="G11" i="1309"/>
  <c r="L10" i="1309"/>
  <c r="H10" i="1309"/>
  <c r="G10" i="1309"/>
  <c r="L8" i="1309"/>
  <c r="H8" i="1309"/>
  <c r="G8" i="1309"/>
  <c r="L7" i="1309"/>
  <c r="H7" i="1309"/>
  <c r="G7" i="1309"/>
  <c r="L6" i="1309"/>
  <c r="H6" i="1309"/>
  <c r="G6" i="1309"/>
  <c r="L5" i="1309"/>
  <c r="H5" i="1309"/>
  <c r="G5" i="1309"/>
  <c r="L4" i="1309"/>
  <c r="H4" i="1309"/>
  <c r="G4" i="1309"/>
  <c r="H3" i="1309"/>
  <c r="G3" i="1309"/>
  <c r="L24" i="1308"/>
  <c r="H24" i="1308"/>
  <c r="G24" i="1308"/>
  <c r="L23" i="1308"/>
  <c r="H23" i="1308"/>
  <c r="G23" i="1308"/>
  <c r="L22" i="1308"/>
  <c r="H22" i="1308"/>
  <c r="G22" i="1308"/>
  <c r="L21" i="1308"/>
  <c r="H21" i="1308"/>
  <c r="G21" i="1308"/>
  <c r="L20" i="1308"/>
  <c r="H20" i="1308"/>
  <c r="G20" i="1308"/>
  <c r="L19" i="1308"/>
  <c r="H19" i="1308"/>
  <c r="G19" i="1308"/>
  <c r="L17" i="1308"/>
  <c r="H17" i="1308"/>
  <c r="G17" i="1308"/>
  <c r="L15" i="1308"/>
  <c r="H15" i="1308"/>
  <c r="G15" i="1308"/>
  <c r="L14" i="1308"/>
  <c r="H14" i="1308"/>
  <c r="G14" i="1308"/>
  <c r="L13" i="1308"/>
  <c r="H13" i="1308"/>
  <c r="G13" i="1308"/>
  <c r="L12" i="1308"/>
  <c r="H12" i="1308"/>
  <c r="G12" i="1308"/>
  <c r="L11" i="1308"/>
  <c r="H11" i="1308"/>
  <c r="G11" i="1308"/>
  <c r="L10" i="1308"/>
  <c r="H10" i="1308"/>
  <c r="G10" i="1308"/>
  <c r="L8" i="1308"/>
  <c r="H8" i="1308"/>
  <c r="G8" i="1308"/>
  <c r="L7" i="1308"/>
  <c r="H7" i="1308"/>
  <c r="G7" i="1308"/>
  <c r="L6" i="1308"/>
  <c r="H6" i="1308"/>
  <c r="G6" i="1308"/>
  <c r="L5" i="1308"/>
  <c r="H5" i="1308"/>
  <c r="G5" i="1308"/>
  <c r="L4" i="1308"/>
  <c r="H4" i="1308"/>
  <c r="G4" i="1308"/>
  <c r="L3" i="1308"/>
  <c r="H3" i="1308"/>
  <c r="G3" i="1308"/>
  <c r="L23" i="1307"/>
  <c r="H23" i="1307"/>
  <c r="G23" i="1307"/>
  <c r="L22" i="1307"/>
  <c r="H22" i="1307"/>
  <c r="G22" i="1307"/>
  <c r="L21" i="1307"/>
  <c r="H21" i="1307"/>
  <c r="G21" i="1307"/>
  <c r="L20" i="1307"/>
  <c r="H20" i="1307"/>
  <c r="G20" i="1307"/>
  <c r="L19" i="1307"/>
  <c r="H19" i="1307"/>
  <c r="G19" i="1307"/>
  <c r="L18" i="1307"/>
  <c r="H18" i="1307"/>
  <c r="G18" i="1307"/>
  <c r="L16" i="1307"/>
  <c r="H16" i="1307"/>
  <c r="G16" i="1307"/>
  <c r="L15" i="1307"/>
  <c r="H15" i="1307"/>
  <c r="G15" i="1307"/>
  <c r="L14" i="1307"/>
  <c r="H14" i="1307"/>
  <c r="G14" i="1307"/>
  <c r="L13" i="1307"/>
  <c r="H13" i="1307"/>
  <c r="G13" i="1307"/>
  <c r="L12" i="1307"/>
  <c r="H12" i="1307"/>
  <c r="G12" i="1307"/>
  <c r="L11" i="1307"/>
  <c r="H11" i="1307"/>
  <c r="G11" i="1307"/>
  <c r="L10" i="1307"/>
  <c r="H10" i="1307"/>
  <c r="G10" i="1307"/>
  <c r="L8" i="1307"/>
  <c r="H8" i="1307"/>
  <c r="G8" i="1307"/>
  <c r="L7" i="1307"/>
  <c r="H7" i="1307"/>
  <c r="G7" i="1307"/>
  <c r="L6" i="1307"/>
  <c r="H6" i="1307"/>
  <c r="G6" i="1307"/>
  <c r="L5" i="1307"/>
  <c r="H5" i="1307"/>
  <c r="G5" i="1307"/>
  <c r="L4" i="1307"/>
  <c r="H4" i="1307"/>
  <c r="G4" i="1307"/>
  <c r="L3" i="1307"/>
  <c r="H3" i="1307"/>
  <c r="G3" i="1307"/>
  <c r="L25" i="1306"/>
  <c r="H25" i="1306"/>
  <c r="G25" i="1306"/>
  <c r="L24" i="1306"/>
  <c r="H24" i="1306"/>
  <c r="G24" i="1306"/>
  <c r="L23" i="1306"/>
  <c r="H23" i="1306"/>
  <c r="G23" i="1306"/>
  <c r="L22" i="1306"/>
  <c r="H22" i="1306"/>
  <c r="G22" i="1306"/>
  <c r="L21" i="1306"/>
  <c r="H21" i="1306"/>
  <c r="G21" i="1306"/>
  <c r="L20" i="1306"/>
  <c r="H20" i="1306"/>
  <c r="G20" i="1306"/>
  <c r="L18" i="1306"/>
  <c r="H18" i="1306"/>
  <c r="G18" i="1306"/>
  <c r="L17" i="1306"/>
  <c r="H17" i="1306"/>
  <c r="G17" i="1306"/>
  <c r="L16" i="1306"/>
  <c r="H16" i="1306"/>
  <c r="G16" i="1306"/>
  <c r="L15" i="1306"/>
  <c r="H15" i="1306"/>
  <c r="G15" i="1306"/>
  <c r="L13" i="1306"/>
  <c r="H13" i="1306"/>
  <c r="G13" i="1306"/>
  <c r="L12" i="1306"/>
  <c r="H12" i="1306"/>
  <c r="G12" i="1306"/>
  <c r="L11" i="1306"/>
  <c r="H11" i="1306"/>
  <c r="G11" i="1306"/>
  <c r="L9" i="1306"/>
  <c r="H9" i="1306"/>
  <c r="G9" i="1306"/>
  <c r="L8" i="1306"/>
  <c r="H8" i="1306"/>
  <c r="G8" i="1306"/>
  <c r="L7" i="1306"/>
  <c r="H7" i="1306"/>
  <c r="G7" i="1306"/>
  <c r="L5" i="1306"/>
  <c r="H5" i="1306"/>
  <c r="G5" i="1306"/>
  <c r="L4" i="1306"/>
  <c r="H4" i="1306"/>
  <c r="G4" i="1306"/>
  <c r="L3" i="1306"/>
  <c r="H3" i="1306"/>
  <c r="G3" i="1306"/>
  <c r="L24" i="1288"/>
  <c r="H24" i="1288"/>
  <c r="G24" i="1288"/>
  <c r="L23" i="1288"/>
  <c r="H23" i="1288"/>
  <c r="G23" i="1288"/>
  <c r="L22" i="1288"/>
  <c r="H22" i="1288"/>
  <c r="G22" i="1288"/>
  <c r="L21" i="1288"/>
  <c r="H21" i="1288"/>
  <c r="G21" i="1288"/>
  <c r="L20" i="1288"/>
  <c r="H20" i="1288"/>
  <c r="G20" i="1288"/>
  <c r="L19" i="1288"/>
  <c r="H19" i="1288"/>
  <c r="G19" i="1288"/>
  <c r="L17" i="1288"/>
  <c r="H17" i="1288"/>
  <c r="G17" i="1288"/>
  <c r="L16" i="1288"/>
  <c r="H16" i="1288"/>
  <c r="G16" i="1288"/>
  <c r="L15" i="1288"/>
  <c r="H15" i="1288"/>
  <c r="G15" i="1288"/>
  <c r="L14" i="1288"/>
  <c r="H14" i="1288"/>
  <c r="G14" i="1288"/>
  <c r="L13" i="1288"/>
  <c r="H13" i="1288"/>
  <c r="G13" i="1288"/>
  <c r="L12" i="1288"/>
  <c r="H12" i="1288"/>
  <c r="G12" i="1288"/>
  <c r="L11" i="1288"/>
  <c r="H11" i="1288"/>
  <c r="G11" i="1288"/>
  <c r="L9" i="1288"/>
  <c r="H9" i="1288"/>
  <c r="G9" i="1288"/>
  <c r="L8" i="1288"/>
  <c r="H8" i="1288"/>
  <c r="G8" i="1288"/>
  <c r="L7" i="1288"/>
  <c r="H7" i="1288"/>
  <c r="G7" i="1288"/>
  <c r="L6" i="1288"/>
  <c r="H6" i="1288"/>
  <c r="G6" i="1288"/>
  <c r="L5" i="1288"/>
  <c r="H5" i="1288"/>
  <c r="G5" i="1288"/>
  <c r="L4" i="1288"/>
  <c r="H4" i="1288"/>
  <c r="G4" i="1288"/>
  <c r="L3" i="1288"/>
  <c r="H3" i="1288"/>
  <c r="G3" i="1288"/>
  <c r="G32" i="760"/>
  <c r="C32" i="760"/>
  <c r="G31" i="760"/>
  <c r="E31" i="760"/>
  <c r="C31" i="760"/>
  <c r="G30" i="760"/>
  <c r="E30" i="760"/>
  <c r="C30" i="760"/>
  <c r="G29" i="760"/>
  <c r="E29" i="760"/>
  <c r="C29" i="760"/>
  <c r="G28" i="760"/>
  <c r="E28" i="760"/>
  <c r="C28" i="760"/>
  <c r="G27" i="760"/>
  <c r="E27" i="760"/>
  <c r="C27" i="760"/>
  <c r="G26" i="760"/>
  <c r="E26" i="760"/>
  <c r="C26" i="760"/>
  <c r="G25" i="760"/>
  <c r="E25" i="760"/>
  <c r="C25" i="760"/>
  <c r="K52" i="1252"/>
  <c r="G52" i="1252"/>
  <c r="C52" i="1252"/>
  <c r="K51" i="1252"/>
  <c r="I51" i="1252"/>
  <c r="G51" i="1252"/>
  <c r="E51" i="1252"/>
  <c r="C51" i="1252"/>
  <c r="K50" i="1252"/>
  <c r="I50" i="1252"/>
  <c r="G50" i="1252"/>
  <c r="E50" i="1252"/>
  <c r="C50" i="1252"/>
  <c r="K49" i="1252"/>
  <c r="I49" i="1252"/>
  <c r="G49" i="1252"/>
  <c r="E49" i="1252"/>
  <c r="C49" i="1252"/>
  <c r="K48" i="1252"/>
  <c r="I48" i="1252"/>
  <c r="G48" i="1252"/>
  <c r="E48" i="1252"/>
  <c r="C48" i="1252"/>
  <c r="K47" i="1252"/>
  <c r="I47" i="1252"/>
  <c r="G47" i="1252"/>
  <c r="E47" i="1252"/>
  <c r="C47" i="1252"/>
  <c r="K46" i="1252"/>
  <c r="I46" i="1252"/>
  <c r="G46" i="1252"/>
  <c r="E46" i="1252"/>
  <c r="C46" i="1252"/>
  <c r="K45" i="1252"/>
  <c r="I45" i="1252"/>
  <c r="G45" i="1252"/>
  <c r="E45" i="1252"/>
  <c r="C45" i="1252"/>
  <c r="K42" i="1252"/>
  <c r="G42" i="1252"/>
  <c r="C42" i="1252"/>
  <c r="K41" i="1252"/>
  <c r="I41" i="1252"/>
  <c r="G41" i="1252"/>
  <c r="E41" i="1252"/>
  <c r="C41" i="1252"/>
  <c r="K40" i="1252"/>
  <c r="I40" i="1252"/>
  <c r="G40" i="1252"/>
  <c r="E40" i="1252"/>
  <c r="C40" i="1252"/>
  <c r="K39" i="1252"/>
  <c r="I39" i="1252"/>
  <c r="G39" i="1252"/>
  <c r="E39" i="1252"/>
  <c r="C39" i="1252"/>
  <c r="K38" i="1252"/>
  <c r="I38" i="1252"/>
  <c r="G38" i="1252"/>
  <c r="E38" i="1252"/>
  <c r="C38" i="1252"/>
  <c r="K37" i="1252"/>
  <c r="I37" i="1252"/>
  <c r="G37" i="1252"/>
  <c r="E37" i="1252"/>
  <c r="C37" i="1252"/>
  <c r="K36" i="1252"/>
  <c r="I36" i="1252"/>
  <c r="G36" i="1252"/>
  <c r="E36" i="1252"/>
  <c r="C36" i="1252"/>
  <c r="K35" i="1252"/>
  <c r="I35" i="1252"/>
  <c r="G35" i="1252"/>
  <c r="E35" i="1252"/>
  <c r="C35" i="1252"/>
  <c r="K32" i="1252"/>
  <c r="G32" i="1252"/>
  <c r="C32" i="1252"/>
  <c r="K31" i="1252"/>
  <c r="I31" i="1252"/>
  <c r="G31" i="1252"/>
  <c r="E31" i="1252"/>
  <c r="C31" i="1252"/>
  <c r="K30" i="1252"/>
  <c r="I30" i="1252"/>
  <c r="G30" i="1252"/>
  <c r="E30" i="1252"/>
  <c r="C30" i="1252"/>
  <c r="K29" i="1252"/>
  <c r="I29" i="1252"/>
  <c r="G29" i="1252"/>
  <c r="E29" i="1252"/>
  <c r="C29" i="1252"/>
  <c r="K28" i="1252"/>
  <c r="I28" i="1252"/>
  <c r="G28" i="1252"/>
  <c r="E28" i="1252"/>
  <c r="C28" i="1252"/>
  <c r="K27" i="1252"/>
  <c r="I27" i="1252"/>
  <c r="G27" i="1252"/>
  <c r="E27" i="1252"/>
  <c r="C27" i="1252"/>
  <c r="K26" i="1252"/>
  <c r="I26" i="1252"/>
  <c r="G26" i="1252"/>
  <c r="E26" i="1252"/>
  <c r="C26" i="1252"/>
  <c r="K25" i="1252"/>
  <c r="I25" i="1252"/>
  <c r="G25" i="1252"/>
  <c r="E25" i="1252"/>
  <c r="C25" i="1252"/>
  <c r="K22" i="1252"/>
  <c r="G22" i="1252"/>
  <c r="C22" i="1252"/>
  <c r="K21" i="1252"/>
  <c r="I21" i="1252"/>
  <c r="G21" i="1252"/>
  <c r="E21" i="1252"/>
  <c r="C21" i="1252"/>
  <c r="K20" i="1252"/>
  <c r="I20" i="1252"/>
  <c r="G20" i="1252"/>
  <c r="E20" i="1252"/>
  <c r="C20" i="1252"/>
  <c r="K19" i="1252"/>
  <c r="I19" i="1252"/>
  <c r="G19" i="1252"/>
  <c r="E19" i="1252"/>
  <c r="C19" i="1252"/>
  <c r="K18" i="1252"/>
  <c r="I18" i="1252"/>
  <c r="G18" i="1252"/>
  <c r="E18" i="1252"/>
  <c r="C18" i="1252"/>
  <c r="K17" i="1252"/>
  <c r="I17" i="1252"/>
  <c r="G17" i="1252"/>
  <c r="E17" i="1252"/>
  <c r="C17" i="1252"/>
  <c r="K16" i="1252"/>
  <c r="I16" i="1252"/>
  <c r="G16" i="1252"/>
  <c r="E16" i="1252"/>
  <c r="C16" i="1252"/>
  <c r="K15" i="1252"/>
  <c r="I15" i="1252"/>
  <c r="G15" i="1252"/>
  <c r="E15" i="1252"/>
  <c r="C15" i="1252"/>
  <c r="I8" i="1252"/>
  <c r="G7" i="1252"/>
  <c r="K52" i="760"/>
  <c r="G52" i="760"/>
  <c r="C52" i="760"/>
  <c r="K51" i="760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E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E45" i="760"/>
  <c r="C45" i="760"/>
  <c r="K42" i="760"/>
  <c r="G42" i="760"/>
  <c r="C42" i="760"/>
  <c r="K41" i="760"/>
  <c r="I41" i="760"/>
  <c r="G41" i="760"/>
  <c r="E41" i="760"/>
  <c r="C41" i="760"/>
  <c r="K40" i="760"/>
  <c r="I40" i="760"/>
  <c r="G40" i="760"/>
  <c r="E40" i="760"/>
  <c r="C40" i="760"/>
  <c r="K39" i="760"/>
  <c r="I39" i="760"/>
  <c r="G39" i="760"/>
  <c r="E39" i="760"/>
  <c r="C39" i="760"/>
  <c r="K38" i="760"/>
  <c r="I38" i="760"/>
  <c r="G38" i="760"/>
  <c r="E38" i="760"/>
  <c r="C38" i="760"/>
  <c r="K37" i="760"/>
  <c r="I37" i="760"/>
  <c r="G37" i="760"/>
  <c r="E37" i="760"/>
  <c r="C37" i="760"/>
  <c r="K36" i="760"/>
  <c r="I36" i="760"/>
  <c r="G36" i="760"/>
  <c r="E36" i="760"/>
  <c r="C36" i="760"/>
  <c r="K35" i="760"/>
  <c r="I35" i="760"/>
  <c r="G35" i="760"/>
  <c r="E35" i="760"/>
  <c r="C35" i="760"/>
  <c r="K32" i="760"/>
  <c r="K31" i="760"/>
  <c r="I31" i="760"/>
  <c r="K30" i="760"/>
  <c r="I30" i="760"/>
  <c r="K29" i="760"/>
  <c r="I29" i="760"/>
  <c r="K28" i="760"/>
  <c r="I28" i="760"/>
  <c r="K27" i="760"/>
  <c r="I27" i="760"/>
  <c r="K26" i="760"/>
  <c r="I26" i="760"/>
  <c r="K25" i="760"/>
  <c r="I25" i="760"/>
  <c r="K22" i="760"/>
  <c r="G22" i="760"/>
  <c r="C22" i="760"/>
  <c r="K21" i="760"/>
  <c r="I21" i="760"/>
  <c r="G21" i="760"/>
  <c r="E21" i="760"/>
  <c r="C21" i="760"/>
  <c r="K20" i="760"/>
  <c r="I20" i="760"/>
  <c r="G20" i="760"/>
  <c r="E20" i="760"/>
  <c r="C20" i="760"/>
  <c r="K19" i="760"/>
  <c r="I19" i="760"/>
  <c r="G19" i="760"/>
  <c r="E19" i="760"/>
  <c r="C19" i="760"/>
  <c r="K18" i="760"/>
  <c r="I18" i="760"/>
  <c r="G18" i="760"/>
  <c r="E18" i="760"/>
  <c r="C18" i="760"/>
  <c r="K17" i="760"/>
  <c r="I17" i="760"/>
  <c r="G17" i="760"/>
  <c r="E17" i="760"/>
  <c r="C17" i="760"/>
  <c r="K16" i="760"/>
  <c r="I16" i="760"/>
  <c r="G16" i="760"/>
  <c r="E16" i="760"/>
  <c r="C16" i="760"/>
  <c r="K15" i="760"/>
  <c r="I15" i="760"/>
  <c r="G15" i="760"/>
  <c r="E15" i="760"/>
  <c r="C15" i="760"/>
  <c r="L14" i="1287"/>
  <c r="H14" i="1287"/>
  <c r="L13" i="1287"/>
  <c r="L12" i="1287"/>
  <c r="H12" i="1287"/>
  <c r="G12" i="1287"/>
  <c r="L11" i="1287"/>
  <c r="H11" i="1287"/>
  <c r="G11" i="1287"/>
  <c r="L10" i="1287"/>
  <c r="H10" i="1287"/>
  <c r="G10" i="1287"/>
  <c r="L22" i="1287"/>
  <c r="H22" i="1287"/>
  <c r="G22" i="1287"/>
  <c r="L21" i="1287"/>
  <c r="H21" i="1287"/>
  <c r="G21" i="1287"/>
  <c r="L20" i="1287"/>
  <c r="H20" i="1287"/>
  <c r="G20" i="1287"/>
  <c r="L19" i="1287"/>
  <c r="H19" i="1287"/>
  <c r="G19" i="1287"/>
  <c r="L18" i="1287"/>
  <c r="H18" i="1287"/>
  <c r="G18" i="1287"/>
  <c r="L17" i="1287"/>
  <c r="H17" i="1287"/>
  <c r="G17" i="1287"/>
  <c r="L16" i="1287"/>
  <c r="H16" i="1287"/>
  <c r="G16" i="1287"/>
  <c r="L8" i="1287"/>
  <c r="H8" i="1287"/>
  <c r="G8" i="1287"/>
  <c r="L7" i="1287"/>
  <c r="H7" i="1287"/>
  <c r="G7" i="1287"/>
  <c r="L6" i="1287"/>
  <c r="H6" i="1287"/>
  <c r="G6" i="1287"/>
  <c r="L5" i="1287"/>
  <c r="H5" i="1287"/>
  <c r="G5" i="1287"/>
  <c r="L4" i="1287"/>
  <c r="H4" i="1287"/>
  <c r="G4" i="1287"/>
  <c r="L3" i="1287"/>
  <c r="H3" i="1287"/>
  <c r="G3" i="1287"/>
  <c r="C11" i="1252" l="1"/>
  <c r="K10" i="1252"/>
  <c r="I10" i="1252"/>
  <c r="G10" i="1252"/>
  <c r="E10" i="1252"/>
  <c r="C10" i="1252"/>
  <c r="K9" i="1252"/>
  <c r="I9" i="1252"/>
  <c r="G9" i="1252"/>
  <c r="E9" i="1252"/>
  <c r="C9" i="1252"/>
  <c r="K8" i="1252"/>
  <c r="G8" i="1252"/>
  <c r="E8" i="1252"/>
  <c r="C8" i="1252"/>
  <c r="K7" i="1252"/>
  <c r="I7" i="1252"/>
  <c r="E7" i="1252"/>
  <c r="C7" i="1252"/>
  <c r="K6" i="1252"/>
  <c r="I6" i="1252"/>
  <c r="G6" i="1252"/>
  <c r="E6" i="1252"/>
  <c r="C6" i="1252"/>
  <c r="K5" i="1252"/>
  <c r="I5" i="1252"/>
  <c r="G5" i="1252"/>
  <c r="E5" i="1252"/>
  <c r="C5" i="1252"/>
  <c r="E11" i="1252"/>
  <c r="G11" i="1252"/>
  <c r="I11" i="1252"/>
  <c r="K11" i="1252"/>
  <c r="C12" i="1252"/>
  <c r="G12" i="1252"/>
  <c r="K12" i="1252"/>
  <c r="E5" i="760" l="1"/>
  <c r="C5" i="760" l="1"/>
  <c r="G5" i="760"/>
  <c r="K5" i="760"/>
  <c r="C6" i="760"/>
  <c r="E6" i="760"/>
  <c r="G6" i="760"/>
  <c r="K6" i="760"/>
  <c r="C7" i="760"/>
  <c r="E7" i="760"/>
  <c r="G7" i="760"/>
  <c r="K7" i="760"/>
  <c r="C8" i="760"/>
  <c r="E8" i="760"/>
  <c r="G8" i="760"/>
  <c r="K8" i="760"/>
  <c r="C9" i="760"/>
  <c r="E9" i="760"/>
  <c r="G9" i="760"/>
  <c r="K9" i="760"/>
  <c r="C10" i="760"/>
  <c r="E10" i="760"/>
  <c r="G10" i="760"/>
  <c r="K10" i="760"/>
  <c r="C11" i="760"/>
  <c r="E11" i="760"/>
  <c r="G11" i="760"/>
  <c r="K11" i="760"/>
  <c r="C12" i="760"/>
  <c r="G12" i="760"/>
  <c r="K12" i="760"/>
  <c r="A12" i="26" l="1"/>
  <c r="A11" i="26"/>
  <c r="A10" i="26"/>
  <c r="A9" i="26"/>
  <c r="A8" i="26"/>
  <c r="A7" i="26"/>
  <c r="A6" i="26"/>
  <c r="A5" i="26"/>
  <c r="A4" i="26"/>
  <c r="A3" i="26"/>
  <c r="A2" i="26"/>
  <c r="A13" i="25"/>
  <c r="A12" i="25"/>
  <c r="A11" i="25"/>
  <c r="A10" i="25"/>
  <c r="A9" i="25"/>
  <c r="A8" i="25"/>
  <c r="A7" i="25"/>
  <c r="A6" i="25"/>
  <c r="A5" i="25"/>
  <c r="A4" i="25"/>
  <c r="A3" i="25"/>
  <c r="A2" i="25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D43" i="23"/>
  <c r="D42" i="23"/>
  <c r="D41" i="23"/>
  <c r="D40" i="23"/>
  <c r="D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2" i="21"/>
  <c r="AO52" i="21" s="1"/>
  <c r="AL52" i="21"/>
  <c r="AJ52" i="21"/>
  <c r="AI52" i="21" s="1"/>
  <c r="AF52" i="21"/>
  <c r="AD52" i="21"/>
  <c r="AC52" i="21" s="1"/>
  <c r="X52" i="21"/>
  <c r="O52" i="21"/>
  <c r="AP40" i="21"/>
  <c r="AO40" i="21" s="1"/>
  <c r="AL40" i="21"/>
  <c r="AJ40" i="21"/>
  <c r="AI40" i="21" s="1"/>
  <c r="AF40" i="21"/>
  <c r="AC40" i="21"/>
  <c r="AB40" i="21"/>
  <c r="X40" i="21"/>
  <c r="O40" i="21"/>
  <c r="AP51" i="21"/>
  <c r="AN51" i="21" s="1"/>
  <c r="AL51" i="21"/>
  <c r="AJ51" i="21"/>
  <c r="AH51" i="21" s="1"/>
  <c r="AF51" i="21"/>
  <c r="AD51" i="21"/>
  <c r="AB51" i="21" s="1"/>
  <c r="X51" i="21"/>
  <c r="O51" i="21"/>
  <c r="AP132" i="21"/>
  <c r="AN132" i="21" s="1"/>
  <c r="AL132" i="21"/>
  <c r="AJ132" i="21"/>
  <c r="AH132" i="21" s="1"/>
  <c r="AF132" i="21"/>
  <c r="AD132" i="21"/>
  <c r="AB132" i="21" s="1"/>
  <c r="X132" i="21"/>
  <c r="O132" i="21"/>
  <c r="AP153" i="21"/>
  <c r="AO153" i="21" s="1"/>
  <c r="AL153" i="21"/>
  <c r="AJ153" i="21"/>
  <c r="AI153" i="21" s="1"/>
  <c r="AF153" i="21"/>
  <c r="AD153" i="21"/>
  <c r="AC153" i="21" s="1"/>
  <c r="X153" i="21"/>
  <c r="O153" i="21"/>
  <c r="AP128" i="21"/>
  <c r="AO128" i="21" s="1"/>
  <c r="AL128" i="21"/>
  <c r="AJ128" i="21"/>
  <c r="AI128" i="21" s="1"/>
  <c r="AF128" i="21"/>
  <c r="AD128" i="21"/>
  <c r="X128" i="21"/>
  <c r="O128" i="21"/>
  <c r="AP195" i="21"/>
  <c r="AL195" i="21"/>
  <c r="AJ195" i="21"/>
  <c r="AH195" i="21" s="1"/>
  <c r="AF195" i="21"/>
  <c r="X195" i="21"/>
  <c r="O195" i="21"/>
  <c r="AP141" i="21"/>
  <c r="AO141" i="21" s="1"/>
  <c r="AL141" i="21"/>
  <c r="AJ141" i="21"/>
  <c r="AI141" i="21" s="1"/>
  <c r="AD141" i="21"/>
  <c r="AB141" i="21" s="1"/>
  <c r="O141" i="21"/>
  <c r="AP191" i="21"/>
  <c r="AN191" i="21" s="1"/>
  <c r="AL191" i="21"/>
  <c r="AJ191" i="21"/>
  <c r="AD191" i="21"/>
  <c r="AC191" i="21" s="1"/>
  <c r="O191" i="21"/>
  <c r="AP134" i="21"/>
  <c r="AO134" i="21" s="1"/>
  <c r="AL134" i="21"/>
  <c r="AJ134" i="21"/>
  <c r="AI134" i="21" s="1"/>
  <c r="AF134" i="21"/>
  <c r="AD134" i="21"/>
  <c r="AC134" i="21" s="1"/>
  <c r="X134" i="21"/>
  <c r="O134" i="21"/>
  <c r="AP199" i="21"/>
  <c r="AJ199" i="21"/>
  <c r="O199" i="21"/>
  <c r="AP201" i="21"/>
  <c r="AJ201" i="21"/>
  <c r="O201" i="21"/>
  <c r="AP185" i="21"/>
  <c r="AO185" i="21" s="1"/>
  <c r="AL185" i="21"/>
  <c r="AJ185" i="21"/>
  <c r="AI185" i="21" s="1"/>
  <c r="AF185" i="21"/>
  <c r="AD185" i="21"/>
  <c r="AC185" i="21" s="1"/>
  <c r="X185" i="21"/>
  <c r="O185" i="21"/>
  <c r="AP147" i="21"/>
  <c r="AO147" i="21" s="1"/>
  <c r="AL147" i="21"/>
  <c r="AJ147" i="21"/>
  <c r="AI147" i="21" s="1"/>
  <c r="AF147" i="21"/>
  <c r="AD147" i="21"/>
  <c r="AC147" i="21" s="1"/>
  <c r="X147" i="21"/>
  <c r="O147" i="21"/>
  <c r="AP122" i="21"/>
  <c r="AN122" i="21" s="1"/>
  <c r="AL122" i="21"/>
  <c r="AJ122" i="21"/>
  <c r="AH122" i="21" s="1"/>
  <c r="AF122" i="21"/>
  <c r="AD122" i="21"/>
  <c r="AB122" i="21" s="1"/>
  <c r="X122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89" i="21"/>
  <c r="AJ89" i="21"/>
  <c r="AF89" i="21"/>
  <c r="AD89" i="21"/>
  <c r="X89" i="21"/>
  <c r="U89" i="21"/>
  <c r="T89" i="21"/>
  <c r="S89" i="21"/>
  <c r="Q89" i="21"/>
  <c r="P89" i="21"/>
  <c r="O89" i="21"/>
  <c r="AL65" i="21"/>
  <c r="AJ65" i="21"/>
  <c r="AF65" i="21"/>
  <c r="AD65" i="21"/>
  <c r="X65" i="21"/>
  <c r="U65" i="21"/>
  <c r="T65" i="21"/>
  <c r="S65" i="21"/>
  <c r="Q65" i="21"/>
  <c r="P65" i="21"/>
  <c r="O65" i="21"/>
  <c r="AL59" i="21"/>
  <c r="AJ59" i="21"/>
  <c r="AF59" i="21"/>
  <c r="AD59" i="21"/>
  <c r="X59" i="21"/>
  <c r="U59" i="21"/>
  <c r="T59" i="21"/>
  <c r="S59" i="21"/>
  <c r="Q59" i="21"/>
  <c r="P59" i="21"/>
  <c r="O59" i="21"/>
  <c r="AL10" i="21"/>
  <c r="AJ10" i="21"/>
  <c r="AF10" i="21"/>
  <c r="AD10" i="21"/>
  <c r="X10" i="21"/>
  <c r="U10" i="21"/>
  <c r="T10" i="21"/>
  <c r="S10" i="21"/>
  <c r="Q10" i="21"/>
  <c r="P10" i="21"/>
  <c r="O10" i="21"/>
  <c r="AL85" i="21"/>
  <c r="AJ85" i="21"/>
  <c r="AF85" i="21"/>
  <c r="AD85" i="21"/>
  <c r="X85" i="21"/>
  <c r="U85" i="21"/>
  <c r="T85" i="21"/>
  <c r="S85" i="21"/>
  <c r="Q85" i="21"/>
  <c r="P85" i="21"/>
  <c r="AH85" i="21" s="1"/>
  <c r="O85" i="21"/>
  <c r="AL84" i="21"/>
  <c r="AJ84" i="21"/>
  <c r="AF84" i="21"/>
  <c r="AD84" i="21"/>
  <c r="X84" i="21"/>
  <c r="U84" i="21"/>
  <c r="T84" i="21"/>
  <c r="S84" i="21"/>
  <c r="Q84" i="21"/>
  <c r="P84" i="21"/>
  <c r="O84" i="21"/>
  <c r="AL86" i="21"/>
  <c r="AJ86" i="21"/>
  <c r="AF86" i="21"/>
  <c r="AD86" i="21"/>
  <c r="X86" i="21"/>
  <c r="U86" i="21"/>
  <c r="T86" i="21"/>
  <c r="S86" i="21"/>
  <c r="Q86" i="21"/>
  <c r="P86" i="21"/>
  <c r="O86" i="21"/>
  <c r="AL28" i="21"/>
  <c r="AJ28" i="21"/>
  <c r="AF28" i="21"/>
  <c r="AD28" i="21"/>
  <c r="X28" i="21"/>
  <c r="U28" i="21"/>
  <c r="T28" i="21"/>
  <c r="S28" i="21"/>
  <c r="Q28" i="21"/>
  <c r="P28" i="21"/>
  <c r="O28" i="21"/>
  <c r="AL41" i="21"/>
  <c r="AJ41" i="21"/>
  <c r="AF41" i="21"/>
  <c r="AD41" i="21"/>
  <c r="X41" i="21"/>
  <c r="U41" i="21"/>
  <c r="T41" i="21"/>
  <c r="S41" i="21"/>
  <c r="Q41" i="21"/>
  <c r="P41" i="21"/>
  <c r="O41" i="21"/>
  <c r="AL119" i="21"/>
  <c r="AJ119" i="21"/>
  <c r="AF119" i="21"/>
  <c r="AD119" i="21"/>
  <c r="X119" i="21"/>
  <c r="U119" i="21"/>
  <c r="T119" i="21"/>
  <c r="S119" i="21"/>
  <c r="Q119" i="21"/>
  <c r="P119" i="21"/>
  <c r="O119" i="21"/>
  <c r="AL66" i="21"/>
  <c r="AJ66" i="21"/>
  <c r="AF66" i="21"/>
  <c r="AD66" i="21"/>
  <c r="X66" i="21"/>
  <c r="U66" i="21"/>
  <c r="T66" i="21"/>
  <c r="S66" i="21"/>
  <c r="Q66" i="21"/>
  <c r="P66" i="21"/>
  <c r="O66" i="21"/>
  <c r="AL73" i="21"/>
  <c r="AJ73" i="21"/>
  <c r="AF73" i="21"/>
  <c r="AD73" i="21"/>
  <c r="X73" i="21"/>
  <c r="U73" i="21"/>
  <c r="T73" i="21"/>
  <c r="S73" i="21"/>
  <c r="Q73" i="21"/>
  <c r="P73" i="21"/>
  <c r="O73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6" i="21"/>
  <c r="AJ106" i="21"/>
  <c r="AF106" i="21"/>
  <c r="AD106" i="21"/>
  <c r="X106" i="21"/>
  <c r="U106" i="21"/>
  <c r="T106" i="21"/>
  <c r="S106" i="21"/>
  <c r="Q106" i="21"/>
  <c r="P106" i="21"/>
  <c r="AH106" i="21" s="1"/>
  <c r="O106" i="21"/>
  <c r="AL30" i="21"/>
  <c r="AJ30" i="21"/>
  <c r="AF30" i="21"/>
  <c r="AD30" i="21"/>
  <c r="X30" i="21"/>
  <c r="U30" i="21"/>
  <c r="T30" i="21"/>
  <c r="S30" i="21"/>
  <c r="Q30" i="21"/>
  <c r="P30" i="21"/>
  <c r="O30" i="21"/>
  <c r="AL105" i="21"/>
  <c r="AJ105" i="21"/>
  <c r="AF105" i="21"/>
  <c r="AD105" i="21"/>
  <c r="X105" i="21"/>
  <c r="U105" i="21"/>
  <c r="T105" i="21"/>
  <c r="S105" i="21"/>
  <c r="Q105" i="21"/>
  <c r="P105" i="21"/>
  <c r="O105" i="21"/>
  <c r="AL63" i="21"/>
  <c r="AJ63" i="21"/>
  <c r="AF63" i="21"/>
  <c r="AD63" i="21"/>
  <c r="X63" i="21"/>
  <c r="U63" i="21"/>
  <c r="T63" i="21"/>
  <c r="S63" i="21"/>
  <c r="Q63" i="21"/>
  <c r="P63" i="21"/>
  <c r="O63" i="21"/>
  <c r="AL71" i="21"/>
  <c r="AJ71" i="21"/>
  <c r="AF71" i="21"/>
  <c r="AD71" i="21"/>
  <c r="X71" i="21"/>
  <c r="U71" i="21"/>
  <c r="T71" i="21"/>
  <c r="S71" i="21"/>
  <c r="Q71" i="21"/>
  <c r="P71" i="21"/>
  <c r="O71" i="21"/>
  <c r="AL6" i="21"/>
  <c r="AJ6" i="21"/>
  <c r="AF6" i="21"/>
  <c r="AD6" i="21"/>
  <c r="X6" i="21"/>
  <c r="U6" i="21"/>
  <c r="T6" i="21"/>
  <c r="S6" i="21"/>
  <c r="Q6" i="21"/>
  <c r="P6" i="21"/>
  <c r="O6" i="21"/>
  <c r="AL72" i="21"/>
  <c r="AJ72" i="21"/>
  <c r="AF72" i="21"/>
  <c r="AD72" i="21"/>
  <c r="X72" i="21"/>
  <c r="U72" i="21"/>
  <c r="T72" i="21"/>
  <c r="S72" i="21"/>
  <c r="Q72" i="21"/>
  <c r="P72" i="21"/>
  <c r="O72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77" i="21"/>
  <c r="AJ77" i="21"/>
  <c r="AF77" i="21"/>
  <c r="AD77" i="21"/>
  <c r="X77" i="21"/>
  <c r="U77" i="21"/>
  <c r="T77" i="21"/>
  <c r="S77" i="21"/>
  <c r="Q77" i="21"/>
  <c r="P77" i="21"/>
  <c r="O77" i="21"/>
  <c r="AL44" i="21"/>
  <c r="AJ44" i="21"/>
  <c r="AF44" i="21"/>
  <c r="AD44" i="21"/>
  <c r="X44" i="21"/>
  <c r="U44" i="21"/>
  <c r="T44" i="21"/>
  <c r="S44" i="21"/>
  <c r="Q44" i="21"/>
  <c r="P44" i="21"/>
  <c r="O44" i="21"/>
  <c r="AH84" i="21" l="1"/>
  <c r="AH22" i="21"/>
  <c r="AH10" i="21"/>
  <c r="AH71" i="21"/>
  <c r="AH30" i="21"/>
  <c r="AH73" i="21"/>
  <c r="AH6" i="21"/>
  <c r="AH65" i="21"/>
  <c r="AH19" i="21"/>
  <c r="AH89" i="21"/>
  <c r="AH77" i="21"/>
  <c r="AH41" i="21"/>
  <c r="AH25" i="21"/>
  <c r="AH86" i="21"/>
  <c r="AB44" i="21"/>
  <c r="AB63" i="21"/>
  <c r="AC30" i="21"/>
  <c r="AB66" i="21"/>
  <c r="AC59" i="21"/>
  <c r="AC85" i="21"/>
  <c r="AH63" i="21"/>
  <c r="AB72" i="21"/>
  <c r="AC51" i="21"/>
  <c r="AI59" i="21"/>
  <c r="AC89" i="21"/>
  <c r="AB52" i="21"/>
  <c r="AB59" i="21"/>
  <c r="AI195" i="21"/>
  <c r="AH128" i="21"/>
  <c r="AH153" i="21"/>
  <c r="AI132" i="21"/>
  <c r="AN52" i="21"/>
  <c r="AI73" i="21"/>
  <c r="AI86" i="21"/>
  <c r="AB89" i="21"/>
  <c r="AC63" i="21"/>
  <c r="AH147" i="21"/>
  <c r="AN134" i="21"/>
  <c r="AO132" i="21"/>
  <c r="AB106" i="21"/>
  <c r="AC71" i="21"/>
  <c r="AH66" i="21"/>
  <c r="AC44" i="21"/>
  <c r="AC19" i="21"/>
  <c r="AI71" i="21"/>
  <c r="AC66" i="21"/>
  <c r="AC28" i="21"/>
  <c r="AB86" i="21"/>
  <c r="AC84" i="21"/>
  <c r="AB4" i="21"/>
  <c r="AI19" i="21"/>
  <c r="AB84" i="21"/>
  <c r="AC77" i="21"/>
  <c r="AB11" i="21"/>
  <c r="AH72" i="21"/>
  <c r="AI30" i="21"/>
  <c r="AC73" i="21"/>
  <c r="AB41" i="21"/>
  <c r="AB22" i="21"/>
  <c r="AC4" i="21"/>
  <c r="AB134" i="21"/>
  <c r="AB191" i="21"/>
  <c r="AO191" i="21"/>
  <c r="AC132" i="21"/>
  <c r="AO51" i="21"/>
  <c r="AH52" i="21"/>
  <c r="AB19" i="21"/>
  <c r="AN4" i="21"/>
  <c r="AB31" i="21"/>
  <c r="AI51" i="21"/>
  <c r="AB6" i="21"/>
  <c r="AI63" i="21"/>
  <c r="AI105" i="21"/>
  <c r="AB30" i="21"/>
  <c r="AB25" i="21"/>
  <c r="AI66" i="21"/>
  <c r="AI119" i="21"/>
  <c r="AB28" i="21"/>
  <c r="AI85" i="21"/>
  <c r="AC105" i="21"/>
  <c r="AC119" i="21"/>
  <c r="AI84" i="21"/>
  <c r="AC65" i="21"/>
  <c r="AI4" i="21"/>
  <c r="AN31" i="21"/>
  <c r="AC31" i="21"/>
  <c r="AH31" i="21"/>
  <c r="AB185" i="21"/>
  <c r="AH185" i="21"/>
  <c r="AN185" i="21"/>
  <c r="AI44" i="21"/>
  <c r="AI77" i="21"/>
  <c r="AC72" i="21"/>
  <c r="AC6" i="21"/>
  <c r="AC106" i="21"/>
  <c r="AC25" i="21"/>
  <c r="AB10" i="21"/>
  <c r="AB77" i="21"/>
  <c r="AC11" i="21"/>
  <c r="AI72" i="21"/>
  <c r="AI6" i="21"/>
  <c r="AB71" i="21"/>
  <c r="AB105" i="21"/>
  <c r="AI106" i="21"/>
  <c r="AI25" i="21"/>
  <c r="AB14" i="21"/>
  <c r="AB73" i="21"/>
  <c r="AB119" i="21"/>
  <c r="AC41" i="21"/>
  <c r="AI28" i="21"/>
  <c r="AC10" i="21"/>
  <c r="AI65" i="21"/>
  <c r="AO4" i="21"/>
  <c r="AO31" i="21"/>
  <c r="AI122" i="21"/>
  <c r="AN153" i="21"/>
  <c r="AI11" i="21"/>
  <c r="AI41" i="21"/>
  <c r="AI10" i="21"/>
  <c r="AB65" i="21"/>
  <c r="AI22" i="21"/>
  <c r="AC122" i="21"/>
  <c r="AN147" i="21"/>
  <c r="AH134" i="21"/>
  <c r="AC14" i="21"/>
  <c r="AH59" i="21"/>
  <c r="AH191" i="21"/>
  <c r="AI191" i="21"/>
  <c r="AH141" i="21"/>
  <c r="AN141" i="21"/>
  <c r="AC128" i="21"/>
  <c r="AB128" i="21"/>
  <c r="AH11" i="21"/>
  <c r="AH44" i="21"/>
  <c r="AH105" i="21"/>
  <c r="AI14" i="21"/>
  <c r="AH119" i="21"/>
  <c r="AH28" i="21"/>
  <c r="AC86" i="21"/>
  <c r="AB85" i="21"/>
  <c r="AI89" i="21"/>
  <c r="AC22" i="21"/>
  <c r="AO122" i="21"/>
  <c r="AB147" i="21"/>
  <c r="AN195" i="21"/>
  <c r="AO195" i="21"/>
  <c r="AN128" i="21"/>
  <c r="AB153" i="21"/>
  <c r="AN40" i="21"/>
  <c r="AH40" i="21"/>
  <c r="AH4" i="21"/>
  <c r="AC141" i="21"/>
  <c r="AI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3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3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3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3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6" authorId="0" shapeId="0" xr:uid="{00000000-0006-0000-03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34" authorId="0" shapeId="0" xr:uid="{00000000-0006-0000-03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1" authorId="0" shapeId="0" xr:uid="{00000000-0006-0000-03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1" authorId="0" shapeId="0" xr:uid="{00000000-0006-0000-03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1" authorId="0" shapeId="0" xr:uid="{00000000-0006-0000-03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22" authorId="0" shapeId="0" xr:uid="{00000000-0006-0000-03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36" authorId="0" shapeId="0" xr:uid="{00000000-0006-0000-03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47" authorId="0" shapeId="0" xr:uid="{00000000-0006-0000-03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47" authorId="0" shapeId="0" xr:uid="{00000000-0006-0000-03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09" authorId="0" shapeId="0" xr:uid="{00000000-0006-0000-03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11" authorId="0" shapeId="0" xr:uid="{00000000-0006-0000-03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63" authorId="0" shapeId="0" xr:uid="{00000000-0006-0000-03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02" authorId="0" shapeId="0" xr:uid="{00000000-0006-0000-03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44" authorId="0" shapeId="0" xr:uid="{00000000-0006-0000-03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73" authorId="0" shapeId="0" xr:uid="{00000000-0006-0000-03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480" authorId="0" shapeId="0" xr:uid="{00000000-0006-0000-03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0A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0A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0A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<sst xmlns="http://schemas.openxmlformats.org/spreadsheetml/2006/main" count="5404" uniqueCount="2336">
  <si>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</si>
  <si>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</si>
  <si>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</si>
  <si>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</si>
  <si>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</si>
  <si>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</si>
  <si>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</si>
  <si>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</si>
  <si>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</si>
  <si>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</si>
  <si>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</si>
  <si>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스위트콘(수입)83%, 파프리카(국산)5%, 양파(국산)5%, 버터, 마요네즈, 소금, 설탕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</si>
  <si>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</si>
  <si>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</si>
  <si>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</si>
  <si>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</si>
  <si>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소고기(수입)22%, 미역(국산)27%, 정제수, 대파, 마늘,국간장</t>
  </si>
  <si>
    <t xml:space="preserve">쌀(국산)76% ,멸치(국산)12%, 우엉조림, 식초, 참깨, 소금 </t>
  </si>
  <si>
    <t>125921 튼튼스쿨 쥬시햄벅스테이크(60g*16입 960g/EA)</t>
  </si>
  <si>
    <t>배추(국산)32%, 두부(원료수입)23%, 대파, 마늘, 된장, 정제수</t>
  </si>
  <si>
    <t>배추(국산)30%, 두부(원료수입)20%, 대파, 마늘, 된장, 정제수</t>
  </si>
  <si>
    <t>시금치(수입)30%, 어묵(원료수입) 25%, 정제수,대파, 마늘,소금</t>
  </si>
  <si>
    <t>북어채(수입)22.4%, 미역(국산)15%, 양파, 마늘,대파, 소금</t>
  </si>
  <si>
    <t>소고기(수입)22%, 얼갈이(국산)27%, 정제수, 대파, 마늘,국간장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</si>
  <si>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</si>
  <si>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</si>
  <si>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</si>
  <si>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</si>
  <si>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</si>
  <si>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</si>
  <si>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</si>
  <si>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</si>
  <si>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</si>
  <si>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</si>
  <si>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</si>
  <si>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</si>
  <si>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</si>
  <si>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</si>
  <si>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</si>
  <si>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감자(수입)32.2%, 양파(국산) 13%, 정제수,대파, 마늘</t>
  </si>
  <si>
    <t>북어채(수입)37%, 두부, 양파, 정제수, 대파, 마늘,간장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</si>
  <si>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</si>
  <si>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</si>
  <si>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</si>
  <si>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</si>
  <si>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</si>
  <si>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</si>
  <si>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</si>
  <si>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</si>
  <si>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</si>
  <si>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</si>
  <si>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</si>
  <si>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</si>
  <si>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</si>
  <si>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</si>
  <si>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</si>
  <si>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</si>
  <si>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</si>
  <si>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</si>
  <si>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</si>
  <si>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</si>
  <si>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</si>
  <si>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</si>
  <si>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</si>
  <si>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</si>
  <si>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</si>
  <si>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</si>
  <si>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</si>
  <si>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</si>
  <si>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</si>
  <si>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</si>
  <si>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쌀(국산)90%, 렌틸콩(미국)5%</t>
  </si>
  <si>
    <t>쌀(국산)90%, 귀리(캐나다)5%</t>
  </si>
  <si>
    <t>쌀(국산)90%, 기장(국산)5%</t>
  </si>
  <si>
    <t>쌀(국산)90%, 수수(국산)5%</t>
  </si>
  <si>
    <t>쌀(국산)90%, 현미(국산)5%</t>
  </si>
  <si>
    <t>쌀(국산)90%, 흑미(국산)5%</t>
  </si>
  <si>
    <t>쌀(국산)90%, 보리(국산)5%</t>
  </si>
  <si>
    <t>쌀(국산)90%, 차조(국산)5%</t>
  </si>
  <si>
    <t>1팬에 64 조각. 왕란4개=6인분</t>
  </si>
  <si>
    <t>온라인반찬(중요함), 온라인국, 급식반찬, 급식국, 급식밥 (총5개의 DB 시트로 구성됨)</t>
  </si>
  <si>
    <t>소고기(수입)22.4%, 느타리버섯(국산)15%, 표고버섯, 정제수, 마늘,대파, 소금</t>
  </si>
  <si>
    <t>미소된장(일본)10%, 팽이버섯(국산) 15%, 미역(국산)25%,정제수, 대파, 마늘</t>
  </si>
  <si>
    <t>미소된장(일본)11%, 팽이버섯(국산) 15%, 미역(국산)25%,정제수, 대파, 마늘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</si>
  <si>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</si>
  <si>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</si>
  <si>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</si>
  <si>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</si>
  <si>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</si>
  <si>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</si>
  <si>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두부</t>
  </si>
  <si>
    <t>g</t>
  </si>
  <si>
    <t>개</t>
  </si>
  <si>
    <t>장</t>
  </si>
  <si>
    <t>No.</t>
  </si>
  <si>
    <t>어묵</t>
  </si>
  <si>
    <t>된장</t>
  </si>
  <si>
    <t>보존식</t>
  </si>
  <si>
    <t>북엇국</t>
  </si>
  <si>
    <t>배추</t>
  </si>
  <si>
    <t>김치</t>
  </si>
  <si>
    <t>미역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</si>
  <si>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</si>
  <si>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</si>
  <si>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</si>
  <si>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</si>
  <si>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</si>
  <si>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</si>
  <si>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</si>
  <si>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</si>
  <si>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</si>
  <si>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</si>
  <si>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</si>
  <si>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</si>
  <si>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</si>
  <si>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</si>
  <si>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</si>
  <si>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</si>
  <si>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</si>
  <si>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</si>
  <si>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</si>
  <si>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</si>
  <si>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</si>
  <si>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</si>
  <si>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</si>
  <si>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</si>
  <si>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</si>
  <si>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18/6/17 13:00 ~ 18/6/20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</si>
  <si>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</si>
  <si>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</si>
  <si>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</si>
  <si>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</si>
  <si>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</si>
  <si>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</si>
  <si>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</si>
  <si>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</si>
  <si>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</si>
  <si>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18/6/24 13:00 ~ 18/6/27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</si>
  <si>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</si>
  <si>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</si>
  <si>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</si>
  <si>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</si>
  <si>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</si>
  <si>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</si>
  <si>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</si>
  <si>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</si>
  <si>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</si>
  <si>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</si>
  <si>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</si>
  <si>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</si>
  <si>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</si>
  <si>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</si>
  <si>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</si>
  <si>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</si>
  <si>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</si>
  <si>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</si>
  <si>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</si>
  <si>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</si>
  <si>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</si>
  <si>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</si>
  <si>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</si>
  <si>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</si>
  <si>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18/4/8 13:00 ~ 18/4/11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</si>
  <si>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</si>
  <si>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</si>
  <si>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</si>
  <si>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</si>
  <si>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</si>
  <si>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</si>
  <si>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</si>
  <si>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</si>
  <si>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18/5/27 13:00 ~ 18/5/30 13:00</t>
  </si>
  <si>
    <t>18/6/15 13:00 ~ 18/6/18 13:00</t>
  </si>
  <si>
    <t>18/5/16 13:00 ~ 18/5/19 13:00</t>
  </si>
  <si>
    <t>18/3/7 13:00 ~ 18/3/10 13:00</t>
  </si>
  <si>
    <t>18/5/20 13:00 ~ 18/5/23 13:00</t>
  </si>
  <si>
    <t>18/4/29 13:00 ~ 18/5/2 13:00</t>
  </si>
  <si>
    <t>18/5/15 13:00 ~ 18/5/18 13:00</t>
  </si>
  <si>
    <t>18/5/21 13:00 ~ 18/5/24 13:00</t>
  </si>
  <si>
    <t>18/1/12 13:00 ~ 18/1/15 13:00</t>
  </si>
  <si>
    <t>18/10/18 13:00 ~ 18/10/21 13:00</t>
  </si>
  <si>
    <t>18/2/21 13:00 ~ 18/2/24 13:00</t>
  </si>
  <si>
    <t>새송이버섯 수율 45~50% (총알새송이는 수율 다름)</t>
  </si>
  <si>
    <t>18/6/12 13:00 ~ 18/6/15 13:00</t>
  </si>
  <si>
    <t>18/3/11 13:00 ~ 18/3/14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</si>
  <si>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</si>
  <si>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</si>
  <si>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</si>
  <si>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</si>
  <si>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</si>
  <si>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</si>
  <si>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</si>
  <si>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</si>
  <si>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</si>
  <si>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</si>
  <si>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</si>
  <si>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</si>
  <si>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</si>
  <si>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</si>
  <si>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</si>
  <si>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</si>
  <si>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</si>
  <si>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</si>
  <si>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</si>
  <si>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</si>
  <si>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</si>
  <si>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</si>
  <si>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</si>
  <si>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</si>
  <si>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</si>
  <si>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</si>
  <si>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</si>
  <si>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</si>
  <si>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</si>
  <si>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</si>
  <si>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</si>
  <si>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</si>
  <si>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</si>
  <si>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</si>
  <si>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양송이버섯(국산)23%, 느타리버섯(국내산) 12%, 새송이버섯(국산)10%,  두부, 된장, 대파, 마늘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</si>
  <si>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</si>
  <si>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</si>
  <si>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</si>
  <si>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</si>
  <si>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</si>
  <si>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</si>
  <si>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</si>
  <si>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</si>
  <si>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</si>
  <si>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</si>
  <si>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</si>
  <si>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</si>
  <si>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</si>
  <si>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</si>
  <si>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</si>
  <si>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</si>
  <si>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</si>
  <si>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</si>
  <si>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</si>
  <si>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</si>
  <si>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</si>
  <si>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</si>
  <si>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</si>
  <si>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</si>
  <si>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</si>
  <si>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</si>
  <si>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</si>
  <si>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</si>
  <si>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</si>
  <si>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</si>
  <si>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</si>
  <si>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</si>
  <si>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</si>
  <si>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</si>
  <si>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</si>
  <si>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</si>
  <si>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</si>
  <si>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</si>
  <si>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</si>
  <si>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</si>
  <si>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</si>
  <si>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</si>
  <si>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</si>
  <si>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</si>
  <si>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</si>
  <si>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</si>
  <si>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</si>
  <si>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</si>
  <si>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</si>
  <si>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</si>
  <si>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</si>
  <si>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근대(국산)32%, 감자(국산) 26%, 된장(국내산), 대파, 마늘, 정제수</t>
  </si>
  <si>
    <t>콩나물(원료수입)35%, 김치(국산)20%, 두부, 정제수, 대파, 마늘</t>
  </si>
  <si>
    <t>콩나물(원료수입)36%, 두부(원료수입) 23%,정제수, 대파, 소금, 마늘</t>
  </si>
  <si>
    <t>감자(수입)23%, 호박(국산)17%, 양파5%, 정제수, 대파, 마늘, 소금</t>
  </si>
  <si>
    <t>근대(국산)42%, 양파(국산)5%, 된장(국내산), 대파, 마늘, 정제수</t>
  </si>
  <si>
    <t>감자(국산)23%, 호박(국산)17%, 양파5%, 정제수, 대파, 마늘, 소금</t>
  </si>
  <si>
    <t>소고기(호주산)27%, 무(국산)14%, 양파7%, 대파, 마늘, 정제수</t>
  </si>
  <si>
    <t>아욱(수입)30%, 건새우(수입)14%, 된장(국산), 대파, 마늘, 정제수</t>
  </si>
  <si>
    <t>순두부(원료수입)38%,계란(국산/무항생제)13%  정제수, 대파, 마늘</t>
  </si>
  <si>
    <t>무(국산)23%, 오징어(국산) 16%,양파(국산)3%, 정제수,대파, 마늘</t>
  </si>
  <si>
    <t>배추(국산)32%, 표고버섯(국내산)12%, 대파, 마늘, 된장, 정제수</t>
  </si>
  <si>
    <t>닭(국산)35%, 무우(국산)12%, 양파7%, 정제수, 천일염, 마늘, 대파</t>
  </si>
  <si>
    <t>굴(국산)18.5%, 미역(국산)27.5%, 정제수, 마늘, 국간장, 대파</t>
  </si>
  <si>
    <t>소뼈(국내산)33%,우양지(수입) 6%, 무(국산)7%, 정제수, 대파, 마늘</t>
  </si>
  <si>
    <t>떡(국산)24%, 만두(국내산) 12%, 계란(국산)9%,정제수,대파, 마늘</t>
  </si>
  <si>
    <t>어묵(연육수입)25%, 양배추(국산)22%, 정제수, 대파, 마늘, 소금</t>
  </si>
  <si>
    <t>시래기(국산)22.4%, 북어채(수입)15%, 정제수, 마늘,대파, 소금</t>
  </si>
  <si>
    <t>173374 쉐프솔루션 진짜통등심돈까스(130g*20입 2.6Kg/EA)</t>
  </si>
  <si>
    <t>아욱(국산)30%, 건새우(수입)14%, 된장(국산), 대파, 마늘, 정제수</t>
  </si>
  <si>
    <t>반찬2</t>
  </si>
  <si>
    <t>반찬1</t>
  </si>
  <si>
    <t>흰쌀밥</t>
  </si>
  <si>
    <t>구분</t>
  </si>
  <si>
    <t>근대국</t>
  </si>
  <si>
    <t>품명</t>
  </si>
  <si>
    <t>밥</t>
  </si>
  <si>
    <t>국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</si>
  <si>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</si>
  <si>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</si>
  <si>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</si>
  <si>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</si>
  <si>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</si>
  <si>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</si>
  <si>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</si>
  <si>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감자(수입)27%,미역(국내산)15%,들깨가루(국내제조)8%, 정제수, 대파, 마늘</t>
  </si>
  <si>
    <t>감자(수입)32.2%, 계란(국내산) 8%,양파(국산) 5%, 정제수,대파, 마늘</t>
  </si>
  <si>
    <t>감자(국산)27%,미역(국내산)15%,들깨가루(국내제조)8%, 정제수, 대파, 마늘</t>
  </si>
  <si>
    <t>소고기(수입)17%, 양배추(국산)23%, 양파5%, 정제수, 대파, 마늘, 소금</t>
  </si>
  <si>
    <t>호박(국산)22%, 양파(국산)15%,느타리버섯, 두부,정제수, 된장, 대파, 마늘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</si>
  <si>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</si>
  <si>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</si>
  <si>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</si>
  <si>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</si>
  <si>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</si>
  <si>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</si>
  <si>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</si>
  <si>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</si>
  <si>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</si>
  <si>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</si>
  <si>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</si>
  <si>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</si>
  <si>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</si>
  <si>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</si>
  <si>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</si>
  <si>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쌀(국산)95%, 정제수</t>
  </si>
  <si>
    <t>총생산량
(g 또는 수량)</t>
  </si>
  <si>
    <t>개별중량
(g ,수량)</t>
  </si>
  <si>
    <t>김치콩나물국</t>
  </si>
  <si>
    <t>생산갯수</t>
  </si>
  <si>
    <t>감자호박된장국</t>
  </si>
  <si>
    <t>감자양파국</t>
  </si>
  <si>
    <t>북어미역국</t>
  </si>
  <si>
    <t>근대감자국</t>
  </si>
  <si>
    <t>떡만두국</t>
  </si>
  <si>
    <t>양송이된장국</t>
  </si>
  <si>
    <t>작성일:</t>
  </si>
  <si>
    <t>얼갈이소고기국</t>
  </si>
  <si>
    <t>배추표고된장국</t>
  </si>
  <si>
    <t>순두부계란국</t>
  </si>
  <si>
    <t>순두부국</t>
  </si>
  <si>
    <t>시금치어묵국</t>
  </si>
  <si>
    <t>시래기북어국</t>
  </si>
  <si>
    <t>콩나물두부국</t>
  </si>
  <si>
    <t>멸치주먹밥</t>
  </si>
  <si>
    <t>입력또는수정일</t>
  </si>
  <si>
    <t>오징어뭇국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</si>
  <si>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</si>
  <si>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</si>
  <si>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</si>
  <si>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</si>
  <si>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</si>
  <si>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</si>
  <si>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</si>
  <si>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</si>
  <si>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</si>
  <si>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렌즈콩밥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</si>
  <si>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</si>
  <si>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</si>
  <si>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</si>
  <si>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</si>
  <si>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</si>
  <si>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</si>
  <si>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</si>
  <si>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</si>
  <si>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</si>
  <si>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</si>
  <si>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</si>
  <si>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</si>
  <si>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</si>
  <si>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</si>
  <si>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</si>
  <si>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</si>
  <si>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</si>
  <si>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</si>
  <si>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</si>
  <si>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</si>
  <si>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</si>
  <si>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</si>
  <si>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</si>
  <si>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</si>
  <si>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</si>
  <si>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</si>
  <si>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</si>
  <si>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</si>
  <si>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</si>
  <si>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</si>
  <si>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</si>
  <si>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</si>
  <si>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</si>
  <si>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</si>
  <si>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</si>
  <si>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</si>
  <si>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느타리버섯(국산)32.2%, 두부(원료수입) 15%,새송이버섯, 팽이버섯, 정제수,대파, 마늘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</si>
  <si>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</si>
  <si>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</si>
  <si>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</si>
  <si>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</si>
  <si>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</si>
  <si>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</si>
  <si>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</si>
  <si>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</si>
  <si>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</si>
  <si>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</si>
  <si>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</si>
  <si>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감자들깨미역국</t>
  </si>
  <si>
    <t>버섯두부탕</t>
  </si>
  <si>
    <t>소고기무국</t>
  </si>
  <si>
    <t>감자계란국</t>
  </si>
  <si>
    <t>굴미역국</t>
  </si>
  <si>
    <t>건새우아욱국</t>
  </si>
  <si>
    <t>배추두부국</t>
  </si>
  <si>
    <t>맑은순두부국</t>
  </si>
  <si>
    <t>맑은닭곰탕</t>
  </si>
  <si>
    <t>미소된장국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</si>
  <si>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</si>
  <si>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</si>
  <si>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</si>
  <si>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</si>
  <si>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</si>
  <si>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</si>
  <si>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</si>
  <si>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</si>
  <si>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</si>
  <si>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</si>
  <si>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어묵양배추국</t>
  </si>
  <si>
    <t>시금치된장국</t>
  </si>
  <si>
    <t>소고기미역국</t>
  </si>
  <si>
    <t>애호박된장국</t>
  </si>
  <si>
    <t>돈육피망잡채</t>
  </si>
  <si>
    <t>레몬크림새우</t>
  </si>
  <si>
    <t>소고기버섯국</t>
  </si>
  <si>
    <t>오징어무국</t>
  </si>
  <si>
    <t>콩나물김치국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</si>
  <si>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</si>
  <si>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</si>
  <si>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</si>
  <si>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</si>
  <si>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</si>
  <si>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</si>
  <si>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</si>
  <si>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</si>
  <si>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</si>
  <si>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</si>
  <si>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</si>
  <si>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</si>
  <si>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</si>
  <si>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</si>
  <si>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</si>
  <si>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</si>
  <si>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</si>
  <si>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</si>
  <si>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</si>
  <si>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</si>
  <si>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</si>
  <si>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</si>
  <si>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</si>
  <si>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</si>
  <si>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</si>
  <si>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</si>
  <si>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</si>
  <si>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</si>
  <si>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</si>
  <si>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</si>
  <si>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</si>
  <si>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</si>
  <si>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</si>
  <si>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</si>
  <si>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</si>
  <si>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</si>
  <si>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</si>
  <si>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</si>
  <si>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</si>
  <si>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</si>
  <si>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</si>
  <si>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</si>
  <si>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</si>
  <si>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</si>
  <si>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</si>
  <si>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</si>
  <si>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</si>
  <si>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</si>
  <si>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</si>
  <si>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</si>
  <si>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</si>
  <si>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</si>
  <si>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</si>
  <si>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</si>
  <si>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</si>
  <si>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</si>
  <si>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</si>
  <si>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</si>
  <si>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</si>
  <si>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</si>
  <si>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</si>
  <si>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</si>
  <si>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수수쌀밥</t>
  </si>
  <si>
    <t>얼갈이된장나물</t>
  </si>
  <si>
    <t>호박당근채나물</t>
  </si>
  <si>
    <t>귀리쌀밥</t>
  </si>
  <si>
    <t>보리쌀밥</t>
  </si>
  <si>
    <t>흑미쌀밥</t>
  </si>
  <si>
    <t>유부시금치무침</t>
  </si>
  <si>
    <t>차조쌀밥</t>
  </si>
  <si>
    <t>콩나물무침</t>
  </si>
  <si>
    <t>기장쌀밥</t>
  </si>
  <si>
    <t>시금치된장나물</t>
  </si>
  <si>
    <t>오이초무침</t>
  </si>
  <si>
    <t>미역줄기볶음</t>
  </si>
  <si>
    <t>코울슬로</t>
  </si>
  <si>
    <t>미역오이무침</t>
  </si>
  <si>
    <t>현미쌀밥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</si>
  <si>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</si>
  <si>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</si>
  <si>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</si>
  <si>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</si>
  <si>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</si>
  <si>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</si>
  <si>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</si>
  <si>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</si>
  <si>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</si>
  <si>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</si>
  <si>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</si>
  <si>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</si>
  <si>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</si>
  <si>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</si>
  <si>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</si>
  <si>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</si>
  <si>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</si>
  <si>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</si>
  <si>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</si>
  <si>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</si>
  <si>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</si>
  <si>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</si>
  <si>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</si>
  <si>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</si>
  <si>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</si>
  <si>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</si>
  <si>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</si>
  <si>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</si>
  <si>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</si>
  <si>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</si>
  <si>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</si>
  <si>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</si>
  <si>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</si>
  <si>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</si>
  <si>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</si>
  <si>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</si>
  <si>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</si>
  <si>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</si>
  <si>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</si>
  <si>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</si>
  <si>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</si>
  <si>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</si>
  <si>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</si>
  <si>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</si>
  <si>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</si>
  <si>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</si>
  <si>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</si>
  <si>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</si>
  <si>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</si>
  <si>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</si>
  <si>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</si>
  <si>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</si>
  <si>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</si>
  <si>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</si>
  <si>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</si>
  <si>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</si>
  <si>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</si>
  <si>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</si>
  <si>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</si>
  <si>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</si>
  <si>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</si>
  <si>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</si>
  <si>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</si>
  <si>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</si>
  <si>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</si>
  <si>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</si>
  <si>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</si>
  <si>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</si>
  <si>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</si>
  <si>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</si>
  <si>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</si>
  <si>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</si>
  <si>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</si>
  <si>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</si>
  <si>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</si>
  <si>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</si>
  <si>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</si>
  <si>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</si>
  <si>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</si>
  <si>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</si>
  <si>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</si>
  <si>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</si>
  <si>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</si>
  <si>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</si>
  <si>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</si>
  <si>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</si>
  <si>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</si>
  <si>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</si>
  <si>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18/6/3 13:00 ~ 18/6/6 13:00</t>
  </si>
  <si>
    <t>18/7/1 13:00 ~ 18/7/4 13:00</t>
  </si>
  <si>
    <t>18/6/4 13:00 ~ 18/6/7 13:00</t>
  </si>
  <si>
    <t>18/6/6 13:00 ~ 18/6/9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</si>
  <si>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</si>
  <si>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</si>
  <si>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</si>
  <si>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</si>
  <si>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</si>
  <si>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</si>
  <si>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</si>
  <si>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순두부(원료수입)38%,  정제수, 대파, 마늘</t>
  </si>
  <si>
    <t>18/2/4 13:00 ~ 18/2/7 13:00</t>
  </si>
  <si>
    <t>순두부(원료수입)46%,  정제수, 대파, 마늘</t>
  </si>
  <si>
    <t>시금치(수입)42% ,정제수, 마늘, 된장, 대파</t>
  </si>
  <si>
    <t>우거지(국산)47%,된장, 정제수, 대파, 마늘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</si>
  <si>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</si>
  <si>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</si>
  <si>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</si>
  <si>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</si>
  <si>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</si>
  <si>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</si>
  <si>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</si>
  <si>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</si>
  <si>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</si>
  <si>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</si>
  <si>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</si>
  <si>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</si>
  <si>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</si>
  <si>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</si>
  <si>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</si>
  <si>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</si>
  <si>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</si>
  <si>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</si>
  <si>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</si>
  <si>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새우토핑샐러드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</si>
  <si>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</si>
  <si>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</si>
  <si>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</si>
  <si>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</si>
  <si>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</si>
  <si>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</si>
  <si>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</si>
  <si>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</si>
  <si>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</si>
  <si>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</si>
  <si>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</si>
  <si>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</si>
  <si>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</si>
  <si>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</si>
  <si>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</si>
  <si>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</si>
  <si>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</si>
  <si>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</si>
  <si>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</si>
  <si>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</si>
  <si>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</si>
  <si>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</si>
  <si>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</si>
  <si>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</si>
  <si>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</si>
  <si>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푸실리감자샐러드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</si>
  <si>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</si>
  <si>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</si>
  <si>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</si>
  <si>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</si>
  <si>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</si>
  <si>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소고기(호주산)27%, 무(국산)14%, 양파7%, 대파, 마늘, 정제수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</si>
  <si>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</si>
  <si>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</si>
  <si>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</si>
  <si>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</si>
  <si>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</si>
  <si>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</si>
  <si>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</si>
  <si>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</si>
  <si>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</si>
  <si>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</si>
  <si>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</si>
  <si>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</si>
  <si>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</si>
  <si>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</si>
  <si>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</si>
  <si>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</si>
  <si>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</si>
  <si>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</si>
  <si>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</si>
  <si>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</si>
  <si>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</si>
  <si>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</si>
  <si>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</si>
  <si>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</si>
  <si>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</si>
  <si>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</si>
  <si>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</si>
  <si>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</si>
  <si>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</si>
  <si>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</si>
  <si>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</si>
  <si>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</si>
  <si>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</si>
  <si>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</si>
  <si>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</si>
  <si>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</si>
  <si>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</si>
  <si>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</si>
  <si>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</si>
  <si>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</si>
  <si>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데리야끼소스(오뚜기)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</si>
  <si>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</si>
  <si>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</si>
  <si>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</si>
  <si>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</si>
  <si>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</si>
  <si>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</si>
  <si>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</si>
  <si>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돈채짜장볶음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</si>
  <si>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</si>
  <si>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</si>
  <si>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</si>
  <si>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</si>
  <si>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</si>
  <si>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쉐프솔루션</t>
    <phoneticPr fontId="12" type="noConversion"/>
  </si>
  <si>
    <t>양조간장(탈지대두:인도산,미국산,중국산), 소맥(미국산), 설탕, 식초, 대두유[대두:미국,브라질,파라과이등), 미향</t>
    <phoneticPr fontId="12" type="noConversion"/>
  </si>
  <si>
    <t>가스오우동소스(면사랑), 유부(이츠웰 슬라이스유부)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</si>
  <si>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</si>
  <si>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</si>
  <si>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</si>
  <si>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</si>
  <si>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</si>
  <si>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</si>
  <si>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</si>
  <si>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스테이크소스(오뚜기), 바베큐소스(이츠웰)</t>
    <phoneticPr fontId="12" type="noConversion"/>
  </si>
  <si>
    <t>칵테일새우-PRIDE 자숙새우살, 레몬주스엑기스(레이지)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</si>
  <si>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</si>
  <si>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</si>
  <si>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</si>
  <si>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</si>
  <si>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</si>
  <si>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</si>
  <si>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모둠햄찌개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</si>
  <si>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</si>
  <si>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</si>
  <si>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</si>
  <si>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</si>
  <si>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</si>
  <si>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</si>
  <si>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</si>
  <si>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</si>
  <si>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</si>
  <si>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볼어묵[연육(:중국산, 베트남산)53.29%, 설탕, 밀가루(밀:미국산, 호주산), 정제소금(국산)]90%, 양파, 마늘, 파, 굴소스, 간장, 참기름, 참깨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</si>
  <si>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</si>
  <si>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</si>
  <si>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</si>
  <si>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</si>
  <si>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</si>
  <si>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</si>
  <si>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</si>
  <si>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</si>
  <si>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</si>
  <si>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</si>
  <si>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</si>
  <si>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</si>
  <si>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</si>
  <si>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</si>
  <si>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종합어묵(사조대림)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</si>
  <si>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</si>
  <si>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</si>
  <si>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</si>
  <si>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</si>
  <si>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</si>
  <si>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</si>
  <si>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</si>
  <si>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</si>
  <si>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</si>
  <si>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통살오징어볼(가토코)</t>
    <phoneticPr fontId="12" type="noConversion"/>
  </si>
  <si>
    <t>타르타르소스(시판용)85%, 마요네즈10%, 파인애플(청크)5%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</si>
  <si>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</si>
  <si>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</si>
  <si>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</si>
  <si>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</si>
  <si>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</si>
  <si>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</si>
  <si>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</si>
  <si>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</si>
  <si>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</si>
  <si>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</si>
  <si>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</si>
  <si>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</si>
  <si>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</si>
  <si>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</si>
  <si>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</si>
  <si>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</si>
  <si>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</si>
  <si>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</si>
  <si>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</si>
  <si>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</si>
  <si>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</si>
  <si>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</si>
  <si>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</si>
  <si>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</si>
  <si>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돈육고추장찌개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</si>
  <si>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</si>
  <si>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</si>
  <si>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</si>
  <si>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</si>
  <si>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</si>
  <si>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고구마순나물</t>
    <phoneticPr fontId="12" type="noConversion"/>
  </si>
  <si>
    <t>데친고구마순(중국산)85%, 파, 마늘, 대두유, 국간장, 소금, 참기름, 참깨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</si>
  <si>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</si>
  <si>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</si>
  <si>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</si>
  <si>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</si>
  <si>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</si>
  <si>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</si>
  <si>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</si>
  <si>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</si>
  <si>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</si>
  <si>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시리얼샐러드</t>
    <phoneticPr fontId="12" type="noConversion"/>
  </si>
  <si>
    <t>무조림</t>
    <phoneticPr fontId="12" type="noConversion"/>
  </si>
  <si>
    <t>반찬3</t>
  </si>
  <si>
    <t>데미그라스소스(오뚜기), 갈릭소스(평강푸드)</t>
    <phoneticPr fontId="12" type="noConversion"/>
  </si>
  <si>
    <t>맑은콩나물국</t>
    <phoneticPr fontId="12" type="noConversion"/>
  </si>
  <si>
    <t>오이깨소스무침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</si>
  <si>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</si>
  <si>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</si>
  <si>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</si>
  <si>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</si>
  <si>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스위트콘(리치스)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</si>
  <si>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</si>
  <si>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</si>
  <si>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</si>
  <si>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</si>
  <si>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</si>
  <si>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</si>
  <si>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</si>
  <si>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</si>
  <si>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</si>
  <si>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</si>
  <si>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</si>
  <si>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돼지고기(미국산)83%, 피망(국산)2%, 파프리카(국산)3%, 양파(국산)2%, 당근, 스테이크소스, 바베큐소스, 후추, 참기름</t>
    <phoneticPr fontId="12" type="noConversion"/>
  </si>
  <si>
    <t>오이양배추무침</t>
    <phoneticPr fontId="12" type="noConversion"/>
  </si>
  <si>
    <t>꼬마새송이볶음</t>
    <phoneticPr fontId="12" type="noConversion"/>
  </si>
  <si>
    <t>포도짜요</t>
    <phoneticPr fontId="12" type="noConversion"/>
  </si>
  <si>
    <t>원유(국산)72.8%, 탈지분유(국산)2.4%, 포도젤리시럽(포도:미국산)15%, 백설탕</t>
    <phoneticPr fontId="12" type="noConversion"/>
  </si>
  <si>
    <t>원유(국산)72.8%, 탈지분유(국산)2.4%, 딸기젤리시럽(딸기:국산)15%, 백설탕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</si>
  <si>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</si>
  <si>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</si>
  <si>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</si>
  <si>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</si>
  <si>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</si>
  <si>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</si>
  <si>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꼬마새송이(국산)75%, 청피망(국산)5%, 당근, 파, 마늘, 맛술, 대두유, 간장, 소금, 참기름, 참깨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</si>
  <si>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</si>
  <si>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</si>
  <si>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</si>
  <si>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</si>
  <si>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춘장, 간장, 물엿, 참기름, 후추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</si>
  <si>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</si>
  <si>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</si>
  <si>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돼지고기(국산)57.5%, 양파(국산)10%, 부추(국산)5%, 당근(국산)2.5%, 소스(마늘, 간장, 설탕, 후추, 대두유, 참기름, 참깨)25%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</si>
  <si>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</si>
  <si>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</si>
  <si>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</si>
  <si>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</si>
  <si>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</si>
  <si>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</si>
  <si>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</si>
  <si>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</si>
  <si>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</si>
  <si>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</si>
  <si>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 xml:space="preserve"> 소고기(호주산)60%, 표고버섯(중국산)18%, 양파, 당근, 대파, 마늘, 간장, 대두유, 소금, 후추, 참기름</t>
  </si>
  <si>
    <t>조랭이떡(쌀:수입산85.2%, 소고기(호주산)5%, 양파, 당근, 표고버섯, 피망, 간장, 설탕, 참기름, 참깨</t>
  </si>
  <si>
    <t>밀떡(밀:수입산)60%, 소고기(호주산)20%, 양파, 팽이버섯, 당근, , 대두유, 간장, 설탕, 참기름, 참깨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</si>
  <si>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</si>
  <si>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</si>
  <si>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</si>
  <si>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감자(국산)12%, 돈육(국산)8%, 두부(원료수입산)7%, 양파, 파, 마늘, 고추장, 고추가루, 국간장,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</si>
  <si>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</si>
  <si>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</si>
  <si>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</si>
  <si>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</si>
  <si>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</si>
  <si>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</si>
  <si>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데미그라스소스(시판용). 갈릭소스[다진마늘(마늘:중국산), 소맥(밀:미국산), 올리브오일(이탈리아), 참깨(중국산), 소금(국산)], 양파(국산)3%, 생크림, 우유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</si>
  <si>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</si>
  <si>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</si>
  <si>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</si>
  <si>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</si>
  <si>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메추리알(국산)40%, 떡(쌀:수입산), 청피망(국산)5%, 케찹, 간장, 맛술, 물엿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</si>
  <si>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</si>
  <si>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</si>
  <si>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</si>
  <si>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</si>
  <si>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</si>
  <si>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</si>
  <si>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</si>
  <si>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</si>
  <si>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</si>
  <si>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</si>
  <si>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</si>
  <si>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</si>
  <si>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</si>
  <si>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</si>
  <si>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샐러드채소[양상추, 치커리:국산)70%, 칵테일새우(베트남산)7%, 올리브오일, 소금, 레몬주스엑기스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</si>
  <si>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</si>
  <si>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</si>
  <si>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</si>
  <si>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모둠채소(양상추, 치커리, 적채:국산)65%, 오곡시리얼(옥수수,통밀.귀리.보리.쌀)35%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</si>
  <si>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</si>
  <si>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</si>
  <si>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</si>
  <si>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</si>
  <si>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</si>
  <si>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</si>
  <si>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</si>
  <si>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</si>
  <si>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</si>
  <si>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</si>
  <si>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</si>
  <si>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</si>
  <si>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</si>
  <si>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</si>
  <si>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 xml:space="preserve">정제수,식물성유지(외국산:아르헨티나, 미국. 중국등), 조제겨자(미국산:식초, 머스타드, 소금, 강황, 파프리카)9%, 머스터드페이스트(미국산)3%, 난황액, 연겨자(캐나다산)1%, 아카시아벌꿀(국산)1% </t>
    <phoneticPr fontId="12" type="noConversion"/>
  </si>
  <si>
    <t>오징어링튀김(그린푸드)</t>
    <phoneticPr fontId="12" type="noConversion"/>
  </si>
  <si>
    <t>멘치까스(하림), 데리야끼소스(오뚜기)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</si>
  <si>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</si>
  <si>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</si>
  <si>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</si>
  <si>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</si>
  <si>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</si>
  <si>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</si>
  <si>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</si>
  <si>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돈육메추리알장조림</t>
    <phoneticPr fontId="12" type="noConversion"/>
  </si>
  <si>
    <t>어묵채구이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</si>
  <si>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</si>
  <si>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</si>
  <si>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</si>
  <si>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</si>
  <si>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</si>
  <si>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</si>
  <si>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</si>
  <si>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</si>
  <si>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</si>
  <si>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</si>
  <si>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</si>
  <si>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</si>
  <si>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</si>
  <si>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</si>
  <si>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</si>
  <si>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</si>
  <si>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</si>
  <si>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</si>
  <si>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</si>
  <si>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</si>
  <si>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</si>
  <si>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스마일감자</t>
    <phoneticPr fontId="12" type="noConversion"/>
  </si>
  <si>
    <t>스마일감자(포뮤니 냉동감자)</t>
    <phoneticPr fontId="12" type="noConversion"/>
  </si>
  <si>
    <t>서류가공품[감자:90.5%, 해바라기씨유, 감자플레이크, 쌀가루, 정제소금]벨기에산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</si>
  <si>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</si>
  <si>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</si>
  <si>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</si>
  <si>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볼어묵[연육(:중국산, 베트남산)53.29%, 설탕, 밀가루(밀:미국산, 호주산), 정제소금(국산)]18%, 무(국산)7%, 양파, 대파, 마늘, 정제수, 국간장, 소금</t>
    <phoneticPr fontId="12" type="noConversion"/>
  </si>
  <si>
    <t>우삼겹된장찌개</t>
    <phoneticPr fontId="12" type="noConversion"/>
  </si>
  <si>
    <t>닭봉(국산)36%, 무(국산)7%, 약재(황기, 대추, 당귀, 허개나무, 엄나무, 오가피 : 국산)3%, 정제수, 파, 마늘, 후추가루, 소금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</si>
  <si>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</si>
  <si>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</si>
  <si>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</si>
  <si>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</si>
  <si>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</si>
  <si>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</si>
  <si>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</si>
  <si>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</si>
  <si>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바지락냉이된장국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</si>
  <si>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</si>
  <si>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</si>
  <si>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</si>
  <si>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</si>
  <si>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</si>
  <si>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</si>
  <si>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</si>
  <si>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</si>
  <si>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</si>
  <si>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</si>
  <si>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</si>
  <si>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</si>
  <si>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</si>
  <si>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</si>
  <si>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</si>
  <si>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</si>
  <si>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</si>
  <si>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닭(국산)60%, 감자(국산)13%, 양파, 당근, 파, 마늘, 정제수, 간장, 굴소스, 후추, 소금, 참깨</t>
    <phoneticPr fontId="12" type="noConversion"/>
  </si>
  <si>
    <t>.5.10.18.21.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</si>
  <si>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</si>
  <si>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</si>
  <si>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</si>
  <si>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</si>
  <si>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</si>
  <si>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</si>
  <si>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스테이크소스(오뚜기), 데미그라스소스(오뚜기)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</si>
  <si>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</si>
  <si>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</si>
  <si>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</si>
  <si>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.5.6.15.18.21.</t>
    <phoneticPr fontId="12" type="noConversion"/>
  </si>
  <si>
    <t>.1.5.6.18.21.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</si>
  <si>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</si>
  <si>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</si>
  <si>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</si>
  <si>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</si>
  <si>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.5.6.10.18.19.21.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</si>
  <si>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</si>
  <si>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</si>
  <si>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</si>
  <si>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</si>
  <si>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</si>
  <si>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</si>
  <si>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</si>
  <si>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</si>
  <si>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</si>
  <si>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</si>
  <si>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</si>
  <si>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</si>
  <si>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</si>
  <si>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</si>
  <si>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</si>
  <si>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</si>
  <si>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</si>
  <si>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.5.10.12.13.18.21.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</si>
  <si>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</si>
  <si>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</si>
  <si>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</si>
  <si>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.1.2.5.21.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</si>
  <si>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</si>
  <si>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</si>
  <si>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</si>
  <si>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</si>
  <si>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</si>
  <si>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</si>
  <si>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</si>
  <si>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</si>
  <si>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</si>
  <si>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</si>
  <si>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시금치(국산)90%, 유부(원료수입산)3%, 홍파프리카, 마늘, 파, 소금, 국간장, 참기름, 참깨</t>
    <phoneticPr fontId="12" type="noConversion"/>
  </si>
  <si>
    <t>.5.9.18.21.</t>
    <phoneticPr fontId="12" type="noConversion"/>
  </si>
  <si>
    <t>.1.2.5.6.8.15.16.</t>
    <phoneticPr fontId="12" type="noConversion"/>
  </si>
  <si>
    <t>.1.5.6.9.11.12.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</si>
  <si>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</si>
  <si>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</si>
  <si>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</si>
  <si>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</si>
  <si>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</si>
  <si>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.5.6.10.15.16.18.21.</t>
    <phoneticPr fontId="12" type="noConversion"/>
  </si>
  <si>
    <t>.5.6.18.21.</t>
    <phoneticPr fontId="12" type="noConversion"/>
  </si>
  <si>
    <t>.2.5.6.12.16.18.21.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</si>
  <si>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</si>
  <si>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</si>
  <si>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</si>
  <si>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</si>
  <si>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</si>
  <si>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</si>
  <si>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</si>
  <si>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</si>
  <si>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.1.5.16.18.21.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</si>
  <si>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</si>
  <si>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</si>
  <si>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</si>
  <si>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</si>
  <si>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</si>
  <si>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.2.5.6.12.18.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</si>
  <si>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</si>
  <si>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</si>
  <si>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</si>
  <si>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</si>
  <si>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</si>
  <si>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</si>
  <si>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</si>
  <si>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</si>
  <si>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</si>
  <si>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</si>
  <si>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</si>
  <si>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</si>
  <si>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</si>
  <si>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</si>
  <si>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</si>
  <si>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</si>
  <si>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</si>
  <si>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</si>
  <si>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</si>
  <si>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</si>
  <si>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</si>
  <si>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</si>
  <si>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</si>
  <si>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</si>
  <si>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</si>
  <si>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젤리스틱감귤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</si>
  <si>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</si>
  <si>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</si>
  <si>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</si>
  <si>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</si>
  <si>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</si>
  <si>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</si>
  <si>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</si>
  <si>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</si>
  <si>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</si>
  <si>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</si>
  <si>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</si>
  <si>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</si>
  <si>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</si>
  <si>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</si>
  <si>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</si>
  <si>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</si>
  <si>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</si>
  <si>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</si>
  <si>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</si>
  <si>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</si>
  <si>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</si>
  <si>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</si>
  <si>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</si>
  <si>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</si>
  <si>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</si>
  <si>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</si>
  <si>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.1.2.5.6.10.12.15.16.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</si>
  <si>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</si>
  <si>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</si>
  <si>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</si>
  <si>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</si>
  <si>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.5.9.15.17.18.</t>
    <phoneticPr fontId="12" type="noConversion"/>
  </si>
  <si>
    <t>조랭이떡(쌀:수입산)25%, 소고기(호주산)3.5%, 계란지단(국산)1%,  양파, 대파, 마늘, 국간장, 정제수, 소금</t>
    <phoneticPr fontId="12" type="noConversion"/>
  </si>
  <si>
    <t>보코치니샐러드</t>
    <phoneticPr fontId="12" type="noConversion"/>
  </si>
  <si>
    <t>청피망(국내산), 양파, 당근, 마늘, 레몬즙, 생크림, 마요네즈</t>
    <phoneticPr fontId="12" type="noConversion"/>
  </si>
  <si>
    <t>.5.6.9.</t>
    <phoneticPr fontId="12" type="noConversion"/>
  </si>
  <si>
    <t>굴림만두국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</si>
  <si>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</si>
  <si>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</si>
  <si>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</si>
  <si>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</si>
  <si>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</si>
  <si>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</si>
  <si>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</si>
  <si>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</si>
  <si>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</si>
  <si>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</si>
  <si>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</si>
  <si>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</si>
  <si>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닭정육(닭가슴살, 닭다리살 : 국산)85%, 양파, 당근, 대파, 마늘, 카레가루, 소금, 후추, 참깨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</si>
  <si>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</si>
  <si>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</si>
  <si>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</si>
  <si>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>콩나물(원료수입산)90%, 미나리(국산)2%, 마늘, 대파, 참치액, 소금, 참기름, 참깨</t>
    <phoneticPr fontId="12" type="noConversion"/>
  </si>
  <si>
    <t xml:space="preserve">진미채(페루산)85%, 버터, 마요네즈, 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</si>
  <si>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</si>
  <si>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.1.8.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</si>
  <si>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</si>
  <si>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</si>
  <si>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</si>
  <si>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</si>
  <si>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</si>
  <si>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</si>
  <si>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</si>
  <si>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</si>
  <si>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</si>
  <si>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</si>
  <si>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</si>
  <si>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</si>
  <si>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</si>
  <si>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</si>
  <si>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</si>
  <si>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</si>
  <si>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</si>
  <si>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</si>
  <si>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</si>
  <si>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</si>
  <si>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</si>
  <si>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</si>
  <si>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</si>
  <si>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</si>
  <si>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</si>
  <si>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</si>
  <si>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</si>
  <si>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</si>
  <si>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</si>
  <si>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</si>
  <si>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</si>
  <si>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</si>
  <si>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구운어묵(대림)</t>
    <phoneticPr fontId="12" type="noConversion"/>
  </si>
  <si>
    <t>.2.5.6.10.12.16.21.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</si>
  <si>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</si>
  <si>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</si>
  <si>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</si>
  <si>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</si>
  <si>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</si>
  <si>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</si>
  <si>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</si>
  <si>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</si>
  <si>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</si>
  <si>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</si>
  <si>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</si>
  <si>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 xml:space="preserve">허니머스터드(오뚜기) </t>
    <phoneticPr fontId="12" type="noConversion"/>
  </si>
  <si>
    <t>1.5.6.18.</t>
  </si>
  <si>
    <t>&amp; 머스터드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</si>
  <si>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</si>
  <si>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</si>
  <si>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</si>
  <si>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건홍합미역국</t>
    <phoneticPr fontId="12" type="noConversion"/>
  </si>
  <si>
    <t>5.9.21.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</si>
  <si>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</si>
  <si>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</si>
  <si>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</si>
  <si>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</si>
  <si>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</si>
  <si>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</si>
  <si>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</si>
  <si>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</si>
  <si>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&amp; 돈까스소스</t>
    <phoneticPr fontId="12" type="noConversion"/>
  </si>
  <si>
    <t>맥엔로제</t>
    <phoneticPr fontId="12" type="noConversion"/>
  </si>
  <si>
    <t>.1.5.8.18.21.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</si>
  <si>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</si>
  <si>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</si>
  <si>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</si>
  <si>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</si>
  <si>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</si>
  <si>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</si>
  <si>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</si>
  <si>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</si>
  <si>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[감귤즙(감귤:국산)50%, 유기농설탕14%, 해양심층수, 한천(국산), 올리고당, 비타민C]</t>
    <phoneticPr fontId="12" type="noConversion"/>
  </si>
  <si>
    <t>두부된장국</t>
    <phoneticPr fontId="12" type="noConversion"/>
  </si>
  <si>
    <t>수제치킨무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</si>
  <si>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</si>
  <si>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</si>
  <si>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</si>
  <si>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</si>
  <si>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팝콘피쉬볼[명태살(러시아산)63.06%, 옥수수전분, 밀가루, 베이킹파우더, 정제수, 정제소금]97%, 대두유(원료수입산)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</si>
  <si>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</si>
  <si>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</si>
  <si>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</si>
  <si>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숙주(원료수입산)12%, 해산물(대왕오징어:페루산, 홍합.바지락.새우살:중국산)7%, 양파, 청경채,  파, 마늘, 정제수, 치킨스톡, 소금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</si>
  <si>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</si>
  <si>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</si>
  <si>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</si>
  <si>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</si>
  <si>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</si>
  <si>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양배추오렌지샐러드</t>
    <phoneticPr fontId="12" type="noConversion"/>
  </si>
  <si>
    <t>소고기(호주산)70%, 양파(국산)7%, 아스파라거스(중국산), 파프리카, 피망, 마늘, 스테이크소스, 데미그라스소스, 생크림, 우유, 간장, 설탕, 소금, 후추, 참깨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</si>
  <si>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</si>
  <si>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</si>
  <si>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</si>
  <si>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</si>
  <si>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</si>
  <si>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</si>
  <si>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한입새우튀김 : 30g / 35g / 45g (소스15g)</t>
    <phoneticPr fontId="12" type="noConversion"/>
  </si>
  <si>
    <t>베이비슈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</si>
  <si>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</si>
  <si>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</si>
  <si>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용가리치킨(하림)</t>
    <phoneticPr fontId="12" type="noConversion"/>
  </si>
  <si>
    <t>정제수, 크리미비트(네덜란드산), 계란(국산), 우유(국산), 마가린, 박력분</t>
    <phoneticPr fontId="12" type="noConversion"/>
  </si>
  <si>
    <t>.1.2.5.6.</t>
    <phoneticPr fontId="12" type="noConversion"/>
  </si>
  <si>
    <t>베이비슈(마더구스)/빵류</t>
    <phoneticPr fontId="12" type="noConversion"/>
  </si>
  <si>
    <t>*족발:45g / 55g</t>
    <phoneticPr fontId="12" type="noConversion"/>
  </si>
  <si>
    <t>*훈제오리 : 40g / 50g</t>
    <phoneticPr fontId="12" type="noConversion"/>
  </si>
  <si>
    <t>.2.5.6.12.</t>
    <phoneticPr fontId="12" type="noConversion"/>
  </si>
  <si>
    <t>오리엔탈드레싱(쉐프솔루션)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</si>
  <si>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</si>
  <si>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</si>
  <si>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</si>
  <si>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</si>
  <si>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</si>
  <si>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</si>
  <si>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</si>
  <si>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</si>
  <si>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순두부(원료수입산)42.9%, 바지락살(중국산)3%, 양파, 파, 마늘, 정제수, 국간장, 참치액, 소금</t>
    <phoneticPr fontId="12" type="noConversion"/>
  </si>
  <si>
    <t>백순두부찌개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</si>
  <si>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</si>
  <si>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</si>
  <si>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</si>
  <si>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</si>
  <si>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</si>
  <si>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</si>
  <si>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</si>
  <si>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</si>
  <si>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닭살카레조림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</si>
  <si>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</si>
  <si>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</si>
  <si>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</si>
  <si>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</si>
  <si>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불린미역(국산)18%, 건홍합(국내산)5%, 정제수, 밥새우, 멸치육수농축액, 국간장, 참기름, 마늘, 소금</t>
  </si>
  <si>
    <t>불린미역(국산)23%, 정제수, 참기름, 국간장, 밥새우, 멸치육수농축액, 마늘, 소금</t>
  </si>
  <si>
    <t>미역(국산)18.6%, 조랭이떡(쌀:수입산)12%, 정제수, 밥새우, 멸치육수농축액, 국간장, 참기름,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</si>
  <si>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</si>
  <si>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</si>
  <si>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</si>
  <si>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</si>
  <si>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냉이(국산)7.8%, 모둠채소[느타리버섯(국산)), 무(국산), 양파(국산) ]13%, 바지락(중국산)3.5%, 파, 마늘, 된장, 정제수, 멸치육수농축액,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</si>
  <si>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</si>
  <si>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</si>
  <si>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</si>
  <si>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</si>
  <si>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</si>
  <si>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</si>
  <si>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숙주(원료수입산)20%, 소고기(호주산)8%, 정제수, 대파, 마늘, 멸치육수농축액, 국간장, 소금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</si>
  <si>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</si>
  <si>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</si>
  <si>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</si>
  <si>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</si>
  <si>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</si>
  <si>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</si>
  <si>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모둠채소(호박, 양파, 새송이:국산)20%, 두부(콩:미국,호주,캐나다등)8%, 우삼겹(미국산)3%, 파, 마늘, 된장, 멸치육수농축액, 정제수, 소금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</si>
  <si>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</si>
  <si>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</si>
  <si>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</si>
  <si>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멸치육수농축액(면사랑), 판두부(이츠웰)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</si>
  <si>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</si>
  <si>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</si>
  <si>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</si>
  <si>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</si>
  <si>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</si>
  <si>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.2.12.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</si>
  <si>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</si>
  <si>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</si>
  <si>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</si>
  <si>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</si>
  <si>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</si>
  <si>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</si>
  <si>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</si>
  <si>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치커리(국산)68%, 사과(국산)7%, 양념(간장, 레몬즙, 소금, 식초, 설탕, 마늘, 참기름, 참깨)25%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</si>
  <si>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</si>
  <si>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</si>
  <si>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</si>
  <si>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</si>
  <si>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</si>
  <si>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</si>
  <si>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</si>
  <si>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</si>
  <si>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</si>
  <si>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</si>
  <si>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치킨너겟[닭고기(닭:국산100%)74.65%, 브레더[밀가루(밀:호주산, 미극산),전분(옥수수:외국산)], 대두단백, 정제소금, 백설탕 등</t>
    <phoneticPr fontId="12" type="noConversion"/>
  </si>
  <si>
    <t>치킨너겟(하림)</t>
    <phoneticPr fontId="12" type="noConversion"/>
  </si>
  <si>
    <t>.5.6.17.</t>
    <phoneticPr fontId="12" type="noConversion"/>
  </si>
  <si>
    <r>
      <t>방울토마토(국산)30%, 보코치니치즈(모짜렐라치즈:미국산)25%, 파인애플청크(수입산), 망고(페루산, 베트남산),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</si>
  <si>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콥샐러드</t>
    <phoneticPr fontId="12" type="noConversion"/>
  </si>
  <si>
    <t>블랙올리브(쉐프스푸드)</t>
    <phoneticPr fontId="12" type="noConversion"/>
  </si>
  <si>
    <t>.1.2.5.10.12.19.</t>
    <phoneticPr fontId="12" type="noConversion"/>
  </si>
  <si>
    <t>누들케찹떡볶이</t>
    <phoneticPr fontId="12" type="noConversion"/>
  </si>
  <si>
    <t>.1.5.6.10.21.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</si>
  <si>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</si>
  <si>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</si>
  <si>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</si>
  <si>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</si>
  <si>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</si>
  <si>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</si>
  <si>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누들떡(밀:원료수입산)75%, 양배추, 정제수, 토마토소스(시판용), 케찹, 설탕, 물엿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</si>
  <si>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</si>
  <si>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</si>
  <si>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</si>
  <si>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</si>
  <si>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</si>
  <si>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</si>
  <si>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</si>
  <si>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</si>
  <si>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</si>
  <si>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</si>
  <si>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</si>
  <si>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친환경현미쌀밥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</si>
  <si>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</si>
  <si>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</si>
  <si>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</si>
  <si>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중구돌봄
석식</t>
    <phoneticPr fontId="12" type="noConversion"/>
  </si>
  <si>
    <t>오이부추무침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</si>
  <si>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</si>
  <si>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</si>
  <si>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</si>
  <si>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</si>
  <si>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아그네시 파르팔레, 오리엔탈드레싱(쉐프솔루션)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</si>
  <si>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</si>
  <si>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</si>
  <si>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</si>
  <si>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</si>
  <si>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</si>
  <si>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콩나물(원료수입산)80%, 크래미[명태연육80.26%(미국산), 감자전분(폴란드산, 국내산), 난백액(국내산), 게엑기스1.36%(국내산)]10%, 당근, 쪽파, 마늘, 허니머스터드, 식초, 설탕, 참기름, 참깨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</si>
  <si>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</si>
  <si>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</si>
  <si>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</si>
  <si>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</si>
  <si>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</si>
  <si>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</si>
  <si>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</si>
  <si>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</si>
  <si>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</si>
  <si>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</si>
  <si>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</si>
  <si>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</si>
  <si>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</si>
  <si>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</si>
  <si>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</si>
  <si>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</si>
  <si>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</si>
  <si>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</si>
  <si>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</si>
  <si>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</si>
  <si>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</si>
  <si>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</si>
  <si>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</si>
  <si>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</si>
  <si>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</si>
  <si>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</si>
  <si>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</si>
  <si>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</si>
  <si>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</si>
  <si>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</si>
  <si>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</si>
  <si>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</si>
  <si>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</si>
  <si>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</si>
  <si>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</si>
  <si>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</si>
  <si>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돼지고기(지방일부사용:국산)47.47%, 소고기(국산)13.39%, 양파, 난백액,설탕,마늘,정제소금, 후추가루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</si>
  <si>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</si>
  <si>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</si>
  <si>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</si>
  <si>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</si>
  <si>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</si>
  <si>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</si>
  <si>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</si>
  <si>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</si>
  <si>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</si>
  <si>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</si>
  <si>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</si>
  <si>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</si>
  <si>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</si>
  <si>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</si>
  <si>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</si>
  <si>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</si>
  <si>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</si>
  <si>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</si>
  <si>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</si>
  <si>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</si>
  <si>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소고기(호주산)62%, 숙주(원료수입산)28%, 양파, 파, 마늘, 간장, 대두유, 후추, 참기름</t>
    <phoneticPr fontId="12" type="noConversion"/>
  </si>
  <si>
    <t>.5.6.15. 21.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</si>
  <si>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</si>
  <si>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</si>
  <si>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</si>
  <si>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</si>
  <si>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</si>
  <si>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</si>
  <si>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</si>
  <si>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</si>
  <si>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</si>
  <si>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크로와상샌드위치</t>
    <phoneticPr fontId="12" type="noConversion"/>
  </si>
  <si>
    <t>.1.2.5.6.10.12.16.</t>
    <phoneticPr fontId="12" type="noConversion"/>
  </si>
  <si>
    <t>어묵{(연육:동방실꼬리돔)47%,, 정제수, 당근6%, 대두, 감자전분, 옥수수, 양파, 정제소금, 설탕, 계란] 원산지:중국산}90%, 양파, 파, 마늘, 굴소스, 간장, 참기름, 참깨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</si>
  <si>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</si>
  <si>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</si>
  <si>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양파(국산)15%, 돈민찌(국산)14.9%,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</si>
  <si>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</si>
  <si>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</si>
  <si>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숙주(원료수입산)90%, 당근, 부추, 대파, 마늘, 참치액, 소금, 참기름, 참깨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</si>
  <si>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</si>
  <si>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</si>
  <si>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등갈비찜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</si>
  <si>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</si>
  <si>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</si>
  <si>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</si>
  <si>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</si>
  <si>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</si>
  <si>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</si>
  <si>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</si>
  <si>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차돌(소고기:미국산)35%, 숙주(원료수입산)40%, 양파, 대파, 마늘, 대두유, 소금, 굴소스, 간장, 맛술, 참기름, 참깨</t>
    <phoneticPr fontId="12" type="noConversion"/>
  </si>
  <si>
    <t>.5.6.16.18.21.</t>
    <phoneticPr fontId="12" type="noConversion"/>
  </si>
  <si>
    <t>*소고기가지볶음 : 30g</t>
    <phoneticPr fontId="12" type="noConversion"/>
  </si>
  <si>
    <t>.5.10.19..21.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</si>
  <si>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</si>
  <si>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</si>
  <si>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</si>
  <si>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</si>
  <si>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</si>
  <si>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건두부크림파스타</t>
    <phoneticPr fontId="12" type="noConversion"/>
  </si>
  <si>
    <t>건두부(콩:수입산)66%, 꼬마새송이버섯(국산)12%, 크림소스, 우유, 후추, 소금, 파슬리가루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</si>
  <si>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</si>
  <si>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</si>
  <si>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</si>
  <si>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</si>
  <si>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</si>
  <si>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</si>
  <si>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등갈비김치찜</t>
    <phoneticPr fontId="12" type="noConversion"/>
  </si>
  <si>
    <t>등갈비(돼지고기:스페인산)75%, 파인애플(전처리용), 파, 마늘, 생강가루, 월계수잎, 정제수, 간장, 설탕, 맛술, 물엿, 참기름, 후추</t>
    <phoneticPr fontId="12" type="noConversion"/>
  </si>
  <si>
    <t>등갈비(돼지고기:스페인산)60%, 배추김치(배추, 고추가루:국산)15%, 파인애플(전처리용), 파, 마늘, 생강가루, 월계수잎, 정제수, 간장, 설탕, 맛술, 물엿, 참기름, 후추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</si>
  <si>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</si>
  <si>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</si>
  <si>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</si>
  <si>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</si>
  <si>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</si>
  <si>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</si>
  <si>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</si>
  <si>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</si>
  <si>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</si>
  <si>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</si>
  <si>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</si>
  <si>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</si>
  <si>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</si>
  <si>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</si>
  <si>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</si>
  <si>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</si>
  <si>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</si>
  <si>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</si>
  <si>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</si>
  <si>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</si>
  <si>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</si>
  <si>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</si>
  <si>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</si>
  <si>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</si>
  <si>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</si>
  <si>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</si>
  <si>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</si>
  <si>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</si>
  <si>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</si>
  <si>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</si>
  <si>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</si>
  <si>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</si>
  <si>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다솔토종닭훈제(팜덕)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</si>
  <si>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</si>
  <si>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</si>
  <si>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</si>
  <si>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</si>
  <si>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</si>
  <si>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</si>
  <si>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돈채모닝글로리볶음</t>
    <phoneticPr fontId="12" type="noConversion"/>
  </si>
  <si>
    <t>돈채(돼지고기:국산)62%, 모닝글로리(국산)7%, 양파, 당근, 소스(마늘, 간장, 설탕, 후추, 대두유, 참기름, 참깨)25%</t>
    <phoneticPr fontId="12" type="noConversion"/>
  </si>
  <si>
    <t>김자반</t>
    <phoneticPr fontId="12" type="noConversion"/>
  </si>
  <si>
    <t>하얀짬뽕국</t>
    <phoneticPr fontId="12" type="noConversion"/>
  </si>
  <si>
    <t>백김치도토리묵무침</t>
    <phoneticPr fontId="12" type="noConversion"/>
  </si>
  <si>
    <t>도토리묵(원료수입산)85%, 백김치(국산)7%, 간장, 설탕, 참기름, 참깨</t>
    <phoneticPr fontId="12" type="noConversion"/>
  </si>
  <si>
    <t>닭살새송이볶음</t>
    <phoneticPr fontId="12" type="noConversion"/>
  </si>
  <si>
    <t>닭고기(닭안심:국산)82%, 채소(양파, 청피망, 홍피망 : 국산)10%, 대두유, 맛술, 후추, 굴소스, 간장, 설탕, 파, 마늘, 참기름, 참깨</t>
    <phoneticPr fontId="12" type="noConversion"/>
  </si>
  <si>
    <t>소시지 [돼지고기(국산)50.31%, 닭고기(국산)31.43%, 밀가루(밀:호주산), 대두단백, 소금]75%, 양파, 청피망, 케찹, 참기름, 참깨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</si>
  <si>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</si>
  <si>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</si>
  <si>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</si>
  <si>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</si>
  <si>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</si>
  <si>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</si>
  <si>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</si>
  <si>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</si>
  <si>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</si>
  <si>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</si>
  <si>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</si>
  <si>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오양 갈비물만두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</si>
  <si>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</si>
  <si>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</si>
  <si>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모둠{미트햄[돼지고기(지방일부사용,국산)61.28%, 정제수), 찌개용어슷후랑크[닭고기(국산)38.2%], 선진카나디안햄[돼지고기(지방일부사용,국산)]}18%, 돼지고기(국산)5%, 사골액기스,김치,양파, 파, 마늘, 정제수, 국간장, 소금, 후추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</si>
  <si>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</si>
  <si>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한방닭곰탕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</si>
  <si>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</si>
  <si>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</si>
  <si>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</si>
  <si>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몽글순두부탕</t>
    <phoneticPr fontId="12" type="noConversion"/>
  </si>
  <si>
    <t>몽글순두부(대두:미국,태나다.중국 등)70%, 정제수, 멸치육수농축액, 국간장</t>
    <phoneticPr fontId="12" type="noConversion"/>
  </si>
  <si>
    <t>.5.</t>
    <phoneticPr fontId="12" type="noConversion"/>
  </si>
  <si>
    <t>몽글순두부(풀무원)</t>
    <phoneticPr fontId="12" type="noConversion"/>
  </si>
  <si>
    <t>표고탕수[표고버섯채(중국산:46.88%), 밀가루:미국산]78%, 강정소스(케찹, 설탕, 물엿, 참기름, 참깨)</t>
    <phoneticPr fontId="12" type="noConversion"/>
  </si>
  <si>
    <t>.2.5.6.10.12.16.21.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</si>
  <si>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</si>
  <si>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</si>
  <si>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</si>
  <si>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절임열무51%(열무,식염:고추구루, 양파, 대파, 전용풀. 마늘, 다시마농축액.새우액젓.생강:국산)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</si>
  <si>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</si>
  <si>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</si>
  <si>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</si>
  <si>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</si>
  <si>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갈비만두튀김</t>
    <phoneticPr fontId="12" type="noConversion"/>
  </si>
  <si>
    <t>[밀가루(밀:미국산,캐나다산), 돼지고기(국산)27.67%,양파(국산),양배추,무,부추,파,돼지갈비살(국산)1.54%,두부,마늘,정제소금,설탕,참기름,생강가루,후추], 대두유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</si>
  <si>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</si>
  <si>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</si>
  <si>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</si>
  <si>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</si>
  <si>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</si>
  <si>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</si>
  <si>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</si>
  <si>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</si>
  <si>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</si>
  <si>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</si>
  <si>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기타수산물가공품{오징어(칠레.페루.중국), 매콤스파이시씨즈닝, 정제수, 곡류가공품[밀가루(밀:미국산),튀김양념믹수(중국산),옥수수가루,복음쌀가루],대두유(대두:아르헨티나.미국.브라질 등),치자황색소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</si>
  <si>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</si>
  <si>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</si>
  <si>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</si>
  <si>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>아귀(국산)8%, 미나리(국산)1.5%, 콩나물(콩:수입산), 무(국산), 파, 마늘, 정제수, 국간장, 소금</t>
    <phoneticPr fontId="12" type="noConversion"/>
  </si>
  <si>
    <t>모둠채소(양상추, 로메인, 양배추, 치커리, 적채:국산)</t>
    <phoneticPr fontId="12" type="noConversion"/>
  </si>
  <si>
    <t xml:space="preserve"> 요거트드레싱(유산균음료, 정제수, 마요네즈, 난황맥, 대두유)</t>
    <phoneticPr fontId="12" type="noConversion"/>
  </si>
  <si>
    <t>그린샐러드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</si>
  <si>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</si>
  <si>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</si>
  <si>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</si>
  <si>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</si>
  <si>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</si>
  <si>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</si>
  <si>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</si>
  <si>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</si>
  <si>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</si>
  <si>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돼지고기(국산)80%, 양배추, 양파, 당근, 대파, 마늘, 미소된장(국산), 간장, 맛술, 참기름, 후추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</si>
  <si>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</si>
  <si>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</si>
  <si>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</si>
  <si>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</si>
  <si>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</si>
  <si>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</si>
  <si>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</si>
  <si>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채소[호박잎, 호박, 감자]25%, 정제수, 파, 마늘, 된장, 멸치육수농축액, 국간장, 소금</t>
    <phoneticPr fontId="12" type="noConversion"/>
  </si>
  <si>
    <t>깍두기돈육찌개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</si>
  <si>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</si>
  <si>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</si>
  <si>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</si>
  <si>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</si>
  <si>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</si>
  <si>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</si>
  <si>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</si>
  <si>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</si>
  <si>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맛있는 동글동글 목화솜 등심탕수육(이츠웰.하늘푸드)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</si>
  <si>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</si>
  <si>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</si>
  <si>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서류가공품[감자90%, 식물성유지(카놀라유,대두유,면실유,해바라기유,옥수수유), 정제소금/미국산]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</si>
  <si>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</si>
  <si>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</si>
  <si>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</si>
  <si>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</si>
  <si>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>테이스터펍스(멕케인냉동감자)</t>
    <phoneticPr fontId="12" type="noConversion"/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</si>
  <si>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</si>
  <si>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</si>
  <si>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</si>
  <si>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</si>
  <si>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</si>
  <si>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</si>
  <si>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훈제닭양배추볶음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</si>
  <si>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</si>
  <si>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</si>
  <si>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</si>
  <si>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</si>
  <si>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</si>
  <si>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</si>
  <si>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</si>
  <si>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</si>
  <si>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.1.2.5.10.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</si>
  <si>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</si>
  <si>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</si>
  <si>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</si>
  <si>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</si>
  <si>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</si>
  <si>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</si>
  <si>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</si>
  <si>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</si>
  <si>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</si>
  <si>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</si>
  <si>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</si>
  <si>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</si>
  <si>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</si>
  <si>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</si>
  <si>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</si>
  <si>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배추(국내산)64%, 무채(무:국내산)8%, 양파, 정제수, 생강, 마늘, 생강, 배, 쪽파, 정제염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</si>
  <si>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</si>
  <si>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</si>
  <si>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감자(국산)20%, 양파, 파, 마늘, 멸치육수농축액, 된장, 정제수, 소금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</si>
  <si>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</si>
  <si>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</si>
  <si>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</si>
  <si>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</si>
  <si>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</si>
  <si>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</si>
  <si>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.1.2.5.16.21.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</si>
  <si>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</si>
  <si>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</si>
  <si>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</si>
  <si>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</si>
  <si>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</si>
  <si>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소고기(미국산.호주산)45%, 계란(국내산)10%, 표고버섯(중국산)5%, 양파, 돈부리소스, 쯔유, 정제수, 소금, 전분</t>
    <phoneticPr fontId="12" type="noConversion"/>
  </si>
  <si>
    <t>.1.2.5.6.16.</t>
    <phoneticPr fontId="12" type="noConversion"/>
  </si>
  <si>
    <t>눈꽃치즈치킨</t>
    <phoneticPr fontId="12" type="noConversion"/>
  </si>
  <si>
    <t>순살치킨[닭고기(닭다리살:브라질산)64.76%,밀가루(밀:호주산,미국산),옥수수전분(옥수수:외국산), 대두유]98%, 눈꽃치즈(모짜렐라99%)2%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</si>
  <si>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</si>
  <si>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</si>
  <si>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</si>
  <si>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</si>
  <si>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</si>
  <si>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</si>
  <si>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</si>
  <si>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</si>
  <si>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</si>
  <si>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</si>
  <si>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</si>
  <si>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</si>
  <si>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[메추리알(국내산), 보코치니치즈(모짜렐라치즈:미국산), 오이(국산), 블랙올리브(이탈리아산)]75%, 요거트드레싱(유산균음료, 정제수, 마요네즈, 난황맥, 대두유)25%</t>
    <phoneticPr fontId="12" type="noConversion"/>
  </si>
  <si>
    <t>숙주(원료수입산)90%, 당근, 마늘, 대파, 참치액, 소금, 참기름, 참깨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</si>
  <si>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</si>
  <si>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</si>
  <si>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</si>
  <si>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</si>
  <si>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</si>
  <si>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</si>
  <si>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</si>
  <si>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</si>
  <si>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계란(국산)90%, 브로콜리(국내산)6%, 대두유, 우유, 소금, 백후추</t>
    <phoneticPr fontId="12" type="noConversion"/>
  </si>
  <si>
    <t>고구마(중국산)71.04%, 샐러드베이스14.3%, 대두(외국산), 스위트콘(태국산), 난황(계란:국산), 식초, 과당 외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</si>
  <si>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</si>
  <si>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</si>
  <si>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</si>
  <si>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</si>
  <si>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</si>
  <si>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</si>
  <si>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</si>
  <si>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</si>
  <si>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</si>
  <si>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</si>
  <si>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</si>
  <si>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소고기(호주산)8.3%, 무(국산)10%, 고사리(중국산), 숙주(원료수입산), 느타리버섯, 파, 마늘, 정제수, 국간장, 고춧가루, 소금, 후추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</si>
  <si>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</si>
  <si>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</si>
  <si>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</si>
  <si>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</si>
  <si>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</si>
  <si>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</si>
  <si>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</si>
  <si>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숙주(원료수입산)12%, 해산물(대왕오징어:페루산, 홍합.바지락.새우살:중국산)7%, 양파, 청경채,  파, 마늘, 정제수, 고춧가루, 고추기름, 치킨스톡, 소금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</si>
  <si>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</si>
  <si>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</si>
  <si>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</si>
  <si>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</si>
  <si>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</si>
  <si>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</si>
  <si>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</si>
  <si>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</si>
  <si>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</si>
  <si>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</si>
  <si>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고추장멸치조림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</si>
  <si>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</si>
  <si>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</si>
  <si>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</si>
  <si>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</si>
  <si>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</si>
  <si>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</si>
  <si>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</si>
  <si>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</si>
  <si>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</si>
  <si>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</si>
  <si>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</si>
  <si>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</si>
  <si>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파래김(국내산)86%, 쪽파, 맛술, 간장, 참기름, 참깨</t>
    <phoneticPr fontId="15" type="noConversion"/>
  </si>
  <si>
    <t>파래쪽파무침</t>
    <phoneticPr fontId="12" type="noConversion"/>
  </si>
  <si>
    <t>.5.21.</t>
    <phoneticPr fontId="12" type="noConversion"/>
  </si>
  <si>
    <t>매콤구운어묵볶음</t>
    <phoneticPr fontId="12" type="noConversion"/>
  </si>
  <si>
    <t>구운어묵(원료수입)75%,  양파(국산) , 당근, 파, 마늘, 대두유, 간장, 고춧가루, 참기름, 참깨</t>
    <phoneticPr fontId="12" type="noConversion"/>
  </si>
  <si>
    <t>족발냉채</t>
    <phoneticPr fontId="12" type="noConversion"/>
  </si>
  <si>
    <t>족발[돼지고기(뒷다리:국산)97.6%, 양파(국산), 마늘(국산), 참당귀, 생강, 감초, 설탕, 대파, 정제소금, 계피, 치자]70%, 양배추, 적채, 당근, 부추, 마늘, 허니머스터드, 식초 설탕, 참기름, 참깨</t>
    <phoneticPr fontId="12" type="noConversion"/>
  </si>
  <si>
    <t>.1.2.5.10.21.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</si>
  <si>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</si>
  <si>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</si>
  <si>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</si>
  <si>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</si>
  <si>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</si>
  <si>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김치(고추가루, 배추:국산)20%, 참치캔(참치:원양산)10%, 두부(원료수입산), 양파, 대파, 마늘, 정제수, 국간장, 소금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</si>
  <si>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</si>
  <si>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</si>
  <si>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</si>
  <si>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</si>
  <si>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</si>
  <si>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</si>
  <si>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</si>
  <si>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</si>
  <si>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돈육고추장구이</t>
    <phoneticPr fontId="12" type="noConversion"/>
  </si>
  <si>
    <t>돼지고기(국산)65%, 양파(국산)10%, 당근, 대파, 마늘, 고추장, 간장, , 맛술, 후추, 설탕, 참기름, 참깨</t>
    <phoneticPr fontId="12" type="noConversion"/>
  </si>
  <si>
    <t>돼지고기(전지:국산)75%, 밀떡(밀:외국산), 양파, 파, 마늘, 생강, 고추장, 파인애플, 고춧가루, 설탕, 간장, 맛술, 후추, 참기름, 참깨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</si>
  <si>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</si>
  <si>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</si>
  <si>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</si>
  <si>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</si>
  <si>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</si>
  <si>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</si>
  <si>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</si>
  <si>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</si>
  <si>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</si>
  <si>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</si>
  <si>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</si>
  <si>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</si>
  <si>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</si>
  <si>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</si>
  <si>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</si>
  <si>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</si>
  <si>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</si>
  <si>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</si>
  <si>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</si>
  <si>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</si>
  <si>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</si>
  <si>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</si>
  <si>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</si>
  <si>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</si>
  <si>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</si>
  <si>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</si>
  <si>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</si>
  <si>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</si>
  <si>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</si>
  <si>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</si>
  <si>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세멸치(국내산)5.4%, 파래김자반(국내산)70%, 대두유, 들기름, 설탕, 맛소금, 참깨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</si>
  <si>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</si>
  <si>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</si>
  <si>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</si>
  <si>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세멸치김자반</t>
    <phoneticPr fontId="12" type="noConversion"/>
  </si>
  <si>
    <t>미나리콩나물무침</t>
    <phoneticPr fontId="12" type="noConversion"/>
  </si>
  <si>
    <t>고추장제육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</si>
  <si>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</si>
  <si>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</si>
  <si>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</si>
  <si>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</si>
  <si>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돼지고기(미국산)83%, 파인애클청크(파인애플:수입산), 양파, 피망, 파프리카, 당근, 스테이크소스, 바베큐소스, 후추, 참기름</t>
    <phoneticPr fontId="12" type="noConversion"/>
  </si>
  <si>
    <t>.5.10.12.13.18.19.21.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</si>
  <si>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</si>
  <si>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</si>
  <si>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</si>
  <si>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</si>
  <si>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</si>
  <si>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</si>
  <si>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</si>
  <si>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</si>
  <si>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</si>
  <si>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</si>
  <si>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</si>
  <si>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양배추(국산)90%, 적채(국산)2.5%, 오렌지슬라이스(오렌지:미국산)7.5%,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</si>
  <si>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</si>
  <si>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</si>
  <si>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</si>
  <si>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</si>
  <si>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모둠{미트햄[돼지고기(지방일부사용,국산)61.28%, 정제수), 찌개용어슷후랑크[닭고기(국산)38.2%], 선진카나디안햄[돼지고기(지방일부사용,국산)]}18%, 베이크드빈(원료수입산)3%, 양배추, 양파, 파, 마늘, 대두유, 케첩, 간장, 설탕, 고춧가루, 치킨스톡, 물엿, 후추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</si>
  <si>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</si>
  <si>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</si>
  <si>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</si>
  <si>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</si>
  <si>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.1.5.10.15.16.21.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</si>
  <si>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</si>
  <si>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</si>
  <si>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</si>
  <si>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r>
      <t>새우(베트남산)45%,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</si>
  <si>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</si>
  <si>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</si>
  <si>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</si>
  <si>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</si>
  <si>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</si>
  <si>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</si>
  <si>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</si>
  <si>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</si>
  <si>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</si>
  <si>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</si>
  <si>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</si>
  <si>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</si>
  <si>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</si>
  <si>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</si>
  <si>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</si>
  <si>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</si>
  <si>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빨간찜닭</t>
    <phoneticPr fontId="12" type="noConversion"/>
  </si>
  <si>
    <t>닭정육(닭가슴살,닭다리살:국산)53%, 밀떡(밀:수입산), 당근, 양파, 감자, 대파, 마늘, 고추장, 고춧가루, 간장, 물엿, 참기름, 후추</t>
    <phoneticPr fontId="12" type="noConversion"/>
  </si>
  <si>
    <t>바지락순두부찌개</t>
    <phoneticPr fontId="12" type="noConversion"/>
  </si>
  <si>
    <t>순두부(원료수입산)42.9%, 바지락살(중국산)3%, 양파, 파, 마늘, 정제수, 고춧가루, 고추기름, 국간장, 참치액, 소금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</si>
  <si>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</si>
  <si>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</si>
  <si>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</si>
  <si>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도라에몽만쥬</t>
  </si>
  <si>
    <t>닭(닭가슴살,닭다리살:국산)70%, 대추채(국산)1.5%, 고구마 , 표고버섯, 양파, 당근, 파, 마늘, 정제수, 물엿, 맛술, 간장, 후추, 소금, 참기름, 참깨</t>
    <phoneticPr fontId="12" type="noConversion"/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</si>
  <si>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</si>
  <si>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</si>
  <si>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</si>
  <si>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</si>
  <si>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</si>
  <si>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</si>
  <si>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</si>
  <si>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</si>
  <si>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</si>
  <si>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명엽채(베트남)97%, 마요네즈, 간장, 물엿, 참기름, 참깨</t>
    <phoneticPr fontId="12" type="noConversion"/>
  </si>
  <si>
    <t>.2.5.21.</t>
    <phoneticPr fontId="12" type="noConversion"/>
  </si>
  <si>
    <t>스크램블에그(계란:국산)7%, 당근,  쌀밥(쌀:국산)85%, 버터, 대두유, 소금, 참기름,참깨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</si>
  <si>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</si>
  <si>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</si>
  <si>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</si>
  <si>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</si>
  <si>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</si>
  <si>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</si>
  <si>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</si>
  <si>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</si>
  <si>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</si>
  <si>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</si>
  <si>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</si>
  <si>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무뼈감자탕</t>
    <phoneticPr fontId="12" type="noConversion"/>
  </si>
  <si>
    <t>감자(국내산)18%, 소고기(호주산,미국산)7%, 양파, 정제수, 마늘, 대파, 국간장, 소금</t>
    <phoneticPr fontId="12" type="noConversion"/>
  </si>
  <si>
    <t>순살동태(러시아산)7.2%, 무(국산)13%,콩나물, 쑥갓, 양파, 대파, 마늘, 멸치육수농축액,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</si>
  <si>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</si>
  <si>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</si>
  <si>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</si>
  <si>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</si>
  <si>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</si>
  <si>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</si>
  <si>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</si>
  <si>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</si>
  <si>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오리엔탈파닭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</si>
  <si>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</si>
  <si>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</si>
  <si>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</si>
  <si>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훈제닭다리살</t>
  </si>
  <si>
    <t>목살소금구이</t>
  </si>
  <si>
    <t>돈사태양념찜</t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</si>
  <si>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</si>
  <si>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</si>
  <si>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</si>
  <si>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</si>
  <si>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</si>
  <si>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</si>
  <si>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마라로제떡볶이</t>
    <phoneticPr fontId="12" type="noConversion"/>
  </si>
  <si>
    <t>마라로제소스(이츠웰)</t>
    <phoneticPr fontId="12" type="noConversion"/>
  </si>
  <si>
    <t>.2.5.6.15.16.</t>
    <phoneticPr fontId="12" type="noConversion"/>
  </si>
  <si>
    <t>밀떡(밀:원료수입산), 어묵(연육(베트남산.중국산),소시지(돼지고기.닭고기:국내산), 대파, 정제수, 마라로제소스[우유(국산).고춧가루(중국산.베트남산)]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</si>
  <si>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</si>
  <si>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</si>
  <si>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</si>
  <si>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</si>
  <si>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</si>
  <si>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</si>
  <si>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</si>
  <si>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</si>
  <si>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소고기다짐육(호주산)60%, 스크램블에그(계란:국내산)30%, 당근, 대두유, 간장, 맛술, 설탕, 후추, 참기름, 참깨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</si>
  <si>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</si>
  <si>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</si>
  <si>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</si>
  <si>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</si>
  <si>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</si>
  <si>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</si>
  <si>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</si>
  <si>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</si>
  <si>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</si>
  <si>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</si>
  <si>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</si>
  <si>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</si>
  <si>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</si>
  <si>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</si>
  <si>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>샌드어묵볶음</t>
    <phoneticPr fontId="12" type="noConversion"/>
  </si>
  <si>
    <t>비엔나케찹볶음</t>
    <phoneticPr fontId="12" type="noConversion"/>
  </si>
  <si>
    <t>&amp; 양념장</t>
    <phoneticPr fontId="12" type="noConversion"/>
  </si>
  <si>
    <t>쪽파(국산)5%, 마늘, 정제수, 간장, 참기름, 참깨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</si>
  <si>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</si>
  <si>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</si>
  <si>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</si>
  <si>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</si>
  <si>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</si>
  <si>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</si>
  <si>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</si>
  <si>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마라닭볶음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</si>
  <si>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</si>
  <si>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</si>
  <si>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</si>
  <si>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</si>
  <si>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</si>
  <si>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</si>
  <si>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</si>
  <si>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</si>
  <si>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</si>
  <si>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</si>
  <si>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</si>
  <si>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미트소스(이츠웰), 토마토소스(오뚜기)</t>
    <phoneticPr fontId="12" type="noConversion"/>
  </si>
  <si>
    <t>오븐구이포테이토펍</t>
    <phoneticPr fontId="12" type="noConversion"/>
  </si>
  <si>
    <t>참치김치덮밥소스</t>
    <phoneticPr fontId="12" type="noConversion"/>
  </si>
  <si>
    <t>김치(고추가루, 배추:국산)50%, 참치캔(참치:원양산)25%, 양파, 파, 마늘, 설탕, 고춧가루, 대두유, 참기름, 참깨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</si>
  <si>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</si>
  <si>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</si>
  <si>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</si>
  <si>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</si>
  <si>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</si>
  <si>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</si>
  <si>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</si>
  <si>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</si>
  <si>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미트볼조림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</si>
  <si>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</si>
  <si>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</si>
  <si>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미트볼[돼지고기(국내산)45.45%,소고기(호주산,뉴질랜드산)20.61%]80%, 양파, 피망, 간장, 맛술, 후추, 파슬리가루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</si>
  <si>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</si>
  <si>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</si>
  <si>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</si>
  <si>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</si>
  <si>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</si>
  <si>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</si>
  <si>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건새우무채국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</si>
  <si>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</si>
  <si>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</si>
  <si>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</si>
  <si>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베이컨감자전</t>
    <phoneticPr fontId="12" type="noConversion"/>
  </si>
  <si>
    <t>수미감자(국산),밀가루(밀:외국산),베이컨(돼지고기:외국산),감자전분(외국산),후추, 대두유</t>
    <phoneticPr fontId="12" type="noConversion"/>
  </si>
  <si>
    <t>더제대로만든베이컨감자전(사옹원)</t>
    <phoneticPr fontId="12" type="noConversion"/>
  </si>
  <si>
    <t>.2.5.6.15.21.</t>
    <phoneticPr fontId="12" type="noConversion"/>
  </si>
  <si>
    <t>치즈닭갈비</t>
    <phoneticPr fontId="12" type="noConversion"/>
  </si>
  <si>
    <t>콩나물잡채</t>
    <phoneticPr fontId="12" type="noConversion"/>
  </si>
  <si>
    <t>콩나물(대두:외국산)45%, 당면(원료수입)40%, 부추, 양파, 당근, 대두유, 간장, 설탕 참기름, 참깨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</si>
  <si>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</si>
  <si>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</si>
  <si>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</si>
  <si>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</si>
  <si>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</si>
  <si>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</si>
  <si>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</si>
  <si>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</si>
  <si>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소고기브로콜리볶음</t>
    <phoneticPr fontId="12" type="noConversion"/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</si>
  <si>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</si>
  <si>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</si>
  <si>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</si>
  <si>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</si>
  <si>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</si>
  <si>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닭다리살구이</t>
    <phoneticPr fontId="12" type="noConversion"/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</si>
  <si>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</si>
  <si>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</si>
  <si>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감자(국산)78%, 마늘, 대두유, 정제수, 맛술, 간장, 물엿, 참기름, 참깨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</si>
  <si>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</si>
  <si>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</si>
  <si>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</si>
  <si>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납작떡갈비(임꺽정)</t>
    <phoneticPr fontId="12" type="noConversion"/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</si>
  <si>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</si>
  <si>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</si>
  <si>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</si>
  <si>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</si>
  <si>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</si>
  <si>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</si>
  <si>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</si>
  <si>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</si>
  <si>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매콤오징어튀김</t>
    <phoneticPr fontId="12" type="noConversion"/>
  </si>
  <si>
    <t>매콤오징어튀김(사옹원)</t>
    <phoneticPr fontId="12" type="noConversion"/>
  </si>
  <si>
    <t>당면(원료수입산)70%, 양파, 당근, 부추, 대두유, 간장, 설탕, 참기름, 참깨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</si>
  <si>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</si>
  <si>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</si>
  <si>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</si>
  <si>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</si>
  <si>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</si>
  <si>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</si>
  <si>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</si>
  <si>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</si>
  <si>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스팸케찹볶음</t>
    <phoneticPr fontId="12" type="noConversion"/>
  </si>
  <si>
    <t>캐릭터찐빵</t>
    <phoneticPr fontId="12" type="noConversion"/>
  </si>
  <si>
    <t>양배추케요네즈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</si>
  <si>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</si>
  <si>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미트소스[소고기(호주산)10%,돼지고기(국산)8%,토마토페이스트(토마토:미국산)10%], 양파, 피망, 토마토스파게티소스, 올리브오일, 후추, 파슬리가루</t>
    <phoneticPr fontId="12" type="noConversion"/>
  </si>
  <si>
    <t>닭정육(닭가슴살, 닭다리살:국산)54%, ,모짜렐라치즈(원유:외국산)5%, 모양떡(쌀:외국산), 양배추, 양파, 당근, 대파, 마늘, 생강가루, 간장, 후추, 참기름, 참깨</t>
    <phoneticPr fontId="12" type="noConversion"/>
  </si>
  <si>
    <t>골든커리덮밥소스</t>
    <phoneticPr fontId="12" type="noConversion"/>
  </si>
  <si>
    <t>닭고기(국산)15%, 채소[당근, 양파, 감자]25%, 대두유, 카레분말[강황(인도산)]11.1%, 고형카레(일본산)1.5%, 정제수</t>
    <phoneticPr fontId="12" type="noConversion"/>
  </si>
  <si>
    <t>소세지채소볶음</t>
    <phoneticPr fontId="12" type="noConversion"/>
  </si>
  <si>
    <t>양파, 피망, 토마토소스[과채가공품(토마토:이탈리아산),토마토페이스트(토마토:중국산)], 올리브오일, 후추, 파슬리가루</t>
    <phoneticPr fontId="12" type="noConversion"/>
  </si>
  <si>
    <t>돈육강정</t>
    <phoneticPr fontId="12" type="noConversion"/>
  </si>
  <si>
    <t>.1.5.6.10.12.21.</t>
    <phoneticPr fontId="12" type="noConversion"/>
  </si>
  <si>
    <t>오징어링튀김</t>
    <phoneticPr fontId="12" type="noConversion"/>
  </si>
  <si>
    <t>명엽채조림</t>
    <phoneticPr fontId="12" type="noConversion"/>
  </si>
  <si>
    <t>제육간장불고기</t>
    <phoneticPr fontId="12" type="noConversion"/>
  </si>
  <si>
    <t>열무나물</t>
    <phoneticPr fontId="12" type="noConversion"/>
  </si>
  <si>
    <t>레몬크림새우</t>
    <phoneticPr fontId="12" type="noConversion"/>
  </si>
  <si>
    <t>닭살떡조림</t>
    <phoneticPr fontId="12" type="noConversion"/>
  </si>
  <si>
    <t>양배추(국산)19.6%, 소고기(호주산)5.4%, 정제수, 대파, 마늘, 소금,멸치육수농축액, 국간장</t>
    <phoneticPr fontId="12" type="noConversion"/>
  </si>
  <si>
    <t>&amp; 베이컨토마토소스</t>
    <phoneticPr fontId="12" type="noConversion"/>
  </si>
  <si>
    <t>베이컨(돼지고기기:외국산)7%,토마토소스[과채가공품(토마토:이탈리아산),토마토페이스트(토마토:중국산)],  양파, 피망, 올리브오일, 후추, 파슬리가루</t>
    <phoneticPr fontId="12" type="noConversion"/>
  </si>
  <si>
    <t>.5.10.12.</t>
    <phoneticPr fontId="12" type="noConversion"/>
  </si>
  <si>
    <t>부추계란국</t>
    <phoneticPr fontId="12" type="noConversion"/>
  </si>
  <si>
    <t>레몬크림탕수육</t>
    <phoneticPr fontId="12" type="noConversion"/>
  </si>
  <si>
    <t>불고기피자</t>
    <phoneticPr fontId="12" type="noConversion"/>
  </si>
  <si>
    <t>새우감바스&amp;바게트</t>
    <phoneticPr fontId="12" type="noConversion"/>
  </si>
  <si>
    <t>{소시지[닭고기(국산)54.04%, 정제수, 돼지고기(국산)24.22%, 옥수수전분(러시아,헝가리,세르비아등).돈지방(국산),정제수, 정제소금)]80%, 대두유, 당근, 양파, 간장, 올리고당, 참기름, 참께</t>
    <phoneticPr fontId="12" type="noConversion"/>
  </si>
  <si>
    <t>새우튀김</t>
    <phoneticPr fontId="12" type="noConversion"/>
  </si>
  <si>
    <t>새우튀김[흰다리새우30%, 빵가루(밀가루.쇼트닝.설탕.효모.옥수수전분.정제소금 등)베트남산</t>
    <phoneticPr fontId="12" type="noConversion"/>
  </si>
  <si>
    <t>.1.5.6.9.</t>
    <phoneticPr fontId="12" type="noConversion"/>
  </si>
  <si>
    <t>새우튀김(이츠웰)/개당20g</t>
    <phoneticPr fontId="12" type="noConversion"/>
  </si>
  <si>
    <t>돼지고기(국내산)25.06%,소고기(국내산)5%,양배추,양파(국내산),설탕,빵가루,표고버섯,옥수수전본,대파,당근,양조간장,마늘,참기름,생강,소금,후추</t>
    <phoneticPr fontId="12" type="noConversion"/>
  </si>
  <si>
    <t>육즙가득미니떡갈비(아이누리)</t>
    <phoneticPr fontId="12" type="noConversion"/>
  </si>
  <si>
    <t>&amp; 소고기짜장소스</t>
    <phoneticPr fontId="12" type="noConversion"/>
  </si>
  <si>
    <t>올갱이미역국</t>
    <phoneticPr fontId="12" type="noConversion"/>
  </si>
  <si>
    <t>불린미역(국산)21%, 다슬기(국내산)2%, 마늘, 정제수, 국간장, 참치액, 소금</t>
    <phoneticPr fontId="12" type="noConversion"/>
  </si>
  <si>
    <t>황금팽이소불고기</t>
    <phoneticPr fontId="12" type="noConversion"/>
  </si>
  <si>
    <t>날치알계란찜</t>
    <phoneticPr fontId="12" type="noConversion"/>
  </si>
  <si>
    <t>계란(국산)46.2%, 날치알[열빙어알(아이슬랜드산).날치알(인도네시아산.페루산)1.5%, 쪽파, 당근, 정제수, 우유, 소금</t>
    <phoneticPr fontId="12" type="noConversion"/>
  </si>
  <si>
    <t>도라지오이생채</t>
    <phoneticPr fontId="12" type="noConversion"/>
  </si>
  <si>
    <t>도라지(중국산)55%, 오이(국내산)25%, 당근, 양파, 파, 마늘, 고추장, 식초, 설탕, 소금, 참기름, 참깨</t>
    <phoneticPr fontId="12" type="noConversion"/>
  </si>
  <si>
    <t>매콤두부조림</t>
    <phoneticPr fontId="12" type="noConversion"/>
  </si>
  <si>
    <t>배추된장나물</t>
    <phoneticPr fontId="12" type="noConversion"/>
  </si>
  <si>
    <t>과일</t>
    <phoneticPr fontId="12" type="noConversion"/>
  </si>
  <si>
    <t>닭봉양념조림</t>
    <phoneticPr fontId="12" type="noConversion"/>
  </si>
  <si>
    <t>닭봉(닭:국산)90%, 정제수, 간장, 고추장, 케찹, 물엿, 맛술, 설탕, 후추, 참기름</t>
    <phoneticPr fontId="12" type="noConversion"/>
  </si>
  <si>
    <t>두부(대두:미국.캐나다.호주 등), 들기름, 간장, 두반장, 고춧가루, 마늘, 파, 맛술, 전분물, 참깨</t>
    <phoneticPr fontId="12" type="noConversion"/>
  </si>
  <si>
    <t>순살치킨</t>
    <phoneticPr fontId="12" type="noConversion"/>
  </si>
  <si>
    <t>33g/45g</t>
    <phoneticPr fontId="12" type="noConversion"/>
  </si>
  <si>
    <t>40g/50g</t>
    <phoneticPr fontId="12" type="noConversion"/>
  </si>
  <si>
    <t>70g</t>
    <phoneticPr fontId="12" type="noConversion"/>
  </si>
  <si>
    <t>황태감자국</t>
    <phoneticPr fontId="12" type="noConversion"/>
  </si>
  <si>
    <t>얼갈이(국산) 20%, 다슬기(국산)3%, 된장(콩:원료수입산), 파, 마늘, 양파, 정제수, 국간장, 소금,</t>
    <phoneticPr fontId="12" type="noConversion"/>
  </si>
  <si>
    <t>고사리당근나물</t>
    <phoneticPr fontId="12" type="noConversion"/>
  </si>
  <si>
    <t>고사리(중국산)85.6%, 당근, 마늘, 대파, 대두유, 국간장, 소금, 참기름, 참깨</t>
    <phoneticPr fontId="12" type="noConversion"/>
  </si>
  <si>
    <t>검은콩멸치조림</t>
    <phoneticPr fontId="12" type="noConversion"/>
  </si>
  <si>
    <t>검은콩(중국산)82%, 멸치(국내산)3%,  간장, 물엿, 설탕, 참기름, 참깨</t>
    <phoneticPr fontId="12" type="noConversion"/>
  </si>
  <si>
    <t>25g/30g</t>
    <phoneticPr fontId="12" type="noConversion"/>
  </si>
  <si>
    <t>40g/60g</t>
    <phoneticPr fontId="12" type="noConversion"/>
  </si>
  <si>
    <t>30g/40g</t>
    <phoneticPr fontId="12" type="noConversion"/>
  </si>
  <si>
    <t>돈채버섯볶음</t>
    <phoneticPr fontId="12" type="noConversion"/>
  </si>
  <si>
    <t>돼지고기(국산)80%, 느타리버섯(국내산)5%, 양파, 당근, 마늘, 간장, 굴소스, 대두유, , 후추, 참기름, 참깨</t>
    <phoneticPr fontId="12" type="noConversion"/>
  </si>
  <si>
    <t>고구마(국산)78%, 대두유, 정제수, 맛술, 간장, 물엿, 참기름</t>
    <phoneticPr fontId="12" type="noConversion"/>
  </si>
  <si>
    <t>애호박나물</t>
    <phoneticPr fontId="12" type="noConversion"/>
  </si>
  <si>
    <t>.5.16.18.21.</t>
    <phoneticPr fontId="12" type="noConversion"/>
  </si>
  <si>
    <t>순살아귀탕</t>
    <phoneticPr fontId="12" type="noConversion"/>
  </si>
  <si>
    <t>유니짜장덮밥소스</t>
    <phoneticPr fontId="12" type="noConversion"/>
  </si>
  <si>
    <t>소고기소보로</t>
    <phoneticPr fontId="12" type="noConversion"/>
  </si>
  <si>
    <t>.5.21.</t>
    <phoneticPr fontId="12" type="noConversion"/>
  </si>
  <si>
    <t>고구마조림</t>
    <phoneticPr fontId="12" type="noConversion"/>
  </si>
  <si>
    <t>도토리묵김치무침</t>
    <phoneticPr fontId="12" type="noConversion"/>
  </si>
  <si>
    <t>하와이안마카로니SD</t>
    <phoneticPr fontId="12" type="noConversion"/>
  </si>
  <si>
    <t>양념돼지갈비찜</t>
    <phoneticPr fontId="12" type="noConversion"/>
  </si>
  <si>
    <t>건새우미역국</t>
    <phoneticPr fontId="12" type="noConversion"/>
  </si>
  <si>
    <t>무(국산)25%, 건새우(국산)3%, 대파, 마늘, 멸치육수농축액, 정제수, 소금</t>
    <phoneticPr fontId="12" type="noConversion"/>
  </si>
  <si>
    <t>불린미역(국산)23%, 건새우(국내산),3%, 정제수, 참기름, 국간장, 밥새우, 멸치육수농축액, 마늘, 소금</t>
    <phoneticPr fontId="12" type="noConversion"/>
  </si>
  <si>
    <t>.5.9.21.</t>
    <phoneticPr fontId="12" type="noConversion"/>
  </si>
  <si>
    <t>햄김치볶음밥</t>
    <phoneticPr fontId="12" type="noConversion"/>
  </si>
  <si>
    <t>쌀밥(쌀:국산)85%, 배추김치(국내산)5%, 햄(돼지고기:국산)3%, 대두유, 소금, 간장, 참기름,참깨</t>
    <phoneticPr fontId="12" type="noConversion"/>
  </si>
  <si>
    <t>..5.10.11.</t>
    <phoneticPr fontId="12" type="noConversion"/>
  </si>
  <si>
    <t>밥(쌀:국산)95%, 김가루(김:국내산), 후리카케[볶은참깨(참깨:인도산), 밀소맥볼(밀:미국,호주산),조각김(김:국산), 양조간장], 맛소금, 참기름</t>
    <phoneticPr fontId="12" type="noConversion"/>
  </si>
  <si>
    <t>김가루밥</t>
    <phoneticPr fontId="12" type="noConversion"/>
  </si>
  <si>
    <t>조미밥</t>
    <phoneticPr fontId="12" type="noConversion"/>
  </si>
  <si>
    <t>게살계란탕</t>
    <phoneticPr fontId="12" type="noConversion"/>
  </si>
  <si>
    <t>도라지사과무침</t>
    <phoneticPr fontId="12" type="noConversion"/>
  </si>
  <si>
    <t>도라지(중국산)55%, 사과(국내산)5%, 양배투, 당근, 양파, 파, 마늘, 고추장, 식초, 설탕, 소금, 참기름, 참깨</t>
    <phoneticPr fontId="12" type="noConversion"/>
  </si>
  <si>
    <t>50g/70g</t>
    <phoneticPr fontId="12" type="noConversion"/>
  </si>
  <si>
    <t>40g/50g 멸치육수농축액(면사랑)</t>
    <phoneticPr fontId="12" type="noConversion"/>
  </si>
  <si>
    <t>25g/35g</t>
    <phoneticPr fontId="12" type="noConversion"/>
  </si>
  <si>
    <t>제공인원</t>
    <phoneticPr fontId="12" type="noConversion"/>
  </si>
  <si>
    <t>40g / 50g</t>
    <phoneticPr fontId="12" type="noConversion"/>
  </si>
  <si>
    <t>40g / 55g</t>
    <phoneticPr fontId="12" type="noConversion"/>
  </si>
  <si>
    <t>소불고기</t>
    <phoneticPr fontId="12" type="noConversion"/>
  </si>
  <si>
    <t>소고기(호주산)77%, 새송이버섯(국산)10%, 당근, 대파, 마늘, 간장, 맛술, 참기름, 후추, 참깨</t>
    <phoneticPr fontId="12" type="noConversion"/>
  </si>
  <si>
    <t>목화솜탕수육{[돼지고기(국산/등심), 전분가공품[소맥전분(밀:외국산)}85%,소스(대두유,케찹,설탕,물엿,참기름,참깨)15%</t>
    <phoneticPr fontId="12" type="noConversion"/>
  </si>
  <si>
    <t>.5.6.12.16.21.</t>
    <phoneticPr fontId="12" type="noConversion"/>
  </si>
  <si>
    <t>2026-01-02(월)</t>
  </si>
  <si>
    <t>2026-01-02 09:30~</t>
  </si>
  <si>
    <t>2026-01-02 14:30~</t>
  </si>
  <si>
    <t>♣새해♣</t>
    <phoneticPr fontId="12" type="noConversion"/>
  </si>
  <si>
    <t xml:space="preserve">                  01월 식단표</t>
    <phoneticPr fontId="12" type="noConversion"/>
  </si>
  <si>
    <t>친환경찰보리쌀밥</t>
  </si>
  <si>
    <t>소고기계란덮밥소스</t>
  </si>
  <si>
    <t>갈비만두찜</t>
  </si>
  <si>
    <t>오이부추무침</t>
  </si>
  <si>
    <t>볼어묵국</t>
  </si>
  <si>
    <t>친환경현미쌀밥</t>
  </si>
  <si>
    <t>라구숏파스타</t>
  </si>
  <si>
    <t>단호박샐러드</t>
  </si>
  <si>
    <t>생선까스</t>
    <phoneticPr fontId="12" type="noConversion"/>
  </si>
  <si>
    <t>친환경귀리쌀밥</t>
  </si>
  <si>
    <t>세멸치엿장조림</t>
  </si>
  <si>
    <t>삼색콩나물무침</t>
  </si>
  <si>
    <t>황태계란국</t>
  </si>
  <si>
    <t>친환경찰흑미쌀밥</t>
  </si>
  <si>
    <t>황금팽이소불고기</t>
  </si>
  <si>
    <t>스크램블에그</t>
  </si>
  <si>
    <t>미역무채무침</t>
  </si>
  <si>
    <t>백김치</t>
  </si>
  <si>
    <t>모둠채소된장국</t>
  </si>
  <si>
    <t>로제닭볶음</t>
  </si>
  <si>
    <t>미트볼조림</t>
  </si>
  <si>
    <t>배추된장나물</t>
  </si>
  <si>
    <t>올갱이미역국</t>
  </si>
  <si>
    <t>제육쌈장두루치기</t>
  </si>
  <si>
    <t>참치마요</t>
  </si>
  <si>
    <t>도시락김</t>
  </si>
  <si>
    <t>순두부된장찌개</t>
  </si>
  <si>
    <t>골든커리덮밥소스</t>
  </si>
  <si>
    <t>새우튀김</t>
  </si>
  <si>
    <t>콩나물된장국</t>
  </si>
  <si>
    <t>춘장닭볶음</t>
  </si>
  <si>
    <t>베이컨감자전</t>
  </si>
  <si>
    <t>모둠어묵국</t>
  </si>
  <si>
    <t>비프찹스테이크</t>
  </si>
  <si>
    <t>진미채</t>
  </si>
  <si>
    <t>오이깨소스무침</t>
  </si>
  <si>
    <t>시래기된장국</t>
  </si>
  <si>
    <t>용가리치킨너겟</t>
  </si>
  <si>
    <t>문어모양소떡소떡</t>
  </si>
  <si>
    <t>카프레제SD</t>
  </si>
  <si>
    <t>돈채모닝글로리볶음</t>
  </si>
  <si>
    <t>김자반</t>
  </si>
  <si>
    <t>닭봉삼계탕</t>
  </si>
  <si>
    <t>메추리알짜장볶이</t>
  </si>
  <si>
    <t>감자채볶음</t>
  </si>
  <si>
    <t>브로콜리닭볶음</t>
  </si>
  <si>
    <t>미니떡갈비</t>
  </si>
  <si>
    <t>덩근숙주나물</t>
  </si>
  <si>
    <t>소고기탕국</t>
  </si>
  <si>
    <t>광양식소불고기</t>
  </si>
  <si>
    <t>스팸케찹볶음</t>
  </si>
  <si>
    <t>대파계란탕</t>
  </si>
  <si>
    <t>돈사태찜</t>
  </si>
  <si>
    <t>어묵채소볶음</t>
  </si>
  <si>
    <t>크래미양배추SD</t>
  </si>
  <si>
    <t>닭고기버섯국</t>
  </si>
  <si>
    <t>닭감자조림</t>
  </si>
  <si>
    <t>저염표고강정</t>
  </si>
  <si>
    <t>소고기가지나물</t>
  </si>
  <si>
    <t>전복소라미역국</t>
  </si>
  <si>
    <t>비프토마토스튜</t>
  </si>
  <si>
    <t>웨지컷감자구이</t>
  </si>
  <si>
    <t>굴림만두국</t>
  </si>
  <si>
    <t>닭안심채소구이</t>
  </si>
  <si>
    <t>건맛살채볶음</t>
  </si>
  <si>
    <t>검은콩해바라기씨조림</t>
  </si>
  <si>
    <t>소고기샤브국</t>
  </si>
  <si>
    <t>소고기고사리볶음</t>
  </si>
  <si>
    <t>몽골리안포크</t>
  </si>
  <si>
    <t>열무된장국</t>
  </si>
  <si>
    <t>훈제오리어묵잡채</t>
  </si>
  <si>
    <t>조랭이떡국</t>
  </si>
  <si>
    <t>스크램블에그</t>
    <phoneticPr fontId="12" type="noConversion"/>
  </si>
  <si>
    <t>미역무채무침</t>
    <phoneticPr fontId="12" type="noConversion"/>
  </si>
  <si>
    <t>무(국내산)70%, 미역(국산)15%, (국내산)]10%, 설탕, 식초, 레몬즙, 소금, 참깨</t>
    <phoneticPr fontId="12" type="noConversion"/>
  </si>
  <si>
    <t>무나물</t>
    <phoneticPr fontId="12" type="noConversion"/>
  </si>
  <si>
    <t>무(국산)92%, 대파, 마늘, 대두유, 소금, 참기름, 참깨</t>
    <phoneticPr fontId="12" type="noConversion"/>
  </si>
  <si>
    <t>무(국산)35%, 양배추, 적채, 오이, 정제수, 식초, 소금, 설탕</t>
    <phoneticPr fontId="12" type="noConversion"/>
  </si>
  <si>
    <t>카프레제SD</t>
    <phoneticPr fontId="12" type="noConversion"/>
  </si>
  <si>
    <t>메추리알짜장볶이</t>
    <phoneticPr fontId="12" type="noConversion"/>
  </si>
  <si>
    <t>메추리알(국산)65%, 어묵(연육:베트남산.중국산)15%, 짜장분말, 춘장, 대두유, 설탕, 정제수, 물엿</t>
    <phoneticPr fontId="12" type="noConversion"/>
  </si>
  <si>
    <t>당근숙주나물</t>
    <phoneticPr fontId="12" type="noConversion"/>
  </si>
  <si>
    <t>대파계란탕</t>
    <phoneticPr fontId="12" type="noConversion"/>
  </si>
  <si>
    <t>크래미양배추SD</t>
    <phoneticPr fontId="12" type="noConversion"/>
  </si>
  <si>
    <t>표고탕수[표고버섯채(중국산:46.88%), 밀가루:미국산]78%, 강정소스(케찹, 설탕, 물엿, 참기름)</t>
    <phoneticPr fontId="12" type="noConversion"/>
  </si>
  <si>
    <t>저염표고강정</t>
    <phoneticPr fontId="12" type="noConversion"/>
  </si>
  <si>
    <t>소고기가지나물</t>
    <phoneticPr fontId="12" type="noConversion"/>
  </si>
  <si>
    <t>닭안심채소구이</t>
    <phoneticPr fontId="12" type="noConversion"/>
  </si>
  <si>
    <t>훈제오리어묵잡채</t>
    <phoneticPr fontId="12" type="noConversion"/>
  </si>
  <si>
    <t>당면(원료수입)45%, 어묵채(연육:베트남산.중국산)35%, 훈제오리(국산)7%, 양파, 청피망, 당근, 표고버섯, 대두유, 간장, 설탕, 참기름, 참깨</t>
    <phoneticPr fontId="12" type="noConversion"/>
  </si>
  <si>
    <t>메추리알(국산)77.3%, 표고버섯(원료수입)5%, 정제수, 통후추, 월계수잎, 간장, 설탕, 물엿, 참기름</t>
    <phoneticPr fontId="12" type="noConversion"/>
  </si>
  <si>
    <t>뿌링클치킨</t>
  </si>
  <si>
    <t>훈제오리볶음</t>
  </si>
  <si>
    <t>등갈비김치찜</t>
  </si>
  <si>
    <t>우삼겹떡볶이</t>
  </si>
  <si>
    <t>글로벌
리더스
.
석식</t>
    <phoneticPr fontId="12" type="noConversion"/>
  </si>
  <si>
    <t>미니츄러스</t>
    <phoneticPr fontId="12" type="noConversion"/>
  </si>
  <si>
    <t>츄러스용믹스[밀가루(밀:호주산.미국산.캐나다산), 소맥전분(외국산), 콩기름(콩(외국산), 찹쌀가루</t>
    <phoneticPr fontId="12" type="noConversion"/>
  </si>
  <si>
    <t>샤인머스켓(국내산)</t>
    <phoneticPr fontId="12" type="noConversion"/>
  </si>
  <si>
    <t>2026-01-05(월)</t>
    <phoneticPr fontId="12" type="noConversion"/>
  </si>
  <si>
    <t>2026-01-02(금)</t>
    <phoneticPr fontId="12" type="noConversion"/>
  </si>
  <si>
    <t>소고기무국</t>
    <phoneticPr fontId="12" type="noConversion"/>
  </si>
  <si>
    <t>2026-01-06 09:30~</t>
  </si>
  <si>
    <t>2026-01-06 14:30~</t>
  </si>
  <si>
    <t>2026-01-05 09:30~</t>
  </si>
  <si>
    <t>2026-01-05 14:30~</t>
  </si>
  <si>
    <t>2026-01-06(화)</t>
    <phoneticPr fontId="12" type="noConversion"/>
  </si>
  <si>
    <t>매콤안동찜닭</t>
    <phoneticPr fontId="12" type="noConversion"/>
  </si>
  <si>
    <t>.1.5.6.10.21.</t>
  </si>
  <si>
    <t>닭정육(닭가슴살,닭다리살:국산)53%, 밀떡(밀:수입산), 당근, 양파, 감자, 대파, 마늘, 고춧가루(국내산), 간장, 물엿, 참기름, 후추</t>
    <phoneticPr fontId="12" type="noConversion"/>
  </si>
  <si>
    <t>2026-01-07 09:30~</t>
  </si>
  <si>
    <t>2026-01-07 14:30~</t>
  </si>
  <si>
    <t>2026-01-07(수)</t>
    <phoneticPr fontId="12" type="noConversion"/>
  </si>
  <si>
    <t>2026-01-08 09:30~</t>
  </si>
  <si>
    <t>2026-01-08 14:30~</t>
  </si>
  <si>
    <t>흰쌀밥</t>
    <phoneticPr fontId="12" type="noConversion"/>
  </si>
  <si>
    <t>2026-01-08(목)</t>
    <phoneticPr fontId="12" type="noConversion"/>
  </si>
  <si>
    <t>2026-01-09 09:30~</t>
  </si>
  <si>
    <t>2026-01-09 14:30~</t>
  </si>
  <si>
    <t>2026-01-09(금)</t>
    <phoneticPr fontId="12" type="noConversion"/>
  </si>
  <si>
    <t>포도클럽 : 백김치</t>
    <phoneticPr fontId="12" type="noConversion"/>
  </si>
  <si>
    <t>2026-01-12(월)</t>
  </si>
  <si>
    <t>2026-01-12 09:30~</t>
  </si>
  <si>
    <t>2026-01-12 14:30~</t>
  </si>
  <si>
    <t>2026-01-13 09:30~</t>
  </si>
  <si>
    <t>2026-01-13 14:30~</t>
  </si>
  <si>
    <t>2026-01-13(화)</t>
    <phoneticPr fontId="12" type="noConversion"/>
  </si>
  <si>
    <t>우엉조림</t>
    <phoneticPr fontId="12" type="noConversion"/>
  </si>
  <si>
    <t>2026-01-14 09:30~</t>
  </si>
  <si>
    <t>2026-01-14 14:30~</t>
  </si>
  <si>
    <t>2026-01-14(수)</t>
    <phoneticPr fontId="12" type="noConversion"/>
  </si>
  <si>
    <t>2026-01-15 09:30~</t>
  </si>
  <si>
    <t>2026-01-15 14:30~</t>
  </si>
  <si>
    <t>2026-01-15(목)</t>
    <phoneticPr fontId="12" type="noConversion"/>
  </si>
  <si>
    <t>계란말이</t>
    <phoneticPr fontId="12" type="noConversion"/>
  </si>
  <si>
    <t>위니위니
생파</t>
    <phoneticPr fontId="12" type="noConversion"/>
  </si>
  <si>
    <t>닭봉
1~2ea</t>
    <phoneticPr fontId="12" type="noConversion"/>
  </si>
  <si>
    <t>2026-01-16 09:30~</t>
  </si>
  <si>
    <t>2026-01-16 14:30~</t>
  </si>
  <si>
    <t>2026-01-16(금)</t>
    <phoneticPr fontId="12" type="noConversion"/>
  </si>
  <si>
    <t>소고기미역국</t>
    <phoneticPr fontId="12" type="noConversion"/>
  </si>
  <si>
    <t>50g/60g</t>
    <phoneticPr fontId="12" type="noConversion"/>
  </si>
  <si>
    <t>서빙고초 병설 : 도시락김 ( 6명 / 6봉)
포도클럽 : 백김치 ( 62명 / 1,813g )</t>
    <phoneticPr fontId="12" type="noConversion"/>
  </si>
  <si>
    <t>포도클럽 : 백김치 ( 67명 / 1,963g )
서빙고초 병설 : 도시락김 ( 6명 / 6봉 )</t>
    <phoneticPr fontId="12" type="noConversion"/>
  </si>
  <si>
    <t>2026-01-19(월)</t>
  </si>
  <si>
    <t>2026-01-19 09:30~</t>
  </si>
  <si>
    <t>2026-01-19 14:30~</t>
  </si>
  <si>
    <t>바나나(필리핀산)</t>
    <phoneticPr fontId="12" type="noConversion"/>
  </si>
  <si>
    <t>글로벌리더스 : 얼큰오징어무국</t>
    <phoneticPr fontId="12" type="noConversion"/>
  </si>
  <si>
    <t>2026-01-20 09:30~</t>
  </si>
  <si>
    <t>2026-01-20 14:30~</t>
  </si>
  <si>
    <t>2026-01-20(화)</t>
    <phoneticPr fontId="12" type="noConversion"/>
  </si>
  <si>
    <t>체리(칠레산)</t>
    <phoneticPr fontId="12" type="noConversion"/>
  </si>
  <si>
    <t xml:space="preserve">서빙고초 병설 : 치킨너겟 </t>
    <phoneticPr fontId="12" type="noConversion"/>
  </si>
  <si>
    <t>2026-01-21 09:30~</t>
  </si>
  <si>
    <t>2026-01-21 14:30~</t>
  </si>
  <si>
    <t>2026-01-21(수)</t>
    <phoneticPr fontId="12" type="noConversion"/>
  </si>
  <si>
    <t>2026-01-22 09:30~</t>
  </si>
  <si>
    <t>2026-01-22 14:30~</t>
  </si>
  <si>
    <t>2026-01-22(목)</t>
    <phoneticPr fontId="12" type="noConversion"/>
  </si>
  <si>
    <t>돼지사태(국산)62%, 곤약, 양파, 표고버섯, 파인애플(전처리용), 당근, 대파, 마늘, 생강가루, 월계수잎, 정제수, 간장, 설탕, 맛술, 물엿, 참기름, 후추</t>
    <phoneticPr fontId="12" type="noConversion"/>
  </si>
  <si>
    <t>2026-01-23 09:30~</t>
  </si>
  <si>
    <t>2026-01-23 14:30~</t>
  </si>
  <si>
    <t>2026-01-23(금)</t>
    <phoneticPr fontId="12" type="noConversion"/>
  </si>
  <si>
    <t>2026-01-26(월)</t>
  </si>
  <si>
    <t>2026-01-26 09:30~</t>
  </si>
  <si>
    <t>2026-01-26 14:30~</t>
  </si>
  <si>
    <t>굴림만두
인당 1~2ea</t>
    <phoneticPr fontId="12" type="noConversion"/>
  </si>
  <si>
    <t>2026-01-27 09:30~</t>
  </si>
  <si>
    <t>2026-01-27 14:30~</t>
  </si>
  <si>
    <t>2026-01-27(화)</t>
    <phoneticPr fontId="12" type="noConversion"/>
  </si>
  <si>
    <t>2026-01-28 09:30~</t>
  </si>
  <si>
    <t>2026-01-28 14:30~</t>
  </si>
  <si>
    <t>2026-01-28(수)</t>
    <phoneticPr fontId="12" type="noConversion"/>
  </si>
  <si>
    <t>북어국</t>
    <phoneticPr fontId="12" type="noConversion"/>
  </si>
  <si>
    <t>미역줄기볶음</t>
    <phoneticPr fontId="12" type="noConversion"/>
  </si>
  <si>
    <t>2026-01-29 09:30~</t>
  </si>
  <si>
    <t>2026-01-29 14:30~</t>
  </si>
  <si>
    <t>2026-01-29(목)</t>
    <phoneticPr fontId="12" type="noConversion"/>
  </si>
  <si>
    <t>콩나물무침</t>
    <phoneticPr fontId="12" type="noConversion"/>
  </si>
  <si>
    <t>2026-01-30 09:30~</t>
  </si>
  <si>
    <t>2026-01-30 14:30~</t>
  </si>
  <si>
    <t>2026-01-30(금)</t>
    <phoneticPr fontId="12" type="noConversion"/>
  </si>
  <si>
    <t>메추리알장조림</t>
    <phoneticPr fontId="12" type="noConversion"/>
  </si>
  <si>
    <t>돈육김치찌개</t>
    <phoneticPr fontId="12" type="noConversion"/>
  </si>
  <si>
    <t>미니해물부추전</t>
    <phoneticPr fontId="12" type="noConversion"/>
  </si>
  <si>
    <t>부추(중국산)36.5%, 부침가루[밀가루(밀:호주산,미국산), 정제소금(국산), 찹쌀가루, 정제소금], 정제수, 양파(국산)11.3%, 오징어, 대두유, 정제소금</t>
    <phoneticPr fontId="12" type="noConversion"/>
  </si>
  <si>
    <t>오징어부추전(영풍)</t>
    <phoneticPr fontId="12" type="noConversion"/>
  </si>
  <si>
    <t>서빙고초 병설 : 미니해물부추전</t>
    <phoneticPr fontId="12" type="noConversion"/>
  </si>
  <si>
    <t>매콤돈사태찜</t>
    <phoneticPr fontId="12" type="noConversion"/>
  </si>
  <si>
    <t>포도클럽 : 백김치 ( 67명 / 2,013 )
서빙고초 병설 : 치킨너겟 ( 6명 / 30ea )</t>
    <phoneticPr fontId="12" type="noConversion"/>
  </si>
  <si>
    <t>포도클럽 : 백김치 ( 69명 / 2,030g )</t>
    <phoneticPr fontId="12" type="noConversion"/>
  </si>
  <si>
    <t>황금향(국내산)</t>
    <phoneticPr fontId="12" type="noConversion"/>
  </si>
  <si>
    <t>포도클럽 : 백김치
강서폴리 : 셋팅용 바나나, 셋팅용 귤</t>
    <phoneticPr fontId="12" type="noConversion"/>
  </si>
  <si>
    <t>딸기(국내산)</t>
    <phoneticPr fontId="12" type="noConversion"/>
  </si>
  <si>
    <t>3~4ea</t>
    <phoneticPr fontId="12" type="noConversion"/>
  </si>
  <si>
    <t>서빙고초 병설 : 오믈렛 ( 6명 / 6ea )</t>
    <phoneticPr fontId="12" type="noConversion"/>
  </si>
  <si>
    <t>서빙고초 병설 : 치킨너겟 ( 6명 / 18EA )</t>
    <phoneticPr fontId="12" type="noConversion"/>
  </si>
  <si>
    <t>글로벌리더스 : 매콤돈사태찜</t>
    <phoneticPr fontId="12" type="noConversion"/>
  </si>
  <si>
    <t>굴림만두
인당 2ea</t>
    <phoneticPr fontId="12" type="noConversion"/>
  </si>
  <si>
    <t>모양떡(쌀:수입산85.2%, 소고기(호주산)5%, 양파, 당근, 표고버섯, 피망, 간장, 설탕, 참기름, 참깨</t>
    <phoneticPr fontId="12" type="noConversion"/>
  </si>
  <si>
    <t>포도클럽 : 백김치 ( 67명 / 1,963 )</t>
    <phoneticPr fontId="12" type="noConversion"/>
  </si>
  <si>
    <t>골드키위(뉴질랜드산)</t>
    <phoneticPr fontId="12" type="noConversion"/>
  </si>
  <si>
    <t>배(국내산)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</si>
</sst>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6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8"/>
      <color rgb="FFFF0000"/>
      <name val="맑은 고딕"/>
      <family val="3"/>
      <charset val="129"/>
    </font>
  </fonts>
  <fills count="30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568ED4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2F688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41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3" applyNumberFormat="1" applyFont="1" applyBorder="1">
      <alignment vertical="center"/>
    </xf>
    <xf numFmtId="177" fontId="0" fillId="0" borderId="0" xfId="0" applyNumberFormat="1">
      <alignment vertical="center"/>
    </xf>
    <xf numFmtId="0" fontId="3" fillId="5" borderId="1" xfId="0" applyFont="1" applyFill="1" applyBorder="1" applyAlignment="1">
      <alignment horizontal="center" vertical="center"/>
    </xf>
    <xf numFmtId="41" fontId="3" fillId="5" borderId="1" xfId="3" applyFont="1" applyFill="1" applyBorder="1" applyAlignment="1">
      <alignment horizontal="center" vertical="center" wrapText="1"/>
    </xf>
    <xf numFmtId="41" fontId="3" fillId="5" borderId="1" xfId="3" applyFont="1" applyFill="1" applyBorder="1" applyAlignment="1">
      <alignment horizontal="center"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6" borderId="1" xfId="0" applyNumberForma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1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0" fontId="0" fillId="0" borderId="5" xfId="0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2" borderId="1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41" fontId="4" fillId="13" borderId="1" xfId="3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2" fontId="0" fillId="13" borderId="1" xfId="3" applyNumberFormat="1" applyFont="1" applyFill="1" applyBorder="1">
      <alignment vertical="center"/>
    </xf>
    <xf numFmtId="185" fontId="0" fillId="13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180" fontId="4" fillId="13" borderId="1" xfId="3" applyNumberFormat="1" applyFont="1" applyFill="1" applyBorder="1">
      <alignment vertical="center"/>
    </xf>
    <xf numFmtId="41" fontId="5" fillId="12" borderId="1" xfId="3" applyFont="1" applyFill="1" applyBorder="1" applyAlignment="1">
      <alignment horizontal="center" vertical="center" wrapText="1"/>
    </xf>
    <xf numFmtId="41" fontId="4" fillId="13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3" borderId="1" xfId="3" applyNumberFormat="1" applyFont="1" applyFill="1" applyBorder="1">
      <alignment vertical="center"/>
    </xf>
    <xf numFmtId="188" fontId="1" fillId="13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6" borderId="5" xfId="3" applyFont="1" applyFill="1" applyBorder="1" applyAlignment="1">
      <alignment horizontal="center" vertical="center" wrapText="1"/>
    </xf>
    <xf numFmtId="41" fontId="0" fillId="14" borderId="1" xfId="3" applyFont="1" applyFill="1" applyBorder="1">
      <alignment vertical="center"/>
    </xf>
    <xf numFmtId="181" fontId="0" fillId="14" borderId="1" xfId="3" applyNumberFormat="1" applyFont="1" applyFill="1" applyBorder="1">
      <alignment vertical="center"/>
    </xf>
    <xf numFmtId="184" fontId="0" fillId="14" borderId="1" xfId="3" applyNumberFormat="1" applyFont="1" applyFill="1" applyBorder="1">
      <alignment vertical="center"/>
    </xf>
    <xf numFmtId="182" fontId="0" fillId="14" borderId="1" xfId="0" applyNumberFormat="1" applyFill="1" applyBorder="1">
      <alignment vertical="center"/>
    </xf>
    <xf numFmtId="180" fontId="0" fillId="14" borderId="1" xfId="0" applyNumberFormat="1" applyFill="1" applyBorder="1">
      <alignment vertical="center"/>
    </xf>
    <xf numFmtId="181" fontId="0" fillId="14" borderId="1" xfId="0" applyNumberFormat="1" applyFill="1" applyBorder="1">
      <alignment vertical="center"/>
    </xf>
    <xf numFmtId="183" fontId="0" fillId="14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4" borderId="1" xfId="3" applyNumberFormat="1" applyFont="1" applyFill="1" applyBorder="1">
      <alignment vertical="center"/>
    </xf>
    <xf numFmtId="189" fontId="0" fillId="14" borderId="1" xfId="3" applyNumberFormat="1" applyFont="1" applyFill="1" applyBorder="1">
      <alignment vertical="center"/>
    </xf>
    <xf numFmtId="190" fontId="6" fillId="13" borderId="1" xfId="3" applyNumberFormat="1" applyFont="1" applyFill="1" applyBorder="1">
      <alignment vertical="center"/>
    </xf>
    <xf numFmtId="177" fontId="4" fillId="7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3" borderId="1" xfId="3" applyNumberFormat="1" applyFont="1" applyFill="1" applyBorder="1">
      <alignment vertical="center"/>
    </xf>
    <xf numFmtId="180" fontId="0" fillId="14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3" borderId="1" xfId="3" applyNumberFormat="1" applyFont="1" applyFill="1" applyBorder="1">
      <alignment vertical="center"/>
    </xf>
    <xf numFmtId="186" fontId="0" fillId="14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3" borderId="1" xfId="3" applyNumberFormat="1" applyFont="1" applyFill="1" applyBorder="1">
      <alignment vertical="center"/>
    </xf>
    <xf numFmtId="191" fontId="0" fillId="14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3" borderId="1" xfId="3" applyNumberFormat="1" applyFont="1" applyFill="1" applyBorder="1">
      <alignment vertical="center"/>
    </xf>
    <xf numFmtId="183" fontId="0" fillId="14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7" borderId="1" xfId="3" applyFont="1" applyFill="1" applyBorder="1">
      <alignment vertical="center"/>
    </xf>
    <xf numFmtId="41" fontId="0" fillId="7" borderId="1" xfId="3" applyFont="1" applyFill="1" applyBorder="1">
      <alignment vertical="center"/>
    </xf>
    <xf numFmtId="41" fontId="4" fillId="7" borderId="1" xfId="3" applyFont="1" applyFill="1" applyBorder="1" applyAlignment="1">
      <alignment horizontal="center" vertical="center"/>
    </xf>
    <xf numFmtId="178" fontId="0" fillId="7" borderId="1" xfId="4" applyNumberFormat="1" applyFont="1" applyFill="1" applyBorder="1">
      <alignment vertical="center"/>
    </xf>
    <xf numFmtId="0" fontId="0" fillId="7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3" borderId="0" xfId="3" applyFont="1" applyFill="1">
      <alignment vertical="center"/>
    </xf>
    <xf numFmtId="41" fontId="4" fillId="13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4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7" borderId="1" xfId="3" applyNumberFormat="1" applyFont="1" applyFill="1" applyBorder="1" applyAlignment="1">
      <alignment horizontal="center" vertical="center" wrapText="1"/>
    </xf>
    <xf numFmtId="41" fontId="0" fillId="7" borderId="1" xfId="3" applyFont="1" applyFill="1" applyBorder="1" applyAlignment="1">
      <alignment horizontal="center" vertical="center"/>
    </xf>
    <xf numFmtId="179" fontId="1" fillId="0" borderId="13" xfId="2" applyNumberFormat="1" applyFont="1" applyBorder="1" applyAlignment="1">
      <alignment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5" fillId="0" borderId="16" xfId="2" applyNumberFormat="1" applyFont="1" applyBorder="1" applyAlignment="1">
      <alignment horizontal="center" vertical="center" wrapText="1"/>
    </xf>
    <xf numFmtId="41" fontId="5" fillId="2" borderId="7" xfId="2" applyFont="1" applyFill="1" applyBorder="1" applyAlignment="1">
      <alignment horizontal="center" vertical="center" wrapText="1"/>
    </xf>
    <xf numFmtId="192" fontId="2" fillId="0" borderId="17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6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81" fontId="11" fillId="13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7" borderId="1" xfId="3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vertical="center" wrapText="1"/>
    </xf>
    <xf numFmtId="179" fontId="1" fillId="0" borderId="23" xfId="2" applyNumberFormat="1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3" applyNumberFormat="1" applyFont="1" applyFill="1" applyBorder="1" applyAlignment="1">
      <alignment horizontal="center" vertical="center"/>
    </xf>
    <xf numFmtId="0" fontId="4" fillId="18" borderId="1" xfId="1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0" fillId="18" borderId="0" xfId="0" applyFill="1">
      <alignment vertical="center"/>
    </xf>
    <xf numFmtId="0" fontId="31" fillId="9" borderId="3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3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1" fillId="23" borderId="25" xfId="0" applyFont="1" applyFill="1" applyBorder="1" applyAlignment="1">
      <alignment horizontal="center" vertical="center"/>
    </xf>
    <xf numFmtId="0" fontId="37" fillId="23" borderId="25" xfId="0" applyFont="1" applyFill="1" applyBorder="1" applyAlignment="1">
      <alignment horizontal="center" vertical="center"/>
    </xf>
    <xf numFmtId="0" fontId="38" fillId="23" borderId="2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2" borderId="26" xfId="2" applyNumberFormat="1" applyFont="1" applyFill="1" applyBorder="1" applyAlignment="1">
      <alignment horizontal="left" vertical="center" wrapText="1"/>
    </xf>
    <xf numFmtId="179" fontId="17" fillId="22" borderId="30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23" fillId="18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3" borderId="29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5" xfId="1" applyFont="1" applyBorder="1" applyAlignment="1">
      <alignment horizontal="center" vertical="center" wrapText="1"/>
    </xf>
    <xf numFmtId="0" fontId="20" fillId="24" borderId="39" xfId="0" applyFont="1" applyFill="1" applyBorder="1" applyAlignment="1">
      <alignment horizontal="center" vertical="center"/>
    </xf>
    <xf numFmtId="0" fontId="20" fillId="24" borderId="40" xfId="0" applyFont="1" applyFill="1" applyBorder="1" applyAlignment="1">
      <alignment horizontal="center" vertical="center"/>
    </xf>
    <xf numFmtId="0" fontId="20" fillId="24" borderId="16" xfId="0" applyFont="1" applyFill="1" applyBorder="1" applyAlignment="1">
      <alignment horizontal="center" vertical="center"/>
    </xf>
    <xf numFmtId="0" fontId="20" fillId="24" borderId="15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41" xfId="0" applyFont="1" applyFill="1" applyBorder="1" applyAlignment="1">
      <alignment horizontal="center" vertical="center"/>
    </xf>
    <xf numFmtId="176" fontId="41" fillId="7" borderId="12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2" xfId="1" applyFont="1" applyBorder="1" applyAlignment="1">
      <alignment horizontal="center" vertical="center"/>
    </xf>
    <xf numFmtId="0" fontId="4" fillId="0" borderId="42" xfId="1" applyFont="1" applyBorder="1" applyAlignment="1">
      <alignment vertical="center" wrapText="1"/>
    </xf>
    <xf numFmtId="179" fontId="2" fillId="0" borderId="43" xfId="2" applyNumberFormat="1" applyFont="1" applyBorder="1" applyAlignment="1">
      <alignment horizontal="center" vertical="center" wrapText="1"/>
    </xf>
    <xf numFmtId="192" fontId="2" fillId="0" borderId="44" xfId="2" applyNumberFormat="1" applyFont="1" applyBorder="1" applyAlignment="1">
      <alignment horizontal="center" vertical="center"/>
    </xf>
    <xf numFmtId="179" fontId="1" fillId="0" borderId="45" xfId="2" applyNumberFormat="1" applyFont="1" applyBorder="1" applyAlignment="1">
      <alignment vertical="center" wrapText="1"/>
    </xf>
    <xf numFmtId="0" fontId="29" fillId="19" borderId="46" xfId="0" applyFont="1" applyFill="1" applyBorder="1" applyAlignment="1">
      <alignment horizontal="center" vertical="center"/>
    </xf>
    <xf numFmtId="0" fontId="32" fillId="24" borderId="49" xfId="0" applyFont="1" applyFill="1" applyBorder="1" applyAlignment="1">
      <alignment horizontal="center" vertical="center"/>
    </xf>
    <xf numFmtId="0" fontId="32" fillId="24" borderId="22" xfId="0" applyFont="1" applyFill="1" applyBorder="1" applyAlignment="1">
      <alignment horizontal="center" vertical="center"/>
    </xf>
    <xf numFmtId="0" fontId="31" fillId="9" borderId="36" xfId="0" applyFont="1" applyFill="1" applyBorder="1" applyAlignment="1">
      <alignment horizontal="center" vertical="center"/>
    </xf>
    <xf numFmtId="0" fontId="32" fillId="24" borderId="5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5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23" fillId="25" borderId="1" xfId="0" applyFont="1" applyFill="1" applyBorder="1" applyAlignment="1">
      <alignment horizontal="center" vertical="center"/>
    </xf>
    <xf numFmtId="0" fontId="4" fillId="25" borderId="1" xfId="1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179" fontId="5" fillId="22" borderId="26" xfId="2" applyNumberFormat="1" applyFont="1" applyFill="1" applyBorder="1" applyAlignment="1">
      <alignment horizontal="left" vertical="center" wrapText="1"/>
    </xf>
    <xf numFmtId="0" fontId="22" fillId="23" borderId="25" xfId="0" applyFont="1" applyFill="1" applyBorder="1" applyAlignment="1">
      <alignment horizontal="center" vertical="center"/>
    </xf>
    <xf numFmtId="0" fontId="4" fillId="23" borderId="25" xfId="0" applyFont="1" applyFill="1" applyBorder="1" applyAlignment="1">
      <alignment horizontal="center" vertical="center"/>
    </xf>
    <xf numFmtId="0" fontId="37" fillId="23" borderId="27" xfId="0" applyFont="1" applyFill="1" applyBorder="1" applyAlignment="1">
      <alignment horizontal="center" vertical="center"/>
    </xf>
    <xf numFmtId="176" fontId="1" fillId="0" borderId="52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2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3" xfId="2" applyFont="1" applyBorder="1" applyAlignment="1">
      <alignment horizontal="center" vertical="center" wrapText="1"/>
    </xf>
    <xf numFmtId="41" fontId="1" fillId="3" borderId="19" xfId="2" applyFont="1" applyFill="1" applyBorder="1" applyAlignment="1">
      <alignment horizontal="center" vertical="center"/>
    </xf>
    <xf numFmtId="41" fontId="2" fillId="3" borderId="54" xfId="2" applyFont="1" applyFill="1" applyBorder="1" applyAlignment="1">
      <alignment horizontal="center" vertical="center" wrapText="1"/>
    </xf>
    <xf numFmtId="41" fontId="2" fillId="2" borderId="7" xfId="2" applyFont="1" applyFill="1" applyBorder="1" applyAlignment="1">
      <alignment horizontal="center" vertical="center" wrapText="1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5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179" fontId="2" fillId="3" borderId="7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41" fontId="2" fillId="0" borderId="24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 wrapText="1"/>
    </xf>
    <xf numFmtId="179" fontId="2" fillId="0" borderId="10" xfId="2" applyNumberFormat="1" applyFont="1" applyBorder="1" applyAlignment="1">
      <alignment horizontal="center" vertical="center" wrapText="1"/>
    </xf>
    <xf numFmtId="192" fontId="2" fillId="0" borderId="9" xfId="2" applyNumberFormat="1" applyFont="1" applyBorder="1" applyAlignment="1">
      <alignment horizontal="center" vertical="center"/>
    </xf>
    <xf numFmtId="41" fontId="2" fillId="0" borderId="10" xfId="2" applyFont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5" fillId="27" borderId="1" xfId="0" applyFont="1" applyFill="1" applyBorder="1" applyAlignment="1">
      <alignment vertical="center" wrapText="1"/>
    </xf>
    <xf numFmtId="0" fontId="4" fillId="26" borderId="0" xfId="0" applyFont="1" applyFill="1" applyAlignment="1">
      <alignment horizontal="center" vertical="center"/>
    </xf>
    <xf numFmtId="0" fontId="43" fillId="23" borderId="25" xfId="0" applyFont="1" applyFill="1" applyBorder="1" applyAlignment="1">
      <alignment horizontal="center" vertical="center"/>
    </xf>
    <xf numFmtId="3" fontId="11" fillId="27" borderId="0" xfId="0" applyNumberFormat="1" applyFont="1" applyFill="1">
      <alignment vertical="center"/>
    </xf>
    <xf numFmtId="0" fontId="20" fillId="24" borderId="57" xfId="0" applyFont="1" applyFill="1" applyBorder="1" applyAlignment="1">
      <alignment horizontal="center" vertical="center"/>
    </xf>
    <xf numFmtId="0" fontId="20" fillId="24" borderId="58" xfId="0" applyFont="1" applyFill="1" applyBorder="1" applyAlignment="1">
      <alignment horizontal="center" vertical="center"/>
    </xf>
    <xf numFmtId="179" fontId="17" fillId="22" borderId="28" xfId="2" applyNumberFormat="1" applyFont="1" applyFill="1" applyBorder="1" applyAlignment="1">
      <alignment horizontal="left" vertical="center" wrapText="1"/>
    </xf>
    <xf numFmtId="0" fontId="40" fillId="28" borderId="15" xfId="1" applyFont="1" applyFill="1" applyBorder="1" applyAlignment="1">
      <alignment horizontal="left" vertical="center" wrapText="1"/>
    </xf>
    <xf numFmtId="3" fontId="11" fillId="28" borderId="0" xfId="0" applyNumberFormat="1" applyFont="1" applyFill="1">
      <alignment vertical="center"/>
    </xf>
    <xf numFmtId="0" fontId="11" fillId="28" borderId="0" xfId="0" applyFont="1" applyFill="1">
      <alignment vertical="center"/>
    </xf>
    <xf numFmtId="0" fontId="11" fillId="0" borderId="0" xfId="0" applyFont="1" applyAlignment="1">
      <alignment horizontal="center" vertical="center" wrapText="1"/>
    </xf>
    <xf numFmtId="41" fontId="19" fillId="0" borderId="2" xfId="2" applyFont="1" applyBorder="1" applyAlignment="1">
      <alignment horizontal="left" vertical="center" wrapText="1"/>
    </xf>
    <xf numFmtId="0" fontId="21" fillId="0" borderId="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 wrapText="1"/>
    </xf>
    <xf numFmtId="0" fontId="21" fillId="0" borderId="4" xfId="1" applyFont="1" applyBorder="1" applyAlignment="1">
      <alignment vertical="center" wrapText="1"/>
    </xf>
    <xf numFmtId="179" fontId="41" fillId="0" borderId="1" xfId="2" applyNumberFormat="1" applyFont="1" applyBorder="1" applyAlignment="1">
      <alignment horizontal="center" vertical="center" wrapText="1"/>
    </xf>
    <xf numFmtId="176" fontId="43" fillId="0" borderId="52" xfId="1" applyNumberFormat="1" applyFont="1" applyBorder="1" applyAlignment="1">
      <alignment horizontal="center" vertical="center"/>
    </xf>
    <xf numFmtId="176" fontId="43" fillId="0" borderId="4" xfId="1" applyNumberFormat="1" applyFont="1" applyBorder="1" applyAlignment="1">
      <alignment horizontal="center" vertical="center"/>
    </xf>
    <xf numFmtId="176" fontId="43" fillId="0" borderId="12" xfId="1" applyNumberFormat="1" applyFont="1" applyBorder="1" applyAlignment="1">
      <alignment horizontal="center" vertical="center"/>
    </xf>
    <xf numFmtId="41" fontId="25" fillId="0" borderId="2" xfId="2" applyFont="1" applyBorder="1" applyAlignment="1">
      <alignment horizontal="left" vertical="center" wrapText="1"/>
    </xf>
    <xf numFmtId="0" fontId="22" fillId="0" borderId="4" xfId="1" applyFont="1" applyBorder="1" applyAlignment="1">
      <alignment horizontal="center" vertical="center"/>
    </xf>
    <xf numFmtId="0" fontId="22" fillId="0" borderId="4" xfId="1" applyFont="1" applyBorder="1" applyAlignment="1">
      <alignment vertical="center" wrapText="1"/>
    </xf>
    <xf numFmtId="179" fontId="20" fillId="0" borderId="1" xfId="2" applyNumberFormat="1" applyFont="1" applyBorder="1" applyAlignment="1">
      <alignment horizontal="center" vertical="center" wrapText="1"/>
    </xf>
    <xf numFmtId="194" fontId="32" fillId="20" borderId="50" xfId="0" applyNumberFormat="1" applyFont="1" applyFill="1" applyBorder="1" applyAlignment="1">
      <alignment horizontal="center" vertical="center"/>
    </xf>
    <xf numFmtId="194" fontId="32" fillId="20" borderId="11" xfId="0" applyNumberFormat="1" applyFont="1" applyFill="1" applyBorder="1" applyAlignment="1">
      <alignment horizontal="center" vertical="center"/>
    </xf>
    <xf numFmtId="0" fontId="28" fillId="16" borderId="27" xfId="0" applyFont="1" applyFill="1" applyBorder="1" applyAlignment="1">
      <alignment horizontal="center" vertical="center"/>
    </xf>
    <xf numFmtId="0" fontId="28" fillId="16" borderId="31" xfId="0" applyFont="1" applyFill="1" applyBorder="1" applyAlignment="1">
      <alignment horizontal="center" vertical="center"/>
    </xf>
    <xf numFmtId="0" fontId="28" fillId="16" borderId="28" xfId="0" applyFont="1" applyFill="1" applyBorder="1" applyAlignment="1">
      <alignment horizontal="center" vertical="center"/>
    </xf>
    <xf numFmtId="193" fontId="30" fillId="19" borderId="47" xfId="0" applyNumberFormat="1" applyFont="1" applyFill="1" applyBorder="1" applyAlignment="1">
      <alignment horizontal="center" vertical="center"/>
    </xf>
    <xf numFmtId="193" fontId="30" fillId="19" borderId="33" xfId="0" applyNumberFormat="1" applyFont="1" applyFill="1" applyBorder="1" applyAlignment="1">
      <alignment horizontal="center" vertical="center"/>
    </xf>
    <xf numFmtId="193" fontId="30" fillId="19" borderId="32" xfId="0" applyNumberFormat="1" applyFont="1" applyFill="1" applyBorder="1" applyAlignment="1">
      <alignment horizontal="center" vertical="center"/>
    </xf>
    <xf numFmtId="193" fontId="30" fillId="19" borderId="34" xfId="0" applyNumberFormat="1" applyFont="1" applyFill="1" applyBorder="1" applyAlignment="1">
      <alignment horizontal="center" vertical="center"/>
    </xf>
    <xf numFmtId="193" fontId="30" fillId="19" borderId="48" xfId="0" applyNumberFormat="1" applyFont="1" applyFill="1" applyBorder="1" applyAlignment="1">
      <alignment horizontal="center" vertical="center"/>
    </xf>
    <xf numFmtId="0" fontId="31" fillId="22" borderId="19" xfId="0" applyFont="1" applyFill="1" applyBorder="1" applyAlignment="1">
      <alignment horizontal="center" vertical="center"/>
    </xf>
    <xf numFmtId="0" fontId="31" fillId="22" borderId="18" xfId="0" applyFont="1" applyFill="1" applyBorder="1" applyAlignment="1">
      <alignment horizontal="center" vertical="center"/>
    </xf>
    <xf numFmtId="0" fontId="31" fillId="22" borderId="20" xfId="0" applyFont="1" applyFill="1" applyBorder="1" applyAlignment="1">
      <alignment horizontal="center" vertical="center"/>
    </xf>
    <xf numFmtId="194" fontId="3" fillId="20" borderId="24" xfId="0" applyNumberFormat="1" applyFont="1" applyFill="1" applyBorder="1" applyAlignment="1">
      <alignment horizontal="center" vertical="center"/>
    </xf>
    <xf numFmtId="194" fontId="3" fillId="20" borderId="37" xfId="0" applyNumberFormat="1" applyFont="1" applyFill="1" applyBorder="1" applyAlignment="1">
      <alignment horizontal="center" vertical="center"/>
    </xf>
    <xf numFmtId="194" fontId="3" fillId="20" borderId="50" xfId="0" applyNumberFormat="1" applyFont="1" applyFill="1" applyBorder="1" applyAlignment="1">
      <alignment horizontal="center" vertical="center"/>
    </xf>
    <xf numFmtId="194" fontId="3" fillId="20" borderId="11" xfId="0" applyNumberFormat="1" applyFont="1" applyFill="1" applyBorder="1" applyAlignment="1">
      <alignment horizontal="center" vertical="center"/>
    </xf>
    <xf numFmtId="194" fontId="32" fillId="20" borderId="36" xfId="0" applyNumberFormat="1" applyFont="1" applyFill="1" applyBorder="1" applyAlignment="1">
      <alignment horizontal="center" vertical="center"/>
    </xf>
    <xf numFmtId="194" fontId="32" fillId="20" borderId="37" xfId="0" applyNumberFormat="1" applyFont="1" applyFill="1" applyBorder="1" applyAlignment="1">
      <alignment horizontal="center" vertical="center"/>
    </xf>
    <xf numFmtId="0" fontId="31" fillId="21" borderId="32" xfId="0" applyFont="1" applyFill="1" applyBorder="1" applyAlignment="1">
      <alignment horizontal="center" vertical="center" wrapText="1"/>
    </xf>
    <xf numFmtId="0" fontId="31" fillId="21" borderId="33" xfId="0" applyFont="1" applyFill="1" applyBorder="1" applyAlignment="1">
      <alignment horizontal="center" vertical="center" wrapText="1"/>
    </xf>
    <xf numFmtId="0" fontId="31" fillId="21" borderId="34" xfId="0" applyFont="1" applyFill="1" applyBorder="1" applyAlignment="1">
      <alignment horizontal="center" vertical="center" wrapText="1"/>
    </xf>
    <xf numFmtId="0" fontId="31" fillId="22" borderId="27" xfId="0" applyFont="1" applyFill="1" applyBorder="1" applyAlignment="1">
      <alignment horizontal="center" vertical="center"/>
    </xf>
    <xf numFmtId="0" fontId="31" fillId="22" borderId="25" xfId="0" applyFont="1" applyFill="1" applyBorder="1" applyAlignment="1">
      <alignment horizontal="center" vertical="center"/>
    </xf>
    <xf numFmtId="0" fontId="31" fillId="22" borderId="29" xfId="0" applyFont="1" applyFill="1" applyBorder="1" applyAlignment="1">
      <alignment horizontal="center" vertical="center"/>
    </xf>
    <xf numFmtId="194" fontId="44" fillId="20" borderId="24" xfId="0" applyNumberFormat="1" applyFont="1" applyFill="1" applyBorder="1" applyAlignment="1">
      <alignment horizontal="center" vertical="center"/>
    </xf>
    <xf numFmtId="194" fontId="44" fillId="20" borderId="37" xfId="0" applyNumberFormat="1" applyFont="1" applyFill="1" applyBorder="1" applyAlignment="1">
      <alignment horizontal="center" vertical="center"/>
    </xf>
    <xf numFmtId="0" fontId="45" fillId="23" borderId="27" xfId="0" applyFont="1" applyFill="1" applyBorder="1" applyAlignment="1">
      <alignment horizontal="center" vertical="center"/>
    </xf>
    <xf numFmtId="0" fontId="45" fillId="23" borderId="28" xfId="0" applyFont="1" applyFill="1" applyBorder="1" applyAlignment="1">
      <alignment horizontal="center" vertical="center"/>
    </xf>
    <xf numFmtId="0" fontId="45" fillId="23" borderId="25" xfId="0" applyFont="1" applyFill="1" applyBorder="1" applyAlignment="1">
      <alignment horizontal="center" vertical="center"/>
    </xf>
    <xf numFmtId="0" fontId="45" fillId="23" borderId="26" xfId="0" applyFont="1" applyFill="1" applyBorder="1" applyAlignment="1">
      <alignment horizontal="center" vertical="center"/>
    </xf>
    <xf numFmtId="0" fontId="45" fillId="23" borderId="29" xfId="0" applyFont="1" applyFill="1" applyBorder="1" applyAlignment="1">
      <alignment horizontal="center" vertical="center"/>
    </xf>
    <xf numFmtId="0" fontId="45" fillId="23" borderId="30" xfId="0" applyFont="1" applyFill="1" applyBorder="1" applyAlignment="1">
      <alignment horizontal="center" vertical="center"/>
    </xf>
    <xf numFmtId="14" fontId="16" fillId="0" borderId="21" xfId="0" applyNumberFormat="1" applyFont="1" applyBorder="1" applyAlignment="1">
      <alignment horizontal="center" vertical="center"/>
    </xf>
    <xf numFmtId="176" fontId="2" fillId="15" borderId="19" xfId="1" applyNumberFormat="1" applyFont="1" applyFill="1" applyBorder="1" applyAlignment="1">
      <alignment horizontal="center" vertical="center" wrapText="1"/>
    </xf>
    <xf numFmtId="176" fontId="2" fillId="15" borderId="18" xfId="1" applyNumberFormat="1" applyFont="1" applyFill="1" applyBorder="1" applyAlignment="1">
      <alignment horizontal="center" vertical="center" wrapText="1"/>
    </xf>
    <xf numFmtId="176" fontId="2" fillId="15" borderId="20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29" borderId="19" xfId="1" applyNumberFormat="1" applyFont="1" applyFill="1" applyBorder="1" applyAlignment="1">
      <alignment horizontal="center" vertical="center" wrapText="1"/>
    </xf>
    <xf numFmtId="176" fontId="2" fillId="29" borderId="18" xfId="1" applyNumberFormat="1" applyFont="1" applyFill="1" applyBorder="1" applyAlignment="1">
      <alignment horizontal="center" vertical="center" wrapText="1"/>
    </xf>
    <xf numFmtId="176" fontId="2" fillId="29" borderId="20" xfId="1" applyNumberFormat="1" applyFont="1" applyFill="1" applyBorder="1" applyAlignment="1">
      <alignment horizontal="center" vertical="center" wrapText="1"/>
    </xf>
    <xf numFmtId="176" fontId="2" fillId="7" borderId="19" xfId="1" applyNumberFormat="1" applyFont="1" applyFill="1" applyBorder="1" applyAlignment="1">
      <alignment horizontal="center" vertical="center" wrapText="1"/>
    </xf>
    <xf numFmtId="176" fontId="2" fillId="7" borderId="18" xfId="1" applyNumberFormat="1" applyFont="1" applyFill="1" applyBorder="1" applyAlignment="1">
      <alignment horizontal="center" vertical="center" wrapText="1"/>
    </xf>
    <xf numFmtId="176" fontId="2" fillId="7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/>
    </xf>
    <xf numFmtId="176" fontId="1" fillId="0" borderId="38" xfId="1" applyNumberFormat="1" applyFont="1" applyBorder="1" applyAlignment="1">
      <alignment horizontal="center" vertical="center"/>
    </xf>
    <xf numFmtId="176" fontId="41" fillId="7" borderId="12" xfId="1" applyNumberFormat="1" applyFont="1" applyFill="1" applyBorder="1" applyAlignment="1">
      <alignment horizontal="center" vertical="center" wrapText="1"/>
    </xf>
    <xf numFmtId="176" fontId="41" fillId="7" borderId="38" xfId="1" applyNumberFormat="1" applyFont="1" applyFill="1" applyBorder="1" applyAlignment="1">
      <alignment horizontal="center" vertical="center" wrapText="1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41D7371C-7254-41E2-ADD4-9A19F11C7BB0}"/>
    <cellStyle name="표준 3" xfId="8" xr:uid="{00000000-0005-0000-0000-00000E000000}"/>
  </cellStyles>
  <dxfs count="91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72F688"/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4693-7AE8-44A9-B959-7FB51805016B}">
  <sheetPr codeName="Sheet2">
    <pageSetUpPr fitToPage="1"/>
  </sheetPr>
  <dimension ref="A1:R53"/>
  <sheetViews>
    <sheetView zoomScale="60" zoomScaleNormal="60" workbookViewId="0">
      <selection activeCell="P3" sqref="P3:P34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295"/>
      <c r="B1" s="296"/>
      <c r="C1" s="296"/>
      <c r="D1" s="296"/>
      <c r="E1" s="296"/>
      <c r="F1" s="296"/>
      <c r="G1" s="296"/>
      <c r="H1" s="296"/>
      <c r="I1" s="296"/>
      <c r="J1" s="296"/>
      <c r="K1" s="297"/>
      <c r="P1" s="271"/>
    </row>
    <row r="2" spans="1:18" ht="24.95" customHeight="1" thickBot="1">
      <c r="A2" s="230" t="s">
        <v>1072</v>
      </c>
      <c r="B2" s="298" t="s">
        <v>1073</v>
      </c>
      <c r="C2" s="299"/>
      <c r="D2" s="300" t="s">
        <v>1074</v>
      </c>
      <c r="E2" s="301"/>
      <c r="F2" s="299" t="s">
        <v>1075</v>
      </c>
      <c r="G2" s="302"/>
      <c r="H2" s="298" t="s">
        <v>1076</v>
      </c>
      <c r="I2" s="302"/>
      <c r="J2" s="298" t="s">
        <v>1077</v>
      </c>
      <c r="K2" s="301"/>
    </row>
    <row r="3" spans="1:18" ht="24.95" customHeight="1">
      <c r="A3" s="233" t="s">
        <v>1078</v>
      </c>
      <c r="B3" s="293"/>
      <c r="C3" s="294"/>
      <c r="D3" s="293"/>
      <c r="E3" s="294"/>
      <c r="F3" s="293"/>
      <c r="G3" s="294"/>
      <c r="H3" s="293"/>
      <c r="I3" s="294"/>
      <c r="J3" s="293"/>
      <c r="K3" s="294"/>
      <c r="L3" s="293"/>
      <c r="M3" s="294"/>
      <c r="P3" s="273" t="s">
        <v>2054</v>
      </c>
    </row>
    <row r="4" spans="1:18" ht="20.100000000000001" customHeight="1" thickBot="1">
      <c r="A4" s="234" t="s">
        <v>1080</v>
      </c>
      <c r="B4" s="274" t="s">
        <v>1081</v>
      </c>
      <c r="C4" s="275" t="s">
        <v>1082</v>
      </c>
      <c r="D4" s="219" t="s">
        <v>1081</v>
      </c>
      <c r="E4" s="218" t="s">
        <v>1082</v>
      </c>
      <c r="F4" s="219" t="s">
        <v>1081</v>
      </c>
      <c r="G4" s="220" t="s">
        <v>1082</v>
      </c>
      <c r="H4" s="216" t="s">
        <v>1081</v>
      </c>
      <c r="I4" s="221" t="s">
        <v>1082</v>
      </c>
      <c r="J4" s="216" t="s">
        <v>1081</v>
      </c>
      <c r="K4" s="221" t="s">
        <v>1082</v>
      </c>
      <c r="L4" s="216" t="s">
        <v>1081</v>
      </c>
      <c r="M4" s="221" t="s">
        <v>1082</v>
      </c>
      <c r="P4" s="273" t="s">
        <v>693</v>
      </c>
    </row>
    <row r="5" spans="1:18" ht="20.100000000000001" customHeight="1">
      <c r="A5" s="303" t="s">
        <v>1904</v>
      </c>
      <c r="B5" s="244"/>
      <c r="C5" s="276" t="str">
        <f>IFERROR(INDEX(온라인_반찬!$C$2:$I$587,MATCH($B5,온라인_반찬!$C$2:$C$587,0),7),"")</f>
        <v/>
      </c>
      <c r="D5" s="183"/>
      <c r="E5" s="203" t="str">
        <f>IFERROR(INDEX(온라인_반찬!$C$2:$I$587,MATCH($D5,온라인_반찬!$C$2:$C$587,0),7),"")</f>
        <v/>
      </c>
      <c r="F5" s="183"/>
      <c r="G5" s="203" t="str">
        <f>IFERROR(INDEX(온라인_반찬!$C$2:$I$587,MATCH($F5,온라인_반찬!$C$2:$C$587,0),7),"")</f>
        <v/>
      </c>
      <c r="H5" s="177"/>
      <c r="I5" s="203" t="str">
        <f>IFERROR(INDEX(온라인_반찬!$C$2:$I$587,MATCH($H5,온라인_반찬!$C$2:$C$587,0),7),"")</f>
        <v/>
      </c>
      <c r="J5" s="177"/>
      <c r="K5" s="203" t="str">
        <f>IFERROR(INDEX(온라인_반찬!$C$2:$I$587,MATCH($J5,온라인_반찬!$C$2:$C$587,0),7),"")</f>
        <v/>
      </c>
      <c r="L5" s="242"/>
      <c r="M5" s="241"/>
      <c r="P5" s="273" t="s">
        <v>1900</v>
      </c>
    </row>
    <row r="6" spans="1:18" ht="20.100000000000001" customHeight="1">
      <c r="A6" s="304"/>
      <c r="B6" s="183"/>
      <c r="C6" s="203" t="str">
        <f>IFERROR(INDEX(온라인_반찬!$C$2:$I$587,MATCH($B6,온라인_반찬!$C$2:$C$587,0),7),"")</f>
        <v/>
      </c>
      <c r="D6" s="177"/>
      <c r="E6" s="203" t="str">
        <f>IFERROR(INDEX(온라인_반찬!$C$2:$I$587,MATCH($D6,온라인_반찬!$C$2:$C$587,0),7),"")</f>
        <v/>
      </c>
      <c r="F6" s="178"/>
      <c r="G6" s="203" t="str">
        <f>IFERROR(INDEX(온라인_반찬!$C$2:$I$587,MATCH($F6,온라인_반찬!$C$2:$C$587,0),7),"")</f>
        <v/>
      </c>
      <c r="H6" s="179"/>
      <c r="I6" s="203" t="str">
        <f>IFERROR(INDEX(온라인_반찬!$C$2:$I$587,MATCH($H6,온라인_반찬!$C$2:$C$587,0),7),"")</f>
        <v/>
      </c>
      <c r="J6" s="179"/>
      <c r="K6" s="203" t="str">
        <f>IFERROR(INDEX(온라인_반찬!$C$2:$I$587,MATCH($J6,온라인_반찬!$C$2:$C$587,0),7),"")</f>
        <v/>
      </c>
      <c r="L6" s="243"/>
      <c r="M6" s="241"/>
      <c r="P6" s="273" t="s">
        <v>1457</v>
      </c>
    </row>
    <row r="7" spans="1:18" ht="20.100000000000001" customHeight="1">
      <c r="A7" s="304"/>
      <c r="B7" s="182"/>
      <c r="C7" s="203" t="str">
        <f>IFERROR(INDEX(온라인_반찬!$C$2:$I$587,MATCH($B7,온라인_반찬!$C$2:$C$587,0),7),"")</f>
        <v/>
      </c>
      <c r="D7" s="179"/>
      <c r="E7" s="203" t="str">
        <f>IFERROR(INDEX(온라인_반찬!$C$2:$I$587,MATCH($D7,온라인_반찬!$C$2:$C$587,0),7),"")</f>
        <v/>
      </c>
      <c r="F7" s="178"/>
      <c r="G7" s="203" t="str">
        <f>IFERROR(INDEX(온라인_반찬!$C$2:$I$587,MATCH($F7,온라인_반찬!$C$2:$C$587,0),7),"")</f>
        <v/>
      </c>
      <c r="H7" s="179"/>
      <c r="I7" s="203" t="str">
        <f>IFERROR(INDEX(온라인_반찬!$C$2:$I$587,MATCH($H7,온라인_반찬!$C$2:$C$587,0),7),"")</f>
        <v/>
      </c>
      <c r="J7" s="179"/>
      <c r="K7" s="203" t="str">
        <f>IFERROR(INDEX(온라인_반찬!$C$2:$I$587,MATCH($J7,온라인_반찬!$C$2:$C$587,0),7),"")</f>
        <v/>
      </c>
      <c r="L7" s="243"/>
      <c r="M7" s="241"/>
      <c r="P7" s="273" t="s">
        <v>1811</v>
      </c>
    </row>
    <row r="8" spans="1:18" ht="20.100000000000001" customHeight="1">
      <c r="A8" s="304"/>
      <c r="B8" s="182"/>
      <c r="C8" s="203" t="str">
        <f>IFERROR(INDEX(온라인_반찬!$C$2:$I$587,MATCH($B8,온라인_반찬!$C$2:$C$587,0),7),"")</f>
        <v/>
      </c>
      <c r="D8" s="179"/>
      <c r="E8" s="203" t="str">
        <f>IFERROR(INDEX(온라인_반찬!$C$2:$I$587,MATCH($D8,온라인_반찬!$C$2:$C$587,0),7),"")</f>
        <v/>
      </c>
      <c r="F8" s="178"/>
      <c r="G8" s="203" t="str">
        <f>IFERROR(INDEX(온라인_반찬!$C$2:$I$587,MATCH($F8,온라인_반찬!$C$2:$C$587,0),7),"")</f>
        <v/>
      </c>
      <c r="H8" s="179"/>
      <c r="I8" s="203" t="str">
        <f>IFERROR(INDEX(온라인_반찬!$C$2:$I$587,MATCH($H8,온라인_반찬!$C$2:$C$587,0),7),"")</f>
        <v/>
      </c>
      <c r="J8" s="179"/>
      <c r="K8" s="203" t="str">
        <f>IFERROR(INDEX(온라인_반찬!$C$2:$I$587,MATCH($J8,온라인_반찬!$C$2:$C$587,0),7),"")</f>
        <v/>
      </c>
      <c r="L8" s="243"/>
      <c r="M8" s="241"/>
      <c r="P8" s="273" t="s">
        <v>1578</v>
      </c>
    </row>
    <row r="9" spans="1:18" ht="20.100000000000001" customHeight="1">
      <c r="A9" s="304"/>
      <c r="B9" s="182"/>
      <c r="C9" s="203" t="str">
        <f>IFERROR(INDEX(온라인_반찬!$C$2:$I$587,MATCH($B9,온라인_반찬!$C$2:$C$587,0),7),"")</f>
        <v/>
      </c>
      <c r="D9" s="179"/>
      <c r="E9" s="203" t="str">
        <f>IFERROR(INDEX(온라인_반찬!$C$2:$I$587,MATCH($D9,온라인_반찬!$C$2:$C$587,0),7),"")</f>
        <v/>
      </c>
      <c r="F9" s="178"/>
      <c r="G9" s="203" t="str">
        <f>IFERROR(INDEX(온라인_반찬!$C$2:$I$587,MATCH($F9,온라인_반찬!$C$2:$C$587,0),7),"")</f>
        <v/>
      </c>
      <c r="H9" s="179"/>
      <c r="I9" s="203" t="str">
        <f>IFERROR(INDEX(온라인_반찬!$C$2:$I$587,MATCH($H9,온라인_반찬!$C$2:$C$587,0),7),"")</f>
        <v/>
      </c>
      <c r="J9" s="179"/>
      <c r="K9" s="203" t="str">
        <f>IFERROR(INDEX(온라인_반찬!$C$2:$I$587,MATCH($J9,온라인_반찬!$C$2:$C$587,0),7),"")</f>
        <v/>
      </c>
      <c r="L9" s="243"/>
      <c r="M9" s="241"/>
      <c r="P9" s="273" t="s">
        <v>1783</v>
      </c>
    </row>
    <row r="10" spans="1:18" ht="20.100000000000001" customHeight="1">
      <c r="A10" s="304"/>
      <c r="B10" s="182"/>
      <c r="C10" s="203" t="str">
        <f>IFERROR(INDEX(온라인_반찬!$C$2:$I$587,MATCH($B10,온라인_반찬!$C$2:$C$587,0),7),"")</f>
        <v/>
      </c>
      <c r="D10" s="179"/>
      <c r="E10" s="203" t="str">
        <f>IFERROR(INDEX(온라인_반찬!$C$2:$I$587,MATCH($D10,온라인_반찬!$C$2:$C$587,0),7),"")</f>
        <v/>
      </c>
      <c r="F10" s="180"/>
      <c r="G10" s="203" t="str">
        <f>IFERROR(INDEX(온라인_반찬!$C$2:$I$587,MATCH($F10,온라인_반찬!$C$2:$C$587,0),7),"")</f>
        <v/>
      </c>
      <c r="H10" s="179"/>
      <c r="I10" s="203" t="str">
        <f>IFERROR(INDEX(온라인_반찬!$C$2:$I$587,MATCH($H10,온라인_반찬!$C$2:$C$587,0),7),"")</f>
        <v/>
      </c>
      <c r="J10" s="179"/>
      <c r="K10" s="203" t="str">
        <f>IFERROR(INDEX(온라인_반찬!$C$2:$I$587,MATCH($J10,온라인_반찬!$C$2:$C$587,0),7),"")</f>
        <v/>
      </c>
      <c r="L10" s="184"/>
      <c r="M10" s="203"/>
      <c r="N10" s="120"/>
      <c r="P10" s="273" t="s">
        <v>1202</v>
      </c>
    </row>
    <row r="11" spans="1:18" ht="20.100000000000001" customHeight="1">
      <c r="A11" s="304"/>
      <c r="B11" s="272"/>
      <c r="C11" s="203" t="str">
        <f>IFERROR(INDEX(온라인_반찬!$C$2:$I$587,MATCH($B11,온라인_반찬!$C$2:$C$587,0),7),"")</f>
        <v/>
      </c>
      <c r="D11" s="181"/>
      <c r="E11" s="203" t="str">
        <f>IFERROR(INDEX(온라인_반찬!$C$2:$I$587,MATCH($D11,온라인_반찬!$C$2:$C$587,0),7),"")</f>
        <v/>
      </c>
      <c r="F11" s="180"/>
      <c r="G11" s="203" t="str">
        <f>IFERROR(INDEX(온라인_반찬!$C$2:$I$587,MATCH($F11,온라인_반찬!$C$2:$C$587,0),7),"")</f>
        <v/>
      </c>
      <c r="H11" s="177"/>
      <c r="I11" s="203" t="str">
        <f>IFERROR(INDEX(온라인_반찬!$C$2:$I$587,MATCH($H11,온라인_반찬!$C$2:$C$587,0),7),"")</f>
        <v/>
      </c>
      <c r="J11" s="179"/>
      <c r="K11" s="203" t="str">
        <f>IFERROR(INDEX(온라인_반찬!$C$2:$I$587,MATCH($J11,온라인_반찬!$C$2:$C$587,0),7),"")</f>
        <v/>
      </c>
      <c r="L11" s="182"/>
      <c r="M11" s="203"/>
      <c r="P11" s="273" t="s">
        <v>1641</v>
      </c>
    </row>
    <row r="12" spans="1:18" ht="19.5" customHeight="1" thickBot="1">
      <c r="A12" s="305"/>
      <c r="B12" s="213"/>
      <c r="C12" s="204" t="str">
        <f>IFERROR(INDEX(온라인_반찬!$C$2:$I$587,MATCH($B12,온라인_반찬!$C$2:$C$587,0),7),"")</f>
        <v/>
      </c>
      <c r="D12" s="179" t="s">
        <v>2074</v>
      </c>
      <c r="E12" s="204"/>
      <c r="F12" s="213"/>
      <c r="G12" s="203" t="str">
        <f>IFERROR(INDEX(온라인_반찬!$C$2:$I$587,MATCH($F12,온라인_반찬!$C$2:$C$587,0),7),"")</f>
        <v/>
      </c>
      <c r="H12" s="179" t="s">
        <v>2074</v>
      </c>
      <c r="I12" s="204"/>
      <c r="J12" s="177" t="s">
        <v>2223</v>
      </c>
      <c r="K12" s="203" t="str">
        <f>IFERROR(INDEX(온라인_반찬!$C$2:$I$587,MATCH($J12,온라인_반찬!$C$2:$C$587,0),7),"")</f>
        <v>.1.2.5.6.15.</v>
      </c>
      <c r="L12" s="213"/>
      <c r="M12" s="204"/>
      <c r="P12" s="273" t="s">
        <v>1626</v>
      </c>
    </row>
    <row r="13" spans="1:18" ht="24.95" customHeight="1">
      <c r="A13" s="175" t="s">
        <v>1078</v>
      </c>
      <c r="B13" s="293"/>
      <c r="C13" s="294"/>
      <c r="D13" s="293"/>
      <c r="E13" s="294"/>
      <c r="F13" s="293"/>
      <c r="G13" s="294"/>
      <c r="H13" s="293"/>
      <c r="I13" s="294"/>
      <c r="J13" s="306"/>
      <c r="K13" s="307"/>
      <c r="L13" s="306"/>
      <c r="M13" s="307"/>
      <c r="N13" s="308"/>
      <c r="O13" s="309"/>
      <c r="P13" s="273" t="s">
        <v>1486</v>
      </c>
      <c r="R13" s="248"/>
    </row>
    <row r="14" spans="1:18" ht="20.100000000000001" customHeight="1" thickBot="1">
      <c r="A14" s="231" t="s">
        <v>1080</v>
      </c>
      <c r="B14" s="217" t="s">
        <v>1081</v>
      </c>
      <c r="C14" s="220" t="s">
        <v>1082</v>
      </c>
      <c r="D14" s="217" t="s">
        <v>1081</v>
      </c>
      <c r="E14" s="220" t="s">
        <v>1082</v>
      </c>
      <c r="F14" s="217" t="s">
        <v>1081</v>
      </c>
      <c r="G14" s="220" t="s">
        <v>1082</v>
      </c>
      <c r="H14" s="217" t="s">
        <v>1081</v>
      </c>
      <c r="I14" s="220" t="s">
        <v>1082</v>
      </c>
      <c r="J14" s="217" t="s">
        <v>1081</v>
      </c>
      <c r="K14" s="218" t="s">
        <v>1082</v>
      </c>
      <c r="L14" s="216" t="s">
        <v>1081</v>
      </c>
      <c r="M14" s="221" t="s">
        <v>1082</v>
      </c>
      <c r="N14" s="216" t="s">
        <v>1081</v>
      </c>
      <c r="O14" s="221" t="s">
        <v>1082</v>
      </c>
      <c r="P14" s="273" t="s">
        <v>1899</v>
      </c>
    </row>
    <row r="15" spans="1:18" ht="20.100000000000001" customHeight="1">
      <c r="A15" s="303" t="s">
        <v>1083</v>
      </c>
      <c r="B15" s="244"/>
      <c r="C15" s="276" t="str">
        <f>IFERROR(INDEX(온라인_반찬!$C$2:$I$587,MATCH($B15,온라인_반찬!$C$2:$C$587,0),7),"")</f>
        <v/>
      </c>
      <c r="D15" s="183"/>
      <c r="E15" s="203" t="str">
        <f>IFERROR(INDEX(온라인_반찬!$C$2:$I$587,MATCH($D15,온라인_반찬!$C$2:$C$587,0),7),"")</f>
        <v/>
      </c>
      <c r="F15" s="183"/>
      <c r="G15" s="203" t="str">
        <f>IFERROR(INDEX(온라인_반찬!$C$2:$I$587,MATCH($F15,온라인_반찬!$C$2:$C$587,0),7),"")</f>
        <v/>
      </c>
      <c r="H15" s="177"/>
      <c r="I15" s="203" t="str">
        <f>IFERROR(INDEX(온라인_반찬!$C$2:$I$587,MATCH($H15,온라인_반찬!$C$2:$C$587,0),7),"")</f>
        <v/>
      </c>
      <c r="J15" s="177"/>
      <c r="K15" s="203" t="str">
        <f>IFERROR(INDEX(온라인_반찬!$C$2:$I$587,MATCH($J15,온라인_반찬!$C$2:$C$587,0),7),"")</f>
        <v/>
      </c>
      <c r="L15" s="177"/>
      <c r="M15" s="203"/>
      <c r="N15" s="242"/>
      <c r="O15" s="241"/>
      <c r="P15" s="273" t="s">
        <v>809</v>
      </c>
      <c r="R15" s="248"/>
    </row>
    <row r="16" spans="1:18" ht="20.100000000000001" customHeight="1">
      <c r="A16" s="304"/>
      <c r="B16" s="183"/>
      <c r="C16" s="203" t="str">
        <f>IFERROR(INDEX(온라인_반찬!$C$2:$I$587,MATCH($B16,온라인_반찬!$C$2:$C$587,0),7),"")</f>
        <v/>
      </c>
      <c r="D16" s="177"/>
      <c r="E16" s="203" t="str">
        <f>IFERROR(INDEX(온라인_반찬!$C$2:$I$587,MATCH($D16,온라인_반찬!$C$2:$C$587,0),7),"")</f>
        <v/>
      </c>
      <c r="F16" s="178"/>
      <c r="G16" s="203" t="str">
        <f>IFERROR(INDEX(온라인_반찬!$C$2:$I$587,MATCH($F16,온라인_반찬!$C$2:$C$587,0),7),"")</f>
        <v/>
      </c>
      <c r="H16" s="179"/>
      <c r="I16" s="203" t="str">
        <f>IFERROR(INDEX(온라인_반찬!$C$2:$I$587,MATCH($H16,온라인_반찬!$C$2:$C$587,0),7),"")</f>
        <v/>
      </c>
      <c r="J16" s="179"/>
      <c r="K16" s="203" t="str">
        <f>IFERROR(INDEX(온라인_반찬!$C$2:$I$587,MATCH($J16,온라인_반찬!$C$2:$C$587,0),7),"")</f>
        <v/>
      </c>
      <c r="L16" s="179"/>
      <c r="M16" s="203"/>
      <c r="N16" s="243"/>
      <c r="O16" s="241"/>
      <c r="P16" s="273" t="s">
        <v>2055</v>
      </c>
      <c r="R16" s="248"/>
    </row>
    <row r="17" spans="1:18" ht="19.5" customHeight="1">
      <c r="A17" s="304"/>
      <c r="B17" s="182"/>
      <c r="C17" s="203" t="str">
        <f>IFERROR(INDEX(온라인_반찬!$C$2:$I$587,MATCH($B17,온라인_반찬!$C$2:$C$587,0),7),"")</f>
        <v/>
      </c>
      <c r="D17" s="179"/>
      <c r="E17" s="203" t="str">
        <f>IFERROR(INDEX(온라인_반찬!$C$2:$I$587,MATCH($D17,온라인_반찬!$C$2:$C$587,0),7),"")</f>
        <v/>
      </c>
      <c r="F17" s="178"/>
      <c r="G17" s="203" t="str">
        <f>IFERROR(INDEX(온라인_반찬!$C$2:$I$587,MATCH($F17,온라인_반찬!$C$2:$C$587,0),7),"")</f>
        <v/>
      </c>
      <c r="H17" s="179"/>
      <c r="I17" s="203" t="str">
        <f>IFERROR(INDEX(온라인_반찬!$C$2:$I$587,MATCH($H17,온라인_반찬!$C$2:$C$587,0),7),"")</f>
        <v/>
      </c>
      <c r="J17" s="179"/>
      <c r="K17" s="203" t="str">
        <f>IFERROR(INDEX(온라인_반찬!$C$2:$I$587,MATCH($J17,온라인_반찬!$C$2:$C$587,0),7),"")</f>
        <v/>
      </c>
      <c r="L17" s="179"/>
      <c r="M17" s="203"/>
      <c r="N17" s="243"/>
      <c r="O17" s="241"/>
      <c r="P17" s="273" t="s">
        <v>1487</v>
      </c>
      <c r="R17" s="248"/>
    </row>
    <row r="18" spans="1:18" ht="20.100000000000001" customHeight="1">
      <c r="A18" s="304"/>
      <c r="B18" s="182"/>
      <c r="C18" s="203" t="str">
        <f>IFERROR(INDEX(온라인_반찬!$C$2:$I$587,MATCH($B18,온라인_반찬!$C$2:$C$587,0),7),"")</f>
        <v/>
      </c>
      <c r="D18" s="179"/>
      <c r="E18" s="203" t="str">
        <f>IFERROR(INDEX(온라인_반찬!$C$2:$I$587,MATCH($D18,온라인_반찬!$C$2:$C$587,0),7),"")</f>
        <v/>
      </c>
      <c r="F18" s="178"/>
      <c r="G18" s="203" t="str">
        <f>IFERROR(INDEX(온라인_반찬!$C$2:$I$587,MATCH($F18,온라인_반찬!$C$2:$C$587,0),7),"")</f>
        <v/>
      </c>
      <c r="H18" s="179"/>
      <c r="I18" s="203" t="str">
        <f>IFERROR(INDEX(온라인_반찬!$C$2:$I$587,MATCH($H18,온라인_반찬!$C$2:$C$587,0),7),"")</f>
        <v/>
      </c>
      <c r="J18" s="179"/>
      <c r="K18" s="203" t="str">
        <f>IFERROR(INDEX(온라인_반찬!$C$2:$I$587,MATCH($J18,온라인_반찬!$C$2:$C$587,0),7),"")</f>
        <v/>
      </c>
      <c r="L18" s="179"/>
      <c r="M18" s="203"/>
      <c r="N18" s="243"/>
      <c r="O18" s="241"/>
      <c r="P18" s="273" t="s">
        <v>965</v>
      </c>
    </row>
    <row r="19" spans="1:18" ht="20.100000000000001" customHeight="1">
      <c r="A19" s="304"/>
      <c r="B19" s="182"/>
      <c r="C19" s="203" t="str">
        <f>IFERROR(INDEX(온라인_반찬!$C$2:$I$587,MATCH($B19,온라인_반찬!$C$2:$C$587,0),7),"")</f>
        <v/>
      </c>
      <c r="D19" s="179"/>
      <c r="E19" s="203" t="str">
        <f>IFERROR(INDEX(온라인_반찬!$C$2:$I$587,MATCH($D19,온라인_반찬!$C$2:$C$587,0),7),"")</f>
        <v/>
      </c>
      <c r="F19" s="178"/>
      <c r="G19" s="203" t="str">
        <f>IFERROR(INDEX(온라인_반찬!$C$2:$I$587,MATCH($F19,온라인_반찬!$C$2:$C$587,0),7),"")</f>
        <v/>
      </c>
      <c r="H19" s="179"/>
      <c r="I19" s="203" t="str">
        <f>IFERROR(INDEX(온라인_반찬!$C$2:$I$587,MATCH($H19,온라인_반찬!$C$2:$C$587,0),7),"")</f>
        <v/>
      </c>
      <c r="J19" s="179"/>
      <c r="K19" s="203" t="str">
        <f>IFERROR(INDEX(온라인_반찬!$C$2:$I$587,MATCH($J19,온라인_반찬!$C$2:$C$587,0),7),"")</f>
        <v/>
      </c>
      <c r="L19" s="179"/>
      <c r="M19" s="203"/>
      <c r="N19" s="243"/>
      <c r="O19" s="241"/>
      <c r="P19" s="273" t="s">
        <v>690</v>
      </c>
    </row>
    <row r="20" spans="1:18" ht="20.100000000000001" customHeight="1">
      <c r="A20" s="304"/>
      <c r="B20" s="182"/>
      <c r="C20" s="203" t="str">
        <f>IFERROR(INDEX(온라인_반찬!$C$2:$I$587,MATCH($B20,온라인_반찬!$C$2:$C$587,0),7),"")</f>
        <v/>
      </c>
      <c r="D20" s="179"/>
      <c r="E20" s="203" t="str">
        <f>IFERROR(INDEX(온라인_반찬!$C$2:$I$587,MATCH($D20,온라인_반찬!$C$2:$C$587,0),7),"")</f>
        <v/>
      </c>
      <c r="F20" s="178"/>
      <c r="G20" s="203" t="str">
        <f>IFERROR(INDEX(온라인_반찬!$C$2:$I$587,MATCH($F20,온라인_반찬!$C$2:$C$587,0),7),"")</f>
        <v/>
      </c>
      <c r="H20" s="179"/>
      <c r="I20" s="203" t="str">
        <f>IFERROR(INDEX(온라인_반찬!$C$2:$I$587,MATCH($H20,온라인_반찬!$C$2:$C$587,0),7),"")</f>
        <v/>
      </c>
      <c r="J20" s="179"/>
      <c r="K20" s="203" t="str">
        <f>IFERROR(INDEX(온라인_반찬!$C$2:$I$587,MATCH($J20,온라인_반찬!$C$2:$C$587,0),7),"")</f>
        <v/>
      </c>
      <c r="L20" s="179"/>
      <c r="M20" s="203"/>
      <c r="N20" s="243"/>
      <c r="O20" s="241"/>
      <c r="P20" s="273" t="s">
        <v>1898</v>
      </c>
    </row>
    <row r="21" spans="1:18" ht="20.100000000000001" customHeight="1">
      <c r="A21" s="304"/>
      <c r="B21" s="272"/>
      <c r="C21" s="203" t="str">
        <f>IFERROR(INDEX(온라인_반찬!$C$2:$I$587,MATCH($B21,온라인_반찬!$C$2:$C$587,0),7),"")</f>
        <v/>
      </c>
      <c r="D21" s="181"/>
      <c r="E21" s="203" t="str">
        <f>IFERROR(INDEX(온라인_반찬!$C$2:$I$587,MATCH($D21,온라인_반찬!$C$2:$C$587,0),7),"")</f>
        <v/>
      </c>
      <c r="F21" s="180"/>
      <c r="G21" s="203" t="str">
        <f>IFERROR(INDEX(온라인_반찬!$C$2:$I$587,MATCH($F21,온라인_반찬!$C$2:$C$587,0),7),"")</f>
        <v/>
      </c>
      <c r="H21" s="177"/>
      <c r="I21" s="203" t="str">
        <f>IFERROR(INDEX(온라인_반찬!$C$2:$I$587,MATCH($H21,온라인_반찬!$C$2:$C$587,0),7),"")</f>
        <v/>
      </c>
      <c r="J21" s="179"/>
      <c r="K21" s="203" t="str">
        <f>IFERROR(INDEX(온라인_반찬!$C$2:$I$587,MATCH($J21,온라인_반찬!$C$2:$C$587,0),7),"")</f>
        <v/>
      </c>
      <c r="L21" s="182"/>
      <c r="M21" s="203"/>
      <c r="N21" s="182"/>
      <c r="O21" s="203"/>
      <c r="P21" s="273" t="s">
        <v>2041</v>
      </c>
    </row>
    <row r="22" spans="1:18" ht="20.100000000000001" customHeight="1" thickBot="1">
      <c r="A22" s="305"/>
      <c r="B22" s="213" t="s">
        <v>2224</v>
      </c>
      <c r="C22" s="204" t="str">
        <f>IFERROR(INDEX(온라인_반찬!$C$2:$I$587,MATCH($B22,온라인_반찬!$C$2:$C$587,0),7),"")</f>
        <v>.1.5.6.10.18.21.</v>
      </c>
      <c r="D22" s="179" t="s">
        <v>2074</v>
      </c>
      <c r="E22" s="204"/>
      <c r="F22" s="213"/>
      <c r="G22" s="203" t="str">
        <f>IFERROR(INDEX(온라인_반찬!$C$2:$I$587,MATCH($F22,온라인_반찬!$C$2:$C$587,0),7),"")</f>
        <v/>
      </c>
      <c r="H22" s="179" t="s">
        <v>2074</v>
      </c>
      <c r="I22" s="204"/>
      <c r="J22" s="177" t="s">
        <v>2225</v>
      </c>
      <c r="K22" s="203" t="str">
        <f>IFERROR(INDEX(온라인_반찬!$C$2:$I$587,MATCH($J22,온라인_반찬!$C$2:$C$587,0),7),"")</f>
        <v>.5.10.19.21.</v>
      </c>
      <c r="L22" s="213"/>
      <c r="M22" s="204"/>
      <c r="N22" s="213"/>
      <c r="O22" s="204"/>
      <c r="P22" s="278" t="s">
        <v>1644</v>
      </c>
    </row>
    <row r="23" spans="1:18" ht="24.95" customHeight="1">
      <c r="A23" s="175" t="s">
        <v>1078</v>
      </c>
      <c r="B23" s="293"/>
      <c r="C23" s="294"/>
      <c r="D23" s="293"/>
      <c r="E23" s="294"/>
      <c r="F23" s="293"/>
      <c r="G23" s="294"/>
      <c r="H23" s="293"/>
      <c r="I23" s="294"/>
      <c r="J23" s="306"/>
      <c r="K23" s="307"/>
      <c r="L23" s="310"/>
      <c r="M23" s="311"/>
      <c r="N23" s="308"/>
      <c r="O23" s="309"/>
      <c r="P23" s="278" t="s">
        <v>1735</v>
      </c>
    </row>
    <row r="24" spans="1:18" ht="20.100000000000001" customHeight="1" thickBot="1">
      <c r="A24" s="231" t="s">
        <v>1080</v>
      </c>
      <c r="B24" s="217" t="s">
        <v>1081</v>
      </c>
      <c r="C24" s="220" t="s">
        <v>1082</v>
      </c>
      <c r="D24" s="217" t="s">
        <v>1081</v>
      </c>
      <c r="E24" s="220" t="s">
        <v>1082</v>
      </c>
      <c r="F24" s="217" t="s">
        <v>1081</v>
      </c>
      <c r="G24" s="220" t="s">
        <v>1082</v>
      </c>
      <c r="H24" s="217" t="s">
        <v>1081</v>
      </c>
      <c r="I24" s="220" t="s">
        <v>1082</v>
      </c>
      <c r="J24" s="217" t="s">
        <v>1081</v>
      </c>
      <c r="K24" s="218" t="s">
        <v>1082</v>
      </c>
      <c r="L24" s="217"/>
      <c r="M24" s="218"/>
      <c r="N24" s="216"/>
      <c r="O24" s="221"/>
      <c r="P24" s="278" t="s">
        <v>2047</v>
      </c>
    </row>
    <row r="25" spans="1:18" ht="20.100000000000001" customHeight="1">
      <c r="A25" s="303" t="s">
        <v>1084</v>
      </c>
      <c r="B25" s="244"/>
      <c r="C25" s="276" t="str">
        <f>IFERROR(INDEX(온라인_반찬!$C$2:$I$587,MATCH($B25,온라인_반찬!$C$2:$C$587,0),7),"")</f>
        <v/>
      </c>
      <c r="D25" s="183"/>
      <c r="E25" s="203" t="str">
        <f>IFERROR(INDEX(온라인_반찬!$C$2:$I$587,MATCH($D25,온라인_반찬!$C$2:$C$587,0),7),"")</f>
        <v/>
      </c>
      <c r="F25" s="183"/>
      <c r="G25" s="203" t="str">
        <f>IFERROR(INDEX(온라인_반찬!$C$2:$I$587,MATCH($F25,온라인_반찬!$C$2:$C$587,0),7),"")</f>
        <v/>
      </c>
      <c r="H25" s="177"/>
      <c r="I25" s="203" t="str">
        <f>IFERROR(INDEX(온라인_반찬!$C$2:$I$587,MATCH($H25,온라인_반찬!$C$2:$C$587,0),7),"")</f>
        <v/>
      </c>
      <c r="J25" s="177"/>
      <c r="K25" s="203" t="str">
        <f>IFERROR(INDEX(온라인_반찬!$C$2:$I$587,MATCH($J25,온라인_반찬!$C$2:$C$587,0),7),"")</f>
        <v/>
      </c>
      <c r="L25" s="242"/>
      <c r="M25" s="241"/>
      <c r="N25" s="183"/>
      <c r="O25" s="203"/>
      <c r="P25" s="278" t="s">
        <v>1482</v>
      </c>
    </row>
    <row r="26" spans="1:18" ht="20.100000000000001" customHeight="1">
      <c r="A26" s="304"/>
      <c r="B26" s="183"/>
      <c r="C26" s="203" t="str">
        <f>IFERROR(INDEX(온라인_반찬!$C$2:$I$587,MATCH($B26,온라인_반찬!$C$2:$C$587,0),7),"")</f>
        <v/>
      </c>
      <c r="D26" s="177"/>
      <c r="E26" s="203" t="str">
        <f>IFERROR(INDEX(온라인_반찬!$C$2:$I$587,MATCH($D26,온라인_반찬!$C$2:$C$587,0),7),"")</f>
        <v/>
      </c>
      <c r="F26" s="178"/>
      <c r="G26" s="203" t="str">
        <f>IFERROR(INDEX(온라인_반찬!$C$2:$I$587,MATCH($F26,온라인_반찬!$C$2:$C$587,0),7),"")</f>
        <v/>
      </c>
      <c r="H26" s="179"/>
      <c r="I26" s="203" t="str">
        <f>IFERROR(INDEX(온라인_반찬!$C$2:$I$587,MATCH($H26,온라인_반찬!$C$2:$C$587,0),7),"")</f>
        <v/>
      </c>
      <c r="J26" s="179"/>
      <c r="K26" s="203" t="str">
        <f>IFERROR(INDEX(온라인_반찬!$C$2:$I$587,MATCH($J26,온라인_반찬!$C$2:$C$587,0),7),"")</f>
        <v/>
      </c>
      <c r="L26" s="243"/>
      <c r="M26" s="241"/>
      <c r="N26" s="182"/>
      <c r="O26" s="203"/>
      <c r="P26" s="279" t="s">
        <v>2012</v>
      </c>
    </row>
    <row r="27" spans="1:18" ht="20.100000000000001" customHeight="1">
      <c r="A27" s="304"/>
      <c r="B27" s="182"/>
      <c r="C27" s="203" t="str">
        <f>IFERROR(INDEX(온라인_반찬!$C$2:$I$587,MATCH($B27,온라인_반찬!$C$2:$C$587,0),7),"")</f>
        <v/>
      </c>
      <c r="D27" s="179"/>
      <c r="E27" s="203" t="str">
        <f>IFERROR(INDEX(온라인_반찬!$C$2:$I$587,MATCH($D27,온라인_반찬!$C$2:$C$587,0),7),"")</f>
        <v/>
      </c>
      <c r="F27" s="178"/>
      <c r="G27" s="203" t="str">
        <f>IFERROR(INDEX(온라인_반찬!$C$2:$I$587,MATCH($F27,온라인_반찬!$C$2:$C$587,0),7),"")</f>
        <v/>
      </c>
      <c r="H27" s="179"/>
      <c r="I27" s="203" t="str">
        <f>IFERROR(INDEX(온라인_반찬!$C$2:$I$587,MATCH($H27,온라인_반찬!$C$2:$C$587,0),7),"")</f>
        <v/>
      </c>
      <c r="J27" s="179"/>
      <c r="K27" s="203" t="str">
        <f>IFERROR(INDEX(온라인_반찬!$C$2:$I$587,MATCH($J27,온라인_반찬!$C$2:$C$587,0),7),"")</f>
        <v/>
      </c>
      <c r="L27" s="243"/>
      <c r="M27" s="241"/>
      <c r="N27" s="182"/>
      <c r="O27" s="203"/>
      <c r="P27" s="279" t="s">
        <v>1389</v>
      </c>
    </row>
    <row r="28" spans="1:18" ht="20.100000000000001" customHeight="1">
      <c r="A28" s="304"/>
      <c r="B28" s="182"/>
      <c r="C28" s="203" t="str">
        <f>IFERROR(INDEX(온라인_반찬!$C$2:$I$587,MATCH($B28,온라인_반찬!$C$2:$C$587,0),7),"")</f>
        <v/>
      </c>
      <c r="D28" s="179"/>
      <c r="E28" s="203" t="str">
        <f>IFERROR(INDEX(온라인_반찬!$C$2:$I$587,MATCH($D28,온라인_반찬!$C$2:$C$587,0),7),"")</f>
        <v/>
      </c>
      <c r="F28" s="178"/>
      <c r="G28" s="203" t="str">
        <f>IFERROR(INDEX(온라인_반찬!$C$2:$I$587,MATCH($F28,온라인_반찬!$C$2:$C$587,0),7),"")</f>
        <v/>
      </c>
      <c r="H28" s="179"/>
      <c r="I28" s="203" t="str">
        <f>IFERROR(INDEX(온라인_반찬!$C$2:$I$587,MATCH($H28,온라인_반찬!$C$2:$C$587,0),7),"")</f>
        <v/>
      </c>
      <c r="J28" s="179"/>
      <c r="K28" s="203" t="str">
        <f>IFERROR(INDEX(온라인_반찬!$C$2:$I$587,MATCH($J28,온라인_반찬!$C$2:$C$587,0),7),"")</f>
        <v/>
      </c>
      <c r="L28" s="243"/>
      <c r="M28" s="241"/>
      <c r="N28" s="182"/>
      <c r="O28" s="203"/>
      <c r="P28" s="278" t="s">
        <v>1446</v>
      </c>
    </row>
    <row r="29" spans="1:18" ht="20.100000000000001" customHeight="1">
      <c r="A29" s="304"/>
      <c r="B29" s="182"/>
      <c r="C29" s="203" t="str">
        <f>IFERROR(INDEX(온라인_반찬!$C$2:$I$587,MATCH($B29,온라인_반찬!$C$2:$C$587,0),7),"")</f>
        <v/>
      </c>
      <c r="D29" s="179"/>
      <c r="E29" s="203" t="str">
        <f>IFERROR(INDEX(온라인_반찬!$C$2:$I$587,MATCH($D29,온라인_반찬!$C$2:$C$587,0),7),"")</f>
        <v/>
      </c>
      <c r="F29" s="178"/>
      <c r="G29" s="203" t="str">
        <f>IFERROR(INDEX(온라인_반찬!$C$2:$I$587,MATCH($F29,온라인_반찬!$C$2:$C$587,0),7),"")</f>
        <v/>
      </c>
      <c r="H29" s="179"/>
      <c r="I29" s="203" t="str">
        <f>IFERROR(INDEX(온라인_반찬!$C$2:$I$587,MATCH($H29,온라인_반찬!$C$2:$C$587,0),7),"")</f>
        <v/>
      </c>
      <c r="J29" s="179"/>
      <c r="K29" s="203" t="str">
        <f>IFERROR(INDEX(온라인_반찬!$C$2:$I$587,MATCH($J29,온라인_반찬!$C$2:$C$587,0),7),"")</f>
        <v/>
      </c>
      <c r="L29" s="243"/>
      <c r="M29" s="241"/>
      <c r="N29" s="182"/>
      <c r="O29" s="203"/>
      <c r="P29" s="278" t="s">
        <v>1469</v>
      </c>
    </row>
    <row r="30" spans="1:18" ht="20.100000000000001" customHeight="1">
      <c r="A30" s="304"/>
      <c r="B30" s="182"/>
      <c r="C30" s="203" t="str">
        <f>IFERROR(INDEX(온라인_반찬!$C$2:$I$587,MATCH($B30,온라인_반찬!$C$2:$C$587,0),7),"")</f>
        <v/>
      </c>
      <c r="D30" s="179"/>
      <c r="E30" s="203" t="str">
        <f>IFERROR(INDEX(온라인_반찬!$C$2:$I$587,MATCH($D30,온라인_반찬!$C$2:$C$587,0),7),"")</f>
        <v/>
      </c>
      <c r="F30" s="180"/>
      <c r="G30" s="203" t="str">
        <f>IFERROR(INDEX(온라인_반찬!$C$2:$I$587,MATCH($F30,온라인_반찬!$C$2:$C$587,0),7),"")</f>
        <v/>
      </c>
      <c r="H30" s="179"/>
      <c r="I30" s="203" t="str">
        <f>IFERROR(INDEX(온라인_반찬!$C$2:$I$587,MATCH($H30,온라인_반찬!$C$2:$C$587,0),7),"")</f>
        <v/>
      </c>
      <c r="J30" s="179"/>
      <c r="K30" s="203" t="str">
        <f>IFERROR(INDEX(온라인_반찬!$C$2:$I$587,MATCH($J30,온라인_반찬!$C$2:$C$587,0),7),"")</f>
        <v/>
      </c>
      <c r="L30" s="184"/>
      <c r="M30" s="203">
        <v>0</v>
      </c>
      <c r="N30" s="184"/>
      <c r="O30" s="203"/>
      <c r="P30" s="278" t="s">
        <v>2056</v>
      </c>
    </row>
    <row r="31" spans="1:18" ht="20.100000000000001" customHeight="1">
      <c r="A31" s="304"/>
      <c r="B31" s="272"/>
      <c r="C31" s="203" t="str">
        <f>IFERROR(INDEX(온라인_반찬!$C$2:$I$587,MATCH($B31,온라인_반찬!$C$2:$C$587,0),7),"")</f>
        <v/>
      </c>
      <c r="D31" s="181"/>
      <c r="E31" s="203" t="str">
        <f>IFERROR(INDEX(온라인_반찬!$C$2:$I$587,MATCH($D31,온라인_반찬!$C$2:$C$587,0),7),"")</f>
        <v/>
      </c>
      <c r="F31" s="180"/>
      <c r="G31" s="203" t="str">
        <f>IFERROR(INDEX(온라인_반찬!$C$2:$I$587,MATCH($F31,온라인_반찬!$C$2:$C$587,0),7),"")</f>
        <v/>
      </c>
      <c r="H31" s="177"/>
      <c r="I31" s="203" t="str">
        <f>IFERROR(INDEX(온라인_반찬!$C$2:$I$587,MATCH($H31,온라인_반찬!$C$2:$C$587,0),7),"")</f>
        <v/>
      </c>
      <c r="J31" s="179"/>
      <c r="K31" s="203" t="str">
        <f>IFERROR(INDEX(온라인_반찬!$C$2:$I$587,MATCH($J31,온라인_반찬!$C$2:$C$587,0),7),"")</f>
        <v/>
      </c>
      <c r="L31" s="182"/>
      <c r="M31" s="203"/>
      <c r="N31" s="182"/>
      <c r="O31" s="203"/>
      <c r="P31" s="278" t="s">
        <v>1964</v>
      </c>
    </row>
    <row r="32" spans="1:18" ht="20.100000000000001" customHeight="1" thickBot="1">
      <c r="A32" s="305"/>
      <c r="B32" s="213" t="s">
        <v>2226</v>
      </c>
      <c r="C32" s="204" t="str">
        <f>IFERROR(INDEX(온라인_반찬!$C$2:$I$587,MATCH($B32,온라인_반찬!$C$2:$C$587,0),7),"")</f>
        <v>.1.5.6.10.16.</v>
      </c>
      <c r="D32" s="179" t="s">
        <v>2074</v>
      </c>
      <c r="E32" s="204"/>
      <c r="F32" s="213"/>
      <c r="G32" s="203" t="str">
        <f>IFERROR(INDEX(온라인_반찬!$C$2:$I$587,MATCH($F32,온라인_반찬!$C$2:$C$587,0),7),"")</f>
        <v/>
      </c>
      <c r="H32" s="179" t="s">
        <v>2074</v>
      </c>
      <c r="I32" s="204"/>
      <c r="J32" s="177"/>
      <c r="K32" s="203" t="str">
        <f>IFERROR(INDEX(온라인_반찬!$C$2:$I$587,MATCH($J32,온라인_반찬!$C$2:$C$587,0),7),"")</f>
        <v/>
      </c>
      <c r="L32" s="213"/>
      <c r="M32" s="204"/>
      <c r="N32" s="213"/>
      <c r="O32" s="204"/>
      <c r="P32" s="278" t="s">
        <v>1575</v>
      </c>
    </row>
    <row r="33" spans="1:16" ht="24.95" customHeight="1">
      <c r="A33" s="175" t="s">
        <v>1078</v>
      </c>
      <c r="B33" s="293"/>
      <c r="C33" s="294"/>
      <c r="D33" s="293"/>
      <c r="E33" s="294"/>
      <c r="F33" s="293"/>
      <c r="G33" s="294"/>
      <c r="H33" s="293"/>
      <c r="I33" s="294"/>
      <c r="J33" s="306"/>
      <c r="K33" s="307"/>
      <c r="L33" s="310"/>
      <c r="M33" s="311"/>
      <c r="P33" s="278" t="s">
        <v>1894</v>
      </c>
    </row>
    <row r="34" spans="1:16" ht="20.100000000000001" customHeight="1" thickBot="1">
      <c r="A34" s="231" t="s">
        <v>1080</v>
      </c>
      <c r="B34" s="217" t="s">
        <v>1081</v>
      </c>
      <c r="C34" s="220" t="s">
        <v>1082</v>
      </c>
      <c r="D34" s="217" t="s">
        <v>1081</v>
      </c>
      <c r="E34" s="220" t="s">
        <v>1082</v>
      </c>
      <c r="F34" s="217" t="s">
        <v>1081</v>
      </c>
      <c r="G34" s="220" t="s">
        <v>1082</v>
      </c>
      <c r="H34" s="217" t="s">
        <v>1081</v>
      </c>
      <c r="I34" s="220" t="s">
        <v>1082</v>
      </c>
      <c r="J34" s="217" t="s">
        <v>1081</v>
      </c>
      <c r="K34" s="218" t="s">
        <v>1082</v>
      </c>
      <c r="L34" s="217"/>
      <c r="M34" s="218"/>
      <c r="P34" s="278" t="s">
        <v>1464</v>
      </c>
    </row>
    <row r="35" spans="1:16" ht="20.100000000000001" customHeight="1">
      <c r="A35" s="303" t="s">
        <v>1085</v>
      </c>
      <c r="B35" s="244"/>
      <c r="C35" s="276" t="str">
        <f>IFERROR(INDEX(온라인_반찬!$C$2:$I$587,MATCH($B35,온라인_반찬!$C$2:$C$587,0),7),"")</f>
        <v/>
      </c>
      <c r="D35" s="183"/>
      <c r="E35" s="203" t="str">
        <f>IFERROR(INDEX(온라인_반찬!$C$2:$I$587,MATCH($D35,온라인_반찬!$C$2:$C$587,0),7),"")</f>
        <v/>
      </c>
      <c r="F35" s="183"/>
      <c r="G35" s="203" t="str">
        <f>IFERROR(INDEX(온라인_반찬!$C$2:$I$587,MATCH($F35,온라인_반찬!$C$2:$C$587,0),7),"")</f>
        <v/>
      </c>
      <c r="H35" s="177"/>
      <c r="I35" s="203" t="str">
        <f>IFERROR(INDEX(온라인_반찬!$C$2:$I$587,MATCH($H35,온라인_반찬!$C$2:$C$587,0),7),"")</f>
        <v/>
      </c>
      <c r="J35" s="177"/>
      <c r="K35" s="203" t="str">
        <f>IFERROR(INDEX(온라인_반찬!$C$2:$I$587,MATCH($J35,온라인_반찬!$C$2:$C$587,0),7),"")</f>
        <v/>
      </c>
      <c r="L35" s="242"/>
      <c r="M35" s="241"/>
    </row>
    <row r="36" spans="1:16" ht="20.100000000000001" customHeight="1">
      <c r="A36" s="304"/>
      <c r="B36" s="183"/>
      <c r="C36" s="203" t="str">
        <f>IFERROR(INDEX(온라인_반찬!$C$2:$I$587,MATCH($B36,온라인_반찬!$C$2:$C$587,0),7),"")</f>
        <v/>
      </c>
      <c r="D36" s="177"/>
      <c r="E36" s="203" t="str">
        <f>IFERROR(INDEX(온라인_반찬!$C$2:$I$587,MATCH($D36,온라인_반찬!$C$2:$C$587,0),7),"")</f>
        <v/>
      </c>
      <c r="F36" s="178"/>
      <c r="G36" s="203" t="str">
        <f>IFERROR(INDEX(온라인_반찬!$C$2:$I$587,MATCH($F36,온라인_반찬!$C$2:$C$587,0),7),"")</f>
        <v/>
      </c>
      <c r="H36" s="179"/>
      <c r="I36" s="203" t="str">
        <f>IFERROR(INDEX(온라인_반찬!$C$2:$I$587,MATCH($H36,온라인_반찬!$C$2:$C$587,0),7),"")</f>
        <v/>
      </c>
      <c r="J36" s="179"/>
      <c r="K36" s="203" t="str">
        <f>IFERROR(INDEX(온라인_반찬!$C$2:$I$587,MATCH($J36,온라인_반찬!$C$2:$C$587,0),7),"")</f>
        <v/>
      </c>
      <c r="L36" s="243"/>
      <c r="M36" s="241"/>
    </row>
    <row r="37" spans="1:16" ht="20.100000000000001" customHeight="1">
      <c r="A37" s="304"/>
      <c r="B37" s="182"/>
      <c r="C37" s="203" t="str">
        <f>IFERROR(INDEX(온라인_반찬!$C$2:$I$587,MATCH($B37,온라인_반찬!$C$2:$C$587,0),7),"")</f>
        <v/>
      </c>
      <c r="D37" s="179"/>
      <c r="E37" s="203" t="str">
        <f>IFERROR(INDEX(온라인_반찬!$C$2:$I$587,MATCH($D37,온라인_반찬!$C$2:$C$587,0),7),"")</f>
        <v/>
      </c>
      <c r="F37" s="178"/>
      <c r="G37" s="203" t="str">
        <f>IFERROR(INDEX(온라인_반찬!$C$2:$I$587,MATCH($F37,온라인_반찬!$C$2:$C$587,0),7),"")</f>
        <v/>
      </c>
      <c r="H37" s="179"/>
      <c r="I37" s="203" t="str">
        <f>IFERROR(INDEX(온라인_반찬!$C$2:$I$587,MATCH($H37,온라인_반찬!$C$2:$C$587,0),7),"")</f>
        <v/>
      </c>
      <c r="J37" s="179"/>
      <c r="K37" s="203" t="str">
        <f>IFERROR(INDEX(온라인_반찬!$C$2:$I$587,MATCH($J37,온라인_반찬!$C$2:$C$587,0),7),"")</f>
        <v/>
      </c>
      <c r="L37" s="243"/>
      <c r="M37" s="241"/>
    </row>
    <row r="38" spans="1:16" ht="20.100000000000001" customHeight="1">
      <c r="A38" s="304"/>
      <c r="B38" s="182"/>
      <c r="C38" s="203" t="str">
        <f>IFERROR(INDEX(온라인_반찬!$C$2:$I$587,MATCH($B38,온라인_반찬!$C$2:$C$587,0),7),"")</f>
        <v/>
      </c>
      <c r="D38" s="179"/>
      <c r="E38" s="203" t="str">
        <f>IFERROR(INDEX(온라인_반찬!$C$2:$I$587,MATCH($D38,온라인_반찬!$C$2:$C$587,0),7),"")</f>
        <v/>
      </c>
      <c r="F38" s="178"/>
      <c r="G38" s="203" t="str">
        <f>IFERROR(INDEX(온라인_반찬!$C$2:$I$587,MATCH($F38,온라인_반찬!$C$2:$C$587,0),7),"")</f>
        <v/>
      </c>
      <c r="H38" s="179"/>
      <c r="I38" s="203" t="str">
        <f>IFERROR(INDEX(온라인_반찬!$C$2:$I$587,MATCH($H38,온라인_반찬!$C$2:$C$587,0),7),"")</f>
        <v/>
      </c>
      <c r="J38" s="179"/>
      <c r="K38" s="203" t="str">
        <f>IFERROR(INDEX(온라인_반찬!$C$2:$I$587,MATCH($J38,온라인_반찬!$C$2:$C$587,0),7),"")</f>
        <v/>
      </c>
      <c r="L38" s="243"/>
      <c r="M38" s="241"/>
    </row>
    <row r="39" spans="1:16" ht="20.100000000000001" customHeight="1">
      <c r="A39" s="304"/>
      <c r="B39" s="182"/>
      <c r="C39" s="203" t="str">
        <f>IFERROR(INDEX(온라인_반찬!$C$2:$I$587,MATCH($B39,온라인_반찬!$C$2:$C$587,0),7),"")</f>
        <v/>
      </c>
      <c r="D39" s="179"/>
      <c r="E39" s="203" t="str">
        <f>IFERROR(INDEX(온라인_반찬!$C$2:$I$587,MATCH($D39,온라인_반찬!$C$2:$C$587,0),7),"")</f>
        <v/>
      </c>
      <c r="F39" s="178"/>
      <c r="G39" s="203" t="str">
        <f>IFERROR(INDEX(온라인_반찬!$C$2:$I$587,MATCH($F39,온라인_반찬!$C$2:$C$587,0),7),"")</f>
        <v/>
      </c>
      <c r="H39" s="179"/>
      <c r="I39" s="203" t="str">
        <f>IFERROR(INDEX(온라인_반찬!$C$2:$I$587,MATCH($H39,온라인_반찬!$C$2:$C$587,0),7),"")</f>
        <v/>
      </c>
      <c r="J39" s="179"/>
      <c r="K39" s="203" t="str">
        <f>IFERROR(INDEX(온라인_반찬!$C$2:$I$587,MATCH($J39,온라인_반찬!$C$2:$C$587,0),7),"")</f>
        <v/>
      </c>
      <c r="L39" s="243"/>
      <c r="M39" s="241"/>
    </row>
    <row r="40" spans="1:16" ht="20.100000000000001" customHeight="1">
      <c r="A40" s="304"/>
      <c r="B40" s="182"/>
      <c r="C40" s="203" t="str">
        <f>IFERROR(INDEX(온라인_반찬!$C$2:$I$587,MATCH($B40,온라인_반찬!$C$2:$C$587,0),7),"")</f>
        <v/>
      </c>
      <c r="D40" s="179"/>
      <c r="E40" s="203" t="str">
        <f>IFERROR(INDEX(온라인_반찬!$C$2:$I$587,MATCH($D40,온라인_반찬!$C$2:$C$587,0),7),"")</f>
        <v/>
      </c>
      <c r="F40" s="180"/>
      <c r="G40" s="203" t="str">
        <f>IFERROR(INDEX(온라인_반찬!$C$2:$I$587,MATCH($F40,온라인_반찬!$C$2:$C$587,0),7),"")</f>
        <v/>
      </c>
      <c r="H40" s="179"/>
      <c r="I40" s="203" t="str">
        <f>IFERROR(INDEX(온라인_반찬!$C$2:$I$587,MATCH($H40,온라인_반찬!$C$2:$C$587,0),7),"")</f>
        <v/>
      </c>
      <c r="J40" s="179"/>
      <c r="K40" s="203" t="str">
        <f>IFERROR(INDEX(온라인_반찬!$C$2:$I$587,MATCH($J40,온라인_반찬!$C$2:$C$587,0),7),"")</f>
        <v/>
      </c>
      <c r="L40" s="184"/>
      <c r="M40" s="203"/>
    </row>
    <row r="41" spans="1:16" ht="20.100000000000001" customHeight="1">
      <c r="A41" s="304"/>
      <c r="B41" s="272"/>
      <c r="C41" s="203" t="str">
        <f>IFERROR(INDEX(온라인_반찬!$C$2:$I$587,MATCH($B41,온라인_반찬!$C$2:$C$587,0),7),"")</f>
        <v/>
      </c>
      <c r="D41" s="181"/>
      <c r="E41" s="203" t="str">
        <f>IFERROR(INDEX(온라인_반찬!$C$2:$I$587,MATCH($D41,온라인_반찬!$C$2:$C$587,0),7),"")</f>
        <v/>
      </c>
      <c r="F41" s="180"/>
      <c r="G41" s="203" t="str">
        <f>IFERROR(INDEX(온라인_반찬!$C$2:$I$587,MATCH($F41,온라인_반찬!$C$2:$C$587,0),7),"")</f>
        <v/>
      </c>
      <c r="H41" s="177"/>
      <c r="I41" s="203" t="str">
        <f>IFERROR(INDEX(온라인_반찬!$C$2:$I$587,MATCH($H41,온라인_반찬!$C$2:$C$587,0),7),"")</f>
        <v/>
      </c>
      <c r="J41" s="179"/>
      <c r="K41" s="203" t="str">
        <f>IFERROR(INDEX(온라인_반찬!$C$2:$I$587,MATCH($J41,온라인_반찬!$C$2:$C$587,0),7),"")</f>
        <v/>
      </c>
      <c r="L41" s="182"/>
      <c r="M41" s="203"/>
    </row>
    <row r="42" spans="1:16" ht="20.100000000000001" customHeight="1" thickBot="1">
      <c r="A42" s="305"/>
      <c r="B42" s="213"/>
      <c r="C42" s="204" t="str">
        <f>IFERROR(INDEX(온라인_반찬!$C$2:$I$587,MATCH($B42,온라인_반찬!$C$2:$C$587,0),7),"")</f>
        <v/>
      </c>
      <c r="D42" s="179" t="s">
        <v>2074</v>
      </c>
      <c r="E42" s="204"/>
      <c r="F42" s="213"/>
      <c r="G42" s="203" t="str">
        <f>IFERROR(INDEX(온라인_반찬!$C$2:$I$587,MATCH($F42,온라인_반찬!$C$2:$C$587,0),7),"")</f>
        <v/>
      </c>
      <c r="H42" s="179" t="s">
        <v>2074</v>
      </c>
      <c r="I42" s="204"/>
      <c r="J42" s="177"/>
      <c r="K42" s="203" t="str">
        <f>IFERROR(INDEX(온라인_반찬!$C$2:$I$587,MATCH($J42,온라인_반찬!$C$2:$C$587,0),7),"")</f>
        <v/>
      </c>
      <c r="L42" s="213"/>
      <c r="M42" s="204"/>
    </row>
    <row r="43" spans="1:16" ht="24.95" customHeight="1">
      <c r="A43" s="175" t="s">
        <v>1078</v>
      </c>
      <c r="B43" s="293"/>
      <c r="C43" s="294"/>
      <c r="D43" s="293"/>
      <c r="E43" s="294"/>
      <c r="F43" s="293"/>
      <c r="G43" s="294"/>
      <c r="H43" s="293"/>
      <c r="I43" s="294"/>
      <c r="J43" s="306"/>
      <c r="K43" s="307"/>
      <c r="L43" s="310"/>
      <c r="M43" s="311"/>
    </row>
    <row r="44" spans="1:16" ht="20.100000000000001" customHeight="1" thickBot="1">
      <c r="A44" s="231" t="s">
        <v>1080</v>
      </c>
      <c r="B44" s="217" t="s">
        <v>1081</v>
      </c>
      <c r="C44" s="232" t="s">
        <v>1082</v>
      </c>
      <c r="D44" s="217" t="s">
        <v>1081</v>
      </c>
      <c r="E44" s="220" t="s">
        <v>1082</v>
      </c>
      <c r="F44" s="217" t="s">
        <v>1081</v>
      </c>
      <c r="G44" s="220" t="s">
        <v>1082</v>
      </c>
      <c r="H44" s="217" t="s">
        <v>1081</v>
      </c>
      <c r="I44" s="220" t="s">
        <v>1082</v>
      </c>
      <c r="J44" s="217" t="s">
        <v>1081</v>
      </c>
      <c r="K44" s="218" t="s">
        <v>1082</v>
      </c>
      <c r="L44" s="217"/>
      <c r="M44" s="218"/>
    </row>
    <row r="45" spans="1:16" ht="20.100000000000001" customHeight="1">
      <c r="A45" s="304" t="s">
        <v>1086</v>
      </c>
      <c r="B45" s="244"/>
      <c r="C45" s="276" t="str">
        <f>IFERROR(INDEX(온라인_반찬!$C$2:$I$587,MATCH($B45,온라인_반찬!$C$2:$C$587,0),7),"")</f>
        <v/>
      </c>
      <c r="D45" s="183"/>
      <c r="E45" s="203" t="str">
        <f>IFERROR(INDEX(온라인_반찬!$C$2:$I$587,MATCH($D45,온라인_반찬!$C$2:$C$587,0),7),"")</f>
        <v/>
      </c>
      <c r="F45" s="183"/>
      <c r="G45" s="203" t="str">
        <f>IFERROR(INDEX(온라인_반찬!$C$2:$I$587,MATCH($F45,온라인_반찬!$C$2:$C$587,0),7),"")</f>
        <v/>
      </c>
      <c r="H45" s="177"/>
      <c r="I45" s="203" t="str">
        <f>IFERROR(INDEX(온라인_반찬!$C$2:$I$587,MATCH($H45,온라인_반찬!$C$2:$C$587,0),7),"")</f>
        <v/>
      </c>
      <c r="J45" s="177"/>
      <c r="K45" s="203" t="str">
        <f>IFERROR(INDEX(온라인_반찬!$C$2:$I$587,MATCH($J45,온라인_반찬!$C$2:$C$587,0),7),"")</f>
        <v/>
      </c>
      <c r="L45" s="242"/>
      <c r="M45" s="241"/>
    </row>
    <row r="46" spans="1:16" ht="20.100000000000001" customHeight="1">
      <c r="A46" s="304"/>
      <c r="B46" s="183"/>
      <c r="C46" s="203" t="str">
        <f>IFERROR(INDEX(온라인_반찬!$C$2:$I$587,MATCH($B46,온라인_반찬!$C$2:$C$587,0),7),"")</f>
        <v/>
      </c>
      <c r="D46" s="177"/>
      <c r="E46" s="203" t="str">
        <f>IFERROR(INDEX(온라인_반찬!$C$2:$I$587,MATCH($D46,온라인_반찬!$C$2:$C$587,0),7),"")</f>
        <v/>
      </c>
      <c r="F46" s="178"/>
      <c r="G46" s="203" t="str">
        <f>IFERROR(INDEX(온라인_반찬!$C$2:$I$587,MATCH($F46,온라인_반찬!$C$2:$C$587,0),7),"")</f>
        <v/>
      </c>
      <c r="H46" s="179"/>
      <c r="I46" s="203" t="str">
        <f>IFERROR(INDEX(온라인_반찬!$C$2:$I$587,MATCH($H46,온라인_반찬!$C$2:$C$587,0),7),"")</f>
        <v/>
      </c>
      <c r="J46" s="179"/>
      <c r="K46" s="203" t="str">
        <f>IFERROR(INDEX(온라인_반찬!$C$2:$I$587,MATCH($J46,온라인_반찬!$C$2:$C$587,0),7),"")</f>
        <v/>
      </c>
      <c r="L46" s="243"/>
      <c r="M46" s="241"/>
    </row>
    <row r="47" spans="1:16" ht="20.100000000000001" customHeight="1">
      <c r="A47" s="304"/>
      <c r="B47" s="182"/>
      <c r="C47" s="203" t="str">
        <f>IFERROR(INDEX(온라인_반찬!$C$2:$I$587,MATCH($B47,온라인_반찬!$C$2:$C$587,0),7),"")</f>
        <v/>
      </c>
      <c r="D47" s="179"/>
      <c r="E47" s="203" t="str">
        <f>IFERROR(INDEX(온라인_반찬!$C$2:$I$587,MATCH($D47,온라인_반찬!$C$2:$C$587,0),7),"")</f>
        <v/>
      </c>
      <c r="F47" s="178"/>
      <c r="G47" s="203" t="str">
        <f>IFERROR(INDEX(온라인_반찬!$C$2:$I$587,MATCH($F47,온라인_반찬!$C$2:$C$587,0),7),"")</f>
        <v/>
      </c>
      <c r="H47" s="179"/>
      <c r="I47" s="203" t="str">
        <f>IFERROR(INDEX(온라인_반찬!$C$2:$I$587,MATCH($H47,온라인_반찬!$C$2:$C$587,0),7),"")</f>
        <v/>
      </c>
      <c r="J47" s="179"/>
      <c r="K47" s="203" t="str">
        <f>IFERROR(INDEX(온라인_반찬!$C$2:$I$587,MATCH($J47,온라인_반찬!$C$2:$C$587,0),7),"")</f>
        <v/>
      </c>
      <c r="L47" s="243"/>
      <c r="M47" s="241"/>
    </row>
    <row r="48" spans="1:16" ht="20.100000000000001" customHeight="1">
      <c r="A48" s="304"/>
      <c r="B48" s="182"/>
      <c r="C48" s="203" t="str">
        <f>IFERROR(INDEX(온라인_반찬!$C$2:$I$587,MATCH($B48,온라인_반찬!$C$2:$C$587,0),7),"")</f>
        <v/>
      </c>
      <c r="D48" s="179"/>
      <c r="E48" s="203" t="str">
        <f>IFERROR(INDEX(온라인_반찬!$C$2:$I$587,MATCH($D48,온라인_반찬!$C$2:$C$587,0),7),"")</f>
        <v/>
      </c>
      <c r="F48" s="178"/>
      <c r="G48" s="203" t="str">
        <f>IFERROR(INDEX(온라인_반찬!$C$2:$I$587,MATCH($F48,온라인_반찬!$C$2:$C$587,0),7),"")</f>
        <v/>
      </c>
      <c r="H48" s="179"/>
      <c r="I48" s="203" t="str">
        <f>IFERROR(INDEX(온라인_반찬!$C$2:$I$587,MATCH($H48,온라인_반찬!$C$2:$C$587,0),7),"")</f>
        <v/>
      </c>
      <c r="J48" s="179"/>
      <c r="K48" s="203" t="str">
        <f>IFERROR(INDEX(온라인_반찬!$C$2:$I$587,MATCH($J48,온라인_반찬!$C$2:$C$587,0),7),"")</f>
        <v/>
      </c>
      <c r="L48" s="243"/>
      <c r="M48" s="241"/>
    </row>
    <row r="49" spans="1:13" ht="20.100000000000001" customHeight="1">
      <c r="A49" s="304"/>
      <c r="B49" s="182"/>
      <c r="C49" s="203" t="str">
        <f>IFERROR(INDEX(온라인_반찬!$C$2:$I$587,MATCH($B49,온라인_반찬!$C$2:$C$587,0),7),"")</f>
        <v/>
      </c>
      <c r="D49" s="179"/>
      <c r="E49" s="203" t="str">
        <f>IFERROR(INDEX(온라인_반찬!$C$2:$I$587,MATCH($D49,온라인_반찬!$C$2:$C$587,0),7),"")</f>
        <v/>
      </c>
      <c r="F49" s="178"/>
      <c r="G49" s="203" t="str">
        <f>IFERROR(INDEX(온라인_반찬!$C$2:$I$587,MATCH($F49,온라인_반찬!$C$2:$C$587,0),7),"")</f>
        <v/>
      </c>
      <c r="H49" s="179"/>
      <c r="I49" s="203" t="str">
        <f>IFERROR(INDEX(온라인_반찬!$C$2:$I$587,MATCH($H49,온라인_반찬!$C$2:$C$587,0),7),"")</f>
        <v/>
      </c>
      <c r="J49" s="179"/>
      <c r="K49" s="203" t="str">
        <f>IFERROR(INDEX(온라인_반찬!$C$2:$I$587,MATCH($J49,온라인_반찬!$C$2:$C$587,0),7),"")</f>
        <v/>
      </c>
      <c r="L49" s="243"/>
      <c r="M49" s="241"/>
    </row>
    <row r="50" spans="1:13" ht="20.100000000000001" customHeight="1">
      <c r="A50" s="304"/>
      <c r="B50" s="182"/>
      <c r="C50" s="203" t="str">
        <f>IFERROR(INDEX(온라인_반찬!$C$2:$I$587,MATCH($B50,온라인_반찬!$C$2:$C$587,0),7),"")</f>
        <v/>
      </c>
      <c r="D50" s="179"/>
      <c r="E50" s="203" t="str">
        <f>IFERROR(INDEX(온라인_반찬!$C$2:$I$587,MATCH($D50,온라인_반찬!$C$2:$C$587,0),7),"")</f>
        <v/>
      </c>
      <c r="F50" s="180"/>
      <c r="G50" s="203" t="str">
        <f>IFERROR(INDEX(온라인_반찬!$C$2:$I$587,MATCH($F50,온라인_반찬!$C$2:$C$587,0),7),"")</f>
        <v/>
      </c>
      <c r="H50" s="179"/>
      <c r="I50" s="203" t="str">
        <f>IFERROR(INDEX(온라인_반찬!$C$2:$I$587,MATCH($H50,온라인_반찬!$C$2:$C$587,0),7),"")</f>
        <v/>
      </c>
      <c r="J50" s="179"/>
      <c r="K50" s="203" t="str">
        <f>IFERROR(INDEX(온라인_반찬!$C$2:$I$587,MATCH($J50,온라인_반찬!$C$2:$C$587,0),7),"")</f>
        <v/>
      </c>
      <c r="L50" s="184"/>
      <c r="M50" s="203"/>
    </row>
    <row r="51" spans="1:13" ht="20.100000000000001" customHeight="1">
      <c r="A51" s="304"/>
      <c r="B51" s="272"/>
      <c r="C51" s="203" t="str">
        <f>IFERROR(INDEX(온라인_반찬!$C$2:$I$587,MATCH($B51,온라인_반찬!$C$2:$C$587,0),7),"")</f>
        <v/>
      </c>
      <c r="D51" s="181"/>
      <c r="E51" s="203" t="str">
        <f>IFERROR(INDEX(온라인_반찬!$C$2:$I$587,MATCH($D51,온라인_반찬!$C$2:$C$587,0),7),"")</f>
        <v/>
      </c>
      <c r="F51" s="180"/>
      <c r="G51" s="203" t="str">
        <f>IFERROR(INDEX(온라인_반찬!$C$2:$I$587,MATCH($F51,온라인_반찬!$C$2:$C$587,0),7),"")</f>
        <v/>
      </c>
      <c r="H51" s="177"/>
      <c r="I51" s="203" t="str">
        <f>IFERROR(INDEX(온라인_반찬!$C$2:$I$587,MATCH($H51,온라인_반찬!$C$2:$C$587,0),7),"")</f>
        <v/>
      </c>
      <c r="J51" s="179"/>
      <c r="K51" s="203" t="str">
        <f>IFERROR(INDEX(온라인_반찬!$C$2:$I$587,MATCH($J51,온라인_반찬!$C$2:$C$587,0),7),"")</f>
        <v/>
      </c>
      <c r="L51" s="182"/>
      <c r="M51" s="203"/>
    </row>
    <row r="52" spans="1:13" ht="19.5" customHeight="1" thickBot="1">
      <c r="A52" s="304"/>
      <c r="B52" s="213"/>
      <c r="C52" s="204" t="str">
        <f>IFERROR(INDEX(온라인_반찬!$C$2:$I$587,MATCH($B52,온라인_반찬!$C$2:$C$587,0),7),"")</f>
        <v/>
      </c>
      <c r="D52" s="179" t="s">
        <v>2074</v>
      </c>
      <c r="E52" s="204"/>
      <c r="F52" s="213"/>
      <c r="G52" s="203" t="str">
        <f>IFERROR(INDEX(온라인_반찬!$C$2:$I$587,MATCH($F52,온라인_반찬!$C$2:$C$587,0),7),"")</f>
        <v/>
      </c>
      <c r="H52" s="179" t="s">
        <v>2074</v>
      </c>
      <c r="I52" s="204"/>
      <c r="J52" s="177"/>
      <c r="K52" s="203" t="str">
        <f>IFERROR(INDEX(온라인_반찬!$C$2:$I$587,MATCH($J52,온라인_반찬!$C$2:$C$587,0),7),"")</f>
        <v/>
      </c>
      <c r="L52" s="213"/>
      <c r="M52" s="204"/>
    </row>
    <row r="53" spans="1:13" ht="150" customHeight="1" thickBot="1">
      <c r="A53" s="312" t="s">
        <v>1418</v>
      </c>
      <c r="B53" s="313"/>
      <c r="C53" s="313"/>
      <c r="D53" s="313"/>
      <c r="E53" s="313"/>
      <c r="F53" s="313"/>
      <c r="G53" s="313"/>
      <c r="H53" s="313"/>
      <c r="I53" s="313"/>
      <c r="J53" s="313"/>
      <c r="K53" s="314"/>
    </row>
  </sheetData>
  <mergeCells count="44">
    <mergeCell ref="A45:A52"/>
    <mergeCell ref="A53:K53"/>
    <mergeCell ref="L33:M33"/>
    <mergeCell ref="A35:A42"/>
    <mergeCell ref="B43:C43"/>
    <mergeCell ref="D43:E43"/>
    <mergeCell ref="F43:G43"/>
    <mergeCell ref="H43:I43"/>
    <mergeCell ref="J43:K43"/>
    <mergeCell ref="L43:M43"/>
    <mergeCell ref="J33:K33"/>
    <mergeCell ref="A25:A32"/>
    <mergeCell ref="B33:C33"/>
    <mergeCell ref="D33:E33"/>
    <mergeCell ref="F33:G33"/>
    <mergeCell ref="H33:I33"/>
    <mergeCell ref="L13:M13"/>
    <mergeCell ref="N13:O13"/>
    <mergeCell ref="A15:A22"/>
    <mergeCell ref="B23:C23"/>
    <mergeCell ref="D23:E23"/>
    <mergeCell ref="F23:G23"/>
    <mergeCell ref="H23:I23"/>
    <mergeCell ref="J23:K23"/>
    <mergeCell ref="L23:M23"/>
    <mergeCell ref="N23:O23"/>
    <mergeCell ref="J13:K13"/>
    <mergeCell ref="A5:A12"/>
    <mergeCell ref="B13:C13"/>
    <mergeCell ref="D13:E13"/>
    <mergeCell ref="F13:G13"/>
    <mergeCell ref="H13:I13"/>
    <mergeCell ref="L3:M3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R53"/>
  <sheetViews>
    <sheetView topLeftCell="A7" zoomScale="60" zoomScaleNormal="60" workbookViewId="0">
      <selection sqref="A1:K1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295" t="s">
        <v>2131</v>
      </c>
      <c r="B1" s="296"/>
      <c r="C1" s="296"/>
      <c r="D1" s="296"/>
      <c r="E1" s="296"/>
      <c r="F1" s="296"/>
      <c r="G1" s="296"/>
      <c r="H1" s="296"/>
      <c r="I1" s="296"/>
      <c r="J1" s="296"/>
      <c r="K1" s="297"/>
    </row>
    <row r="2" spans="1:18" ht="24.95" customHeight="1" thickBot="1">
      <c r="A2" s="230" t="s">
        <v>1072</v>
      </c>
      <c r="B2" s="298" t="s">
        <v>1073</v>
      </c>
      <c r="C2" s="299"/>
      <c r="D2" s="300" t="s">
        <v>1074</v>
      </c>
      <c r="E2" s="301"/>
      <c r="F2" s="299" t="s">
        <v>1075</v>
      </c>
      <c r="G2" s="302"/>
      <c r="H2" s="298" t="s">
        <v>1076</v>
      </c>
      <c r="I2" s="302"/>
      <c r="J2" s="298" t="s">
        <v>1077</v>
      </c>
      <c r="K2" s="301"/>
    </row>
    <row r="3" spans="1:18" ht="24.95" customHeight="1">
      <c r="A3" s="233" t="s">
        <v>1078</v>
      </c>
      <c r="B3" s="293"/>
      <c r="C3" s="294"/>
      <c r="D3" s="293"/>
      <c r="E3" s="294"/>
      <c r="F3" s="293"/>
      <c r="G3" s="294"/>
      <c r="H3" s="293"/>
      <c r="I3" s="294"/>
      <c r="J3" s="293"/>
      <c r="K3" s="294"/>
      <c r="L3" s="293"/>
      <c r="M3" s="294"/>
    </row>
    <row r="4" spans="1:18" ht="20.100000000000001" customHeight="1" thickBot="1">
      <c r="A4" s="234" t="s">
        <v>1080</v>
      </c>
      <c r="B4" s="274" t="s">
        <v>1081</v>
      </c>
      <c r="C4" s="275" t="s">
        <v>1082</v>
      </c>
      <c r="D4" s="219" t="s">
        <v>1081</v>
      </c>
      <c r="E4" s="218" t="s">
        <v>1082</v>
      </c>
      <c r="F4" s="219" t="s">
        <v>1081</v>
      </c>
      <c r="G4" s="220" t="s">
        <v>1082</v>
      </c>
      <c r="H4" s="216" t="s">
        <v>1081</v>
      </c>
      <c r="I4" s="221" t="s">
        <v>1082</v>
      </c>
      <c r="J4" s="216" t="s">
        <v>1081</v>
      </c>
      <c r="K4" s="221" t="s">
        <v>1082</v>
      </c>
      <c r="L4" s="216" t="s">
        <v>1081</v>
      </c>
      <c r="M4" s="221" t="s">
        <v>1082</v>
      </c>
    </row>
    <row r="5" spans="1:18" ht="20.100000000000001" customHeight="1">
      <c r="A5" s="315" t="s">
        <v>1904</v>
      </c>
      <c r="B5" s="244"/>
      <c r="C5" s="276" t="str">
        <f>IFERROR(INDEX(온라인_반찬!$C$2:$I$587,MATCH($B5,온라인_반찬!$C$2:$C$587,0),7),"")</f>
        <v/>
      </c>
      <c r="D5" s="183"/>
      <c r="E5" s="203" t="str">
        <f>IFERROR(INDEX(온라인_반찬!$C$2:$I$587,MATCH($D5,온라인_반찬!$C$2:$C$587,0),7),"")</f>
        <v/>
      </c>
      <c r="F5" s="183"/>
      <c r="G5" s="203" t="str">
        <f>IFERROR(INDEX(온라인_반찬!$C$2:$I$587,MATCH($F5,온라인_반찬!$C$2:$C$587,0),7),"")</f>
        <v/>
      </c>
      <c r="H5" s="320" t="s">
        <v>2130</v>
      </c>
      <c r="I5" s="321"/>
      <c r="J5" s="177" t="s">
        <v>2132</v>
      </c>
      <c r="K5" s="203">
        <f>IFERROR(INDEX(온라인_반찬!$C$2:$I$587,MATCH($J5,온라인_반찬!$C$2:$C$587,0),7),"")</f>
        <v>0</v>
      </c>
      <c r="L5" s="242"/>
      <c r="M5" s="241"/>
    </row>
    <row r="6" spans="1:18" ht="20.100000000000001" customHeight="1">
      <c r="A6" s="316"/>
      <c r="B6" s="183"/>
      <c r="C6" s="203" t="str">
        <f>IFERROR(INDEX(온라인_반찬!$C$2:$I$587,MATCH($B6,온라인_반찬!$C$2:$C$587,0),7),"")</f>
        <v/>
      </c>
      <c r="D6" s="177"/>
      <c r="E6" s="203" t="str">
        <f>IFERROR(INDEX(온라인_반찬!$C$2:$I$587,MATCH($D6,온라인_반찬!$C$2:$C$587,0),7),"")</f>
        <v/>
      </c>
      <c r="F6" s="178"/>
      <c r="G6" s="203" t="str">
        <f>IFERROR(INDEX(온라인_반찬!$C$2:$I$587,MATCH($F6,온라인_반찬!$C$2:$C$587,0),7),"")</f>
        <v/>
      </c>
      <c r="H6" s="322"/>
      <c r="I6" s="323"/>
      <c r="J6" s="179" t="s">
        <v>2133</v>
      </c>
      <c r="K6" s="203" t="str">
        <f>IFERROR(INDEX(온라인_반찬!$C$2:$I$587,MATCH($J6,온라인_반찬!$C$2:$C$587,0),7),"")</f>
        <v>.1.2.5.6.16.</v>
      </c>
      <c r="L6" s="243"/>
      <c r="M6" s="241"/>
    </row>
    <row r="7" spans="1:18" ht="20.100000000000001" customHeight="1">
      <c r="A7" s="316"/>
      <c r="B7" s="182"/>
      <c r="C7" s="203" t="str">
        <f>IFERROR(INDEX(온라인_반찬!$C$2:$I$587,MATCH($B7,온라인_반찬!$C$2:$C$587,0),7),"")</f>
        <v/>
      </c>
      <c r="D7" s="179"/>
      <c r="E7" s="203" t="str">
        <f>IFERROR(INDEX(온라인_반찬!$C$2:$I$587,MATCH($D7,온라인_반찬!$C$2:$C$587,0),7),"")</f>
        <v/>
      </c>
      <c r="F7" s="178"/>
      <c r="G7" s="203" t="str">
        <f>IFERROR(INDEX(온라인_반찬!$C$2:$I$587,MATCH($F7,온라인_반찬!$C$2:$C$587,0),7),"")</f>
        <v/>
      </c>
      <c r="H7" s="322"/>
      <c r="I7" s="323"/>
      <c r="J7" s="179" t="s">
        <v>2134</v>
      </c>
      <c r="K7" s="203" t="str">
        <f>IFERROR(INDEX(온라인_반찬!$C$2:$I$587,MATCH($J7,온라인_반찬!$C$2:$C$587,0),7),"")</f>
        <v>.2.5.6.10.16.21.</v>
      </c>
      <c r="L7" s="243"/>
      <c r="M7" s="241"/>
      <c r="P7" s="248"/>
      <c r="R7" s="248"/>
    </row>
    <row r="8" spans="1:18" ht="20.100000000000001" customHeight="1">
      <c r="A8" s="316"/>
      <c r="B8" s="182"/>
      <c r="C8" s="203" t="str">
        <f>IFERROR(INDEX(온라인_반찬!$C$2:$I$587,MATCH($B8,온라인_반찬!$C$2:$C$587,0),7),"")</f>
        <v/>
      </c>
      <c r="D8" s="179"/>
      <c r="E8" s="203" t="str">
        <f>IFERROR(INDEX(온라인_반찬!$C$2:$I$587,MATCH($D8,온라인_반찬!$C$2:$C$587,0),7),"")</f>
        <v/>
      </c>
      <c r="F8" s="178"/>
      <c r="G8" s="203" t="str">
        <f>IFERROR(INDEX(온라인_반찬!$C$2:$I$587,MATCH($F8,온라인_반찬!$C$2:$C$587,0),7),"")</f>
        <v/>
      </c>
      <c r="H8" s="322"/>
      <c r="I8" s="323"/>
      <c r="J8" s="179" t="s">
        <v>2135</v>
      </c>
      <c r="K8" s="203" t="str">
        <f>IFERROR(INDEX(온라인_반찬!$C$2:$I$587,MATCH($J8,온라인_반찬!$C$2:$C$587,0),7),"")</f>
        <v>.5.21.</v>
      </c>
      <c r="L8" s="243"/>
      <c r="M8" s="241"/>
      <c r="P8" s="248"/>
      <c r="R8" s="248"/>
    </row>
    <row r="9" spans="1:18" ht="20.100000000000001" customHeight="1">
      <c r="A9" s="316"/>
      <c r="B9" s="182"/>
      <c r="C9" s="203" t="str">
        <f>IFERROR(INDEX(온라인_반찬!$C$2:$I$587,MATCH($B9,온라인_반찬!$C$2:$C$587,0),7),"")</f>
        <v/>
      </c>
      <c r="D9" s="179"/>
      <c r="E9" s="203" t="str">
        <f>IFERROR(INDEX(온라인_반찬!$C$2:$I$587,MATCH($D9,온라인_반찬!$C$2:$C$587,0),7),"")</f>
        <v/>
      </c>
      <c r="F9" s="178"/>
      <c r="G9" s="203" t="str">
        <f>IFERROR(INDEX(온라인_반찬!$C$2:$I$587,MATCH($F9,온라인_반찬!$C$2:$C$587,0),7),"")</f>
        <v/>
      </c>
      <c r="H9" s="322"/>
      <c r="I9" s="323"/>
      <c r="J9" s="179" t="s">
        <v>373</v>
      </c>
      <c r="K9" s="203" t="str">
        <f>IFERROR(INDEX(온라인_반찬!$C$2:$I$587,MATCH($J9,온라인_반찬!$C$2:$C$587,0),7),"")</f>
        <v>.9.12.</v>
      </c>
      <c r="L9" s="243"/>
      <c r="M9" s="241"/>
      <c r="P9" s="248"/>
      <c r="R9" s="248"/>
    </row>
    <row r="10" spans="1:18" ht="20.100000000000001" customHeight="1">
      <c r="A10" s="316"/>
      <c r="B10" s="182"/>
      <c r="C10" s="203" t="str">
        <f>IFERROR(INDEX(온라인_반찬!$C$2:$I$587,MATCH($B10,온라인_반찬!$C$2:$C$587,0),7),"")</f>
        <v/>
      </c>
      <c r="D10" s="179"/>
      <c r="E10" s="203" t="str">
        <f>IFERROR(INDEX(온라인_반찬!$C$2:$I$587,MATCH($D10,온라인_반찬!$C$2:$C$587,0),7),"")</f>
        <v/>
      </c>
      <c r="F10" s="178"/>
      <c r="G10" s="203" t="str">
        <f>IFERROR(INDEX(온라인_반찬!$C$2:$I$587,MATCH($F10,온라인_반찬!$C$2:$C$587,0),7),"")</f>
        <v/>
      </c>
      <c r="H10" s="322"/>
      <c r="I10" s="323"/>
      <c r="J10" s="179" t="s">
        <v>2136</v>
      </c>
      <c r="K10" s="203" t="str">
        <f>IFERROR(INDEX(온라인_반찬!$C$2:$I$587,MATCH($J10,온라인_반찬!$C$2:$C$587,0),7),"")</f>
        <v>.5.6.</v>
      </c>
      <c r="L10" s="184"/>
      <c r="M10" s="203"/>
      <c r="N10" s="120"/>
      <c r="P10" s="248"/>
      <c r="R10" s="248"/>
    </row>
    <row r="11" spans="1:18" ht="20.100000000000001" customHeight="1">
      <c r="A11" s="316"/>
      <c r="B11" s="182"/>
      <c r="C11" s="203" t="str">
        <f>IFERROR(INDEX(온라인_반찬!$C$2:$I$587,MATCH($B11,온라인_반찬!$C$2:$C$587,0),7),"")</f>
        <v/>
      </c>
      <c r="D11" s="181"/>
      <c r="E11" s="203" t="str">
        <f>IFERROR(INDEX(온라인_반찬!$C$2:$I$587,MATCH($D11,온라인_반찬!$C$2:$C$587,0),7),"")</f>
        <v/>
      </c>
      <c r="F11" s="180"/>
      <c r="G11" s="203" t="str">
        <f>IFERROR(INDEX(온라인_반찬!$C$2:$I$587,MATCH($F11,온라인_반찬!$C$2:$C$587,0),7),"")</f>
        <v/>
      </c>
      <c r="H11" s="322"/>
      <c r="I11" s="323"/>
      <c r="J11" s="179"/>
      <c r="K11" s="203" t="str">
        <f>IFERROR(INDEX(온라인_반찬!$C$2:$I$587,MATCH($J11,온라인_반찬!$C$2:$C$587,0),7),"")</f>
        <v/>
      </c>
      <c r="L11" s="182"/>
      <c r="M11" s="203"/>
      <c r="P11" s="248"/>
      <c r="R11" s="248"/>
    </row>
    <row r="12" spans="1:18" ht="19.5" customHeight="1" thickBot="1">
      <c r="A12" s="317"/>
      <c r="B12" s="213"/>
      <c r="C12" s="204" t="str">
        <f>IFERROR(INDEX(온라인_반찬!$C$2:$I$587,MATCH($B12,온라인_반찬!$C$2:$C$587,0),7),"")</f>
        <v/>
      </c>
      <c r="D12" s="179"/>
      <c r="E12" s="204"/>
      <c r="F12" s="213"/>
      <c r="G12" s="203" t="str">
        <f>IFERROR(INDEX(온라인_반찬!$C$2:$I$587,MATCH($F12,온라인_반찬!$C$2:$C$587,0),7),"")</f>
        <v/>
      </c>
      <c r="H12" s="324"/>
      <c r="I12" s="325"/>
      <c r="J12" s="177"/>
      <c r="K12" s="203" t="str">
        <f>IFERROR(INDEX(온라인_반찬!$C$2:$I$587,MATCH($J12,온라인_반찬!$C$2:$C$587,0),7),"")</f>
        <v/>
      </c>
      <c r="L12" s="213"/>
      <c r="M12" s="204"/>
      <c r="P12" s="248"/>
      <c r="R12" s="248"/>
    </row>
    <row r="13" spans="1:18" ht="24.95" customHeight="1">
      <c r="A13" s="175" t="s">
        <v>1078</v>
      </c>
      <c r="B13" s="293"/>
      <c r="C13" s="294"/>
      <c r="D13" s="293"/>
      <c r="E13" s="294"/>
      <c r="F13" s="293"/>
      <c r="G13" s="294"/>
      <c r="H13" s="293"/>
      <c r="I13" s="294"/>
      <c r="J13" s="293"/>
      <c r="K13" s="294"/>
      <c r="L13" s="306"/>
      <c r="M13" s="307"/>
      <c r="N13" s="308"/>
      <c r="O13" s="309"/>
      <c r="R13" s="248"/>
    </row>
    <row r="14" spans="1:18" ht="20.100000000000001" customHeight="1" thickBot="1">
      <c r="A14" s="231" t="s">
        <v>1080</v>
      </c>
      <c r="B14" s="217" t="s">
        <v>1081</v>
      </c>
      <c r="C14" s="220" t="s">
        <v>1082</v>
      </c>
      <c r="D14" s="217" t="s">
        <v>1081</v>
      </c>
      <c r="E14" s="220" t="s">
        <v>1082</v>
      </c>
      <c r="F14" s="217" t="s">
        <v>1081</v>
      </c>
      <c r="G14" s="220" t="s">
        <v>1082</v>
      </c>
      <c r="H14" s="217" t="s">
        <v>1081</v>
      </c>
      <c r="I14" s="220" t="s">
        <v>1082</v>
      </c>
      <c r="J14" s="217" t="s">
        <v>1081</v>
      </c>
      <c r="K14" s="218" t="s">
        <v>1082</v>
      </c>
      <c r="L14" s="216" t="s">
        <v>1081</v>
      </c>
      <c r="M14" s="221" t="s">
        <v>1082</v>
      </c>
      <c r="N14" s="216" t="s">
        <v>1081</v>
      </c>
      <c r="O14" s="221" t="s">
        <v>1082</v>
      </c>
      <c r="R14" s="248"/>
    </row>
    <row r="15" spans="1:18" ht="20.100000000000001" customHeight="1">
      <c r="A15" s="303" t="s">
        <v>1083</v>
      </c>
      <c r="B15" s="244" t="s">
        <v>2137</v>
      </c>
      <c r="C15" s="276">
        <f>IFERROR(INDEX(온라인_반찬!$C$2:$I$587,MATCH($B15,온라인_반찬!$C$2:$C$587,0),7),"")</f>
        <v>0</v>
      </c>
      <c r="D15" s="183" t="s">
        <v>2141</v>
      </c>
      <c r="E15" s="203">
        <f>IFERROR(INDEX(온라인_반찬!$C$2:$I$587,MATCH($D15,온라인_반찬!$C$2:$C$587,0),7),"")</f>
        <v>0</v>
      </c>
      <c r="F15" s="183" t="s">
        <v>2145</v>
      </c>
      <c r="G15" s="203">
        <f>IFERROR(INDEX(온라인_반찬!$C$2:$I$587,MATCH($F15,온라인_반찬!$C$2:$C$587,0),7),"")</f>
        <v>0</v>
      </c>
      <c r="H15" s="177" t="s">
        <v>292</v>
      </c>
      <c r="I15" s="203">
        <f>IFERROR(INDEX(온라인_반찬!$C$2:$I$587,MATCH($H15,온라인_반찬!$C$2:$C$587,0),7),"")</f>
        <v>0</v>
      </c>
      <c r="J15" s="177" t="s">
        <v>2132</v>
      </c>
      <c r="K15" s="203">
        <f>IFERROR(INDEX(온라인_반찬!$C$2:$I$587,MATCH($J15,온라인_반찬!$C$2:$C$587,0),7),"")</f>
        <v>0</v>
      </c>
      <c r="L15" s="242"/>
      <c r="M15" s="241"/>
      <c r="N15" s="242"/>
      <c r="O15" s="241"/>
      <c r="R15" s="248"/>
    </row>
    <row r="16" spans="1:18" ht="20.100000000000001" customHeight="1">
      <c r="A16" s="304"/>
      <c r="B16" s="183" t="s">
        <v>2140</v>
      </c>
      <c r="C16" s="203" t="str">
        <f>IFERROR(INDEX(온라인_반찬!$C$2:$I$587,MATCH($B16,온라인_반찬!$C$2:$C$587,0),7),"")</f>
        <v>1.5.</v>
      </c>
      <c r="D16" s="177" t="s">
        <v>452</v>
      </c>
      <c r="E16" s="203" t="str">
        <f>IFERROR(INDEX(온라인_반찬!$C$2:$I$587,MATCH($D16,온라인_반찬!$C$2:$C$587,0),7),"")</f>
        <v>.1.5.6.10.21.</v>
      </c>
      <c r="F16" s="178" t="s">
        <v>2146</v>
      </c>
      <c r="G16" s="203" t="str">
        <f>IFERROR(INDEX(온라인_반찬!$C$2:$I$587,MATCH($F16,온라인_반찬!$C$2:$C$587,0),7),"")</f>
        <v>.5.16.21.</v>
      </c>
      <c r="H16" s="179" t="s">
        <v>2151</v>
      </c>
      <c r="I16" s="203" t="str">
        <f>IFERROR(INDEX(온라인_반찬!$C$2:$I$587,MATCH($H16,온라인_반찬!$C$2:$C$587,0),7),"")</f>
        <v>.2.5.6.12.15.</v>
      </c>
      <c r="J16" s="179" t="s">
        <v>2155</v>
      </c>
      <c r="K16" s="203" t="str">
        <f>IFERROR(INDEX(온라인_반찬!$C$2:$I$587,MATCH($J16,온라인_반찬!$C$2:$C$587,0),7),"")</f>
        <v>.5.10.21.</v>
      </c>
      <c r="L16" s="243"/>
      <c r="M16" s="241"/>
      <c r="N16" s="243"/>
      <c r="O16" s="241"/>
      <c r="R16" s="248"/>
    </row>
    <row r="17" spans="1:18" ht="20.100000000000001" customHeight="1">
      <c r="A17" s="304"/>
      <c r="B17" s="182" t="s">
        <v>1159</v>
      </c>
      <c r="C17" s="203" t="str">
        <f>IFERROR(INDEX(온라인_반찬!$C$2:$I$587,MATCH($B17,온라인_반찬!$C$2:$C$587,0),7),"")</f>
        <v>.1.5.19.</v>
      </c>
      <c r="D17" s="179" t="s">
        <v>2142</v>
      </c>
      <c r="E17" s="203" t="str">
        <f>IFERROR(INDEX(온라인_반찬!$C$2:$I$587,MATCH($D17,온라인_반찬!$C$2:$C$587,0),7),"")</f>
        <v>.5.21.</v>
      </c>
      <c r="F17" s="178" t="s">
        <v>2147</v>
      </c>
      <c r="G17" s="203" t="str">
        <f>IFERROR(INDEX(온라인_반찬!$C$2:$I$587,MATCH($F17,온라인_반찬!$C$2:$C$587,0),7),"")</f>
        <v>.1.2.5.</v>
      </c>
      <c r="H17" s="179" t="s">
        <v>2152</v>
      </c>
      <c r="I17" s="203" t="str">
        <f>IFERROR(INDEX(온라인_반찬!$C$2:$I$587,MATCH($H17,온라인_반찬!$C$2:$C$587,0),7),"")</f>
        <v>.1.2.5.6.10.16.</v>
      </c>
      <c r="J17" s="179" t="s">
        <v>2156</v>
      </c>
      <c r="K17" s="203" t="str">
        <f>IFERROR(INDEX(온라인_반찬!$C$2:$I$587,MATCH($J17,온라인_반찬!$C$2:$C$587,0),7),"")</f>
        <v>.1.5.</v>
      </c>
      <c r="L17" s="243"/>
      <c r="M17" s="241"/>
      <c r="N17" s="243"/>
      <c r="O17" s="241"/>
      <c r="R17" s="248"/>
    </row>
    <row r="18" spans="1:18" ht="20.100000000000001" customHeight="1">
      <c r="A18" s="304"/>
      <c r="B18" s="182" t="s">
        <v>2138</v>
      </c>
      <c r="C18" s="203" t="str">
        <f>IFERROR(INDEX(온라인_반찬!$C$2:$I$587,MATCH($B18,온라인_반찬!$C$2:$C$587,0),7),"")</f>
        <v>.5.6.10.12.15.16.</v>
      </c>
      <c r="D18" s="179" t="s">
        <v>2143</v>
      </c>
      <c r="E18" s="203" t="str">
        <f>IFERROR(INDEX(온라인_반찬!$C$2:$I$587,MATCH($D18,온라인_반찬!$C$2:$C$587,0),7),"")</f>
        <v>.5.21.</v>
      </c>
      <c r="F18" s="178" t="s">
        <v>2148</v>
      </c>
      <c r="G18" s="203" t="str">
        <f>IFERROR(INDEX(온라인_반찬!$C$2:$I$587,MATCH($F18,온라인_반찬!$C$2:$C$587,0),7),"")</f>
        <v>.5.21.</v>
      </c>
      <c r="H18" s="179" t="s">
        <v>2153</v>
      </c>
      <c r="I18" s="203" t="str">
        <f>IFERROR(INDEX(온라인_반찬!$C$2:$I$587,MATCH($H18,온라인_반찬!$C$2:$C$587,0),7),"")</f>
        <v>.5.21.</v>
      </c>
      <c r="J18" s="179" t="s">
        <v>2157</v>
      </c>
      <c r="K18" s="203" t="str">
        <f>IFERROR(INDEX(온라인_반찬!$C$2:$I$587,MATCH($J18,온라인_반찬!$C$2:$C$587,0),7),"")</f>
        <v>.21.</v>
      </c>
      <c r="L18" s="243"/>
      <c r="M18" s="241"/>
      <c r="N18" s="243"/>
      <c r="O18" s="241"/>
    </row>
    <row r="19" spans="1:18" ht="20.100000000000001" customHeight="1">
      <c r="A19" s="304"/>
      <c r="B19" s="182" t="s">
        <v>2139</v>
      </c>
      <c r="C19" s="203" t="str">
        <f>IFERROR(INDEX(온라인_반찬!$C$2:$I$587,MATCH($B19,온라인_반찬!$C$2:$C$587,0),7),"")</f>
        <v>.1.5.</v>
      </c>
      <c r="D19" s="179" t="s">
        <v>229</v>
      </c>
      <c r="E19" s="203" t="str">
        <f>IFERROR(INDEX(온라인_반찬!$C$2:$I$587,MATCH($D19,온라인_반찬!$C$2:$C$587,0),7),"")</f>
        <v>.6.9.</v>
      </c>
      <c r="F19" s="178" t="s">
        <v>2149</v>
      </c>
      <c r="G19" s="203">
        <f>IFERROR(INDEX(온라인_반찬!$C$2:$I$587,MATCH($F19,온라인_반찬!$C$2:$C$587,0),7),"")</f>
        <v>0</v>
      </c>
      <c r="H19" s="179" t="s">
        <v>229</v>
      </c>
      <c r="I19" s="203" t="str">
        <f>IFERROR(INDEX(온라인_반찬!$C$2:$I$587,MATCH($H19,온라인_반찬!$C$2:$C$587,0),7),"")</f>
        <v>.6.9.</v>
      </c>
      <c r="J19" s="179" t="s">
        <v>373</v>
      </c>
      <c r="K19" s="203" t="str">
        <f>IFERROR(INDEX(온라인_반찬!$C$2:$I$587,MATCH($J19,온라인_반찬!$C$2:$C$587,0),7),"")</f>
        <v>.9.12.</v>
      </c>
      <c r="L19" s="243"/>
      <c r="M19" s="241"/>
      <c r="N19" s="243"/>
      <c r="O19" s="241"/>
    </row>
    <row r="20" spans="1:18" ht="20.100000000000001" customHeight="1">
      <c r="A20" s="304"/>
      <c r="B20" s="182" t="s">
        <v>373</v>
      </c>
      <c r="C20" s="203" t="str">
        <f>IFERROR(INDEX(온라인_반찬!$C$2:$I$587,MATCH($B20,온라인_반찬!$C$2:$C$587,0),7),"")</f>
        <v>.9.12.</v>
      </c>
      <c r="D20" s="179" t="s">
        <v>2144</v>
      </c>
      <c r="E20" s="203" t="str">
        <f>IFERROR(INDEX(온라인_반찬!$C$2:$I$587,MATCH($D20,온라인_반찬!$C$2:$C$587,0),7),"")</f>
        <v>.1.5.21.</v>
      </c>
      <c r="F20" s="180" t="s">
        <v>2150</v>
      </c>
      <c r="G20" s="203" t="str">
        <f>IFERROR(INDEX(온라인_반찬!$C$2:$I$587,MATCH($F20,온라인_반찬!$C$2:$C$587,0),7),"")</f>
        <v>.5.9.</v>
      </c>
      <c r="H20" s="179" t="s">
        <v>2154</v>
      </c>
      <c r="I20" s="203" t="str">
        <f>IFERROR(INDEX(온라인_반찬!$C$2:$I$587,MATCH($H20,온라인_반찬!$C$2:$C$587,0),7),"")</f>
        <v>.5.9.</v>
      </c>
      <c r="J20" s="179" t="s">
        <v>2158</v>
      </c>
      <c r="K20" s="203" t="str">
        <f>IFERROR(INDEX(온라인_반찬!$C$2:$I$587,MATCH($J20,온라인_반찬!$C$2:$C$587,0),7),"")</f>
        <v>.5.</v>
      </c>
      <c r="L20" s="184"/>
      <c r="M20" s="203"/>
      <c r="N20" s="243"/>
      <c r="O20" s="241"/>
    </row>
    <row r="21" spans="1:18" ht="20.100000000000001" customHeight="1">
      <c r="A21" s="304"/>
      <c r="B21" s="182" t="s">
        <v>407</v>
      </c>
      <c r="C21" s="203" t="str">
        <f>IFERROR(INDEX(온라인_반찬!$C$2:$I$587,MATCH($B21,온라인_반찬!$C$2:$C$587,0),7),"")</f>
        <v>.5.16.</v>
      </c>
      <c r="D21" s="181"/>
      <c r="E21" s="203" t="str">
        <f>IFERROR(INDEX(온라인_반찬!$C$2:$I$587,MATCH($D21,온라인_반찬!$C$2:$C$587,0),7),"")</f>
        <v/>
      </c>
      <c r="F21" s="180"/>
      <c r="G21" s="203" t="str">
        <f>IFERROR(INDEX(온라인_반찬!$C$2:$I$587,MATCH($F21,온라인_반찬!$C$2:$C$587,0),7),"")</f>
        <v/>
      </c>
      <c r="H21" s="177"/>
      <c r="I21" s="203" t="str">
        <f>IFERROR(INDEX(온라인_반찬!$C$2:$I$587,MATCH($H21,온라인_반찬!$C$2:$C$587,0),7),"")</f>
        <v/>
      </c>
      <c r="J21" s="179"/>
      <c r="K21" s="203" t="str">
        <f>IFERROR(INDEX(온라인_반찬!$C$2:$I$587,MATCH($J21,온라인_반찬!$C$2:$C$587,0),7),"")</f>
        <v/>
      </c>
      <c r="L21" s="182"/>
      <c r="M21" s="203"/>
      <c r="N21" s="182"/>
      <c r="O21" s="203"/>
    </row>
    <row r="22" spans="1:18" ht="20.100000000000001" customHeight="1" thickBot="1">
      <c r="A22" s="305"/>
      <c r="B22" s="213"/>
      <c r="C22" s="204" t="str">
        <f>IFERROR(INDEX(온라인_반찬!$C$2:$I$587,MATCH($B22,온라인_반찬!$C$2:$C$587,0),7),"")</f>
        <v/>
      </c>
      <c r="D22" s="179"/>
      <c r="E22" s="204"/>
      <c r="F22" s="213"/>
      <c r="G22" s="203" t="str">
        <f>IFERROR(INDEX(온라인_반찬!$C$2:$I$587,MATCH($F22,온라인_반찬!$C$2:$C$587,0),7),"")</f>
        <v/>
      </c>
      <c r="H22" s="179"/>
      <c r="I22" s="204"/>
      <c r="J22" s="177"/>
      <c r="K22" s="203" t="str">
        <f>IFERROR(INDEX(온라인_반찬!$C$2:$I$587,MATCH($J22,온라인_반찬!$C$2:$C$587,0),7),"")</f>
        <v/>
      </c>
      <c r="L22" s="213"/>
      <c r="M22" s="204"/>
      <c r="N22" s="213"/>
      <c r="O22" s="204"/>
    </row>
    <row r="23" spans="1:18" ht="24.95" customHeight="1">
      <c r="A23" s="175" t="s">
        <v>1078</v>
      </c>
      <c r="B23" s="306"/>
      <c r="C23" s="307"/>
      <c r="D23" s="306"/>
      <c r="E23" s="307"/>
      <c r="F23" s="306"/>
      <c r="G23" s="307"/>
      <c r="H23" s="306"/>
      <c r="I23" s="307"/>
      <c r="J23" s="306"/>
      <c r="K23" s="307"/>
      <c r="L23" s="310"/>
      <c r="M23" s="311"/>
      <c r="N23" s="308"/>
      <c r="O23" s="309"/>
    </row>
    <row r="24" spans="1:18" ht="20.100000000000001" customHeight="1" thickBot="1">
      <c r="A24" s="231" t="s">
        <v>1080</v>
      </c>
      <c r="B24" s="217" t="s">
        <v>1081</v>
      </c>
      <c r="C24" s="220" t="s">
        <v>1082</v>
      </c>
      <c r="D24" s="217" t="s">
        <v>1081</v>
      </c>
      <c r="E24" s="220" t="s">
        <v>1082</v>
      </c>
      <c r="F24" s="217" t="s">
        <v>1081</v>
      </c>
      <c r="G24" s="220" t="s">
        <v>1082</v>
      </c>
      <c r="H24" s="217" t="s">
        <v>1081</v>
      </c>
      <c r="I24" s="220" t="s">
        <v>1082</v>
      </c>
      <c r="J24" s="217" t="s">
        <v>1081</v>
      </c>
      <c r="K24" s="218" t="s">
        <v>1082</v>
      </c>
      <c r="L24" s="217"/>
      <c r="M24" s="218"/>
      <c r="N24" s="216"/>
      <c r="O24" s="221"/>
    </row>
    <row r="25" spans="1:18" ht="20.100000000000001" customHeight="1">
      <c r="A25" s="303" t="s">
        <v>1084</v>
      </c>
      <c r="B25" s="244" t="s">
        <v>2137</v>
      </c>
      <c r="C25" s="276">
        <f>IFERROR(INDEX(온라인_반찬!$C$2:$I$587,MATCH($B25,온라인_반찬!$C$2:$C$587,0),7),"")</f>
        <v>0</v>
      </c>
      <c r="D25" s="183" t="s">
        <v>2141</v>
      </c>
      <c r="E25" s="203">
        <f>IFERROR(INDEX(온라인_반찬!$C$2:$I$587,MATCH($D25,온라인_반찬!$C$2:$C$587,0),7),"")</f>
        <v>0</v>
      </c>
      <c r="F25" s="183" t="s">
        <v>2145</v>
      </c>
      <c r="G25" s="203">
        <f>IFERROR(INDEX(온라인_반찬!$C$2:$I$587,MATCH($F25,온라인_반찬!$C$2:$C$587,0),7),"")</f>
        <v>0</v>
      </c>
      <c r="H25" s="177" t="s">
        <v>292</v>
      </c>
      <c r="I25" s="203">
        <f>IFERROR(INDEX(온라인_반찬!$C$2:$I$587,MATCH($H25,온라인_반찬!$C$2:$C$587,0),7),"")</f>
        <v>0</v>
      </c>
      <c r="J25" s="177" t="s">
        <v>2132</v>
      </c>
      <c r="K25" s="203">
        <f>IFERROR(INDEX(온라인_반찬!$C$2:$I$587,MATCH($J25,온라인_반찬!$C$2:$C$587,0),7),"")</f>
        <v>0</v>
      </c>
      <c r="L25" s="242"/>
      <c r="M25" s="241"/>
      <c r="N25" s="183"/>
      <c r="O25" s="203"/>
    </row>
    <row r="26" spans="1:18" ht="20.100000000000001" customHeight="1">
      <c r="A26" s="304"/>
      <c r="B26" s="183" t="s">
        <v>2159</v>
      </c>
      <c r="C26" s="203" t="str">
        <f>IFERROR(INDEX(온라인_반찬!$C$2:$I$587,MATCH($B26,온라인_반찬!$C$2:$C$587,0),7),"")</f>
        <v>.2.5.6.12.15.16.18.</v>
      </c>
      <c r="D26" s="177" t="s">
        <v>2162</v>
      </c>
      <c r="E26" s="203" t="str">
        <f>IFERROR(INDEX(온라인_반찬!$C$2:$I$587,MATCH($D26,온라인_반찬!$C$2:$C$587,0),7),"")</f>
        <v>.5.15.21.</v>
      </c>
      <c r="F26" s="178" t="s">
        <v>2165</v>
      </c>
      <c r="G26" s="203" t="str">
        <f>IFERROR(INDEX(온라인_반찬!$C$2:$I$587,MATCH($F26,온라인_반찬!$C$2:$C$587,0),7),"")</f>
        <v>.2.5.6.12.16.18.21.</v>
      </c>
      <c r="H26" s="179" t="s">
        <v>2172</v>
      </c>
      <c r="I26" s="203" t="str">
        <f>IFERROR(INDEX(온라인_반찬!$C$2:$I$587,MATCH($H26,온라인_반찬!$C$2:$C$587,0),7),"")</f>
        <v>.5.6.10.21.</v>
      </c>
      <c r="J26" s="179" t="s">
        <v>2169</v>
      </c>
      <c r="K26" s="203" t="str">
        <f>IFERROR(INDEX(온라인_반찬!$C$2:$I$587,MATCH($J26,온라인_반찬!$C$2:$C$587,0),7),"")</f>
        <v>.1.2.5.6.15.16.</v>
      </c>
      <c r="L26" s="243"/>
      <c r="M26" s="241"/>
      <c r="N26" s="182"/>
      <c r="O26" s="203"/>
    </row>
    <row r="27" spans="1:18" ht="20.100000000000001" customHeight="1">
      <c r="A27" s="304"/>
      <c r="B27" s="182" t="s">
        <v>2160</v>
      </c>
      <c r="C27" s="203" t="str">
        <f>IFERROR(INDEX(온라인_반찬!$C$2:$I$587,MATCH($B27,온라인_반찬!$C$2:$C$587,0),7),"")</f>
        <v>.1.5.6.9.</v>
      </c>
      <c r="D27" s="179" t="s">
        <v>2163</v>
      </c>
      <c r="E27" s="203" t="str">
        <f>IFERROR(INDEX(온라인_반찬!$C$2:$I$587,MATCH($D27,온라인_반찬!$C$2:$C$587,0),7),"")</f>
        <v>.5.6.10.</v>
      </c>
      <c r="F27" s="178" t="s">
        <v>2166</v>
      </c>
      <c r="G27" s="203" t="str">
        <f>IFERROR(INDEX(온라인_반찬!$C$2:$I$587,MATCH($F27,온라인_반찬!$C$2:$C$587,0),7),"")</f>
        <v>.1.5.21.</v>
      </c>
      <c r="H27" s="179" t="s">
        <v>462</v>
      </c>
      <c r="I27" s="203" t="str">
        <f>IFERROR(INDEX(온라인_반찬!$C$2:$I$587,MATCH($H27,온라인_반찬!$C$2:$C$587,0),7),"")</f>
        <v>.1.2.5.6.16.18.</v>
      </c>
      <c r="J27" s="179" t="s">
        <v>2170</v>
      </c>
      <c r="K27" s="203" t="str">
        <f>IFERROR(INDEX(온라인_반찬!$C$2:$I$587,MATCH($J27,온라인_반찬!$C$2:$C$587,0),7),"")</f>
        <v>.5.6.10.12.15.16.21.</v>
      </c>
      <c r="L27" s="243"/>
      <c r="M27" s="241"/>
      <c r="N27" s="182"/>
      <c r="O27" s="203"/>
    </row>
    <row r="28" spans="1:18" ht="20.100000000000001" customHeight="1">
      <c r="A28" s="304"/>
      <c r="B28" s="182" t="s">
        <v>227</v>
      </c>
      <c r="C28" s="203" t="str">
        <f>IFERROR(INDEX(온라인_반찬!$C$2:$I$587,MATCH($B28,온라인_반찬!$C$2:$C$587,0),7),"")</f>
        <v>.5.21.</v>
      </c>
      <c r="D28" s="179" t="s">
        <v>482</v>
      </c>
      <c r="E28" s="203" t="str">
        <f>IFERROR(INDEX(온라인_반찬!$C$2:$I$587,MATCH($D28,온라인_반찬!$C$2:$C$587,0),7),"")</f>
        <v>.5.21.</v>
      </c>
      <c r="F28" s="178" t="s">
        <v>2167</v>
      </c>
      <c r="G28" s="203" t="str">
        <f>IFERROR(INDEX(온라인_반찬!$C$2:$I$587,MATCH($F28,온라인_반찬!$C$2:$C$587,0),7),"")</f>
        <v>.21.</v>
      </c>
      <c r="H28" s="179" t="s">
        <v>2173</v>
      </c>
      <c r="I28" s="203" t="str">
        <f>IFERROR(INDEX(온라인_반찬!$C$2:$I$587,MATCH($H28,온라인_반찬!$C$2:$C$587,0),7),"")</f>
        <v>.5.21.22.</v>
      </c>
      <c r="J28" s="179" t="s">
        <v>2171</v>
      </c>
      <c r="K28" s="203" t="str">
        <f>IFERROR(INDEX(온라인_반찬!$C$2:$I$587,MATCH($J28,온라인_반찬!$C$2:$C$587,0),7),"")</f>
        <v>.2.5.6.12.</v>
      </c>
      <c r="L28" s="243"/>
      <c r="M28" s="241"/>
      <c r="N28" s="182"/>
      <c r="O28" s="203"/>
    </row>
    <row r="29" spans="1:18" ht="20.100000000000001" customHeight="1">
      <c r="A29" s="304"/>
      <c r="B29" s="182" t="s">
        <v>373</v>
      </c>
      <c r="C29" s="203" t="str">
        <f>IFERROR(INDEX(온라인_반찬!$C$2:$I$587,MATCH($B29,온라인_반찬!$C$2:$C$587,0),7),"")</f>
        <v>.9.12.</v>
      </c>
      <c r="D29" s="179" t="s">
        <v>229</v>
      </c>
      <c r="E29" s="203" t="str">
        <f>IFERROR(INDEX(온라인_반찬!$C$2:$I$587,MATCH($D29,온라인_반찬!$C$2:$C$587,0),7),"")</f>
        <v>.6.9.</v>
      </c>
      <c r="F29" s="178" t="s">
        <v>2149</v>
      </c>
      <c r="G29" s="203">
        <f>IFERROR(INDEX(온라인_반찬!$C$2:$I$587,MATCH($F29,온라인_반찬!$C$2:$C$587,0),7),"")</f>
        <v>0</v>
      </c>
      <c r="H29" s="179" t="s">
        <v>229</v>
      </c>
      <c r="I29" s="203" t="str">
        <f>IFERROR(INDEX(온라인_반찬!$C$2:$I$587,MATCH($H29,온라인_반찬!$C$2:$C$587,0),7),"")</f>
        <v>.6.9.</v>
      </c>
      <c r="J29" s="179" t="s">
        <v>373</v>
      </c>
      <c r="K29" s="203" t="str">
        <f>IFERROR(INDEX(온라인_반찬!$C$2:$I$587,MATCH($J29,온라인_반찬!$C$2:$C$587,0),7),"")</f>
        <v>.9.12.</v>
      </c>
      <c r="L29" s="243"/>
      <c r="M29" s="241"/>
      <c r="N29" s="182"/>
      <c r="O29" s="203"/>
    </row>
    <row r="30" spans="1:18" ht="20.100000000000001" customHeight="1">
      <c r="A30" s="304"/>
      <c r="B30" s="182" t="s">
        <v>2161</v>
      </c>
      <c r="C30" s="203" t="str">
        <f>IFERROR(INDEX(온라인_반찬!$C$2:$I$587,MATCH($B30,온라인_반찬!$C$2:$C$587,0),7),"")</f>
        <v>.5.</v>
      </c>
      <c r="D30" s="179" t="s">
        <v>2164</v>
      </c>
      <c r="E30" s="203" t="str">
        <f>IFERROR(INDEX(온라인_반찬!$C$2:$I$587,MATCH($D30,온라인_반찬!$C$2:$C$587,0),7),"")</f>
        <v>.5.6.</v>
      </c>
      <c r="F30" s="180" t="s">
        <v>2168</v>
      </c>
      <c r="G30" s="203" t="str">
        <f>IFERROR(INDEX(온라인_반찬!$C$2:$I$587,MATCH($F30,온라인_반찬!$C$2:$C$587,0),7),"")</f>
        <v>.5.</v>
      </c>
      <c r="H30" s="179" t="s">
        <v>2174</v>
      </c>
      <c r="I30" s="203" t="str">
        <f>IFERROR(INDEX(온라인_반찬!$C$2:$I$587,MATCH($H30,온라인_반찬!$C$2:$C$587,0),7),"")</f>
        <v>.5.16.</v>
      </c>
      <c r="J30" s="179" t="s">
        <v>427</v>
      </c>
      <c r="K30" s="203" t="str">
        <f>IFERROR(INDEX(온라인_반찬!$C$2:$I$587,MATCH($J30,온라인_반찬!$C$2:$C$587,0),7),"")</f>
        <v>.5.9.16.</v>
      </c>
      <c r="L30" s="184"/>
      <c r="M30" s="203">
        <v>0</v>
      </c>
      <c r="N30" s="184"/>
      <c r="O30" s="203"/>
    </row>
    <row r="31" spans="1:18" ht="20.100000000000001" customHeight="1">
      <c r="A31" s="304"/>
      <c r="B31" s="182"/>
      <c r="C31" s="203" t="str">
        <f>IFERROR(INDEX(온라인_반찬!$C$2:$I$587,MATCH($B31,온라인_반찬!$C$2:$C$587,0),7),"")</f>
        <v/>
      </c>
      <c r="D31" s="181"/>
      <c r="E31" s="203" t="str">
        <f>IFERROR(INDEX(온라인_반찬!$C$2:$I$587,MATCH($D31,온라인_반찬!$C$2:$C$587,0),7),"")</f>
        <v/>
      </c>
      <c r="F31" s="180"/>
      <c r="G31" s="203" t="str">
        <f>IFERROR(INDEX(온라인_반찬!$C$2:$I$587,MATCH($F31,온라인_반찬!$C$2:$C$587,0),7),"")</f>
        <v/>
      </c>
      <c r="H31" s="177"/>
      <c r="I31" s="203" t="str">
        <f>IFERROR(INDEX(온라인_반찬!$C$2:$I$587,MATCH($H31,온라인_반찬!$C$2:$C$587,0),7),"")</f>
        <v/>
      </c>
      <c r="J31" s="179"/>
      <c r="K31" s="203" t="str">
        <f>IFERROR(INDEX(온라인_반찬!$C$2:$I$587,MATCH($J31,온라인_반찬!$C$2:$C$587,0),7),"")</f>
        <v/>
      </c>
      <c r="L31" s="182"/>
      <c r="M31" s="203"/>
      <c r="N31" s="182"/>
      <c r="O31" s="203"/>
    </row>
    <row r="32" spans="1:18" ht="20.100000000000001" customHeight="1" thickBot="1">
      <c r="A32" s="305"/>
      <c r="B32" s="213"/>
      <c r="C32" s="204" t="str">
        <f>IFERROR(INDEX(온라인_반찬!$C$2:$I$587,MATCH($B32,온라인_반찬!$C$2:$C$587,0),7),"")</f>
        <v/>
      </c>
      <c r="D32" s="179"/>
      <c r="E32" s="204"/>
      <c r="F32" s="213"/>
      <c r="G32" s="203" t="str">
        <f>IFERROR(INDEX(온라인_반찬!$C$2:$I$587,MATCH($F32,온라인_반찬!$C$2:$C$587,0),7),"")</f>
        <v/>
      </c>
      <c r="H32" s="179"/>
      <c r="I32" s="204"/>
      <c r="J32" s="177"/>
      <c r="K32" s="203" t="str">
        <f>IFERROR(INDEX(온라인_반찬!$C$2:$I$587,MATCH($J32,온라인_반찬!$C$2:$C$587,0),7),"")</f>
        <v/>
      </c>
      <c r="L32" s="213"/>
      <c r="M32" s="204"/>
      <c r="N32" s="213"/>
      <c r="O32" s="204"/>
    </row>
    <row r="33" spans="1:13" ht="24.95" customHeight="1">
      <c r="A33" s="175" t="s">
        <v>1078</v>
      </c>
      <c r="B33" s="306"/>
      <c r="C33" s="307"/>
      <c r="D33" s="306"/>
      <c r="E33" s="307"/>
      <c r="F33" s="306"/>
      <c r="G33" s="307"/>
      <c r="H33" s="318"/>
      <c r="I33" s="319"/>
      <c r="J33" s="306"/>
      <c r="K33" s="307"/>
      <c r="L33" s="310"/>
      <c r="M33" s="311"/>
    </row>
    <row r="34" spans="1:13" ht="20.100000000000001" customHeight="1" thickBot="1">
      <c r="A34" s="231" t="s">
        <v>1080</v>
      </c>
      <c r="B34" s="217" t="s">
        <v>1081</v>
      </c>
      <c r="C34" s="220" t="s">
        <v>1082</v>
      </c>
      <c r="D34" s="217" t="s">
        <v>1081</v>
      </c>
      <c r="E34" s="220" t="s">
        <v>1082</v>
      </c>
      <c r="F34" s="217" t="s">
        <v>1081</v>
      </c>
      <c r="G34" s="220" t="s">
        <v>1082</v>
      </c>
      <c r="H34" s="217" t="s">
        <v>1081</v>
      </c>
      <c r="I34" s="220" t="s">
        <v>1082</v>
      </c>
      <c r="J34" s="217" t="s">
        <v>1081</v>
      </c>
      <c r="K34" s="218" t="s">
        <v>1082</v>
      </c>
      <c r="L34" s="217"/>
      <c r="M34" s="218"/>
    </row>
    <row r="35" spans="1:13" ht="20.100000000000001" customHeight="1">
      <c r="A35" s="303" t="s">
        <v>1085</v>
      </c>
      <c r="B35" s="244" t="s">
        <v>2137</v>
      </c>
      <c r="C35" s="276">
        <f>IFERROR(INDEX(온라인_반찬!$C$2:$I$587,MATCH($B35,온라인_반찬!$C$2:$C$587,0),7),"")</f>
        <v>0</v>
      </c>
      <c r="D35" s="183" t="s">
        <v>2141</v>
      </c>
      <c r="E35" s="203">
        <f>IFERROR(INDEX(온라인_반찬!$C$2:$I$587,MATCH($D35,온라인_반찬!$C$2:$C$587,0),7),"")</f>
        <v>0</v>
      </c>
      <c r="F35" s="183" t="s">
        <v>2145</v>
      </c>
      <c r="G35" s="203">
        <f>IFERROR(INDEX(온라인_반찬!$C$2:$I$587,MATCH($F35,온라인_반찬!$C$2:$C$587,0),7),"")</f>
        <v>0</v>
      </c>
      <c r="H35" s="177" t="s">
        <v>292</v>
      </c>
      <c r="I35" s="203">
        <f>IFERROR(INDEX(온라인_반찬!$C$2:$I$587,MATCH($H35,온라인_반찬!$C$2:$C$587,0),7),"")</f>
        <v>0</v>
      </c>
      <c r="J35" s="177" t="s">
        <v>2132</v>
      </c>
      <c r="K35" s="203">
        <f>IFERROR(INDEX(온라인_반찬!$C$2:$I$587,MATCH($J35,온라인_반찬!$C$2:$C$587,0),7),"")</f>
        <v>0</v>
      </c>
      <c r="L35" s="242"/>
      <c r="M35" s="241"/>
    </row>
    <row r="36" spans="1:13" ht="20.100000000000001" customHeight="1">
      <c r="A36" s="304"/>
      <c r="B36" s="183" t="s">
        <v>1591</v>
      </c>
      <c r="C36" s="203" t="str">
        <f>IFERROR(INDEX(온라인_반찬!$C$2:$I$587,MATCH($B36,온라인_반찬!$C$2:$C$587,0),7),"")</f>
        <v>.1.5.6.10.</v>
      </c>
      <c r="D36" s="177" t="s">
        <v>2177</v>
      </c>
      <c r="E36" s="203" t="str">
        <f>IFERROR(INDEX(온라인_반찬!$C$2:$I$587,MATCH($D36,온라인_반찬!$C$2:$C$587,0),7),"")</f>
        <v>.5.15.21.</v>
      </c>
      <c r="F36" s="178" t="s">
        <v>2181</v>
      </c>
      <c r="G36" s="203" t="str">
        <f>IFERROR(INDEX(온라인_반찬!$C$2:$I$587,MATCH($F36,온라인_반찬!$C$2:$C$587,0),7),"")</f>
        <v>.5.16.21.</v>
      </c>
      <c r="H36" s="179" t="s">
        <v>2184</v>
      </c>
      <c r="I36" s="203" t="str">
        <f>IFERROR(INDEX(온라인_반찬!$C$2:$I$587,MATCH($H36,온라인_반찬!$C$2:$C$587,0),7),"")</f>
        <v>.5.6.10.18.19.21.</v>
      </c>
      <c r="J36" s="179" t="s">
        <v>2188</v>
      </c>
      <c r="K36" s="203" t="str">
        <f>IFERROR(INDEX(온라인_반찬!$C$2:$I$587,MATCH($J36,온라인_반찬!$C$2:$C$587,0),7),"")</f>
        <v>.5.15.18.21.</v>
      </c>
      <c r="L36" s="243"/>
      <c r="M36" s="241"/>
    </row>
    <row r="37" spans="1:13" ht="20.100000000000001" customHeight="1">
      <c r="A37" s="304"/>
      <c r="B37" s="182" t="s">
        <v>1244</v>
      </c>
      <c r="C37" s="203" t="str">
        <f>IFERROR(INDEX(온라인_반찬!$C$2:$I$587,MATCH($B37,온라인_반찬!$C$2:$C$587,0),7),"")</f>
        <v>.5.</v>
      </c>
      <c r="D37" s="179" t="s">
        <v>2178</v>
      </c>
      <c r="E37" s="203" t="str">
        <f>IFERROR(INDEX(온라인_반찬!$C$2:$I$587,MATCH($D37,온라인_반찬!$C$2:$C$587,0),7),"")</f>
        <v>.5.6.10.16.</v>
      </c>
      <c r="F37" s="178" t="s">
        <v>2182</v>
      </c>
      <c r="G37" s="203" t="str">
        <f>IFERROR(INDEX(온라인_반찬!$C$2:$I$587,MATCH($F37,온라인_반찬!$C$2:$C$587,0),7),"")</f>
        <v>.5.10.12.21.</v>
      </c>
      <c r="H37" s="179" t="s">
        <v>2185</v>
      </c>
      <c r="I37" s="203" t="str">
        <f>IFERROR(INDEX(온라인_반찬!$C$2:$I$587,MATCH($H37,온라인_반찬!$C$2:$C$587,0),7),"")</f>
        <v>.5.6.18.21.</v>
      </c>
      <c r="J37" s="179" t="s">
        <v>2189</v>
      </c>
      <c r="K37" s="203" t="str">
        <f>IFERROR(INDEX(온라인_반찬!$C$2:$I$587,MATCH($J37,온라인_반찬!$C$2:$C$587,0),7),"")</f>
        <v>.1.5.6.18.21.</v>
      </c>
      <c r="L37" s="243"/>
      <c r="M37" s="241"/>
    </row>
    <row r="38" spans="1:13" ht="20.100000000000001" customHeight="1">
      <c r="A38" s="304"/>
      <c r="B38" s="182" t="s">
        <v>2175</v>
      </c>
      <c r="C38" s="203" t="str">
        <f>IFERROR(INDEX(온라인_반찬!$C$2:$I$587,MATCH($B38,온라인_반찬!$C$2:$C$587,0),7),"")</f>
        <v>.1.5.6.10.15.16.</v>
      </c>
      <c r="D38" s="179" t="s">
        <v>2179</v>
      </c>
      <c r="E38" s="203" t="str">
        <f>IFERROR(INDEX(온라인_반찬!$C$2:$I$587,MATCH($D38,온라인_반찬!$C$2:$C$587,0),7),"")</f>
        <v/>
      </c>
      <c r="F38" s="178" t="s">
        <v>629</v>
      </c>
      <c r="G38" s="203" t="str">
        <f>IFERROR(INDEX(온라인_반찬!$C$2:$I$587,MATCH($F38,온라인_반찬!$C$2:$C$587,0),7),"")</f>
        <v>.5.</v>
      </c>
      <c r="H38" s="179" t="s">
        <v>2186</v>
      </c>
      <c r="I38" s="203" t="str">
        <f>IFERROR(INDEX(온라인_반찬!$C$2:$I$587,MATCH($H38,온라인_반찬!$C$2:$C$587,0),7),"")</f>
        <v>.1.8.12.</v>
      </c>
      <c r="J38" s="179" t="s">
        <v>2190</v>
      </c>
      <c r="K38" s="203" t="str">
        <f>IFERROR(INDEX(온라인_반찬!$C$2:$I$587,MATCH($J38,온라인_반찬!$C$2:$C$587,0),7),"")</f>
        <v>.5.16.21.</v>
      </c>
      <c r="L38" s="243"/>
      <c r="M38" s="241"/>
    </row>
    <row r="39" spans="1:13" ht="20.100000000000001" customHeight="1">
      <c r="A39" s="304"/>
      <c r="B39" s="182" t="s">
        <v>2176</v>
      </c>
      <c r="C39" s="203" t="str">
        <f>IFERROR(INDEX(온라인_반찬!$C$2:$I$587,MATCH($B39,온라인_반찬!$C$2:$C$587,0),7),"")</f>
        <v>.5.21.</v>
      </c>
      <c r="D39" s="179" t="s">
        <v>229</v>
      </c>
      <c r="E39" s="203" t="str">
        <f>IFERROR(INDEX(온라인_반찬!$C$2:$I$587,MATCH($D39,온라인_반찬!$C$2:$C$587,0),7),"")</f>
        <v>.6.9.</v>
      </c>
      <c r="F39" s="178" t="s">
        <v>1936</v>
      </c>
      <c r="G39" s="203" t="str">
        <f>IFERROR(INDEX(온라인_반찬!$C$2:$I$587,MATCH($F39,온라인_반찬!$C$2:$C$587,0),7),"")</f>
        <v>.5.21.</v>
      </c>
      <c r="H39" s="179" t="s">
        <v>229</v>
      </c>
      <c r="I39" s="203" t="str">
        <f>IFERROR(INDEX(온라인_반찬!$C$2:$I$587,MATCH($H39,온라인_반찬!$C$2:$C$587,0),7),"")</f>
        <v>.6.9.</v>
      </c>
      <c r="J39" s="179" t="s">
        <v>373</v>
      </c>
      <c r="K39" s="203" t="str">
        <f>IFERROR(INDEX(온라인_반찬!$C$2:$I$587,MATCH($J39,온라인_반찬!$C$2:$C$587,0),7),"")</f>
        <v>.9.12.</v>
      </c>
      <c r="L39" s="243"/>
      <c r="M39" s="241"/>
    </row>
    <row r="40" spans="1:13" ht="20.100000000000001" customHeight="1">
      <c r="A40" s="304"/>
      <c r="B40" s="182" t="s">
        <v>373</v>
      </c>
      <c r="C40" s="203" t="str">
        <f>IFERROR(INDEX(온라인_반찬!$C$2:$I$587,MATCH($B40,온라인_반찬!$C$2:$C$587,0),7),"")</f>
        <v>.9.12.</v>
      </c>
      <c r="D40" s="179" t="s">
        <v>2180</v>
      </c>
      <c r="E40" s="203" t="str">
        <f>IFERROR(INDEX(온라인_반찬!$C$2:$I$587,MATCH($D40,온라인_반찬!$C$2:$C$587,0),7),"")</f>
        <v>.5.16.</v>
      </c>
      <c r="F40" s="178" t="s">
        <v>2149</v>
      </c>
      <c r="G40" s="203">
        <f>IFERROR(INDEX(온라인_반찬!$C$2:$I$587,MATCH($F40,온라인_반찬!$C$2:$C$587,0),7),"")</f>
        <v>0</v>
      </c>
      <c r="H40" s="179" t="s">
        <v>2187</v>
      </c>
      <c r="I40" s="203" t="str">
        <f>IFERROR(INDEX(온라인_반찬!$C$2:$I$587,MATCH($H40,온라인_반찬!$C$2:$C$587,0),7),"")</f>
        <v>.5.15.</v>
      </c>
      <c r="J40" s="179" t="s">
        <v>2191</v>
      </c>
      <c r="K40" s="203" t="str">
        <f>IFERROR(INDEX(온라인_반찬!$C$2:$I$587,MATCH($J40,온라인_반찬!$C$2:$C$587,0),7),"")</f>
        <v>.5.9.18.21.</v>
      </c>
      <c r="L40" s="184"/>
      <c r="M40" s="203"/>
    </row>
    <row r="41" spans="1:13" ht="20.100000000000001" customHeight="1">
      <c r="A41" s="304"/>
      <c r="B41" s="182" t="s">
        <v>432</v>
      </c>
      <c r="C41" s="203" t="str">
        <f>IFERROR(INDEX(온라인_반찬!$C$2:$I$587,MATCH($B41,온라인_반찬!$C$2:$C$587,0),7),"")</f>
        <v>.5.17.</v>
      </c>
      <c r="D41" s="181"/>
      <c r="E41" s="203" t="str">
        <f>IFERROR(INDEX(온라인_반찬!$C$2:$I$587,MATCH($D41,온라인_반찬!$C$2:$C$587,0),7),"")</f>
        <v/>
      </c>
      <c r="F41" s="180" t="s">
        <v>2183</v>
      </c>
      <c r="G41" s="203" t="str">
        <f>IFERROR(INDEX(온라인_반찬!$C$2:$I$587,MATCH($F41,온라인_반찬!$C$2:$C$587,0),7),"")</f>
        <v>.1.5.</v>
      </c>
      <c r="H41" s="177"/>
      <c r="I41" s="203" t="str">
        <f>IFERROR(INDEX(온라인_반찬!$C$2:$I$587,MATCH($H41,온라인_반찬!$C$2:$C$587,0),7),"")</f>
        <v/>
      </c>
      <c r="J41" s="179"/>
      <c r="K41" s="203" t="str">
        <f>IFERROR(INDEX(온라인_반찬!$C$2:$I$587,MATCH($J41,온라인_반찬!$C$2:$C$587,0),7),"")</f>
        <v/>
      </c>
      <c r="L41" s="182"/>
      <c r="M41" s="203"/>
    </row>
    <row r="42" spans="1:13" ht="20.100000000000001" customHeight="1" thickBot="1">
      <c r="A42" s="305"/>
      <c r="B42" s="213"/>
      <c r="C42" s="204" t="str">
        <f>IFERROR(INDEX(온라인_반찬!$C$2:$I$587,MATCH($B42,온라인_반찬!$C$2:$C$587,0),7),"")</f>
        <v/>
      </c>
      <c r="D42" s="179"/>
      <c r="E42" s="204"/>
      <c r="F42" s="213"/>
      <c r="G42" s="203" t="str">
        <f>IFERROR(INDEX(온라인_반찬!$C$2:$I$587,MATCH($F42,온라인_반찬!$C$2:$C$587,0),7),"")</f>
        <v/>
      </c>
      <c r="H42" s="179"/>
      <c r="I42" s="204"/>
      <c r="J42" s="177"/>
      <c r="K42" s="203" t="str">
        <f>IFERROR(INDEX(온라인_반찬!$C$2:$I$587,MATCH($J42,온라인_반찬!$C$2:$C$587,0),7),"")</f>
        <v/>
      </c>
      <c r="L42" s="213"/>
      <c r="M42" s="204"/>
    </row>
    <row r="43" spans="1:13" ht="24.95" customHeight="1">
      <c r="A43" s="175" t="s">
        <v>1078</v>
      </c>
      <c r="B43" s="310"/>
      <c r="C43" s="311"/>
      <c r="D43" s="310"/>
      <c r="E43" s="311"/>
      <c r="F43" s="310"/>
      <c r="G43" s="311"/>
      <c r="H43" s="310"/>
      <c r="I43" s="311"/>
      <c r="J43" s="310"/>
      <c r="K43" s="311"/>
      <c r="L43" s="310"/>
      <c r="M43" s="311"/>
    </row>
    <row r="44" spans="1:13" ht="20.100000000000001" customHeight="1" thickBot="1">
      <c r="A44" s="231" t="s">
        <v>1080</v>
      </c>
      <c r="B44" s="217" t="s">
        <v>1081</v>
      </c>
      <c r="C44" s="232" t="s">
        <v>1082</v>
      </c>
      <c r="D44" s="217" t="s">
        <v>1081</v>
      </c>
      <c r="E44" s="220" t="s">
        <v>1082</v>
      </c>
      <c r="F44" s="217" t="s">
        <v>1081</v>
      </c>
      <c r="G44" s="220" t="s">
        <v>1082</v>
      </c>
      <c r="H44" s="217" t="s">
        <v>1081</v>
      </c>
      <c r="I44" s="220" t="s">
        <v>1082</v>
      </c>
      <c r="J44" s="217" t="s">
        <v>1081</v>
      </c>
      <c r="K44" s="218" t="s">
        <v>1082</v>
      </c>
      <c r="L44" s="217"/>
      <c r="M44" s="218"/>
    </row>
    <row r="45" spans="1:13" ht="20.100000000000001" customHeight="1">
      <c r="A45" s="304" t="s">
        <v>1086</v>
      </c>
      <c r="B45" s="244" t="s">
        <v>2137</v>
      </c>
      <c r="C45" s="276">
        <f>IFERROR(INDEX(온라인_반찬!$C$2:$I$587,MATCH($B45,온라인_반찬!$C$2:$C$587,0),7),"")</f>
        <v>0</v>
      </c>
      <c r="D45" s="183" t="s">
        <v>2141</v>
      </c>
      <c r="E45" s="203">
        <f>IFERROR(INDEX(온라인_반찬!$C$2:$I$587,MATCH($D45,온라인_반찬!$C$2:$C$587,0),7),"")</f>
        <v>0</v>
      </c>
      <c r="F45" s="183" t="s">
        <v>2145</v>
      </c>
      <c r="G45" s="203">
        <f>IFERROR(INDEX(온라인_반찬!$C$2:$I$587,MATCH($F45,온라인_반찬!$C$2:$C$587,0),7),"")</f>
        <v>0</v>
      </c>
      <c r="H45" s="177" t="s">
        <v>292</v>
      </c>
      <c r="I45" s="203">
        <f>IFERROR(INDEX(온라인_반찬!$C$2:$I$587,MATCH($H45,온라인_반찬!$C$2:$C$587,0),7),"")</f>
        <v>0</v>
      </c>
      <c r="J45" s="177" t="s">
        <v>2132</v>
      </c>
      <c r="K45" s="203">
        <f>IFERROR(INDEX(온라인_반찬!$C$2:$I$587,MATCH($J45,온라인_반찬!$C$2:$C$587,0),7),"")</f>
        <v>0</v>
      </c>
      <c r="L45" s="242"/>
      <c r="M45" s="241"/>
    </row>
    <row r="46" spans="1:13" ht="20.100000000000001" customHeight="1">
      <c r="A46" s="304"/>
      <c r="B46" s="183" t="s">
        <v>2192</v>
      </c>
      <c r="C46" s="203" t="str">
        <f>IFERROR(INDEX(온라인_반찬!$C$2:$I$587,MATCH($B46,온라인_반찬!$C$2:$C$587,0),7),"")</f>
        <v>.2.5.6.12.18.</v>
      </c>
      <c r="D46" s="177" t="s">
        <v>2195</v>
      </c>
      <c r="E46" s="203" t="str">
        <f>IFERROR(INDEX(온라인_반찬!$C$2:$I$587,MATCH($D46,온라인_반찬!$C$2:$C$587,0),7),"")</f>
        <v>.5.15.18.21.</v>
      </c>
      <c r="F46" s="178" t="s">
        <v>2199</v>
      </c>
      <c r="G46" s="203" t="str">
        <f>IFERROR(INDEX(온라인_반찬!$C$2:$I$587,MATCH($F46,온라인_반찬!$C$2:$C$587,0),7),"")</f>
        <v>.5.16.21.22.</v>
      </c>
      <c r="H46" s="179" t="s">
        <v>2200</v>
      </c>
      <c r="I46" s="203" t="str">
        <f>IFERROR(INDEX(온라인_반찬!$C$2:$I$587,MATCH($H46,온라인_반찬!$C$2:$C$587,0),7),"")</f>
        <v>.5.6.10.21.</v>
      </c>
      <c r="J46" s="179" t="s">
        <v>2202</v>
      </c>
      <c r="K46" s="203" t="str">
        <f>IFERROR(INDEX(온라인_반찬!$C$2:$I$587,MATCH($J46,온라인_반찬!$C$2:$C$587,0),7),"")</f>
        <v>.5.6.21.</v>
      </c>
      <c r="L46" s="243"/>
      <c r="M46" s="241"/>
    </row>
    <row r="47" spans="1:13" ht="20.100000000000001" customHeight="1">
      <c r="A47" s="304"/>
      <c r="B47" s="182" t="s">
        <v>2193</v>
      </c>
      <c r="C47" s="203">
        <f>IFERROR(INDEX(온라인_반찬!$C$2:$I$587,MATCH($B47,온라인_반찬!$C$2:$C$587,0),7),"")</f>
        <v>0</v>
      </c>
      <c r="D47" s="179" t="s">
        <v>2196</v>
      </c>
      <c r="E47" s="203" t="str">
        <f>IFERROR(INDEX(온라인_반찬!$C$2:$I$587,MATCH($D47,온라인_반찬!$C$2:$C$587,0),7),"")</f>
        <v>.1.5.8.21.</v>
      </c>
      <c r="F47" s="178" t="s">
        <v>456</v>
      </c>
      <c r="G47" s="203" t="str">
        <f>IFERROR(INDEX(온라인_반찬!$C$2:$I$587,MATCH($F47,온라인_반찬!$C$2:$C$587,0),7),"")</f>
        <v>.1.2.5.6.10.12.16.</v>
      </c>
      <c r="H47" s="179" t="s">
        <v>437</v>
      </c>
      <c r="I47" s="203" t="str">
        <f>IFERROR(INDEX(온라인_반찬!$C$2:$I$587,MATCH($H47,온라인_반찬!$C$2:$C$587,0),7),"")</f>
        <v>.5.16.21.</v>
      </c>
      <c r="J47" s="179" t="s">
        <v>493</v>
      </c>
      <c r="K47" s="203" t="str">
        <f>IFERROR(INDEX(온라인_반찬!$C$2:$I$587,MATCH($J47,온라인_반찬!$C$2:$C$587,0),7),"")</f>
        <v>.1.5.21.</v>
      </c>
      <c r="L47" s="243"/>
      <c r="M47" s="241"/>
    </row>
    <row r="48" spans="1:13" ht="20.100000000000001" customHeight="1">
      <c r="A48" s="304"/>
      <c r="B48" s="182" t="s">
        <v>440</v>
      </c>
      <c r="C48" s="203" t="str">
        <f>IFERROR(INDEX(온라인_반찬!$C$2:$I$587,MATCH($B48,온라인_반찬!$C$2:$C$587,0),7),"")</f>
        <v>.1.5.21.</v>
      </c>
      <c r="D48" s="179" t="s">
        <v>2197</v>
      </c>
      <c r="E48" s="203" t="str">
        <f>IFERROR(INDEX(온라인_반찬!$C$2:$I$587,MATCH($D48,온라인_반찬!$C$2:$C$587,0),7),"")</f>
        <v>.5.21.</v>
      </c>
      <c r="F48" s="178" t="s">
        <v>508</v>
      </c>
      <c r="G48" s="203" t="str">
        <f>IFERROR(INDEX(온라인_반찬!$C$2:$I$587,MATCH($F48,온라인_반찬!$C$2:$C$587,0),7),"")</f>
        <v>.5.21.</v>
      </c>
      <c r="H48" s="179" t="s">
        <v>504</v>
      </c>
      <c r="I48" s="203" t="str">
        <f>IFERROR(INDEX(온라인_반찬!$C$2:$I$587,MATCH($H48,온라인_반찬!$C$2:$C$587,0),7),"")</f>
        <v>.5.21.</v>
      </c>
      <c r="J48" s="179" t="s">
        <v>2157</v>
      </c>
      <c r="K48" s="203" t="str">
        <f>IFERROR(INDEX(온라인_반찬!$C$2:$I$587,MATCH($J48,온라인_반찬!$C$2:$C$587,0),7),"")</f>
        <v>.21.</v>
      </c>
      <c r="L48" s="243"/>
      <c r="M48" s="241"/>
    </row>
    <row r="49" spans="1:13" ht="20.100000000000001" customHeight="1">
      <c r="A49" s="304"/>
      <c r="B49" s="182" t="s">
        <v>373</v>
      </c>
      <c r="C49" s="203" t="str">
        <f>IFERROR(INDEX(온라인_반찬!$C$2:$I$587,MATCH($B49,온라인_반찬!$C$2:$C$587,0),7),"")</f>
        <v>.9.12.</v>
      </c>
      <c r="D49" s="179" t="s">
        <v>229</v>
      </c>
      <c r="E49" s="203" t="str">
        <f>IFERROR(INDEX(온라인_반찬!$C$2:$I$587,MATCH($D49,온라인_반찬!$C$2:$C$587,0),7),"")</f>
        <v>.6.9.</v>
      </c>
      <c r="F49" s="178" t="s">
        <v>2149</v>
      </c>
      <c r="G49" s="203">
        <f>IFERROR(INDEX(온라인_반찬!$C$2:$I$587,MATCH($F49,온라인_반찬!$C$2:$C$587,0),7),"")</f>
        <v>0</v>
      </c>
      <c r="H49" s="179" t="s">
        <v>229</v>
      </c>
      <c r="I49" s="203" t="str">
        <f>IFERROR(INDEX(온라인_반찬!$C$2:$I$587,MATCH($H49,온라인_반찬!$C$2:$C$587,0),7),"")</f>
        <v>.6.9.</v>
      </c>
      <c r="J49" s="179" t="s">
        <v>373</v>
      </c>
      <c r="K49" s="203" t="str">
        <f>IFERROR(INDEX(온라인_반찬!$C$2:$I$587,MATCH($J49,온라인_반찬!$C$2:$C$587,0),7),"")</f>
        <v>.9.12.</v>
      </c>
      <c r="L49" s="243"/>
      <c r="M49" s="241"/>
    </row>
    <row r="50" spans="1:13" ht="20.100000000000001" customHeight="1">
      <c r="A50" s="304"/>
      <c r="B50" s="182" t="s">
        <v>2194</v>
      </c>
      <c r="C50" s="203" t="str">
        <f>IFERROR(INDEX(온라인_반찬!$C$2:$I$587,MATCH($B50,온라인_반찬!$C$2:$C$587,0),7),"")</f>
        <v>.1.2.5.6.10.16.21.</v>
      </c>
      <c r="D50" s="179" t="s">
        <v>2198</v>
      </c>
      <c r="E50" s="203" t="str">
        <f>IFERROR(INDEX(온라인_반찬!$C$2:$I$587,MATCH($D50,온라인_반찬!$C$2:$C$587,0),7),"")</f>
        <v>.5.16.</v>
      </c>
      <c r="F50" s="180" t="s">
        <v>321</v>
      </c>
      <c r="G50" s="203" t="str">
        <f>IFERROR(INDEX(온라인_반찬!$C$2:$I$587,MATCH($F50,온라인_반찬!$C$2:$C$587,0),7),"")</f>
        <v>.5.21.</v>
      </c>
      <c r="H50" s="179" t="s">
        <v>2201</v>
      </c>
      <c r="I50" s="203" t="str">
        <f>IFERROR(INDEX(온라인_반찬!$C$2:$I$587,MATCH($H50,온라인_반찬!$C$2:$C$587,0),7),"")</f>
        <v>.5.</v>
      </c>
      <c r="J50" s="179" t="s">
        <v>2203</v>
      </c>
      <c r="K50" s="203" t="str">
        <f>IFERROR(INDEX(온라인_반찬!$C$2:$I$587,MATCH($J50,온라인_반찬!$C$2:$C$587,0),7),"")</f>
        <v>.1.5.16.</v>
      </c>
      <c r="L50" s="184"/>
      <c r="M50" s="203"/>
    </row>
    <row r="51" spans="1:13" ht="20.100000000000001" customHeight="1">
      <c r="A51" s="304"/>
      <c r="B51" s="182"/>
      <c r="C51" s="203" t="str">
        <f>IFERROR(INDEX(온라인_반찬!$C$2:$I$587,MATCH($B51,온라인_반찬!$C$2:$C$587,0),7),"")</f>
        <v/>
      </c>
      <c r="D51" s="181"/>
      <c r="E51" s="203" t="str">
        <f>IFERROR(INDEX(온라인_반찬!$C$2:$I$587,MATCH($D51,온라인_반찬!$C$2:$C$587,0),7),"")</f>
        <v/>
      </c>
      <c r="F51" s="180"/>
      <c r="G51" s="203" t="str">
        <f>IFERROR(INDEX(온라인_반찬!$C$2:$I$587,MATCH($F51,온라인_반찬!$C$2:$C$587,0),7),"")</f>
        <v/>
      </c>
      <c r="H51" s="177"/>
      <c r="I51" s="203" t="str">
        <f>IFERROR(INDEX(온라인_반찬!$C$2:$I$587,MATCH($H51,온라인_반찬!$C$2:$C$587,0),7),"")</f>
        <v/>
      </c>
      <c r="J51" s="179"/>
      <c r="K51" s="203" t="str">
        <f>IFERROR(INDEX(온라인_반찬!$C$2:$I$587,MATCH($J51,온라인_반찬!$C$2:$C$587,0),7),"")</f>
        <v/>
      </c>
      <c r="L51" s="182"/>
      <c r="M51" s="203"/>
    </row>
    <row r="52" spans="1:13" ht="19.5" customHeight="1" thickBot="1">
      <c r="A52" s="304"/>
      <c r="B52" s="213"/>
      <c r="C52" s="204" t="str">
        <f>IFERROR(INDEX(온라인_반찬!$C$2:$I$587,MATCH($B52,온라인_반찬!$C$2:$C$587,0),7),"")</f>
        <v/>
      </c>
      <c r="D52" s="179"/>
      <c r="E52" s="204"/>
      <c r="F52" s="213"/>
      <c r="G52" s="203" t="str">
        <f>IFERROR(INDEX(온라인_반찬!$C$2:$I$587,MATCH($F52,온라인_반찬!$C$2:$C$587,0),7),"")</f>
        <v/>
      </c>
      <c r="H52" s="179"/>
      <c r="I52" s="204"/>
      <c r="J52" s="177"/>
      <c r="K52" s="203" t="str">
        <f>IFERROR(INDEX(온라인_반찬!$C$2:$I$587,MATCH($J52,온라인_반찬!$C$2:$C$587,0),7),"")</f>
        <v/>
      </c>
      <c r="L52" s="213"/>
      <c r="M52" s="204"/>
    </row>
    <row r="53" spans="1:13" ht="150" customHeight="1" thickBot="1">
      <c r="A53" s="312" t="s">
        <v>1418</v>
      </c>
      <c r="B53" s="313"/>
      <c r="C53" s="313"/>
      <c r="D53" s="313"/>
      <c r="E53" s="313"/>
      <c r="F53" s="313"/>
      <c r="G53" s="313"/>
      <c r="H53" s="313"/>
      <c r="I53" s="313"/>
      <c r="J53" s="313"/>
      <c r="K53" s="314"/>
    </row>
  </sheetData>
  <mergeCells count="45"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  <mergeCell ref="H5:I12"/>
    <mergeCell ref="J3:K3"/>
    <mergeCell ref="A53:K53"/>
    <mergeCell ref="A35:A42"/>
    <mergeCell ref="B43:C43"/>
    <mergeCell ref="D43:E43"/>
    <mergeCell ref="F43:G43"/>
    <mergeCell ref="H43:I43"/>
    <mergeCell ref="J43:K43"/>
    <mergeCell ref="A45:A52"/>
    <mergeCell ref="B3:C3"/>
    <mergeCell ref="D3:E3"/>
    <mergeCell ref="F3:G3"/>
    <mergeCell ref="H3:I3"/>
    <mergeCell ref="A1:K1"/>
    <mergeCell ref="B2:C2"/>
    <mergeCell ref="D2:E2"/>
    <mergeCell ref="F2:G2"/>
    <mergeCell ref="H2:I2"/>
    <mergeCell ref="J2:K2"/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  <mergeCell ref="F23:G23"/>
    <mergeCell ref="H23:I2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0000"/>
    <pageSetUpPr fitToPage="1"/>
  </sheetPr>
  <dimension ref="A1:AR565"/>
  <sheetViews>
    <sheetView zoomScale="70" zoomScaleNormal="70" zoomScaleSheetLayoutView="75" workbookViewId="0">
      <pane xSplit="7" ySplit="1" topLeftCell="H22" activePane="bottomRight" state="frozen"/>
      <selection activeCell="G13" sqref="G13"/>
      <selection pane="topRight" activeCell="G13" sqref="G13"/>
      <selection pane="bottomLeft" activeCell="G13" sqref="G13"/>
      <selection pane="bottomRight" activeCell="H35" sqref="H35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34" hidden="1" customWidth="1"/>
    <col min="7" max="7" width="9.375" style="34" hidden="1" customWidth="1"/>
    <col min="8" max="8" width="112.5" style="91" customWidth="1"/>
    <col min="9" max="9" width="16.625" style="202" customWidth="1"/>
    <col min="10" max="10" width="46.75" style="149" customWidth="1"/>
    <col min="11" max="11" width="10.75" style="34" bestFit="1" customWidth="1"/>
    <col min="12" max="14" width="10.625" style="8" customWidth="1"/>
    <col min="15" max="17" width="8.625" style="8" customWidth="1"/>
    <col min="18" max="18" width="5.625" style="61" customWidth="1"/>
    <col min="19" max="21" width="8.625" style="8" customWidth="1"/>
    <col min="22" max="22" width="5.625" style="61" customWidth="1"/>
    <col min="23" max="23" width="10" style="40" customWidth="1"/>
    <col min="24" max="24" width="49.875" style="24" customWidth="1"/>
    <col min="25" max="26" width="8.625" style="67" customWidth="1"/>
    <col min="30" max="30" width="9" style="30"/>
    <col min="31" max="31" width="10" style="40" customWidth="1"/>
    <col min="32" max="32" width="48.75" style="24" customWidth="1"/>
    <col min="36" max="36" width="9" style="30"/>
    <col min="37" max="37" width="10" style="40" customWidth="1"/>
    <col min="38" max="38" width="49.875" style="24" customWidth="1"/>
    <col min="42" max="42" width="9" style="30"/>
  </cols>
  <sheetData>
    <row r="1" spans="1:42" ht="53.25" customHeight="1">
      <c r="A1" s="1" t="s">
        <v>94</v>
      </c>
      <c r="B1" s="1" t="s">
        <v>89</v>
      </c>
      <c r="C1" s="1" t="s">
        <v>1050</v>
      </c>
      <c r="D1" s="2" t="s">
        <v>350</v>
      </c>
      <c r="E1" s="2" t="s">
        <v>354</v>
      </c>
      <c r="F1" s="2" t="s">
        <v>314</v>
      </c>
      <c r="G1" s="2" t="s">
        <v>347</v>
      </c>
      <c r="H1" s="90" t="s">
        <v>372</v>
      </c>
      <c r="I1" s="185" t="s">
        <v>976</v>
      </c>
      <c r="J1" s="92" t="s">
        <v>695</v>
      </c>
      <c r="K1" s="3" t="s">
        <v>714</v>
      </c>
      <c r="L1" s="2" t="s">
        <v>324</v>
      </c>
      <c r="M1" s="2" t="s">
        <v>312</v>
      </c>
      <c r="N1" s="2" t="s">
        <v>326</v>
      </c>
      <c r="O1" s="50" t="s">
        <v>366</v>
      </c>
      <c r="P1" s="50" t="s">
        <v>359</v>
      </c>
      <c r="Q1" s="50" t="s">
        <v>362</v>
      </c>
      <c r="R1" s="59" t="s">
        <v>103</v>
      </c>
      <c r="S1" s="50" t="s">
        <v>365</v>
      </c>
      <c r="T1" s="50" t="s">
        <v>364</v>
      </c>
      <c r="U1" s="50" t="s">
        <v>360</v>
      </c>
      <c r="V1" s="59" t="s">
        <v>103</v>
      </c>
      <c r="W1" s="47" t="s">
        <v>351</v>
      </c>
      <c r="X1" s="48" t="s">
        <v>348</v>
      </c>
      <c r="Y1" s="66" t="s">
        <v>315</v>
      </c>
      <c r="Z1" s="66" t="s">
        <v>316</v>
      </c>
      <c r="AA1" s="69" t="s">
        <v>368</v>
      </c>
      <c r="AB1" s="69" t="s">
        <v>352</v>
      </c>
      <c r="AC1" s="69" t="s">
        <v>349</v>
      </c>
      <c r="AD1" s="49" t="s">
        <v>355</v>
      </c>
      <c r="AE1" s="44" t="s">
        <v>351</v>
      </c>
      <c r="AF1" s="45" t="s">
        <v>357</v>
      </c>
      <c r="AG1" s="46" t="s">
        <v>368</v>
      </c>
      <c r="AH1" s="46" t="s">
        <v>352</v>
      </c>
      <c r="AI1" s="46" t="s">
        <v>349</v>
      </c>
      <c r="AJ1" s="46" t="s">
        <v>355</v>
      </c>
      <c r="AK1" s="44" t="s">
        <v>351</v>
      </c>
      <c r="AL1" s="45" t="s">
        <v>367</v>
      </c>
      <c r="AM1" s="46" t="s">
        <v>368</v>
      </c>
      <c r="AN1" s="46" t="s">
        <v>352</v>
      </c>
      <c r="AO1" s="46" t="s">
        <v>349</v>
      </c>
      <c r="AP1" s="46" t="s">
        <v>355</v>
      </c>
    </row>
    <row r="2" spans="1:42" ht="27">
      <c r="A2" s="37">
        <v>1</v>
      </c>
      <c r="B2" s="154"/>
      <c r="C2" s="235" t="s">
        <v>1473</v>
      </c>
      <c r="D2" s="33"/>
      <c r="E2" s="33"/>
      <c r="F2" s="33"/>
      <c r="G2" s="33"/>
      <c r="H2" s="77" t="s">
        <v>725</v>
      </c>
      <c r="I2" s="186" t="s">
        <v>984</v>
      </c>
      <c r="J2" s="146" t="s">
        <v>724</v>
      </c>
      <c r="K2" s="35"/>
      <c r="L2" s="17"/>
      <c r="M2" s="17"/>
      <c r="N2" s="17"/>
      <c r="O2" s="51"/>
      <c r="P2" s="51"/>
      <c r="Q2" s="51"/>
      <c r="R2" s="60"/>
      <c r="S2" s="51"/>
      <c r="T2" s="51"/>
      <c r="U2" s="51"/>
      <c r="V2" s="60"/>
      <c r="W2" s="38"/>
      <c r="X2" s="11"/>
      <c r="Y2" s="17"/>
      <c r="Z2" s="17"/>
      <c r="AA2" s="70"/>
      <c r="AB2" s="70"/>
      <c r="AC2" s="70"/>
      <c r="AD2" s="43"/>
      <c r="AE2" s="38"/>
      <c r="AF2" s="11"/>
      <c r="AG2" s="6"/>
      <c r="AH2" s="6"/>
      <c r="AI2" s="6"/>
      <c r="AJ2" s="43"/>
      <c r="AK2" s="38"/>
      <c r="AL2" s="11"/>
      <c r="AM2" s="6"/>
      <c r="AN2" s="6"/>
      <c r="AO2" s="6"/>
      <c r="AP2" s="43"/>
    </row>
    <row r="3" spans="1:42">
      <c r="A3" s="37">
        <v>2</v>
      </c>
      <c r="B3" s="154"/>
      <c r="C3" s="236" t="s">
        <v>2065</v>
      </c>
      <c r="D3" s="33"/>
      <c r="E3" s="33"/>
      <c r="F3" s="33"/>
      <c r="G3" s="33"/>
      <c r="H3" s="77" t="s">
        <v>2066</v>
      </c>
      <c r="I3" s="186" t="s">
        <v>1026</v>
      </c>
      <c r="J3" s="146" t="s">
        <v>2088</v>
      </c>
      <c r="K3" s="125"/>
      <c r="L3" s="6"/>
      <c r="M3" s="6"/>
      <c r="N3" s="6"/>
      <c r="O3" s="6"/>
      <c r="P3" s="6"/>
      <c r="Q3" s="6"/>
      <c r="R3" s="35"/>
      <c r="S3" s="6"/>
      <c r="T3" s="6"/>
      <c r="U3" s="6"/>
      <c r="V3" s="35"/>
      <c r="W3" s="38"/>
      <c r="X3" s="11"/>
      <c r="Y3" s="17"/>
      <c r="Z3" s="17"/>
      <c r="AA3" s="6"/>
      <c r="AB3" s="6"/>
      <c r="AC3" s="6"/>
      <c r="AD3" s="43"/>
      <c r="AE3" s="38"/>
      <c r="AF3" s="11"/>
      <c r="AG3" s="6"/>
      <c r="AH3" s="6"/>
      <c r="AI3" s="6"/>
      <c r="AJ3" s="43"/>
      <c r="AK3" s="38"/>
      <c r="AL3" s="11"/>
      <c r="AM3" s="6"/>
      <c r="AN3" s="6"/>
      <c r="AO3" s="6"/>
      <c r="AP3" s="43"/>
    </row>
    <row r="4" spans="1:42">
      <c r="A4" s="37">
        <v>3</v>
      </c>
      <c r="B4" s="154"/>
      <c r="C4" s="235" t="s">
        <v>628</v>
      </c>
      <c r="D4" s="33"/>
      <c r="E4" s="33"/>
      <c r="F4" s="33"/>
      <c r="G4" s="33"/>
      <c r="H4" s="77" t="s">
        <v>682</v>
      </c>
      <c r="I4" s="186" t="s">
        <v>977</v>
      </c>
      <c r="J4" s="146"/>
      <c r="K4" s="125"/>
      <c r="L4" s="6">
        <v>23450</v>
      </c>
      <c r="M4" s="6">
        <v>1172.5</v>
      </c>
      <c r="N4" s="6">
        <v>24622.5</v>
      </c>
      <c r="O4" s="51">
        <f>E4</f>
        <v>0</v>
      </c>
      <c r="P4" s="51">
        <f>D4</f>
        <v>0</v>
      </c>
      <c r="Q4" s="51">
        <f>D4</f>
        <v>0</v>
      </c>
      <c r="R4" s="60" t="s">
        <v>91</v>
      </c>
      <c r="S4" s="51">
        <f>E4</f>
        <v>0</v>
      </c>
      <c r="T4" s="51">
        <f>D4</f>
        <v>0</v>
      </c>
      <c r="U4" s="51">
        <f>D4</f>
        <v>0</v>
      </c>
      <c r="V4" s="60"/>
      <c r="W4" s="38">
        <v>192872</v>
      </c>
      <c r="X4" s="11" t="str">
        <f>IFERROR(INDEX([1]Sheet1!$A$2:$X$1948,MATCH($W$2:$W$258,[1]Sheet1!$G$2:$G$1948,0),8),"")</f>
        <v>소이원 콩나물(곱슬이_단채 4Kg/BOX)</v>
      </c>
      <c r="Y4" s="17">
        <v>4000</v>
      </c>
      <c r="Z4" s="17"/>
      <c r="AA4" s="70">
        <v>25</v>
      </c>
      <c r="AB4" s="70" t="e">
        <f>T4*AD4</f>
        <v>#DIV/0!</v>
      </c>
      <c r="AC4" s="70" t="e">
        <f>U4*AD4</f>
        <v>#DIV/0!</v>
      </c>
      <c r="AD4" s="43" t="e">
        <f>AA4/E4</f>
        <v>#DIV/0!</v>
      </c>
      <c r="AE4" s="38">
        <v>313570</v>
      </c>
      <c r="AF4" s="11" t="str">
        <f>IFERROR(INDEX([1]Sheet1!$A$2:$X$1948,MATCH($AE$2:$AE$258,[1]Sheet1!$G$2:$G$1948,0),8),"")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43" t="e">
        <f>AG4/$E4</f>
        <v>#DIV/0!</v>
      </c>
      <c r="AK4" s="38"/>
      <c r="AL4" s="11">
        <f>IFERROR(INDEX([1]Sheet1!$A$2:$X$1948,MATCH($AK$2:$AK$258,[1]Sheet1!$G$2:$G$1948,0),8),"")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43" t="e">
        <f>AM4/$E4</f>
        <v>#DIV/0!</v>
      </c>
    </row>
    <row r="5" spans="1:42">
      <c r="A5" s="37">
        <v>4</v>
      </c>
      <c r="B5" s="154"/>
      <c r="C5" s="235" t="s">
        <v>1234</v>
      </c>
      <c r="D5" s="33"/>
      <c r="E5" s="33"/>
      <c r="F5" s="33"/>
      <c r="G5" s="33"/>
      <c r="H5" s="77" t="s">
        <v>1310</v>
      </c>
      <c r="I5" s="190" t="s">
        <v>1040</v>
      </c>
      <c r="J5" s="145" t="s">
        <v>765</v>
      </c>
      <c r="K5" s="35"/>
      <c r="L5" s="17"/>
      <c r="M5" s="17"/>
      <c r="N5" s="17"/>
      <c r="O5" s="51"/>
      <c r="P5" s="51"/>
      <c r="Q5" s="51"/>
      <c r="R5" s="60"/>
      <c r="S5" s="51"/>
      <c r="T5" s="53"/>
      <c r="U5" s="53"/>
      <c r="V5" s="60"/>
      <c r="W5" s="38"/>
      <c r="X5" s="11"/>
      <c r="Y5" s="17"/>
      <c r="Z5" s="17"/>
      <c r="AA5" s="70"/>
      <c r="AB5" s="70"/>
      <c r="AC5" s="70"/>
      <c r="AD5" s="43"/>
      <c r="AE5" s="38"/>
      <c r="AF5" s="11"/>
      <c r="AG5" s="6"/>
      <c r="AH5" s="6"/>
      <c r="AI5" s="6"/>
      <c r="AJ5" s="43"/>
      <c r="AK5" s="38"/>
      <c r="AL5" s="11"/>
      <c r="AM5" s="6"/>
      <c r="AN5" s="6"/>
      <c r="AO5" s="6"/>
      <c r="AP5" s="43"/>
    </row>
    <row r="6" spans="1:42">
      <c r="A6" s="37">
        <v>5</v>
      </c>
      <c r="B6" s="154"/>
      <c r="C6" s="235" t="s">
        <v>626</v>
      </c>
      <c r="D6" s="33"/>
      <c r="E6" s="33"/>
      <c r="F6" s="33"/>
      <c r="G6" s="33"/>
      <c r="H6" s="77" t="s">
        <v>1916</v>
      </c>
      <c r="I6" s="186" t="s">
        <v>977</v>
      </c>
      <c r="J6" s="145" t="s">
        <v>2122</v>
      </c>
      <c r="K6" s="125"/>
      <c r="L6" s="6">
        <v>21960</v>
      </c>
      <c r="M6" s="6">
        <v>1098</v>
      </c>
      <c r="N6" s="6">
        <v>23058</v>
      </c>
      <c r="O6" s="51">
        <f>E6</f>
        <v>0</v>
      </c>
      <c r="P6" s="51">
        <f>D6</f>
        <v>0</v>
      </c>
      <c r="Q6" s="51">
        <f>D6</f>
        <v>0</v>
      </c>
      <c r="R6" s="60" t="s">
        <v>91</v>
      </c>
      <c r="S6" s="51">
        <f>E6</f>
        <v>0</v>
      </c>
      <c r="T6" s="51">
        <f>D6</f>
        <v>0</v>
      </c>
      <c r="U6" s="51">
        <f>D6</f>
        <v>0</v>
      </c>
      <c r="V6" s="60"/>
      <c r="W6" s="38">
        <v>223306</v>
      </c>
      <c r="X6" s="11" t="str">
        <f>IFERROR(INDEX([1]Sheet1!$A$2:$X$1948,MATCH($W$2:$W$258,[1]Sheet1!$G$2:$G$1948,0),8),"")</f>
        <v>냉동근대(IQF 1Kg/EA)</v>
      </c>
      <c r="Y6" s="17">
        <v>1000</v>
      </c>
      <c r="Z6" s="17"/>
      <c r="AA6" s="70">
        <v>35</v>
      </c>
      <c r="AB6" s="70" t="e">
        <f>T6*AD6</f>
        <v>#DIV/0!</v>
      </c>
      <c r="AC6" s="70" t="e">
        <f>U6*AD6</f>
        <v>#DIV/0!</v>
      </c>
      <c r="AD6" s="43" t="e">
        <f>AA6/E6</f>
        <v>#DIV/0!</v>
      </c>
      <c r="AE6" s="38">
        <v>138570</v>
      </c>
      <c r="AF6" s="11" t="str">
        <f>IFERROR(INDEX([1]Sheet1!$A$2:$X$1948,MATCH($AE$2:$AE$258,[1]Sheet1!$G$2:$G$1948,0),8),"")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43" t="e">
        <f>AG6/$E6</f>
        <v>#DIV/0!</v>
      </c>
      <c r="AK6" s="38"/>
      <c r="AL6" s="11">
        <f>IFERROR(INDEX([1]Sheet1!$A$2:$X$1948,MATCH($AK$2:$AK$258,[1]Sheet1!$G$2:$G$1948,0),8),"")</f>
        <v>0</v>
      </c>
      <c r="AM6" s="6"/>
      <c r="AN6" s="6"/>
      <c r="AO6" s="6"/>
      <c r="AP6" s="43"/>
    </row>
    <row r="7" spans="1:42">
      <c r="A7" s="37">
        <v>6</v>
      </c>
      <c r="B7" s="154"/>
      <c r="C7" s="235" t="s">
        <v>1158</v>
      </c>
      <c r="D7" s="33"/>
      <c r="E7" s="33"/>
      <c r="F7" s="33"/>
      <c r="G7" s="33"/>
      <c r="H7" s="77" t="s">
        <v>1296</v>
      </c>
      <c r="I7" s="186" t="s">
        <v>1030</v>
      </c>
      <c r="J7" s="146"/>
      <c r="K7" s="125"/>
      <c r="L7" s="6"/>
      <c r="M7" s="6"/>
      <c r="N7" s="6"/>
      <c r="O7" s="51"/>
      <c r="P7" s="51"/>
      <c r="Q7" s="51"/>
      <c r="R7" s="60"/>
      <c r="S7" s="51"/>
      <c r="T7" s="51"/>
      <c r="U7" s="51"/>
      <c r="V7" s="60"/>
      <c r="W7" s="38"/>
      <c r="X7" s="11"/>
      <c r="Y7" s="17"/>
      <c r="Z7" s="17"/>
      <c r="AA7" s="70"/>
      <c r="AB7" s="70"/>
      <c r="AC7" s="70"/>
      <c r="AD7" s="43"/>
      <c r="AE7" s="38"/>
      <c r="AF7" s="11"/>
      <c r="AG7" s="6"/>
      <c r="AH7" s="6"/>
      <c r="AI7" s="6"/>
      <c r="AJ7" s="43"/>
      <c r="AK7" s="38"/>
      <c r="AL7" s="11"/>
      <c r="AM7" s="6"/>
      <c r="AN7" s="6"/>
      <c r="AO7" s="6"/>
      <c r="AP7" s="43"/>
    </row>
    <row r="8" spans="1:42">
      <c r="A8" s="37">
        <v>7</v>
      </c>
      <c r="B8" s="154"/>
      <c r="C8" s="235" t="s">
        <v>1847</v>
      </c>
      <c r="D8" s="33"/>
      <c r="E8" s="33"/>
      <c r="F8" s="33"/>
      <c r="G8" s="33"/>
      <c r="H8" s="77" t="s">
        <v>1848</v>
      </c>
      <c r="I8" s="186" t="s">
        <v>1030</v>
      </c>
      <c r="J8" s="146"/>
      <c r="K8" s="125"/>
      <c r="L8" s="6"/>
      <c r="M8" s="6"/>
      <c r="N8" s="6"/>
      <c r="O8" s="51"/>
      <c r="P8" s="51"/>
      <c r="Q8" s="51"/>
      <c r="R8" s="60"/>
      <c r="S8" s="51"/>
      <c r="T8" s="51"/>
      <c r="U8" s="51"/>
      <c r="V8" s="60"/>
      <c r="W8" s="38"/>
      <c r="X8" s="11"/>
      <c r="Y8" s="17"/>
      <c r="Z8" s="17"/>
      <c r="AA8" s="70"/>
      <c r="AB8" s="70"/>
      <c r="AC8" s="70"/>
      <c r="AD8" s="43"/>
      <c r="AE8" s="38"/>
      <c r="AF8" s="11"/>
      <c r="AG8" s="6"/>
      <c r="AH8" s="6"/>
      <c r="AI8" s="6"/>
      <c r="AJ8" s="43"/>
      <c r="AK8" s="38"/>
      <c r="AL8" s="11"/>
      <c r="AM8" s="6"/>
      <c r="AN8" s="6"/>
      <c r="AO8" s="6"/>
      <c r="AP8" s="43"/>
    </row>
    <row r="9" spans="1:42">
      <c r="A9" s="37">
        <v>8</v>
      </c>
      <c r="B9" s="154"/>
      <c r="C9" s="235" t="s">
        <v>1379</v>
      </c>
      <c r="D9" s="33"/>
      <c r="E9" s="33"/>
      <c r="F9" s="33"/>
      <c r="G9" s="33"/>
      <c r="H9" s="77" t="s">
        <v>1582</v>
      </c>
      <c r="I9" s="186" t="s">
        <v>1380</v>
      </c>
      <c r="J9" s="145"/>
      <c r="K9" s="35"/>
      <c r="L9" s="17"/>
      <c r="M9" s="17"/>
      <c r="N9" s="17"/>
      <c r="O9" s="51"/>
      <c r="P9" s="51"/>
      <c r="Q9" s="51"/>
      <c r="R9" s="60"/>
      <c r="S9" s="51"/>
      <c r="T9" s="51"/>
      <c r="U9" s="51"/>
      <c r="V9" s="60"/>
      <c r="W9" s="38"/>
      <c r="X9" s="11"/>
      <c r="Y9" s="17"/>
      <c r="Z9" s="17"/>
      <c r="AA9" s="70"/>
      <c r="AB9" s="70"/>
      <c r="AC9" s="70"/>
      <c r="AD9" s="43"/>
      <c r="AE9" s="38"/>
      <c r="AF9" s="11"/>
      <c r="AG9" s="6"/>
      <c r="AH9" s="6"/>
      <c r="AI9" s="6"/>
      <c r="AJ9" s="43"/>
      <c r="AK9" s="38"/>
      <c r="AL9" s="11"/>
      <c r="AM9" s="6"/>
      <c r="AN9" s="6"/>
      <c r="AO9" s="6"/>
      <c r="AP9" s="43"/>
    </row>
    <row r="10" spans="1:42">
      <c r="A10" s="37">
        <v>9</v>
      </c>
      <c r="B10" s="154"/>
      <c r="C10" s="235" t="s">
        <v>963</v>
      </c>
      <c r="D10" s="33"/>
      <c r="E10" s="33"/>
      <c r="F10" s="33"/>
      <c r="G10" s="33"/>
      <c r="H10" s="112" t="s">
        <v>1305</v>
      </c>
      <c r="I10" s="187" t="s">
        <v>1039</v>
      </c>
      <c r="J10" s="146"/>
      <c r="K10" s="35"/>
      <c r="L10" s="17"/>
      <c r="M10" s="17"/>
      <c r="N10" s="17"/>
      <c r="O10" s="51">
        <f>E10</f>
        <v>0</v>
      </c>
      <c r="P10" s="51">
        <f>D10</f>
        <v>0</v>
      </c>
      <c r="Q10" s="51">
        <f>D10</f>
        <v>0</v>
      </c>
      <c r="R10" s="60" t="s">
        <v>91</v>
      </c>
      <c r="S10" s="51">
        <f>E10</f>
        <v>0</v>
      </c>
      <c r="T10" s="51">
        <f>D10</f>
        <v>0</v>
      </c>
      <c r="U10" s="51">
        <f>D10</f>
        <v>0</v>
      </c>
      <c r="V10" s="60"/>
      <c r="W10" s="38">
        <v>204623</v>
      </c>
      <c r="X10" s="11" t="str">
        <f>IFERROR(INDEX([1]Sheet1!$A$2:$X$1948,MATCH($W$2:$W$258,[1]Sheet1!$G$2:$G$1948,0),8),"")</f>
        <v>애호박(특품 인큐베이터 KG)</v>
      </c>
      <c r="Y10" s="17">
        <v>1000</v>
      </c>
      <c r="Z10" s="17"/>
      <c r="AA10" s="70">
        <v>30</v>
      </c>
      <c r="AB10" s="70" t="e">
        <f>T10*AD10</f>
        <v>#DIV/0!</v>
      </c>
      <c r="AC10" s="70" t="e">
        <f>U10*AD10</f>
        <v>#DIV/0!</v>
      </c>
      <c r="AD10" s="43" t="e">
        <f>AA10/E10</f>
        <v>#DIV/0!</v>
      </c>
      <c r="AE10" s="38">
        <v>168257</v>
      </c>
      <c r="AF10" s="11" t="str">
        <f>IFERROR(INDEX([1]Sheet1!$A$2:$X$1948,MATCH($AE$2:$AE$258,[1]Sheet1!$G$2:$G$1948,0),8),"")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43" t="e">
        <f>AG10/$E10</f>
        <v>#DIV/0!</v>
      </c>
      <c r="AK10" s="38"/>
      <c r="AL10" s="11">
        <f>IFERROR(INDEX([1]Sheet1!$A$2:$X$1948,MATCH($AK$2:$AK$258,[1]Sheet1!$G$2:$G$1948,0),8),"")</f>
        <v>0</v>
      </c>
      <c r="AM10" s="6"/>
      <c r="AN10" s="6"/>
      <c r="AO10" s="6"/>
      <c r="AP10" s="43"/>
    </row>
    <row r="11" spans="1:42">
      <c r="A11" s="37">
        <v>10</v>
      </c>
      <c r="B11" s="154"/>
      <c r="C11" s="235" t="s">
        <v>2053</v>
      </c>
      <c r="D11" s="33"/>
      <c r="E11" s="33"/>
      <c r="F11" s="33"/>
      <c r="G11" s="33"/>
      <c r="H11" s="77" t="s">
        <v>1289</v>
      </c>
      <c r="I11" s="186" t="s">
        <v>1035</v>
      </c>
      <c r="J11" s="146"/>
      <c r="K11" s="125"/>
      <c r="L11" s="6">
        <v>600</v>
      </c>
      <c r="M11" s="6">
        <v>30</v>
      </c>
      <c r="N11" s="6">
        <v>630</v>
      </c>
      <c r="O11" s="51">
        <f>E11</f>
        <v>0</v>
      </c>
      <c r="P11" s="51">
        <f>D11</f>
        <v>0</v>
      </c>
      <c r="Q11" s="51">
        <f>D11</f>
        <v>0</v>
      </c>
      <c r="R11" s="60" t="s">
        <v>91</v>
      </c>
      <c r="S11" s="51">
        <f>E11</f>
        <v>0</v>
      </c>
      <c r="T11" s="51">
        <f>D11</f>
        <v>0</v>
      </c>
      <c r="U11" s="51">
        <f>D11</f>
        <v>0</v>
      </c>
      <c r="V11" s="60"/>
      <c r="W11" s="38">
        <v>193090</v>
      </c>
      <c r="X11" s="11" t="str">
        <f>IFERROR(INDEX([1]Sheet1!$A$2:$X$1948,MATCH($W$2:$W$258,[1]Sheet1!$G$2:$G$1948,0),8),"")</f>
        <v>냉동감자(절단_3~4cm 1Kg/EA)</v>
      </c>
      <c r="Y11" s="17">
        <v>1000</v>
      </c>
      <c r="Z11" s="17"/>
      <c r="AA11" s="70">
        <v>22</v>
      </c>
      <c r="AB11" s="70" t="e">
        <f>T11*AD11</f>
        <v>#DIV/0!</v>
      </c>
      <c r="AC11" s="70" t="e">
        <f>U11*AD11</f>
        <v>#DIV/0!</v>
      </c>
      <c r="AD11" s="43" t="e">
        <f>AA11/E11</f>
        <v>#DIV/0!</v>
      </c>
      <c r="AE11" s="38">
        <v>204623</v>
      </c>
      <c r="AF11" s="11" t="str">
        <f>IFERROR(INDEX([1]Sheet1!$A$2:$X$1948,MATCH($AE$2:$AE$258,[1]Sheet1!$G$2:$G$1948,0),8),"")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43" t="e">
        <f>AG11/$E11</f>
        <v>#DIV/0!</v>
      </c>
      <c r="AK11" s="38">
        <v>420010</v>
      </c>
      <c r="AL11" s="11" t="str">
        <f>IFERROR(INDEX([1]Sheet1!$A$2:$X$1948,MATCH($AK$2:$AK$258,[1]Sheet1!$G$2:$G$1948,0),8),"")</f>
        <v>알로팜 계란(왕란_무항생제_68g*30입 2.04Kg/EA)</v>
      </c>
      <c r="AM11" s="6"/>
      <c r="AN11" s="6"/>
      <c r="AO11" s="6"/>
      <c r="AP11" s="43"/>
    </row>
    <row r="12" spans="1:42">
      <c r="A12" s="37">
        <v>11</v>
      </c>
      <c r="B12" s="154"/>
      <c r="C12" s="235" t="s">
        <v>1170</v>
      </c>
      <c r="D12" s="33"/>
      <c r="E12" s="33"/>
      <c r="F12" s="33"/>
      <c r="G12" s="33"/>
      <c r="H12" s="112" t="s">
        <v>1885</v>
      </c>
      <c r="I12" s="187" t="s">
        <v>990</v>
      </c>
      <c r="J12" s="146" t="s">
        <v>2080</v>
      </c>
      <c r="K12" s="125"/>
      <c r="L12" s="6"/>
      <c r="M12" s="6"/>
      <c r="N12" s="6"/>
      <c r="O12" s="51"/>
      <c r="P12" s="51"/>
      <c r="Q12" s="51"/>
      <c r="R12" s="60"/>
      <c r="S12" s="51"/>
      <c r="T12" s="51"/>
      <c r="U12" s="51"/>
      <c r="V12" s="60"/>
      <c r="W12" s="38"/>
      <c r="X12" s="11"/>
      <c r="Y12" s="17"/>
      <c r="Z12" s="17"/>
      <c r="AA12" s="70"/>
      <c r="AB12" s="70"/>
      <c r="AC12" s="70"/>
      <c r="AD12" s="43"/>
      <c r="AE12" s="38"/>
      <c r="AF12" s="11"/>
      <c r="AG12" s="6"/>
      <c r="AH12" s="6"/>
      <c r="AI12" s="6"/>
      <c r="AJ12" s="43"/>
      <c r="AK12" s="38"/>
      <c r="AL12" s="11"/>
      <c r="AM12" s="6"/>
      <c r="AN12" s="6"/>
      <c r="AO12" s="6"/>
      <c r="AP12" s="43"/>
    </row>
    <row r="13" spans="1:42">
      <c r="A13" s="37">
        <v>12</v>
      </c>
      <c r="B13" s="154"/>
      <c r="C13" s="235" t="s">
        <v>427</v>
      </c>
      <c r="D13" s="33"/>
      <c r="E13" s="33"/>
      <c r="F13" s="33"/>
      <c r="G13" s="33"/>
      <c r="H13" s="77" t="s">
        <v>1297</v>
      </c>
      <c r="I13" s="186" t="s">
        <v>1008</v>
      </c>
      <c r="J13" s="146" t="s">
        <v>2118</v>
      </c>
      <c r="K13" s="125"/>
      <c r="L13" s="6"/>
      <c r="M13" s="6"/>
      <c r="N13" s="6"/>
      <c r="O13" s="51"/>
      <c r="P13" s="51"/>
      <c r="Q13" s="51"/>
      <c r="R13" s="60"/>
      <c r="S13" s="51"/>
      <c r="T13" s="51"/>
      <c r="U13" s="51"/>
      <c r="V13" s="60"/>
      <c r="W13" s="38"/>
      <c r="X13" s="11"/>
      <c r="Y13" s="17"/>
      <c r="Z13" s="17"/>
      <c r="AA13" s="70"/>
      <c r="AB13" s="70"/>
      <c r="AC13" s="70"/>
      <c r="AD13" s="43"/>
      <c r="AE13" s="38"/>
      <c r="AF13" s="11"/>
      <c r="AG13" s="6"/>
      <c r="AH13" s="6"/>
      <c r="AI13" s="6"/>
      <c r="AJ13" s="43"/>
      <c r="AK13" s="38"/>
      <c r="AL13" s="11"/>
      <c r="AM13" s="6"/>
      <c r="AN13" s="6"/>
      <c r="AO13" s="6"/>
      <c r="AP13" s="43"/>
    </row>
    <row r="14" spans="1:42">
      <c r="A14" s="37">
        <v>13</v>
      </c>
      <c r="B14" s="154"/>
      <c r="C14" s="235" t="s">
        <v>407</v>
      </c>
      <c r="D14" s="33"/>
      <c r="E14" s="33"/>
      <c r="F14" s="33"/>
      <c r="G14" s="33"/>
      <c r="H14" s="77" t="s">
        <v>1294</v>
      </c>
      <c r="I14" s="186" t="s">
        <v>1039</v>
      </c>
      <c r="J14" s="146"/>
      <c r="K14" s="125"/>
      <c r="L14" s="6">
        <v>16590</v>
      </c>
      <c r="M14" s="6">
        <v>829.5</v>
      </c>
      <c r="N14" s="6">
        <v>17419.5</v>
      </c>
      <c r="O14" s="51">
        <f>E14</f>
        <v>0</v>
      </c>
      <c r="P14" s="51">
        <f>D14</f>
        <v>0</v>
      </c>
      <c r="Q14" s="51">
        <f>D14</f>
        <v>0</v>
      </c>
      <c r="R14" s="60" t="s">
        <v>91</v>
      </c>
      <c r="S14" s="51">
        <f>E14</f>
        <v>0</v>
      </c>
      <c r="T14" s="51">
        <f>D14</f>
        <v>0</v>
      </c>
      <c r="U14" s="51">
        <f>D14</f>
        <v>0</v>
      </c>
      <c r="V14" s="60"/>
      <c r="W14" s="38">
        <v>145349</v>
      </c>
      <c r="X14" s="11" t="str">
        <f>IFERROR(INDEX([1]Sheet1!$A$2:$X$1948,MATCH($W$2:$W$258,[1]Sheet1!$G$2:$G$1948,0),8),"")</f>
        <v>이츠웰 사골엑기스(1Kg/EA)</v>
      </c>
      <c r="Y14" s="17">
        <v>1000</v>
      </c>
      <c r="Z14" s="17"/>
      <c r="AA14" s="70"/>
      <c r="AB14" s="70" t="e">
        <f>T14*AD14</f>
        <v>#DIV/0!</v>
      </c>
      <c r="AC14" s="70" t="e">
        <f>U14*AD14</f>
        <v>#DIV/0!</v>
      </c>
      <c r="AD14" s="43" t="e">
        <f>AA14/E14</f>
        <v>#DIV/0!</v>
      </c>
      <c r="AE14" s="38">
        <v>424285</v>
      </c>
      <c r="AF14" s="11" t="str">
        <f>IFERROR(INDEX([1]Sheet1!$A$2:$X$1948,MATCH($AE$2:$AE$258,[1]Sheet1!$G$2:$G$1948,0),8),"")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43" t="e">
        <f>AG14/$E14</f>
        <v>#DIV/0!</v>
      </c>
      <c r="AK14" s="38">
        <v>204418</v>
      </c>
      <c r="AL14" s="11" t="str">
        <f>IFERROR(INDEX([1]Sheet1!$A$2:$X$1948,MATCH($AK$2:$AK$258,[1]Sheet1!$G$2:$G$1948,0),8),"")</f>
        <v>무우(특품 9~12개입 18Kg/BOX)</v>
      </c>
      <c r="AM14" s="6"/>
      <c r="AN14" s="6"/>
      <c r="AO14" s="6"/>
      <c r="AP14" s="43"/>
    </row>
    <row r="15" spans="1:42">
      <c r="A15" s="37">
        <v>14</v>
      </c>
      <c r="B15" s="154"/>
      <c r="C15" s="235" t="s">
        <v>1856</v>
      </c>
      <c r="D15" s="33"/>
      <c r="E15" s="33"/>
      <c r="F15" s="33"/>
      <c r="G15" s="33"/>
      <c r="H15" s="77" t="s">
        <v>1857</v>
      </c>
      <c r="I15" s="186" t="s">
        <v>1039</v>
      </c>
      <c r="J15" s="146"/>
      <c r="K15" s="125"/>
      <c r="L15" s="6"/>
      <c r="M15" s="6"/>
      <c r="N15" s="6"/>
      <c r="O15" s="51"/>
      <c r="P15" s="51"/>
      <c r="Q15" s="51"/>
      <c r="R15" s="60"/>
      <c r="S15" s="51"/>
      <c r="T15" s="51"/>
      <c r="U15" s="51"/>
      <c r="V15" s="60"/>
      <c r="W15" s="38"/>
      <c r="X15" s="11"/>
      <c r="Y15" s="17"/>
      <c r="Z15" s="17"/>
      <c r="AA15" s="70"/>
      <c r="AB15" s="70"/>
      <c r="AC15" s="70"/>
      <c r="AD15" s="43"/>
      <c r="AE15" s="38"/>
      <c r="AF15" s="11"/>
      <c r="AG15" s="6"/>
      <c r="AH15" s="6"/>
      <c r="AI15" s="6"/>
      <c r="AJ15" s="43"/>
      <c r="AK15" s="38"/>
      <c r="AL15" s="11"/>
      <c r="AM15" s="6"/>
      <c r="AN15" s="6"/>
      <c r="AO15" s="6"/>
      <c r="AP15" s="43"/>
    </row>
    <row r="16" spans="1:42">
      <c r="A16" s="37">
        <v>15</v>
      </c>
      <c r="B16" s="154"/>
      <c r="C16" s="235" t="s">
        <v>666</v>
      </c>
      <c r="D16" s="33"/>
      <c r="E16" s="33"/>
      <c r="F16" s="33"/>
      <c r="G16" s="33"/>
      <c r="H16" s="77" t="s">
        <v>1607</v>
      </c>
      <c r="I16" s="186" t="s">
        <v>1026</v>
      </c>
      <c r="J16" s="145"/>
      <c r="K16" s="125"/>
      <c r="L16" s="6"/>
      <c r="M16" s="6"/>
      <c r="N16" s="6"/>
      <c r="O16" s="51"/>
      <c r="P16" s="51"/>
      <c r="Q16" s="51"/>
      <c r="R16" s="60"/>
      <c r="S16" s="51"/>
      <c r="T16" s="51"/>
      <c r="U16" s="51"/>
      <c r="V16" s="60"/>
      <c r="W16" s="38"/>
      <c r="X16" s="11"/>
      <c r="Y16" s="17"/>
      <c r="Z16" s="17"/>
      <c r="AA16" s="70"/>
      <c r="AB16" s="70"/>
      <c r="AC16" s="70"/>
      <c r="AD16" s="43"/>
      <c r="AE16" s="38"/>
      <c r="AF16" s="11"/>
      <c r="AG16" s="6"/>
      <c r="AH16" s="6"/>
      <c r="AI16" s="6"/>
      <c r="AJ16" s="43"/>
      <c r="AK16" s="38"/>
      <c r="AL16" s="11"/>
      <c r="AM16" s="6"/>
      <c r="AN16" s="6"/>
      <c r="AO16" s="6"/>
      <c r="AP16" s="43"/>
    </row>
    <row r="17" spans="1:42">
      <c r="A17" s="37">
        <v>16</v>
      </c>
      <c r="B17" s="154"/>
      <c r="C17" s="235" t="s">
        <v>700</v>
      </c>
      <c r="D17" s="33"/>
      <c r="E17" s="33"/>
      <c r="F17" s="33"/>
      <c r="G17" s="33"/>
      <c r="H17" s="77" t="s">
        <v>1299</v>
      </c>
      <c r="I17" s="186" t="s">
        <v>1039</v>
      </c>
      <c r="J17" s="146" t="s">
        <v>1293</v>
      </c>
      <c r="K17" s="35"/>
      <c r="L17" s="17"/>
      <c r="M17" s="17"/>
      <c r="N17" s="17"/>
      <c r="O17" s="51"/>
      <c r="P17" s="51"/>
      <c r="Q17" s="51"/>
      <c r="R17" s="60"/>
      <c r="S17" s="54"/>
      <c r="T17" s="54"/>
      <c r="U17" s="54"/>
      <c r="V17" s="60"/>
      <c r="W17" s="38"/>
      <c r="X17" s="11"/>
      <c r="Y17" s="17"/>
      <c r="Z17" s="17"/>
      <c r="AA17" s="74"/>
      <c r="AB17" s="74"/>
      <c r="AC17" s="74"/>
      <c r="AD17" s="43"/>
      <c r="AE17" s="38"/>
      <c r="AF17" s="11"/>
      <c r="AG17" s="6"/>
      <c r="AH17" s="6"/>
      <c r="AI17" s="6"/>
      <c r="AJ17" s="43"/>
      <c r="AK17" s="38"/>
      <c r="AL17" s="11"/>
      <c r="AM17" s="6"/>
      <c r="AN17" s="6"/>
      <c r="AO17" s="6"/>
      <c r="AP17" s="43"/>
    </row>
    <row r="18" spans="1:42">
      <c r="A18" s="37">
        <v>17</v>
      </c>
      <c r="B18" s="154"/>
      <c r="C18" s="235" t="s">
        <v>1102</v>
      </c>
      <c r="D18" s="33"/>
      <c r="E18" s="33"/>
      <c r="F18" s="33"/>
      <c r="G18" s="33"/>
      <c r="H18" s="141" t="s">
        <v>1308</v>
      </c>
      <c r="I18" s="190" t="s">
        <v>977</v>
      </c>
      <c r="J18" s="146" t="s">
        <v>1309</v>
      </c>
      <c r="K18" s="35"/>
      <c r="L18" s="17"/>
      <c r="M18" s="17"/>
      <c r="N18" s="17"/>
      <c r="O18" s="51"/>
      <c r="P18" s="51"/>
      <c r="Q18" s="51"/>
      <c r="R18" s="60"/>
      <c r="S18" s="51"/>
      <c r="T18" s="53"/>
      <c r="U18" s="53"/>
      <c r="V18" s="60"/>
      <c r="W18" s="38"/>
      <c r="X18" s="11"/>
      <c r="Y18" s="17"/>
      <c r="Z18" s="17"/>
      <c r="AA18" s="70"/>
      <c r="AB18" s="70"/>
      <c r="AC18" s="70"/>
      <c r="AD18" s="43"/>
      <c r="AE18" s="38"/>
      <c r="AF18" s="11"/>
      <c r="AG18" s="6"/>
      <c r="AH18" s="6"/>
      <c r="AI18" s="6"/>
      <c r="AJ18" s="43"/>
      <c r="AK18" s="38"/>
      <c r="AL18" s="11"/>
      <c r="AM18" s="6"/>
      <c r="AN18" s="6"/>
      <c r="AO18" s="6"/>
      <c r="AP18" s="43"/>
    </row>
    <row r="19" spans="1:42">
      <c r="A19" s="37">
        <v>18</v>
      </c>
      <c r="B19" s="154"/>
      <c r="C19" s="235" t="s">
        <v>698</v>
      </c>
      <c r="D19" s="33"/>
      <c r="E19" s="33"/>
      <c r="F19" s="33"/>
      <c r="G19" s="33"/>
      <c r="H19" s="77" t="s">
        <v>1285</v>
      </c>
      <c r="I19" s="186" t="s">
        <v>1026</v>
      </c>
      <c r="J19" s="146"/>
      <c r="K19" s="125"/>
      <c r="L19" s="6">
        <v>2565</v>
      </c>
      <c r="M19" s="6">
        <v>128.25</v>
      </c>
      <c r="N19" s="6">
        <v>2693.25</v>
      </c>
      <c r="O19" s="51">
        <f>E19</f>
        <v>0</v>
      </c>
      <c r="P19" s="51">
        <f>D19</f>
        <v>0</v>
      </c>
      <c r="Q19" s="51">
        <f>D19</f>
        <v>0</v>
      </c>
      <c r="R19" s="60" t="s">
        <v>91</v>
      </c>
      <c r="S19" s="51">
        <f>E19</f>
        <v>0</v>
      </c>
      <c r="T19" s="51">
        <f>D19</f>
        <v>0</v>
      </c>
      <c r="U19" s="51">
        <f>D19</f>
        <v>0</v>
      </c>
      <c r="V19" s="60"/>
      <c r="W19" s="38">
        <v>206631</v>
      </c>
      <c r="X19" s="11" t="str">
        <f>IFERROR(INDEX([1]Sheet1!$A$2:$X$1948,MATCH($W$2:$W$258,[1]Sheet1!$G$2:$G$1948,0),8),"")</f>
        <v>냉동아욱(상품 1Kg/PAC)</v>
      </c>
      <c r="Y19" s="17">
        <v>1000</v>
      </c>
      <c r="Z19" s="17"/>
      <c r="AA19" s="70">
        <v>32</v>
      </c>
      <c r="AB19" s="70" t="e">
        <f>T19*AD19</f>
        <v>#DIV/0!</v>
      </c>
      <c r="AC19" s="70" t="e">
        <f>U19*AD19</f>
        <v>#DIV/0!</v>
      </c>
      <c r="AD19" s="43" t="e">
        <f>AA19/E19</f>
        <v>#DIV/0!</v>
      </c>
      <c r="AE19" s="38">
        <v>313633</v>
      </c>
      <c r="AF19" s="11" t="str">
        <f>IFERROR(INDEX([1]Sheet1!$A$2:$X$1948,MATCH($AE$2:$AE$258,[1]Sheet1!$G$2:$G$1948,0),8),"")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43" t="e">
        <f>AG19/$E19</f>
        <v>#DIV/0!</v>
      </c>
      <c r="AK19" s="38"/>
      <c r="AL19" s="11">
        <f>IFERROR(INDEX([1]Sheet1!$A$2:$X$1948,MATCH($AK$2:$AK$258,[1]Sheet1!$G$2:$G$1948,0),8),"")</f>
        <v>0</v>
      </c>
      <c r="AM19" s="6"/>
      <c r="AN19" s="6"/>
      <c r="AO19" s="6"/>
      <c r="AP19" s="43"/>
    </row>
    <row r="20" spans="1:42">
      <c r="A20" s="37">
        <v>19</v>
      </c>
      <c r="B20" s="154"/>
      <c r="C20" s="235" t="s">
        <v>1424</v>
      </c>
      <c r="D20" s="33"/>
      <c r="E20" s="33"/>
      <c r="F20" s="33"/>
      <c r="G20" s="33"/>
      <c r="H20" s="77" t="s">
        <v>1292</v>
      </c>
      <c r="I20" s="186" t="s">
        <v>977</v>
      </c>
      <c r="J20" s="146" t="s">
        <v>1293</v>
      </c>
      <c r="K20" s="125"/>
      <c r="L20" s="6"/>
      <c r="M20" s="6"/>
      <c r="N20" s="6"/>
      <c r="O20" s="51"/>
      <c r="P20" s="51"/>
      <c r="Q20" s="51"/>
      <c r="R20" s="60"/>
      <c r="S20" s="51"/>
      <c r="T20" s="51"/>
      <c r="U20" s="51"/>
      <c r="V20" s="60"/>
      <c r="W20" s="38"/>
      <c r="X20" s="11"/>
      <c r="Y20" s="17"/>
      <c r="Z20" s="17"/>
      <c r="AA20" s="70"/>
      <c r="AB20" s="70"/>
      <c r="AC20" s="70"/>
      <c r="AD20" s="43"/>
      <c r="AE20" s="38"/>
      <c r="AF20" s="11"/>
      <c r="AG20" s="6"/>
      <c r="AH20" s="6"/>
      <c r="AI20" s="6"/>
      <c r="AJ20" s="43"/>
      <c r="AK20" s="38"/>
      <c r="AL20" s="11"/>
      <c r="AM20" s="6"/>
      <c r="AN20" s="6"/>
      <c r="AO20" s="6"/>
      <c r="AP20" s="43"/>
    </row>
    <row r="21" spans="1:42">
      <c r="A21" s="37">
        <v>20</v>
      </c>
      <c r="B21" s="154"/>
      <c r="C21" s="235" t="s">
        <v>822</v>
      </c>
      <c r="D21" s="33"/>
      <c r="E21" s="33"/>
      <c r="F21" s="33"/>
      <c r="G21" s="33"/>
      <c r="H21" s="77" t="s">
        <v>1287</v>
      </c>
      <c r="I21" s="186" t="s">
        <v>977</v>
      </c>
      <c r="J21" s="146" t="s">
        <v>2119</v>
      </c>
      <c r="K21" s="125"/>
      <c r="L21" s="6"/>
      <c r="M21" s="6"/>
      <c r="N21" s="6"/>
      <c r="O21" s="51"/>
      <c r="P21" s="51"/>
      <c r="Q21" s="51"/>
      <c r="R21" s="60"/>
      <c r="S21" s="51"/>
      <c r="T21" s="51"/>
      <c r="U21" s="51"/>
      <c r="V21" s="60"/>
      <c r="W21" s="38"/>
      <c r="X21" s="11"/>
      <c r="Y21" s="17"/>
      <c r="Z21" s="17"/>
      <c r="AA21" s="70"/>
      <c r="AB21" s="70"/>
      <c r="AC21" s="70"/>
      <c r="AD21" s="43"/>
      <c r="AE21" s="38"/>
      <c r="AF21" s="11"/>
      <c r="AG21" s="6"/>
      <c r="AH21" s="6"/>
      <c r="AI21" s="6"/>
      <c r="AJ21" s="43"/>
      <c r="AK21" s="38"/>
      <c r="AL21" s="11"/>
      <c r="AM21" s="6"/>
      <c r="AN21" s="6"/>
      <c r="AO21" s="6"/>
      <c r="AP21" s="43"/>
    </row>
    <row r="22" spans="1:42">
      <c r="A22" s="37">
        <v>21</v>
      </c>
      <c r="B22" s="154"/>
      <c r="C22" s="235" t="s">
        <v>1527</v>
      </c>
      <c r="D22" s="33"/>
      <c r="E22" s="33"/>
      <c r="F22" s="33"/>
      <c r="G22" s="33"/>
      <c r="H22" s="77" t="s">
        <v>1235</v>
      </c>
      <c r="I22" s="186" t="s">
        <v>1126</v>
      </c>
      <c r="J22" s="146"/>
      <c r="K22" s="35"/>
      <c r="L22" s="17">
        <v>1200</v>
      </c>
      <c r="M22" s="17">
        <v>60</v>
      </c>
      <c r="N22" s="17">
        <v>1260</v>
      </c>
      <c r="O22" s="51">
        <f>E22</f>
        <v>0</v>
      </c>
      <c r="P22" s="51">
        <f>D22</f>
        <v>0</v>
      </c>
      <c r="Q22" s="51">
        <f>D22</f>
        <v>0</v>
      </c>
      <c r="R22" s="60" t="s">
        <v>91</v>
      </c>
      <c r="S22" s="51">
        <f>E22</f>
        <v>0</v>
      </c>
      <c r="T22" s="51">
        <f>D22</f>
        <v>0</v>
      </c>
      <c r="U22" s="51">
        <f>D22</f>
        <v>0</v>
      </c>
      <c r="V22" s="60"/>
      <c r="W22" s="38">
        <v>192872</v>
      </c>
      <c r="X22" s="11" t="str">
        <f>IFERROR(INDEX([1]Sheet1!$A$2:$X$1948,MATCH($W$2:$W$258,[1]Sheet1!$G$2:$G$1948,0),8),"")</f>
        <v>소이원 콩나물(곱슬이_단채 4Kg/BOX)</v>
      </c>
      <c r="Y22" s="17"/>
      <c r="Z22" s="17"/>
      <c r="AA22" s="70"/>
      <c r="AB22" s="70" t="e">
        <f>T22*AD22</f>
        <v>#DIV/0!</v>
      </c>
      <c r="AC22" s="70" t="e">
        <f>U22*AD22</f>
        <v>#DIV/0!</v>
      </c>
      <c r="AD22" s="43" t="e">
        <f>AA22/E22</f>
        <v>#DIV/0!</v>
      </c>
      <c r="AE22" s="38">
        <v>168257</v>
      </c>
      <c r="AF22" s="11" t="str">
        <f>IFERROR(INDEX([1]Sheet1!$A$2:$X$1948,MATCH($AE$2:$AE$258,[1]Sheet1!$G$2:$G$1948,0),8),"")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43" t="e">
        <f>AG22/$E22</f>
        <v>#DIV/0!</v>
      </c>
      <c r="AK22" s="38"/>
      <c r="AL22" s="11">
        <f>IFERROR(INDEX([1]Sheet1!$A$2:$X$1948,MATCH($AK$2:$AK$258,[1]Sheet1!$G$2:$G$1948,0),8),"")</f>
        <v>0</v>
      </c>
      <c r="AM22" s="6"/>
      <c r="AN22" s="6"/>
      <c r="AO22" s="6"/>
      <c r="AP22" s="43"/>
    </row>
    <row r="23" spans="1:42">
      <c r="A23" s="37">
        <v>22</v>
      </c>
      <c r="B23" s="154"/>
      <c r="C23" s="235" t="s">
        <v>1716</v>
      </c>
      <c r="D23" s="33"/>
      <c r="E23" s="33"/>
      <c r="F23" s="33"/>
      <c r="G23" s="33"/>
      <c r="H23" s="77" t="s">
        <v>1717</v>
      </c>
      <c r="I23" s="186" t="s">
        <v>1718</v>
      </c>
      <c r="J23" s="146"/>
      <c r="K23" s="35"/>
      <c r="L23" s="17"/>
      <c r="M23" s="17"/>
      <c r="N23" s="17"/>
      <c r="O23" s="51"/>
      <c r="P23" s="51"/>
      <c r="Q23" s="51"/>
      <c r="R23" s="60"/>
      <c r="S23" s="51"/>
      <c r="T23" s="51"/>
      <c r="U23" s="51"/>
      <c r="V23" s="60"/>
      <c r="W23" s="38"/>
      <c r="X23" s="11"/>
      <c r="Y23" s="17"/>
      <c r="Z23" s="17"/>
      <c r="AA23" s="70"/>
      <c r="AB23" s="70"/>
      <c r="AC23" s="70"/>
      <c r="AD23" s="43"/>
      <c r="AE23" s="38"/>
      <c r="AF23" s="11"/>
      <c r="AG23" s="6"/>
      <c r="AH23" s="6"/>
      <c r="AI23" s="6"/>
      <c r="AJ23" s="43"/>
      <c r="AK23" s="38"/>
      <c r="AL23" s="11"/>
      <c r="AM23" s="6"/>
      <c r="AN23" s="6"/>
      <c r="AO23" s="6"/>
      <c r="AP23" s="43"/>
    </row>
    <row r="24" spans="1:42">
      <c r="A24" s="37">
        <v>23</v>
      </c>
      <c r="B24" s="154"/>
      <c r="C24" s="235" t="s">
        <v>1656</v>
      </c>
      <c r="D24" s="33"/>
      <c r="E24" s="33"/>
      <c r="F24" s="33"/>
      <c r="G24" s="33"/>
      <c r="H24" s="77" t="s">
        <v>1657</v>
      </c>
      <c r="I24" s="186" t="s">
        <v>1130</v>
      </c>
      <c r="J24" s="146"/>
      <c r="K24" s="125"/>
      <c r="L24" s="6"/>
      <c r="M24" s="6"/>
      <c r="N24" s="6"/>
      <c r="O24" s="51"/>
      <c r="P24" s="51"/>
      <c r="Q24" s="51"/>
      <c r="R24" s="60"/>
      <c r="S24" s="51"/>
      <c r="T24" s="51"/>
      <c r="U24" s="51"/>
      <c r="V24" s="60"/>
      <c r="W24" s="38"/>
      <c r="X24" s="11"/>
      <c r="Y24" s="17"/>
      <c r="Z24" s="17"/>
      <c r="AA24" s="70"/>
      <c r="AB24" s="70"/>
      <c r="AC24" s="70"/>
      <c r="AD24" s="43"/>
      <c r="AE24" s="38"/>
      <c r="AF24" s="11"/>
      <c r="AG24" s="6"/>
      <c r="AH24" s="6"/>
      <c r="AI24" s="6"/>
      <c r="AJ24" s="43"/>
      <c r="AK24" s="38"/>
      <c r="AL24" s="11"/>
      <c r="AM24" s="6"/>
      <c r="AN24" s="6"/>
      <c r="AO24" s="6"/>
      <c r="AP24" s="43"/>
    </row>
    <row r="25" spans="1:42">
      <c r="A25" s="37">
        <v>24</v>
      </c>
      <c r="B25" s="154"/>
      <c r="C25" s="235" t="s">
        <v>322</v>
      </c>
      <c r="D25" s="33"/>
      <c r="E25" s="33"/>
      <c r="F25" s="33"/>
      <c r="G25" s="33"/>
      <c r="H25" s="153" t="s">
        <v>876</v>
      </c>
      <c r="I25" s="188" t="s">
        <v>1039</v>
      </c>
      <c r="J25" s="146"/>
      <c r="K25" s="35"/>
      <c r="L25" s="17"/>
      <c r="M25" s="17"/>
      <c r="N25" s="17"/>
      <c r="O25" s="51">
        <f>E25</f>
        <v>0</v>
      </c>
      <c r="P25" s="51">
        <f>D25</f>
        <v>0</v>
      </c>
      <c r="Q25" s="51">
        <f>D25</f>
        <v>0</v>
      </c>
      <c r="R25" s="60" t="s">
        <v>91</v>
      </c>
      <c r="S25" s="51">
        <f>E25</f>
        <v>0</v>
      </c>
      <c r="T25" s="51">
        <f>D25</f>
        <v>0</v>
      </c>
      <c r="U25" s="51">
        <f>D25</f>
        <v>0</v>
      </c>
      <c r="V25" s="60"/>
      <c r="W25" s="38">
        <v>223307</v>
      </c>
      <c r="X25" s="11" t="str">
        <f>IFERROR(INDEX([1]Sheet1!$A$2:$X$1948,MATCH($W$2:$W$258,[1]Sheet1!$G$2:$G$1948,0),8),"")</f>
        <v>냉동얼갈이(IQF 1Kg/EA)</v>
      </c>
      <c r="Y25" s="17">
        <v>1000</v>
      </c>
      <c r="Z25" s="17"/>
      <c r="AA25" s="70">
        <v>42</v>
      </c>
      <c r="AB25" s="70" t="e">
        <f>T25*AD25</f>
        <v>#DIV/0!</v>
      </c>
      <c r="AC25" s="70" t="e">
        <f>U25*AD25</f>
        <v>#DIV/0!</v>
      </c>
      <c r="AD25" s="43" t="e">
        <f>AA25/E25</f>
        <v>#DIV/0!</v>
      </c>
      <c r="AE25" s="38">
        <v>145349</v>
      </c>
      <c r="AF25" s="11" t="str">
        <f>IFERROR(INDEX([1]Sheet1!$A$2:$X$1948,MATCH($AE$2:$AE$258,[1]Sheet1!$G$2:$G$1948,0),8),"")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43" t="e">
        <f>AG25/$E25</f>
        <v>#DIV/0!</v>
      </c>
      <c r="AK25" s="38"/>
      <c r="AL25" s="11">
        <f>IFERROR(INDEX([1]Sheet1!$A$2:$X$1948,MATCH($AK$2:$AK$258,[1]Sheet1!$G$2:$G$1948,0),8),"")</f>
        <v>0</v>
      </c>
      <c r="AM25" s="6"/>
      <c r="AN25" s="6"/>
      <c r="AO25" s="6"/>
      <c r="AP25" s="43"/>
    </row>
    <row r="26" spans="1:42">
      <c r="A26" s="37">
        <v>25</v>
      </c>
      <c r="B26" s="154"/>
      <c r="C26" s="237" t="s">
        <v>1369</v>
      </c>
      <c r="D26" s="33"/>
      <c r="E26" s="33"/>
      <c r="F26" s="33"/>
      <c r="G26" s="33"/>
      <c r="H26" s="77" t="s">
        <v>1288</v>
      </c>
      <c r="I26" s="186" t="s">
        <v>977</v>
      </c>
      <c r="J26" s="146"/>
      <c r="K26" s="35"/>
      <c r="L26" s="17"/>
      <c r="M26" s="17"/>
      <c r="N26" s="17"/>
      <c r="O26" s="51"/>
      <c r="P26" s="51"/>
      <c r="Q26" s="51"/>
      <c r="R26" s="60"/>
      <c r="S26" s="51"/>
      <c r="T26" s="51"/>
      <c r="U26" s="51"/>
      <c r="V26" s="60"/>
      <c r="W26" s="38"/>
      <c r="X26" s="11"/>
      <c r="Y26" s="17"/>
      <c r="Z26" s="17"/>
      <c r="AA26" s="70"/>
      <c r="AB26" s="70"/>
      <c r="AC26" s="70"/>
      <c r="AD26" s="43"/>
      <c r="AE26" s="38"/>
      <c r="AF26" s="11"/>
      <c r="AG26" s="6"/>
      <c r="AH26" s="6"/>
      <c r="AI26" s="6"/>
      <c r="AJ26" s="43"/>
      <c r="AK26" s="38"/>
      <c r="AL26" s="11"/>
      <c r="AM26" s="6"/>
      <c r="AN26" s="6"/>
      <c r="AO26" s="6"/>
      <c r="AP26" s="43"/>
    </row>
    <row r="27" spans="1:42" ht="27">
      <c r="A27" s="37">
        <v>26</v>
      </c>
      <c r="B27" s="154"/>
      <c r="C27" s="142" t="s">
        <v>970</v>
      </c>
      <c r="D27" s="33"/>
      <c r="E27" s="33"/>
      <c r="F27" s="33"/>
      <c r="G27" s="33"/>
      <c r="H27" s="77" t="s">
        <v>1875</v>
      </c>
      <c r="I27" s="186" t="s">
        <v>1043</v>
      </c>
      <c r="J27" s="146"/>
      <c r="K27" s="125"/>
      <c r="L27" s="6"/>
      <c r="M27" s="6"/>
      <c r="N27" s="6"/>
      <c r="O27" s="51"/>
      <c r="P27" s="51"/>
      <c r="Q27" s="51"/>
      <c r="R27" s="60"/>
      <c r="S27" s="51"/>
      <c r="T27" s="51"/>
      <c r="U27" s="51"/>
      <c r="V27" s="60"/>
      <c r="W27" s="38"/>
      <c r="X27" s="11"/>
      <c r="Y27" s="17"/>
      <c r="Z27" s="17"/>
      <c r="AA27" s="70"/>
      <c r="AB27" s="70"/>
      <c r="AC27" s="70"/>
      <c r="AD27" s="43"/>
      <c r="AE27" s="38"/>
      <c r="AF27" s="11"/>
      <c r="AG27" s="6"/>
      <c r="AH27" s="6"/>
      <c r="AI27" s="6"/>
      <c r="AJ27" s="43"/>
      <c r="AK27" s="38"/>
      <c r="AL27" s="11"/>
      <c r="AM27" s="6"/>
      <c r="AN27" s="6"/>
      <c r="AO27" s="6"/>
      <c r="AP27" s="43"/>
    </row>
    <row r="28" spans="1:42">
      <c r="A28" s="37">
        <v>27</v>
      </c>
      <c r="B28" s="154"/>
      <c r="C28" s="142" t="s">
        <v>849</v>
      </c>
      <c r="D28" s="33"/>
      <c r="E28" s="33"/>
      <c r="F28" s="33"/>
      <c r="G28" s="33"/>
      <c r="H28" s="77" t="s">
        <v>1127</v>
      </c>
      <c r="I28" s="186" t="s">
        <v>988</v>
      </c>
      <c r="J28" s="145"/>
      <c r="K28" s="35"/>
      <c r="L28" s="17"/>
      <c r="M28" s="17"/>
      <c r="N28" s="17"/>
      <c r="O28" s="51">
        <f>E28</f>
        <v>0</v>
      </c>
      <c r="P28" s="51">
        <f>D28</f>
        <v>0</v>
      </c>
      <c r="Q28" s="51">
        <f>D28</f>
        <v>0</v>
      </c>
      <c r="R28" s="60" t="s">
        <v>91</v>
      </c>
      <c r="S28" s="51">
        <f>E28</f>
        <v>0</v>
      </c>
      <c r="T28" s="51">
        <f>D28</f>
        <v>0</v>
      </c>
      <c r="U28" s="51">
        <f>D28</f>
        <v>0</v>
      </c>
      <c r="V28" s="60"/>
      <c r="W28" s="38">
        <v>192918</v>
      </c>
      <c r="X28" s="11" t="str">
        <f>IFERROR(INDEX([1]Sheet1!$A$2:$X$1948,MATCH($W$2:$W$258,[1]Sheet1!$G$2:$G$1948,0),8),"")</f>
        <v>양배추(겉잎제거 KG)</v>
      </c>
      <c r="Y28" s="17">
        <v>1000</v>
      </c>
      <c r="Z28" s="17"/>
      <c r="AA28" s="70">
        <v>35</v>
      </c>
      <c r="AB28" s="70" t="e">
        <f>T28*AD28</f>
        <v>#DIV/0!</v>
      </c>
      <c r="AC28" s="70" t="e">
        <f>U28*AD28</f>
        <v>#DIV/0!</v>
      </c>
      <c r="AD28" s="43" t="e">
        <f>AA28/E28</f>
        <v>#DIV/0!</v>
      </c>
      <c r="AE28" s="38">
        <v>424285</v>
      </c>
      <c r="AF28" s="11" t="str">
        <f>IFERROR(INDEX([1]Sheet1!$A$2:$X$1948,MATCH($AE$2:$AE$258,[1]Sheet1!$G$2:$G$1948,0),8),"")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43" t="e">
        <f>AG28/$E28</f>
        <v>#DIV/0!</v>
      </c>
      <c r="AK28" s="38"/>
      <c r="AL28" s="11">
        <f>IFERROR(INDEX([1]Sheet1!$A$2:$X$1948,MATCH($AK$2:$AK$258,[1]Sheet1!$G$2:$G$1948,0),8),"")</f>
        <v>0</v>
      </c>
      <c r="AM28" s="6"/>
      <c r="AN28" s="6"/>
      <c r="AO28" s="6"/>
      <c r="AP28" s="43"/>
    </row>
    <row r="29" spans="1:42">
      <c r="A29" s="37">
        <v>28</v>
      </c>
      <c r="B29" s="154"/>
      <c r="C29" s="142" t="s">
        <v>1216</v>
      </c>
      <c r="D29" s="33"/>
      <c r="E29" s="33"/>
      <c r="F29" s="33"/>
      <c r="G29" s="33"/>
      <c r="H29" s="77" t="s">
        <v>1295</v>
      </c>
      <c r="I29" s="186" t="s">
        <v>1039</v>
      </c>
      <c r="J29" s="146" t="s">
        <v>2089</v>
      </c>
      <c r="K29" s="125"/>
      <c r="L29" s="6"/>
      <c r="M29" s="6"/>
      <c r="N29" s="6"/>
      <c r="O29" s="51"/>
      <c r="P29" s="51"/>
      <c r="Q29" s="51"/>
      <c r="R29" s="60"/>
      <c r="S29" s="51"/>
      <c r="T29" s="51"/>
      <c r="U29" s="51"/>
      <c r="V29" s="60"/>
      <c r="W29" s="38"/>
      <c r="X29" s="11"/>
      <c r="Y29" s="17"/>
      <c r="Z29" s="17"/>
      <c r="AA29" s="70"/>
      <c r="AB29" s="70"/>
      <c r="AC29" s="70"/>
      <c r="AD29" s="43"/>
      <c r="AE29" s="38"/>
      <c r="AF29" s="11"/>
      <c r="AG29" s="6"/>
      <c r="AH29" s="6"/>
      <c r="AI29" s="6"/>
      <c r="AJ29" s="43"/>
      <c r="AK29" s="38"/>
      <c r="AL29" s="11"/>
      <c r="AM29" s="6"/>
      <c r="AN29" s="6"/>
      <c r="AO29" s="6"/>
      <c r="AP29" s="43"/>
    </row>
    <row r="30" spans="1:42">
      <c r="A30" s="37">
        <v>29</v>
      </c>
      <c r="B30" s="154"/>
      <c r="C30" s="142" t="s">
        <v>321</v>
      </c>
      <c r="D30" s="33"/>
      <c r="E30" s="33"/>
      <c r="F30" s="33"/>
      <c r="G30" s="33"/>
      <c r="H30" s="77" t="s">
        <v>728</v>
      </c>
      <c r="I30" s="186" t="s">
        <v>984</v>
      </c>
      <c r="J30" s="146"/>
      <c r="K30" s="125"/>
      <c r="L30" s="6">
        <v>2535</v>
      </c>
      <c r="M30" s="6">
        <v>126.75</v>
      </c>
      <c r="N30" s="6">
        <v>2661.75</v>
      </c>
      <c r="O30" s="51">
        <f>E30</f>
        <v>0</v>
      </c>
      <c r="P30" s="51">
        <f>D30</f>
        <v>0</v>
      </c>
      <c r="Q30" s="51">
        <f>D30</f>
        <v>0</v>
      </c>
      <c r="R30" s="60" t="s">
        <v>91</v>
      </c>
      <c r="S30" s="51">
        <f>E30</f>
        <v>0</v>
      </c>
      <c r="T30" s="51">
        <f>D30</f>
        <v>0</v>
      </c>
      <c r="U30" s="51">
        <f>D30</f>
        <v>0</v>
      </c>
      <c r="V30" s="60"/>
      <c r="W30" s="38">
        <v>211037</v>
      </c>
      <c r="X30" s="11" t="str">
        <f>IFERROR(INDEX([1]Sheet1!$A$2:$X$1948,MATCH($W$2:$W$258,[1]Sheet1!$G$2:$G$1948,0),8),"")</f>
        <v>느타리버섯(실속 균상 2Kg/EA)</v>
      </c>
      <c r="Y30" s="17">
        <v>2000</v>
      </c>
      <c r="Z30" s="17"/>
      <c r="AA30" s="70">
        <v>23</v>
      </c>
      <c r="AB30" s="70" t="e">
        <f>T30*AD30</f>
        <v>#DIV/0!</v>
      </c>
      <c r="AC30" s="70" t="e">
        <f>U30*AD30</f>
        <v>#DIV/0!</v>
      </c>
      <c r="AD30" s="43" t="e">
        <f>AA30/E30</f>
        <v>#DIV/0!</v>
      </c>
      <c r="AE30" s="38">
        <v>205745</v>
      </c>
      <c r="AF30" s="11" t="str">
        <f>IFERROR(INDEX([1]Sheet1!$A$2:$X$1948,MATCH($AE$2:$AE$258,[1]Sheet1!$G$2:$G$1948,0),8),"")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43" t="e">
        <f>AG30/$E30</f>
        <v>#DIV/0!</v>
      </c>
      <c r="AK30" s="38"/>
      <c r="AL30" s="11">
        <f>IFERROR(INDEX([1]Sheet1!$A$2:$X$1948,MATCH($AK$2:$AK$258,[1]Sheet1!$G$2:$G$1948,0),8),"")</f>
        <v>0</v>
      </c>
      <c r="AM30" s="6"/>
      <c r="AN30" s="6"/>
      <c r="AO30" s="6"/>
      <c r="AP30" s="43"/>
    </row>
    <row r="31" spans="1:42">
      <c r="A31" s="37">
        <v>30</v>
      </c>
      <c r="B31" s="154"/>
      <c r="C31" s="142" t="s">
        <v>1367</v>
      </c>
      <c r="D31" s="33"/>
      <c r="E31" s="33"/>
      <c r="F31" s="33"/>
      <c r="G31" s="33"/>
      <c r="H31" s="141" t="s">
        <v>1368</v>
      </c>
      <c r="I31" s="186" t="s">
        <v>977</v>
      </c>
      <c r="J31" s="146"/>
      <c r="K31" s="125"/>
      <c r="L31" s="6"/>
      <c r="M31" s="6"/>
      <c r="N31" s="6"/>
      <c r="O31" s="51">
        <f>E31</f>
        <v>0</v>
      </c>
      <c r="P31" s="51">
        <f>D31</f>
        <v>0</v>
      </c>
      <c r="Q31" s="51">
        <f>D31</f>
        <v>0</v>
      </c>
      <c r="R31" s="60" t="s">
        <v>91</v>
      </c>
      <c r="S31" s="51">
        <f>E31</f>
        <v>0</v>
      </c>
      <c r="T31" s="51">
        <f>D31</f>
        <v>0</v>
      </c>
      <c r="U31" s="51">
        <f>D31</f>
        <v>0</v>
      </c>
      <c r="V31" s="60"/>
      <c r="W31" s="38">
        <v>193090</v>
      </c>
      <c r="X31" s="11" t="str">
        <f>IFERROR(INDEX([1]Sheet1!$A$2:$X$1948,MATCH($W$2:$W$258,[1]Sheet1!$G$2:$G$1948,0),8),"")</f>
        <v>냉동감자(절단_3~4cm 1Kg/EA)</v>
      </c>
      <c r="Y31" s="17">
        <v>1000</v>
      </c>
      <c r="Z31" s="17"/>
      <c r="AA31" s="70">
        <v>30</v>
      </c>
      <c r="AB31" s="70" t="e">
        <f>T31*AD31</f>
        <v>#DIV/0!</v>
      </c>
      <c r="AC31" s="70" t="e">
        <f>U31*AD31</f>
        <v>#DIV/0!</v>
      </c>
      <c r="AD31" s="43" t="e">
        <f>AA31/E31</f>
        <v>#DIV/0!</v>
      </c>
      <c r="AE31" s="38">
        <v>204964</v>
      </c>
      <c r="AF31" s="11" t="str">
        <f>IFERROR(INDEX([1]Sheet1!$A$2:$X$1948,MATCH($AE$2:$AE$258,[1]Sheet1!$G$2:$G$1948,0),8),"")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43" t="e">
        <f>AG31/$E31</f>
        <v>#DIV/0!</v>
      </c>
      <c r="AK31" s="38"/>
      <c r="AL31" s="11">
        <f>IFERROR(INDEX([1]Sheet1!$A$2:$X$1948,MATCH($AK$2:$AK$258,[1]Sheet1!$G$2:$G$1948,0),8),"")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43" t="e">
        <f>AM31/$E31</f>
        <v>#DIV/0!</v>
      </c>
    </row>
    <row r="32" spans="1:42" ht="20.100000000000001" customHeight="1">
      <c r="A32" s="37">
        <v>31</v>
      </c>
      <c r="B32" s="154"/>
      <c r="C32" s="142" t="s">
        <v>1510</v>
      </c>
      <c r="D32" s="33"/>
      <c r="E32" s="33"/>
      <c r="F32" s="33"/>
      <c r="G32" s="33"/>
      <c r="H32" s="140" t="s">
        <v>1511</v>
      </c>
      <c r="I32" s="189" t="s">
        <v>1039</v>
      </c>
      <c r="J32" s="146" t="s">
        <v>2121</v>
      </c>
      <c r="K32" s="125"/>
      <c r="L32" s="6"/>
      <c r="M32" s="6"/>
      <c r="N32" s="6"/>
      <c r="O32" s="51"/>
      <c r="P32" s="51"/>
      <c r="Q32" s="51"/>
      <c r="R32" s="60"/>
      <c r="S32" s="51"/>
      <c r="T32" s="51"/>
      <c r="U32" s="51"/>
      <c r="V32" s="60"/>
      <c r="W32" s="38"/>
      <c r="X32" s="11"/>
      <c r="Y32" s="17"/>
      <c r="Z32" s="17"/>
      <c r="AA32" s="70"/>
      <c r="AB32" s="70"/>
      <c r="AC32" s="70"/>
      <c r="AD32" s="43"/>
      <c r="AE32" s="38"/>
      <c r="AF32" s="11"/>
      <c r="AG32" s="6"/>
      <c r="AH32" s="6"/>
      <c r="AI32" s="6"/>
      <c r="AJ32" s="43"/>
      <c r="AK32" s="38"/>
      <c r="AL32" s="11"/>
      <c r="AM32" s="6"/>
      <c r="AN32" s="6"/>
      <c r="AO32" s="6"/>
      <c r="AP32" s="43"/>
    </row>
    <row r="33" spans="1:42">
      <c r="A33" s="37">
        <v>32</v>
      </c>
      <c r="B33" s="154"/>
      <c r="C33" s="142" t="s">
        <v>424</v>
      </c>
      <c r="D33" s="33"/>
      <c r="E33" s="33"/>
      <c r="F33" s="33"/>
      <c r="G33" s="33"/>
      <c r="H33" s="77" t="s">
        <v>1303</v>
      </c>
      <c r="I33" s="186" t="s">
        <v>977</v>
      </c>
      <c r="J33" s="146"/>
      <c r="K33" s="125"/>
      <c r="L33" s="6"/>
      <c r="M33" s="6"/>
      <c r="N33" s="6"/>
      <c r="O33" s="51"/>
      <c r="P33" s="51"/>
      <c r="Q33" s="51"/>
      <c r="R33" s="60"/>
      <c r="S33" s="51"/>
      <c r="T33" s="51"/>
      <c r="U33" s="51"/>
      <c r="V33" s="60"/>
      <c r="W33" s="38"/>
      <c r="X33" s="11"/>
      <c r="Y33" s="17"/>
      <c r="Z33" s="17"/>
      <c r="AA33" s="70"/>
      <c r="AB33" s="70"/>
      <c r="AC33" s="70"/>
      <c r="AD33" s="43"/>
      <c r="AE33" s="38"/>
      <c r="AF33" s="11"/>
      <c r="AG33" s="6"/>
      <c r="AH33" s="6"/>
      <c r="AI33" s="6"/>
      <c r="AJ33" s="43"/>
      <c r="AK33" s="38"/>
      <c r="AL33" s="11"/>
      <c r="AM33" s="6"/>
      <c r="AN33" s="6"/>
      <c r="AO33" s="6"/>
      <c r="AP33" s="43"/>
    </row>
    <row r="34" spans="1:42">
      <c r="A34" s="37">
        <v>33</v>
      </c>
      <c r="B34" s="154"/>
      <c r="C34" s="142" t="s">
        <v>2214</v>
      </c>
      <c r="D34" s="33"/>
      <c r="E34" s="33"/>
      <c r="F34" s="33"/>
      <c r="G34" s="33"/>
      <c r="H34" s="77" t="s">
        <v>1658</v>
      </c>
      <c r="I34" s="186" t="s">
        <v>1035</v>
      </c>
      <c r="J34" s="146" t="s">
        <v>1293</v>
      </c>
      <c r="K34" s="125"/>
      <c r="L34" s="6"/>
      <c r="M34" s="6"/>
      <c r="N34" s="6"/>
      <c r="O34" s="51"/>
      <c r="P34" s="51"/>
      <c r="Q34" s="51"/>
      <c r="R34" s="60"/>
      <c r="S34" s="51"/>
      <c r="T34" s="51"/>
      <c r="U34" s="51"/>
      <c r="V34" s="60"/>
      <c r="W34" s="38"/>
      <c r="X34" s="11"/>
      <c r="Y34" s="17"/>
      <c r="Z34" s="17"/>
      <c r="AA34" s="70"/>
      <c r="AB34" s="70"/>
      <c r="AC34" s="70"/>
      <c r="AD34" s="43"/>
      <c r="AE34" s="38"/>
      <c r="AF34" s="11"/>
      <c r="AG34" s="6"/>
      <c r="AH34" s="6"/>
      <c r="AI34" s="6"/>
      <c r="AJ34" s="43"/>
      <c r="AK34" s="38"/>
      <c r="AL34" s="11"/>
      <c r="AM34" s="6"/>
      <c r="AN34" s="6"/>
      <c r="AO34" s="6"/>
      <c r="AP34" s="43"/>
    </row>
    <row r="35" spans="1:42">
      <c r="A35" s="37">
        <v>34</v>
      </c>
      <c r="B35" s="154"/>
      <c r="C35" s="152" t="s">
        <v>2114</v>
      </c>
      <c r="D35" s="33"/>
      <c r="E35" s="33"/>
      <c r="F35" s="33"/>
      <c r="G35" s="33"/>
      <c r="H35" s="77" t="s">
        <v>1659</v>
      </c>
      <c r="I35" s="190" t="s">
        <v>1151</v>
      </c>
      <c r="J35" s="146"/>
      <c r="K35" s="125"/>
      <c r="L35" s="6"/>
      <c r="M35" s="6"/>
      <c r="N35" s="6"/>
      <c r="O35" s="51"/>
      <c r="P35" s="51"/>
      <c r="Q35" s="51"/>
      <c r="R35" s="60"/>
      <c r="S35" s="51"/>
      <c r="T35" s="51"/>
      <c r="U35" s="51"/>
      <c r="V35" s="60"/>
      <c r="W35" s="38"/>
      <c r="X35" s="11"/>
      <c r="Y35" s="17"/>
      <c r="Z35" s="17"/>
      <c r="AA35" s="70"/>
      <c r="AB35" s="70"/>
      <c r="AC35" s="70"/>
      <c r="AD35" s="43"/>
      <c r="AE35" s="38"/>
      <c r="AF35" s="11"/>
      <c r="AG35" s="6"/>
      <c r="AH35" s="6"/>
      <c r="AI35" s="6"/>
      <c r="AJ35" s="43"/>
      <c r="AK35" s="38"/>
      <c r="AL35" s="11"/>
      <c r="AM35" s="6"/>
      <c r="AN35" s="6"/>
      <c r="AO35" s="6"/>
      <c r="AP35" s="43"/>
    </row>
    <row r="36" spans="1:42">
      <c r="A36" s="37">
        <v>35</v>
      </c>
      <c r="B36" s="154"/>
      <c r="C36" s="142" t="s">
        <v>1421</v>
      </c>
      <c r="D36" s="33"/>
      <c r="E36" s="33"/>
      <c r="F36" s="33"/>
      <c r="G36" s="33"/>
      <c r="H36" s="77" t="s">
        <v>1433</v>
      </c>
      <c r="I36" s="186" t="s">
        <v>977</v>
      </c>
      <c r="J36" s="145"/>
      <c r="K36" s="125"/>
      <c r="L36" s="6"/>
      <c r="M36" s="6"/>
      <c r="N36" s="6"/>
      <c r="O36" s="51"/>
      <c r="P36" s="51"/>
      <c r="Q36" s="51"/>
      <c r="R36" s="60"/>
      <c r="S36" s="51"/>
      <c r="T36" s="51"/>
      <c r="U36" s="51"/>
      <c r="V36" s="60"/>
      <c r="W36" s="38"/>
      <c r="X36" s="11"/>
      <c r="Y36" s="17"/>
      <c r="Z36" s="17"/>
      <c r="AA36" s="70"/>
      <c r="AB36" s="70"/>
      <c r="AC36" s="70"/>
      <c r="AD36" s="43"/>
      <c r="AE36" s="38"/>
      <c r="AF36" s="11"/>
      <c r="AG36" s="6"/>
      <c r="AH36" s="6"/>
      <c r="AI36" s="6"/>
      <c r="AJ36" s="43"/>
      <c r="AK36" s="38"/>
      <c r="AL36" s="11"/>
      <c r="AM36" s="6"/>
      <c r="AN36" s="6"/>
      <c r="AO36" s="6"/>
      <c r="AP36" s="43"/>
    </row>
    <row r="37" spans="1:42">
      <c r="A37" s="37">
        <v>36</v>
      </c>
      <c r="B37" s="154"/>
      <c r="C37" s="142" t="s">
        <v>1842</v>
      </c>
      <c r="D37" s="33"/>
      <c r="E37" s="33"/>
      <c r="F37" s="33"/>
      <c r="G37" s="33"/>
      <c r="H37" s="77" t="s">
        <v>1843</v>
      </c>
      <c r="I37" s="186" t="s">
        <v>977</v>
      </c>
      <c r="J37" s="145"/>
      <c r="K37" s="125"/>
      <c r="L37" s="6"/>
      <c r="M37" s="6"/>
      <c r="N37" s="6"/>
      <c r="O37" s="51"/>
      <c r="P37" s="51"/>
      <c r="Q37" s="51"/>
      <c r="R37" s="60"/>
      <c r="S37" s="51"/>
      <c r="T37" s="51"/>
      <c r="U37" s="51"/>
      <c r="V37" s="60"/>
      <c r="W37" s="38"/>
      <c r="X37" s="11"/>
      <c r="Y37" s="17"/>
      <c r="Z37" s="17"/>
      <c r="AA37" s="70"/>
      <c r="AB37" s="70"/>
      <c r="AC37" s="70"/>
      <c r="AD37" s="43"/>
      <c r="AE37" s="38"/>
      <c r="AF37" s="11"/>
      <c r="AG37" s="6"/>
      <c r="AH37" s="6"/>
      <c r="AI37" s="6"/>
      <c r="AJ37" s="43"/>
      <c r="AK37" s="38"/>
      <c r="AL37" s="11"/>
      <c r="AM37" s="6"/>
      <c r="AN37" s="6"/>
      <c r="AO37" s="6"/>
      <c r="AP37" s="43"/>
    </row>
    <row r="38" spans="1:42">
      <c r="A38" s="37">
        <v>37</v>
      </c>
      <c r="B38" s="154"/>
      <c r="C38" s="142" t="s">
        <v>1923</v>
      </c>
      <c r="D38" s="33"/>
      <c r="E38" s="33"/>
      <c r="F38" s="33"/>
      <c r="G38" s="33"/>
      <c r="H38" s="77" t="s">
        <v>1924</v>
      </c>
      <c r="I38" s="186" t="s">
        <v>977</v>
      </c>
      <c r="J38" s="145"/>
      <c r="K38" s="125"/>
      <c r="L38" s="6"/>
      <c r="M38" s="6"/>
      <c r="N38" s="6"/>
      <c r="O38" s="51"/>
      <c r="P38" s="51"/>
      <c r="Q38" s="51"/>
      <c r="R38" s="60"/>
      <c r="S38" s="51"/>
      <c r="T38" s="51"/>
      <c r="U38" s="51"/>
      <c r="V38" s="60"/>
      <c r="W38" s="38"/>
      <c r="X38" s="11"/>
      <c r="Y38" s="17"/>
      <c r="Z38" s="17"/>
      <c r="AA38" s="70"/>
      <c r="AB38" s="70"/>
      <c r="AC38" s="70"/>
      <c r="AD38" s="43"/>
      <c r="AE38" s="38"/>
      <c r="AF38" s="11"/>
      <c r="AG38" s="6"/>
      <c r="AH38" s="6"/>
      <c r="AI38" s="6"/>
      <c r="AJ38" s="43"/>
      <c r="AK38" s="38"/>
      <c r="AL38" s="11"/>
      <c r="AM38" s="6"/>
      <c r="AN38" s="6"/>
      <c r="AO38" s="6"/>
      <c r="AP38" s="43"/>
    </row>
    <row r="39" spans="1:42">
      <c r="A39" s="37"/>
      <c r="B39" s="154"/>
      <c r="C39" s="142" t="s">
        <v>2017</v>
      </c>
      <c r="D39" s="33"/>
      <c r="E39" s="33"/>
      <c r="F39" s="33"/>
      <c r="G39" s="33"/>
      <c r="H39" s="77" t="s">
        <v>2018</v>
      </c>
      <c r="I39" s="186" t="s">
        <v>2019</v>
      </c>
      <c r="J39" s="145"/>
      <c r="K39" s="125"/>
      <c r="L39" s="6"/>
      <c r="M39" s="6"/>
      <c r="N39" s="6"/>
      <c r="O39" s="51"/>
      <c r="P39" s="51"/>
      <c r="Q39" s="51"/>
      <c r="R39" s="60"/>
      <c r="S39" s="51"/>
      <c r="T39" s="51"/>
      <c r="U39" s="51"/>
      <c r="V39" s="60"/>
      <c r="W39" s="38"/>
      <c r="X39" s="11"/>
      <c r="Y39" s="17"/>
      <c r="Z39" s="17"/>
      <c r="AA39" s="70"/>
      <c r="AB39" s="70"/>
      <c r="AC39" s="70"/>
      <c r="AD39" s="43"/>
      <c r="AE39" s="38"/>
      <c r="AF39" s="11"/>
      <c r="AG39" s="6"/>
      <c r="AH39" s="6"/>
      <c r="AI39" s="6"/>
      <c r="AJ39" s="43"/>
      <c r="AK39" s="38"/>
      <c r="AL39" s="11"/>
      <c r="AM39" s="6"/>
      <c r="AN39" s="6"/>
      <c r="AO39" s="6"/>
      <c r="AP39" s="43"/>
    </row>
    <row r="40" spans="1:42">
      <c r="A40" s="37">
        <v>38</v>
      </c>
      <c r="B40" s="154"/>
      <c r="C40" s="142" t="s">
        <v>686</v>
      </c>
      <c r="D40" s="33"/>
      <c r="E40" s="33"/>
      <c r="F40" s="33"/>
      <c r="G40" s="33"/>
      <c r="H40" s="145" t="s">
        <v>687</v>
      </c>
      <c r="I40" s="191" t="s">
        <v>977</v>
      </c>
      <c r="J40" s="146"/>
      <c r="K40" s="35"/>
      <c r="L40" s="17"/>
      <c r="M40" s="17"/>
      <c r="N40" s="17"/>
      <c r="O40" s="51">
        <f>E40</f>
        <v>0</v>
      </c>
      <c r="P40" s="51">
        <v>120</v>
      </c>
      <c r="Q40" s="51"/>
      <c r="R40" s="60" t="s">
        <v>91</v>
      </c>
      <c r="S40" s="52">
        <v>2</v>
      </c>
      <c r="T40" s="52">
        <v>6</v>
      </c>
      <c r="U40" s="52">
        <v>10</v>
      </c>
      <c r="V40" s="60" t="s">
        <v>92</v>
      </c>
      <c r="W40" s="38">
        <v>127359</v>
      </c>
      <c r="X40" s="11" t="str">
        <f>IFERROR(INDEX([1]Sheet1!$A$2:$X$1948,MATCH($W$2:$W$258,[1]Sheet1!$G$2:$G$1948,0),8),"")</f>
        <v>사조대림 사각잡채군만두(32±1개입 800g/EA)</v>
      </c>
      <c r="Y40" s="17">
        <v>800</v>
      </c>
      <c r="Z40" s="17">
        <v>32</v>
      </c>
      <c r="AA40" s="71">
        <v>2</v>
      </c>
      <c r="AB40" s="71">
        <f>T40</f>
        <v>6</v>
      </c>
      <c r="AC40" s="71">
        <f>U40</f>
        <v>10</v>
      </c>
      <c r="AD40" s="43"/>
      <c r="AE40" s="38"/>
      <c r="AF40" s="11">
        <f>IFERROR(INDEX([1]Sheet1!$A$2:$X$1948,MATCH($AE$2:$AE$258,[1]Sheet1!$G$2:$G$1948,0),8),"")</f>
        <v>0</v>
      </c>
      <c r="AG40" s="6"/>
      <c r="AH40" s="6" t="e">
        <f>P40*AJ40</f>
        <v>#DIV/0!</v>
      </c>
      <c r="AI40" s="6" t="e">
        <f>Q40*AJ40</f>
        <v>#DIV/0!</v>
      </c>
      <c r="AJ40" s="43" t="e">
        <f>AG40/$E40</f>
        <v>#DIV/0!</v>
      </c>
      <c r="AK40" s="38"/>
      <c r="AL40" s="11">
        <f>IFERROR(INDEX([1]Sheet1!$A$2:$X$1948,MATCH($AK$2:$AK$258,[1]Sheet1!$G$2:$G$1948,0),8),"")</f>
        <v>0</v>
      </c>
      <c r="AM40" s="6"/>
      <c r="AN40" s="6" t="e">
        <f>P40*AP40</f>
        <v>#DIV/0!</v>
      </c>
      <c r="AO40" s="6" t="e">
        <f>Q40*AP40</f>
        <v>#DIV/0!</v>
      </c>
      <c r="AP40" s="43" t="e">
        <f>AM40/$E40</f>
        <v>#DIV/0!</v>
      </c>
    </row>
    <row r="41" spans="1:42">
      <c r="A41" s="37">
        <v>39</v>
      </c>
      <c r="B41" s="154"/>
      <c r="C41" s="142" t="s">
        <v>416</v>
      </c>
      <c r="D41" s="33"/>
      <c r="E41" s="33"/>
      <c r="F41" s="33"/>
      <c r="G41" s="33"/>
      <c r="H41" s="77" t="s">
        <v>2049</v>
      </c>
      <c r="I41" s="186" t="s">
        <v>1039</v>
      </c>
      <c r="J41" s="146"/>
      <c r="K41" s="35"/>
      <c r="L41" s="17"/>
      <c r="M41" s="17"/>
      <c r="N41" s="17"/>
      <c r="O41" s="51">
        <f>E41</f>
        <v>0</v>
      </c>
      <c r="P41" s="51">
        <f>D41</f>
        <v>0</v>
      </c>
      <c r="Q41" s="51">
        <f>D41</f>
        <v>0</v>
      </c>
      <c r="R41" s="60" t="s">
        <v>91</v>
      </c>
      <c r="S41" s="51">
        <f>E41</f>
        <v>0</v>
      </c>
      <c r="T41" s="51">
        <f>D41</f>
        <v>0</v>
      </c>
      <c r="U41" s="51">
        <f>D41</f>
        <v>0</v>
      </c>
      <c r="V41" s="60"/>
      <c r="W41" s="38">
        <v>211037</v>
      </c>
      <c r="X41" s="11" t="str">
        <f>IFERROR(INDEX([1]Sheet1!$A$2:$X$1948,MATCH($W$2:$W$258,[1]Sheet1!$G$2:$G$1948,0),8),"")</f>
        <v>느타리버섯(실속 균상 2Kg/EA)</v>
      </c>
      <c r="Y41" s="17">
        <v>2000</v>
      </c>
      <c r="Z41" s="17"/>
      <c r="AA41" s="70">
        <v>15</v>
      </c>
      <c r="AB41" s="70" t="e">
        <f>T41*AD41</f>
        <v>#DIV/0!</v>
      </c>
      <c r="AC41" s="70" t="e">
        <f>U41*AD41</f>
        <v>#DIV/0!</v>
      </c>
      <c r="AD41" s="43" t="e">
        <f>AA41/E41</f>
        <v>#DIV/0!</v>
      </c>
      <c r="AE41" s="38">
        <v>204964</v>
      </c>
      <c r="AF41" s="11" t="str">
        <f>IFERROR(INDEX([1]Sheet1!$A$2:$X$1948,MATCH($AE$2:$AE$258,[1]Sheet1!$G$2:$G$1948,0),8),"")</f>
        <v>냉동표고버섯(슬라이스 1Kg/PAC)</v>
      </c>
      <c r="AG41" s="6">
        <v>15</v>
      </c>
      <c r="AH41" s="6" t="e">
        <f>P41*AJ41</f>
        <v>#DIV/0!</v>
      </c>
      <c r="AI41" s="6" t="e">
        <f>Q41*AJ41</f>
        <v>#DIV/0!</v>
      </c>
      <c r="AJ41" s="43" t="e">
        <f>AG41/$E41</f>
        <v>#DIV/0!</v>
      </c>
      <c r="AK41" s="38">
        <v>226247</v>
      </c>
      <c r="AL41" s="11" t="str">
        <f>IFERROR(INDEX([1]Sheet1!$A$2:$X$1948,MATCH($AK$2:$AK$258,[1]Sheet1!$G$2:$G$1948,0),8),"")</f>
        <v>냉동표고버섯(1.5*1.5cm다이스 1Kg/EA)</v>
      </c>
      <c r="AM41" s="6"/>
      <c r="AN41" s="6"/>
      <c r="AO41" s="6"/>
      <c r="AP41" s="43"/>
    </row>
    <row r="42" spans="1:42">
      <c r="A42" s="37">
        <v>40</v>
      </c>
      <c r="B42" s="154"/>
      <c r="C42" s="142" t="s">
        <v>1426</v>
      </c>
      <c r="D42" s="33"/>
      <c r="E42" s="33"/>
      <c r="F42" s="33"/>
      <c r="G42" s="33"/>
      <c r="H42" s="77" t="s">
        <v>1428</v>
      </c>
      <c r="I42" s="186" t="s">
        <v>977</v>
      </c>
      <c r="J42" s="145" t="s">
        <v>2121</v>
      </c>
      <c r="K42" s="125"/>
      <c r="L42" s="6"/>
      <c r="M42" s="6"/>
      <c r="N42" s="6"/>
      <c r="O42" s="51"/>
      <c r="P42" s="51"/>
      <c r="Q42" s="51"/>
      <c r="R42" s="60"/>
      <c r="S42" s="51"/>
      <c r="T42" s="51"/>
      <c r="U42" s="51"/>
      <c r="V42" s="60"/>
      <c r="W42" s="38"/>
      <c r="X42" s="11"/>
      <c r="Y42" s="17"/>
      <c r="Z42" s="17"/>
      <c r="AA42" s="70"/>
      <c r="AB42" s="70"/>
      <c r="AC42" s="70"/>
      <c r="AD42" s="43"/>
      <c r="AE42" s="38"/>
      <c r="AF42" s="11"/>
      <c r="AG42" s="6"/>
      <c r="AH42" s="6"/>
      <c r="AI42" s="6"/>
      <c r="AJ42" s="43"/>
      <c r="AK42" s="38"/>
      <c r="AL42" s="11"/>
      <c r="AM42" s="6"/>
      <c r="AN42" s="6"/>
      <c r="AO42" s="6"/>
      <c r="AP42" s="43"/>
    </row>
    <row r="43" spans="1:42">
      <c r="A43" s="37">
        <v>41</v>
      </c>
      <c r="B43" s="154"/>
      <c r="C43" s="142" t="s">
        <v>1502</v>
      </c>
      <c r="D43" s="33"/>
      <c r="E43" s="33"/>
      <c r="F43" s="33"/>
      <c r="G43" s="33"/>
      <c r="H43" s="77" t="s">
        <v>964</v>
      </c>
      <c r="I43" s="186" t="s">
        <v>1039</v>
      </c>
      <c r="J43" s="146"/>
      <c r="K43" s="35"/>
      <c r="L43" s="17"/>
      <c r="M43" s="17"/>
      <c r="N43" s="17"/>
      <c r="O43" s="51"/>
      <c r="P43" s="51"/>
      <c r="Q43" s="51"/>
      <c r="R43" s="60"/>
      <c r="S43" s="51"/>
      <c r="T43" s="51"/>
      <c r="U43" s="51"/>
      <c r="V43" s="60"/>
      <c r="W43" s="38"/>
      <c r="X43" s="11"/>
      <c r="Y43" s="17"/>
      <c r="Z43" s="17"/>
      <c r="AA43" s="70"/>
      <c r="AB43" s="70"/>
      <c r="AC43" s="70"/>
      <c r="AD43" s="43"/>
      <c r="AE43" s="38"/>
      <c r="AF43" s="11"/>
      <c r="AG43" s="6"/>
      <c r="AH43" s="6"/>
      <c r="AI43" s="6"/>
      <c r="AJ43" s="43"/>
      <c r="AK43" s="38"/>
      <c r="AL43" s="11"/>
      <c r="AM43" s="6"/>
      <c r="AN43" s="6"/>
      <c r="AO43" s="6"/>
      <c r="AP43" s="43"/>
    </row>
    <row r="44" spans="1:42">
      <c r="A44" s="37">
        <v>42</v>
      </c>
      <c r="B44" s="154"/>
      <c r="C44" s="142" t="s">
        <v>1355</v>
      </c>
      <c r="D44" s="33"/>
      <c r="E44" s="33"/>
      <c r="F44" s="33"/>
      <c r="G44" s="33"/>
      <c r="H44" s="77" t="s">
        <v>1356</v>
      </c>
      <c r="I44" s="186" t="s">
        <v>986</v>
      </c>
      <c r="J44" s="146"/>
      <c r="K44" s="125"/>
      <c r="L44" s="6">
        <v>320</v>
      </c>
      <c r="M44" s="6">
        <v>16</v>
      </c>
      <c r="N44" s="6">
        <v>336</v>
      </c>
      <c r="O44" s="51">
        <f>E44</f>
        <v>0</v>
      </c>
      <c r="P44" s="51">
        <f>D44</f>
        <v>0</v>
      </c>
      <c r="Q44" s="51">
        <f>D44</f>
        <v>0</v>
      </c>
      <c r="R44" s="60" t="s">
        <v>91</v>
      </c>
      <c r="S44" s="51">
        <f>E44</f>
        <v>0</v>
      </c>
      <c r="T44" s="51">
        <f>D44</f>
        <v>0</v>
      </c>
      <c r="U44" s="51">
        <f>D44</f>
        <v>0</v>
      </c>
      <c r="V44" s="60"/>
      <c r="W44" s="38">
        <v>318643</v>
      </c>
      <c r="X44" s="11" t="str">
        <f>IFERROR(INDEX([1]Sheet1!$A$2:$X$1948,MATCH($W$2:$W$258,[1]Sheet1!$G$2:$G$1948,0),8),"")</f>
        <v>아이누리 자른건미역(상품 200g/EA)</v>
      </c>
      <c r="Y44" s="17">
        <v>200</v>
      </c>
      <c r="Z44" s="17"/>
      <c r="AA44" s="70">
        <v>3</v>
      </c>
      <c r="AB44" s="70" t="e">
        <f>T44*AD44</f>
        <v>#DIV/0!</v>
      </c>
      <c r="AC44" s="70" t="e">
        <f>U44*AD44</f>
        <v>#DIV/0!</v>
      </c>
      <c r="AD44" s="43" t="e">
        <f>AA44/E44</f>
        <v>#DIV/0!</v>
      </c>
      <c r="AE44" s="38">
        <v>193090</v>
      </c>
      <c r="AF44" s="11" t="str">
        <f>IFERROR(INDEX([1]Sheet1!$A$2:$X$1948,MATCH($AE$2:$AE$258,[1]Sheet1!$G$2:$G$1948,0),8),"")</f>
        <v>냉동감자(절단_3~4cm 1Kg/EA)</v>
      </c>
      <c r="AG44" s="6">
        <v>17</v>
      </c>
      <c r="AH44" s="6" t="e">
        <f>P44*AJ44</f>
        <v>#DIV/0!</v>
      </c>
      <c r="AI44" s="6" t="e">
        <f>Q44*AJ44</f>
        <v>#DIV/0!</v>
      </c>
      <c r="AJ44" s="43" t="e">
        <f>AG44/$E44</f>
        <v>#DIV/0!</v>
      </c>
      <c r="AK44" s="38"/>
      <c r="AL44" s="11">
        <f>IFERROR(INDEX([1]Sheet1!$A$2:$X$1948,MATCH($AK$2:$AK$258,[1]Sheet1!$G$2:$G$1948,0),8),"")</f>
        <v>0</v>
      </c>
      <c r="AM44" s="6"/>
      <c r="AN44" s="6"/>
      <c r="AO44" s="6"/>
      <c r="AP44" s="43"/>
    </row>
    <row r="45" spans="1:42">
      <c r="A45" s="37">
        <v>43</v>
      </c>
      <c r="B45" s="154"/>
      <c r="C45" s="142" t="s">
        <v>941</v>
      </c>
      <c r="D45" s="33"/>
      <c r="E45" s="33"/>
      <c r="F45" s="33"/>
      <c r="G45" s="33"/>
      <c r="H45" s="77" t="s">
        <v>1298</v>
      </c>
      <c r="I45" s="186" t="s">
        <v>1016</v>
      </c>
      <c r="J45" s="146" t="s">
        <v>1293</v>
      </c>
      <c r="K45" s="35"/>
      <c r="L45" s="17"/>
      <c r="M45" s="17"/>
      <c r="N45" s="17"/>
      <c r="O45" s="51"/>
      <c r="P45" s="51"/>
      <c r="Q45" s="51"/>
      <c r="R45" s="60"/>
      <c r="S45" s="51"/>
      <c r="T45" s="51"/>
      <c r="U45" s="51"/>
      <c r="V45" s="60"/>
      <c r="W45" s="38"/>
      <c r="X45" s="11"/>
      <c r="Y45" s="17"/>
      <c r="Z45" s="17"/>
      <c r="AA45" s="70"/>
      <c r="AB45" s="70"/>
      <c r="AC45" s="70"/>
      <c r="AD45" s="43"/>
      <c r="AE45" s="38"/>
      <c r="AF45" s="11"/>
      <c r="AG45" s="6"/>
      <c r="AH45" s="6"/>
      <c r="AI45" s="6"/>
      <c r="AJ45" s="43"/>
      <c r="AK45" s="38"/>
      <c r="AL45" s="11"/>
      <c r="AM45" s="6"/>
      <c r="AN45" s="6"/>
      <c r="AO45" s="6"/>
      <c r="AP45" s="43"/>
    </row>
    <row r="46" spans="1:42">
      <c r="A46" s="37">
        <v>44</v>
      </c>
      <c r="B46" s="154"/>
      <c r="C46" s="142" t="s">
        <v>2096</v>
      </c>
      <c r="D46" s="33"/>
      <c r="E46" s="33"/>
      <c r="F46" s="33"/>
      <c r="G46" s="33"/>
      <c r="H46" s="141" t="s">
        <v>1583</v>
      </c>
      <c r="I46" s="190" t="s">
        <v>977</v>
      </c>
      <c r="J46" s="146" t="s">
        <v>2121</v>
      </c>
      <c r="K46" s="125"/>
      <c r="L46" s="6"/>
      <c r="M46" s="6"/>
      <c r="N46" s="6"/>
      <c r="O46" s="51"/>
      <c r="P46" s="51"/>
      <c r="Q46" s="51"/>
      <c r="R46" s="60"/>
      <c r="S46" s="51"/>
      <c r="T46" s="51"/>
      <c r="U46" s="51"/>
      <c r="V46" s="60"/>
      <c r="W46" s="38"/>
      <c r="X46" s="11"/>
      <c r="Y46" s="17"/>
      <c r="Z46" s="17"/>
      <c r="AA46" s="70"/>
      <c r="AB46" s="70"/>
      <c r="AC46" s="70"/>
      <c r="AD46" s="43"/>
      <c r="AE46" s="38"/>
      <c r="AF46" s="11"/>
      <c r="AG46" s="6"/>
      <c r="AH46" s="6"/>
      <c r="AI46" s="6"/>
      <c r="AJ46" s="43"/>
      <c r="AK46" s="38"/>
      <c r="AL46" s="11"/>
      <c r="AM46" s="6"/>
      <c r="AN46" s="6"/>
      <c r="AO46" s="6"/>
      <c r="AP46" s="43"/>
    </row>
    <row r="47" spans="1:42">
      <c r="A47" s="37">
        <v>45</v>
      </c>
      <c r="B47" s="154"/>
      <c r="C47" s="142" t="s">
        <v>426</v>
      </c>
      <c r="D47" s="33"/>
      <c r="E47" s="33"/>
      <c r="F47" s="33"/>
      <c r="G47" s="33"/>
      <c r="H47" s="77" t="s">
        <v>1427</v>
      </c>
      <c r="I47" s="186" t="s">
        <v>977</v>
      </c>
      <c r="J47" s="146" t="s">
        <v>1293</v>
      </c>
      <c r="K47" s="35"/>
      <c r="L47" s="17"/>
      <c r="M47" s="17"/>
      <c r="N47" s="17"/>
      <c r="O47" s="51"/>
      <c r="P47" s="51"/>
      <c r="Q47" s="51"/>
      <c r="R47" s="60"/>
      <c r="S47" s="51"/>
      <c r="T47" s="51"/>
      <c r="U47" s="51"/>
      <c r="V47" s="60"/>
      <c r="W47" s="38"/>
      <c r="X47" s="11"/>
      <c r="Y47" s="17"/>
      <c r="Z47" s="17"/>
      <c r="AA47" s="70"/>
      <c r="AB47" s="70"/>
      <c r="AC47" s="70"/>
      <c r="AD47" s="43"/>
      <c r="AE47" s="38"/>
      <c r="AF47" s="11"/>
      <c r="AG47" s="6"/>
      <c r="AH47" s="6"/>
      <c r="AI47" s="6"/>
      <c r="AJ47" s="43"/>
      <c r="AK47" s="38"/>
      <c r="AL47" s="11"/>
      <c r="AM47" s="6"/>
      <c r="AN47" s="6"/>
      <c r="AO47" s="6"/>
      <c r="AP47" s="43"/>
    </row>
    <row r="48" spans="1:42">
      <c r="A48" s="37">
        <v>46</v>
      </c>
      <c r="B48" s="154"/>
      <c r="C48" s="235" t="s">
        <v>1729</v>
      </c>
      <c r="D48" s="33"/>
      <c r="E48" s="33"/>
      <c r="F48" s="33"/>
      <c r="G48" s="33"/>
      <c r="H48" s="77" t="s">
        <v>1730</v>
      </c>
      <c r="I48" s="186" t="s">
        <v>1835</v>
      </c>
      <c r="J48" s="146"/>
      <c r="K48" s="125"/>
      <c r="L48" s="6"/>
      <c r="M48" s="6"/>
      <c r="N48" s="6"/>
      <c r="O48" s="51"/>
      <c r="P48" s="51"/>
      <c r="Q48" s="51"/>
      <c r="R48" s="60"/>
      <c r="S48" s="51"/>
      <c r="T48" s="51"/>
      <c r="U48" s="51"/>
      <c r="V48" s="60"/>
      <c r="W48" s="38"/>
      <c r="X48" s="11"/>
      <c r="Y48" s="17"/>
      <c r="Z48" s="17"/>
      <c r="AA48" s="70"/>
      <c r="AB48" s="70"/>
      <c r="AC48" s="70"/>
      <c r="AD48" s="43"/>
      <c r="AE48" s="38"/>
      <c r="AF48" s="11"/>
      <c r="AG48" s="6"/>
      <c r="AH48" s="6"/>
      <c r="AI48" s="6"/>
      <c r="AJ48" s="43"/>
      <c r="AK48" s="38"/>
      <c r="AL48" s="11"/>
      <c r="AM48" s="6"/>
      <c r="AN48" s="6"/>
      <c r="AO48" s="6"/>
      <c r="AP48" s="43"/>
    </row>
    <row r="49" spans="1:42">
      <c r="A49" s="37">
        <v>47</v>
      </c>
      <c r="B49" s="154"/>
      <c r="C49" s="235" t="s">
        <v>1979</v>
      </c>
      <c r="D49" s="33"/>
      <c r="E49" s="33"/>
      <c r="F49" s="33"/>
      <c r="G49" s="33"/>
      <c r="H49" s="77" t="s">
        <v>2105</v>
      </c>
      <c r="I49" s="186" t="s">
        <v>1026</v>
      </c>
      <c r="J49" s="146"/>
      <c r="K49" s="125"/>
      <c r="L49" s="6"/>
      <c r="M49" s="6"/>
      <c r="N49" s="6"/>
      <c r="O49" s="51"/>
      <c r="P49" s="51"/>
      <c r="Q49" s="51"/>
      <c r="R49" s="60"/>
      <c r="S49" s="51"/>
      <c r="T49" s="51"/>
      <c r="U49" s="51"/>
      <c r="V49" s="60"/>
      <c r="W49" s="38"/>
      <c r="X49" s="11"/>
      <c r="Y49" s="17"/>
      <c r="Z49" s="17"/>
      <c r="AA49" s="70"/>
      <c r="AB49" s="70"/>
      <c r="AC49" s="70"/>
      <c r="AD49" s="43"/>
      <c r="AE49" s="38"/>
      <c r="AF49" s="11"/>
      <c r="AG49" s="6"/>
      <c r="AH49" s="6"/>
      <c r="AI49" s="6"/>
      <c r="AJ49" s="43"/>
      <c r="AK49" s="38"/>
      <c r="AL49" s="11"/>
      <c r="AM49" s="6"/>
      <c r="AN49" s="6"/>
      <c r="AO49" s="6"/>
      <c r="AP49" s="43"/>
    </row>
    <row r="50" spans="1:42">
      <c r="A50" s="37">
        <v>48</v>
      </c>
      <c r="B50" s="154"/>
      <c r="C50" s="235" t="s">
        <v>912</v>
      </c>
      <c r="D50" s="33"/>
      <c r="E50" s="33"/>
      <c r="F50" s="33"/>
      <c r="G50" s="33"/>
      <c r="H50" s="77" t="s">
        <v>1973</v>
      </c>
      <c r="I50" s="186" t="s">
        <v>1026</v>
      </c>
      <c r="J50" s="146" t="s">
        <v>2273</v>
      </c>
      <c r="K50" s="125"/>
      <c r="L50" s="6"/>
      <c r="M50" s="6"/>
      <c r="N50" s="6"/>
      <c r="O50" s="51"/>
      <c r="P50" s="51"/>
      <c r="Q50" s="51"/>
      <c r="R50" s="60"/>
      <c r="S50" s="51"/>
      <c r="T50" s="51"/>
      <c r="U50" s="51"/>
      <c r="V50" s="60"/>
      <c r="W50" s="38"/>
      <c r="X50" s="11"/>
      <c r="Y50" s="17"/>
      <c r="Z50" s="17"/>
      <c r="AA50" s="70"/>
      <c r="AB50" s="70"/>
      <c r="AC50" s="70"/>
      <c r="AD50" s="43"/>
      <c r="AE50" s="38"/>
      <c r="AF50" s="11"/>
      <c r="AG50" s="6"/>
      <c r="AH50" s="6"/>
      <c r="AI50" s="6"/>
      <c r="AJ50" s="43"/>
      <c r="AK50" s="38"/>
      <c r="AL50" s="11"/>
      <c r="AM50" s="6"/>
      <c r="AN50" s="6"/>
      <c r="AO50" s="6"/>
      <c r="AP50" s="43"/>
    </row>
    <row r="51" spans="1:42" ht="27">
      <c r="A51" s="37">
        <v>49</v>
      </c>
      <c r="B51" s="154"/>
      <c r="C51" s="235" t="s">
        <v>1173</v>
      </c>
      <c r="D51" s="33"/>
      <c r="E51" s="33"/>
      <c r="F51" s="33"/>
      <c r="G51" s="33"/>
      <c r="H51" s="77" t="s">
        <v>1312</v>
      </c>
      <c r="I51" s="186" t="s">
        <v>1017</v>
      </c>
      <c r="J51" s="146" t="s">
        <v>749</v>
      </c>
      <c r="K51" s="35"/>
      <c r="L51" s="17">
        <v>12870</v>
      </c>
      <c r="M51" s="17">
        <v>643.5</v>
      </c>
      <c r="N51" s="17">
        <v>13513.5</v>
      </c>
      <c r="O51" s="51">
        <f>E51</f>
        <v>0</v>
      </c>
      <c r="P51" s="51">
        <v>200</v>
      </c>
      <c r="Q51" s="51">
        <v>300</v>
      </c>
      <c r="R51" s="60" t="s">
        <v>91</v>
      </c>
      <c r="S51" s="51"/>
      <c r="T51" s="53"/>
      <c r="U51" s="53"/>
      <c r="V51" s="60"/>
      <c r="W51" s="38">
        <v>193090</v>
      </c>
      <c r="X51" s="11" t="str">
        <f>IFERROR(INDEX([1]Sheet1!$A$2:$X$1948,MATCH($W$2:$W$258,[1]Sheet1!$G$2:$G$1948,0),8),"")</f>
        <v>냉동감자(절단_3~4cm 1Kg/EA)</v>
      </c>
      <c r="Y51" s="17">
        <v>1000</v>
      </c>
      <c r="Z51" s="17"/>
      <c r="AA51" s="70">
        <v>23</v>
      </c>
      <c r="AB51" s="70" t="e">
        <f>P51*AD51</f>
        <v>#DIV/0!</v>
      </c>
      <c r="AC51" s="70" t="e">
        <f>Q51*AD51</f>
        <v>#DIV/0!</v>
      </c>
      <c r="AD51" s="43" t="e">
        <f>AA51/E51</f>
        <v>#DIV/0!</v>
      </c>
      <c r="AE51" s="38">
        <v>410401</v>
      </c>
      <c r="AF51" s="11" t="str">
        <f>IFERROR(INDEX([1]Sheet1!$A$2:$X$1948,MATCH($AE$2:$AE$258,[1]Sheet1!$G$2:$G$1948,0),8),"")</f>
        <v>체리부로 닭다리살(무항생_100±10g/덩어리_껍질있음 KG)</v>
      </c>
      <c r="AG51" s="6">
        <v>9</v>
      </c>
      <c r="AH51" s="6" t="e">
        <f>P51*AJ51</f>
        <v>#DIV/0!</v>
      </c>
      <c r="AI51" s="6" t="e">
        <f>Q51*AJ51</f>
        <v>#DIV/0!</v>
      </c>
      <c r="AJ51" s="43" t="e">
        <f>AG51/$E51</f>
        <v>#DIV/0!</v>
      </c>
      <c r="AK51" s="38"/>
      <c r="AL51" s="11">
        <f>IFERROR(INDEX([1]Sheet1!$A$2:$X$1948,MATCH($AK$2:$AK$258,[1]Sheet1!$G$2:$G$1948,0),8),"")</f>
        <v>0</v>
      </c>
      <c r="AM51" s="6"/>
      <c r="AN51" s="6" t="e">
        <f>P51*AP51</f>
        <v>#DIV/0!</v>
      </c>
      <c r="AO51" s="6" t="e">
        <f>Q51*AP51</f>
        <v>#DIV/0!</v>
      </c>
      <c r="AP51" s="43" t="e">
        <f>AM51/$E51</f>
        <v>#DIV/0!</v>
      </c>
    </row>
    <row r="52" spans="1:42">
      <c r="A52" s="37">
        <v>50</v>
      </c>
      <c r="B52" s="154"/>
      <c r="C52" s="235" t="s">
        <v>1676</v>
      </c>
      <c r="D52" s="33"/>
      <c r="E52" s="33"/>
      <c r="F52" s="33"/>
      <c r="G52" s="33"/>
      <c r="H52" s="77" t="s">
        <v>1920</v>
      </c>
      <c r="I52" s="186" t="s">
        <v>977</v>
      </c>
      <c r="J52" s="146" t="s">
        <v>2090</v>
      </c>
      <c r="K52" s="35"/>
      <c r="L52" s="17"/>
      <c r="M52" s="17"/>
      <c r="N52" s="17"/>
      <c r="O52" s="51">
        <f>E52</f>
        <v>0</v>
      </c>
      <c r="P52" s="51"/>
      <c r="Q52" s="51"/>
      <c r="R52" s="60" t="s">
        <v>91</v>
      </c>
      <c r="S52" s="51"/>
      <c r="T52" s="53"/>
      <c r="U52" s="53"/>
      <c r="V52" s="60"/>
      <c r="W52" s="38">
        <v>223307</v>
      </c>
      <c r="X52" s="11" t="str">
        <f>IFERROR(INDEX([1]Sheet1!$A$2:$X$1948,MATCH($W$2:$W$258,[1]Sheet1!$G$2:$G$1948,0),8),"")</f>
        <v>냉동얼갈이(IQF 1Kg/EA)</v>
      </c>
      <c r="Y52" s="17">
        <v>1000</v>
      </c>
      <c r="Z52" s="17"/>
      <c r="AA52" s="70">
        <v>26</v>
      </c>
      <c r="AB52" s="70" t="e">
        <f>P52*AD52</f>
        <v>#DIV/0!</v>
      </c>
      <c r="AC52" s="70" t="e">
        <f>Q52*AD52</f>
        <v>#DIV/0!</v>
      </c>
      <c r="AD52" s="43" t="e">
        <f>AA52/E52</f>
        <v>#DIV/0!</v>
      </c>
      <c r="AE52" s="38"/>
      <c r="AF52" s="11">
        <f>IFERROR(INDEX([1]Sheet1!$A$2:$X$1948,MATCH($AE$2:$AE$258,[1]Sheet1!$G$2:$G$1948,0),8),"")</f>
        <v>0</v>
      </c>
      <c r="AG52" s="6"/>
      <c r="AH52" s="6" t="e">
        <f>P52*AJ52</f>
        <v>#DIV/0!</v>
      </c>
      <c r="AI52" s="6" t="e">
        <f>Q52*AJ52</f>
        <v>#DIV/0!</v>
      </c>
      <c r="AJ52" s="43" t="e">
        <f>AG52/$E52</f>
        <v>#DIV/0!</v>
      </c>
      <c r="AK52" s="38"/>
      <c r="AL52" s="11">
        <f>IFERROR(INDEX([1]Sheet1!$A$2:$X$1948,MATCH($AK$2:$AK$258,[1]Sheet1!$G$2:$G$1948,0),8),"")</f>
        <v>0</v>
      </c>
      <c r="AM52" s="6"/>
      <c r="AN52" s="6" t="e">
        <f>P52*AP52</f>
        <v>#DIV/0!</v>
      </c>
      <c r="AO52" s="6" t="e">
        <f>Q52*AP52</f>
        <v>#DIV/0!</v>
      </c>
      <c r="AP52" s="43" t="e">
        <f>AM52/$E52</f>
        <v>#DIV/0!</v>
      </c>
    </row>
    <row r="53" spans="1:42">
      <c r="A53" s="37">
        <v>51</v>
      </c>
      <c r="B53" s="154"/>
      <c r="C53" s="235" t="s">
        <v>1384</v>
      </c>
      <c r="D53" s="33"/>
      <c r="E53" s="33"/>
      <c r="F53" s="33"/>
      <c r="G53" s="33"/>
      <c r="H53" s="77" t="s">
        <v>1385</v>
      </c>
      <c r="I53" s="186" t="s">
        <v>1380</v>
      </c>
      <c r="J53" s="146" t="s">
        <v>2079</v>
      </c>
      <c r="K53" s="35"/>
      <c r="L53" s="17"/>
      <c r="M53" s="17"/>
      <c r="N53" s="17"/>
      <c r="O53" s="51"/>
      <c r="P53" s="51"/>
      <c r="Q53" s="51"/>
      <c r="R53" s="60"/>
      <c r="S53" s="51"/>
      <c r="T53" s="51"/>
      <c r="U53" s="51"/>
      <c r="V53" s="60"/>
      <c r="W53" s="38"/>
      <c r="X53" s="11"/>
      <c r="Y53" s="17"/>
      <c r="Z53" s="17"/>
      <c r="AA53" s="70"/>
      <c r="AB53" s="70"/>
      <c r="AC53" s="70"/>
      <c r="AD53" s="43"/>
      <c r="AE53" s="38"/>
      <c r="AF53" s="11"/>
      <c r="AG53" s="6"/>
      <c r="AH53" s="6"/>
      <c r="AI53" s="6"/>
      <c r="AJ53" s="43"/>
      <c r="AK53" s="38"/>
      <c r="AL53" s="11"/>
      <c r="AM53" s="6"/>
      <c r="AN53" s="6"/>
      <c r="AO53" s="6"/>
      <c r="AP53" s="43"/>
    </row>
    <row r="54" spans="1:42">
      <c r="A54" s="37">
        <v>52</v>
      </c>
      <c r="B54" s="154"/>
      <c r="C54" s="235" t="s">
        <v>1143</v>
      </c>
      <c r="D54" s="33"/>
      <c r="E54" s="33"/>
      <c r="F54" s="33"/>
      <c r="G54" s="33"/>
      <c r="H54" s="77" t="s">
        <v>2083</v>
      </c>
      <c r="I54" s="186" t="s">
        <v>977</v>
      </c>
      <c r="J54" s="146" t="s">
        <v>2090</v>
      </c>
      <c r="K54" s="125"/>
      <c r="L54" s="6"/>
      <c r="M54" s="6"/>
      <c r="N54" s="6"/>
      <c r="O54" s="51"/>
      <c r="P54" s="51"/>
      <c r="Q54" s="51"/>
      <c r="R54" s="60"/>
      <c r="S54" s="51"/>
      <c r="T54" s="51"/>
      <c r="U54" s="51"/>
      <c r="V54" s="60"/>
      <c r="W54" s="38"/>
      <c r="X54" s="11"/>
      <c r="Y54" s="17"/>
      <c r="Z54" s="17"/>
      <c r="AA54" s="70"/>
      <c r="AB54" s="70"/>
      <c r="AC54" s="70"/>
      <c r="AD54" s="43"/>
      <c r="AE54" s="38"/>
      <c r="AF54" s="11"/>
      <c r="AG54" s="6"/>
      <c r="AH54" s="6"/>
      <c r="AI54" s="6"/>
      <c r="AJ54" s="43"/>
      <c r="AK54" s="38"/>
      <c r="AL54" s="11"/>
      <c r="AM54" s="6"/>
      <c r="AN54" s="6"/>
      <c r="AO54" s="6"/>
      <c r="AP54" s="43"/>
    </row>
    <row r="55" spans="1:42">
      <c r="A55" s="37">
        <v>53</v>
      </c>
      <c r="B55" s="154"/>
      <c r="C55" s="235" t="s">
        <v>1201</v>
      </c>
      <c r="D55" s="33"/>
      <c r="E55" s="33"/>
      <c r="F55" s="33"/>
      <c r="G55" s="33"/>
      <c r="H55" s="77" t="s">
        <v>1546</v>
      </c>
      <c r="I55" s="186" t="s">
        <v>1035</v>
      </c>
      <c r="J55" s="146"/>
      <c r="K55" s="125"/>
      <c r="L55" s="6"/>
      <c r="M55" s="6"/>
      <c r="N55" s="6"/>
      <c r="O55" s="51"/>
      <c r="P55" s="51"/>
      <c r="Q55" s="51"/>
      <c r="R55" s="60"/>
      <c r="S55" s="51"/>
      <c r="T55" s="51"/>
      <c r="U55" s="51"/>
      <c r="V55" s="60"/>
      <c r="W55" s="38"/>
      <c r="X55" s="11"/>
      <c r="Y55" s="17"/>
      <c r="Z55" s="17"/>
      <c r="AA55" s="70"/>
      <c r="AB55" s="70"/>
      <c r="AC55" s="70"/>
      <c r="AD55" s="43"/>
      <c r="AE55" s="38"/>
      <c r="AF55" s="11"/>
      <c r="AG55" s="6"/>
      <c r="AH55" s="6"/>
      <c r="AI55" s="6"/>
      <c r="AJ55" s="43"/>
      <c r="AK55" s="38"/>
      <c r="AL55" s="11"/>
      <c r="AM55" s="6"/>
      <c r="AN55" s="6"/>
      <c r="AO55" s="6"/>
      <c r="AP55" s="43"/>
    </row>
    <row r="56" spans="1:42">
      <c r="A56" s="37">
        <v>54</v>
      </c>
      <c r="B56" s="154"/>
      <c r="C56" s="235" t="s">
        <v>1203</v>
      </c>
      <c r="D56" s="33"/>
      <c r="E56" s="33"/>
      <c r="F56" s="33"/>
      <c r="G56" s="33"/>
      <c r="H56" s="77" t="s">
        <v>1284</v>
      </c>
      <c r="I56" s="186" t="s">
        <v>1204</v>
      </c>
      <c r="J56" s="146"/>
      <c r="K56" s="125"/>
      <c r="L56" s="6"/>
      <c r="M56" s="6"/>
      <c r="N56" s="6"/>
      <c r="O56" s="51"/>
      <c r="P56" s="51"/>
      <c r="Q56" s="51"/>
      <c r="R56" s="60"/>
      <c r="S56" s="51"/>
      <c r="T56" s="51"/>
      <c r="U56" s="51"/>
      <c r="V56" s="60"/>
      <c r="W56" s="38"/>
      <c r="X56" s="11"/>
      <c r="Y56" s="17"/>
      <c r="Z56" s="17"/>
      <c r="AA56" s="70"/>
      <c r="AB56" s="70"/>
      <c r="AC56" s="70"/>
      <c r="AD56" s="43"/>
      <c r="AE56" s="38"/>
      <c r="AF56" s="11"/>
      <c r="AG56" s="6"/>
      <c r="AH56" s="6"/>
      <c r="AI56" s="6"/>
      <c r="AJ56" s="43"/>
      <c r="AK56" s="38"/>
      <c r="AL56" s="11"/>
      <c r="AM56" s="6"/>
      <c r="AN56" s="6"/>
      <c r="AO56" s="6"/>
      <c r="AP56" s="43"/>
    </row>
    <row r="57" spans="1:42" ht="20.100000000000001" customHeight="1">
      <c r="A57" s="37">
        <v>55</v>
      </c>
      <c r="B57" s="154"/>
      <c r="C57" s="235" t="s">
        <v>1549</v>
      </c>
      <c r="D57" s="33"/>
      <c r="E57" s="33"/>
      <c r="F57" s="33"/>
      <c r="G57" s="33"/>
      <c r="H57" s="140" t="s">
        <v>1429</v>
      </c>
      <c r="I57" s="189" t="s">
        <v>1039</v>
      </c>
      <c r="J57" s="146" t="s">
        <v>2121</v>
      </c>
      <c r="K57" s="125"/>
      <c r="L57" s="6"/>
      <c r="M57" s="6"/>
      <c r="N57" s="6"/>
      <c r="O57" s="51"/>
      <c r="P57" s="51"/>
      <c r="Q57" s="51"/>
      <c r="R57" s="60"/>
      <c r="S57" s="51"/>
      <c r="T57" s="51"/>
      <c r="U57" s="51"/>
      <c r="V57" s="60"/>
      <c r="W57" s="38"/>
      <c r="X57" s="11"/>
      <c r="Y57" s="17"/>
      <c r="Z57" s="17"/>
      <c r="AA57" s="70"/>
      <c r="AB57" s="70"/>
      <c r="AC57" s="70"/>
      <c r="AD57" s="43"/>
      <c r="AE57" s="38"/>
      <c r="AF57" s="11"/>
      <c r="AG57" s="6"/>
      <c r="AH57" s="6"/>
      <c r="AI57" s="6"/>
      <c r="AJ57" s="43"/>
      <c r="AK57" s="38"/>
      <c r="AL57" s="11"/>
      <c r="AM57" s="6"/>
      <c r="AN57" s="6"/>
      <c r="AO57" s="6"/>
      <c r="AP57" s="43"/>
    </row>
    <row r="58" spans="1:42" ht="20.100000000000001" customHeight="1">
      <c r="A58" s="37">
        <v>56</v>
      </c>
      <c r="B58" s="154"/>
      <c r="C58" s="235" t="s">
        <v>1553</v>
      </c>
      <c r="D58" s="33"/>
      <c r="E58" s="33"/>
      <c r="F58" s="33"/>
      <c r="G58" s="33"/>
      <c r="H58" s="140" t="s">
        <v>1554</v>
      </c>
      <c r="I58" s="189" t="s">
        <v>1555</v>
      </c>
      <c r="J58" s="146" t="s">
        <v>1556</v>
      </c>
      <c r="K58" s="125"/>
      <c r="L58" s="6"/>
      <c r="M58" s="6"/>
      <c r="N58" s="6"/>
      <c r="O58" s="51"/>
      <c r="P58" s="51"/>
      <c r="Q58" s="51"/>
      <c r="R58" s="60"/>
      <c r="S58" s="51"/>
      <c r="T58" s="51"/>
      <c r="U58" s="51"/>
      <c r="V58" s="60"/>
      <c r="W58" s="38"/>
      <c r="X58" s="11"/>
      <c r="Y58" s="17"/>
      <c r="Z58" s="17"/>
      <c r="AA58" s="70"/>
      <c r="AB58" s="70"/>
      <c r="AC58" s="70"/>
      <c r="AD58" s="43"/>
      <c r="AE58" s="38"/>
      <c r="AF58" s="11"/>
      <c r="AG58" s="6"/>
      <c r="AH58" s="6"/>
      <c r="AI58" s="6"/>
      <c r="AJ58" s="43"/>
      <c r="AK58" s="38"/>
      <c r="AL58" s="11"/>
      <c r="AM58" s="6"/>
      <c r="AN58" s="6"/>
      <c r="AO58" s="6"/>
      <c r="AP58" s="43"/>
    </row>
    <row r="59" spans="1:42" ht="27">
      <c r="A59" s="37">
        <v>57</v>
      </c>
      <c r="B59" s="154"/>
      <c r="C59" s="235" t="s">
        <v>740</v>
      </c>
      <c r="D59" s="33"/>
      <c r="E59" s="33"/>
      <c r="F59" s="33"/>
      <c r="G59" s="33"/>
      <c r="H59" s="141" t="s">
        <v>1547</v>
      </c>
      <c r="I59" s="190" t="s">
        <v>1013</v>
      </c>
      <c r="J59" s="146" t="s">
        <v>760</v>
      </c>
      <c r="K59" s="125"/>
      <c r="L59" s="6">
        <v>42080</v>
      </c>
      <c r="M59" s="6">
        <v>2104</v>
      </c>
      <c r="N59" s="6">
        <v>44184</v>
      </c>
      <c r="O59" s="51">
        <f>E59</f>
        <v>0</v>
      </c>
      <c r="P59" s="51">
        <f>D59</f>
        <v>0</v>
      </c>
      <c r="Q59" s="51">
        <f>D59</f>
        <v>0</v>
      </c>
      <c r="R59" s="60" t="s">
        <v>91</v>
      </c>
      <c r="S59" s="51">
        <f>E59</f>
        <v>0</v>
      </c>
      <c r="T59" s="51">
        <f>D59</f>
        <v>0</v>
      </c>
      <c r="U59" s="51">
        <f>D59</f>
        <v>0</v>
      </c>
      <c r="V59" s="60"/>
      <c r="W59" s="38">
        <v>204418</v>
      </c>
      <c r="X59" s="11" t="str">
        <f>IFERROR(INDEX([1]Sheet1!$A$2:$X$1948,MATCH($W$2:$W$258,[1]Sheet1!$G$2:$G$1948,0),8),"")</f>
        <v>무우(특품 9~12개입 18Kg/BOX)</v>
      </c>
      <c r="Y59" s="17">
        <v>18000</v>
      </c>
      <c r="Z59" s="17"/>
      <c r="AA59" s="70">
        <v>32</v>
      </c>
      <c r="AB59" s="70" t="e">
        <f>T59*AD59</f>
        <v>#DIV/0!</v>
      </c>
      <c r="AC59" s="70" t="e">
        <f>U59*AD59</f>
        <v>#DIV/0!</v>
      </c>
      <c r="AD59" s="43" t="e">
        <f>AA59/E59</f>
        <v>#DIV/0!</v>
      </c>
      <c r="AE59" s="38">
        <v>313064</v>
      </c>
      <c r="AF59" s="11" t="str">
        <f>IFERROR(INDEX([1]Sheet1!$A$2:$X$1948,MATCH($AE$2:$AE$258,[1]Sheet1!$G$2:$G$1948,0),8),"")</f>
        <v>아이누리 오징어몸채(500g/EA)</v>
      </c>
      <c r="AG59" s="6">
        <v>20</v>
      </c>
      <c r="AH59" s="6" t="e">
        <f>P59*AJ59</f>
        <v>#DIV/0!</v>
      </c>
      <c r="AI59" s="6" t="e">
        <f>Q59*AJ59</f>
        <v>#DIV/0!</v>
      </c>
      <c r="AJ59" s="43" t="e">
        <f>AG59/$E59</f>
        <v>#DIV/0!</v>
      </c>
      <c r="AK59" s="38"/>
      <c r="AL59" s="11">
        <f>IFERROR(INDEX([1]Sheet1!$A$2:$X$1948,MATCH($AK$2:$AK$258,[1]Sheet1!$G$2:$G$1948,0),8),"")</f>
        <v>0</v>
      </c>
      <c r="AM59" s="6"/>
      <c r="AN59" s="6"/>
      <c r="AO59" s="6"/>
      <c r="AP59" s="43"/>
    </row>
    <row r="60" spans="1:42" ht="27">
      <c r="A60" s="37">
        <v>58</v>
      </c>
      <c r="B60" s="154"/>
      <c r="C60" s="235" t="s">
        <v>1824</v>
      </c>
      <c r="D60" s="33"/>
      <c r="E60" s="33"/>
      <c r="F60" s="33"/>
      <c r="G60" s="33"/>
      <c r="H60" s="141" t="s">
        <v>1825</v>
      </c>
      <c r="I60" s="190" t="s">
        <v>1013</v>
      </c>
      <c r="J60" s="146" t="s">
        <v>760</v>
      </c>
      <c r="K60" s="125"/>
      <c r="L60" s="6"/>
      <c r="M60" s="6"/>
      <c r="N60" s="6"/>
      <c r="O60" s="51"/>
      <c r="P60" s="51"/>
      <c r="Q60" s="51"/>
      <c r="R60" s="60"/>
      <c r="S60" s="51"/>
      <c r="T60" s="51"/>
      <c r="U60" s="51"/>
      <c r="V60" s="60"/>
      <c r="W60" s="38"/>
      <c r="X60" s="11"/>
      <c r="Y60" s="17"/>
      <c r="Z60" s="17"/>
      <c r="AA60" s="70"/>
      <c r="AB60" s="70"/>
      <c r="AC60" s="70"/>
      <c r="AD60" s="43"/>
      <c r="AE60" s="38"/>
      <c r="AF60" s="11"/>
      <c r="AG60" s="6"/>
      <c r="AH60" s="6"/>
      <c r="AI60" s="6"/>
      <c r="AJ60" s="43"/>
      <c r="AK60" s="38"/>
      <c r="AL60" s="11"/>
      <c r="AM60" s="6"/>
      <c r="AN60" s="6"/>
      <c r="AO60" s="6"/>
      <c r="AP60" s="43"/>
    </row>
    <row r="61" spans="1:42">
      <c r="A61" s="37">
        <v>59</v>
      </c>
      <c r="B61" s="154"/>
      <c r="C61" s="235" t="s">
        <v>2082</v>
      </c>
      <c r="D61" s="33"/>
      <c r="E61" s="33"/>
      <c r="F61" s="33"/>
      <c r="G61" s="33"/>
      <c r="H61" s="77" t="s">
        <v>1313</v>
      </c>
      <c r="I61" s="186" t="s">
        <v>977</v>
      </c>
      <c r="J61" s="146"/>
      <c r="K61" s="125"/>
      <c r="L61" s="6"/>
      <c r="M61" s="6"/>
      <c r="N61" s="6"/>
      <c r="O61" s="51"/>
      <c r="P61" s="51"/>
      <c r="Q61" s="51"/>
      <c r="R61" s="60"/>
      <c r="S61" s="51"/>
      <c r="T61" s="51"/>
      <c r="U61" s="51"/>
      <c r="V61" s="60"/>
      <c r="W61" s="38"/>
      <c r="X61" s="11"/>
      <c r="Y61" s="17"/>
      <c r="Z61" s="17"/>
      <c r="AA61" s="70"/>
      <c r="AB61" s="70"/>
      <c r="AC61" s="70"/>
      <c r="AD61" s="43"/>
      <c r="AE61" s="38"/>
      <c r="AF61" s="11"/>
      <c r="AG61" s="6"/>
      <c r="AH61" s="6"/>
      <c r="AI61" s="6"/>
      <c r="AJ61" s="43"/>
      <c r="AK61" s="38"/>
      <c r="AL61" s="11"/>
      <c r="AM61" s="6"/>
      <c r="AN61" s="6"/>
      <c r="AO61" s="6"/>
      <c r="AP61" s="43"/>
    </row>
    <row r="62" spans="1:42">
      <c r="A62" s="37">
        <v>60</v>
      </c>
      <c r="B62" s="154"/>
      <c r="C62" s="235" t="s">
        <v>1225</v>
      </c>
      <c r="D62" s="33"/>
      <c r="E62" s="33"/>
      <c r="F62" s="33"/>
      <c r="G62" s="33"/>
      <c r="H62" s="141" t="s">
        <v>1307</v>
      </c>
      <c r="I62" s="190" t="s">
        <v>977</v>
      </c>
      <c r="J62" s="146" t="s">
        <v>796</v>
      </c>
      <c r="K62" s="35"/>
      <c r="L62" s="17"/>
      <c r="M62" s="17"/>
      <c r="N62" s="17"/>
      <c r="O62" s="51"/>
      <c r="P62" s="51"/>
      <c r="Q62" s="51"/>
      <c r="R62" s="60"/>
      <c r="S62" s="51"/>
      <c r="T62" s="51"/>
      <c r="U62" s="51"/>
      <c r="V62" s="60"/>
      <c r="W62" s="38"/>
      <c r="X62" s="11"/>
      <c r="Y62" s="17"/>
      <c r="Z62" s="17"/>
      <c r="AA62" s="70"/>
      <c r="AB62" s="70"/>
      <c r="AC62" s="70"/>
      <c r="AD62" s="43"/>
      <c r="AE62" s="38"/>
      <c r="AF62" s="11"/>
      <c r="AG62" s="6"/>
      <c r="AH62" s="6"/>
      <c r="AI62" s="6"/>
      <c r="AJ62" s="43"/>
      <c r="AK62" s="38"/>
      <c r="AL62" s="11"/>
      <c r="AM62" s="6"/>
      <c r="AN62" s="6"/>
      <c r="AO62" s="6"/>
      <c r="AP62" s="43"/>
    </row>
    <row r="63" spans="1:42">
      <c r="A63" s="37">
        <v>61</v>
      </c>
      <c r="B63" s="154"/>
      <c r="C63" s="235" t="s">
        <v>1477</v>
      </c>
      <c r="D63" s="33"/>
      <c r="E63" s="33"/>
      <c r="F63" s="33"/>
      <c r="G63" s="33"/>
      <c r="H63" s="77" t="s">
        <v>1328</v>
      </c>
      <c r="I63" s="186" t="s">
        <v>977</v>
      </c>
      <c r="J63" s="146"/>
      <c r="K63" s="125"/>
      <c r="L63" s="6"/>
      <c r="M63" s="6"/>
      <c r="N63" s="6"/>
      <c r="O63" s="51">
        <f>E63</f>
        <v>0</v>
      </c>
      <c r="P63" s="51">
        <f>D63</f>
        <v>0</v>
      </c>
      <c r="Q63" s="51">
        <f>D63</f>
        <v>0</v>
      </c>
      <c r="R63" s="60" t="s">
        <v>91</v>
      </c>
      <c r="S63" s="51">
        <f>E63</f>
        <v>0</v>
      </c>
      <c r="T63" s="51">
        <f>D63</f>
        <v>0</v>
      </c>
      <c r="U63" s="51">
        <f>D63</f>
        <v>0</v>
      </c>
      <c r="V63" s="60"/>
      <c r="W63" s="38">
        <v>105902</v>
      </c>
      <c r="X63" s="11" t="str">
        <f>IFERROR(INDEX([1]Sheet1!$A$2:$X$1948,MATCH($W$2:$W$258,[1]Sheet1!$G$2:$G$1948,0),8),"")</f>
        <v>아와세 아까미소(일식용 1Kg/EA)</v>
      </c>
      <c r="Y63" s="17">
        <v>1000</v>
      </c>
      <c r="Z63" s="17"/>
      <c r="AA63" s="70">
        <v>15</v>
      </c>
      <c r="AB63" s="70" t="e">
        <f>T63*AD63</f>
        <v>#DIV/0!</v>
      </c>
      <c r="AC63" s="70" t="e">
        <f>U63*AD63</f>
        <v>#DIV/0!</v>
      </c>
      <c r="AD63" s="43" t="e">
        <f>AA63/E63</f>
        <v>#DIV/0!</v>
      </c>
      <c r="AE63" s="38">
        <v>318643</v>
      </c>
      <c r="AF63" s="11" t="str">
        <f>IFERROR(INDEX([1]Sheet1!$A$2:$X$1948,MATCH($AE$2:$AE$258,[1]Sheet1!$G$2:$G$1948,0),8),"")</f>
        <v>아이누리 자른건미역(상품 200g/EA)</v>
      </c>
      <c r="AG63" s="6">
        <v>3</v>
      </c>
      <c r="AH63" s="6" t="e">
        <f>P63*AJ63</f>
        <v>#DIV/0!</v>
      </c>
      <c r="AI63" s="6" t="e">
        <f>Q63*AJ63</f>
        <v>#DIV/0!</v>
      </c>
      <c r="AJ63" s="43" t="e">
        <f>AG63/$E63</f>
        <v>#DIV/0!</v>
      </c>
      <c r="AK63" s="38">
        <v>266412</v>
      </c>
      <c r="AL63" s="11" t="str">
        <f>IFERROR(INDEX([1]Sheet1!$A$2:$X$1948,MATCH($AK$2:$AK$258,[1]Sheet1!$G$2:$G$1948,0),8),"")</f>
        <v>한미식품 유부(슬라이스 1Kg/EA)</v>
      </c>
      <c r="AM63" s="6"/>
      <c r="AN63" s="6"/>
      <c r="AO63" s="6"/>
      <c r="AP63" s="43"/>
    </row>
    <row r="64" spans="1:42" ht="20.100000000000001" customHeight="1">
      <c r="A64" s="37">
        <v>62</v>
      </c>
      <c r="B64" s="154"/>
      <c r="C64" s="235" t="s">
        <v>919</v>
      </c>
      <c r="D64" s="33"/>
      <c r="E64" s="33"/>
      <c r="F64" s="33"/>
      <c r="G64" s="33"/>
      <c r="H64" s="77" t="s">
        <v>1301</v>
      </c>
      <c r="I64" s="186" t="s">
        <v>1030</v>
      </c>
      <c r="J64" s="146"/>
      <c r="K64" s="125"/>
      <c r="L64" s="6"/>
      <c r="M64" s="6"/>
      <c r="N64" s="6"/>
      <c r="O64" s="51"/>
      <c r="P64" s="51"/>
      <c r="Q64" s="51"/>
      <c r="R64" s="60"/>
      <c r="S64" s="51"/>
      <c r="T64" s="51"/>
      <c r="U64" s="51"/>
      <c r="V64" s="60"/>
      <c r="W64" s="38"/>
      <c r="X64" s="11"/>
      <c r="Y64" s="17"/>
      <c r="Z64" s="17"/>
      <c r="AA64" s="70"/>
      <c r="AB64" s="70"/>
      <c r="AC64" s="70"/>
      <c r="AD64" s="43"/>
      <c r="AE64" s="38"/>
      <c r="AF64" s="11"/>
      <c r="AG64" s="6"/>
      <c r="AH64" s="6"/>
      <c r="AI64" s="6"/>
      <c r="AJ64" s="43"/>
      <c r="AK64" s="38"/>
      <c r="AL64" s="11"/>
      <c r="AM64" s="6"/>
      <c r="AN64" s="6"/>
      <c r="AO64" s="6"/>
      <c r="AP64" s="43"/>
    </row>
    <row r="65" spans="1:42">
      <c r="A65" s="37">
        <v>63</v>
      </c>
      <c r="B65" s="154"/>
      <c r="C65" s="152" t="s">
        <v>1124</v>
      </c>
      <c r="D65" s="33"/>
      <c r="E65" s="33"/>
      <c r="F65" s="33"/>
      <c r="G65" s="33"/>
      <c r="H65" s="77" t="s">
        <v>1304</v>
      </c>
      <c r="I65" s="186" t="s">
        <v>977</v>
      </c>
      <c r="J65" s="146"/>
      <c r="K65" s="35"/>
      <c r="L65" s="17"/>
      <c r="M65" s="17"/>
      <c r="N65" s="17"/>
      <c r="O65" s="51">
        <f>E65</f>
        <v>0</v>
      </c>
      <c r="P65" s="51">
        <f>D65</f>
        <v>0</v>
      </c>
      <c r="Q65" s="51">
        <f>D65</f>
        <v>0</v>
      </c>
      <c r="R65" s="60" t="s">
        <v>91</v>
      </c>
      <c r="S65" s="51">
        <f>E65</f>
        <v>0</v>
      </c>
      <c r="T65" s="51">
        <f>D65</f>
        <v>0</v>
      </c>
      <c r="U65" s="51">
        <f>D65</f>
        <v>0</v>
      </c>
      <c r="V65" s="60"/>
      <c r="W65" s="38">
        <v>219387</v>
      </c>
      <c r="X65" s="11" t="str">
        <f>IFERROR(INDEX([1]Sheet1!$A$2:$X$1948,MATCH($W$2:$W$258,[1]Sheet1!$G$2:$G$1948,0),8),"")</f>
        <v>냉동배추우거지(1Kg/EA)</v>
      </c>
      <c r="Y65" s="17">
        <v>1000</v>
      </c>
      <c r="Z65" s="17"/>
      <c r="AA65" s="70">
        <v>26</v>
      </c>
      <c r="AB65" s="70" t="e">
        <f>T65*AD65</f>
        <v>#DIV/0!</v>
      </c>
      <c r="AC65" s="70" t="e">
        <f>U65*AD65</f>
        <v>#DIV/0!</v>
      </c>
      <c r="AD65" s="43" t="e">
        <f>AA65/E65</f>
        <v>#DIV/0!</v>
      </c>
      <c r="AE65" s="38">
        <v>168257</v>
      </c>
      <c r="AF65" s="11" t="str">
        <f>IFERROR(INDEX([1]Sheet1!$A$2:$X$1948,MATCH($AE$2:$AE$258,[1]Sheet1!$G$2:$G$1948,0),8),"")</f>
        <v>명품 판두부(찌개용 3Kg/EA)</v>
      </c>
      <c r="AG65" s="6">
        <v>17</v>
      </c>
      <c r="AH65" s="6" t="e">
        <f>P65*AJ65</f>
        <v>#DIV/0!</v>
      </c>
      <c r="AI65" s="6" t="e">
        <f>Q65*AJ65</f>
        <v>#DIV/0!</v>
      </c>
      <c r="AJ65" s="43" t="e">
        <f>AG65/$E65</f>
        <v>#DIV/0!</v>
      </c>
      <c r="AK65" s="38"/>
      <c r="AL65" s="11">
        <f>IFERROR(INDEX([1]Sheet1!$A$2:$X$1948,MATCH($AK$2:$AK$258,[1]Sheet1!$G$2:$G$1948,0),8),"")</f>
        <v>0</v>
      </c>
      <c r="AM65" s="6"/>
      <c r="AN65" s="6"/>
      <c r="AO65" s="6"/>
      <c r="AP65" s="43"/>
    </row>
    <row r="66" spans="1:42">
      <c r="A66" s="37">
        <v>64</v>
      </c>
      <c r="B66" s="154"/>
      <c r="C66" s="152" t="s">
        <v>1690</v>
      </c>
      <c r="D66" s="33"/>
      <c r="E66" s="33"/>
      <c r="F66" s="33"/>
      <c r="G66" s="33"/>
      <c r="H66" s="77" t="s">
        <v>2028</v>
      </c>
      <c r="I66" s="186" t="s">
        <v>1039</v>
      </c>
      <c r="J66" s="146"/>
      <c r="K66" s="35"/>
      <c r="L66" s="17"/>
      <c r="M66" s="17"/>
      <c r="N66" s="17"/>
      <c r="O66" s="51">
        <f>E66</f>
        <v>0</v>
      </c>
      <c r="P66" s="51">
        <f>D66</f>
        <v>0</v>
      </c>
      <c r="Q66" s="51">
        <f>D66</f>
        <v>0</v>
      </c>
      <c r="R66" s="60" t="s">
        <v>91</v>
      </c>
      <c r="S66" s="51">
        <f>E66</f>
        <v>0</v>
      </c>
      <c r="T66" s="51">
        <f>D66</f>
        <v>0</v>
      </c>
      <c r="U66" s="51">
        <f>D66</f>
        <v>0</v>
      </c>
      <c r="V66" s="60"/>
      <c r="W66" s="38">
        <v>318643</v>
      </c>
      <c r="X66" s="11" t="str">
        <f>IFERROR(INDEX([1]Sheet1!$A$2:$X$1948,MATCH($W$2:$W$258,[1]Sheet1!$G$2:$G$1948,0),8),"")</f>
        <v>아이누리 자른건미역(상품 200g/EA)</v>
      </c>
      <c r="Y66" s="17">
        <v>200</v>
      </c>
      <c r="Z66" s="17"/>
      <c r="AA66" s="70">
        <v>3</v>
      </c>
      <c r="AB66" s="70" t="e">
        <f>T66*AD66</f>
        <v>#DIV/0!</v>
      </c>
      <c r="AC66" s="70" t="e">
        <f>U66*AD66</f>
        <v>#DIV/0!</v>
      </c>
      <c r="AD66" s="43" t="e">
        <f>AA66/E66</f>
        <v>#DIV/0!</v>
      </c>
      <c r="AE66" s="38">
        <v>424285</v>
      </c>
      <c r="AF66" s="11" t="str">
        <f>IFERROR(INDEX([1]Sheet1!$A$2:$X$1948,MATCH($AE$2:$AE$258,[1]Sheet1!$G$2:$G$1948,0),8),"")</f>
        <v>소양지(3*2*0.3cm_저지방 키즈용_국거리용 KG)</v>
      </c>
      <c r="AG66" s="6">
        <v>10</v>
      </c>
      <c r="AH66" s="6" t="e">
        <f>P66*AJ66</f>
        <v>#DIV/0!</v>
      </c>
      <c r="AI66" s="6" t="e">
        <f>Q66*AJ66</f>
        <v>#DIV/0!</v>
      </c>
      <c r="AJ66" s="43" t="e">
        <f>AG66/$E66</f>
        <v>#DIV/0!</v>
      </c>
      <c r="AK66" s="38"/>
      <c r="AL66" s="11">
        <f>IFERROR(INDEX([1]Sheet1!$A$2:$X$1948,MATCH($AK$2:$AK$258,[1]Sheet1!$G$2:$G$1948,0),8),"")</f>
        <v>0</v>
      </c>
      <c r="AM66" s="6"/>
      <c r="AN66" s="6"/>
      <c r="AO66" s="6"/>
      <c r="AP66" s="43"/>
    </row>
    <row r="67" spans="1:42">
      <c r="A67" s="37"/>
      <c r="B67" s="154"/>
      <c r="C67" s="152" t="s">
        <v>2026</v>
      </c>
      <c r="D67" s="33"/>
      <c r="E67" s="33"/>
      <c r="F67" s="33"/>
      <c r="G67" s="33"/>
      <c r="H67" s="77" t="s">
        <v>2027</v>
      </c>
      <c r="I67" s="186" t="s">
        <v>1399</v>
      </c>
      <c r="J67" s="146" t="s">
        <v>2121</v>
      </c>
      <c r="K67" s="35"/>
      <c r="L67" s="17"/>
      <c r="M67" s="17"/>
      <c r="N67" s="17"/>
      <c r="O67" s="51"/>
      <c r="P67" s="51"/>
      <c r="Q67" s="51"/>
      <c r="R67" s="60"/>
      <c r="S67" s="51"/>
      <c r="T67" s="51"/>
      <c r="U67" s="51"/>
      <c r="V67" s="60"/>
      <c r="W67" s="38"/>
      <c r="X67" s="11"/>
      <c r="Y67" s="17"/>
      <c r="Z67" s="17"/>
      <c r="AA67" s="70"/>
      <c r="AB67" s="70"/>
      <c r="AC67" s="70"/>
      <c r="AD67" s="43"/>
      <c r="AE67" s="38"/>
      <c r="AF67" s="11"/>
      <c r="AG67" s="6"/>
      <c r="AH67" s="6"/>
      <c r="AI67" s="6"/>
      <c r="AJ67" s="43"/>
      <c r="AK67" s="38"/>
      <c r="AL67" s="11"/>
      <c r="AM67" s="6"/>
      <c r="AN67" s="6"/>
      <c r="AO67" s="6"/>
      <c r="AP67" s="43"/>
    </row>
    <row r="68" spans="1:42">
      <c r="A68" s="37">
        <v>65</v>
      </c>
      <c r="B68" s="154"/>
      <c r="C68" s="152" t="s">
        <v>1691</v>
      </c>
      <c r="D68" s="33"/>
      <c r="E68" s="33"/>
      <c r="F68" s="33"/>
      <c r="G68" s="33"/>
      <c r="H68" s="77" t="s">
        <v>1884</v>
      </c>
      <c r="I68" s="186" t="s">
        <v>1692</v>
      </c>
      <c r="J68" s="146"/>
      <c r="K68" s="35"/>
      <c r="L68" s="17"/>
      <c r="M68" s="17"/>
      <c r="N68" s="17"/>
      <c r="O68" s="51"/>
      <c r="P68" s="51"/>
      <c r="Q68" s="51"/>
      <c r="R68" s="60"/>
      <c r="S68" s="51"/>
      <c r="T68" s="51"/>
      <c r="U68" s="51"/>
      <c r="V68" s="60"/>
      <c r="W68" s="38"/>
      <c r="X68" s="11"/>
      <c r="Y68" s="17"/>
      <c r="Z68" s="17"/>
      <c r="AA68" s="70"/>
      <c r="AB68" s="70"/>
      <c r="AC68" s="70"/>
      <c r="AD68" s="43"/>
      <c r="AE68" s="38"/>
      <c r="AF68" s="11"/>
      <c r="AG68" s="6"/>
      <c r="AH68" s="6"/>
      <c r="AI68" s="6"/>
      <c r="AJ68" s="43"/>
      <c r="AK68" s="38"/>
      <c r="AL68" s="11"/>
      <c r="AM68" s="6"/>
      <c r="AN68" s="6"/>
      <c r="AO68" s="6"/>
      <c r="AP68" s="43"/>
    </row>
    <row r="69" spans="1:42">
      <c r="A69" s="37">
        <v>66</v>
      </c>
      <c r="B69" s="154"/>
      <c r="C69" s="152" t="s">
        <v>973</v>
      </c>
      <c r="D69" s="33"/>
      <c r="E69" s="33"/>
      <c r="F69" s="33"/>
      <c r="G69" s="33"/>
      <c r="H69" s="112" t="s">
        <v>1291</v>
      </c>
      <c r="I69" s="187" t="s">
        <v>1057</v>
      </c>
      <c r="J69" s="146"/>
      <c r="K69" s="125"/>
      <c r="L69" s="6"/>
      <c r="M69" s="6"/>
      <c r="N69" s="6"/>
      <c r="O69" s="51"/>
      <c r="P69" s="51"/>
      <c r="Q69" s="51"/>
      <c r="R69" s="60"/>
      <c r="S69" s="51"/>
      <c r="T69" s="51"/>
      <c r="U69" s="51"/>
      <c r="V69" s="60"/>
      <c r="W69" s="38"/>
      <c r="X69" s="11"/>
      <c r="Y69" s="17"/>
      <c r="Z69" s="17"/>
      <c r="AA69" s="70"/>
      <c r="AB69" s="70"/>
      <c r="AC69" s="70"/>
      <c r="AD69" s="43"/>
      <c r="AE69" s="38"/>
      <c r="AF69" s="11"/>
      <c r="AG69" s="6"/>
      <c r="AH69" s="6"/>
      <c r="AI69" s="6"/>
      <c r="AJ69" s="43"/>
      <c r="AK69" s="38"/>
      <c r="AL69" s="11"/>
      <c r="AM69" s="6"/>
      <c r="AN69" s="6"/>
      <c r="AO69" s="6"/>
      <c r="AP69" s="43"/>
    </row>
    <row r="70" spans="1:42">
      <c r="A70" s="37">
        <v>67</v>
      </c>
      <c r="B70" s="154"/>
      <c r="C70" s="152" t="s">
        <v>655</v>
      </c>
      <c r="D70" s="33"/>
      <c r="E70" s="33"/>
      <c r="F70" s="33"/>
      <c r="G70" s="33"/>
      <c r="H70" s="77" t="s">
        <v>742</v>
      </c>
      <c r="I70" s="186" t="s">
        <v>984</v>
      </c>
      <c r="J70" s="146"/>
      <c r="K70" s="125"/>
      <c r="L70" s="6"/>
      <c r="M70" s="6"/>
      <c r="N70" s="6"/>
      <c r="O70" s="51"/>
      <c r="P70" s="51"/>
      <c r="Q70" s="51"/>
      <c r="R70" s="60"/>
      <c r="S70" s="51"/>
      <c r="T70" s="51"/>
      <c r="U70" s="51"/>
      <c r="V70" s="60"/>
      <c r="W70" s="38"/>
      <c r="X70" s="11"/>
      <c r="Y70" s="17"/>
      <c r="Z70" s="17"/>
      <c r="AA70" s="70"/>
      <c r="AB70" s="70"/>
      <c r="AC70" s="70"/>
      <c r="AD70" s="43"/>
      <c r="AE70" s="38"/>
      <c r="AF70" s="11"/>
      <c r="AG70" s="6"/>
      <c r="AH70" s="6"/>
      <c r="AI70" s="6"/>
      <c r="AJ70" s="43"/>
      <c r="AK70" s="38"/>
      <c r="AL70" s="11"/>
      <c r="AM70" s="6"/>
      <c r="AN70" s="6"/>
      <c r="AO70" s="6"/>
      <c r="AP70" s="43"/>
    </row>
    <row r="71" spans="1:42">
      <c r="A71" s="37">
        <v>68</v>
      </c>
      <c r="B71" s="154"/>
      <c r="C71" s="152" t="s">
        <v>632</v>
      </c>
      <c r="D71" s="33"/>
      <c r="E71" s="33"/>
      <c r="F71" s="33"/>
      <c r="G71" s="33"/>
      <c r="H71" s="77" t="s">
        <v>980</v>
      </c>
      <c r="I71" s="186" t="s">
        <v>985</v>
      </c>
      <c r="J71" s="146"/>
      <c r="K71" s="125"/>
      <c r="L71" s="6"/>
      <c r="M71" s="6"/>
      <c r="N71" s="6"/>
      <c r="O71" s="51">
        <f>E71</f>
        <v>0</v>
      </c>
      <c r="P71" s="51">
        <f>D71</f>
        <v>0</v>
      </c>
      <c r="Q71" s="51">
        <f>D71</f>
        <v>0</v>
      </c>
      <c r="R71" s="60" t="s">
        <v>91</v>
      </c>
      <c r="S71" s="51">
        <f>E71</f>
        <v>0</v>
      </c>
      <c r="T71" s="51">
        <f>D71</f>
        <v>0</v>
      </c>
      <c r="U71" s="51">
        <f>D71</f>
        <v>0</v>
      </c>
      <c r="V71" s="60"/>
      <c r="W71" s="38">
        <v>143422</v>
      </c>
      <c r="X71" s="11" t="str">
        <f>IFERROR(INDEX([1]Sheet1!$A$2:$X$1948,MATCH($W$2:$W$258,[1]Sheet1!$G$2:$G$1948,0),8),"")</f>
        <v>이츠웰 순두부(1Kg/EA)</v>
      </c>
      <c r="Y71" s="17">
        <v>1000</v>
      </c>
      <c r="Z71" s="17"/>
      <c r="AA71" s="70">
        <v>43</v>
      </c>
      <c r="AB71" s="70" t="e">
        <f>T71*AD71</f>
        <v>#DIV/0!</v>
      </c>
      <c r="AC71" s="70" t="e">
        <f>U71*AD71</f>
        <v>#DIV/0!</v>
      </c>
      <c r="AD71" s="43" t="e">
        <f>AA71/E71</f>
        <v>#DIV/0!</v>
      </c>
      <c r="AE71" s="38">
        <v>138570</v>
      </c>
      <c r="AF71" s="11" t="str">
        <f>IFERROR(INDEX([1]Sheet1!$A$2:$X$1948,MATCH($AE$2:$AE$258,[1]Sheet1!$G$2:$G$1948,0),8),"")</f>
        <v>면사랑 멸치육수(1.8L_보급형 1.8Kg/EA)</v>
      </c>
      <c r="AG71" s="6"/>
      <c r="AH71" s="6" t="e">
        <f>P71*AJ71</f>
        <v>#DIV/0!</v>
      </c>
      <c r="AI71" s="6" t="e">
        <f>Q71*AJ71</f>
        <v>#DIV/0!</v>
      </c>
      <c r="AJ71" s="43" t="e">
        <f>AG71/$E71</f>
        <v>#DIV/0!</v>
      </c>
      <c r="AK71" s="38"/>
      <c r="AL71" s="11">
        <f>IFERROR(INDEX([1]Sheet1!$A$2:$X$1948,MATCH($AK$2:$AK$258,[1]Sheet1!$G$2:$G$1948,0),8),"")</f>
        <v>0</v>
      </c>
      <c r="AM71" s="6"/>
      <c r="AN71" s="6"/>
      <c r="AO71" s="6"/>
      <c r="AP71" s="43"/>
    </row>
    <row r="72" spans="1:42">
      <c r="A72" s="37">
        <v>69</v>
      </c>
      <c r="B72" s="154"/>
      <c r="C72" s="169" t="s">
        <v>1965</v>
      </c>
      <c r="D72" s="33"/>
      <c r="E72" s="33"/>
      <c r="F72" s="33"/>
      <c r="G72" s="33"/>
      <c r="H72" s="77" t="s">
        <v>1974</v>
      </c>
      <c r="I72" s="186" t="s">
        <v>977</v>
      </c>
      <c r="J72" s="146"/>
      <c r="K72" s="125"/>
      <c r="L72" s="6">
        <v>540</v>
      </c>
      <c r="M72" s="6">
        <v>27</v>
      </c>
      <c r="N72" s="6">
        <v>567</v>
      </c>
      <c r="O72" s="6">
        <f>E72</f>
        <v>0</v>
      </c>
      <c r="P72" s="6">
        <f>D72</f>
        <v>0</v>
      </c>
      <c r="Q72" s="6">
        <f>D72</f>
        <v>0</v>
      </c>
      <c r="R72" s="35" t="s">
        <v>91</v>
      </c>
      <c r="S72" s="6">
        <f>E72</f>
        <v>0</v>
      </c>
      <c r="T72" s="6">
        <f>D72</f>
        <v>0</v>
      </c>
      <c r="U72" s="6">
        <f>D72</f>
        <v>0</v>
      </c>
      <c r="V72" s="35"/>
      <c r="W72" s="38">
        <v>318643</v>
      </c>
      <c r="X72" s="11" t="str">
        <f>IFERROR(INDEX([1]Sheet1!$A$2:$X$1948,MATCH($W$2:$W$258,[1]Sheet1!$G$2:$G$1948,0),8),"")</f>
        <v>아이누리 자른건미역(상품 200g/EA)</v>
      </c>
      <c r="Y72" s="17">
        <v>200</v>
      </c>
      <c r="Z72" s="17"/>
      <c r="AA72" s="6">
        <v>3</v>
      </c>
      <c r="AB72" s="6" t="e">
        <f>T72*AD72</f>
        <v>#DIV/0!</v>
      </c>
      <c r="AC72" s="6" t="e">
        <f>U72*AD72</f>
        <v>#DIV/0!</v>
      </c>
      <c r="AD72" s="43" t="e">
        <f>AA72/E72</f>
        <v>#DIV/0!</v>
      </c>
      <c r="AE72" s="38"/>
      <c r="AF72" s="11">
        <f>IFERROR(INDEX([1]Sheet1!$A$2:$X$1948,MATCH($AE$2:$AE$258,[1]Sheet1!$G$2:$G$1948,0),8),"")</f>
        <v>0</v>
      </c>
      <c r="AG72" s="6"/>
      <c r="AH72" s="6" t="e">
        <f>P72*AJ72</f>
        <v>#DIV/0!</v>
      </c>
      <c r="AI72" s="6" t="e">
        <f>Q72*AJ72</f>
        <v>#DIV/0!</v>
      </c>
      <c r="AJ72" s="43" t="e">
        <f>AG72/$E72</f>
        <v>#DIV/0!</v>
      </c>
      <c r="AK72" s="38"/>
      <c r="AL72" s="11">
        <f>IFERROR(INDEX([1]Sheet1!$A$2:$X$1948,MATCH($AK$2:$AK$258,[1]Sheet1!$G$2:$G$1948,0),8),"")</f>
        <v>0</v>
      </c>
      <c r="AM72" s="6"/>
      <c r="AN72" s="6"/>
      <c r="AO72" s="6"/>
      <c r="AP72" s="43"/>
    </row>
    <row r="73" spans="1:42">
      <c r="A73" s="37">
        <v>70</v>
      </c>
      <c r="B73" s="154"/>
      <c r="C73" s="152" t="s">
        <v>1719</v>
      </c>
      <c r="D73" s="33"/>
      <c r="E73" s="33"/>
      <c r="F73" s="33"/>
      <c r="G73" s="33"/>
      <c r="H73" s="77" t="s">
        <v>1720</v>
      </c>
      <c r="I73" s="186" t="s">
        <v>1836</v>
      </c>
      <c r="J73" s="146"/>
      <c r="K73" s="125"/>
      <c r="L73" s="6">
        <v>16590</v>
      </c>
      <c r="M73" s="6">
        <v>829.5</v>
      </c>
      <c r="N73" s="6">
        <v>17419.5</v>
      </c>
      <c r="O73" s="51">
        <f>E73</f>
        <v>0</v>
      </c>
      <c r="P73" s="51">
        <f>D73</f>
        <v>0</v>
      </c>
      <c r="Q73" s="51">
        <f>D73</f>
        <v>0</v>
      </c>
      <c r="R73" s="60" t="s">
        <v>91</v>
      </c>
      <c r="S73" s="51">
        <f>E73</f>
        <v>0</v>
      </c>
      <c r="T73" s="51">
        <f>D73</f>
        <v>0</v>
      </c>
      <c r="U73" s="51">
        <f>D73</f>
        <v>0</v>
      </c>
      <c r="V73" s="60"/>
      <c r="W73" s="38">
        <v>204418</v>
      </c>
      <c r="X73" s="11" t="str">
        <f>IFERROR(INDEX([1]Sheet1!$A$2:$X$1948,MATCH($W$2:$W$258,[1]Sheet1!$G$2:$G$1948,0),8),"")</f>
        <v>무우(특품 9~12개입 18Kg/BOX)</v>
      </c>
      <c r="Y73" s="17">
        <v>18000</v>
      </c>
      <c r="Z73" s="17"/>
      <c r="AA73" s="70">
        <v>28</v>
      </c>
      <c r="AB73" s="70" t="e">
        <f>T73*AD73</f>
        <v>#DIV/0!</v>
      </c>
      <c r="AC73" s="70" t="e">
        <f>U73*AD73</f>
        <v>#DIV/0!</v>
      </c>
      <c r="AD73" s="43" t="e">
        <f>AA73/E73</f>
        <v>#DIV/0!</v>
      </c>
      <c r="AE73" s="38">
        <v>424285</v>
      </c>
      <c r="AF73" s="11" t="str">
        <f>IFERROR(INDEX([1]Sheet1!$A$2:$X$1948,MATCH($AE$2:$AE$258,[1]Sheet1!$G$2:$G$1948,0),8),"")</f>
        <v>소양지(3*2*0.3cm_저지방 키즈용_국거리용 KG)</v>
      </c>
      <c r="AG73" s="6">
        <v>17</v>
      </c>
      <c r="AH73" s="6" t="e">
        <f>P73*AJ73</f>
        <v>#DIV/0!</v>
      </c>
      <c r="AI73" s="6" t="e">
        <f>Q73*AJ73</f>
        <v>#DIV/0!</v>
      </c>
      <c r="AJ73" s="43" t="e">
        <f>AG73/$E73</f>
        <v>#DIV/0!</v>
      </c>
      <c r="AK73" s="38"/>
      <c r="AL73" s="11">
        <f>IFERROR(INDEX([1]Sheet1!$A$2:$X$1948,MATCH($AK$2:$AK$258,[1]Sheet1!$G$2:$G$1948,0),8),"")</f>
        <v>0</v>
      </c>
      <c r="AM73" s="6"/>
      <c r="AN73" s="6"/>
      <c r="AO73" s="6"/>
      <c r="AP73" s="43"/>
    </row>
    <row r="74" spans="1:42">
      <c r="A74" s="37"/>
      <c r="B74" s="154"/>
      <c r="C74" s="152" t="s">
        <v>2104</v>
      </c>
      <c r="D74" s="33"/>
      <c r="E74" s="33"/>
      <c r="F74" s="33"/>
      <c r="G74" s="33"/>
      <c r="H74" s="77" t="s">
        <v>2106</v>
      </c>
      <c r="I74" s="186" t="s">
        <v>2107</v>
      </c>
      <c r="J74" s="146"/>
      <c r="K74" s="125"/>
      <c r="L74" s="6"/>
      <c r="M74" s="6"/>
      <c r="N74" s="6"/>
      <c r="O74" s="51"/>
      <c r="P74" s="51"/>
      <c r="Q74" s="51"/>
      <c r="R74" s="60"/>
      <c r="S74" s="51"/>
      <c r="T74" s="51"/>
      <c r="U74" s="51"/>
      <c r="V74" s="60"/>
      <c r="W74" s="38"/>
      <c r="X74" s="11"/>
      <c r="Y74" s="17"/>
      <c r="Z74" s="17"/>
      <c r="AA74" s="70"/>
      <c r="AB74" s="70"/>
      <c r="AC74" s="70"/>
      <c r="AD74" s="43"/>
      <c r="AE74" s="38"/>
      <c r="AF74" s="11"/>
      <c r="AG74" s="6"/>
      <c r="AH74" s="6"/>
      <c r="AI74" s="6"/>
      <c r="AJ74" s="43"/>
      <c r="AK74" s="38"/>
      <c r="AL74" s="11"/>
      <c r="AM74" s="6"/>
      <c r="AN74" s="6"/>
      <c r="AO74" s="6"/>
      <c r="AP74" s="43"/>
    </row>
    <row r="75" spans="1:42">
      <c r="A75" s="37">
        <v>71</v>
      </c>
      <c r="B75" s="154"/>
      <c r="C75" s="169" t="s">
        <v>1169</v>
      </c>
      <c r="D75" s="33"/>
      <c r="E75" s="33"/>
      <c r="F75" s="33"/>
      <c r="G75" s="33"/>
      <c r="H75" s="77" t="s">
        <v>1286</v>
      </c>
      <c r="I75" s="186" t="s">
        <v>986</v>
      </c>
      <c r="J75" s="146"/>
      <c r="K75" s="125"/>
      <c r="L75" s="6"/>
      <c r="M75" s="6"/>
      <c r="N75" s="6"/>
      <c r="O75" s="6"/>
      <c r="P75" s="6"/>
      <c r="Q75" s="6"/>
      <c r="R75" s="35"/>
      <c r="S75" s="6"/>
      <c r="T75" s="6"/>
      <c r="U75" s="6"/>
      <c r="V75" s="35"/>
      <c r="W75" s="38"/>
      <c r="X75" s="11"/>
      <c r="Y75" s="17"/>
      <c r="Z75" s="17"/>
      <c r="AA75" s="6"/>
      <c r="AB75" s="6"/>
      <c r="AC75" s="6"/>
      <c r="AD75" s="43"/>
      <c r="AE75" s="38"/>
      <c r="AF75" s="11"/>
      <c r="AG75" s="6"/>
      <c r="AH75" s="6"/>
      <c r="AI75" s="6"/>
      <c r="AJ75" s="43"/>
      <c r="AK75" s="38"/>
      <c r="AL75" s="11"/>
      <c r="AM75" s="6"/>
      <c r="AN75" s="6"/>
      <c r="AO75" s="6"/>
      <c r="AP75" s="43"/>
    </row>
    <row r="76" spans="1:42">
      <c r="A76" s="37">
        <v>72</v>
      </c>
      <c r="B76" s="154"/>
      <c r="C76" s="152" t="s">
        <v>824</v>
      </c>
      <c r="D76" s="33"/>
      <c r="E76" s="33"/>
      <c r="F76" s="33"/>
      <c r="G76" s="33"/>
      <c r="H76" s="77" t="s">
        <v>874</v>
      </c>
      <c r="I76" s="186"/>
      <c r="J76" s="146"/>
      <c r="K76" s="125"/>
      <c r="L76" s="6"/>
      <c r="M76" s="6"/>
      <c r="N76" s="6"/>
      <c r="O76" s="51"/>
      <c r="P76" s="51"/>
      <c r="Q76" s="51"/>
      <c r="R76" s="60"/>
      <c r="S76" s="51"/>
      <c r="T76" s="51"/>
      <c r="U76" s="51"/>
      <c r="V76" s="60"/>
      <c r="W76" s="38"/>
      <c r="X76" s="11"/>
      <c r="Y76" s="17"/>
      <c r="Z76" s="17"/>
      <c r="AA76" s="70"/>
      <c r="AB76" s="70"/>
      <c r="AC76" s="70"/>
      <c r="AD76" s="43"/>
      <c r="AE76" s="38"/>
      <c r="AF76" s="11"/>
      <c r="AG76" s="6"/>
      <c r="AH76" s="6"/>
      <c r="AI76" s="6"/>
      <c r="AJ76" s="43"/>
      <c r="AK76" s="38"/>
      <c r="AL76" s="11"/>
      <c r="AM76" s="6"/>
      <c r="AN76" s="6"/>
      <c r="AO76" s="6"/>
      <c r="AP76" s="43"/>
    </row>
    <row r="77" spans="1:42">
      <c r="A77" s="37">
        <v>73</v>
      </c>
      <c r="B77" s="154"/>
      <c r="C77" s="152" t="s">
        <v>618</v>
      </c>
      <c r="D77" s="33"/>
      <c r="E77" s="33"/>
      <c r="F77" s="33"/>
      <c r="G77" s="33"/>
      <c r="H77" s="77" t="s">
        <v>875</v>
      </c>
      <c r="I77" s="186" t="s">
        <v>977</v>
      </c>
      <c r="J77" s="146"/>
      <c r="K77" s="35"/>
      <c r="L77" s="17"/>
      <c r="M77" s="17"/>
      <c r="N77" s="17"/>
      <c r="O77" s="51">
        <f>E77</f>
        <v>0</v>
      </c>
      <c r="P77" s="51">
        <f>D77</f>
        <v>0</v>
      </c>
      <c r="Q77" s="51">
        <f>D77</f>
        <v>0</v>
      </c>
      <c r="R77" s="60" t="s">
        <v>91</v>
      </c>
      <c r="S77" s="51">
        <f>E77</f>
        <v>0</v>
      </c>
      <c r="T77" s="51">
        <f>D77</f>
        <v>0</v>
      </c>
      <c r="U77" s="51">
        <f>D77</f>
        <v>0</v>
      </c>
      <c r="V77" s="60"/>
      <c r="W77" s="38">
        <v>193090</v>
      </c>
      <c r="X77" s="11" t="str">
        <f>IFERROR(INDEX([1]Sheet1!$A$2:$X$1948,MATCH($W$2:$W$258,[1]Sheet1!$G$2:$G$1948,0),8),"")</f>
        <v>냉동감자(절단_3~4cm 1Kg/EA)</v>
      </c>
      <c r="Y77" s="17">
        <v>1000</v>
      </c>
      <c r="Z77" s="17"/>
      <c r="AA77" s="70">
        <v>28</v>
      </c>
      <c r="AB77" s="70" t="e">
        <f>T77*AD77</f>
        <v>#DIV/0!</v>
      </c>
      <c r="AC77" s="70" t="e">
        <f>U77*AD77</f>
        <v>#DIV/0!</v>
      </c>
      <c r="AD77" s="43" t="e">
        <f>AA77/E77</f>
        <v>#DIV/0!</v>
      </c>
      <c r="AE77" s="38">
        <v>226247</v>
      </c>
      <c r="AF77" s="11" t="str">
        <f>IFERROR(INDEX([1]Sheet1!$A$2:$X$1948,MATCH($AE$2:$AE$258,[1]Sheet1!$G$2:$G$1948,0),8),"")</f>
        <v>냉동표고버섯(1.5*1.5cm다이스 1Kg/EA)</v>
      </c>
      <c r="AG77" s="6"/>
      <c r="AH77" s="6" t="e">
        <f>P77*AJ77</f>
        <v>#DIV/0!</v>
      </c>
      <c r="AI77" s="6" t="e">
        <f>Q77*AJ77</f>
        <v>#DIV/0!</v>
      </c>
      <c r="AJ77" s="43" t="e">
        <f>AG77/$E77</f>
        <v>#DIV/0!</v>
      </c>
      <c r="AK77" s="38">
        <v>420010</v>
      </c>
      <c r="AL77" s="11" t="str">
        <f>IFERROR(INDEX([1]Sheet1!$A$2:$X$1948,MATCH($AK$2:$AK$258,[1]Sheet1!$G$2:$G$1948,0),8),"")</f>
        <v>알로팜 계란(왕란_무항생제_68g*30입 2.04Kg/EA)</v>
      </c>
      <c r="AM77" s="6"/>
      <c r="AN77" s="6"/>
      <c r="AO77" s="6"/>
      <c r="AP77" s="43"/>
    </row>
    <row r="78" spans="1:42">
      <c r="A78" s="37">
        <v>74</v>
      </c>
      <c r="B78" s="154"/>
      <c r="C78" s="152" t="s">
        <v>1611</v>
      </c>
      <c r="D78" s="33"/>
      <c r="E78" s="33"/>
      <c r="F78" s="33"/>
      <c r="G78" s="33"/>
      <c r="H78" s="77" t="s">
        <v>1290</v>
      </c>
      <c r="I78" s="186" t="s">
        <v>1035</v>
      </c>
      <c r="J78" s="146"/>
      <c r="K78" s="125"/>
      <c r="L78" s="6"/>
      <c r="M78" s="6"/>
      <c r="N78" s="6"/>
      <c r="O78" s="51"/>
      <c r="P78" s="51"/>
      <c r="Q78" s="51"/>
      <c r="R78" s="60"/>
      <c r="S78" s="51"/>
      <c r="T78" s="51"/>
      <c r="U78" s="51"/>
      <c r="V78" s="60"/>
      <c r="W78" s="38"/>
      <c r="X78" s="11"/>
      <c r="Y78" s="17"/>
      <c r="Z78" s="17"/>
      <c r="AA78" s="70"/>
      <c r="AB78" s="70"/>
      <c r="AC78" s="70"/>
      <c r="AD78" s="43"/>
      <c r="AE78" s="38"/>
      <c r="AF78" s="11"/>
      <c r="AG78" s="6"/>
      <c r="AH78" s="6"/>
      <c r="AI78" s="6"/>
      <c r="AJ78" s="43"/>
      <c r="AK78" s="38"/>
      <c r="AL78" s="11"/>
      <c r="AM78" s="6"/>
      <c r="AN78" s="6"/>
      <c r="AO78" s="6"/>
      <c r="AP78" s="43"/>
    </row>
    <row r="79" spans="1:42">
      <c r="A79" s="37">
        <v>75</v>
      </c>
      <c r="B79" s="154"/>
      <c r="C79" s="152" t="s">
        <v>1708</v>
      </c>
      <c r="D79" s="33"/>
      <c r="E79" s="33"/>
      <c r="F79" s="33"/>
      <c r="G79" s="33"/>
      <c r="H79" s="140" t="s">
        <v>1709</v>
      </c>
      <c r="I79" s="189" t="s">
        <v>1710</v>
      </c>
      <c r="J79" s="146"/>
      <c r="K79" s="125"/>
      <c r="L79" s="6"/>
      <c r="M79" s="6"/>
      <c r="N79" s="6"/>
      <c r="O79" s="51"/>
      <c r="P79" s="51"/>
      <c r="Q79" s="51"/>
      <c r="R79" s="60"/>
      <c r="S79" s="51"/>
      <c r="T79" s="51"/>
      <c r="U79" s="51"/>
      <c r="V79" s="60"/>
      <c r="W79" s="38"/>
      <c r="X79" s="11"/>
      <c r="Y79" s="17"/>
      <c r="Z79" s="17"/>
      <c r="AA79" s="70"/>
      <c r="AB79" s="70"/>
      <c r="AC79" s="70"/>
      <c r="AD79" s="43"/>
      <c r="AE79" s="38"/>
      <c r="AF79" s="11"/>
      <c r="AG79" s="6"/>
      <c r="AH79" s="6"/>
      <c r="AI79" s="6"/>
      <c r="AJ79" s="43"/>
      <c r="AK79" s="38"/>
      <c r="AL79" s="11"/>
      <c r="AM79" s="6"/>
      <c r="AN79" s="6"/>
      <c r="AO79" s="6"/>
      <c r="AP79" s="43"/>
    </row>
    <row r="80" spans="1:42">
      <c r="A80" s="37">
        <v>76</v>
      </c>
      <c r="B80" s="154"/>
      <c r="C80" s="152" t="s">
        <v>1674</v>
      </c>
      <c r="D80" s="33"/>
      <c r="E80" s="33"/>
      <c r="F80" s="33"/>
      <c r="G80" s="33"/>
      <c r="H80" s="77" t="s">
        <v>1675</v>
      </c>
      <c r="I80" s="186" t="s">
        <v>1035</v>
      </c>
      <c r="J80" s="146"/>
      <c r="K80" s="125"/>
      <c r="L80" s="6"/>
      <c r="M80" s="6"/>
      <c r="N80" s="6"/>
      <c r="O80" s="51"/>
      <c r="P80" s="51"/>
      <c r="Q80" s="51"/>
      <c r="R80" s="60"/>
      <c r="S80" s="51"/>
      <c r="T80" s="51"/>
      <c r="U80" s="51"/>
      <c r="V80" s="60"/>
      <c r="W80" s="38"/>
      <c r="X80" s="11"/>
      <c r="Y80" s="17"/>
      <c r="Z80" s="17"/>
      <c r="AA80" s="70"/>
      <c r="AB80" s="70"/>
      <c r="AC80" s="70"/>
      <c r="AD80" s="43"/>
      <c r="AE80" s="38"/>
      <c r="AF80" s="11"/>
      <c r="AG80" s="6"/>
      <c r="AH80" s="6"/>
      <c r="AI80" s="6"/>
      <c r="AJ80" s="43"/>
      <c r="AK80" s="38"/>
      <c r="AL80" s="11"/>
      <c r="AM80" s="6"/>
      <c r="AN80" s="6"/>
      <c r="AO80" s="6"/>
      <c r="AP80" s="43"/>
    </row>
    <row r="81" spans="1:42">
      <c r="A81" s="37">
        <v>77</v>
      </c>
      <c r="B81" s="154"/>
      <c r="C81" s="152" t="s">
        <v>1318</v>
      </c>
      <c r="D81" s="33"/>
      <c r="E81" s="33"/>
      <c r="F81" s="33"/>
      <c r="G81" s="33"/>
      <c r="H81" s="77" t="s">
        <v>1317</v>
      </c>
      <c r="I81" s="186" t="s">
        <v>977</v>
      </c>
      <c r="J81" s="146"/>
      <c r="K81" s="125"/>
      <c r="L81" s="6"/>
      <c r="M81" s="6"/>
      <c r="N81" s="6"/>
      <c r="O81" s="51"/>
      <c r="P81" s="51"/>
      <c r="Q81" s="51"/>
      <c r="R81" s="60"/>
      <c r="S81" s="51"/>
      <c r="T81" s="51"/>
      <c r="U81" s="51"/>
      <c r="V81" s="60"/>
      <c r="W81" s="38"/>
      <c r="X81" s="11"/>
      <c r="Y81" s="17"/>
      <c r="Z81" s="17"/>
      <c r="AA81" s="70"/>
      <c r="AB81" s="70"/>
      <c r="AC81" s="70"/>
      <c r="AD81" s="43"/>
      <c r="AE81" s="38"/>
      <c r="AF81" s="11"/>
      <c r="AG81" s="6"/>
      <c r="AH81" s="6"/>
      <c r="AI81" s="6"/>
      <c r="AJ81" s="43"/>
      <c r="AK81" s="38"/>
      <c r="AL81" s="11"/>
      <c r="AM81" s="6"/>
      <c r="AN81" s="6"/>
      <c r="AO81" s="6"/>
      <c r="AP81" s="43"/>
    </row>
    <row r="82" spans="1:42">
      <c r="A82" s="37">
        <v>78</v>
      </c>
      <c r="B82" s="154"/>
      <c r="C82" s="152" t="s">
        <v>1603</v>
      </c>
      <c r="D82" s="33"/>
      <c r="E82" s="33"/>
      <c r="F82" s="33"/>
      <c r="G82" s="33"/>
      <c r="H82" s="77" t="s">
        <v>1604</v>
      </c>
      <c r="I82" s="186" t="s">
        <v>977</v>
      </c>
      <c r="J82" s="146"/>
      <c r="K82" s="125"/>
      <c r="L82" s="6"/>
      <c r="M82" s="6"/>
      <c r="N82" s="6"/>
      <c r="O82" s="51"/>
      <c r="P82" s="51"/>
      <c r="Q82" s="51"/>
      <c r="R82" s="60"/>
      <c r="S82" s="51"/>
      <c r="T82" s="51"/>
      <c r="U82" s="51"/>
      <c r="V82" s="60"/>
      <c r="W82" s="38"/>
      <c r="X82" s="11"/>
      <c r="Y82" s="17"/>
      <c r="Z82" s="17"/>
      <c r="AA82" s="70"/>
      <c r="AB82" s="70"/>
      <c r="AC82" s="70"/>
      <c r="AD82" s="43"/>
      <c r="AE82" s="38"/>
      <c r="AF82" s="11"/>
      <c r="AG82" s="6"/>
      <c r="AH82" s="6"/>
      <c r="AI82" s="6"/>
      <c r="AJ82" s="43"/>
      <c r="AK82" s="38"/>
      <c r="AL82" s="11"/>
      <c r="AM82" s="6"/>
      <c r="AN82" s="6"/>
      <c r="AO82" s="6"/>
      <c r="AP82" s="43"/>
    </row>
    <row r="83" spans="1:42" ht="27">
      <c r="A83" s="37">
        <v>79</v>
      </c>
      <c r="B83" s="154"/>
      <c r="C83" s="152" t="s">
        <v>1755</v>
      </c>
      <c r="D83" s="33"/>
      <c r="E83" s="33"/>
      <c r="F83" s="33"/>
      <c r="G83" s="33"/>
      <c r="H83" s="77" t="s">
        <v>1756</v>
      </c>
      <c r="I83" s="186" t="s">
        <v>1040</v>
      </c>
      <c r="J83" s="146" t="s">
        <v>749</v>
      </c>
      <c r="K83" s="125"/>
      <c r="L83" s="6"/>
      <c r="M83" s="6"/>
      <c r="N83" s="6"/>
      <c r="O83" s="51"/>
      <c r="P83" s="51"/>
      <c r="Q83" s="51"/>
      <c r="R83" s="60"/>
      <c r="S83" s="51"/>
      <c r="T83" s="51"/>
      <c r="U83" s="51"/>
      <c r="V83" s="60"/>
      <c r="W83" s="38"/>
      <c r="X83" s="11"/>
      <c r="Y83" s="17"/>
      <c r="Z83" s="17"/>
      <c r="AA83" s="70"/>
      <c r="AB83" s="70"/>
      <c r="AC83" s="70"/>
      <c r="AD83" s="43"/>
      <c r="AE83" s="38"/>
      <c r="AF83" s="11"/>
      <c r="AG83" s="6"/>
      <c r="AH83" s="6"/>
      <c r="AI83" s="6"/>
      <c r="AJ83" s="43"/>
      <c r="AK83" s="38"/>
      <c r="AL83" s="11"/>
      <c r="AM83" s="6"/>
      <c r="AN83" s="6"/>
      <c r="AO83" s="6"/>
      <c r="AP83" s="43"/>
    </row>
    <row r="84" spans="1:42">
      <c r="A84" s="37">
        <v>80</v>
      </c>
      <c r="B84" s="154"/>
      <c r="C84" s="152" t="s">
        <v>961</v>
      </c>
      <c r="D84" s="33"/>
      <c r="E84" s="33"/>
      <c r="F84" s="33"/>
      <c r="G84" s="33"/>
      <c r="H84" s="77" t="s">
        <v>962</v>
      </c>
      <c r="I84" s="186" t="s">
        <v>1040</v>
      </c>
      <c r="J84" s="146" t="s">
        <v>749</v>
      </c>
      <c r="K84" s="125"/>
      <c r="L84" s="6">
        <v>480</v>
      </c>
      <c r="M84" s="6">
        <v>24</v>
      </c>
      <c r="N84" s="6">
        <v>504</v>
      </c>
      <c r="O84" s="51">
        <f>E84</f>
        <v>0</v>
      </c>
      <c r="P84" s="51">
        <f>D84</f>
        <v>0</v>
      </c>
      <c r="Q84" s="51">
        <f>D84</f>
        <v>0</v>
      </c>
      <c r="R84" s="60" t="s">
        <v>91</v>
      </c>
      <c r="S84" s="51">
        <f>E84</f>
        <v>0</v>
      </c>
      <c r="T84" s="51">
        <f>D84</f>
        <v>0</v>
      </c>
      <c r="U84" s="51">
        <f>D84</f>
        <v>0</v>
      </c>
      <c r="V84" s="60"/>
      <c r="W84" s="38">
        <v>221871</v>
      </c>
      <c r="X84" s="11" t="str">
        <f>IFERROR(INDEX([1]Sheet1!$A$2:$X$1948,MATCH($W$2:$W$258,[1]Sheet1!$G$2:$G$1948,0),8),"")</f>
        <v>냉동시금치(IQF 1Kg/EA)</v>
      </c>
      <c r="Y84" s="17">
        <v>1000</v>
      </c>
      <c r="Z84" s="17"/>
      <c r="AA84" s="70">
        <v>21</v>
      </c>
      <c r="AB84" s="70" t="e">
        <f>T84*AD84</f>
        <v>#DIV/0!</v>
      </c>
      <c r="AC84" s="70" t="e">
        <f>U84*AD84</f>
        <v>#DIV/0!</v>
      </c>
      <c r="AD84" s="43" t="e">
        <f>AA84/E84</f>
        <v>#DIV/0!</v>
      </c>
      <c r="AE84" s="38">
        <v>168384</v>
      </c>
      <c r="AF84" s="11" t="str">
        <f>IFERROR(INDEX([1]Sheet1!$A$2:$X$1948,MATCH($AE$2:$AE$258,[1]Sheet1!$G$2:$G$1948,0),8),"")</f>
        <v>사조대림 사각어묵(알뜰 1Kg/EA)</v>
      </c>
      <c r="AG84" s="6">
        <v>17</v>
      </c>
      <c r="AH84" s="6" t="e">
        <f>P84*AJ84</f>
        <v>#DIV/0!</v>
      </c>
      <c r="AI84" s="6" t="e">
        <f>Q84*AJ84</f>
        <v>#DIV/0!</v>
      </c>
      <c r="AJ84" s="43" t="e">
        <f>AG84/$E84</f>
        <v>#DIV/0!</v>
      </c>
      <c r="AK84" s="38"/>
      <c r="AL84" s="11">
        <f>IFERROR(INDEX([1]Sheet1!$A$2:$X$1948,MATCH($AK$2:$AK$258,[1]Sheet1!$G$2:$G$1948,0),8),"")</f>
        <v>0</v>
      </c>
      <c r="AM84" s="6"/>
      <c r="AN84" s="6"/>
      <c r="AO84" s="6"/>
      <c r="AP84" s="43"/>
    </row>
    <row r="85" spans="1:42">
      <c r="A85" s="37">
        <v>81</v>
      </c>
      <c r="B85" s="154"/>
      <c r="C85" s="152" t="s">
        <v>1849</v>
      </c>
      <c r="D85" s="33"/>
      <c r="E85" s="33"/>
      <c r="F85" s="33"/>
      <c r="G85" s="33"/>
      <c r="H85" s="77" t="s">
        <v>1850</v>
      </c>
      <c r="I85" s="186" t="s">
        <v>977</v>
      </c>
      <c r="J85" s="146" t="s">
        <v>1293</v>
      </c>
      <c r="K85" s="35"/>
      <c r="L85" s="17">
        <v>25650</v>
      </c>
      <c r="M85" s="17">
        <v>1282.5</v>
      </c>
      <c r="N85" s="17">
        <v>26932.5</v>
      </c>
      <c r="O85" s="51">
        <f>E85</f>
        <v>0</v>
      </c>
      <c r="P85" s="51">
        <f>D85</f>
        <v>0</v>
      </c>
      <c r="Q85" s="51">
        <f>D85</f>
        <v>0</v>
      </c>
      <c r="R85" s="60" t="s">
        <v>91</v>
      </c>
      <c r="S85" s="51">
        <f>E85</f>
        <v>0</v>
      </c>
      <c r="T85" s="51">
        <f>D85</f>
        <v>0</v>
      </c>
      <c r="U85" s="51">
        <f>D85</f>
        <v>0</v>
      </c>
      <c r="V85" s="60"/>
      <c r="W85" s="38">
        <v>211696</v>
      </c>
      <c r="X85" s="11" t="str">
        <f>IFERROR(INDEX([1]Sheet1!$A$2:$X$1948,MATCH($W$2:$W$258,[1]Sheet1!$G$2:$G$1948,0),8),"")</f>
        <v>건시래기(데친것 KG)</v>
      </c>
      <c r="Y85" s="17">
        <v>1000</v>
      </c>
      <c r="Z85" s="17"/>
      <c r="AA85" s="70">
        <v>24</v>
      </c>
      <c r="AB85" s="70" t="e">
        <f>T85*AD85</f>
        <v>#DIV/0!</v>
      </c>
      <c r="AC85" s="70" t="e">
        <f>U85*AD85</f>
        <v>#DIV/0!</v>
      </c>
      <c r="AD85" s="43" t="e">
        <f>AA85/E85</f>
        <v>#DIV/0!</v>
      </c>
      <c r="AE85" s="38">
        <v>313570</v>
      </c>
      <c r="AF85" s="11" t="str">
        <f>IFERROR(INDEX([1]Sheet1!$A$2:$X$1948,MATCH($AE$2:$AE$258,[1]Sheet1!$G$2:$G$1948,0),8),"")</f>
        <v>프레시웨이 북어채(1Kg/EA)</v>
      </c>
      <c r="AG85" s="6">
        <v>8</v>
      </c>
      <c r="AH85" s="6" t="e">
        <f>P85*AJ85</f>
        <v>#DIV/0!</v>
      </c>
      <c r="AI85" s="6" t="e">
        <f>Q85*AJ85</f>
        <v>#DIV/0!</v>
      </c>
      <c r="AJ85" s="43" t="e">
        <f>AG85/$E85</f>
        <v>#DIV/0!</v>
      </c>
      <c r="AK85" s="38"/>
      <c r="AL85" s="11">
        <f>IFERROR(INDEX([1]Sheet1!$A$2:$X$1948,MATCH($AK$2:$AK$258,[1]Sheet1!$G$2:$G$1948,0),8),"")</f>
        <v>0</v>
      </c>
      <c r="AM85" s="6"/>
      <c r="AN85" s="6"/>
      <c r="AO85" s="6"/>
      <c r="AP85" s="43"/>
    </row>
    <row r="86" spans="1:42">
      <c r="A86" s="37">
        <v>82</v>
      </c>
      <c r="B86" s="154"/>
      <c r="C86" s="152" t="s">
        <v>1706</v>
      </c>
      <c r="D86" s="33"/>
      <c r="E86" s="33"/>
      <c r="F86" s="33"/>
      <c r="G86" s="33"/>
      <c r="H86" s="77" t="s">
        <v>1707</v>
      </c>
      <c r="I86" s="186" t="s">
        <v>1689</v>
      </c>
      <c r="J86" s="146"/>
      <c r="K86" s="125"/>
      <c r="L86" s="6"/>
      <c r="M86" s="6"/>
      <c r="N86" s="6"/>
      <c r="O86" s="51">
        <f>E86</f>
        <v>0</v>
      </c>
      <c r="P86" s="51">
        <f>D86</f>
        <v>0</v>
      </c>
      <c r="Q86" s="51">
        <f>D86</f>
        <v>0</v>
      </c>
      <c r="R86" s="60" t="s">
        <v>91</v>
      </c>
      <c r="S86" s="51">
        <f>E86</f>
        <v>0</v>
      </c>
      <c r="T86" s="51">
        <f>D86</f>
        <v>0</v>
      </c>
      <c r="U86" s="51">
        <f>D86</f>
        <v>0</v>
      </c>
      <c r="V86" s="60"/>
      <c r="W86" s="38">
        <v>221871</v>
      </c>
      <c r="X86" s="11" t="str">
        <f>IFERROR(INDEX([1]Sheet1!$A$2:$X$1948,MATCH($W$2:$W$258,[1]Sheet1!$G$2:$G$1948,0),8),"")</f>
        <v>냉동시금치(IQF 1Kg/EA)</v>
      </c>
      <c r="Y86" s="17">
        <v>1000</v>
      </c>
      <c r="Z86" s="17"/>
      <c r="AA86" s="70">
        <v>42</v>
      </c>
      <c r="AB86" s="70" t="e">
        <f>T86*AD86</f>
        <v>#DIV/0!</v>
      </c>
      <c r="AC86" s="70" t="e">
        <f>U86*AD86</f>
        <v>#DIV/0!</v>
      </c>
      <c r="AD86" s="43" t="e">
        <f>AA86/E86</f>
        <v>#DIV/0!</v>
      </c>
      <c r="AE86" s="38">
        <v>105943</v>
      </c>
      <c r="AF86" s="11" t="str">
        <f>IFERROR(INDEX([1]Sheet1!$A$2:$X$1948,MATCH($AE$2:$AE$258,[1]Sheet1!$G$2:$G$1948,0),8),"")</f>
        <v>대상 재래된장(지함_재래식숙성 14Kg/EA)</v>
      </c>
      <c r="AG86" s="6"/>
      <c r="AH86" s="6" t="e">
        <f>P86*AJ86</f>
        <v>#DIV/0!</v>
      </c>
      <c r="AI86" s="6" t="e">
        <f>Q86*AJ86</f>
        <v>#DIV/0!</v>
      </c>
      <c r="AJ86" s="43" t="e">
        <f>AG86/$E86</f>
        <v>#DIV/0!</v>
      </c>
      <c r="AK86" s="38"/>
      <c r="AL86" s="11">
        <f>IFERROR(INDEX([1]Sheet1!$A$2:$X$1948,MATCH($AK$2:$AK$258,[1]Sheet1!$G$2:$G$1948,0),8),"")</f>
        <v>0</v>
      </c>
      <c r="AM86" s="6"/>
      <c r="AN86" s="6"/>
      <c r="AO86" s="6"/>
      <c r="AP86" s="43"/>
    </row>
    <row r="87" spans="1:42">
      <c r="A87" s="37">
        <v>83</v>
      </c>
      <c r="B87" s="154"/>
      <c r="C87" s="152" t="s">
        <v>1880</v>
      </c>
      <c r="D87" s="33"/>
      <c r="E87" s="33"/>
      <c r="F87" s="33"/>
      <c r="G87" s="33"/>
      <c r="H87" s="77" t="s">
        <v>1901</v>
      </c>
      <c r="I87" s="186" t="s">
        <v>1688</v>
      </c>
      <c r="J87" s="270" t="s">
        <v>1902</v>
      </c>
      <c r="K87" s="125"/>
      <c r="L87" s="6"/>
      <c r="M87" s="6"/>
      <c r="N87" s="6"/>
      <c r="O87" s="51"/>
      <c r="P87" s="51"/>
      <c r="Q87" s="51"/>
      <c r="R87" s="60"/>
      <c r="S87" s="51"/>
      <c r="T87" s="51"/>
      <c r="U87" s="51"/>
      <c r="V87" s="60"/>
      <c r="W87" s="38"/>
      <c r="X87" s="11"/>
      <c r="Y87" s="17"/>
      <c r="Z87" s="17"/>
      <c r="AA87" s="70"/>
      <c r="AB87" s="70"/>
      <c r="AC87" s="70"/>
      <c r="AD87" s="43"/>
      <c r="AE87" s="38"/>
      <c r="AF87" s="11"/>
      <c r="AG87" s="6"/>
      <c r="AH87" s="6"/>
      <c r="AI87" s="6"/>
      <c r="AJ87" s="43"/>
      <c r="AK87" s="38"/>
      <c r="AL87" s="11"/>
      <c r="AM87" s="6"/>
      <c r="AN87" s="6"/>
      <c r="AO87" s="6"/>
      <c r="AP87" s="43"/>
    </row>
    <row r="88" spans="1:42">
      <c r="A88" s="37">
        <v>84</v>
      </c>
      <c r="B88" s="154"/>
      <c r="C88" s="152" t="s">
        <v>625</v>
      </c>
      <c r="D88" s="33"/>
      <c r="E88" s="33"/>
      <c r="F88" s="33"/>
      <c r="G88" s="33"/>
      <c r="H88" s="77" t="s">
        <v>1212</v>
      </c>
      <c r="I88" s="186" t="s">
        <v>977</v>
      </c>
      <c r="J88" s="146"/>
      <c r="K88" s="125"/>
      <c r="L88" s="6"/>
      <c r="M88" s="6"/>
      <c r="N88" s="6"/>
      <c r="O88" s="51"/>
      <c r="P88" s="51"/>
      <c r="Q88" s="51"/>
      <c r="R88" s="60"/>
      <c r="S88" s="51"/>
      <c r="T88" s="51"/>
      <c r="U88" s="51"/>
      <c r="V88" s="60"/>
      <c r="W88" s="38"/>
      <c r="X88" s="11"/>
      <c r="Y88" s="17"/>
      <c r="Z88" s="17"/>
      <c r="AA88" s="70"/>
      <c r="AB88" s="70"/>
      <c r="AC88" s="70"/>
      <c r="AD88" s="43"/>
      <c r="AE88" s="38"/>
      <c r="AF88" s="11"/>
      <c r="AG88" s="6"/>
      <c r="AH88" s="6"/>
      <c r="AI88" s="6"/>
      <c r="AJ88" s="43"/>
      <c r="AK88" s="38"/>
      <c r="AL88" s="11"/>
      <c r="AM88" s="6"/>
      <c r="AN88" s="6"/>
      <c r="AO88" s="6"/>
      <c r="AP88" s="43"/>
    </row>
    <row r="89" spans="1:42">
      <c r="A89" s="37">
        <v>85</v>
      </c>
      <c r="B89" s="154"/>
      <c r="C89" s="152" t="s">
        <v>643</v>
      </c>
      <c r="D89" s="33"/>
      <c r="E89" s="33"/>
      <c r="F89" s="33"/>
      <c r="G89" s="33"/>
      <c r="H89" s="145" t="s">
        <v>683</v>
      </c>
      <c r="I89" s="186" t="s">
        <v>1040</v>
      </c>
      <c r="J89" s="146"/>
      <c r="K89" s="125"/>
      <c r="L89" s="6">
        <v>350</v>
      </c>
      <c r="M89" s="6">
        <v>17.5</v>
      </c>
      <c r="N89" s="6">
        <v>367.5</v>
      </c>
      <c r="O89" s="51">
        <f>E89</f>
        <v>0</v>
      </c>
      <c r="P89" s="51">
        <f>D89</f>
        <v>0</v>
      </c>
      <c r="Q89" s="51">
        <f>D89</f>
        <v>0</v>
      </c>
      <c r="R89" s="60" t="s">
        <v>91</v>
      </c>
      <c r="S89" s="51">
        <f>E89</f>
        <v>0</v>
      </c>
      <c r="T89" s="51">
        <f>D89</f>
        <v>0</v>
      </c>
      <c r="U89" s="51">
        <f>D89</f>
        <v>0</v>
      </c>
      <c r="V89" s="60"/>
      <c r="W89" s="38">
        <v>197120</v>
      </c>
      <c r="X89" s="11" t="str">
        <f>IFERROR(INDEX([1]Sheet1!$A$2:$X$1948,MATCH($W$2:$W$258,[1]Sheet1!$G$2:$G$1948,0),8),"")</f>
        <v>종가집 포기김치(숙성 10Kg/BOX)</v>
      </c>
      <c r="Y89" s="17">
        <v>10000</v>
      </c>
      <c r="Z89" s="17"/>
      <c r="AA89" s="70">
        <v>21</v>
      </c>
      <c r="AB89" s="70" t="e">
        <f>T89*AD89</f>
        <v>#DIV/0!</v>
      </c>
      <c r="AC89" s="70" t="e">
        <f>U89*AD89</f>
        <v>#DIV/0!</v>
      </c>
      <c r="AD89" s="43" t="e">
        <f>AA89/E89</f>
        <v>#DIV/0!</v>
      </c>
      <c r="AE89" s="38">
        <v>192872</v>
      </c>
      <c r="AF89" s="11" t="str">
        <f>IFERROR(INDEX([1]Sheet1!$A$2:$X$1948,MATCH($AE$2:$AE$258,[1]Sheet1!$G$2:$G$1948,0),8),"")</f>
        <v>소이원 콩나물(곱슬이_단채 4Kg/BOX)</v>
      </c>
      <c r="AG89" s="6">
        <v>15</v>
      </c>
      <c r="AH89" s="6" t="e">
        <f>P89*AJ89</f>
        <v>#DIV/0!</v>
      </c>
      <c r="AI89" s="6" t="e">
        <f>Q89*AJ89</f>
        <v>#DIV/0!</v>
      </c>
      <c r="AJ89" s="43" t="e">
        <f>AG89/$E89</f>
        <v>#DIV/0!</v>
      </c>
      <c r="AK89" s="38"/>
      <c r="AL89" s="11">
        <f>IFERROR(INDEX([1]Sheet1!$A$2:$X$1948,MATCH($AK$2:$AK$258,[1]Sheet1!$G$2:$G$1948,0),8),"")</f>
        <v>0</v>
      </c>
      <c r="AM89" s="6"/>
      <c r="AN89" s="6"/>
      <c r="AO89" s="6"/>
      <c r="AP89" s="43"/>
    </row>
    <row r="90" spans="1:42">
      <c r="A90" s="37">
        <v>86</v>
      </c>
      <c r="B90" s="154"/>
      <c r="C90" s="152" t="s">
        <v>1270</v>
      </c>
      <c r="D90" s="33"/>
      <c r="E90" s="33"/>
      <c r="F90" s="33"/>
      <c r="G90" s="33"/>
      <c r="H90" s="112" t="s">
        <v>1269</v>
      </c>
      <c r="I90" s="187" t="s">
        <v>1057</v>
      </c>
      <c r="J90" s="146"/>
      <c r="K90" s="125"/>
      <c r="L90" s="6"/>
      <c r="M90" s="6"/>
      <c r="N90" s="6"/>
      <c r="O90" s="51"/>
      <c r="P90" s="51"/>
      <c r="Q90" s="51"/>
      <c r="R90" s="60"/>
      <c r="S90" s="51"/>
      <c r="T90" s="51"/>
      <c r="U90" s="51"/>
      <c r="V90" s="60"/>
      <c r="W90" s="38"/>
      <c r="X90" s="11"/>
      <c r="Y90" s="17"/>
      <c r="Z90" s="17"/>
      <c r="AA90" s="70"/>
      <c r="AB90" s="70"/>
      <c r="AC90" s="70"/>
      <c r="AD90" s="43"/>
      <c r="AE90" s="38"/>
      <c r="AF90" s="11"/>
      <c r="AG90" s="6"/>
      <c r="AH90" s="6"/>
      <c r="AI90" s="6"/>
      <c r="AJ90" s="43"/>
      <c r="AK90" s="38"/>
      <c r="AL90" s="11"/>
      <c r="AM90" s="6"/>
      <c r="AN90" s="6"/>
      <c r="AO90" s="6"/>
      <c r="AP90" s="43"/>
    </row>
    <row r="91" spans="1:42">
      <c r="A91" s="37">
        <v>87</v>
      </c>
      <c r="B91" s="154"/>
      <c r="C91" s="152" t="s">
        <v>1853</v>
      </c>
      <c r="D91" s="33"/>
      <c r="E91" s="33"/>
      <c r="F91" s="33"/>
      <c r="G91" s="33"/>
      <c r="H91" s="112" t="s">
        <v>1854</v>
      </c>
      <c r="I91" s="187" t="s">
        <v>1319</v>
      </c>
      <c r="J91" s="146"/>
      <c r="K91" s="125"/>
      <c r="L91" s="6"/>
      <c r="M91" s="6"/>
      <c r="N91" s="6"/>
      <c r="O91" s="51"/>
      <c r="P91" s="51"/>
      <c r="Q91" s="51"/>
      <c r="R91" s="60"/>
      <c r="S91" s="51"/>
      <c r="T91" s="51"/>
      <c r="U91" s="51"/>
      <c r="V91" s="60"/>
      <c r="W91" s="38"/>
      <c r="X91" s="11"/>
      <c r="Y91" s="17"/>
      <c r="Z91" s="17"/>
      <c r="AA91" s="70"/>
      <c r="AB91" s="70"/>
      <c r="AC91" s="70"/>
      <c r="AD91" s="43"/>
      <c r="AE91" s="38"/>
      <c r="AF91" s="11"/>
      <c r="AG91" s="6"/>
      <c r="AH91" s="6"/>
      <c r="AI91" s="6"/>
      <c r="AJ91" s="43"/>
      <c r="AK91" s="38"/>
      <c r="AL91" s="11"/>
      <c r="AM91" s="6"/>
      <c r="AN91" s="6"/>
      <c r="AO91" s="6"/>
      <c r="AP91" s="43"/>
    </row>
    <row r="92" spans="1:42">
      <c r="A92" s="37">
        <v>88</v>
      </c>
      <c r="B92" s="154"/>
      <c r="C92" s="152" t="s">
        <v>1814</v>
      </c>
      <c r="D92" s="33"/>
      <c r="E92" s="33"/>
      <c r="F92" s="33"/>
      <c r="G92" s="33"/>
      <c r="H92" s="112" t="s">
        <v>1815</v>
      </c>
      <c r="I92" s="187" t="s">
        <v>1816</v>
      </c>
      <c r="J92" s="146"/>
      <c r="K92" s="125"/>
      <c r="L92" s="6"/>
      <c r="M92" s="6"/>
      <c r="N92" s="6"/>
      <c r="O92" s="51"/>
      <c r="P92" s="51"/>
      <c r="Q92" s="51"/>
      <c r="R92" s="60"/>
      <c r="S92" s="51"/>
      <c r="T92" s="51"/>
      <c r="U92" s="51"/>
      <c r="V92" s="60"/>
      <c r="W92" s="38"/>
      <c r="X92" s="11"/>
      <c r="Y92" s="17"/>
      <c r="Z92" s="17"/>
      <c r="AA92" s="70"/>
      <c r="AB92" s="70"/>
      <c r="AC92" s="70"/>
      <c r="AD92" s="43"/>
      <c r="AE92" s="38"/>
      <c r="AF92" s="11"/>
      <c r="AG92" s="6"/>
      <c r="AH92" s="6"/>
      <c r="AI92" s="6"/>
      <c r="AJ92" s="43"/>
      <c r="AK92" s="38"/>
      <c r="AL92" s="11"/>
      <c r="AM92" s="6"/>
      <c r="AN92" s="6"/>
      <c r="AO92" s="6"/>
      <c r="AP92" s="43"/>
    </row>
    <row r="93" spans="1:42">
      <c r="A93" s="37">
        <v>89</v>
      </c>
      <c r="B93" s="154"/>
      <c r="C93" s="152" t="s">
        <v>1131</v>
      </c>
      <c r="D93" s="33"/>
      <c r="E93" s="33"/>
      <c r="F93" s="33"/>
      <c r="G93" s="33"/>
      <c r="H93" s="77" t="s">
        <v>1306</v>
      </c>
      <c r="I93" s="186" t="s">
        <v>1132</v>
      </c>
      <c r="J93" s="146"/>
      <c r="K93" s="35"/>
      <c r="L93" s="17"/>
      <c r="M93" s="17"/>
      <c r="N93" s="17"/>
      <c r="O93" s="51"/>
      <c r="P93" s="51"/>
      <c r="Q93" s="51"/>
      <c r="R93" s="60"/>
      <c r="S93" s="51"/>
      <c r="T93" s="51"/>
      <c r="U93" s="51"/>
      <c r="V93" s="60"/>
      <c r="W93" s="38"/>
      <c r="X93" s="11"/>
      <c r="Y93" s="17"/>
      <c r="Z93" s="17"/>
      <c r="AA93" s="70"/>
      <c r="AB93" s="70"/>
      <c r="AC93" s="70"/>
      <c r="AD93" s="43"/>
      <c r="AE93" s="38"/>
      <c r="AF93" s="11"/>
      <c r="AG93" s="6"/>
      <c r="AH93" s="6"/>
      <c r="AI93" s="6"/>
      <c r="AJ93" s="43"/>
      <c r="AK93" s="38"/>
      <c r="AL93" s="11"/>
      <c r="AM93" s="6"/>
      <c r="AN93" s="6"/>
      <c r="AO93" s="6"/>
      <c r="AP93" s="43"/>
    </row>
    <row r="94" spans="1:42" ht="20.100000000000001" customHeight="1">
      <c r="A94" s="37">
        <v>90</v>
      </c>
      <c r="B94" s="154"/>
      <c r="C94" s="152" t="s">
        <v>1240</v>
      </c>
      <c r="D94" s="33"/>
      <c r="E94" s="33"/>
      <c r="F94" s="33"/>
      <c r="G94" s="33"/>
      <c r="H94" s="77" t="s">
        <v>1237</v>
      </c>
      <c r="I94" s="186" t="s">
        <v>1174</v>
      </c>
      <c r="J94" s="146"/>
      <c r="K94" s="125"/>
      <c r="L94" s="6"/>
      <c r="M94" s="6"/>
      <c r="N94" s="6"/>
      <c r="O94" s="51"/>
      <c r="P94" s="51"/>
      <c r="Q94" s="51"/>
      <c r="R94" s="60"/>
      <c r="S94" s="51"/>
      <c r="T94" s="51"/>
      <c r="U94" s="51"/>
      <c r="V94" s="60"/>
      <c r="W94" s="38"/>
      <c r="X94" s="11"/>
      <c r="Y94" s="17"/>
      <c r="Z94" s="17"/>
      <c r="AA94" s="70"/>
      <c r="AB94" s="70"/>
      <c r="AC94" s="70"/>
      <c r="AD94" s="43"/>
      <c r="AE94" s="38"/>
      <c r="AF94" s="11"/>
      <c r="AG94" s="6"/>
      <c r="AH94" s="6"/>
      <c r="AI94" s="6"/>
      <c r="AJ94" s="43"/>
      <c r="AK94" s="38"/>
      <c r="AL94" s="11"/>
      <c r="AM94" s="6"/>
      <c r="AN94" s="6"/>
      <c r="AO94" s="6"/>
      <c r="AP94" s="43"/>
    </row>
    <row r="95" spans="1:42" ht="20.100000000000001" customHeight="1">
      <c r="A95" s="37">
        <v>91</v>
      </c>
      <c r="B95" s="154"/>
      <c r="C95" s="152" t="s">
        <v>652</v>
      </c>
      <c r="D95" s="33"/>
      <c r="E95" s="33"/>
      <c r="F95" s="33"/>
      <c r="G95" s="33"/>
      <c r="H95" s="77" t="s">
        <v>1300</v>
      </c>
      <c r="I95" s="186" t="s">
        <v>977</v>
      </c>
      <c r="J95" s="146"/>
      <c r="K95" s="125"/>
      <c r="L95" s="6"/>
      <c r="M95" s="6"/>
      <c r="N95" s="6"/>
      <c r="O95" s="51"/>
      <c r="P95" s="51"/>
      <c r="Q95" s="51"/>
      <c r="R95" s="60"/>
      <c r="S95" s="51"/>
      <c r="T95" s="51"/>
      <c r="U95" s="51"/>
      <c r="V95" s="60"/>
      <c r="W95" s="38"/>
      <c r="X95" s="11"/>
      <c r="Y95" s="17"/>
      <c r="Z95" s="17"/>
      <c r="AA95" s="70"/>
      <c r="AB95" s="70"/>
      <c r="AC95" s="70"/>
      <c r="AD95" s="43"/>
      <c r="AE95" s="38"/>
      <c r="AF95" s="11"/>
      <c r="AG95" s="6"/>
      <c r="AH95" s="6"/>
      <c r="AI95" s="6"/>
      <c r="AJ95" s="43"/>
      <c r="AK95" s="38"/>
      <c r="AL95" s="11"/>
      <c r="AM95" s="6"/>
      <c r="AN95" s="6"/>
      <c r="AO95" s="6"/>
      <c r="AP95" s="43"/>
    </row>
    <row r="96" spans="1:42">
      <c r="A96" s="37">
        <v>92</v>
      </c>
      <c r="B96" s="154"/>
      <c r="C96" s="152" t="s">
        <v>1188</v>
      </c>
      <c r="D96" s="33"/>
      <c r="E96" s="33"/>
      <c r="F96" s="33"/>
      <c r="G96" s="33"/>
      <c r="H96" s="77" t="s">
        <v>1302</v>
      </c>
      <c r="I96" s="186" t="s">
        <v>1040</v>
      </c>
      <c r="J96" s="146" t="s">
        <v>1189</v>
      </c>
      <c r="K96" s="125"/>
      <c r="L96" s="6"/>
      <c r="M96" s="6"/>
      <c r="N96" s="6"/>
      <c r="O96" s="51"/>
      <c r="P96" s="51"/>
      <c r="Q96" s="51"/>
      <c r="R96" s="60"/>
      <c r="S96" s="51"/>
      <c r="T96" s="51"/>
      <c r="U96" s="51"/>
      <c r="V96" s="60"/>
      <c r="W96" s="38"/>
      <c r="X96" s="11"/>
      <c r="Y96" s="17"/>
      <c r="Z96" s="17"/>
      <c r="AA96" s="70"/>
      <c r="AB96" s="70"/>
      <c r="AC96" s="70"/>
      <c r="AD96" s="43"/>
      <c r="AE96" s="38"/>
      <c r="AF96" s="11"/>
      <c r="AG96" s="6"/>
      <c r="AH96" s="6"/>
      <c r="AI96" s="6"/>
      <c r="AJ96" s="43"/>
      <c r="AK96" s="38"/>
      <c r="AL96" s="11"/>
      <c r="AM96" s="6"/>
      <c r="AN96" s="6"/>
      <c r="AO96" s="6"/>
      <c r="AP96" s="43"/>
    </row>
    <row r="97" spans="1:42" ht="21.95" customHeight="1">
      <c r="A97" s="37">
        <v>93</v>
      </c>
      <c r="B97" s="154"/>
      <c r="C97" s="152" t="s">
        <v>801</v>
      </c>
      <c r="D97" s="33"/>
      <c r="E97" s="33"/>
      <c r="F97" s="33"/>
      <c r="G97" s="33"/>
      <c r="H97" s="77" t="s">
        <v>877</v>
      </c>
      <c r="I97" s="186" t="s">
        <v>1154</v>
      </c>
      <c r="J97" s="145" t="s">
        <v>2081</v>
      </c>
      <c r="K97" s="125"/>
      <c r="L97" s="6"/>
      <c r="M97" s="6"/>
      <c r="N97" s="6"/>
      <c r="O97" s="51"/>
      <c r="P97" s="51"/>
      <c r="Q97" s="51"/>
      <c r="R97" s="60"/>
      <c r="S97" s="51"/>
      <c r="T97" s="51"/>
      <c r="U97" s="51"/>
      <c r="V97" s="60"/>
      <c r="W97" s="38"/>
      <c r="X97" s="11"/>
      <c r="Y97" s="17"/>
      <c r="Z97" s="17"/>
      <c r="AA97" s="70"/>
      <c r="AB97" s="70"/>
      <c r="AC97" s="70"/>
      <c r="AD97" s="43"/>
      <c r="AE97" s="38"/>
      <c r="AF97" s="11"/>
      <c r="AG97" s="6"/>
      <c r="AH97" s="6"/>
      <c r="AI97" s="6"/>
      <c r="AJ97" s="43"/>
      <c r="AK97" s="38"/>
      <c r="AL97" s="11"/>
      <c r="AM97" s="6"/>
      <c r="AN97" s="6"/>
      <c r="AO97" s="6"/>
      <c r="AP97" s="43"/>
    </row>
    <row r="98" spans="1:42">
      <c r="A98" s="37">
        <v>94</v>
      </c>
      <c r="B98" s="154"/>
      <c r="C98" s="152" t="s">
        <v>666</v>
      </c>
      <c r="D98" s="33"/>
      <c r="E98" s="33"/>
      <c r="F98" s="33"/>
      <c r="G98" s="33"/>
      <c r="H98" s="141" t="s">
        <v>684</v>
      </c>
      <c r="I98" s="190"/>
      <c r="J98" s="146"/>
      <c r="K98" s="125"/>
      <c r="L98" s="6"/>
      <c r="M98" s="6"/>
      <c r="N98" s="6"/>
      <c r="O98" s="51"/>
      <c r="P98" s="51"/>
      <c r="Q98" s="51"/>
      <c r="R98" s="60"/>
      <c r="S98" s="51"/>
      <c r="T98" s="51"/>
      <c r="U98" s="51"/>
      <c r="V98" s="60"/>
      <c r="W98" s="38"/>
      <c r="X98" s="11"/>
      <c r="Y98" s="17"/>
      <c r="Z98" s="17"/>
      <c r="AA98" s="70"/>
      <c r="AB98" s="70"/>
      <c r="AC98" s="70"/>
      <c r="AD98" s="43"/>
      <c r="AE98" s="38"/>
      <c r="AF98" s="11"/>
      <c r="AG98" s="6"/>
      <c r="AH98" s="6"/>
      <c r="AI98" s="6"/>
      <c r="AJ98" s="43"/>
      <c r="AK98" s="38"/>
      <c r="AL98" s="11"/>
      <c r="AM98" s="6"/>
      <c r="AN98" s="6"/>
      <c r="AO98" s="6"/>
      <c r="AP98" s="43"/>
    </row>
    <row r="99" spans="1:42" ht="20.100000000000001" customHeight="1">
      <c r="A99" s="37">
        <v>95</v>
      </c>
      <c r="B99" s="154"/>
      <c r="C99" s="152" t="s">
        <v>1605</v>
      </c>
      <c r="D99" s="33"/>
      <c r="E99" s="33"/>
      <c r="F99" s="33"/>
      <c r="G99" s="33"/>
      <c r="H99" s="77" t="s">
        <v>1606</v>
      </c>
      <c r="I99" s="186" t="s">
        <v>990</v>
      </c>
      <c r="J99" s="145" t="s">
        <v>2117</v>
      </c>
      <c r="K99" s="125"/>
      <c r="L99" s="6"/>
      <c r="M99" s="6"/>
      <c r="N99" s="6"/>
      <c r="O99" s="51"/>
      <c r="P99" s="51"/>
      <c r="Q99" s="51"/>
      <c r="R99" s="60"/>
      <c r="S99" s="51"/>
      <c r="T99" s="51"/>
      <c r="U99" s="51"/>
      <c r="V99" s="60"/>
      <c r="W99" s="38"/>
      <c r="X99" s="11"/>
      <c r="Y99" s="17"/>
      <c r="Z99" s="17"/>
      <c r="AA99" s="70"/>
      <c r="AB99" s="70"/>
      <c r="AC99" s="70"/>
      <c r="AD99" s="43"/>
      <c r="AE99" s="38"/>
      <c r="AF99" s="11"/>
      <c r="AG99" s="6"/>
      <c r="AH99" s="6"/>
      <c r="AI99" s="6"/>
      <c r="AJ99" s="43"/>
      <c r="AK99" s="38"/>
      <c r="AL99" s="11"/>
      <c r="AM99" s="6"/>
      <c r="AN99" s="6"/>
      <c r="AO99" s="6"/>
      <c r="AP99" s="43"/>
    </row>
    <row r="100" spans="1:42">
      <c r="A100" s="37">
        <v>96</v>
      </c>
      <c r="B100" s="154"/>
      <c r="C100" s="152" t="s">
        <v>2316</v>
      </c>
      <c r="D100" s="33"/>
      <c r="E100" s="33"/>
      <c r="F100" s="33"/>
      <c r="G100" s="33"/>
      <c r="H100" s="77" t="s">
        <v>1652</v>
      </c>
      <c r="I100" s="186" t="s">
        <v>1627</v>
      </c>
      <c r="J100" s="146"/>
      <c r="K100" s="125"/>
      <c r="L100" s="6"/>
      <c r="M100" s="6"/>
      <c r="N100" s="6"/>
      <c r="O100" s="51"/>
      <c r="P100" s="51"/>
      <c r="Q100" s="51"/>
      <c r="R100" s="60"/>
      <c r="S100" s="51"/>
      <c r="T100" s="51"/>
      <c r="U100" s="51"/>
      <c r="V100" s="60"/>
      <c r="W100" s="38"/>
      <c r="X100" s="11"/>
      <c r="Y100" s="17"/>
      <c r="Z100" s="17"/>
      <c r="AA100" s="70"/>
      <c r="AB100" s="70"/>
      <c r="AC100" s="70"/>
      <c r="AD100" s="43"/>
      <c r="AE100" s="38"/>
      <c r="AF100" s="11"/>
      <c r="AG100" s="6"/>
      <c r="AH100" s="6"/>
      <c r="AI100" s="6"/>
      <c r="AJ100" s="43"/>
      <c r="AK100" s="38"/>
      <c r="AL100" s="11"/>
      <c r="AM100" s="6"/>
      <c r="AN100" s="6"/>
      <c r="AO100" s="6"/>
      <c r="AP100" s="43"/>
    </row>
    <row r="101" spans="1:42">
      <c r="A101" s="37">
        <v>97</v>
      </c>
      <c r="B101" s="154"/>
      <c r="C101" s="152" t="s">
        <v>1955</v>
      </c>
      <c r="D101" s="33"/>
      <c r="E101" s="33"/>
      <c r="F101" s="33"/>
      <c r="G101" s="33"/>
      <c r="H101" s="77" t="s">
        <v>1956</v>
      </c>
      <c r="I101" s="186" t="s">
        <v>1026</v>
      </c>
      <c r="J101" s="146"/>
      <c r="K101" s="125"/>
      <c r="L101" s="6"/>
      <c r="M101" s="6"/>
      <c r="N101" s="6"/>
      <c r="O101" s="51"/>
      <c r="P101" s="51"/>
      <c r="Q101" s="51"/>
      <c r="R101" s="60"/>
      <c r="S101" s="51"/>
      <c r="T101" s="51"/>
      <c r="U101" s="51"/>
      <c r="V101" s="60"/>
      <c r="W101" s="38"/>
      <c r="X101" s="11"/>
      <c r="Y101" s="17"/>
      <c r="Z101" s="17"/>
      <c r="AA101" s="70"/>
      <c r="AB101" s="70"/>
      <c r="AC101" s="70"/>
      <c r="AD101" s="43"/>
      <c r="AE101" s="38"/>
      <c r="AF101" s="11"/>
      <c r="AG101" s="6"/>
      <c r="AH101" s="6"/>
      <c r="AI101" s="6"/>
      <c r="AJ101" s="43"/>
      <c r="AK101" s="38"/>
      <c r="AL101" s="11"/>
      <c r="AM101" s="6"/>
      <c r="AN101" s="6"/>
      <c r="AO101" s="6"/>
      <c r="AP101" s="43"/>
    </row>
    <row r="102" spans="1:42">
      <c r="A102" s="37">
        <v>98</v>
      </c>
      <c r="B102" s="154"/>
      <c r="C102" s="152" t="s">
        <v>1883</v>
      </c>
      <c r="D102" s="33"/>
      <c r="E102" s="33"/>
      <c r="F102" s="33"/>
      <c r="G102" s="33"/>
      <c r="H102" s="77" t="s">
        <v>1881</v>
      </c>
      <c r="I102" s="186" t="s">
        <v>1882</v>
      </c>
      <c r="J102" s="146"/>
      <c r="K102" s="125"/>
      <c r="L102" s="6"/>
      <c r="M102" s="6"/>
      <c r="N102" s="6"/>
      <c r="O102" s="51"/>
      <c r="P102" s="51"/>
      <c r="Q102" s="51"/>
      <c r="R102" s="60"/>
      <c r="S102" s="51"/>
      <c r="T102" s="51"/>
      <c r="U102" s="51"/>
      <c r="V102" s="60"/>
      <c r="W102" s="38"/>
      <c r="X102" s="11"/>
      <c r="Y102" s="17"/>
      <c r="Z102" s="17"/>
      <c r="AA102" s="70"/>
      <c r="AB102" s="70"/>
      <c r="AC102" s="70"/>
      <c r="AD102" s="43"/>
      <c r="AE102" s="38"/>
      <c r="AF102" s="11"/>
      <c r="AG102" s="6"/>
      <c r="AH102" s="6"/>
      <c r="AI102" s="6"/>
      <c r="AJ102" s="43"/>
      <c r="AK102" s="38"/>
      <c r="AL102" s="11"/>
      <c r="AM102" s="6"/>
      <c r="AN102" s="6"/>
      <c r="AO102" s="6"/>
      <c r="AP102" s="43"/>
    </row>
    <row r="103" spans="1:42">
      <c r="A103" s="37">
        <v>99</v>
      </c>
      <c r="B103" s="154"/>
      <c r="C103" s="152" t="s">
        <v>1753</v>
      </c>
      <c r="D103" s="33"/>
      <c r="E103" s="33"/>
      <c r="F103" s="33"/>
      <c r="G103" s="33"/>
      <c r="H103" s="77" t="s">
        <v>1754</v>
      </c>
      <c r="I103" s="186" t="s">
        <v>1026</v>
      </c>
      <c r="J103" s="146"/>
      <c r="K103" s="125"/>
      <c r="L103" s="6"/>
      <c r="M103" s="6"/>
      <c r="N103" s="6"/>
      <c r="O103" s="51"/>
      <c r="P103" s="51"/>
      <c r="Q103" s="51"/>
      <c r="R103" s="60"/>
      <c r="S103" s="51"/>
      <c r="T103" s="51"/>
      <c r="U103" s="51"/>
      <c r="V103" s="60"/>
      <c r="W103" s="38"/>
      <c r="X103" s="11"/>
      <c r="Y103" s="17"/>
      <c r="Z103" s="17"/>
      <c r="AA103" s="70"/>
      <c r="AB103" s="70"/>
      <c r="AC103" s="70"/>
      <c r="AD103" s="43"/>
      <c r="AE103" s="38"/>
      <c r="AF103" s="11"/>
      <c r="AG103" s="6"/>
      <c r="AH103" s="6"/>
      <c r="AI103" s="6"/>
      <c r="AJ103" s="43"/>
      <c r="AK103" s="38"/>
      <c r="AL103" s="11"/>
      <c r="AM103" s="6"/>
      <c r="AN103" s="6"/>
      <c r="AO103" s="6"/>
      <c r="AP103" s="43"/>
    </row>
    <row r="104" spans="1:42">
      <c r="A104" s="37">
        <v>100</v>
      </c>
      <c r="B104" s="154"/>
      <c r="C104" s="152" t="s">
        <v>1959</v>
      </c>
      <c r="D104" s="33"/>
      <c r="E104" s="33"/>
      <c r="F104" s="33"/>
      <c r="G104" s="33"/>
      <c r="H104" s="77" t="s">
        <v>1960</v>
      </c>
      <c r="I104" s="186" t="s">
        <v>986</v>
      </c>
      <c r="J104" s="146"/>
      <c r="K104" s="125"/>
      <c r="L104" s="6"/>
      <c r="M104" s="6"/>
      <c r="N104" s="6"/>
      <c r="O104" s="51"/>
      <c r="P104" s="51"/>
      <c r="Q104" s="51"/>
      <c r="R104" s="60"/>
      <c r="S104" s="51"/>
      <c r="T104" s="51"/>
      <c r="U104" s="51"/>
      <c r="V104" s="60"/>
      <c r="W104" s="38"/>
      <c r="X104" s="11"/>
      <c r="Y104" s="17"/>
      <c r="Z104" s="17"/>
      <c r="AA104" s="70"/>
      <c r="AB104" s="70"/>
      <c r="AC104" s="70"/>
      <c r="AD104" s="43"/>
      <c r="AE104" s="38"/>
      <c r="AF104" s="11"/>
      <c r="AG104" s="6"/>
      <c r="AH104" s="6"/>
      <c r="AI104" s="6"/>
      <c r="AJ104" s="43"/>
      <c r="AK104" s="38"/>
      <c r="AL104" s="11"/>
      <c r="AM104" s="6"/>
      <c r="AN104" s="6"/>
      <c r="AO104" s="6"/>
      <c r="AP104" s="43"/>
    </row>
    <row r="105" spans="1:42">
      <c r="A105" s="37">
        <v>101</v>
      </c>
      <c r="B105" s="154"/>
      <c r="C105" s="152" t="s">
        <v>658</v>
      </c>
      <c r="D105" s="33"/>
      <c r="E105" s="33"/>
      <c r="F105" s="33"/>
      <c r="G105" s="33"/>
      <c r="H105" s="77" t="s">
        <v>1311</v>
      </c>
      <c r="I105" s="186" t="s">
        <v>977</v>
      </c>
      <c r="J105" s="145"/>
      <c r="K105" s="35"/>
      <c r="L105" s="17">
        <v>24600</v>
      </c>
      <c r="M105" s="17">
        <v>1230</v>
      </c>
      <c r="N105" s="17">
        <v>25830</v>
      </c>
      <c r="O105" s="51">
        <f>E105</f>
        <v>0</v>
      </c>
      <c r="P105" s="51">
        <f>D105</f>
        <v>0</v>
      </c>
      <c r="Q105" s="51">
        <f>D105</f>
        <v>0</v>
      </c>
      <c r="R105" s="60" t="s">
        <v>91</v>
      </c>
      <c r="S105" s="51">
        <f>E105</f>
        <v>0</v>
      </c>
      <c r="T105" s="51">
        <f>D105</f>
        <v>0</v>
      </c>
      <c r="U105" s="51">
        <f>D105</f>
        <v>0</v>
      </c>
      <c r="V105" s="60"/>
      <c r="W105" s="38">
        <v>204418</v>
      </c>
      <c r="X105" s="11" t="str">
        <f>IFERROR(INDEX([1]Sheet1!$A$2:$X$1948,MATCH($W$2:$W$258,[1]Sheet1!$G$2:$G$1948,0),8),"")</f>
        <v>무우(특품 9~12개입 18Kg/BOX)</v>
      </c>
      <c r="Y105" s="17">
        <v>18000</v>
      </c>
      <c r="Z105" s="17"/>
      <c r="AA105" s="70">
        <v>30</v>
      </c>
      <c r="AB105" s="70" t="e">
        <f>T105*AD105</f>
        <v>#DIV/0!</v>
      </c>
      <c r="AC105" s="70" t="e">
        <f>U105*AD105</f>
        <v>#DIV/0!</v>
      </c>
      <c r="AD105" s="43" t="e">
        <f>AA105/E105</f>
        <v>#DIV/0!</v>
      </c>
      <c r="AE105" s="38">
        <v>317997</v>
      </c>
      <c r="AF105" s="11" t="str">
        <f>IFERROR(INDEX([1]Sheet1!$A$2:$X$1948,MATCH($AE$2:$AE$258,[1]Sheet1!$G$2:$G$1948,0),8),"")</f>
        <v>바지락살(자숙_100/200 250g/EA)</v>
      </c>
      <c r="AG105" s="6">
        <v>15</v>
      </c>
      <c r="AH105" s="6" t="e">
        <f>P105*AJ105</f>
        <v>#DIV/0!</v>
      </c>
      <c r="AI105" s="6" t="e">
        <f>Q105*AJ105</f>
        <v>#DIV/0!</v>
      </c>
      <c r="AJ105" s="43" t="e">
        <f>AG105/$E105</f>
        <v>#DIV/0!</v>
      </c>
      <c r="AK105" s="38"/>
      <c r="AL105" s="11">
        <f>IFERROR(INDEX([1]Sheet1!$A$2:$X$1948,MATCH($AK$2:$AK$258,[1]Sheet1!$G$2:$G$1948,0),8),"")</f>
        <v>0</v>
      </c>
      <c r="AM105" s="6"/>
      <c r="AN105" s="6"/>
      <c r="AO105" s="6"/>
      <c r="AP105" s="43"/>
    </row>
    <row r="106" spans="1:42" ht="27">
      <c r="A106" s="37">
        <v>102</v>
      </c>
      <c r="B106" s="154"/>
      <c r="C106" s="172" t="s">
        <v>1178</v>
      </c>
      <c r="D106" s="33"/>
      <c r="E106" s="33"/>
      <c r="F106" s="33"/>
      <c r="G106" s="33"/>
      <c r="H106" s="77" t="s">
        <v>1179</v>
      </c>
      <c r="I106" s="186" t="s">
        <v>1138</v>
      </c>
      <c r="J106" s="146" t="s">
        <v>777</v>
      </c>
      <c r="K106" s="125"/>
      <c r="L106" s="6"/>
      <c r="M106" s="6"/>
      <c r="N106" s="6"/>
      <c r="O106" s="51">
        <f>E106</f>
        <v>0</v>
      </c>
      <c r="P106" s="51">
        <f>D106</f>
        <v>0</v>
      </c>
      <c r="Q106" s="51">
        <f>D106</f>
        <v>0</v>
      </c>
      <c r="R106" s="60" t="s">
        <v>91</v>
      </c>
      <c r="S106" s="51">
        <f>E106</f>
        <v>0</v>
      </c>
      <c r="T106" s="51">
        <f>D106</f>
        <v>0</v>
      </c>
      <c r="U106" s="51">
        <f>D106</f>
        <v>0</v>
      </c>
      <c r="V106" s="60"/>
      <c r="W106" s="38">
        <v>313570</v>
      </c>
      <c r="X106" s="11" t="str">
        <f>IFERROR(INDEX([1]Sheet1!$A$2:$X$1948,MATCH($W$2:$W$258,[1]Sheet1!$G$2:$G$1948,0),8),"")</f>
        <v>프레시웨이 북어채(1Kg/EA)</v>
      </c>
      <c r="Y106" s="17">
        <v>1000</v>
      </c>
      <c r="Z106" s="17"/>
      <c r="AA106" s="70">
        <v>5</v>
      </c>
      <c r="AB106" s="70" t="e">
        <f>T106*AD106</f>
        <v>#DIV/0!</v>
      </c>
      <c r="AC106" s="70" t="e">
        <f>U106*AD106</f>
        <v>#DIV/0!</v>
      </c>
      <c r="AD106" s="43" t="e">
        <f>AA106/E106</f>
        <v>#DIV/0!</v>
      </c>
      <c r="AE106" s="38">
        <v>168257</v>
      </c>
      <c r="AF106" s="11" t="str">
        <f>IFERROR(INDEX([1]Sheet1!$A$2:$X$1948,MATCH($AE$2:$AE$258,[1]Sheet1!$G$2:$G$1948,0),8),"")</f>
        <v>명품 판두부(찌개용 3Kg/EA)</v>
      </c>
      <c r="AG106" s="6"/>
      <c r="AH106" s="6" t="e">
        <f>P106*AJ106</f>
        <v>#DIV/0!</v>
      </c>
      <c r="AI106" s="6" t="e">
        <f>Q106*AJ106</f>
        <v>#DIV/0!</v>
      </c>
      <c r="AJ106" s="43" t="e">
        <f>AG106/$E106</f>
        <v>#DIV/0!</v>
      </c>
      <c r="AK106" s="38"/>
      <c r="AL106" s="11">
        <f>IFERROR(INDEX([1]Sheet1!$A$2:$X$1948,MATCH($AK$2:$AK$258,[1]Sheet1!$G$2:$G$1948,0),8),"")</f>
        <v>0</v>
      </c>
      <c r="AM106" s="6"/>
      <c r="AN106" s="6"/>
      <c r="AO106" s="6"/>
      <c r="AP106" s="43"/>
    </row>
    <row r="107" spans="1:42">
      <c r="A107" s="37"/>
      <c r="B107" s="154"/>
      <c r="C107" s="172" t="s">
        <v>1982</v>
      </c>
      <c r="D107" s="33"/>
      <c r="E107" s="33"/>
      <c r="F107" s="33"/>
      <c r="G107" s="33"/>
      <c r="H107" s="77" t="s">
        <v>1981</v>
      </c>
      <c r="I107" s="186" t="s">
        <v>1980</v>
      </c>
      <c r="J107" s="146" t="s">
        <v>777</v>
      </c>
      <c r="K107" s="125"/>
      <c r="L107" s="6"/>
      <c r="M107" s="6"/>
      <c r="N107" s="6"/>
      <c r="O107" s="51"/>
      <c r="P107" s="51"/>
      <c r="Q107" s="51"/>
      <c r="R107" s="60"/>
      <c r="S107" s="51"/>
      <c r="T107" s="51"/>
      <c r="U107" s="51"/>
      <c r="V107" s="60"/>
      <c r="W107" s="38"/>
      <c r="X107" s="11"/>
      <c r="Y107" s="17"/>
      <c r="Z107" s="17"/>
      <c r="AA107" s="70"/>
      <c r="AB107" s="70"/>
      <c r="AC107" s="70"/>
      <c r="AD107" s="43"/>
      <c r="AE107" s="38"/>
      <c r="AF107" s="11"/>
      <c r="AG107" s="6"/>
      <c r="AH107" s="6"/>
      <c r="AI107" s="6"/>
      <c r="AJ107" s="43"/>
      <c r="AK107" s="38"/>
      <c r="AL107" s="11"/>
      <c r="AM107" s="6"/>
      <c r="AN107" s="6"/>
      <c r="AO107" s="6"/>
      <c r="AP107" s="43"/>
    </row>
    <row r="108" spans="1:42" ht="27">
      <c r="A108" s="37">
        <v>169</v>
      </c>
      <c r="B108" s="139"/>
      <c r="C108" s="152" t="s">
        <v>1136</v>
      </c>
      <c r="D108" s="33"/>
      <c r="E108" s="33"/>
      <c r="F108" s="33"/>
      <c r="G108" s="33"/>
      <c r="H108" s="77" t="s">
        <v>1137</v>
      </c>
      <c r="I108" s="186" t="s">
        <v>1138</v>
      </c>
      <c r="J108" s="146" t="s">
        <v>777</v>
      </c>
      <c r="K108" s="125"/>
      <c r="L108" s="6">
        <v>25650</v>
      </c>
      <c r="M108" s="6">
        <v>1282.5</v>
      </c>
      <c r="N108" s="6">
        <v>26932.5</v>
      </c>
      <c r="O108" s="51"/>
      <c r="P108" s="51"/>
      <c r="Q108" s="51"/>
      <c r="R108" s="60"/>
      <c r="S108" s="51"/>
      <c r="T108" s="51"/>
      <c r="U108" s="51"/>
      <c r="V108" s="60"/>
      <c r="W108" s="38"/>
      <c r="X108" s="11"/>
      <c r="Y108" s="17"/>
      <c r="Z108" s="17"/>
      <c r="AA108" s="70"/>
      <c r="AB108" s="70"/>
      <c r="AC108" s="70"/>
      <c r="AD108" s="43"/>
      <c r="AE108" s="38"/>
      <c r="AF108" s="11"/>
      <c r="AG108" s="6"/>
      <c r="AH108" s="6"/>
      <c r="AI108" s="6"/>
      <c r="AJ108" s="43"/>
      <c r="AK108" s="38"/>
      <c r="AL108" s="11"/>
      <c r="AM108" s="6"/>
      <c r="AN108" s="6"/>
      <c r="AO108" s="6"/>
      <c r="AP108" s="43"/>
    </row>
    <row r="109" spans="1:42">
      <c r="A109" s="37">
        <v>103</v>
      </c>
      <c r="B109" s="139"/>
      <c r="C109" s="238" t="s">
        <v>447</v>
      </c>
      <c r="D109" s="33"/>
      <c r="E109" s="33"/>
      <c r="F109" s="33"/>
      <c r="G109" s="33"/>
      <c r="H109" s="77" t="s">
        <v>712</v>
      </c>
      <c r="I109" s="186" t="s">
        <v>1065</v>
      </c>
      <c r="J109" s="145" t="s">
        <v>711</v>
      </c>
      <c r="K109" s="35"/>
      <c r="L109" s="17">
        <v>7200</v>
      </c>
      <c r="M109" s="17">
        <v>360</v>
      </c>
      <c r="N109" s="17">
        <v>7560</v>
      </c>
      <c r="O109" s="51"/>
      <c r="P109" s="51"/>
      <c r="Q109" s="51"/>
      <c r="R109" s="60"/>
      <c r="S109" s="52"/>
      <c r="T109" s="52"/>
      <c r="U109" s="52"/>
      <c r="V109" s="60"/>
      <c r="W109" s="38"/>
      <c r="X109" s="11"/>
      <c r="Y109" s="17"/>
      <c r="Z109" s="17"/>
      <c r="AA109" s="70"/>
      <c r="AB109" s="70"/>
      <c r="AC109" s="70"/>
      <c r="AD109" s="43"/>
      <c r="AE109" s="38"/>
      <c r="AF109" s="11"/>
      <c r="AG109" s="6"/>
      <c r="AH109" s="6"/>
      <c r="AI109" s="6"/>
      <c r="AJ109" s="43"/>
      <c r="AK109" s="38"/>
      <c r="AL109" s="11"/>
      <c r="AM109" s="6"/>
      <c r="AN109" s="6"/>
      <c r="AO109" s="6"/>
      <c r="AP109" s="43"/>
    </row>
    <row r="110" spans="1:42">
      <c r="A110" s="37">
        <v>104</v>
      </c>
      <c r="B110" s="139"/>
      <c r="C110" s="235" t="s">
        <v>1890</v>
      </c>
      <c r="D110" s="33"/>
      <c r="E110" s="33"/>
      <c r="F110" s="33"/>
      <c r="G110" s="33"/>
      <c r="H110" s="77" t="s">
        <v>859</v>
      </c>
      <c r="I110" s="186" t="s">
        <v>1000</v>
      </c>
      <c r="J110" s="146"/>
      <c r="K110" s="35"/>
      <c r="L110" s="17"/>
      <c r="M110" s="17"/>
      <c r="N110" s="17"/>
      <c r="O110" s="51"/>
      <c r="P110" s="51"/>
      <c r="Q110" s="51"/>
      <c r="R110" s="60"/>
      <c r="S110" s="51"/>
      <c r="T110" s="53"/>
      <c r="U110" s="53"/>
      <c r="V110" s="60"/>
      <c r="W110" s="81"/>
      <c r="X110" s="11"/>
      <c r="Y110" s="17"/>
      <c r="Z110" s="17"/>
      <c r="AA110" s="70"/>
      <c r="AB110" s="70"/>
      <c r="AC110" s="70"/>
      <c r="AD110" s="43"/>
      <c r="AE110" s="38"/>
      <c r="AF110" s="82"/>
      <c r="AG110" s="6"/>
      <c r="AH110" s="6"/>
      <c r="AI110" s="6"/>
      <c r="AJ110" s="43"/>
      <c r="AK110" s="38"/>
      <c r="AL110" s="11"/>
      <c r="AM110" s="6"/>
      <c r="AN110" s="6"/>
      <c r="AO110" s="6"/>
      <c r="AP110" s="43"/>
    </row>
    <row r="111" spans="1:42">
      <c r="A111" s="37">
        <v>105</v>
      </c>
      <c r="B111" s="139"/>
      <c r="C111" s="235" t="s">
        <v>1887</v>
      </c>
      <c r="D111" s="33"/>
      <c r="E111" s="33"/>
      <c r="F111" s="33"/>
      <c r="G111" s="33"/>
      <c r="H111" s="77" t="s">
        <v>1888</v>
      </c>
      <c r="I111" s="186" t="s">
        <v>1048</v>
      </c>
      <c r="J111" s="146"/>
      <c r="K111" s="125"/>
      <c r="L111" s="6"/>
      <c r="M111" s="6"/>
      <c r="N111" s="6"/>
      <c r="O111" s="51"/>
      <c r="P111" s="51"/>
      <c r="Q111" s="51"/>
      <c r="R111" s="60"/>
      <c r="S111" s="51"/>
      <c r="T111" s="51"/>
      <c r="U111" s="51"/>
      <c r="V111" s="60"/>
      <c r="W111" s="38"/>
      <c r="X111" s="11"/>
      <c r="Y111" s="17"/>
      <c r="Z111" s="17"/>
      <c r="AA111" s="70"/>
      <c r="AB111" s="70"/>
      <c r="AC111" s="70"/>
      <c r="AD111" s="43"/>
      <c r="AE111" s="38"/>
      <c r="AF111" s="11"/>
      <c r="AG111" s="6"/>
      <c r="AH111" s="6"/>
      <c r="AI111" s="6"/>
      <c r="AJ111" s="43"/>
      <c r="AK111" s="38"/>
      <c r="AL111" s="11"/>
      <c r="AM111" s="6"/>
      <c r="AN111" s="6"/>
      <c r="AO111" s="6"/>
      <c r="AP111" s="43"/>
    </row>
    <row r="112" spans="1:42" ht="16.5" customHeight="1">
      <c r="A112" s="37">
        <v>106</v>
      </c>
      <c r="B112" s="139"/>
      <c r="C112" s="235" t="s">
        <v>1866</v>
      </c>
      <c r="D112" s="33"/>
      <c r="E112" s="33"/>
      <c r="F112" s="33"/>
      <c r="G112" s="33"/>
      <c r="H112" s="77" t="s">
        <v>1867</v>
      </c>
      <c r="I112" s="186" t="s">
        <v>1048</v>
      </c>
      <c r="J112" s="146"/>
      <c r="K112" s="125"/>
      <c r="L112" s="6"/>
      <c r="M112" s="6"/>
      <c r="N112" s="6"/>
      <c r="O112" s="51"/>
      <c r="P112" s="51"/>
      <c r="Q112" s="51"/>
      <c r="R112" s="60"/>
      <c r="S112" s="51"/>
      <c r="T112" s="51"/>
      <c r="U112" s="51"/>
      <c r="V112" s="60"/>
      <c r="W112" s="38"/>
      <c r="X112" s="11"/>
      <c r="Y112" s="17"/>
      <c r="Z112" s="17"/>
      <c r="AA112" s="70"/>
      <c r="AB112" s="70"/>
      <c r="AC112" s="70"/>
      <c r="AD112" s="43"/>
      <c r="AE112" s="38"/>
      <c r="AF112" s="11"/>
      <c r="AG112" s="6"/>
      <c r="AH112" s="6"/>
      <c r="AI112" s="6"/>
      <c r="AJ112" s="43"/>
      <c r="AK112" s="38"/>
      <c r="AL112" s="11"/>
      <c r="AM112" s="6"/>
      <c r="AN112" s="6"/>
      <c r="AO112" s="6"/>
      <c r="AP112" s="43"/>
    </row>
    <row r="113" spans="1:42">
      <c r="A113" s="37">
        <v>107</v>
      </c>
      <c r="B113" s="139"/>
      <c r="C113" s="235" t="s">
        <v>1182</v>
      </c>
      <c r="D113" s="33"/>
      <c r="E113" s="33"/>
      <c r="F113" s="33"/>
      <c r="G113" s="33"/>
      <c r="H113" s="77" t="s">
        <v>1507</v>
      </c>
      <c r="I113" s="186" t="s">
        <v>1183</v>
      </c>
      <c r="J113" s="145"/>
      <c r="K113" s="125"/>
      <c r="L113" s="6"/>
      <c r="M113" s="6"/>
      <c r="N113" s="6"/>
      <c r="O113" s="51"/>
      <c r="P113" s="51"/>
      <c r="Q113" s="51"/>
      <c r="R113" s="60"/>
      <c r="S113" s="51"/>
      <c r="T113" s="51"/>
      <c r="U113" s="51"/>
      <c r="V113" s="60"/>
      <c r="W113" s="38"/>
      <c r="X113" s="11"/>
      <c r="Y113" s="17"/>
      <c r="Z113" s="17"/>
      <c r="AA113" s="70"/>
      <c r="AB113" s="70"/>
      <c r="AC113" s="70"/>
      <c r="AD113" s="43"/>
      <c r="AE113" s="38"/>
      <c r="AF113" s="11"/>
      <c r="AG113" s="6"/>
      <c r="AH113" s="6"/>
      <c r="AI113" s="6"/>
      <c r="AJ113" s="43"/>
      <c r="AK113" s="38"/>
      <c r="AL113" s="11"/>
      <c r="AM113" s="6"/>
      <c r="AN113" s="6"/>
      <c r="AO113" s="6"/>
      <c r="AP113" s="43"/>
    </row>
    <row r="114" spans="1:42" ht="30" customHeight="1">
      <c r="A114" s="37">
        <v>108</v>
      </c>
      <c r="B114" s="139"/>
      <c r="C114" s="235" t="s">
        <v>1803</v>
      </c>
      <c r="D114" s="33"/>
      <c r="E114" s="33"/>
      <c r="F114" s="33"/>
      <c r="G114" s="33"/>
      <c r="H114" s="77" t="s">
        <v>1449</v>
      </c>
      <c r="I114" s="186" t="s">
        <v>1165</v>
      </c>
      <c r="J114" s="146" t="s">
        <v>726</v>
      </c>
      <c r="K114" s="128"/>
      <c r="L114" s="6"/>
      <c r="M114" s="6"/>
      <c r="N114" s="6"/>
      <c r="O114" s="51"/>
      <c r="P114" s="51"/>
      <c r="Q114" s="51"/>
      <c r="R114" s="60"/>
      <c r="S114" s="51"/>
      <c r="T114" s="51"/>
      <c r="U114" s="51"/>
      <c r="V114" s="60"/>
      <c r="W114" s="81"/>
      <c r="X114" s="11"/>
      <c r="Y114" s="17"/>
      <c r="Z114" s="17"/>
      <c r="AA114" s="70"/>
      <c r="AB114" s="70"/>
      <c r="AC114" s="70"/>
      <c r="AD114" s="43"/>
      <c r="AE114" s="38"/>
      <c r="AF114" s="11"/>
      <c r="AG114" s="6"/>
      <c r="AH114" s="6"/>
      <c r="AI114" s="6"/>
      <c r="AJ114" s="43"/>
      <c r="AK114" s="38"/>
      <c r="AL114" s="11"/>
      <c r="AM114" s="6"/>
      <c r="AN114" s="6"/>
      <c r="AO114" s="6"/>
      <c r="AP114" s="43"/>
    </row>
    <row r="115" spans="1:42" ht="20.100000000000001" customHeight="1">
      <c r="A115" s="37">
        <v>109</v>
      </c>
      <c r="B115" s="139"/>
      <c r="C115" s="239" t="s">
        <v>1508</v>
      </c>
      <c r="D115" s="33"/>
      <c r="E115" s="33"/>
      <c r="F115" s="33"/>
      <c r="G115" s="33"/>
      <c r="H115" s="141" t="s">
        <v>1509</v>
      </c>
      <c r="I115" s="190" t="s">
        <v>1070</v>
      </c>
      <c r="J115" s="146"/>
      <c r="K115" s="35"/>
      <c r="L115" s="17"/>
      <c r="M115" s="17"/>
      <c r="N115" s="17"/>
      <c r="O115" s="51"/>
      <c r="P115" s="51"/>
      <c r="Q115" s="51"/>
      <c r="R115" s="60"/>
      <c r="S115" s="51"/>
      <c r="T115" s="53"/>
      <c r="U115" s="53"/>
      <c r="V115" s="60"/>
      <c r="W115" s="41"/>
      <c r="X115" s="42"/>
      <c r="Y115" s="68"/>
      <c r="Z115" s="68"/>
      <c r="AA115" s="70"/>
      <c r="AB115" s="70"/>
      <c r="AC115" s="70"/>
      <c r="AD115" s="43"/>
      <c r="AE115" s="41"/>
      <c r="AF115" s="42"/>
      <c r="AG115" s="6"/>
      <c r="AH115" s="6"/>
      <c r="AI115" s="6"/>
      <c r="AJ115" s="43"/>
      <c r="AK115" s="41"/>
      <c r="AL115" s="42"/>
      <c r="AM115" s="6"/>
      <c r="AN115" s="6"/>
      <c r="AO115" s="6"/>
      <c r="AP115" s="43"/>
    </row>
    <row r="116" spans="1:42">
      <c r="A116" s="37">
        <v>149</v>
      </c>
      <c r="B116" s="139"/>
      <c r="C116" s="142" t="s">
        <v>2219</v>
      </c>
      <c r="D116" s="33"/>
      <c r="E116" s="33"/>
      <c r="F116" s="33"/>
      <c r="G116" s="33"/>
      <c r="H116" s="77" t="s">
        <v>1531</v>
      </c>
      <c r="I116" s="186" t="s">
        <v>1037</v>
      </c>
      <c r="J116" s="145"/>
      <c r="K116" s="125"/>
      <c r="L116" s="6"/>
      <c r="M116" s="6"/>
      <c r="N116" s="6"/>
      <c r="O116" s="51"/>
      <c r="P116" s="51"/>
      <c r="Q116" s="51"/>
      <c r="R116" s="60"/>
      <c r="S116" s="51"/>
      <c r="T116" s="51"/>
      <c r="U116" s="51"/>
      <c r="V116" s="60"/>
      <c r="W116" s="38"/>
      <c r="X116" s="11"/>
      <c r="Y116" s="17"/>
      <c r="Z116" s="17"/>
      <c r="AA116" s="70"/>
      <c r="AB116" s="70"/>
      <c r="AC116" s="70"/>
      <c r="AD116" s="43"/>
      <c r="AE116" s="38"/>
      <c r="AF116" s="11"/>
      <c r="AG116" s="6"/>
      <c r="AH116" s="6"/>
      <c r="AI116" s="6"/>
      <c r="AJ116" s="43"/>
      <c r="AK116" s="38"/>
      <c r="AL116" s="11"/>
      <c r="AM116" s="6"/>
      <c r="AN116" s="6"/>
      <c r="AO116" s="6"/>
      <c r="AP116" s="43"/>
    </row>
    <row r="117" spans="1:42" ht="30" customHeight="1">
      <c r="A117" s="37">
        <v>110</v>
      </c>
      <c r="B117" s="139"/>
      <c r="C117" s="240" t="s">
        <v>965</v>
      </c>
      <c r="D117" s="33"/>
      <c r="E117" s="33"/>
      <c r="F117" s="33"/>
      <c r="G117" s="33"/>
      <c r="H117" s="77" t="s">
        <v>1831</v>
      </c>
      <c r="I117" s="186" t="s">
        <v>1056</v>
      </c>
      <c r="J117" s="146" t="s">
        <v>966</v>
      </c>
      <c r="K117" s="125"/>
      <c r="L117" s="6">
        <v>19920</v>
      </c>
      <c r="M117" s="6">
        <v>996</v>
      </c>
      <c r="N117" s="6">
        <v>20916</v>
      </c>
      <c r="O117" s="51"/>
      <c r="P117" s="51"/>
      <c r="Q117" s="51"/>
      <c r="R117" s="60"/>
      <c r="S117" s="51"/>
      <c r="T117" s="51"/>
      <c r="U117" s="51"/>
      <c r="V117" s="60"/>
      <c r="W117" s="38"/>
      <c r="X117" s="11"/>
      <c r="Y117" s="17"/>
      <c r="Z117" s="17"/>
      <c r="AA117" s="70"/>
      <c r="AB117" s="70"/>
      <c r="AC117" s="70"/>
      <c r="AD117" s="43"/>
      <c r="AE117" s="38"/>
      <c r="AF117" s="11"/>
      <c r="AG117" s="6"/>
      <c r="AH117" s="6"/>
      <c r="AI117" s="6"/>
      <c r="AJ117" s="43"/>
      <c r="AK117" s="38"/>
      <c r="AL117" s="11"/>
      <c r="AM117" s="6"/>
      <c r="AN117" s="6"/>
      <c r="AO117" s="6"/>
      <c r="AP117" s="43"/>
    </row>
    <row r="118" spans="1:42">
      <c r="A118" s="37">
        <v>111</v>
      </c>
      <c r="B118" s="139"/>
      <c r="C118" s="235" t="s">
        <v>2048</v>
      </c>
      <c r="D118" s="33"/>
      <c r="E118" s="33"/>
      <c r="F118" s="33"/>
      <c r="G118" s="33"/>
      <c r="H118" s="77" t="s">
        <v>1229</v>
      </c>
      <c r="I118" s="186" t="s">
        <v>1070</v>
      </c>
      <c r="J118" s="146"/>
      <c r="K118" s="125"/>
      <c r="L118" s="6"/>
      <c r="M118" s="6"/>
      <c r="N118" s="6"/>
      <c r="O118" s="51"/>
      <c r="P118" s="51"/>
      <c r="Q118" s="51"/>
      <c r="R118" s="60"/>
      <c r="S118" s="52"/>
      <c r="T118" s="52"/>
      <c r="U118" s="52"/>
      <c r="V118" s="60"/>
      <c r="W118" s="38"/>
      <c r="X118" s="11"/>
      <c r="Y118" s="17"/>
      <c r="Z118" s="17"/>
      <c r="AA118" s="71"/>
      <c r="AB118" s="71"/>
      <c r="AC118" s="71"/>
      <c r="AD118" s="43"/>
      <c r="AE118" s="38"/>
      <c r="AF118" s="11"/>
      <c r="AG118" s="6"/>
      <c r="AH118" s="6"/>
      <c r="AI118" s="6"/>
      <c r="AJ118" s="43"/>
      <c r="AK118" s="38"/>
      <c r="AL118" s="11"/>
      <c r="AM118" s="6"/>
      <c r="AN118" s="6"/>
      <c r="AO118" s="6"/>
      <c r="AP118" s="43"/>
    </row>
    <row r="119" spans="1:42">
      <c r="A119" s="37">
        <v>112</v>
      </c>
      <c r="B119" s="139"/>
      <c r="C119" s="235" t="s">
        <v>1497</v>
      </c>
      <c r="D119" s="33"/>
      <c r="E119" s="33"/>
      <c r="F119" s="33"/>
      <c r="G119" s="33"/>
      <c r="H119" s="153" t="s">
        <v>881</v>
      </c>
      <c r="I119" s="188" t="s">
        <v>1000</v>
      </c>
      <c r="J119" s="144"/>
      <c r="K119" s="125"/>
      <c r="L119" s="6">
        <v>25000</v>
      </c>
      <c r="M119" s="6">
        <v>1250</v>
      </c>
      <c r="N119" s="6">
        <v>26250</v>
      </c>
      <c r="O119" s="51">
        <f>E119</f>
        <v>0</v>
      </c>
      <c r="P119" s="51">
        <f>D119</f>
        <v>0</v>
      </c>
      <c r="Q119" s="51">
        <f>D119</f>
        <v>0</v>
      </c>
      <c r="R119" s="60" t="s">
        <v>91</v>
      </c>
      <c r="S119" s="51">
        <f>E119</f>
        <v>0</v>
      </c>
      <c r="T119" s="51">
        <f>D119</f>
        <v>0</v>
      </c>
      <c r="U119" s="51">
        <f>D119</f>
        <v>0</v>
      </c>
      <c r="V119" s="60"/>
      <c r="W119" s="38">
        <v>219387</v>
      </c>
      <c r="X119" s="11" t="str">
        <f>IFERROR(INDEX([1]Sheet1!$A$2:$X$1948,MATCH($W$2:$W$258,[1]Sheet1!$G$2:$G$1948,0),8),"")</f>
        <v>냉동배추우거지(1Kg/EA)</v>
      </c>
      <c r="Y119" s="17">
        <v>1000</v>
      </c>
      <c r="Z119" s="17"/>
      <c r="AA119" s="70">
        <v>30</v>
      </c>
      <c r="AB119" s="70" t="e">
        <f>T119*AD119</f>
        <v>#DIV/0!</v>
      </c>
      <c r="AC119" s="70" t="e">
        <f>U119*AD119</f>
        <v>#DIV/0!</v>
      </c>
      <c r="AD119" s="43" t="e">
        <f>AA119/E119</f>
        <v>#DIV/0!</v>
      </c>
      <c r="AE119" s="38">
        <v>424285</v>
      </c>
      <c r="AF119" s="11" t="str">
        <f>IFERROR(INDEX([1]Sheet1!$A$2:$X$1948,MATCH($AE$2:$AE$258,[1]Sheet1!$G$2:$G$1948,0),8),"")</f>
        <v>소양지(3*2*0.3cm_저지방 키즈용_국거리용 KG)</v>
      </c>
      <c r="AG119" s="6">
        <v>14</v>
      </c>
      <c r="AH119" s="6" t="e">
        <f>P119*AJ119</f>
        <v>#DIV/0!</v>
      </c>
      <c r="AI119" s="6" t="e">
        <f>Q119*AJ119</f>
        <v>#DIV/0!</v>
      </c>
      <c r="AJ119" s="43" t="e">
        <f>AG119/$E119</f>
        <v>#DIV/0!</v>
      </c>
      <c r="AK119" s="38"/>
      <c r="AL119" s="11">
        <f>IFERROR(INDEX([1]Sheet1!$A$2:$X$1948,MATCH($AK$2:$AK$258,[1]Sheet1!$G$2:$G$1948,0),8),"")</f>
        <v>0</v>
      </c>
      <c r="AM119" s="6"/>
      <c r="AN119" s="6"/>
      <c r="AO119" s="6"/>
      <c r="AP119" s="43"/>
    </row>
    <row r="120" spans="1:42">
      <c r="A120" s="37">
        <v>113</v>
      </c>
      <c r="B120" s="139"/>
      <c r="C120" s="240" t="s">
        <v>813</v>
      </c>
      <c r="D120" s="33"/>
      <c r="E120" s="33"/>
      <c r="F120" s="33"/>
      <c r="G120" s="33"/>
      <c r="H120" s="77" t="s">
        <v>1623</v>
      </c>
      <c r="I120" s="186" t="s">
        <v>1068</v>
      </c>
      <c r="J120" s="146" t="s">
        <v>1281</v>
      </c>
      <c r="K120" s="35"/>
      <c r="L120" s="17"/>
      <c r="M120" s="17"/>
      <c r="N120" s="17"/>
      <c r="O120" s="51"/>
      <c r="P120" s="51"/>
      <c r="Q120" s="51"/>
      <c r="R120" s="60"/>
      <c r="S120" s="51"/>
      <c r="T120" s="53"/>
      <c r="U120" s="53"/>
      <c r="V120" s="60"/>
      <c r="W120" s="81"/>
      <c r="X120" s="11"/>
      <c r="Y120" s="17"/>
      <c r="Z120" s="17"/>
      <c r="AA120" s="70"/>
      <c r="AB120" s="70"/>
      <c r="AC120" s="70"/>
      <c r="AD120" s="43"/>
      <c r="AE120" s="38"/>
      <c r="AF120" s="11"/>
      <c r="AG120" s="6"/>
      <c r="AH120" s="6"/>
      <c r="AI120" s="6"/>
      <c r="AJ120" s="43"/>
      <c r="AK120" s="38"/>
      <c r="AL120" s="11"/>
      <c r="AM120" s="6"/>
      <c r="AN120" s="6"/>
      <c r="AO120" s="6"/>
      <c r="AP120" s="43"/>
    </row>
    <row r="121" spans="1:42">
      <c r="A121" s="37">
        <v>114</v>
      </c>
      <c r="B121" s="139"/>
      <c r="C121" s="235" t="s">
        <v>1351</v>
      </c>
      <c r="D121" s="33"/>
      <c r="E121" s="33"/>
      <c r="F121" s="33"/>
      <c r="G121" s="33"/>
      <c r="H121" s="141" t="s">
        <v>1512</v>
      </c>
      <c r="I121" s="190" t="s">
        <v>1058</v>
      </c>
      <c r="J121" s="145" t="s">
        <v>708</v>
      </c>
      <c r="K121" s="35"/>
      <c r="L121" s="17"/>
      <c r="M121" s="17"/>
      <c r="N121" s="17"/>
      <c r="O121" s="51"/>
      <c r="P121" s="51"/>
      <c r="Q121" s="51"/>
      <c r="R121" s="60"/>
      <c r="S121" s="51"/>
      <c r="T121" s="53"/>
      <c r="U121" s="53"/>
      <c r="V121" s="60"/>
      <c r="W121" s="38"/>
      <c r="X121" s="11"/>
      <c r="Y121" s="17"/>
      <c r="Z121" s="17"/>
      <c r="AA121" s="70"/>
      <c r="AB121" s="70"/>
      <c r="AC121" s="70"/>
      <c r="AD121" s="43"/>
      <c r="AE121" s="38"/>
      <c r="AF121" s="11"/>
      <c r="AG121" s="6"/>
      <c r="AH121" s="6"/>
      <c r="AI121" s="6"/>
      <c r="AJ121" s="43"/>
      <c r="AK121" s="38"/>
      <c r="AL121" s="11"/>
      <c r="AM121" s="6"/>
      <c r="AN121" s="6"/>
      <c r="AO121" s="6"/>
      <c r="AP121" s="43"/>
    </row>
    <row r="122" spans="1:42">
      <c r="A122" s="37">
        <v>115</v>
      </c>
      <c r="B122" s="139"/>
      <c r="C122" s="235" t="s">
        <v>737</v>
      </c>
      <c r="D122" s="33"/>
      <c r="E122" s="33"/>
      <c r="F122" s="33"/>
      <c r="G122" s="33"/>
      <c r="H122" s="77" t="s">
        <v>878</v>
      </c>
      <c r="I122" s="186" t="s">
        <v>998</v>
      </c>
      <c r="J122" s="145" t="s">
        <v>754</v>
      </c>
      <c r="K122" s="125"/>
      <c r="L122" s="6">
        <v>600</v>
      </c>
      <c r="M122" s="6">
        <v>30</v>
      </c>
      <c r="N122" s="6">
        <v>630</v>
      </c>
      <c r="O122" s="51">
        <v>60</v>
      </c>
      <c r="P122" s="51">
        <v>200</v>
      </c>
      <c r="Q122" s="51">
        <v>300</v>
      </c>
      <c r="R122" s="60" t="s">
        <v>91</v>
      </c>
      <c r="S122" s="51"/>
      <c r="T122" s="51"/>
      <c r="U122" s="51"/>
      <c r="V122" s="60"/>
      <c r="W122" s="81">
        <v>411756</v>
      </c>
      <c r="X122" s="11" t="str">
        <f>IFERROR(INDEX([1]Sheet1!$A$2:$X$1948,MATCH($W$2:$W$258,[1]Sheet1!$G$2:$G$1948,0),8),"")</f>
        <v>프레시웨이 돈앞다리(6*5*0.3cm 불고기용 1Kg/EA)</v>
      </c>
      <c r="Y122" s="17">
        <v>1000</v>
      </c>
      <c r="Z122" s="17"/>
      <c r="AA122" s="70">
        <v>50</v>
      </c>
      <c r="AB122" s="70" t="e">
        <f>P122*AD122</f>
        <v>#DIV/0!</v>
      </c>
      <c r="AC122" s="70" t="e">
        <f>Q122*AD122</f>
        <v>#DIV/0!</v>
      </c>
      <c r="AD122" s="43" t="e">
        <f>AA122/E122</f>
        <v>#DIV/0!</v>
      </c>
      <c r="AE122" s="38">
        <v>208301</v>
      </c>
      <c r="AF122" s="11" t="str">
        <f>IFERROR(INDEX([1]Sheet1!$A$2:$X$1948,MATCH($AE$2:$AE$258,[1]Sheet1!$G$2:$G$1948,0),8),"")</f>
        <v>양파(특품 180~240g/개 1Kg/EA)</v>
      </c>
      <c r="AG122" s="6">
        <v>8</v>
      </c>
      <c r="AH122" s="6" t="e">
        <f>P122*AJ122</f>
        <v>#DIV/0!</v>
      </c>
      <c r="AI122" s="6" t="e">
        <f>Q122*AJ122</f>
        <v>#DIV/0!</v>
      </c>
      <c r="AJ122" s="43" t="e">
        <f>AG122/$E122</f>
        <v>#DIV/0!</v>
      </c>
      <c r="AK122" s="38"/>
      <c r="AL122" s="11">
        <f>IFERROR(INDEX([1]Sheet1!$A$2:$X$1948,MATCH($AK$2:$AK$258,[1]Sheet1!$G$2:$G$1948,0),8),"")</f>
        <v>0</v>
      </c>
      <c r="AM122" s="6">
        <v>8</v>
      </c>
      <c r="AN122" s="6" t="e">
        <f>P122*AP122</f>
        <v>#DIV/0!</v>
      </c>
      <c r="AO122" s="6" t="e">
        <f>Q122*AP122</f>
        <v>#DIV/0!</v>
      </c>
      <c r="AP122" s="43" t="e">
        <f>AM122/$E122</f>
        <v>#DIV/0!</v>
      </c>
    </row>
    <row r="123" spans="1:42">
      <c r="A123" s="37">
        <v>116</v>
      </c>
      <c r="B123" s="139"/>
      <c r="C123" s="235" t="s">
        <v>1810</v>
      </c>
      <c r="D123" s="33"/>
      <c r="E123" s="33"/>
      <c r="F123" s="33"/>
      <c r="G123" s="33"/>
      <c r="H123" s="77" t="s">
        <v>1422</v>
      </c>
      <c r="I123" s="186" t="s">
        <v>1423</v>
      </c>
      <c r="J123" s="146"/>
      <c r="K123" s="125"/>
      <c r="L123" s="6"/>
      <c r="M123" s="6"/>
      <c r="N123" s="6"/>
      <c r="O123" s="51"/>
      <c r="P123" s="51"/>
      <c r="Q123" s="51"/>
      <c r="R123" s="60"/>
      <c r="S123" s="51"/>
      <c r="T123" s="51"/>
      <c r="U123" s="51"/>
      <c r="V123" s="60"/>
      <c r="W123" s="38"/>
      <c r="X123" s="11"/>
      <c r="Y123" s="17"/>
      <c r="Z123" s="17"/>
      <c r="AA123" s="70"/>
      <c r="AB123" s="70"/>
      <c r="AC123" s="70"/>
      <c r="AD123" s="43"/>
      <c r="AE123" s="38"/>
      <c r="AF123" s="11"/>
      <c r="AG123" s="6"/>
      <c r="AH123" s="6"/>
      <c r="AI123" s="6"/>
      <c r="AJ123" s="43"/>
      <c r="AK123" s="38"/>
      <c r="AL123" s="11"/>
      <c r="AM123" s="6"/>
      <c r="AN123" s="6"/>
      <c r="AO123" s="6"/>
      <c r="AP123" s="43"/>
    </row>
    <row r="124" spans="1:42" ht="15" customHeight="1">
      <c r="A124" s="37">
        <v>117</v>
      </c>
      <c r="B124" s="139"/>
      <c r="C124" s="235" t="s">
        <v>1439</v>
      </c>
      <c r="D124" s="33"/>
      <c r="E124" s="33"/>
      <c r="F124" s="33"/>
      <c r="G124" s="33"/>
      <c r="H124" s="77" t="s">
        <v>1440</v>
      </c>
      <c r="I124" s="186" t="s">
        <v>1105</v>
      </c>
      <c r="J124" s="148"/>
      <c r="K124" s="35"/>
      <c r="L124" s="17"/>
      <c r="M124" s="17"/>
      <c r="N124" s="11"/>
      <c r="O124" s="51"/>
      <c r="P124" s="51"/>
      <c r="Q124" s="51"/>
      <c r="R124" s="60"/>
      <c r="S124" s="51"/>
      <c r="T124" s="53"/>
      <c r="U124" s="53"/>
      <c r="V124" s="60"/>
      <c r="W124" s="38"/>
      <c r="X124" s="77"/>
      <c r="Y124" s="17"/>
      <c r="Z124" s="17"/>
      <c r="AA124" s="70"/>
      <c r="AB124" s="70"/>
      <c r="AC124" s="70"/>
      <c r="AD124" s="43"/>
      <c r="AE124" s="38"/>
      <c r="AF124" s="11"/>
      <c r="AG124" s="6"/>
      <c r="AH124" s="6"/>
      <c r="AI124" s="6"/>
      <c r="AJ124" s="43"/>
      <c r="AK124" s="38"/>
      <c r="AL124" s="11"/>
      <c r="AM124" s="6"/>
      <c r="AN124" s="6"/>
      <c r="AO124" s="6"/>
      <c r="AP124" s="43"/>
    </row>
    <row r="125" spans="1:42">
      <c r="A125" s="37">
        <v>118</v>
      </c>
      <c r="B125" s="139"/>
      <c r="C125" s="235" t="s">
        <v>826</v>
      </c>
      <c r="D125" s="33"/>
      <c r="E125" s="33"/>
      <c r="F125" s="33"/>
      <c r="G125" s="33"/>
      <c r="H125" s="141" t="s">
        <v>1859</v>
      </c>
      <c r="I125" s="190" t="s">
        <v>1436</v>
      </c>
      <c r="J125" s="145"/>
      <c r="K125" s="35"/>
      <c r="L125" s="17"/>
      <c r="M125" s="17"/>
      <c r="N125" s="17"/>
      <c r="O125" s="51"/>
      <c r="P125" s="51"/>
      <c r="Q125" s="51"/>
      <c r="R125" s="60"/>
      <c r="S125" s="51"/>
      <c r="T125" s="53"/>
      <c r="U125" s="53"/>
      <c r="V125" s="60"/>
      <c r="W125" s="38"/>
      <c r="X125" s="11"/>
      <c r="Y125" s="17"/>
      <c r="Z125" s="17"/>
      <c r="AA125" s="70"/>
      <c r="AB125" s="70"/>
      <c r="AC125" s="70"/>
      <c r="AD125" s="43"/>
      <c r="AE125" s="38"/>
      <c r="AF125" s="11"/>
      <c r="AG125" s="6"/>
      <c r="AH125" s="6"/>
      <c r="AI125" s="6"/>
      <c r="AJ125" s="43"/>
      <c r="AK125" s="38"/>
      <c r="AL125" s="11"/>
      <c r="AM125" s="6"/>
      <c r="AN125" s="6"/>
      <c r="AO125" s="6"/>
      <c r="AP125" s="43"/>
    </row>
    <row r="126" spans="1:42" ht="27">
      <c r="A126" s="37">
        <v>119</v>
      </c>
      <c r="B126" s="139"/>
      <c r="C126" s="235" t="s">
        <v>1500</v>
      </c>
      <c r="D126" s="33"/>
      <c r="E126" s="33"/>
      <c r="F126" s="33"/>
      <c r="G126" s="33"/>
      <c r="H126" s="77" t="s">
        <v>1685</v>
      </c>
      <c r="I126" s="186" t="s">
        <v>1000</v>
      </c>
      <c r="J126" s="146"/>
      <c r="K126" s="35"/>
      <c r="L126" s="17"/>
      <c r="M126" s="17"/>
      <c r="N126" s="17"/>
      <c r="O126" s="51"/>
      <c r="P126" s="51"/>
      <c r="Q126" s="51"/>
      <c r="R126" s="60"/>
      <c r="S126" s="51"/>
      <c r="T126" s="53"/>
      <c r="U126" s="53"/>
      <c r="V126" s="60"/>
      <c r="W126" s="81"/>
      <c r="X126" s="11"/>
      <c r="Y126" s="17"/>
      <c r="Z126" s="17"/>
      <c r="AA126" s="70"/>
      <c r="AB126" s="70"/>
      <c r="AC126" s="70"/>
      <c r="AD126" s="43"/>
      <c r="AE126" s="38"/>
      <c r="AF126" s="11"/>
      <c r="AG126" s="6"/>
      <c r="AH126" s="6"/>
      <c r="AI126" s="6"/>
      <c r="AJ126" s="43"/>
      <c r="AK126" s="38"/>
      <c r="AL126" s="11"/>
      <c r="AM126" s="6"/>
      <c r="AN126" s="6"/>
      <c r="AO126" s="6"/>
      <c r="AP126" s="43"/>
    </row>
    <row r="127" spans="1:42">
      <c r="A127" s="37">
        <v>120</v>
      </c>
      <c r="B127" s="139"/>
      <c r="C127" s="235" t="s">
        <v>1738</v>
      </c>
      <c r="D127" s="33"/>
      <c r="E127" s="33"/>
      <c r="F127" s="33"/>
      <c r="G127" s="33"/>
      <c r="H127" s="77" t="s">
        <v>1868</v>
      </c>
      <c r="I127" s="186" t="s">
        <v>1739</v>
      </c>
      <c r="J127" s="146"/>
      <c r="K127" s="35"/>
      <c r="L127" s="17"/>
      <c r="M127" s="17"/>
      <c r="N127" s="17"/>
      <c r="O127" s="51"/>
      <c r="P127" s="51"/>
      <c r="Q127" s="51"/>
      <c r="R127" s="60"/>
      <c r="S127" s="51"/>
      <c r="T127" s="53"/>
      <c r="U127" s="53"/>
      <c r="V127" s="60"/>
      <c r="W127" s="81"/>
      <c r="X127" s="11"/>
      <c r="Y127" s="17"/>
      <c r="Z127" s="17"/>
      <c r="AA127" s="70"/>
      <c r="AB127" s="70"/>
      <c r="AC127" s="70"/>
      <c r="AD127" s="43"/>
      <c r="AE127" s="38"/>
      <c r="AF127" s="11"/>
      <c r="AG127" s="6"/>
      <c r="AH127" s="6"/>
      <c r="AI127" s="6"/>
      <c r="AJ127" s="43"/>
      <c r="AK127" s="38"/>
      <c r="AL127" s="11"/>
      <c r="AM127" s="6"/>
      <c r="AN127" s="6"/>
      <c r="AO127" s="6"/>
      <c r="AP127" s="43"/>
    </row>
    <row r="128" spans="1:42">
      <c r="A128" s="37">
        <v>121</v>
      </c>
      <c r="B128" s="139"/>
      <c r="C128" s="235" t="s">
        <v>696</v>
      </c>
      <c r="D128" s="33"/>
      <c r="E128" s="33"/>
      <c r="F128" s="33"/>
      <c r="G128" s="33"/>
      <c r="H128" s="77" t="s">
        <v>1437</v>
      </c>
      <c r="I128" s="186" t="s">
        <v>1438</v>
      </c>
      <c r="J128" s="151" t="s">
        <v>1523</v>
      </c>
      <c r="K128" s="35"/>
      <c r="L128" s="17">
        <v>5400</v>
      </c>
      <c r="M128" s="17">
        <v>270</v>
      </c>
      <c r="N128" s="17">
        <v>5670</v>
      </c>
      <c r="O128" s="51">
        <f>E128</f>
        <v>0</v>
      </c>
      <c r="P128" s="51">
        <v>250</v>
      </c>
      <c r="Q128" s="51">
        <v>390</v>
      </c>
      <c r="R128" s="60" t="s">
        <v>91</v>
      </c>
      <c r="S128" s="51"/>
      <c r="T128" s="53"/>
      <c r="U128" s="53"/>
      <c r="V128" s="60"/>
      <c r="W128" s="81">
        <v>422627</v>
      </c>
      <c r="X128" s="11" t="str">
        <f>IFERROR(INDEX([1]Sheet1!$A$2:$X$1948,MATCH($W$2:$W$258,[1]Sheet1!$G$2:$G$1948,0),8),"")</f>
        <v>돈사태(2*2*2cm 키즈용_장조림용 KG)</v>
      </c>
      <c r="Y128" s="17">
        <v>1000</v>
      </c>
      <c r="Z128" s="17"/>
      <c r="AA128" s="70">
        <v>50</v>
      </c>
      <c r="AB128" s="70" t="e">
        <f>P128*AD128</f>
        <v>#DIV/0!</v>
      </c>
      <c r="AC128" s="70" t="e">
        <f>Q128*AD128</f>
        <v>#DIV/0!</v>
      </c>
      <c r="AD128" s="43" t="e">
        <f>AA128/E128</f>
        <v>#DIV/0!</v>
      </c>
      <c r="AE128" s="38">
        <v>210182</v>
      </c>
      <c r="AF128" s="11" t="str">
        <f>IFERROR(INDEX([1]Sheet1!$A$2:$X$1948,MATCH($AE$2:$AE$258,[1]Sheet1!$G$2:$G$1948,0),8),"")</f>
        <v>냉동홍피망(다이스 1Kg/EA)</v>
      </c>
      <c r="AG128" s="6"/>
      <c r="AH128" s="6" t="e">
        <f>P128*AJ128</f>
        <v>#DIV/0!</v>
      </c>
      <c r="AI128" s="6" t="e">
        <f>Q128*AJ128</f>
        <v>#DIV/0!</v>
      </c>
      <c r="AJ128" s="43" t="e">
        <f>AG128/$E128</f>
        <v>#DIV/0!</v>
      </c>
      <c r="AK128" s="38"/>
      <c r="AL128" s="11">
        <f>IFERROR(INDEX([1]Sheet1!$A$2:$X$1948,MATCH($AK$2:$AK$258,[1]Sheet1!$G$2:$G$1948,0),8),"")</f>
        <v>0</v>
      </c>
      <c r="AM128" s="6"/>
      <c r="AN128" s="6" t="e">
        <f>P128*AP128</f>
        <v>#DIV/0!</v>
      </c>
      <c r="AO128" s="6" t="e">
        <f>Q128*AP128</f>
        <v>#DIV/0!</v>
      </c>
      <c r="AP128" s="43" t="e">
        <f>AM128/$E128</f>
        <v>#DIV/0!</v>
      </c>
    </row>
    <row r="129" spans="1:42">
      <c r="A129" s="37">
        <v>122</v>
      </c>
      <c r="B129" s="139"/>
      <c r="C129" s="240" t="s">
        <v>770</v>
      </c>
      <c r="D129" s="33"/>
      <c r="E129" s="33"/>
      <c r="F129" s="33"/>
      <c r="G129" s="33"/>
      <c r="H129" s="77" t="s">
        <v>771</v>
      </c>
      <c r="I129" s="186" t="s">
        <v>1130</v>
      </c>
      <c r="J129" s="146" t="s">
        <v>772</v>
      </c>
      <c r="K129" s="35"/>
      <c r="L129" s="17">
        <v>21960</v>
      </c>
      <c r="M129" s="17">
        <v>1098</v>
      </c>
      <c r="N129" s="17">
        <v>23058</v>
      </c>
      <c r="O129" s="51"/>
      <c r="P129" s="51"/>
      <c r="Q129" s="51"/>
      <c r="R129" s="60"/>
      <c r="S129" s="51"/>
      <c r="T129" s="53"/>
      <c r="U129" s="53"/>
      <c r="V129" s="60"/>
      <c r="W129" s="38"/>
      <c r="X129" s="11"/>
      <c r="Y129" s="17"/>
      <c r="Z129" s="17"/>
      <c r="AA129" s="70"/>
      <c r="AB129" s="70"/>
      <c r="AC129" s="70"/>
      <c r="AD129" s="43"/>
      <c r="AE129" s="38"/>
      <c r="AF129" s="11"/>
      <c r="AG129" s="6"/>
      <c r="AH129" s="6"/>
      <c r="AI129" s="6"/>
      <c r="AJ129" s="43"/>
      <c r="AK129" s="38"/>
      <c r="AL129" s="11"/>
      <c r="AM129" s="6"/>
      <c r="AN129" s="6"/>
      <c r="AO129" s="6"/>
      <c r="AP129" s="43"/>
    </row>
    <row r="130" spans="1:42">
      <c r="A130" s="37">
        <v>123</v>
      </c>
      <c r="B130" s="139"/>
      <c r="C130" s="235" t="s">
        <v>1261</v>
      </c>
      <c r="D130" s="33"/>
      <c r="E130" s="33"/>
      <c r="F130" s="33"/>
      <c r="G130" s="33"/>
      <c r="H130" s="141" t="s">
        <v>1655</v>
      </c>
      <c r="I130" s="190" t="s">
        <v>1246</v>
      </c>
      <c r="J130" s="145" t="s">
        <v>1247</v>
      </c>
      <c r="K130" s="35"/>
      <c r="L130" s="17"/>
      <c r="M130" s="17"/>
      <c r="N130" s="17"/>
      <c r="O130" s="51"/>
      <c r="P130" s="51"/>
      <c r="Q130" s="51"/>
      <c r="R130" s="60"/>
      <c r="S130" s="51"/>
      <c r="T130" s="53"/>
      <c r="U130" s="53"/>
      <c r="V130" s="60"/>
      <c r="W130" s="38"/>
      <c r="X130" s="11"/>
      <c r="Y130" s="17"/>
      <c r="Z130" s="17"/>
      <c r="AA130" s="70"/>
      <c r="AB130" s="70"/>
      <c r="AC130" s="70"/>
      <c r="AD130" s="43"/>
      <c r="AE130" s="38"/>
      <c r="AF130" s="11"/>
      <c r="AG130" s="6"/>
      <c r="AH130" s="6"/>
      <c r="AI130" s="6"/>
      <c r="AJ130" s="43"/>
      <c r="AK130" s="38"/>
      <c r="AL130" s="11"/>
      <c r="AM130" s="6"/>
      <c r="AN130" s="6"/>
      <c r="AO130" s="6"/>
      <c r="AP130" s="43"/>
    </row>
    <row r="131" spans="1:42">
      <c r="A131" s="37">
        <v>124</v>
      </c>
      <c r="B131" s="139"/>
      <c r="C131" s="235" t="s">
        <v>1945</v>
      </c>
      <c r="D131" s="33"/>
      <c r="E131" s="33"/>
      <c r="F131" s="33"/>
      <c r="G131" s="33"/>
      <c r="H131" s="77" t="s">
        <v>1946</v>
      </c>
      <c r="I131" s="190" t="s">
        <v>1947</v>
      </c>
      <c r="J131" s="145" t="s">
        <v>1948</v>
      </c>
      <c r="K131" s="35"/>
      <c r="L131" s="17"/>
      <c r="M131" s="17"/>
      <c r="N131" s="17"/>
      <c r="O131" s="51"/>
      <c r="P131" s="51"/>
      <c r="Q131" s="51"/>
      <c r="R131" s="60"/>
      <c r="S131" s="51"/>
      <c r="T131" s="53"/>
      <c r="U131" s="53"/>
      <c r="V131" s="60"/>
      <c r="W131" s="38"/>
      <c r="X131" s="11"/>
      <c r="Y131" s="17"/>
      <c r="Z131" s="17"/>
      <c r="AA131" s="70"/>
      <c r="AB131" s="70"/>
      <c r="AC131" s="70"/>
      <c r="AD131" s="43"/>
      <c r="AE131" s="38"/>
      <c r="AF131" s="11"/>
      <c r="AG131" s="6"/>
      <c r="AH131" s="6"/>
      <c r="AI131" s="6"/>
      <c r="AJ131" s="43"/>
      <c r="AK131" s="38"/>
      <c r="AL131" s="11"/>
      <c r="AM131" s="6"/>
      <c r="AN131" s="6"/>
      <c r="AO131" s="6"/>
      <c r="AP131" s="43"/>
    </row>
    <row r="132" spans="1:42">
      <c r="A132" s="37">
        <v>125</v>
      </c>
      <c r="B132" s="139"/>
      <c r="C132" s="235" t="s">
        <v>2067</v>
      </c>
      <c r="D132" s="33"/>
      <c r="E132" s="33"/>
      <c r="F132" s="33"/>
      <c r="G132" s="33"/>
      <c r="H132" s="77" t="s">
        <v>1504</v>
      </c>
      <c r="I132" s="186" t="s">
        <v>1000</v>
      </c>
      <c r="J132" s="146"/>
      <c r="K132" s="35"/>
      <c r="L132" s="17">
        <v>27600</v>
      </c>
      <c r="M132" s="17">
        <v>1380</v>
      </c>
      <c r="N132" s="17">
        <v>28980</v>
      </c>
      <c r="O132" s="51">
        <f>E132</f>
        <v>0</v>
      </c>
      <c r="P132" s="51">
        <v>200</v>
      </c>
      <c r="Q132" s="51">
        <v>300</v>
      </c>
      <c r="R132" s="60" t="s">
        <v>91</v>
      </c>
      <c r="S132" s="51"/>
      <c r="T132" s="53"/>
      <c r="U132" s="53"/>
      <c r="V132" s="60"/>
      <c r="W132" s="38">
        <v>205184</v>
      </c>
      <c r="X132" s="11" t="str">
        <f>IFERROR(INDEX([1]Sheet1!$A$2:$X$1948,MATCH($W$2:$W$258,[1]Sheet1!$G$2:$G$1948,0),8),"")</f>
        <v>단호박(상품 2등분_속제거 KG)</v>
      </c>
      <c r="Y132" s="17">
        <v>1000</v>
      </c>
      <c r="Z132" s="17"/>
      <c r="AA132" s="70">
        <v>27</v>
      </c>
      <c r="AB132" s="70" t="e">
        <f>P132*AD132</f>
        <v>#DIV/0!</v>
      </c>
      <c r="AC132" s="70" t="e">
        <f>Q132*AD132</f>
        <v>#DIV/0!</v>
      </c>
      <c r="AD132" s="43" t="e">
        <f>AA132/E132</f>
        <v>#DIV/0!</v>
      </c>
      <c r="AE132" s="38">
        <v>212132</v>
      </c>
      <c r="AF132" s="11" t="str">
        <f>IFERROR(INDEX([1]Sheet1!$A$2:$X$1948,MATCH($AE$2:$AE$258,[1]Sheet1!$G$2:$G$1948,0),8),"")</f>
        <v>냉동고구마(맛탕용 1Kg/EA)</v>
      </c>
      <c r="AG132" s="6">
        <v>12</v>
      </c>
      <c r="AH132" s="6" t="e">
        <f>P132*AJ132</f>
        <v>#DIV/0!</v>
      </c>
      <c r="AI132" s="6" t="e">
        <f>Q132*AJ132</f>
        <v>#DIV/0!</v>
      </c>
      <c r="AJ132" s="43" t="e">
        <f>AG132/$E132</f>
        <v>#DIV/0!</v>
      </c>
      <c r="AK132" s="38"/>
      <c r="AL132" s="11">
        <f>IFERROR(INDEX([1]Sheet1!$A$2:$X$1948,MATCH($AK$2:$AK$258,[1]Sheet1!$G$2:$G$1948,0),8),"")</f>
        <v>0</v>
      </c>
      <c r="AM132" s="6"/>
      <c r="AN132" s="6" t="e">
        <f>P132*AP132</f>
        <v>#DIV/0!</v>
      </c>
      <c r="AO132" s="6" t="e">
        <f>Q132*AP132</f>
        <v>#DIV/0!</v>
      </c>
      <c r="AP132" s="43" t="e">
        <f>AM132/$E132</f>
        <v>#DIV/0!</v>
      </c>
    </row>
    <row r="133" spans="1:42">
      <c r="A133" s="37">
        <v>126</v>
      </c>
      <c r="B133" s="139"/>
      <c r="C133" s="142" t="s">
        <v>1522</v>
      </c>
      <c r="D133" s="33"/>
      <c r="E133" s="33"/>
      <c r="F133" s="33"/>
      <c r="G133" s="33"/>
      <c r="H133" s="77" t="s">
        <v>1545</v>
      </c>
      <c r="I133" s="186" t="s">
        <v>998</v>
      </c>
      <c r="J133" s="151"/>
      <c r="K133" s="35"/>
      <c r="L133" s="17"/>
      <c r="M133" s="17"/>
      <c r="N133" s="17"/>
      <c r="O133" s="51"/>
      <c r="P133" s="51"/>
      <c r="Q133" s="51"/>
      <c r="R133" s="60"/>
      <c r="S133" s="51"/>
      <c r="T133" s="53"/>
      <c r="U133" s="53"/>
      <c r="V133" s="60"/>
      <c r="W133" s="81"/>
      <c r="X133" s="11"/>
      <c r="Y133" s="17"/>
      <c r="Z133" s="17"/>
      <c r="AA133" s="70"/>
      <c r="AB133" s="70"/>
      <c r="AC133" s="70"/>
      <c r="AD133" s="43"/>
      <c r="AE133" s="38"/>
      <c r="AF133" s="11"/>
      <c r="AG133" s="6"/>
      <c r="AH133" s="6"/>
      <c r="AI133" s="6"/>
      <c r="AJ133" s="43"/>
      <c r="AK133" s="38"/>
      <c r="AL133" s="11"/>
      <c r="AM133" s="6"/>
      <c r="AN133" s="6"/>
      <c r="AO133" s="6"/>
      <c r="AP133" s="43"/>
    </row>
    <row r="134" spans="1:42">
      <c r="A134" s="37">
        <v>127</v>
      </c>
      <c r="B134" s="139"/>
      <c r="C134" s="142" t="s">
        <v>1283</v>
      </c>
      <c r="D134" s="33"/>
      <c r="E134" s="33"/>
      <c r="F134" s="33"/>
      <c r="G134" s="33"/>
      <c r="H134" s="77" t="s">
        <v>1503</v>
      </c>
      <c r="I134" s="186" t="s">
        <v>1000</v>
      </c>
      <c r="J134" s="146"/>
      <c r="K134" s="35"/>
      <c r="L134" s="17">
        <v>12240</v>
      </c>
      <c r="M134" s="17">
        <v>612</v>
      </c>
      <c r="N134" s="17">
        <v>12852</v>
      </c>
      <c r="O134" s="51">
        <f>E134</f>
        <v>0</v>
      </c>
      <c r="P134" s="51">
        <v>200</v>
      </c>
      <c r="Q134" s="51">
        <v>350</v>
      </c>
      <c r="R134" s="60" t="s">
        <v>91</v>
      </c>
      <c r="S134" s="51"/>
      <c r="T134" s="53"/>
      <c r="U134" s="53"/>
      <c r="V134" s="60"/>
      <c r="W134" s="81">
        <v>408460</v>
      </c>
      <c r="X134" s="11" t="str">
        <f>IFERROR(INDEX([1]Sheet1!$A$2:$X$1948,MATCH($W$2:$W$258,[1]Sheet1!$G$2:$G$1948,0),8),"")</f>
        <v>한우목심(2등급 4*4*0.3cm 불고기용 KG)</v>
      </c>
      <c r="Y134" s="17">
        <v>1000</v>
      </c>
      <c r="Z134" s="17"/>
      <c r="AA134" s="70">
        <v>60</v>
      </c>
      <c r="AB134" s="70" t="e">
        <f>P134*AD134</f>
        <v>#DIV/0!</v>
      </c>
      <c r="AC134" s="70" t="e">
        <f>Q134*AD134</f>
        <v>#DIV/0!</v>
      </c>
      <c r="AD134" s="43" t="e">
        <f>AA134/E134</f>
        <v>#DIV/0!</v>
      </c>
      <c r="AE134" s="38">
        <v>211037</v>
      </c>
      <c r="AF134" s="82" t="str">
        <f>IFERROR(INDEX([1]Sheet1!$A$2:$X$1948,MATCH($AE$2:$AE$258,[1]Sheet1!$G$2:$G$1948,0),8),"")</f>
        <v>느타리버섯(실속 균상 2Kg/EA)</v>
      </c>
      <c r="AG134" s="6">
        <v>10</v>
      </c>
      <c r="AH134" s="6" t="e">
        <f>P134*AJ134</f>
        <v>#DIV/0!</v>
      </c>
      <c r="AI134" s="6" t="e">
        <f>Q134*AJ134</f>
        <v>#DIV/0!</v>
      </c>
      <c r="AJ134" s="43" t="e">
        <f>AG134/$E134</f>
        <v>#DIV/0!</v>
      </c>
      <c r="AK134" s="38"/>
      <c r="AL134" s="11">
        <f>IFERROR(INDEX([1]Sheet1!$A$2:$X$1948,MATCH($AK$2:$AK$258,[1]Sheet1!$G$2:$G$1948,0),8),"")</f>
        <v>0</v>
      </c>
      <c r="AM134" s="6">
        <v>10</v>
      </c>
      <c r="AN134" s="6" t="e">
        <f>P134*AP134</f>
        <v>#DIV/0!</v>
      </c>
      <c r="AO134" s="6" t="e">
        <f>Q134*AP134</f>
        <v>#DIV/0!</v>
      </c>
      <c r="AP134" s="43" t="e">
        <f>AM134/$E134</f>
        <v>#DIV/0!</v>
      </c>
    </row>
    <row r="135" spans="1:42">
      <c r="A135" s="37"/>
      <c r="B135" s="139"/>
      <c r="C135" s="142" t="s">
        <v>2123</v>
      </c>
      <c r="D135" s="33"/>
      <c r="E135" s="33"/>
      <c r="F135" s="33"/>
      <c r="G135" s="33"/>
      <c r="H135" s="77" t="s">
        <v>2124</v>
      </c>
      <c r="I135" s="186" t="s">
        <v>1000</v>
      </c>
      <c r="J135" s="146"/>
      <c r="K135" s="35"/>
      <c r="L135" s="17"/>
      <c r="M135" s="17"/>
      <c r="N135" s="17"/>
      <c r="O135" s="51"/>
      <c r="P135" s="51"/>
      <c r="Q135" s="51"/>
      <c r="R135" s="60"/>
      <c r="S135" s="51"/>
      <c r="T135" s="53"/>
      <c r="U135" s="53"/>
      <c r="V135" s="60"/>
      <c r="W135" s="81"/>
      <c r="X135" s="11"/>
      <c r="Y135" s="17"/>
      <c r="Z135" s="17"/>
      <c r="AA135" s="70"/>
      <c r="AB135" s="70"/>
      <c r="AC135" s="70"/>
      <c r="AD135" s="43"/>
      <c r="AE135" s="38"/>
      <c r="AF135" s="82"/>
      <c r="AG135" s="6"/>
      <c r="AH135" s="6"/>
      <c r="AI135" s="6"/>
      <c r="AJ135" s="43"/>
      <c r="AK135" s="38"/>
      <c r="AL135" s="11"/>
      <c r="AM135" s="6"/>
      <c r="AN135" s="6"/>
      <c r="AO135" s="6"/>
      <c r="AP135" s="43"/>
    </row>
    <row r="136" spans="1:42">
      <c r="A136" s="37">
        <v>128</v>
      </c>
      <c r="B136" s="139"/>
      <c r="C136" s="142" t="s">
        <v>847</v>
      </c>
      <c r="D136" s="33"/>
      <c r="E136" s="33"/>
      <c r="F136" s="33"/>
      <c r="G136" s="33"/>
      <c r="H136" s="146" t="s">
        <v>1453</v>
      </c>
      <c r="I136" s="186" t="s">
        <v>1145</v>
      </c>
      <c r="J136" s="146" t="s">
        <v>1316</v>
      </c>
      <c r="K136" s="128"/>
      <c r="L136" s="6"/>
      <c r="M136" s="6"/>
      <c r="N136" s="6"/>
      <c r="O136" s="51"/>
      <c r="P136" s="51"/>
      <c r="Q136" s="51"/>
      <c r="R136" s="60"/>
      <c r="S136" s="51"/>
      <c r="T136" s="51"/>
      <c r="U136" s="51"/>
      <c r="V136" s="60"/>
      <c r="W136" s="81"/>
      <c r="X136" s="11"/>
      <c r="Y136" s="17"/>
      <c r="Z136" s="17"/>
      <c r="AA136" s="70"/>
      <c r="AB136" s="70"/>
      <c r="AC136" s="70"/>
      <c r="AD136" s="43"/>
      <c r="AE136" s="38"/>
      <c r="AF136" s="11"/>
      <c r="AG136" s="6"/>
      <c r="AH136" s="6"/>
      <c r="AI136" s="6"/>
      <c r="AJ136" s="43"/>
      <c r="AK136" s="38"/>
      <c r="AL136" s="11"/>
      <c r="AM136" s="6"/>
      <c r="AN136" s="6"/>
      <c r="AO136" s="6"/>
      <c r="AP136" s="43"/>
    </row>
    <row r="137" spans="1:42">
      <c r="A137" s="37">
        <v>129</v>
      </c>
      <c r="B137" s="139"/>
      <c r="C137" s="142" t="s">
        <v>1519</v>
      </c>
      <c r="D137" s="33"/>
      <c r="E137" s="33"/>
      <c r="F137" s="33"/>
      <c r="G137" s="33"/>
      <c r="H137" s="77" t="s">
        <v>1520</v>
      </c>
      <c r="I137" s="186" t="s">
        <v>1386</v>
      </c>
      <c r="J137" s="146"/>
      <c r="K137" s="35"/>
      <c r="L137" s="17"/>
      <c r="M137" s="17"/>
      <c r="N137" s="17"/>
      <c r="O137" s="51"/>
      <c r="P137" s="51"/>
      <c r="Q137" s="51"/>
      <c r="R137" s="60"/>
      <c r="S137" s="52"/>
      <c r="T137" s="52"/>
      <c r="U137" s="52"/>
      <c r="V137" s="60"/>
      <c r="W137" s="38"/>
      <c r="X137" s="11"/>
      <c r="Y137" s="17"/>
      <c r="Z137" s="17"/>
      <c r="AA137" s="71"/>
      <c r="AB137" s="71"/>
      <c r="AC137" s="71"/>
      <c r="AD137" s="43"/>
      <c r="AE137" s="38"/>
      <c r="AF137" s="11"/>
      <c r="AG137" s="6"/>
      <c r="AH137" s="6"/>
      <c r="AI137" s="6"/>
      <c r="AJ137" s="43"/>
      <c r="AK137" s="38"/>
      <c r="AL137" s="11"/>
      <c r="AM137" s="6"/>
      <c r="AN137" s="6"/>
      <c r="AO137" s="6"/>
      <c r="AP137" s="43"/>
    </row>
    <row r="138" spans="1:42">
      <c r="A138" s="37">
        <v>130</v>
      </c>
      <c r="B138" s="139"/>
      <c r="C138" s="142" t="s">
        <v>1594</v>
      </c>
      <c r="D138" s="33"/>
      <c r="E138" s="33"/>
      <c r="F138" s="33"/>
      <c r="G138" s="33"/>
      <c r="H138" s="77" t="s">
        <v>1596</v>
      </c>
      <c r="I138" s="186" t="s">
        <v>1105</v>
      </c>
      <c r="J138" s="146" t="s">
        <v>1595</v>
      </c>
      <c r="K138" s="35"/>
      <c r="L138" s="17"/>
      <c r="M138" s="17"/>
      <c r="N138" s="17"/>
      <c r="O138" s="51"/>
      <c r="P138" s="51"/>
      <c r="Q138" s="51"/>
      <c r="R138" s="60"/>
      <c r="S138" s="52"/>
      <c r="T138" s="52"/>
      <c r="U138" s="52"/>
      <c r="V138" s="60"/>
      <c r="W138" s="38"/>
      <c r="X138" s="11"/>
      <c r="Y138" s="17"/>
      <c r="Z138" s="17"/>
      <c r="AA138" s="71"/>
      <c r="AB138" s="71"/>
      <c r="AC138" s="71"/>
      <c r="AD138" s="43"/>
      <c r="AE138" s="38"/>
      <c r="AF138" s="11"/>
      <c r="AG138" s="6"/>
      <c r="AH138" s="6"/>
      <c r="AI138" s="6"/>
      <c r="AJ138" s="43"/>
      <c r="AK138" s="38"/>
      <c r="AL138" s="11"/>
      <c r="AM138" s="6"/>
      <c r="AN138" s="6"/>
      <c r="AO138" s="6"/>
      <c r="AP138" s="43"/>
    </row>
    <row r="139" spans="1:42" ht="28.5" customHeight="1">
      <c r="A139" s="37">
        <v>131</v>
      </c>
      <c r="B139" s="139"/>
      <c r="C139" s="142" t="s">
        <v>1987</v>
      </c>
      <c r="D139" s="33"/>
      <c r="E139" s="33"/>
      <c r="F139" s="33"/>
      <c r="G139" s="33"/>
      <c r="H139" s="77" t="s">
        <v>2036</v>
      </c>
      <c r="I139" s="186" t="s">
        <v>1986</v>
      </c>
      <c r="J139" s="146"/>
      <c r="K139" s="125"/>
      <c r="L139" s="6"/>
      <c r="M139" s="6"/>
      <c r="N139" s="6"/>
      <c r="O139" s="51"/>
      <c r="P139" s="51"/>
      <c r="Q139" s="51"/>
      <c r="R139" s="60"/>
      <c r="S139" s="51"/>
      <c r="T139" s="51"/>
      <c r="U139" s="51"/>
      <c r="V139" s="60"/>
      <c r="W139" s="38"/>
      <c r="X139" s="11"/>
      <c r="Y139" s="17"/>
      <c r="Z139" s="17"/>
      <c r="AA139" s="70"/>
      <c r="AB139" s="70"/>
      <c r="AC139" s="70"/>
      <c r="AD139" s="43"/>
      <c r="AE139" s="38"/>
      <c r="AF139" s="11"/>
      <c r="AG139" s="6"/>
      <c r="AH139" s="6"/>
      <c r="AI139" s="6"/>
      <c r="AJ139" s="43"/>
      <c r="AK139" s="38"/>
      <c r="AL139" s="11"/>
      <c r="AM139" s="6"/>
      <c r="AN139" s="6"/>
      <c r="AO139" s="6"/>
      <c r="AP139" s="43"/>
    </row>
    <row r="140" spans="1:42">
      <c r="A140" s="37">
        <v>132</v>
      </c>
      <c r="B140" s="139"/>
      <c r="C140" s="142" t="s">
        <v>654</v>
      </c>
      <c r="D140" s="33"/>
      <c r="E140" s="33"/>
      <c r="F140" s="33"/>
      <c r="G140" s="33"/>
      <c r="H140" s="77" t="s">
        <v>871</v>
      </c>
      <c r="I140" s="186" t="s">
        <v>1000</v>
      </c>
      <c r="J140" s="146"/>
      <c r="K140" s="35"/>
      <c r="L140" s="17"/>
      <c r="M140" s="17"/>
      <c r="N140" s="17"/>
      <c r="O140" s="51"/>
      <c r="P140" s="51"/>
      <c r="Q140" s="51"/>
      <c r="R140" s="60"/>
      <c r="S140" s="51"/>
      <c r="T140" s="53"/>
      <c r="U140" s="53"/>
      <c r="V140" s="60"/>
      <c r="W140" s="81"/>
      <c r="X140" s="11"/>
      <c r="Y140" s="17"/>
      <c r="Z140" s="17"/>
      <c r="AA140" s="70"/>
      <c r="AB140" s="70"/>
      <c r="AC140" s="70"/>
      <c r="AD140" s="43"/>
      <c r="AE140" s="38"/>
      <c r="AF140" s="11"/>
      <c r="AG140" s="6"/>
      <c r="AH140" s="6"/>
      <c r="AI140" s="6"/>
      <c r="AJ140" s="43"/>
      <c r="AK140" s="38"/>
      <c r="AL140" s="11"/>
      <c r="AM140" s="6"/>
      <c r="AN140" s="6"/>
      <c r="AO140" s="6"/>
      <c r="AP140" s="43"/>
    </row>
    <row r="141" spans="1:42" ht="20.100000000000001" customHeight="1">
      <c r="A141" s="37">
        <v>133</v>
      </c>
      <c r="B141" s="139"/>
      <c r="C141" s="142" t="s">
        <v>2220</v>
      </c>
      <c r="D141" s="33"/>
      <c r="E141" s="33"/>
      <c r="F141" s="33"/>
      <c r="G141" s="33"/>
      <c r="H141" s="77" t="s">
        <v>2221</v>
      </c>
      <c r="I141" s="186" t="s">
        <v>1001</v>
      </c>
      <c r="J141" s="146"/>
      <c r="K141" s="35"/>
      <c r="L141" s="17"/>
      <c r="M141" s="17"/>
      <c r="N141" s="17"/>
      <c r="O141" s="51">
        <f>E141</f>
        <v>0</v>
      </c>
      <c r="P141" s="51">
        <v>250</v>
      </c>
      <c r="Q141" s="51">
        <v>380</v>
      </c>
      <c r="R141" s="60" t="s">
        <v>91</v>
      </c>
      <c r="S141" s="51"/>
      <c r="T141" s="53"/>
      <c r="U141" s="53"/>
      <c r="V141" s="60"/>
      <c r="W141" s="81">
        <v>408460</v>
      </c>
      <c r="X141" s="77" t="s">
        <v>870</v>
      </c>
      <c r="Y141" s="17">
        <v>1000</v>
      </c>
      <c r="Z141" s="17"/>
      <c r="AA141" s="70">
        <v>30</v>
      </c>
      <c r="AB141" s="70" t="e">
        <f>P141*AD141</f>
        <v>#DIV/0!</v>
      </c>
      <c r="AC141" s="70" t="e">
        <f>Q141*AD141</f>
        <v>#DIV/0!</v>
      </c>
      <c r="AD141" s="43" t="e">
        <f>AA141/E141</f>
        <v>#DIV/0!</v>
      </c>
      <c r="AE141" s="38"/>
      <c r="AF141" s="11"/>
      <c r="AG141" s="6"/>
      <c r="AH141" s="6" t="e">
        <f>P141*AJ141</f>
        <v>#DIV/0!</v>
      </c>
      <c r="AI141" s="6" t="e">
        <f>Q141*AJ141</f>
        <v>#DIV/0!</v>
      </c>
      <c r="AJ141" s="43" t="e">
        <f>AG141/$E141</f>
        <v>#DIV/0!</v>
      </c>
      <c r="AK141" s="38"/>
      <c r="AL141" s="11">
        <f>IFERROR(INDEX([1]Sheet1!$A$2:$X$1948,MATCH($AK$2:$AK$258,[1]Sheet1!$G$2:$G$1948,0),8),"")</f>
        <v>0</v>
      </c>
      <c r="AM141" s="6"/>
      <c r="AN141" s="6" t="e">
        <f>P141*AP141</f>
        <v>#DIV/0!</v>
      </c>
      <c r="AO141" s="6" t="e">
        <f>Q141*AP141</f>
        <v>#DIV/0!</v>
      </c>
      <c r="AP141" s="43" t="e">
        <f>AM141/$E141</f>
        <v>#DIV/0!</v>
      </c>
    </row>
    <row r="142" spans="1:42" ht="20.100000000000001" customHeight="1">
      <c r="A142" s="37">
        <v>134</v>
      </c>
      <c r="B142" s="139"/>
      <c r="C142" s="235" t="s">
        <v>1430</v>
      </c>
      <c r="D142" s="33"/>
      <c r="E142" s="33"/>
      <c r="F142" s="33"/>
      <c r="G142" s="33"/>
      <c r="H142" s="77" t="s">
        <v>1431</v>
      </c>
      <c r="I142" s="186" t="s">
        <v>1001</v>
      </c>
      <c r="J142" s="146" t="s">
        <v>993</v>
      </c>
      <c r="K142" s="35"/>
      <c r="L142" s="17"/>
      <c r="M142" s="17"/>
      <c r="N142" s="17"/>
      <c r="O142" s="51"/>
      <c r="P142" s="51"/>
      <c r="Q142" s="51"/>
      <c r="R142" s="60"/>
      <c r="S142" s="51"/>
      <c r="T142" s="53"/>
      <c r="U142" s="53"/>
      <c r="V142" s="60"/>
      <c r="W142" s="81"/>
      <c r="X142" s="77"/>
      <c r="Y142" s="17"/>
      <c r="Z142" s="17"/>
      <c r="AA142" s="70"/>
      <c r="AB142" s="70"/>
      <c r="AC142" s="70"/>
      <c r="AD142" s="43"/>
      <c r="AE142" s="38"/>
      <c r="AF142" s="11"/>
      <c r="AG142" s="6"/>
      <c r="AH142" s="6"/>
      <c r="AI142" s="6"/>
      <c r="AJ142" s="43"/>
      <c r="AK142" s="38"/>
      <c r="AL142" s="11"/>
      <c r="AM142" s="6"/>
      <c r="AN142" s="6"/>
      <c r="AO142" s="6"/>
      <c r="AP142" s="43"/>
    </row>
    <row r="143" spans="1:42" ht="20.100000000000001" customHeight="1">
      <c r="A143" s="37">
        <v>135</v>
      </c>
      <c r="B143" s="139"/>
      <c r="C143" s="152" t="s">
        <v>1988</v>
      </c>
      <c r="D143" s="33"/>
      <c r="E143" s="33"/>
      <c r="F143" s="33"/>
      <c r="G143" s="33"/>
      <c r="H143" s="77" t="s">
        <v>1989</v>
      </c>
      <c r="I143" s="186" t="s">
        <v>1089</v>
      </c>
      <c r="J143" s="146"/>
      <c r="K143" s="35"/>
      <c r="L143" s="17"/>
      <c r="M143" s="17"/>
      <c r="N143" s="17"/>
      <c r="O143" s="51"/>
      <c r="P143" s="51"/>
      <c r="Q143" s="51"/>
      <c r="R143" s="60"/>
      <c r="S143" s="51"/>
      <c r="T143" s="53"/>
      <c r="U143" s="53"/>
      <c r="V143" s="60"/>
      <c r="W143" s="81"/>
      <c r="X143" s="77"/>
      <c r="Y143" s="17"/>
      <c r="Z143" s="17"/>
      <c r="AA143" s="70"/>
      <c r="AB143" s="70"/>
      <c r="AC143" s="70"/>
      <c r="AD143" s="43"/>
      <c r="AE143" s="38"/>
      <c r="AF143" s="11"/>
      <c r="AG143" s="6"/>
      <c r="AH143" s="6"/>
      <c r="AI143" s="6"/>
      <c r="AJ143" s="43"/>
      <c r="AK143" s="38"/>
      <c r="AL143" s="11"/>
      <c r="AM143" s="6"/>
      <c r="AN143" s="6"/>
      <c r="AO143" s="6"/>
      <c r="AP143" s="43"/>
    </row>
    <row r="144" spans="1:42" ht="20.100000000000001" customHeight="1">
      <c r="A144" s="37">
        <v>136</v>
      </c>
      <c r="B144" s="139"/>
      <c r="C144" s="152" t="s">
        <v>1762</v>
      </c>
      <c r="D144" s="33"/>
      <c r="E144" s="33"/>
      <c r="F144" s="33"/>
      <c r="G144" s="33"/>
      <c r="H144" s="77" t="s">
        <v>2022</v>
      </c>
      <c r="I144" s="186" t="s">
        <v>984</v>
      </c>
      <c r="J144" s="146"/>
      <c r="K144" s="35"/>
      <c r="L144" s="17"/>
      <c r="M144" s="17"/>
      <c r="N144" s="17"/>
      <c r="O144" s="51"/>
      <c r="P144" s="51"/>
      <c r="Q144" s="51"/>
      <c r="R144" s="60"/>
      <c r="S144" s="51"/>
      <c r="T144" s="53"/>
      <c r="U144" s="53"/>
      <c r="V144" s="60"/>
      <c r="W144" s="81"/>
      <c r="X144" s="77"/>
      <c r="Y144" s="17"/>
      <c r="Z144" s="17"/>
      <c r="AA144" s="70"/>
      <c r="AB144" s="70"/>
      <c r="AC144" s="70"/>
      <c r="AD144" s="43"/>
      <c r="AE144" s="38"/>
      <c r="AF144" s="11"/>
      <c r="AG144" s="6"/>
      <c r="AH144" s="6"/>
      <c r="AI144" s="6"/>
      <c r="AJ144" s="43"/>
      <c r="AK144" s="38"/>
      <c r="AL144" s="11"/>
      <c r="AM144" s="6"/>
      <c r="AN144" s="6"/>
      <c r="AO144" s="6"/>
      <c r="AP144" s="43"/>
    </row>
    <row r="145" spans="1:42">
      <c r="A145" s="37">
        <v>137</v>
      </c>
      <c r="B145" s="139"/>
      <c r="C145" s="142" t="s">
        <v>1230</v>
      </c>
      <c r="D145" s="33"/>
      <c r="E145" s="33"/>
      <c r="F145" s="33"/>
      <c r="G145" s="33"/>
      <c r="H145" s="77" t="s">
        <v>1231</v>
      </c>
      <c r="I145" s="186" t="s">
        <v>1045</v>
      </c>
      <c r="J145" s="145" t="s">
        <v>1826</v>
      </c>
      <c r="K145" s="35"/>
      <c r="L145" s="17"/>
      <c r="M145" s="17"/>
      <c r="N145" s="17"/>
      <c r="O145" s="51"/>
      <c r="P145" s="51"/>
      <c r="Q145" s="51"/>
      <c r="R145" s="60"/>
      <c r="S145" s="51"/>
      <c r="T145" s="53"/>
      <c r="U145" s="53"/>
      <c r="V145" s="60"/>
      <c r="W145" s="38"/>
      <c r="X145" s="11"/>
      <c r="Y145" s="17"/>
      <c r="Z145" s="17"/>
      <c r="AA145" s="70"/>
      <c r="AB145" s="70"/>
      <c r="AC145" s="70"/>
      <c r="AD145" s="43"/>
      <c r="AE145" s="38"/>
      <c r="AF145" s="11"/>
      <c r="AG145" s="6"/>
      <c r="AH145" s="6"/>
      <c r="AI145" s="6"/>
      <c r="AJ145" s="43"/>
      <c r="AK145" s="38"/>
      <c r="AL145" s="11"/>
      <c r="AM145" s="6"/>
      <c r="AN145" s="6"/>
      <c r="AO145" s="6"/>
      <c r="AP145" s="43"/>
    </row>
    <row r="146" spans="1:42">
      <c r="A146" s="37">
        <v>138</v>
      </c>
      <c r="B146" s="139"/>
      <c r="C146" s="142" t="s">
        <v>1002</v>
      </c>
      <c r="D146" s="33"/>
      <c r="E146" s="33"/>
      <c r="F146" s="33"/>
      <c r="G146" s="33"/>
      <c r="H146" s="77" t="s">
        <v>1326</v>
      </c>
      <c r="I146" s="186" t="s">
        <v>1003</v>
      </c>
      <c r="J146" s="145" t="s">
        <v>708</v>
      </c>
      <c r="K146" s="125"/>
      <c r="L146" s="6"/>
      <c r="M146" s="6"/>
      <c r="N146" s="6"/>
      <c r="O146" s="51"/>
      <c r="P146" s="51"/>
      <c r="Q146" s="51"/>
      <c r="R146" s="60"/>
      <c r="S146" s="51"/>
      <c r="T146" s="51"/>
      <c r="U146" s="51"/>
      <c r="V146" s="60"/>
      <c r="W146" s="38"/>
      <c r="X146" s="11"/>
      <c r="Y146" s="17"/>
      <c r="Z146" s="17"/>
      <c r="AA146" s="70"/>
      <c r="AB146" s="70"/>
      <c r="AC146" s="70"/>
      <c r="AD146" s="43"/>
      <c r="AE146" s="38"/>
      <c r="AF146" s="11"/>
      <c r="AG146" s="6"/>
      <c r="AH146" s="6"/>
      <c r="AI146" s="6"/>
      <c r="AJ146" s="43"/>
      <c r="AK146" s="38"/>
      <c r="AL146" s="11"/>
      <c r="AM146" s="6"/>
      <c r="AN146" s="6"/>
      <c r="AO146" s="6"/>
      <c r="AP146" s="43"/>
    </row>
    <row r="147" spans="1:42" ht="27">
      <c r="A147" s="37">
        <v>139</v>
      </c>
      <c r="B147" s="139"/>
      <c r="C147" s="142" t="s">
        <v>1115</v>
      </c>
      <c r="D147" s="33"/>
      <c r="E147" s="33"/>
      <c r="F147" s="33"/>
      <c r="G147" s="33"/>
      <c r="H147" s="77" t="s">
        <v>1791</v>
      </c>
      <c r="I147" s="186" t="s">
        <v>1009</v>
      </c>
      <c r="J147" s="146" t="s">
        <v>754</v>
      </c>
      <c r="K147" s="125"/>
      <c r="L147" s="6">
        <v>20200</v>
      </c>
      <c r="M147" s="6">
        <v>1010</v>
      </c>
      <c r="N147" s="6">
        <v>21210</v>
      </c>
      <c r="O147" s="51">
        <f>E147</f>
        <v>0</v>
      </c>
      <c r="P147" s="51">
        <v>160</v>
      </c>
      <c r="Q147" s="51">
        <v>270</v>
      </c>
      <c r="R147" s="60" t="s">
        <v>91</v>
      </c>
      <c r="S147" s="51"/>
      <c r="T147" s="51"/>
      <c r="U147" s="51"/>
      <c r="V147" s="60"/>
      <c r="W147" s="81">
        <v>400950</v>
      </c>
      <c r="X147" s="11" t="str">
        <f>IFERROR(INDEX([1]Sheet1!$A$2:$X$1948,MATCH($W$2:$W$258,[1]Sheet1!$G$2:$G$1948,0),8),"")</f>
        <v>돈뒷다리(0.5*0.5*5cm 잡채용 KG)</v>
      </c>
      <c r="Y147" s="17">
        <v>1000</v>
      </c>
      <c r="Z147" s="17"/>
      <c r="AA147" s="70">
        <v>25</v>
      </c>
      <c r="AB147" s="70" t="e">
        <f>P147*AD147</f>
        <v>#DIV/0!</v>
      </c>
      <c r="AC147" s="70" t="e">
        <f>Q147*AD147</f>
        <v>#DIV/0!</v>
      </c>
      <c r="AD147" s="43" t="e">
        <f>AA147/E147</f>
        <v>#DIV/0!</v>
      </c>
      <c r="AE147" s="38">
        <v>210182</v>
      </c>
      <c r="AF147" s="11" t="str">
        <f>IFERROR(INDEX([1]Sheet1!$A$2:$X$1948,MATCH($AE$2:$AE$258,[1]Sheet1!$G$2:$G$1948,0),8),"")</f>
        <v>냉동홍피망(다이스 1Kg/EA)</v>
      </c>
      <c r="AG147" s="6">
        <v>12</v>
      </c>
      <c r="AH147" s="6" t="e">
        <f>P147*AJ147</f>
        <v>#DIV/0!</v>
      </c>
      <c r="AI147" s="6" t="e">
        <f>Q147*AJ147</f>
        <v>#DIV/0!</v>
      </c>
      <c r="AJ147" s="43" t="e">
        <f>AG147/$E147</f>
        <v>#DIV/0!</v>
      </c>
      <c r="AK147" s="38"/>
      <c r="AL147" s="11">
        <f>IFERROR(INDEX([1]Sheet1!$A$2:$X$1948,MATCH($AK$2:$AK$258,[1]Sheet1!$G$2:$G$1948,0),8),"")</f>
        <v>0</v>
      </c>
      <c r="AM147" s="6">
        <v>12</v>
      </c>
      <c r="AN147" s="6" t="e">
        <f>P147*AP147</f>
        <v>#DIV/0!</v>
      </c>
      <c r="AO147" s="6" t="e">
        <f>Q147*AP147</f>
        <v>#DIV/0!</v>
      </c>
      <c r="AP147" s="43" t="e">
        <f>AM147/$E147</f>
        <v>#DIV/0!</v>
      </c>
    </row>
    <row r="148" spans="1:42">
      <c r="A148" s="37">
        <v>140</v>
      </c>
      <c r="B148" s="139"/>
      <c r="C148" s="142" t="s">
        <v>1785</v>
      </c>
      <c r="D148" s="33"/>
      <c r="E148" s="33"/>
      <c r="F148" s="33"/>
      <c r="G148" s="33"/>
      <c r="H148" s="77" t="s">
        <v>2292</v>
      </c>
      <c r="I148" s="186" t="s">
        <v>1009</v>
      </c>
      <c r="J148" s="146"/>
      <c r="K148" s="125"/>
      <c r="L148" s="6"/>
      <c r="M148" s="6"/>
      <c r="N148" s="6"/>
      <c r="O148" s="51"/>
      <c r="P148" s="51"/>
      <c r="Q148" s="51"/>
      <c r="R148" s="60"/>
      <c r="S148" s="51"/>
      <c r="T148" s="51"/>
      <c r="U148" s="51"/>
      <c r="V148" s="60"/>
      <c r="W148" s="81"/>
      <c r="X148" s="11"/>
      <c r="Y148" s="17"/>
      <c r="Z148" s="17"/>
      <c r="AA148" s="70"/>
      <c r="AB148" s="70"/>
      <c r="AC148" s="70"/>
      <c r="AD148" s="43"/>
      <c r="AE148" s="38"/>
      <c r="AF148" s="11"/>
      <c r="AG148" s="6"/>
      <c r="AH148" s="6"/>
      <c r="AI148" s="6"/>
      <c r="AJ148" s="43"/>
      <c r="AK148" s="38"/>
      <c r="AL148" s="11"/>
      <c r="AM148" s="6"/>
      <c r="AN148" s="6"/>
      <c r="AO148" s="6"/>
      <c r="AP148" s="43"/>
    </row>
    <row r="149" spans="1:42">
      <c r="A149" s="37">
        <v>141</v>
      </c>
      <c r="B149" s="139"/>
      <c r="C149" s="142" t="s">
        <v>2078</v>
      </c>
      <c r="D149" s="33"/>
      <c r="E149" s="33"/>
      <c r="F149" s="33"/>
      <c r="G149" s="33"/>
      <c r="H149" s="110" t="s">
        <v>829</v>
      </c>
      <c r="I149" s="187" t="s">
        <v>1087</v>
      </c>
      <c r="J149" s="146" t="s">
        <v>830</v>
      </c>
      <c r="K149" s="125"/>
      <c r="L149" s="6"/>
      <c r="M149" s="6"/>
      <c r="N149" s="6"/>
      <c r="O149" s="51"/>
      <c r="P149" s="51"/>
      <c r="Q149" s="51"/>
      <c r="R149" s="60"/>
      <c r="S149" s="51"/>
      <c r="T149" s="51"/>
      <c r="U149" s="51"/>
      <c r="V149" s="60"/>
      <c r="W149" s="38"/>
      <c r="X149" s="11"/>
      <c r="Y149" s="17"/>
      <c r="Z149" s="17"/>
      <c r="AA149" s="70"/>
      <c r="AB149" s="70"/>
      <c r="AC149" s="70"/>
      <c r="AD149" s="43"/>
      <c r="AE149" s="38"/>
      <c r="AF149" s="11"/>
      <c r="AG149" s="6"/>
      <c r="AH149" s="6"/>
      <c r="AI149" s="6"/>
      <c r="AJ149" s="43"/>
      <c r="AK149" s="38"/>
      <c r="AL149" s="11"/>
      <c r="AM149" s="6"/>
      <c r="AN149" s="6"/>
      <c r="AO149" s="6"/>
      <c r="AP149" s="43"/>
    </row>
    <row r="150" spans="1:42" ht="15" customHeight="1">
      <c r="A150" s="37">
        <v>142</v>
      </c>
      <c r="B150" s="139"/>
      <c r="C150" s="142" t="s">
        <v>1524</v>
      </c>
      <c r="D150" s="33"/>
      <c r="E150" s="33"/>
      <c r="F150" s="33"/>
      <c r="G150" s="33"/>
      <c r="H150" s="77" t="s">
        <v>1525</v>
      </c>
      <c r="I150" s="186" t="s">
        <v>998</v>
      </c>
      <c r="J150" s="148"/>
      <c r="K150" s="35"/>
      <c r="L150" s="17"/>
      <c r="M150" s="17"/>
      <c r="N150" s="11"/>
      <c r="O150" s="51"/>
      <c r="P150" s="51"/>
      <c r="Q150" s="51"/>
      <c r="R150" s="60"/>
      <c r="S150" s="51"/>
      <c r="T150" s="53"/>
      <c r="U150" s="53"/>
      <c r="V150" s="60"/>
      <c r="W150" s="38"/>
      <c r="X150" s="77"/>
      <c r="Y150" s="17"/>
      <c r="Z150" s="17"/>
      <c r="AA150" s="70"/>
      <c r="AB150" s="70"/>
      <c r="AC150" s="70"/>
      <c r="AD150" s="43"/>
      <c r="AE150" s="38"/>
      <c r="AF150" s="11"/>
      <c r="AG150" s="6"/>
      <c r="AH150" s="6"/>
      <c r="AI150" s="6"/>
      <c r="AJ150" s="43"/>
      <c r="AK150" s="38"/>
      <c r="AL150" s="11"/>
      <c r="AM150" s="6"/>
      <c r="AN150" s="6"/>
      <c r="AO150" s="6"/>
      <c r="AP150" s="43"/>
    </row>
    <row r="151" spans="1:42">
      <c r="A151" s="37">
        <v>143</v>
      </c>
      <c r="B151" s="139"/>
      <c r="C151" s="142" t="s">
        <v>1530</v>
      </c>
      <c r="D151" s="33"/>
      <c r="E151" s="33"/>
      <c r="F151" s="33"/>
      <c r="G151" s="33"/>
      <c r="H151" s="77" t="s">
        <v>1382</v>
      </c>
      <c r="I151" s="186" t="s">
        <v>1383</v>
      </c>
      <c r="J151" s="145"/>
      <c r="K151" s="125"/>
      <c r="L151" s="6"/>
      <c r="M151" s="6"/>
      <c r="N151" s="6"/>
      <c r="O151" s="51"/>
      <c r="P151" s="51"/>
      <c r="Q151" s="51"/>
      <c r="R151" s="60"/>
      <c r="S151" s="51"/>
      <c r="T151" s="51"/>
      <c r="U151" s="51"/>
      <c r="V151" s="60"/>
      <c r="W151" s="38"/>
      <c r="X151" s="11"/>
      <c r="Y151" s="17"/>
      <c r="Z151" s="17"/>
      <c r="AA151" s="70"/>
      <c r="AB151" s="70"/>
      <c r="AC151" s="70"/>
      <c r="AD151" s="43"/>
      <c r="AE151" s="38"/>
      <c r="AF151" s="11"/>
      <c r="AG151" s="6"/>
      <c r="AH151" s="6"/>
      <c r="AI151" s="6"/>
      <c r="AJ151" s="43"/>
      <c r="AK151" s="38"/>
      <c r="AL151" s="11"/>
      <c r="AM151" s="6"/>
      <c r="AN151" s="6"/>
      <c r="AO151" s="6"/>
      <c r="AP151" s="43"/>
    </row>
    <row r="152" spans="1:42">
      <c r="A152" s="37">
        <v>144</v>
      </c>
      <c r="B152" s="139"/>
      <c r="C152" s="142" t="s">
        <v>2045</v>
      </c>
      <c r="D152" s="33"/>
      <c r="E152" s="33"/>
      <c r="F152" s="33"/>
      <c r="G152" s="33"/>
      <c r="H152" s="77" t="s">
        <v>1387</v>
      </c>
      <c r="I152" s="186" t="s">
        <v>1105</v>
      </c>
      <c r="J152" s="146"/>
      <c r="K152" s="35"/>
      <c r="L152" s="17"/>
      <c r="M152" s="17"/>
      <c r="N152" s="17"/>
      <c r="O152" s="51"/>
      <c r="P152" s="51"/>
      <c r="Q152" s="51"/>
      <c r="R152" s="60"/>
      <c r="S152" s="52"/>
      <c r="T152" s="52"/>
      <c r="U152" s="52"/>
      <c r="V152" s="60"/>
      <c r="W152" s="38"/>
      <c r="X152" s="11"/>
      <c r="Y152" s="17"/>
      <c r="Z152" s="17"/>
      <c r="AA152" s="71"/>
      <c r="AB152" s="71"/>
      <c r="AC152" s="71"/>
      <c r="AD152" s="43"/>
      <c r="AE152" s="38"/>
      <c r="AF152" s="11"/>
      <c r="AG152" s="6"/>
      <c r="AH152" s="6"/>
      <c r="AI152" s="6"/>
      <c r="AJ152" s="43"/>
      <c r="AK152" s="38"/>
      <c r="AL152" s="11"/>
      <c r="AM152" s="6"/>
      <c r="AN152" s="6"/>
      <c r="AO152" s="6"/>
      <c r="AP152" s="43"/>
    </row>
    <row r="153" spans="1:42">
      <c r="A153" s="37">
        <v>145</v>
      </c>
      <c r="B153" s="139"/>
      <c r="C153" s="142" t="s">
        <v>690</v>
      </c>
      <c r="D153" s="33"/>
      <c r="E153" s="33"/>
      <c r="F153" s="33"/>
      <c r="G153" s="33"/>
      <c r="H153" s="77" t="s">
        <v>1242</v>
      </c>
      <c r="I153" s="186" t="s">
        <v>1053</v>
      </c>
      <c r="J153" s="146" t="s">
        <v>999</v>
      </c>
      <c r="K153" s="125"/>
      <c r="L153" s="6">
        <v>12275</v>
      </c>
      <c r="M153" s="6">
        <v>613.75</v>
      </c>
      <c r="N153" s="6">
        <v>12888.75</v>
      </c>
      <c r="O153" s="51">
        <f>E153</f>
        <v>0</v>
      </c>
      <c r="P153" s="51">
        <v>170</v>
      </c>
      <c r="Q153" s="51">
        <v>240</v>
      </c>
      <c r="R153" s="60" t="s">
        <v>91</v>
      </c>
      <c r="S153" s="51"/>
      <c r="T153" s="51"/>
      <c r="U153" s="51"/>
      <c r="V153" s="60"/>
      <c r="W153" s="81">
        <v>400950</v>
      </c>
      <c r="X153" s="11" t="str">
        <f>IFERROR(INDEX([1]Sheet1!$A$2:$X$1948,MATCH($W$2:$W$258,[1]Sheet1!$G$2:$G$1948,0),8),"")</f>
        <v>돈뒷다리(0.5*0.5*5cm 잡채용 KG)</v>
      </c>
      <c r="Y153" s="17">
        <v>1000</v>
      </c>
      <c r="Z153" s="17"/>
      <c r="AA153" s="70">
        <v>10</v>
      </c>
      <c r="AB153" s="70" t="e">
        <f>P153*AD153</f>
        <v>#DIV/0!</v>
      </c>
      <c r="AC153" s="70" t="e">
        <f>Q153*AD153</f>
        <v>#DIV/0!</v>
      </c>
      <c r="AD153" s="43" t="e">
        <f>AA153/E153</f>
        <v>#DIV/0!</v>
      </c>
      <c r="AE153" s="38">
        <v>111912</v>
      </c>
      <c r="AF153" s="11" t="str">
        <f>IFERROR(INDEX([1]Sheet1!$A$2:$X$1948,MATCH($AE$2:$AE$258,[1]Sheet1!$G$2:$G$1948,0),8),"")</f>
        <v>이츠웰 찰당면(14Kg/EA)</v>
      </c>
      <c r="AG153" s="6">
        <v>12</v>
      </c>
      <c r="AH153" s="6" t="e">
        <f>P153*AJ153</f>
        <v>#DIV/0!</v>
      </c>
      <c r="AI153" s="6" t="e">
        <f>Q153*AJ153</f>
        <v>#DIV/0!</v>
      </c>
      <c r="AJ153" s="43" t="e">
        <f>AG153/$E153</f>
        <v>#DIV/0!</v>
      </c>
      <c r="AK153" s="38"/>
      <c r="AL153" s="11">
        <f>IFERROR(INDEX([1]Sheet1!$A$2:$X$1948,MATCH($AK$2:$AK$258,[1]Sheet1!$G$2:$G$1948,0),8),"")</f>
        <v>0</v>
      </c>
      <c r="AM153" s="6">
        <v>12</v>
      </c>
      <c r="AN153" s="6" t="e">
        <f>P153*AP153</f>
        <v>#DIV/0!</v>
      </c>
      <c r="AO153" s="6" t="e">
        <f>Q153*AP153</f>
        <v>#DIV/0!</v>
      </c>
      <c r="AP153" s="43" t="e">
        <f>AM153/$E153</f>
        <v>#DIV/0!</v>
      </c>
    </row>
    <row r="154" spans="1:42">
      <c r="A154" s="37">
        <v>146</v>
      </c>
      <c r="B154" s="139"/>
      <c r="C154" s="142" t="s">
        <v>448</v>
      </c>
      <c r="D154" s="33"/>
      <c r="E154" s="33"/>
      <c r="F154" s="33"/>
      <c r="G154" s="33"/>
      <c r="H154" s="77" t="s">
        <v>1414</v>
      </c>
      <c r="I154" s="186" t="s">
        <v>1098</v>
      </c>
      <c r="J154" s="145" t="s">
        <v>18</v>
      </c>
      <c r="K154" s="35"/>
      <c r="L154" s="17">
        <v>17430</v>
      </c>
      <c r="M154" s="17">
        <v>871.5</v>
      </c>
      <c r="N154" s="17">
        <v>18301.5</v>
      </c>
      <c r="O154" s="51"/>
      <c r="P154" s="51"/>
      <c r="Q154" s="51"/>
      <c r="R154" s="60"/>
      <c r="S154" s="54"/>
      <c r="T154" s="54"/>
      <c r="U154" s="54"/>
      <c r="V154" s="60"/>
      <c r="W154" s="38"/>
      <c r="X154" s="11"/>
      <c r="Y154" s="17"/>
      <c r="Z154" s="17"/>
      <c r="AA154" s="74"/>
      <c r="AB154" s="74"/>
      <c r="AC154" s="74"/>
      <c r="AD154" s="43"/>
      <c r="AE154" s="38"/>
      <c r="AF154" s="11"/>
      <c r="AG154" s="6"/>
      <c r="AH154" s="6"/>
      <c r="AI154" s="6"/>
      <c r="AJ154" s="43"/>
      <c r="AK154" s="38"/>
      <c r="AL154" s="11"/>
      <c r="AM154" s="6"/>
      <c r="AN154" s="6"/>
      <c r="AO154" s="6"/>
      <c r="AP154" s="43"/>
    </row>
    <row r="155" spans="1:42" ht="27">
      <c r="A155" s="37">
        <v>147</v>
      </c>
      <c r="B155" s="139"/>
      <c r="C155" s="142" t="s">
        <v>1200</v>
      </c>
      <c r="D155" s="33"/>
      <c r="E155" s="33"/>
      <c r="F155" s="33"/>
      <c r="G155" s="33"/>
      <c r="H155" s="77" t="s">
        <v>851</v>
      </c>
      <c r="I155" s="186" t="s">
        <v>1047</v>
      </c>
      <c r="J155" s="146"/>
      <c r="K155" s="125"/>
      <c r="L155" s="6"/>
      <c r="M155" s="6"/>
      <c r="N155" s="6"/>
      <c r="O155" s="51"/>
      <c r="P155" s="51"/>
      <c r="Q155" s="51"/>
      <c r="R155" s="60"/>
      <c r="S155" s="51"/>
      <c r="T155" s="51"/>
      <c r="U155" s="51"/>
      <c r="V155" s="60"/>
      <c r="W155" s="81"/>
      <c r="X155" s="11"/>
      <c r="Y155" s="17"/>
      <c r="Z155" s="17"/>
      <c r="AA155" s="70"/>
      <c r="AB155" s="70"/>
      <c r="AC155" s="70"/>
      <c r="AD155" s="43"/>
      <c r="AE155" s="38"/>
      <c r="AF155" s="11"/>
      <c r="AG155" s="6"/>
      <c r="AH155" s="6"/>
      <c r="AI155" s="6"/>
      <c r="AJ155" s="43"/>
      <c r="AK155" s="38"/>
      <c r="AL155" s="11"/>
      <c r="AM155" s="6"/>
      <c r="AN155" s="6"/>
      <c r="AO155" s="6"/>
      <c r="AP155" s="43"/>
    </row>
    <row r="156" spans="1:42" ht="27">
      <c r="A156" s="37">
        <v>148</v>
      </c>
      <c r="B156" s="139"/>
      <c r="C156" s="142" t="s">
        <v>2321</v>
      </c>
      <c r="D156" s="33"/>
      <c r="E156" s="33"/>
      <c r="F156" s="33"/>
      <c r="G156" s="33"/>
      <c r="H156" s="77" t="s">
        <v>1977</v>
      </c>
      <c r="I156" s="186" t="s">
        <v>1047</v>
      </c>
      <c r="J156" s="146"/>
      <c r="K156" s="125"/>
      <c r="L156" s="6"/>
      <c r="M156" s="6"/>
      <c r="N156" s="6"/>
      <c r="O156" s="51"/>
      <c r="P156" s="51"/>
      <c r="Q156" s="51"/>
      <c r="R156" s="60"/>
      <c r="S156" s="51"/>
      <c r="T156" s="51"/>
      <c r="U156" s="51"/>
      <c r="V156" s="60"/>
      <c r="W156" s="81"/>
      <c r="X156" s="11"/>
      <c r="Y156" s="17"/>
      <c r="Z156" s="17"/>
      <c r="AA156" s="70"/>
      <c r="AB156" s="70"/>
      <c r="AC156" s="70"/>
      <c r="AD156" s="43"/>
      <c r="AE156" s="38"/>
      <c r="AF156" s="11"/>
      <c r="AG156" s="6"/>
      <c r="AH156" s="6"/>
      <c r="AI156" s="6"/>
      <c r="AJ156" s="43"/>
      <c r="AK156" s="38"/>
      <c r="AL156" s="11"/>
      <c r="AM156" s="6"/>
      <c r="AN156" s="6"/>
      <c r="AO156" s="6"/>
      <c r="AP156" s="43"/>
    </row>
    <row r="157" spans="1:42" ht="27">
      <c r="A157" s="37"/>
      <c r="B157" s="139"/>
      <c r="C157" s="142" t="s">
        <v>1976</v>
      </c>
      <c r="D157" s="33"/>
      <c r="E157" s="33"/>
      <c r="F157" s="33"/>
      <c r="G157" s="33"/>
      <c r="H157" s="77" t="s">
        <v>1978</v>
      </c>
      <c r="I157" s="186" t="s">
        <v>1047</v>
      </c>
      <c r="J157" s="146"/>
      <c r="K157" s="125"/>
      <c r="L157" s="6"/>
      <c r="M157" s="6"/>
      <c r="N157" s="6"/>
      <c r="O157" s="51"/>
      <c r="P157" s="51"/>
      <c r="Q157" s="51"/>
      <c r="R157" s="60"/>
      <c r="S157" s="51"/>
      <c r="T157" s="51"/>
      <c r="U157" s="51"/>
      <c r="V157" s="60"/>
      <c r="W157" s="81"/>
      <c r="X157" s="11"/>
      <c r="Y157" s="17"/>
      <c r="Z157" s="17"/>
      <c r="AA157" s="70"/>
      <c r="AB157" s="70"/>
      <c r="AC157" s="70"/>
      <c r="AD157" s="43"/>
      <c r="AE157" s="38"/>
      <c r="AF157" s="11"/>
      <c r="AG157" s="6"/>
      <c r="AH157" s="6"/>
      <c r="AI157" s="6"/>
      <c r="AJ157" s="43"/>
      <c r="AK157" s="38"/>
      <c r="AL157" s="11"/>
      <c r="AM157" s="6"/>
      <c r="AN157" s="6"/>
      <c r="AO157" s="6"/>
      <c r="AP157" s="43"/>
    </row>
    <row r="158" spans="1:42">
      <c r="A158" s="37">
        <v>150</v>
      </c>
      <c r="B158" s="139"/>
      <c r="C158" s="142" t="s">
        <v>834</v>
      </c>
      <c r="D158" s="33"/>
      <c r="E158" s="33"/>
      <c r="F158" s="33"/>
      <c r="G158" s="33"/>
      <c r="H158" s="77" t="s">
        <v>968</v>
      </c>
      <c r="I158" s="186" t="s">
        <v>1837</v>
      </c>
      <c r="J158" s="146"/>
      <c r="K158" s="35"/>
      <c r="L158" s="17"/>
      <c r="M158" s="17"/>
      <c r="N158" s="17"/>
      <c r="O158" s="51"/>
      <c r="P158" s="51"/>
      <c r="Q158" s="51"/>
      <c r="R158" s="60"/>
      <c r="S158" s="52"/>
      <c r="T158" s="52"/>
      <c r="U158" s="52"/>
      <c r="V158" s="60"/>
      <c r="W158" s="38"/>
      <c r="X158" s="11"/>
      <c r="Y158" s="17"/>
      <c r="Z158" s="17"/>
      <c r="AA158" s="70"/>
      <c r="AB158" s="70"/>
      <c r="AC158" s="70"/>
      <c r="AD158" s="43"/>
      <c r="AE158" s="38"/>
      <c r="AF158" s="11"/>
      <c r="AG158" s="6"/>
      <c r="AH158" s="6"/>
      <c r="AI158" s="6"/>
      <c r="AJ158" s="43"/>
      <c r="AK158" s="38"/>
      <c r="AL158" s="11"/>
      <c r="AM158" s="6"/>
      <c r="AN158" s="6"/>
      <c r="AO158" s="6"/>
      <c r="AP158" s="43"/>
    </row>
    <row r="159" spans="1:42" ht="20.100000000000001" customHeight="1">
      <c r="A159" s="37">
        <v>151</v>
      </c>
      <c r="B159" s="139"/>
      <c r="C159" s="142" t="s">
        <v>1629</v>
      </c>
      <c r="D159" s="33"/>
      <c r="E159" s="33"/>
      <c r="F159" s="33"/>
      <c r="G159" s="33"/>
      <c r="H159" s="77" t="s">
        <v>1630</v>
      </c>
      <c r="I159" s="186" t="s">
        <v>1481</v>
      </c>
      <c r="J159" s="146" t="s">
        <v>1517</v>
      </c>
      <c r="K159" s="35"/>
      <c r="L159" s="17"/>
      <c r="M159" s="17"/>
      <c r="N159" s="17"/>
      <c r="O159" s="51"/>
      <c r="P159" s="51"/>
      <c r="Q159" s="51"/>
      <c r="R159" s="60"/>
      <c r="S159" s="51"/>
      <c r="T159" s="53"/>
      <c r="U159" s="53"/>
      <c r="V159" s="60"/>
      <c r="W159" s="81"/>
      <c r="X159" s="77"/>
      <c r="Y159" s="17"/>
      <c r="Z159" s="17"/>
      <c r="AA159" s="70"/>
      <c r="AB159" s="70"/>
      <c r="AC159" s="70"/>
      <c r="AD159" s="43"/>
      <c r="AE159" s="38"/>
      <c r="AF159" s="11"/>
      <c r="AG159" s="6"/>
      <c r="AH159" s="6"/>
      <c r="AI159" s="6"/>
      <c r="AJ159" s="43"/>
      <c r="AK159" s="38"/>
      <c r="AL159" s="11"/>
      <c r="AM159" s="6"/>
      <c r="AN159" s="6"/>
      <c r="AO159" s="6"/>
      <c r="AP159" s="43"/>
    </row>
    <row r="160" spans="1:42">
      <c r="A160" s="37">
        <v>152</v>
      </c>
      <c r="B160" s="139"/>
      <c r="C160" s="240" t="s">
        <v>1280</v>
      </c>
      <c r="D160" s="33"/>
      <c r="E160" s="33"/>
      <c r="F160" s="33"/>
      <c r="G160" s="33"/>
      <c r="H160" s="77" t="s">
        <v>1624</v>
      </c>
      <c r="I160" s="186" t="s">
        <v>1282</v>
      </c>
      <c r="J160" s="146" t="s">
        <v>1281</v>
      </c>
      <c r="K160" s="35"/>
      <c r="L160" s="17"/>
      <c r="M160" s="17"/>
      <c r="N160" s="17"/>
      <c r="O160" s="51"/>
      <c r="P160" s="51"/>
      <c r="Q160" s="51"/>
      <c r="R160" s="60"/>
      <c r="S160" s="51"/>
      <c r="T160" s="53"/>
      <c r="U160" s="53"/>
      <c r="V160" s="60"/>
      <c r="W160" s="81"/>
      <c r="X160" s="11"/>
      <c r="Y160" s="17"/>
      <c r="Z160" s="17"/>
      <c r="AA160" s="70"/>
      <c r="AB160" s="70"/>
      <c r="AC160" s="70"/>
      <c r="AD160" s="43"/>
      <c r="AE160" s="38"/>
      <c r="AF160" s="11"/>
      <c r="AG160" s="6"/>
      <c r="AH160" s="6"/>
      <c r="AI160" s="6"/>
      <c r="AJ160" s="43"/>
      <c r="AK160" s="38"/>
      <c r="AL160" s="11"/>
      <c r="AM160" s="6"/>
      <c r="AN160" s="6"/>
      <c r="AO160" s="6"/>
      <c r="AP160" s="43"/>
    </row>
    <row r="161" spans="1:42">
      <c r="A161" s="37">
        <v>153</v>
      </c>
      <c r="B161" s="139"/>
      <c r="C161" s="235" t="s">
        <v>1202</v>
      </c>
      <c r="D161" s="33"/>
      <c r="E161" s="33"/>
      <c r="F161" s="33"/>
      <c r="G161" s="33"/>
      <c r="H161" s="77" t="s">
        <v>974</v>
      </c>
      <c r="I161" s="186" t="s">
        <v>1052</v>
      </c>
      <c r="J161" s="146"/>
      <c r="K161" s="35"/>
      <c r="L161" s="17"/>
      <c r="M161" s="17"/>
      <c r="N161" s="17"/>
      <c r="O161" s="51"/>
      <c r="P161" s="51"/>
      <c r="Q161" s="51"/>
      <c r="R161" s="60"/>
      <c r="S161" s="51"/>
      <c r="T161" s="53"/>
      <c r="U161" s="53"/>
      <c r="V161" s="60"/>
      <c r="W161" s="81"/>
      <c r="X161" s="11"/>
      <c r="Y161" s="17"/>
      <c r="Z161" s="17"/>
      <c r="AA161" s="70"/>
      <c r="AB161" s="70"/>
      <c r="AC161" s="70"/>
      <c r="AD161" s="43"/>
      <c r="AE161" s="38"/>
      <c r="AF161" s="82"/>
      <c r="AG161" s="6"/>
      <c r="AH161" s="6"/>
      <c r="AI161" s="6"/>
      <c r="AJ161" s="43"/>
      <c r="AK161" s="38"/>
      <c r="AL161" s="11"/>
      <c r="AM161" s="6"/>
      <c r="AN161" s="6"/>
      <c r="AO161" s="6"/>
      <c r="AP161" s="43"/>
    </row>
    <row r="162" spans="1:42" ht="20.100000000000001" customHeight="1">
      <c r="A162" s="37">
        <v>154</v>
      </c>
      <c r="B162" s="139"/>
      <c r="C162" s="239" t="s">
        <v>838</v>
      </c>
      <c r="D162" s="33"/>
      <c r="E162" s="33"/>
      <c r="F162" s="33"/>
      <c r="G162" s="33"/>
      <c r="H162" s="141" t="s">
        <v>991</v>
      </c>
      <c r="I162" s="190" t="s">
        <v>1037</v>
      </c>
      <c r="J162" s="146"/>
      <c r="K162" s="35"/>
      <c r="L162" s="17"/>
      <c r="M162" s="17"/>
      <c r="N162" s="17"/>
      <c r="O162" s="51"/>
      <c r="P162" s="51"/>
      <c r="Q162" s="51"/>
      <c r="R162" s="60"/>
      <c r="S162" s="51"/>
      <c r="T162" s="53"/>
      <c r="U162" s="53"/>
      <c r="V162" s="60"/>
      <c r="W162" s="41"/>
      <c r="X162" s="42"/>
      <c r="Y162" s="68"/>
      <c r="Z162" s="68"/>
      <c r="AA162" s="70"/>
      <c r="AB162" s="70"/>
      <c r="AC162" s="70"/>
      <c r="AD162" s="43"/>
      <c r="AE162" s="41"/>
      <c r="AF162" s="42"/>
      <c r="AG162" s="6"/>
      <c r="AH162" s="6"/>
      <c r="AI162" s="6"/>
      <c r="AJ162" s="43"/>
      <c r="AK162" s="41"/>
      <c r="AL162" s="42"/>
      <c r="AM162" s="6"/>
      <c r="AN162" s="6"/>
      <c r="AO162" s="6"/>
      <c r="AP162" s="43"/>
    </row>
    <row r="163" spans="1:42">
      <c r="A163" s="37">
        <v>155</v>
      </c>
      <c r="B163" s="139"/>
      <c r="C163" s="235" t="s">
        <v>446</v>
      </c>
      <c r="D163" s="33"/>
      <c r="E163" s="33"/>
      <c r="F163" s="33"/>
      <c r="G163" s="33"/>
      <c r="H163" s="209" t="s">
        <v>840</v>
      </c>
      <c r="I163" s="194" t="s">
        <v>1027</v>
      </c>
      <c r="J163" s="146" t="s">
        <v>732</v>
      </c>
      <c r="K163" s="35"/>
      <c r="L163" s="17"/>
      <c r="M163" s="17"/>
      <c r="N163" s="17"/>
      <c r="O163" s="51"/>
      <c r="P163" s="51"/>
      <c r="Q163" s="51"/>
      <c r="R163" s="60"/>
      <c r="S163" s="51"/>
      <c r="T163" s="53"/>
      <c r="U163" s="53"/>
      <c r="V163" s="60"/>
      <c r="W163" s="38"/>
      <c r="X163" s="11"/>
      <c r="Y163" s="17"/>
      <c r="Z163" s="17"/>
      <c r="AA163" s="70"/>
      <c r="AB163" s="70"/>
      <c r="AC163" s="70"/>
      <c r="AD163" s="43"/>
      <c r="AE163" s="38"/>
      <c r="AF163" s="11"/>
      <c r="AG163" s="6"/>
      <c r="AH163" s="6"/>
      <c r="AI163" s="6"/>
      <c r="AJ163" s="43"/>
      <c r="AK163" s="38"/>
      <c r="AL163" s="11"/>
      <c r="AM163" s="6"/>
      <c r="AN163" s="6"/>
      <c r="AO163" s="6"/>
      <c r="AP163" s="43"/>
    </row>
    <row r="164" spans="1:42">
      <c r="A164" s="37">
        <v>156</v>
      </c>
      <c r="B164" s="139"/>
      <c r="C164" s="235" t="s">
        <v>1806</v>
      </c>
      <c r="D164" s="33"/>
      <c r="E164" s="33"/>
      <c r="F164" s="33"/>
      <c r="G164" s="33"/>
      <c r="H164" s="209" t="s">
        <v>1807</v>
      </c>
      <c r="I164" s="194" t="s">
        <v>1808</v>
      </c>
      <c r="J164" s="146" t="s">
        <v>732</v>
      </c>
      <c r="K164" s="35"/>
      <c r="L164" s="17"/>
      <c r="M164" s="17"/>
      <c r="N164" s="17"/>
      <c r="O164" s="51"/>
      <c r="P164" s="51"/>
      <c r="Q164" s="51"/>
      <c r="R164" s="60"/>
      <c r="S164" s="51"/>
      <c r="T164" s="53"/>
      <c r="U164" s="53"/>
      <c r="V164" s="60"/>
      <c r="W164" s="38"/>
      <c r="X164" s="11"/>
      <c r="Y164" s="17"/>
      <c r="Z164" s="17"/>
      <c r="AA164" s="70"/>
      <c r="AB164" s="70"/>
      <c r="AC164" s="70"/>
      <c r="AD164" s="43"/>
      <c r="AE164" s="38"/>
      <c r="AF164" s="11"/>
      <c r="AG164" s="6"/>
      <c r="AH164" s="6"/>
      <c r="AI164" s="6"/>
      <c r="AJ164" s="43"/>
      <c r="AK164" s="38"/>
      <c r="AL164" s="11"/>
      <c r="AM164" s="6"/>
      <c r="AN164" s="6"/>
      <c r="AO164" s="6"/>
      <c r="AP164" s="43"/>
    </row>
    <row r="165" spans="1:42">
      <c r="A165" s="37">
        <v>157</v>
      </c>
      <c r="B165" s="139"/>
      <c r="C165" s="235" t="s">
        <v>637</v>
      </c>
      <c r="D165" s="33"/>
      <c r="E165" s="33"/>
      <c r="F165" s="33"/>
      <c r="G165" s="33"/>
      <c r="H165" s="77" t="s">
        <v>857</v>
      </c>
      <c r="I165" s="186" t="s">
        <v>1342</v>
      </c>
      <c r="J165" s="145" t="s">
        <v>761</v>
      </c>
      <c r="K165" s="125"/>
      <c r="L165" s="6"/>
      <c r="M165" s="6"/>
      <c r="N165" s="6"/>
      <c r="O165" s="51"/>
      <c r="P165" s="51"/>
      <c r="Q165" s="51"/>
      <c r="R165" s="60"/>
      <c r="S165" s="51"/>
      <c r="T165" s="51"/>
      <c r="U165" s="51"/>
      <c r="V165" s="60"/>
      <c r="W165" s="38"/>
      <c r="X165" s="11"/>
      <c r="Y165" s="17"/>
      <c r="Z165" s="17"/>
      <c r="AA165" s="70"/>
      <c r="AB165" s="70"/>
      <c r="AC165" s="70"/>
      <c r="AD165" s="43"/>
      <c r="AE165" s="38"/>
      <c r="AF165" s="11"/>
      <c r="AG165" s="6"/>
      <c r="AH165" s="6"/>
      <c r="AI165" s="6"/>
      <c r="AJ165" s="43"/>
      <c r="AK165" s="38"/>
      <c r="AL165" s="11"/>
      <c r="AM165" s="6"/>
      <c r="AN165" s="6"/>
      <c r="AO165" s="6"/>
      <c r="AP165" s="43"/>
    </row>
    <row r="166" spans="1:42">
      <c r="A166" s="37">
        <v>158</v>
      </c>
      <c r="B166" s="139"/>
      <c r="C166" s="235" t="s">
        <v>1851</v>
      </c>
      <c r="D166" s="33"/>
      <c r="E166" s="33"/>
      <c r="F166" s="33"/>
      <c r="G166" s="33"/>
      <c r="H166" s="77" t="s">
        <v>1852</v>
      </c>
      <c r="I166" s="186" t="s">
        <v>1342</v>
      </c>
      <c r="J166" s="145" t="s">
        <v>761</v>
      </c>
      <c r="K166" s="125"/>
      <c r="L166" s="6"/>
      <c r="M166" s="6"/>
      <c r="N166" s="6"/>
      <c r="O166" s="51"/>
      <c r="P166" s="51"/>
      <c r="Q166" s="51"/>
      <c r="R166" s="60"/>
      <c r="S166" s="51"/>
      <c r="T166" s="51"/>
      <c r="U166" s="51"/>
      <c r="V166" s="60"/>
      <c r="W166" s="38"/>
      <c r="X166" s="11"/>
      <c r="Y166" s="17"/>
      <c r="Z166" s="17"/>
      <c r="AA166" s="70"/>
      <c r="AB166" s="70"/>
      <c r="AC166" s="70"/>
      <c r="AD166" s="43"/>
      <c r="AE166" s="38"/>
      <c r="AF166" s="11"/>
      <c r="AG166" s="6"/>
      <c r="AH166" s="6"/>
      <c r="AI166" s="6"/>
      <c r="AJ166" s="43"/>
      <c r="AK166" s="38"/>
      <c r="AL166" s="11"/>
      <c r="AM166" s="6"/>
      <c r="AN166" s="6"/>
      <c r="AO166" s="6"/>
      <c r="AP166" s="43"/>
    </row>
    <row r="167" spans="1:42">
      <c r="A167" s="37">
        <v>159</v>
      </c>
      <c r="B167" s="139"/>
      <c r="C167" s="235" t="s">
        <v>1147</v>
      </c>
      <c r="D167" s="33"/>
      <c r="E167" s="33"/>
      <c r="F167" s="33"/>
      <c r="G167" s="33"/>
      <c r="H167" s="77" t="s">
        <v>774</v>
      </c>
      <c r="I167" s="186" t="s">
        <v>1055</v>
      </c>
      <c r="J167" s="145" t="s">
        <v>775</v>
      </c>
      <c r="K167" s="125"/>
      <c r="L167" s="6">
        <v>27450</v>
      </c>
      <c r="M167" s="6">
        <v>1372.5</v>
      </c>
      <c r="N167" s="6">
        <v>28822.5</v>
      </c>
      <c r="O167" s="51"/>
      <c r="P167" s="51"/>
      <c r="Q167" s="51"/>
      <c r="R167" s="60"/>
      <c r="S167" s="52"/>
      <c r="T167" s="52"/>
      <c r="U167" s="52"/>
      <c r="V167" s="60"/>
      <c r="W167" s="38"/>
      <c r="X167" s="11"/>
      <c r="Y167" s="17"/>
      <c r="Z167" s="17"/>
      <c r="AA167" s="75"/>
      <c r="AB167" s="75"/>
      <c r="AC167" s="75"/>
      <c r="AD167" s="43"/>
      <c r="AE167" s="38"/>
      <c r="AF167" s="11"/>
      <c r="AG167" s="6"/>
      <c r="AH167" s="6"/>
      <c r="AI167" s="6"/>
      <c r="AJ167" s="43"/>
      <c r="AK167" s="38"/>
      <c r="AL167" s="11"/>
      <c r="AM167" s="6"/>
      <c r="AN167" s="6"/>
      <c r="AO167" s="6"/>
      <c r="AP167" s="43"/>
    </row>
    <row r="168" spans="1:42">
      <c r="A168" s="37">
        <v>160</v>
      </c>
      <c r="B168" s="139"/>
      <c r="C168" s="235" t="s">
        <v>1931</v>
      </c>
      <c r="D168" s="33"/>
      <c r="E168" s="33"/>
      <c r="F168" s="33"/>
      <c r="G168" s="33"/>
      <c r="H168" s="77" t="s">
        <v>1548</v>
      </c>
      <c r="I168" s="186" t="s">
        <v>1070</v>
      </c>
      <c r="J168" s="146"/>
      <c r="K168" s="125"/>
      <c r="L168" s="6"/>
      <c r="M168" s="6"/>
      <c r="N168" s="6"/>
      <c r="O168" s="51"/>
      <c r="P168" s="51"/>
      <c r="Q168" s="51"/>
      <c r="R168" s="60"/>
      <c r="S168" s="51"/>
      <c r="T168" s="51"/>
      <c r="U168" s="51"/>
      <c r="V168" s="60"/>
      <c r="W168" s="38"/>
      <c r="X168" s="11"/>
      <c r="Y168" s="17"/>
      <c r="Z168" s="17"/>
      <c r="AA168" s="70"/>
      <c r="AB168" s="70"/>
      <c r="AC168" s="70"/>
      <c r="AD168" s="43"/>
      <c r="AE168" s="38"/>
      <c r="AF168" s="11"/>
      <c r="AG168" s="6"/>
      <c r="AH168" s="6"/>
      <c r="AI168" s="6"/>
      <c r="AJ168" s="43"/>
      <c r="AK168" s="38"/>
      <c r="AL168" s="11"/>
      <c r="AM168" s="6"/>
      <c r="AN168" s="6"/>
      <c r="AO168" s="6"/>
      <c r="AP168" s="43"/>
    </row>
    <row r="169" spans="1:42">
      <c r="A169" s="37">
        <v>161</v>
      </c>
      <c r="B169" s="139"/>
      <c r="C169" s="235" t="s">
        <v>1786</v>
      </c>
      <c r="D169" s="33"/>
      <c r="E169" s="33"/>
      <c r="F169" s="33"/>
      <c r="G169" s="33"/>
      <c r="H169" s="77" t="s">
        <v>1119</v>
      </c>
      <c r="I169" s="186" t="s">
        <v>1047</v>
      </c>
      <c r="J169" s="146"/>
      <c r="K169" s="125"/>
      <c r="L169" s="6"/>
      <c r="M169" s="6"/>
      <c r="N169" s="6"/>
      <c r="O169" s="51"/>
      <c r="P169" s="51"/>
      <c r="Q169" s="51"/>
      <c r="R169" s="60"/>
      <c r="S169" s="51"/>
      <c r="T169" s="51"/>
      <c r="U169" s="51"/>
      <c r="V169" s="60"/>
      <c r="W169" s="81"/>
      <c r="X169" s="11"/>
      <c r="Y169" s="17"/>
      <c r="Z169" s="17"/>
      <c r="AA169" s="70"/>
      <c r="AB169" s="70"/>
      <c r="AC169" s="70"/>
      <c r="AD169" s="43"/>
      <c r="AE169" s="38"/>
      <c r="AF169" s="11"/>
      <c r="AG169" s="6"/>
      <c r="AH169" s="6"/>
      <c r="AI169" s="6"/>
      <c r="AJ169" s="43"/>
      <c r="AK169" s="38"/>
      <c r="AL169" s="11"/>
      <c r="AM169" s="6"/>
      <c r="AN169" s="6"/>
      <c r="AO169" s="6"/>
      <c r="AP169" s="43"/>
    </row>
    <row r="170" spans="1:42" ht="15" customHeight="1">
      <c r="A170" s="37">
        <v>162</v>
      </c>
      <c r="B170" s="139"/>
      <c r="C170" s="235" t="s">
        <v>1704</v>
      </c>
      <c r="D170" s="33"/>
      <c r="E170" s="33"/>
      <c r="F170" s="33"/>
      <c r="G170" s="33"/>
      <c r="H170" s="77" t="s">
        <v>1705</v>
      </c>
      <c r="I170" s="186" t="s">
        <v>1105</v>
      </c>
      <c r="J170" s="148"/>
      <c r="K170" s="35"/>
      <c r="L170" s="17"/>
      <c r="M170" s="17"/>
      <c r="N170" s="11"/>
      <c r="O170" s="51"/>
      <c r="P170" s="51"/>
      <c r="Q170" s="51"/>
      <c r="R170" s="60"/>
      <c r="S170" s="51"/>
      <c r="T170" s="53"/>
      <c r="U170" s="53"/>
      <c r="V170" s="60"/>
      <c r="W170" s="38"/>
      <c r="X170" s="77"/>
      <c r="Y170" s="17"/>
      <c r="Z170" s="17"/>
      <c r="AA170" s="70"/>
      <c r="AB170" s="70"/>
      <c r="AC170" s="70"/>
      <c r="AD170" s="43"/>
      <c r="AE170" s="38"/>
      <c r="AF170" s="11"/>
      <c r="AG170" s="6"/>
      <c r="AH170" s="6"/>
      <c r="AI170" s="6"/>
      <c r="AJ170" s="43"/>
      <c r="AK170" s="38"/>
      <c r="AL170" s="11"/>
      <c r="AM170" s="6"/>
      <c r="AN170" s="6"/>
      <c r="AO170" s="6"/>
      <c r="AP170" s="43"/>
    </row>
    <row r="171" spans="1:42" ht="15" customHeight="1">
      <c r="A171" s="37">
        <v>163</v>
      </c>
      <c r="B171" s="139"/>
      <c r="C171" s="235" t="s">
        <v>2091</v>
      </c>
      <c r="D171" s="33"/>
      <c r="E171" s="33"/>
      <c r="F171" s="33"/>
      <c r="G171" s="33"/>
      <c r="H171" s="77" t="s">
        <v>2092</v>
      </c>
      <c r="I171" s="186" t="s">
        <v>992</v>
      </c>
      <c r="J171" s="148"/>
      <c r="K171" s="35"/>
      <c r="L171" s="17"/>
      <c r="M171" s="17"/>
      <c r="N171" s="11"/>
      <c r="O171" s="51"/>
      <c r="P171" s="51"/>
      <c r="Q171" s="51"/>
      <c r="R171" s="60"/>
      <c r="S171" s="51"/>
      <c r="T171" s="53"/>
      <c r="U171" s="53"/>
      <c r="V171" s="60"/>
      <c r="W171" s="38"/>
      <c r="X171" s="77"/>
      <c r="Y171" s="17"/>
      <c r="Z171" s="17"/>
      <c r="AA171" s="70"/>
      <c r="AB171" s="70"/>
      <c r="AC171" s="70"/>
      <c r="AD171" s="43"/>
      <c r="AE171" s="38"/>
      <c r="AF171" s="11"/>
      <c r="AG171" s="6"/>
      <c r="AH171" s="6"/>
      <c r="AI171" s="6"/>
      <c r="AJ171" s="43"/>
      <c r="AK171" s="38"/>
      <c r="AL171" s="11"/>
      <c r="AM171" s="6"/>
      <c r="AN171" s="6"/>
      <c r="AO171" s="6"/>
      <c r="AP171" s="43"/>
    </row>
    <row r="172" spans="1:42">
      <c r="A172" s="37">
        <v>164</v>
      </c>
      <c r="B172" s="139"/>
      <c r="C172" s="235" t="s">
        <v>2064</v>
      </c>
      <c r="D172" s="33"/>
      <c r="E172" s="33"/>
      <c r="F172" s="33"/>
      <c r="G172" s="33"/>
      <c r="H172" s="77" t="s">
        <v>1452</v>
      </c>
      <c r="I172" s="186" t="s">
        <v>1133</v>
      </c>
      <c r="J172" s="146" t="s">
        <v>726</v>
      </c>
      <c r="K172" s="128"/>
      <c r="L172" s="6"/>
      <c r="M172" s="6"/>
      <c r="N172" s="6"/>
      <c r="O172" s="51"/>
      <c r="P172" s="51"/>
      <c r="Q172" s="51"/>
      <c r="R172" s="60"/>
      <c r="S172" s="51"/>
      <c r="T172" s="51"/>
      <c r="U172" s="51"/>
      <c r="V172" s="60"/>
      <c r="W172" s="81"/>
      <c r="X172" s="11"/>
      <c r="Y172" s="17"/>
      <c r="Z172" s="17"/>
      <c r="AA172" s="70"/>
      <c r="AB172" s="70"/>
      <c r="AC172" s="70"/>
      <c r="AD172" s="43"/>
      <c r="AE172" s="38"/>
      <c r="AF172" s="11"/>
      <c r="AG172" s="6"/>
      <c r="AH172" s="6"/>
      <c r="AI172" s="6"/>
      <c r="AJ172" s="43"/>
      <c r="AK172" s="38"/>
      <c r="AL172" s="11"/>
      <c r="AM172" s="6"/>
      <c r="AN172" s="6"/>
      <c r="AO172" s="6"/>
      <c r="AP172" s="43"/>
    </row>
    <row r="173" spans="1:42">
      <c r="A173" s="37">
        <v>165</v>
      </c>
      <c r="B173" s="139"/>
      <c r="C173" s="235" t="s">
        <v>1672</v>
      </c>
      <c r="D173" s="33"/>
      <c r="E173" s="33"/>
      <c r="F173" s="33"/>
      <c r="G173" s="33"/>
      <c r="H173" s="110" t="s">
        <v>1673</v>
      </c>
      <c r="I173" s="186" t="s">
        <v>1087</v>
      </c>
      <c r="J173" s="146" t="s">
        <v>830</v>
      </c>
      <c r="K173" s="128"/>
      <c r="L173" s="6"/>
      <c r="M173" s="6"/>
      <c r="N173" s="6"/>
      <c r="O173" s="51"/>
      <c r="P173" s="51"/>
      <c r="Q173" s="51"/>
      <c r="R173" s="60"/>
      <c r="S173" s="51"/>
      <c r="T173" s="51"/>
      <c r="U173" s="51"/>
      <c r="V173" s="60"/>
      <c r="W173" s="81"/>
      <c r="X173" s="11"/>
      <c r="Y173" s="17"/>
      <c r="Z173" s="17"/>
      <c r="AA173" s="70"/>
      <c r="AB173" s="70"/>
      <c r="AC173" s="70"/>
      <c r="AD173" s="43"/>
      <c r="AE173" s="38"/>
      <c r="AF173" s="11"/>
      <c r="AG173" s="6"/>
      <c r="AH173" s="6"/>
      <c r="AI173" s="6"/>
      <c r="AJ173" s="43"/>
      <c r="AK173" s="38"/>
      <c r="AL173" s="11"/>
      <c r="AM173" s="6"/>
      <c r="AN173" s="6"/>
      <c r="AO173" s="6"/>
      <c r="AP173" s="43"/>
    </row>
    <row r="174" spans="1:42" ht="24">
      <c r="A174" s="37">
        <v>166</v>
      </c>
      <c r="B174" s="139"/>
      <c r="C174" s="235" t="s">
        <v>1550</v>
      </c>
      <c r="D174" s="33"/>
      <c r="E174" s="33"/>
      <c r="F174" s="33"/>
      <c r="G174" s="33"/>
      <c r="H174" s="145" t="s">
        <v>1551</v>
      </c>
      <c r="I174" s="191" t="s">
        <v>1063</v>
      </c>
      <c r="J174" s="146" t="s">
        <v>1552</v>
      </c>
      <c r="K174" s="125"/>
      <c r="L174" s="6">
        <v>22500</v>
      </c>
      <c r="M174" s="6">
        <v>1125</v>
      </c>
      <c r="N174" s="6">
        <v>23625</v>
      </c>
      <c r="O174" s="51"/>
      <c r="P174" s="51"/>
      <c r="Q174" s="51"/>
      <c r="R174" s="60"/>
      <c r="S174" s="52"/>
      <c r="T174" s="52"/>
      <c r="U174" s="52"/>
      <c r="V174" s="60"/>
      <c r="W174" s="38"/>
      <c r="X174" s="11"/>
      <c r="Y174" s="17"/>
      <c r="Z174" s="17"/>
      <c r="AA174" s="71"/>
      <c r="AB174" s="71"/>
      <c r="AC174" s="71"/>
      <c r="AD174" s="43"/>
      <c r="AE174" s="38"/>
      <c r="AF174" s="11"/>
      <c r="AG174" s="6"/>
      <c r="AH174" s="6"/>
      <c r="AI174" s="6"/>
      <c r="AJ174" s="43"/>
      <c r="AK174" s="38"/>
      <c r="AL174" s="11"/>
      <c r="AM174" s="6"/>
      <c r="AN174" s="6"/>
      <c r="AO174" s="6"/>
      <c r="AP174" s="43"/>
    </row>
    <row r="175" spans="1:42">
      <c r="A175" s="37">
        <v>167</v>
      </c>
      <c r="B175" s="139"/>
      <c r="C175" s="235" t="s">
        <v>1279</v>
      </c>
      <c r="D175" s="33"/>
      <c r="E175" s="33"/>
      <c r="F175" s="33"/>
      <c r="G175" s="33"/>
      <c r="H175" s="77" t="s">
        <v>1144</v>
      </c>
      <c r="I175" s="186" t="s">
        <v>1145</v>
      </c>
      <c r="J175" s="145"/>
      <c r="K175" s="125"/>
      <c r="L175" s="6">
        <v>22750</v>
      </c>
      <c r="M175" s="6">
        <v>1137.5</v>
      </c>
      <c r="N175" s="6">
        <v>23887.5</v>
      </c>
      <c r="O175" s="51"/>
      <c r="P175" s="51"/>
      <c r="Q175" s="51"/>
      <c r="R175" s="60"/>
      <c r="S175" s="52"/>
      <c r="T175" s="52"/>
      <c r="U175" s="52"/>
      <c r="V175" s="60"/>
      <c r="W175" s="38"/>
      <c r="X175" s="11"/>
      <c r="Y175" s="17"/>
      <c r="Z175" s="17"/>
      <c r="AA175" s="71"/>
      <c r="AB175" s="71"/>
      <c r="AC175" s="71"/>
      <c r="AD175" s="43"/>
      <c r="AE175" s="38"/>
      <c r="AF175" s="11"/>
      <c r="AG175" s="6"/>
      <c r="AH175" s="6"/>
      <c r="AI175" s="6"/>
      <c r="AJ175" s="43"/>
      <c r="AK175" s="38"/>
      <c r="AL175" s="11"/>
      <c r="AM175" s="6"/>
      <c r="AN175" s="6"/>
      <c r="AO175" s="6"/>
      <c r="AP175" s="43"/>
    </row>
    <row r="176" spans="1:42">
      <c r="A176" s="37">
        <v>168</v>
      </c>
      <c r="B176" s="139"/>
      <c r="C176" s="152" t="s">
        <v>1872</v>
      </c>
      <c r="D176" s="33"/>
      <c r="E176" s="33"/>
      <c r="F176" s="33"/>
      <c r="G176" s="33"/>
      <c r="H176" s="77" t="s">
        <v>1873</v>
      </c>
      <c r="I176" s="186" t="s">
        <v>1017</v>
      </c>
      <c r="J176" s="146" t="s">
        <v>1874</v>
      </c>
      <c r="K176" s="125"/>
      <c r="L176" s="6"/>
      <c r="M176" s="6"/>
      <c r="N176" s="6"/>
      <c r="O176" s="51"/>
      <c r="P176" s="51"/>
      <c r="Q176" s="51"/>
      <c r="R176" s="60"/>
      <c r="S176" s="52"/>
      <c r="T176" s="52"/>
      <c r="U176" s="52"/>
      <c r="V176" s="60"/>
      <c r="W176" s="38"/>
      <c r="X176" s="11"/>
      <c r="Y176" s="17"/>
      <c r="Z176" s="17"/>
      <c r="AA176" s="71"/>
      <c r="AB176" s="71"/>
      <c r="AC176" s="71"/>
      <c r="AD176" s="43"/>
      <c r="AE176" s="38"/>
      <c r="AF176" s="11"/>
      <c r="AG176" s="6"/>
      <c r="AH176" s="6"/>
      <c r="AI176" s="6"/>
      <c r="AJ176" s="43"/>
      <c r="AK176" s="38"/>
      <c r="AL176" s="11"/>
      <c r="AM176" s="6"/>
      <c r="AN176" s="6"/>
      <c r="AO176" s="6"/>
      <c r="AP176" s="43"/>
    </row>
    <row r="177" spans="1:42">
      <c r="A177" s="37">
        <v>170</v>
      </c>
      <c r="B177" s="139"/>
      <c r="C177" s="152" t="s">
        <v>704</v>
      </c>
      <c r="D177" s="33"/>
      <c r="E177" s="33"/>
      <c r="F177" s="33"/>
      <c r="G177" s="33"/>
      <c r="H177" s="145" t="s">
        <v>1559</v>
      </c>
      <c r="I177" s="186" t="s">
        <v>1145</v>
      </c>
      <c r="J177" s="146"/>
      <c r="K177" s="125"/>
      <c r="L177" s="6"/>
      <c r="M177" s="6"/>
      <c r="N177" s="6"/>
      <c r="O177" s="51"/>
      <c r="P177" s="51"/>
      <c r="Q177" s="51"/>
      <c r="R177" s="60"/>
      <c r="S177" s="51"/>
      <c r="T177" s="51"/>
      <c r="U177" s="51"/>
      <c r="V177" s="60"/>
      <c r="W177" s="38"/>
      <c r="X177" s="11"/>
      <c r="Y177" s="17"/>
      <c r="Z177" s="17"/>
      <c r="AA177" s="70"/>
      <c r="AB177" s="70"/>
      <c r="AC177" s="70"/>
      <c r="AD177" s="43"/>
      <c r="AE177" s="38"/>
      <c r="AF177" s="11"/>
      <c r="AG177" s="6"/>
      <c r="AH177" s="6"/>
      <c r="AI177" s="6"/>
      <c r="AJ177" s="43"/>
      <c r="AK177" s="38"/>
      <c r="AL177" s="11"/>
      <c r="AM177" s="6"/>
      <c r="AN177" s="6"/>
      <c r="AO177" s="6"/>
      <c r="AP177" s="43"/>
    </row>
    <row r="178" spans="1:42">
      <c r="A178" s="37">
        <v>171</v>
      </c>
      <c r="B178" s="139"/>
      <c r="C178" s="152" t="s">
        <v>1534</v>
      </c>
      <c r="D178" s="33"/>
      <c r="E178" s="33"/>
      <c r="F178" s="33"/>
      <c r="G178" s="33"/>
      <c r="H178" s="77" t="s">
        <v>1535</v>
      </c>
      <c r="I178" s="186" t="s">
        <v>998</v>
      </c>
      <c r="J178" s="145" t="s">
        <v>708</v>
      </c>
      <c r="K178" s="125"/>
      <c r="L178" s="6"/>
      <c r="M178" s="6"/>
      <c r="N178" s="6"/>
      <c r="O178" s="51"/>
      <c r="P178" s="51"/>
      <c r="Q178" s="51"/>
      <c r="R178" s="60"/>
      <c r="S178" s="51"/>
      <c r="T178" s="51"/>
      <c r="U178" s="51"/>
      <c r="V178" s="60"/>
      <c r="W178" s="38"/>
      <c r="X178" s="11"/>
      <c r="Y178" s="17"/>
      <c r="Z178" s="17"/>
      <c r="AA178" s="70"/>
      <c r="AB178" s="70"/>
      <c r="AC178" s="70"/>
      <c r="AD178" s="43"/>
      <c r="AE178" s="38"/>
      <c r="AF178" s="11"/>
      <c r="AG178" s="6"/>
      <c r="AH178" s="6"/>
      <c r="AI178" s="6"/>
      <c r="AJ178" s="43"/>
      <c r="AK178" s="38"/>
      <c r="AL178" s="11"/>
      <c r="AM178" s="6"/>
      <c r="AN178" s="6"/>
      <c r="AO178" s="6"/>
      <c r="AP178" s="43"/>
    </row>
    <row r="179" spans="1:42">
      <c r="A179" s="37">
        <v>172</v>
      </c>
      <c r="B179" s="139"/>
      <c r="C179" s="152" t="s">
        <v>1802</v>
      </c>
      <c r="D179" s="33"/>
      <c r="E179" s="33"/>
      <c r="F179" s="33"/>
      <c r="G179" s="33"/>
      <c r="H179" s="77" t="s">
        <v>1764</v>
      </c>
      <c r="I179" s="186" t="s">
        <v>998</v>
      </c>
      <c r="J179" s="145"/>
      <c r="K179" s="125"/>
      <c r="L179" s="6"/>
      <c r="M179" s="6"/>
      <c r="N179" s="6"/>
      <c r="O179" s="51"/>
      <c r="P179" s="51"/>
      <c r="Q179" s="51"/>
      <c r="R179" s="60"/>
      <c r="S179" s="51"/>
      <c r="T179" s="51"/>
      <c r="U179" s="51"/>
      <c r="V179" s="60"/>
      <c r="W179" s="38"/>
      <c r="X179" s="11"/>
      <c r="Y179" s="17"/>
      <c r="Z179" s="17"/>
      <c r="AA179" s="70"/>
      <c r="AB179" s="70"/>
      <c r="AC179" s="70"/>
      <c r="AD179" s="43"/>
      <c r="AE179" s="38"/>
      <c r="AF179" s="11"/>
      <c r="AG179" s="6"/>
      <c r="AH179" s="6"/>
      <c r="AI179" s="6"/>
      <c r="AJ179" s="43"/>
      <c r="AK179" s="38"/>
      <c r="AL179" s="11"/>
      <c r="AM179" s="6"/>
      <c r="AN179" s="6"/>
      <c r="AO179" s="6"/>
      <c r="AP179" s="43"/>
    </row>
    <row r="180" spans="1:42">
      <c r="A180" s="37">
        <v>173</v>
      </c>
      <c r="B180" s="139"/>
      <c r="C180" s="152" t="s">
        <v>1763</v>
      </c>
      <c r="D180" s="33"/>
      <c r="E180" s="33"/>
      <c r="F180" s="33"/>
      <c r="G180" s="33"/>
      <c r="H180" s="77" t="s">
        <v>1765</v>
      </c>
      <c r="I180" s="186" t="s">
        <v>1766</v>
      </c>
      <c r="J180" s="145"/>
      <c r="K180" s="125"/>
      <c r="L180" s="6"/>
      <c r="M180" s="6"/>
      <c r="N180" s="6"/>
      <c r="O180" s="51"/>
      <c r="P180" s="51"/>
      <c r="Q180" s="51"/>
      <c r="R180" s="60"/>
      <c r="S180" s="51"/>
      <c r="T180" s="51"/>
      <c r="U180" s="51"/>
      <c r="V180" s="60"/>
      <c r="W180" s="38"/>
      <c r="X180" s="11"/>
      <c r="Y180" s="17"/>
      <c r="Z180" s="17"/>
      <c r="AA180" s="70"/>
      <c r="AB180" s="70"/>
      <c r="AC180" s="70"/>
      <c r="AD180" s="43"/>
      <c r="AE180" s="38"/>
      <c r="AF180" s="11"/>
      <c r="AG180" s="6"/>
      <c r="AH180" s="6"/>
      <c r="AI180" s="6"/>
      <c r="AJ180" s="43"/>
      <c r="AK180" s="38"/>
      <c r="AL180" s="11"/>
      <c r="AM180" s="6"/>
      <c r="AN180" s="6"/>
      <c r="AO180" s="6"/>
      <c r="AP180" s="43"/>
    </row>
    <row r="181" spans="1:42">
      <c r="A181" s="37">
        <v>174</v>
      </c>
      <c r="B181" s="139"/>
      <c r="C181" s="152" t="s">
        <v>1505</v>
      </c>
      <c r="D181" s="33"/>
      <c r="E181" s="33"/>
      <c r="F181" s="33"/>
      <c r="G181" s="33"/>
      <c r="H181" s="77" t="s">
        <v>1400</v>
      </c>
      <c r="I181" s="186" t="s">
        <v>1401</v>
      </c>
      <c r="J181" s="145"/>
      <c r="K181" s="125"/>
      <c r="L181" s="6"/>
      <c r="M181" s="6"/>
      <c r="N181" s="6"/>
      <c r="O181" s="51"/>
      <c r="P181" s="51"/>
      <c r="Q181" s="51"/>
      <c r="R181" s="60"/>
      <c r="S181" s="51"/>
      <c r="T181" s="51"/>
      <c r="U181" s="51"/>
      <c r="V181" s="60"/>
      <c r="W181" s="38"/>
      <c r="X181" s="11"/>
      <c r="Y181" s="17"/>
      <c r="Z181" s="17"/>
      <c r="AA181" s="70"/>
      <c r="AB181" s="70"/>
      <c r="AC181" s="70"/>
      <c r="AD181" s="43"/>
      <c r="AE181" s="38"/>
      <c r="AF181" s="11"/>
      <c r="AG181" s="6"/>
      <c r="AH181" s="6"/>
      <c r="AI181" s="6"/>
      <c r="AJ181" s="43"/>
      <c r="AK181" s="38"/>
      <c r="AL181" s="11"/>
      <c r="AM181" s="6"/>
      <c r="AN181" s="6"/>
      <c r="AO181" s="6"/>
      <c r="AP181" s="43"/>
    </row>
    <row r="182" spans="1:42" ht="27">
      <c r="A182" s="37">
        <v>175</v>
      </c>
      <c r="B182" s="139"/>
      <c r="C182" s="152" t="s">
        <v>1575</v>
      </c>
      <c r="D182" s="33"/>
      <c r="E182" s="33"/>
      <c r="F182" s="33"/>
      <c r="G182" s="33"/>
      <c r="H182" s="77" t="s">
        <v>1493</v>
      </c>
      <c r="I182" s="186" t="s">
        <v>1177</v>
      </c>
      <c r="J182" s="145"/>
      <c r="K182" s="125"/>
      <c r="L182" s="6"/>
      <c r="M182" s="6"/>
      <c r="N182" s="6"/>
      <c r="O182" s="51"/>
      <c r="P182" s="51"/>
      <c r="Q182" s="51"/>
      <c r="R182" s="60"/>
      <c r="S182" s="51"/>
      <c r="T182" s="51"/>
      <c r="U182" s="51"/>
      <c r="V182" s="60"/>
      <c r="W182" s="38"/>
      <c r="X182" s="11"/>
      <c r="Y182" s="17"/>
      <c r="Z182" s="17"/>
      <c r="AA182" s="70"/>
      <c r="AB182" s="70"/>
      <c r="AC182" s="70"/>
      <c r="AD182" s="43"/>
      <c r="AE182" s="38"/>
      <c r="AF182" s="11"/>
      <c r="AG182" s="6"/>
      <c r="AH182" s="6"/>
      <c r="AI182" s="6"/>
      <c r="AJ182" s="43"/>
      <c r="AK182" s="38"/>
      <c r="AL182" s="11"/>
      <c r="AM182" s="6"/>
      <c r="AN182" s="6"/>
      <c r="AO182" s="6"/>
      <c r="AP182" s="43"/>
    </row>
    <row r="183" spans="1:42">
      <c r="A183" s="37">
        <v>176</v>
      </c>
      <c r="B183" s="139"/>
      <c r="C183" s="152" t="s">
        <v>1775</v>
      </c>
      <c r="D183" s="33"/>
      <c r="E183" s="33"/>
      <c r="F183" s="33"/>
      <c r="G183" s="33"/>
      <c r="H183" s="77" t="s">
        <v>1776</v>
      </c>
      <c r="I183" s="186" t="s">
        <v>1777</v>
      </c>
      <c r="J183" s="145"/>
      <c r="K183" s="125"/>
      <c r="L183" s="6"/>
      <c r="M183" s="6"/>
      <c r="N183" s="6"/>
      <c r="O183" s="51"/>
      <c r="P183" s="51"/>
      <c r="Q183" s="51"/>
      <c r="R183" s="60"/>
      <c r="S183" s="51"/>
      <c r="T183" s="51"/>
      <c r="U183" s="51"/>
      <c r="V183" s="60"/>
      <c r="W183" s="38"/>
      <c r="X183" s="11"/>
      <c r="Y183" s="17"/>
      <c r="Z183" s="17"/>
      <c r="AA183" s="70"/>
      <c r="AB183" s="70"/>
      <c r="AC183" s="70"/>
      <c r="AD183" s="43"/>
      <c r="AE183" s="38"/>
      <c r="AF183" s="11"/>
      <c r="AG183" s="6"/>
      <c r="AH183" s="6"/>
      <c r="AI183" s="6"/>
      <c r="AJ183" s="43"/>
      <c r="AK183" s="38"/>
      <c r="AL183" s="11"/>
      <c r="AM183" s="6"/>
      <c r="AN183" s="6"/>
      <c r="AO183" s="6"/>
      <c r="AP183" s="43"/>
    </row>
    <row r="184" spans="1:42">
      <c r="A184" s="37">
        <v>177</v>
      </c>
      <c r="B184" s="139"/>
      <c r="C184" s="152" t="s">
        <v>931</v>
      </c>
      <c r="D184" s="33"/>
      <c r="E184" s="33"/>
      <c r="F184" s="33"/>
      <c r="G184" s="33"/>
      <c r="H184" s="11" t="s">
        <v>932</v>
      </c>
      <c r="I184" s="192"/>
      <c r="J184" s="146"/>
      <c r="K184" s="125"/>
      <c r="L184" s="6"/>
      <c r="M184" s="6"/>
      <c r="N184" s="6"/>
      <c r="O184" s="51"/>
      <c r="P184" s="51"/>
      <c r="Q184" s="51"/>
      <c r="R184" s="60"/>
      <c r="S184" s="51"/>
      <c r="T184" s="51"/>
      <c r="U184" s="51"/>
      <c r="V184" s="60"/>
      <c r="W184" s="38"/>
      <c r="X184" s="11"/>
      <c r="Y184" s="17"/>
      <c r="Z184" s="17"/>
      <c r="AA184" s="70"/>
      <c r="AB184" s="70"/>
      <c r="AC184" s="70"/>
      <c r="AD184" s="43"/>
      <c r="AE184" s="38"/>
      <c r="AF184" s="11"/>
      <c r="AG184" s="6"/>
      <c r="AH184" s="6"/>
      <c r="AI184" s="6"/>
      <c r="AJ184" s="43"/>
      <c r="AK184" s="38"/>
      <c r="AL184" s="11"/>
      <c r="AM184" s="6"/>
      <c r="AN184" s="6"/>
      <c r="AO184" s="6"/>
      <c r="AP184" s="43"/>
    </row>
    <row r="185" spans="1:42" ht="27">
      <c r="A185" s="37">
        <v>178</v>
      </c>
      <c r="B185" s="139"/>
      <c r="C185" s="152" t="s">
        <v>2103</v>
      </c>
      <c r="D185" s="33"/>
      <c r="E185" s="33"/>
      <c r="F185" s="33"/>
      <c r="G185" s="33"/>
      <c r="H185" s="77" t="s">
        <v>879</v>
      </c>
      <c r="I185" s="186" t="s">
        <v>1047</v>
      </c>
      <c r="J185" s="146"/>
      <c r="K185" s="125"/>
      <c r="L185" s="6">
        <v>23805</v>
      </c>
      <c r="M185" s="6">
        <v>1190.25</v>
      </c>
      <c r="N185" s="6">
        <v>24995.25</v>
      </c>
      <c r="O185" s="51">
        <f>E185</f>
        <v>0</v>
      </c>
      <c r="P185" s="51">
        <v>300</v>
      </c>
      <c r="Q185" s="51">
        <v>400</v>
      </c>
      <c r="R185" s="60" t="s">
        <v>91</v>
      </c>
      <c r="S185" s="51"/>
      <c r="T185" s="51"/>
      <c r="U185" s="51"/>
      <c r="V185" s="60"/>
      <c r="W185" s="81">
        <v>411752</v>
      </c>
      <c r="X185" s="11" t="str">
        <f>IFERROR(INDEX([1]Sheet1!$A$2:$X$1948,MATCH($W$2:$W$258,[1]Sheet1!$G$2:$G$1948,0),8),"")</f>
        <v>프레시웨이 돈등심(2.5*2.5*2.5cm 장조림용 5Kg/EA)</v>
      </c>
      <c r="Y185" s="17">
        <v>5000</v>
      </c>
      <c r="Z185" s="17"/>
      <c r="AA185" s="70">
        <v>60</v>
      </c>
      <c r="AB185" s="70" t="e">
        <f>P185*AD185</f>
        <v>#DIV/0!</v>
      </c>
      <c r="AC185" s="70" t="e">
        <f>Q185*AD185</f>
        <v>#DIV/0!</v>
      </c>
      <c r="AD185" s="43" t="e">
        <f>AA185/E185</f>
        <v>#DIV/0!</v>
      </c>
      <c r="AE185" s="38"/>
      <c r="AF185" s="11">
        <f>IFERROR(INDEX([1]Sheet1!$A$2:$X$1948,MATCH($AE$2:$AE$258,[1]Sheet1!$G$2:$G$1948,0),8),"")</f>
        <v>0</v>
      </c>
      <c r="AG185" s="6"/>
      <c r="AH185" s="6" t="e">
        <f>P185*AJ185</f>
        <v>#DIV/0!</v>
      </c>
      <c r="AI185" s="6" t="e">
        <f>Q185*AJ185</f>
        <v>#DIV/0!</v>
      </c>
      <c r="AJ185" s="43" t="e">
        <f>AG185/$E185</f>
        <v>#DIV/0!</v>
      </c>
      <c r="AK185" s="38"/>
      <c r="AL185" s="11">
        <f>IFERROR(INDEX([1]Sheet1!$A$2:$X$1948,MATCH($AK$2:$AK$258,[1]Sheet1!$G$2:$G$1948,0),8),"")</f>
        <v>0</v>
      </c>
      <c r="AM185" s="6"/>
      <c r="AN185" s="6" t="e">
        <f>P185*AP185</f>
        <v>#DIV/0!</v>
      </c>
      <c r="AO185" s="6" t="e">
        <f>Q185*AP185</f>
        <v>#DIV/0!</v>
      </c>
      <c r="AP185" s="43" t="e">
        <f>AM185/$E185</f>
        <v>#DIV/0!</v>
      </c>
    </row>
    <row r="186" spans="1:42">
      <c r="A186" s="37">
        <v>179</v>
      </c>
      <c r="B186" s="139"/>
      <c r="C186" s="152" t="s">
        <v>1760</v>
      </c>
      <c r="D186" s="33"/>
      <c r="E186" s="33"/>
      <c r="F186" s="33"/>
      <c r="G186" s="33"/>
      <c r="H186" s="77" t="s">
        <v>1761</v>
      </c>
      <c r="I186" s="186" t="s">
        <v>1047</v>
      </c>
      <c r="J186" s="146"/>
      <c r="K186" s="125"/>
      <c r="L186" s="6"/>
      <c r="M186" s="6"/>
      <c r="N186" s="6"/>
      <c r="O186" s="51"/>
      <c r="P186" s="51"/>
      <c r="Q186" s="51"/>
      <c r="R186" s="60"/>
      <c r="S186" s="51"/>
      <c r="T186" s="51"/>
      <c r="U186" s="51"/>
      <c r="V186" s="60"/>
      <c r="W186" s="81"/>
      <c r="X186" s="11"/>
      <c r="Y186" s="17"/>
      <c r="Z186" s="17"/>
      <c r="AA186" s="70"/>
      <c r="AB186" s="70"/>
      <c r="AC186" s="70"/>
      <c r="AD186" s="43"/>
      <c r="AE186" s="38"/>
      <c r="AF186" s="11"/>
      <c r="AG186" s="6"/>
      <c r="AH186" s="6"/>
      <c r="AI186" s="6"/>
      <c r="AJ186" s="43"/>
      <c r="AK186" s="38"/>
      <c r="AL186" s="11"/>
      <c r="AM186" s="6"/>
      <c r="AN186" s="6"/>
      <c r="AO186" s="6"/>
      <c r="AP186" s="43"/>
    </row>
    <row r="187" spans="1:42">
      <c r="A187" s="37">
        <v>180</v>
      </c>
      <c r="B187" s="139"/>
      <c r="C187" s="152" t="s">
        <v>1457</v>
      </c>
      <c r="D187" s="33"/>
      <c r="E187" s="33"/>
      <c r="F187" s="33"/>
      <c r="G187" s="33"/>
      <c r="H187" s="77" t="s">
        <v>1483</v>
      </c>
      <c r="I187" s="186" t="s">
        <v>1468</v>
      </c>
      <c r="J187" s="146"/>
      <c r="K187" s="125"/>
      <c r="L187" s="6"/>
      <c r="M187" s="6"/>
      <c r="N187" s="6"/>
      <c r="O187" s="51"/>
      <c r="P187" s="51"/>
      <c r="Q187" s="51"/>
      <c r="R187" s="60"/>
      <c r="S187" s="51"/>
      <c r="T187" s="51"/>
      <c r="U187" s="51"/>
      <c r="V187" s="60"/>
      <c r="W187" s="81"/>
      <c r="X187" s="11"/>
      <c r="Y187" s="17"/>
      <c r="Z187" s="17"/>
      <c r="AA187" s="70"/>
      <c r="AB187" s="70"/>
      <c r="AC187" s="70"/>
      <c r="AD187" s="43"/>
      <c r="AE187" s="38"/>
      <c r="AF187" s="11"/>
      <c r="AG187" s="6"/>
      <c r="AH187" s="6"/>
      <c r="AI187" s="6"/>
      <c r="AJ187" s="43"/>
      <c r="AK187" s="38"/>
      <c r="AL187" s="11"/>
      <c r="AM187" s="6"/>
      <c r="AN187" s="6"/>
      <c r="AO187" s="6"/>
      <c r="AP187" s="43"/>
    </row>
    <row r="188" spans="1:42" ht="27">
      <c r="A188" s="37">
        <v>181</v>
      </c>
      <c r="B188" s="139"/>
      <c r="C188" s="152" t="s">
        <v>1482</v>
      </c>
      <c r="D188" s="33"/>
      <c r="E188" s="33"/>
      <c r="F188" s="33"/>
      <c r="G188" s="33"/>
      <c r="H188" s="77" t="s">
        <v>1484</v>
      </c>
      <c r="I188" s="186" t="s">
        <v>1047</v>
      </c>
      <c r="J188" s="146"/>
      <c r="K188" s="125"/>
      <c r="L188" s="6"/>
      <c r="M188" s="6"/>
      <c r="N188" s="6"/>
      <c r="O188" s="51"/>
      <c r="P188" s="51"/>
      <c r="Q188" s="51"/>
      <c r="R188" s="60"/>
      <c r="S188" s="51"/>
      <c r="T188" s="51"/>
      <c r="U188" s="51"/>
      <c r="V188" s="60"/>
      <c r="W188" s="81"/>
      <c r="X188" s="11"/>
      <c r="Y188" s="17"/>
      <c r="Z188" s="17"/>
      <c r="AA188" s="70"/>
      <c r="AB188" s="70"/>
      <c r="AC188" s="70"/>
      <c r="AD188" s="43"/>
      <c r="AE188" s="38"/>
      <c r="AF188" s="11"/>
      <c r="AG188" s="6"/>
      <c r="AH188" s="6"/>
      <c r="AI188" s="6"/>
      <c r="AJ188" s="43"/>
      <c r="AK188" s="38"/>
      <c r="AL188" s="11"/>
      <c r="AM188" s="6"/>
      <c r="AN188" s="6"/>
      <c r="AO188" s="6"/>
      <c r="AP188" s="43"/>
    </row>
    <row r="189" spans="1:42">
      <c r="A189" s="37">
        <v>182</v>
      </c>
      <c r="B189" s="139"/>
      <c r="C189" s="152" t="s">
        <v>933</v>
      </c>
      <c r="D189" s="33"/>
      <c r="E189" s="33"/>
      <c r="F189" s="33"/>
      <c r="G189" s="33"/>
      <c r="H189" s="77" t="s">
        <v>1661</v>
      </c>
      <c r="I189" s="186" t="s">
        <v>1221</v>
      </c>
      <c r="J189" s="146"/>
      <c r="K189" s="125"/>
      <c r="L189" s="6"/>
      <c r="M189" s="6"/>
      <c r="N189" s="6"/>
      <c r="O189" s="51"/>
      <c r="P189" s="51"/>
      <c r="Q189" s="51"/>
      <c r="R189" s="60"/>
      <c r="S189" s="51"/>
      <c r="T189" s="51"/>
      <c r="U189" s="51"/>
      <c r="V189" s="60"/>
      <c r="W189" s="81"/>
      <c r="X189" s="11"/>
      <c r="Y189" s="17"/>
      <c r="Z189" s="17"/>
      <c r="AA189" s="70"/>
      <c r="AB189" s="70"/>
      <c r="AC189" s="70"/>
      <c r="AD189" s="43"/>
      <c r="AE189" s="38"/>
      <c r="AF189" s="11"/>
      <c r="AG189" s="6"/>
      <c r="AH189" s="6"/>
      <c r="AI189" s="6"/>
      <c r="AJ189" s="43"/>
      <c r="AK189" s="38"/>
      <c r="AL189" s="11"/>
      <c r="AM189" s="6"/>
      <c r="AN189" s="6"/>
      <c r="AO189" s="6"/>
      <c r="AP189" s="43"/>
    </row>
    <row r="190" spans="1:42">
      <c r="A190" s="37">
        <v>183</v>
      </c>
      <c r="B190" s="139"/>
      <c r="C190" s="152" t="s">
        <v>716</v>
      </c>
      <c r="D190" s="33"/>
      <c r="E190" s="33"/>
      <c r="F190" s="33"/>
      <c r="G190" s="33"/>
      <c r="H190" s="77" t="s">
        <v>1975</v>
      </c>
      <c r="I190" s="186" t="s">
        <v>1067</v>
      </c>
      <c r="J190" s="148" t="s">
        <v>705</v>
      </c>
      <c r="K190" s="125"/>
      <c r="L190" s="6"/>
      <c r="M190" s="6"/>
      <c r="N190" s="6"/>
      <c r="O190" s="51"/>
      <c r="P190" s="51"/>
      <c r="Q190" s="51"/>
      <c r="R190" s="60"/>
      <c r="S190" s="51"/>
      <c r="T190" s="51"/>
      <c r="U190" s="51"/>
      <c r="V190" s="60"/>
      <c r="W190" s="81"/>
      <c r="X190" s="11"/>
      <c r="Y190" s="17"/>
      <c r="Z190" s="17"/>
      <c r="AA190" s="70"/>
      <c r="AB190" s="70"/>
      <c r="AC190" s="70"/>
      <c r="AD190" s="43"/>
      <c r="AE190" s="38"/>
      <c r="AF190" s="11"/>
      <c r="AG190" s="6"/>
      <c r="AH190" s="6"/>
      <c r="AI190" s="6"/>
      <c r="AJ190" s="43"/>
      <c r="AK190" s="38"/>
      <c r="AL190" s="11"/>
      <c r="AM190" s="6"/>
      <c r="AN190" s="6"/>
      <c r="AO190" s="6"/>
      <c r="AP190" s="43"/>
    </row>
    <row r="191" spans="1:42" ht="15" customHeight="1">
      <c r="A191" s="37">
        <v>184</v>
      </c>
      <c r="B191" s="139"/>
      <c r="C191" s="152" t="s">
        <v>825</v>
      </c>
      <c r="D191" s="33"/>
      <c r="E191" s="33"/>
      <c r="F191" s="33"/>
      <c r="G191" s="33"/>
      <c r="H191" s="77" t="s">
        <v>860</v>
      </c>
      <c r="I191" s="186"/>
      <c r="J191" s="148"/>
      <c r="K191" s="35"/>
      <c r="L191" s="17">
        <v>18810</v>
      </c>
      <c r="M191" s="17">
        <v>940.5</v>
      </c>
      <c r="N191" s="11"/>
      <c r="O191" s="51">
        <f>E191</f>
        <v>0</v>
      </c>
      <c r="P191" s="51">
        <v>170</v>
      </c>
      <c r="Q191" s="51">
        <v>260</v>
      </c>
      <c r="R191" s="60" t="s">
        <v>91</v>
      </c>
      <c r="S191" s="51"/>
      <c r="T191" s="53"/>
      <c r="U191" s="53"/>
      <c r="V191" s="60"/>
      <c r="W191" s="38">
        <v>408460</v>
      </c>
      <c r="X191" s="77" t="s">
        <v>870</v>
      </c>
      <c r="Y191" s="17">
        <v>1000</v>
      </c>
      <c r="Z191" s="17"/>
      <c r="AA191" s="70">
        <v>60</v>
      </c>
      <c r="AB191" s="70" t="e">
        <f>P191*AD191</f>
        <v>#DIV/0!</v>
      </c>
      <c r="AC191" s="70" t="e">
        <f>Q191*AD191</f>
        <v>#DIV/0!</v>
      </c>
      <c r="AD191" s="43" t="e">
        <f>AA191/E191</f>
        <v>#DIV/0!</v>
      </c>
      <c r="AE191" s="38"/>
      <c r="AF191" s="11"/>
      <c r="AG191" s="6"/>
      <c r="AH191" s="6" t="e">
        <f>P191*AJ191</f>
        <v>#DIV/0!</v>
      </c>
      <c r="AI191" s="6" t="e">
        <f>Q191*AJ191</f>
        <v>#DIV/0!</v>
      </c>
      <c r="AJ191" s="43" t="e">
        <f>AG191/$E191</f>
        <v>#DIV/0!</v>
      </c>
      <c r="AK191" s="38"/>
      <c r="AL191" s="11">
        <f>IFERROR(INDEX([1]Sheet1!$A$2:$X$1948,MATCH($AK$2:$AK$258,[1]Sheet1!$G$2:$G$1948,0),8),"")</f>
        <v>0</v>
      </c>
      <c r="AM191" s="6"/>
      <c r="AN191" s="6" t="e">
        <f>P191*AP191</f>
        <v>#DIV/0!</v>
      </c>
      <c r="AO191" s="6" t="e">
        <f>Q191*AP191</f>
        <v>#DIV/0!</v>
      </c>
      <c r="AP191" s="43" t="e">
        <f>AM191/$E191</f>
        <v>#DIV/0!</v>
      </c>
    </row>
    <row r="192" spans="1:42" ht="15" customHeight="1">
      <c r="A192" s="37">
        <v>185</v>
      </c>
      <c r="B192" s="139"/>
      <c r="C192" s="152" t="s">
        <v>1660</v>
      </c>
      <c r="D192" s="33"/>
      <c r="E192" s="33"/>
      <c r="F192" s="33"/>
      <c r="G192" s="33"/>
      <c r="H192" s="77" t="s">
        <v>1662</v>
      </c>
      <c r="I192" s="186" t="s">
        <v>1040</v>
      </c>
      <c r="J192" s="148" t="s">
        <v>1726</v>
      </c>
      <c r="K192" s="35"/>
      <c r="L192" s="17"/>
      <c r="M192" s="17"/>
      <c r="N192" s="11"/>
      <c r="O192" s="51"/>
      <c r="P192" s="51"/>
      <c r="Q192" s="51"/>
      <c r="R192" s="60"/>
      <c r="S192" s="51"/>
      <c r="T192" s="53"/>
      <c r="U192" s="53"/>
      <c r="V192" s="60"/>
      <c r="W192" s="38"/>
      <c r="X192" s="77"/>
      <c r="Y192" s="17"/>
      <c r="Z192" s="17"/>
      <c r="AA192" s="70"/>
      <c r="AB192" s="70"/>
      <c r="AC192" s="70"/>
      <c r="AD192" s="43"/>
      <c r="AE192" s="38"/>
      <c r="AF192" s="11"/>
      <c r="AG192" s="6"/>
      <c r="AH192" s="6"/>
      <c r="AI192" s="6"/>
      <c r="AJ192" s="43"/>
      <c r="AK192" s="38"/>
      <c r="AL192" s="11"/>
      <c r="AM192" s="6"/>
      <c r="AN192" s="6"/>
      <c r="AO192" s="6"/>
      <c r="AP192" s="43"/>
    </row>
    <row r="193" spans="1:42" ht="27">
      <c r="A193" s="37">
        <v>186</v>
      </c>
      <c r="B193" s="139"/>
      <c r="C193" s="152" t="s">
        <v>1724</v>
      </c>
      <c r="D193" s="33"/>
      <c r="E193" s="33"/>
      <c r="F193" s="33"/>
      <c r="G193" s="33"/>
      <c r="H193" s="141" t="s">
        <v>1725</v>
      </c>
      <c r="I193" s="190" t="s">
        <v>1324</v>
      </c>
      <c r="J193" s="148" t="s">
        <v>1726</v>
      </c>
      <c r="K193" s="35"/>
      <c r="L193" s="17"/>
      <c r="M193" s="17"/>
      <c r="N193" s="17"/>
      <c r="O193" s="51"/>
      <c r="P193" s="51"/>
      <c r="Q193" s="51"/>
      <c r="R193" s="60"/>
      <c r="S193" s="51"/>
      <c r="T193" s="53"/>
      <c r="U193" s="53"/>
      <c r="V193" s="60"/>
      <c r="W193" s="81"/>
      <c r="X193" s="11"/>
      <c r="Y193" s="17"/>
      <c r="Z193" s="17"/>
      <c r="AA193" s="70"/>
      <c r="AB193" s="70"/>
      <c r="AC193" s="70"/>
      <c r="AD193" s="43"/>
      <c r="AE193" s="38"/>
      <c r="AF193" s="11"/>
      <c r="AG193" s="6"/>
      <c r="AH193" s="6"/>
      <c r="AI193" s="6"/>
      <c r="AJ193" s="43"/>
      <c r="AK193" s="38"/>
      <c r="AL193" s="11"/>
      <c r="AM193" s="6"/>
      <c r="AN193" s="6"/>
      <c r="AO193" s="6"/>
      <c r="AP193" s="43"/>
    </row>
    <row r="194" spans="1:42" ht="15" customHeight="1">
      <c r="A194" s="37">
        <v>187</v>
      </c>
      <c r="B194" s="139"/>
      <c r="C194" s="152" t="s">
        <v>443</v>
      </c>
      <c r="D194" s="33"/>
      <c r="E194" s="33"/>
      <c r="F194" s="33"/>
      <c r="G194" s="33"/>
      <c r="H194" s="77" t="s">
        <v>861</v>
      </c>
      <c r="I194" s="186" t="s">
        <v>1033</v>
      </c>
      <c r="J194" s="145" t="s">
        <v>288</v>
      </c>
      <c r="K194" s="35"/>
      <c r="L194" s="17"/>
      <c r="M194" s="17"/>
      <c r="N194" s="11"/>
      <c r="O194" s="51"/>
      <c r="P194" s="51"/>
      <c r="Q194" s="51"/>
      <c r="R194" s="60"/>
      <c r="S194" s="51"/>
      <c r="T194" s="53"/>
      <c r="U194" s="53"/>
      <c r="V194" s="60"/>
      <c r="W194" s="38"/>
      <c r="X194" s="77"/>
      <c r="Y194" s="17"/>
      <c r="Z194" s="17"/>
      <c r="AA194" s="70"/>
      <c r="AB194" s="70"/>
      <c r="AC194" s="70"/>
      <c r="AD194" s="43"/>
      <c r="AE194" s="38"/>
      <c r="AF194" s="11"/>
      <c r="AG194" s="6"/>
      <c r="AH194" s="6"/>
      <c r="AI194" s="6"/>
      <c r="AJ194" s="43"/>
      <c r="AK194" s="38"/>
      <c r="AL194" s="11"/>
      <c r="AM194" s="6"/>
      <c r="AN194" s="6"/>
      <c r="AO194" s="6"/>
      <c r="AP194" s="43"/>
    </row>
    <row r="195" spans="1:42">
      <c r="A195" s="37">
        <v>188</v>
      </c>
      <c r="B195" s="139"/>
      <c r="C195" s="152" t="s">
        <v>1213</v>
      </c>
      <c r="D195" s="33"/>
      <c r="E195" s="33"/>
      <c r="F195" s="33"/>
      <c r="G195" s="33"/>
      <c r="H195" s="113" t="s">
        <v>744</v>
      </c>
      <c r="I195" s="193" t="s">
        <v>1034</v>
      </c>
      <c r="J195" s="146" t="s">
        <v>743</v>
      </c>
      <c r="K195" s="125"/>
      <c r="L195" s="6">
        <v>600</v>
      </c>
      <c r="M195" s="6">
        <v>30</v>
      </c>
      <c r="N195" s="6">
        <v>630</v>
      </c>
      <c r="O195" s="51">
        <f>E195</f>
        <v>0</v>
      </c>
      <c r="P195" s="51">
        <v>2</v>
      </c>
      <c r="Q195" s="51">
        <v>2.5</v>
      </c>
      <c r="R195" s="60" t="s">
        <v>91</v>
      </c>
      <c r="S195" s="55">
        <v>0.5</v>
      </c>
      <c r="T195" s="55">
        <v>2</v>
      </c>
      <c r="U195" s="55">
        <v>2.5</v>
      </c>
      <c r="V195" s="60" t="s">
        <v>93</v>
      </c>
      <c r="W195" s="38">
        <v>173374</v>
      </c>
      <c r="X195" s="11" t="str">
        <f>IFERROR(INDEX([1]Sheet1!$A$2:$X$1948,MATCH($W$2:$W$258,[1]Sheet1!$G$2:$G$1948,0),8),"")</f>
        <v>쉐프솔루션 진짜통등심돈까스(130g*20입 2.6Kg/EA)</v>
      </c>
      <c r="Y195" s="17">
        <v>2600</v>
      </c>
      <c r="Z195" s="17">
        <v>20</v>
      </c>
      <c r="AA195" s="73">
        <v>0.5</v>
      </c>
      <c r="AB195" s="73">
        <v>2.5</v>
      </c>
      <c r="AC195" s="73">
        <v>3</v>
      </c>
      <c r="AD195" s="43"/>
      <c r="AE195" s="38"/>
      <c r="AF195" s="11">
        <f>IFERROR(INDEX([1]Sheet1!$A$2:$X$1948,MATCH($AE$2:$AE$258,[1]Sheet1!$G$2:$G$1948,0),8),"")</f>
        <v>0</v>
      </c>
      <c r="AG195" s="6"/>
      <c r="AH195" s="6" t="e">
        <f>P195*AJ195</f>
        <v>#DIV/0!</v>
      </c>
      <c r="AI195" s="6" t="e">
        <f>Q195*AJ195</f>
        <v>#DIV/0!</v>
      </c>
      <c r="AJ195" s="43" t="e">
        <f>AG195/$E195</f>
        <v>#DIV/0!</v>
      </c>
      <c r="AK195" s="38"/>
      <c r="AL195" s="11">
        <f>IFERROR(INDEX([1]Sheet1!$A$2:$X$1948,MATCH($AK$2:$AK$258,[1]Sheet1!$G$2:$G$1948,0),8),"")</f>
        <v>0</v>
      </c>
      <c r="AM195" s="6"/>
      <c r="AN195" s="6" t="e">
        <f>P195*AP195</f>
        <v>#DIV/0!</v>
      </c>
      <c r="AO195" s="6" t="e">
        <f>Q195*AP195</f>
        <v>#DIV/0!</v>
      </c>
      <c r="AP195" s="43" t="e">
        <f>AM195/$E195</f>
        <v>#DIV/0!</v>
      </c>
    </row>
    <row r="196" spans="1:42">
      <c r="A196" s="37">
        <v>189</v>
      </c>
      <c r="B196" s="139"/>
      <c r="C196" s="152" t="s">
        <v>660</v>
      </c>
      <c r="D196" s="33"/>
      <c r="E196" s="33"/>
      <c r="F196" s="33"/>
      <c r="G196" s="33"/>
      <c r="H196" s="77" t="s">
        <v>1727</v>
      </c>
      <c r="I196" s="186"/>
      <c r="J196" s="145"/>
      <c r="K196" s="35"/>
      <c r="L196" s="17"/>
      <c r="M196" s="17"/>
      <c r="N196" s="17"/>
      <c r="O196" s="51"/>
      <c r="P196" s="51"/>
      <c r="Q196" s="51"/>
      <c r="R196" s="60"/>
      <c r="S196" s="51"/>
      <c r="T196" s="53"/>
      <c r="U196" s="53"/>
      <c r="V196" s="60"/>
      <c r="W196" s="81"/>
      <c r="X196" s="11"/>
      <c r="Y196" s="17"/>
      <c r="Z196" s="17"/>
      <c r="AA196" s="70"/>
      <c r="AB196" s="70"/>
      <c r="AC196" s="70"/>
      <c r="AD196" s="43"/>
      <c r="AE196" s="38"/>
      <c r="AF196" s="11"/>
      <c r="AG196" s="6"/>
      <c r="AH196" s="6"/>
      <c r="AI196" s="6"/>
      <c r="AJ196" s="43"/>
      <c r="AK196" s="38"/>
      <c r="AL196" s="11"/>
      <c r="AM196" s="6"/>
      <c r="AN196" s="6"/>
      <c r="AO196" s="6"/>
      <c r="AP196" s="43"/>
    </row>
    <row r="197" spans="1:42">
      <c r="A197" s="37">
        <v>190</v>
      </c>
      <c r="B197" s="139"/>
      <c r="C197" s="152" t="s">
        <v>1244</v>
      </c>
      <c r="D197" s="33"/>
      <c r="E197" s="33"/>
      <c r="F197" s="33"/>
      <c r="G197" s="33"/>
      <c r="H197" s="206" t="s">
        <v>1248</v>
      </c>
      <c r="I197" s="186" t="s">
        <v>977</v>
      </c>
      <c r="J197" s="145" t="s">
        <v>741</v>
      </c>
      <c r="K197" s="35"/>
      <c r="L197" s="17"/>
      <c r="M197" s="17"/>
      <c r="N197" s="17"/>
      <c r="O197" s="51"/>
      <c r="P197" s="51"/>
      <c r="Q197" s="51"/>
      <c r="R197" s="60"/>
      <c r="S197" s="51"/>
      <c r="T197" s="53"/>
      <c r="U197" s="53"/>
      <c r="V197" s="60"/>
      <c r="W197" s="41"/>
      <c r="X197" s="42"/>
      <c r="Y197" s="68"/>
      <c r="Z197" s="68"/>
      <c r="AA197" s="70"/>
      <c r="AB197" s="70"/>
      <c r="AC197" s="70"/>
      <c r="AD197" s="43"/>
      <c r="AE197" s="41"/>
      <c r="AF197" s="42"/>
      <c r="AG197" s="6"/>
      <c r="AH197" s="6"/>
      <c r="AI197" s="6"/>
      <c r="AJ197" s="43"/>
      <c r="AK197" s="41"/>
      <c r="AL197" s="42"/>
      <c r="AM197" s="6"/>
      <c r="AN197" s="6"/>
      <c r="AO197" s="6"/>
      <c r="AP197" s="43"/>
    </row>
    <row r="198" spans="1:42">
      <c r="A198" s="37">
        <v>191</v>
      </c>
      <c r="B198" s="139"/>
      <c r="C198" s="152" t="s">
        <v>1721</v>
      </c>
      <c r="D198" s="33"/>
      <c r="E198" s="33"/>
      <c r="F198" s="33"/>
      <c r="G198" s="33"/>
      <c r="H198" s="77" t="s">
        <v>1722</v>
      </c>
      <c r="I198" s="186" t="s">
        <v>1723</v>
      </c>
      <c r="J198" s="145"/>
      <c r="K198" s="35"/>
      <c r="L198" s="17"/>
      <c r="M198" s="17"/>
      <c r="N198" s="17"/>
      <c r="O198" s="51"/>
      <c r="P198" s="51"/>
      <c r="Q198" s="51"/>
      <c r="R198" s="60"/>
      <c r="S198" s="52"/>
      <c r="T198" s="52"/>
      <c r="U198" s="52"/>
      <c r="V198" s="60"/>
      <c r="W198" s="38"/>
      <c r="X198" s="11"/>
      <c r="Y198" s="17"/>
      <c r="Z198" s="17"/>
      <c r="AA198" s="70"/>
      <c r="AB198" s="70"/>
      <c r="AC198" s="70"/>
      <c r="AD198" s="43"/>
      <c r="AE198" s="38"/>
      <c r="AF198" s="11"/>
      <c r="AG198" s="6"/>
      <c r="AH198" s="6"/>
      <c r="AI198" s="6"/>
      <c r="AJ198" s="43"/>
      <c r="AK198" s="38"/>
      <c r="AL198" s="11"/>
      <c r="AM198" s="6"/>
      <c r="AN198" s="6"/>
      <c r="AO198" s="6"/>
      <c r="AP198" s="43"/>
    </row>
    <row r="199" spans="1:42">
      <c r="A199" s="37">
        <v>192</v>
      </c>
      <c r="B199" s="139"/>
      <c r="C199" s="152" t="s">
        <v>651</v>
      </c>
      <c r="D199" s="33"/>
      <c r="E199" s="33"/>
      <c r="F199" s="33"/>
      <c r="G199" s="33"/>
      <c r="H199" s="77" t="s">
        <v>880</v>
      </c>
      <c r="I199" s="186" t="s">
        <v>2095</v>
      </c>
      <c r="J199" s="146"/>
      <c r="K199" s="35"/>
      <c r="L199" s="17"/>
      <c r="M199" s="17"/>
      <c r="N199" s="17"/>
      <c r="O199" s="51">
        <f>E199</f>
        <v>0</v>
      </c>
      <c r="P199" s="51"/>
      <c r="Q199" s="51"/>
      <c r="R199" s="60"/>
      <c r="S199" s="52"/>
      <c r="T199" s="52"/>
      <c r="U199" s="52"/>
      <c r="V199" s="60"/>
      <c r="W199" s="38"/>
      <c r="X199" s="11"/>
      <c r="Y199" s="17"/>
      <c r="Z199" s="17"/>
      <c r="AA199" s="70"/>
      <c r="AB199" s="70"/>
      <c r="AC199" s="70"/>
      <c r="AD199" s="43"/>
      <c r="AE199" s="38"/>
      <c r="AF199" s="11"/>
      <c r="AG199" s="6"/>
      <c r="AH199" s="6"/>
      <c r="AI199" s="6"/>
      <c r="AJ199" s="43" t="e">
        <f>AG199/$E199</f>
        <v>#DIV/0!</v>
      </c>
      <c r="AK199" s="38"/>
      <c r="AL199" s="11"/>
      <c r="AM199" s="6"/>
      <c r="AN199" s="6"/>
      <c r="AO199" s="6"/>
      <c r="AP199" s="43" t="e">
        <f>AM199/$E199</f>
        <v>#DIV/0!</v>
      </c>
    </row>
    <row r="200" spans="1:42">
      <c r="A200" s="37"/>
      <c r="B200" s="139"/>
      <c r="C200" s="152" t="s">
        <v>1998</v>
      </c>
      <c r="D200" s="33"/>
      <c r="E200" s="33"/>
      <c r="F200" s="33"/>
      <c r="G200" s="33"/>
      <c r="H200" s="77" t="s">
        <v>2002</v>
      </c>
      <c r="I200" s="186" t="s">
        <v>2003</v>
      </c>
      <c r="J200" s="146"/>
      <c r="K200" s="35"/>
      <c r="L200" s="17"/>
      <c r="M200" s="17"/>
      <c r="N200" s="17"/>
      <c r="O200" s="51"/>
      <c r="P200" s="51"/>
      <c r="Q200" s="51"/>
      <c r="R200" s="60"/>
      <c r="S200" s="52"/>
      <c r="T200" s="52"/>
      <c r="U200" s="52"/>
      <c r="V200" s="60"/>
      <c r="W200" s="38"/>
      <c r="X200" s="11"/>
      <c r="Y200" s="17"/>
      <c r="Z200" s="17"/>
      <c r="AA200" s="70"/>
      <c r="AB200" s="70"/>
      <c r="AC200" s="70"/>
      <c r="AD200" s="43"/>
      <c r="AE200" s="38"/>
      <c r="AF200" s="11"/>
      <c r="AG200" s="6"/>
      <c r="AH200" s="6"/>
      <c r="AI200" s="6"/>
      <c r="AJ200" s="43"/>
      <c r="AK200" s="38"/>
      <c r="AL200" s="11"/>
      <c r="AM200" s="6"/>
      <c r="AN200" s="6"/>
      <c r="AO200" s="6"/>
      <c r="AP200" s="43"/>
    </row>
    <row r="201" spans="1:42">
      <c r="A201" s="37">
        <v>193</v>
      </c>
      <c r="B201" s="139"/>
      <c r="C201" s="152" t="s">
        <v>717</v>
      </c>
      <c r="D201" s="33"/>
      <c r="E201" s="33"/>
      <c r="F201" s="33"/>
      <c r="G201" s="33"/>
      <c r="H201" s="141" t="s">
        <v>1435</v>
      </c>
      <c r="I201" s="188" t="s">
        <v>1000</v>
      </c>
      <c r="J201" s="146"/>
      <c r="K201" s="35"/>
      <c r="L201" s="17"/>
      <c r="M201" s="17"/>
      <c r="N201" s="17"/>
      <c r="O201" s="51">
        <f>E201</f>
        <v>0</v>
      </c>
      <c r="P201" s="51"/>
      <c r="Q201" s="51"/>
      <c r="R201" s="60"/>
      <c r="S201" s="54"/>
      <c r="T201" s="54"/>
      <c r="U201" s="54"/>
      <c r="V201" s="60"/>
      <c r="W201" s="38"/>
      <c r="X201" s="11"/>
      <c r="Y201" s="17"/>
      <c r="Z201" s="17"/>
      <c r="AA201" s="74"/>
      <c r="AB201" s="74"/>
      <c r="AC201" s="74"/>
      <c r="AD201" s="43"/>
      <c r="AE201" s="38"/>
      <c r="AF201" s="11"/>
      <c r="AG201" s="6"/>
      <c r="AH201" s="6"/>
      <c r="AI201" s="6"/>
      <c r="AJ201" s="43" t="e">
        <f>AG201/$E201</f>
        <v>#DIV/0!</v>
      </c>
      <c r="AK201" s="38"/>
      <c r="AL201" s="11"/>
      <c r="AM201" s="6"/>
      <c r="AN201" s="6"/>
      <c r="AO201" s="6"/>
      <c r="AP201" s="43" t="e">
        <f>AM201/$E201</f>
        <v>#DIV/0!</v>
      </c>
    </row>
    <row r="202" spans="1:42">
      <c r="A202" s="37">
        <v>194</v>
      </c>
      <c r="B202" s="139"/>
      <c r="C202" s="168" t="s">
        <v>1122</v>
      </c>
      <c r="D202" s="33"/>
      <c r="E202" s="33"/>
      <c r="F202" s="33"/>
      <c r="G202" s="33"/>
      <c r="H202" s="77" t="s">
        <v>1625</v>
      </c>
      <c r="I202" s="186" t="s">
        <v>1246</v>
      </c>
      <c r="J202" s="146" t="s">
        <v>1281</v>
      </c>
      <c r="K202" s="35"/>
      <c r="L202" s="17"/>
      <c r="M202" s="17"/>
      <c r="N202" s="17"/>
      <c r="O202" s="51"/>
      <c r="P202" s="51"/>
      <c r="Q202" s="51"/>
      <c r="R202" s="60"/>
      <c r="S202" s="51"/>
      <c r="T202" s="53"/>
      <c r="U202" s="53"/>
      <c r="V202" s="60"/>
      <c r="W202" s="81"/>
      <c r="X202" s="11"/>
      <c r="Y202" s="17"/>
      <c r="Z202" s="17"/>
      <c r="AA202" s="70"/>
      <c r="AB202" s="70"/>
      <c r="AC202" s="70"/>
      <c r="AD202" s="43"/>
      <c r="AE202" s="38"/>
      <c r="AF202" s="11"/>
      <c r="AG202" s="6"/>
      <c r="AH202" s="6"/>
      <c r="AI202" s="6"/>
      <c r="AJ202" s="43"/>
      <c r="AK202" s="38"/>
      <c r="AL202" s="11"/>
      <c r="AM202" s="6"/>
      <c r="AN202" s="6"/>
      <c r="AO202" s="6"/>
      <c r="AP202" s="43"/>
    </row>
    <row r="203" spans="1:42">
      <c r="A203" s="37">
        <v>195</v>
      </c>
      <c r="B203" s="139"/>
      <c r="C203" s="152" t="s">
        <v>1441</v>
      </c>
      <c r="D203" s="33"/>
      <c r="E203" s="33"/>
      <c r="F203" s="33"/>
      <c r="G203" s="33"/>
      <c r="H203" s="141" t="s">
        <v>1442</v>
      </c>
      <c r="I203" s="190" t="s">
        <v>1443</v>
      </c>
      <c r="J203" s="146"/>
      <c r="K203" s="35"/>
      <c r="L203" s="17"/>
      <c r="M203" s="17"/>
      <c r="N203" s="17"/>
      <c r="O203" s="51"/>
      <c r="P203" s="51"/>
      <c r="Q203" s="51"/>
      <c r="R203" s="60"/>
      <c r="S203" s="51"/>
      <c r="T203" s="53"/>
      <c r="U203" s="53"/>
      <c r="V203" s="60"/>
      <c r="W203" s="81"/>
      <c r="X203" s="11"/>
      <c r="Y203" s="17"/>
      <c r="Z203" s="17"/>
      <c r="AA203" s="70"/>
      <c r="AB203" s="70"/>
      <c r="AC203" s="70"/>
      <c r="AD203" s="43"/>
      <c r="AE203" s="38"/>
      <c r="AF203" s="11"/>
      <c r="AG203" s="6"/>
      <c r="AH203" s="6"/>
      <c r="AI203" s="6"/>
      <c r="AJ203" s="43"/>
      <c r="AK203" s="38"/>
      <c r="AL203" s="11"/>
      <c r="AM203" s="6"/>
      <c r="AN203" s="6"/>
      <c r="AO203" s="6"/>
      <c r="AP203" s="43"/>
    </row>
    <row r="204" spans="1:42">
      <c r="A204" s="37">
        <v>196</v>
      </c>
      <c r="B204" s="139"/>
      <c r="C204" s="170" t="s">
        <v>1964</v>
      </c>
      <c r="D204" s="33"/>
      <c r="E204" s="33"/>
      <c r="F204" s="33"/>
      <c r="G204" s="33"/>
      <c r="H204" s="141" t="s">
        <v>1642</v>
      </c>
      <c r="I204" s="190" t="s">
        <v>1643</v>
      </c>
      <c r="J204" s="146"/>
      <c r="K204" s="35"/>
      <c r="L204" s="17"/>
      <c r="M204" s="17"/>
      <c r="N204" s="17"/>
      <c r="O204" s="51"/>
      <c r="P204" s="51"/>
      <c r="Q204" s="51"/>
      <c r="R204" s="60"/>
      <c r="S204" s="51"/>
      <c r="T204" s="53"/>
      <c r="U204" s="53"/>
      <c r="V204" s="60"/>
      <c r="W204" s="81"/>
      <c r="X204" s="11"/>
      <c r="Y204" s="17"/>
      <c r="Z204" s="17"/>
      <c r="AA204" s="70"/>
      <c r="AB204" s="70"/>
      <c r="AC204" s="70"/>
      <c r="AD204" s="43"/>
      <c r="AE204" s="38"/>
      <c r="AF204" s="11"/>
      <c r="AG204" s="6"/>
      <c r="AH204" s="6"/>
      <c r="AI204" s="6"/>
      <c r="AJ204" s="43"/>
      <c r="AK204" s="38"/>
      <c r="AL204" s="11"/>
      <c r="AM204" s="6"/>
      <c r="AN204" s="6"/>
      <c r="AO204" s="6"/>
      <c r="AP204" s="43"/>
    </row>
    <row r="205" spans="1:42">
      <c r="A205" s="37">
        <v>197</v>
      </c>
      <c r="B205" s="139"/>
      <c r="C205" s="152" t="s">
        <v>1757</v>
      </c>
      <c r="D205" s="33"/>
      <c r="E205" s="33"/>
      <c r="F205" s="33"/>
      <c r="G205" s="33"/>
      <c r="H205" s="141" t="s">
        <v>1758</v>
      </c>
      <c r="I205" s="190" t="s">
        <v>1759</v>
      </c>
      <c r="J205" s="146"/>
      <c r="K205" s="35"/>
      <c r="L205" s="17"/>
      <c r="M205" s="17"/>
      <c r="N205" s="17"/>
      <c r="O205" s="51"/>
      <c r="P205" s="51"/>
      <c r="Q205" s="51"/>
      <c r="R205" s="60"/>
      <c r="S205" s="51"/>
      <c r="T205" s="53"/>
      <c r="U205" s="53"/>
      <c r="V205" s="60"/>
      <c r="W205" s="81"/>
      <c r="X205" s="11"/>
      <c r="Y205" s="17"/>
      <c r="Z205" s="17"/>
      <c r="AA205" s="70"/>
      <c r="AB205" s="70"/>
      <c r="AC205" s="70"/>
      <c r="AD205" s="43"/>
      <c r="AE205" s="38"/>
      <c r="AF205" s="11"/>
      <c r="AG205" s="6"/>
      <c r="AH205" s="6"/>
      <c r="AI205" s="6"/>
      <c r="AJ205" s="43"/>
      <c r="AK205" s="38"/>
      <c r="AL205" s="11"/>
      <c r="AM205" s="6"/>
      <c r="AN205" s="6"/>
      <c r="AO205" s="6"/>
      <c r="AP205" s="43"/>
    </row>
    <row r="206" spans="1:42">
      <c r="A206" s="37">
        <v>198</v>
      </c>
      <c r="B206" s="139"/>
      <c r="C206" s="152" t="s">
        <v>1171</v>
      </c>
      <c r="D206" s="33"/>
      <c r="E206" s="33"/>
      <c r="F206" s="33"/>
      <c r="G206" s="33"/>
      <c r="H206" s="141" t="s">
        <v>1172</v>
      </c>
      <c r="I206" s="190" t="s">
        <v>1093</v>
      </c>
      <c r="J206" s="146"/>
      <c r="K206" s="35"/>
      <c r="L206" s="17"/>
      <c r="M206" s="17"/>
      <c r="N206" s="17"/>
      <c r="O206" s="51"/>
      <c r="P206" s="51"/>
      <c r="Q206" s="51"/>
      <c r="R206" s="60"/>
      <c r="S206" s="51"/>
      <c r="T206" s="53"/>
      <c r="U206" s="53"/>
      <c r="V206" s="60"/>
      <c r="W206" s="81"/>
      <c r="X206" s="11"/>
      <c r="Y206" s="17"/>
      <c r="Z206" s="17"/>
      <c r="AA206" s="70"/>
      <c r="AB206" s="70"/>
      <c r="AC206" s="70"/>
      <c r="AD206" s="43"/>
      <c r="AE206" s="38"/>
      <c r="AF206" s="11"/>
      <c r="AG206" s="6"/>
      <c r="AH206" s="6"/>
      <c r="AI206" s="6"/>
      <c r="AJ206" s="43"/>
      <c r="AK206" s="38"/>
      <c r="AL206" s="11"/>
      <c r="AM206" s="6"/>
      <c r="AN206" s="6"/>
      <c r="AO206" s="6"/>
      <c r="AP206" s="43"/>
    </row>
    <row r="207" spans="1:42">
      <c r="A207" s="37">
        <v>199</v>
      </c>
      <c r="B207" s="139"/>
      <c r="C207" s="247" t="s">
        <v>1668</v>
      </c>
      <c r="D207" s="33"/>
      <c r="E207" s="33"/>
      <c r="F207" s="33"/>
      <c r="G207" s="33"/>
      <c r="H207" s="77" t="s">
        <v>1670</v>
      </c>
      <c r="I207" s="190" t="s">
        <v>1671</v>
      </c>
      <c r="J207" s="146" t="s">
        <v>1669</v>
      </c>
      <c r="K207" s="35"/>
      <c r="L207" s="17"/>
      <c r="M207" s="17"/>
      <c r="N207" s="17"/>
      <c r="O207" s="51"/>
      <c r="P207" s="51"/>
      <c r="Q207" s="51"/>
      <c r="R207" s="60"/>
      <c r="S207" s="51"/>
      <c r="T207" s="53"/>
      <c r="U207" s="53"/>
      <c r="V207" s="60"/>
      <c r="W207" s="81"/>
      <c r="X207" s="11"/>
      <c r="Y207" s="17"/>
      <c r="Z207" s="17"/>
      <c r="AA207" s="70"/>
      <c r="AB207" s="70"/>
      <c r="AC207" s="70"/>
      <c r="AD207" s="43"/>
      <c r="AE207" s="38"/>
      <c r="AF207" s="11"/>
      <c r="AG207" s="6"/>
      <c r="AH207" s="6"/>
      <c r="AI207" s="6"/>
      <c r="AJ207" s="43"/>
      <c r="AK207" s="38"/>
      <c r="AL207" s="11"/>
      <c r="AM207" s="6"/>
      <c r="AN207" s="6"/>
      <c r="AO207" s="6"/>
      <c r="AP207" s="43"/>
    </row>
    <row r="208" spans="1:42">
      <c r="A208" s="37">
        <v>200</v>
      </c>
      <c r="B208" s="139"/>
      <c r="C208" s="152" t="s">
        <v>810</v>
      </c>
      <c r="D208" s="33"/>
      <c r="E208" s="33"/>
      <c r="F208" s="33"/>
      <c r="G208" s="33"/>
      <c r="H208" s="141" t="s">
        <v>882</v>
      </c>
      <c r="I208" s="190"/>
      <c r="J208" s="146"/>
      <c r="K208" s="35"/>
      <c r="L208" s="17"/>
      <c r="M208" s="17"/>
      <c r="N208" s="17"/>
      <c r="O208" s="51"/>
      <c r="P208" s="51"/>
      <c r="Q208" s="51"/>
      <c r="R208" s="60"/>
      <c r="S208" s="51"/>
      <c r="T208" s="53"/>
      <c r="U208" s="53"/>
      <c r="V208" s="60"/>
      <c r="W208" s="81"/>
      <c r="X208" s="11"/>
      <c r="Y208" s="17"/>
      <c r="Z208" s="17"/>
      <c r="AA208" s="70"/>
      <c r="AB208" s="70"/>
      <c r="AC208" s="70"/>
      <c r="AD208" s="43"/>
      <c r="AE208" s="38"/>
      <c r="AF208" s="11"/>
      <c r="AG208" s="6"/>
      <c r="AH208" s="6"/>
      <c r="AI208" s="6"/>
      <c r="AJ208" s="43"/>
      <c r="AK208" s="38"/>
      <c r="AL208" s="11"/>
      <c r="AM208" s="6"/>
      <c r="AN208" s="6"/>
      <c r="AO208" s="6"/>
      <c r="AP208" s="43"/>
    </row>
    <row r="209" spans="1:42">
      <c r="A209" s="37">
        <v>201</v>
      </c>
      <c r="B209" s="139"/>
      <c r="C209" s="152" t="s">
        <v>2218</v>
      </c>
      <c r="D209" s="33"/>
      <c r="E209" s="33"/>
      <c r="F209" s="33"/>
      <c r="G209" s="33"/>
      <c r="H209" s="141" t="s">
        <v>1434</v>
      </c>
      <c r="I209" s="190" t="s">
        <v>1000</v>
      </c>
      <c r="J209" s="146"/>
      <c r="K209" s="35"/>
      <c r="L209" s="17"/>
      <c r="M209" s="17"/>
      <c r="N209" s="17"/>
      <c r="O209" s="51"/>
      <c r="P209" s="51"/>
      <c r="Q209" s="51"/>
      <c r="R209" s="60"/>
      <c r="S209" s="51"/>
      <c r="T209" s="53"/>
      <c r="U209" s="53"/>
      <c r="V209" s="60"/>
      <c r="W209" s="81"/>
      <c r="X209" s="11"/>
      <c r="Y209" s="17"/>
      <c r="Z209" s="17"/>
      <c r="AA209" s="70"/>
      <c r="AB209" s="70"/>
      <c r="AC209" s="70"/>
      <c r="AD209" s="43"/>
      <c r="AE209" s="38"/>
      <c r="AF209" s="11"/>
      <c r="AG209" s="6"/>
      <c r="AH209" s="6"/>
      <c r="AI209" s="6"/>
      <c r="AJ209" s="43"/>
      <c r="AK209" s="38"/>
      <c r="AL209" s="11"/>
      <c r="AM209" s="6"/>
      <c r="AN209" s="6"/>
      <c r="AO209" s="6"/>
      <c r="AP209" s="43"/>
    </row>
    <row r="210" spans="1:42">
      <c r="A210" s="37">
        <v>202</v>
      </c>
      <c r="B210" s="139"/>
      <c r="C210" s="152" t="s">
        <v>1949</v>
      </c>
      <c r="D210" s="33"/>
      <c r="E210" s="33"/>
      <c r="F210" s="33"/>
      <c r="G210" s="33"/>
      <c r="H210" s="141" t="s">
        <v>1950</v>
      </c>
      <c r="I210" s="190" t="s">
        <v>1951</v>
      </c>
      <c r="J210" s="146"/>
      <c r="K210" s="35"/>
      <c r="L210" s="17"/>
      <c r="M210" s="17"/>
      <c r="N210" s="17"/>
      <c r="O210" s="51"/>
      <c r="P210" s="51"/>
      <c r="Q210" s="51"/>
      <c r="R210" s="60"/>
      <c r="S210" s="51"/>
      <c r="T210" s="53"/>
      <c r="U210" s="53"/>
      <c r="V210" s="60"/>
      <c r="W210" s="81"/>
      <c r="X210" s="11"/>
      <c r="Y210" s="17"/>
      <c r="Z210" s="17"/>
      <c r="AA210" s="70"/>
      <c r="AB210" s="70"/>
      <c r="AC210" s="70"/>
      <c r="AD210" s="43"/>
      <c r="AE210" s="38"/>
      <c r="AF210" s="11"/>
      <c r="AG210" s="6"/>
      <c r="AH210" s="6"/>
      <c r="AI210" s="6"/>
      <c r="AJ210" s="43"/>
      <c r="AK210" s="38"/>
      <c r="AL210" s="11"/>
      <c r="AM210" s="6"/>
      <c r="AN210" s="6"/>
      <c r="AO210" s="6"/>
      <c r="AP210" s="43"/>
    </row>
    <row r="211" spans="1:42" ht="27">
      <c r="A211" s="37">
        <v>203</v>
      </c>
      <c r="B211" s="139"/>
      <c r="C211" s="152" t="s">
        <v>639</v>
      </c>
      <c r="D211" s="33"/>
      <c r="E211" s="33"/>
      <c r="F211" s="33"/>
      <c r="G211" s="33"/>
      <c r="H211" s="77" t="s">
        <v>967</v>
      </c>
      <c r="I211" s="186" t="s">
        <v>1051</v>
      </c>
      <c r="J211" s="146" t="s">
        <v>755</v>
      </c>
      <c r="K211" s="35"/>
      <c r="L211" s="17"/>
      <c r="M211" s="17"/>
      <c r="N211" s="17"/>
      <c r="O211" s="51"/>
      <c r="P211" s="51"/>
      <c r="Q211" s="51"/>
      <c r="R211" s="60"/>
      <c r="S211" s="51"/>
      <c r="T211" s="53"/>
      <c r="U211" s="53"/>
      <c r="V211" s="60"/>
      <c r="W211" s="81"/>
      <c r="X211" s="11"/>
      <c r="Y211" s="17"/>
      <c r="Z211" s="17"/>
      <c r="AA211" s="70"/>
      <c r="AB211" s="70"/>
      <c r="AC211" s="70"/>
      <c r="AD211" s="43"/>
      <c r="AE211" s="38"/>
      <c r="AF211" s="82"/>
      <c r="AG211" s="6"/>
      <c r="AH211" s="6"/>
      <c r="AI211" s="6"/>
      <c r="AJ211" s="43"/>
      <c r="AK211" s="38"/>
      <c r="AL211" s="11"/>
      <c r="AM211" s="6"/>
      <c r="AN211" s="6"/>
      <c r="AO211" s="6"/>
      <c r="AP211" s="43"/>
    </row>
    <row r="212" spans="1:42" ht="17.25" customHeight="1">
      <c r="A212" s="37">
        <v>204</v>
      </c>
      <c r="B212" s="139"/>
      <c r="C212" s="152" t="s">
        <v>676</v>
      </c>
      <c r="D212" s="33"/>
      <c r="E212" s="33"/>
      <c r="F212" s="33"/>
      <c r="G212" s="33"/>
      <c r="H212" s="77" t="s">
        <v>1506</v>
      </c>
      <c r="I212" s="186" t="s">
        <v>1026</v>
      </c>
      <c r="J212" s="145"/>
      <c r="K212" s="125"/>
      <c r="L212" s="6"/>
      <c r="M212" s="6"/>
      <c r="N212" s="6"/>
      <c r="O212" s="51"/>
      <c r="P212" s="51"/>
      <c r="Q212" s="51"/>
      <c r="R212" s="60"/>
      <c r="S212" s="51"/>
      <c r="T212" s="51"/>
      <c r="U212" s="51"/>
      <c r="V212" s="60"/>
      <c r="W212" s="81"/>
      <c r="X212" s="11"/>
      <c r="Y212" s="17"/>
      <c r="Z212" s="17"/>
      <c r="AA212" s="70"/>
      <c r="AB212" s="70"/>
      <c r="AC212" s="70"/>
      <c r="AD212" s="43"/>
      <c r="AE212" s="38"/>
      <c r="AF212" s="11"/>
      <c r="AG212" s="6"/>
      <c r="AH212" s="6"/>
      <c r="AI212" s="6"/>
      <c r="AJ212" s="43"/>
      <c r="AK212" s="38"/>
      <c r="AL212" s="11"/>
      <c r="AM212" s="6"/>
      <c r="AN212" s="6"/>
      <c r="AO212" s="6"/>
      <c r="AP212" s="43"/>
    </row>
    <row r="213" spans="1:42">
      <c r="A213" s="37">
        <v>205</v>
      </c>
      <c r="B213" s="139"/>
      <c r="C213" s="152" t="s">
        <v>1783</v>
      </c>
      <c r="D213" s="33"/>
      <c r="E213" s="33"/>
      <c r="F213" s="33"/>
      <c r="G213" s="33"/>
      <c r="H213" s="77" t="s">
        <v>1784</v>
      </c>
      <c r="I213" s="186" t="s">
        <v>1104</v>
      </c>
      <c r="J213" s="146" t="s">
        <v>1833</v>
      </c>
      <c r="K213" s="125"/>
      <c r="L213" s="6"/>
      <c r="M213" s="6"/>
      <c r="N213" s="6"/>
      <c r="O213" s="51"/>
      <c r="P213" s="51"/>
      <c r="Q213" s="51"/>
      <c r="R213" s="60"/>
      <c r="S213" s="51"/>
      <c r="T213" s="51"/>
      <c r="U213" s="51"/>
      <c r="V213" s="60"/>
      <c r="W213" s="38"/>
      <c r="X213" s="11"/>
      <c r="Y213" s="17"/>
      <c r="Z213" s="17"/>
      <c r="AA213" s="70"/>
      <c r="AB213" s="70"/>
      <c r="AC213" s="70"/>
      <c r="AD213" s="43"/>
      <c r="AE213" s="38"/>
      <c r="AF213" s="11"/>
      <c r="AG213" s="6"/>
      <c r="AH213" s="6"/>
      <c r="AI213" s="6"/>
      <c r="AJ213" s="43"/>
      <c r="AK213" s="38"/>
      <c r="AL213" s="11"/>
      <c r="AM213" s="6"/>
      <c r="AN213" s="6"/>
      <c r="AO213" s="6"/>
      <c r="AP213" s="43"/>
    </row>
    <row r="214" spans="1:42">
      <c r="A214" s="37">
        <v>206</v>
      </c>
      <c r="B214" s="139"/>
      <c r="C214" s="152" t="s">
        <v>2075</v>
      </c>
      <c r="D214" s="33"/>
      <c r="E214" s="33"/>
      <c r="F214" s="33"/>
      <c r="G214" s="33"/>
      <c r="H214" s="77" t="s">
        <v>2076</v>
      </c>
      <c r="I214" s="186" t="s">
        <v>1618</v>
      </c>
      <c r="J214" s="146"/>
      <c r="K214" s="125"/>
      <c r="L214" s="6"/>
      <c r="M214" s="6"/>
      <c r="N214" s="6"/>
      <c r="O214" s="51"/>
      <c r="P214" s="51"/>
      <c r="Q214" s="51"/>
      <c r="R214" s="60"/>
      <c r="S214" s="51"/>
      <c r="T214" s="51"/>
      <c r="U214" s="51"/>
      <c r="V214" s="60"/>
      <c r="W214" s="38"/>
      <c r="X214" s="11"/>
      <c r="Y214" s="17"/>
      <c r="Z214" s="17"/>
      <c r="AA214" s="70"/>
      <c r="AB214" s="70"/>
      <c r="AC214" s="70"/>
      <c r="AD214" s="43"/>
      <c r="AE214" s="38"/>
      <c r="AF214" s="11"/>
      <c r="AG214" s="6"/>
      <c r="AH214" s="6"/>
      <c r="AI214" s="6"/>
      <c r="AJ214" s="43"/>
      <c r="AK214" s="38"/>
      <c r="AL214" s="11"/>
      <c r="AM214" s="6"/>
      <c r="AN214" s="6"/>
      <c r="AO214" s="6"/>
      <c r="AP214" s="43"/>
    </row>
    <row r="215" spans="1:42">
      <c r="A215" s="37">
        <v>207</v>
      </c>
      <c r="B215" s="139"/>
      <c r="C215" s="152" t="s">
        <v>619</v>
      </c>
      <c r="D215" s="33"/>
      <c r="E215" s="33"/>
      <c r="F215" s="33"/>
      <c r="G215" s="33"/>
      <c r="H215" s="77" t="s">
        <v>1164</v>
      </c>
      <c r="I215" s="186" t="s">
        <v>1070</v>
      </c>
      <c r="J215" s="146"/>
      <c r="K215" s="125"/>
      <c r="L215" s="6">
        <v>600</v>
      </c>
      <c r="M215" s="6">
        <v>30</v>
      </c>
      <c r="N215" s="6">
        <v>630</v>
      </c>
      <c r="O215" s="51"/>
      <c r="P215" s="51"/>
      <c r="Q215" s="51"/>
      <c r="R215" s="60"/>
      <c r="S215" s="52"/>
      <c r="T215" s="52"/>
      <c r="U215" s="52"/>
      <c r="V215" s="60"/>
      <c r="W215" s="38"/>
      <c r="X215" s="11"/>
      <c r="Y215" s="17"/>
      <c r="Z215" s="17"/>
      <c r="AA215" s="71"/>
      <c r="AB215" s="71"/>
      <c r="AC215" s="71"/>
      <c r="AD215" s="43"/>
      <c r="AE215" s="38"/>
      <c r="AF215" s="11"/>
      <c r="AG215" s="6"/>
      <c r="AH215" s="6"/>
      <c r="AI215" s="6"/>
      <c r="AJ215" s="43"/>
      <c r="AK215" s="38"/>
      <c r="AL215" s="11"/>
      <c r="AM215" s="6"/>
      <c r="AN215" s="6"/>
      <c r="AO215" s="6"/>
      <c r="AP215" s="43"/>
    </row>
    <row r="216" spans="1:42">
      <c r="A216" s="37">
        <v>208</v>
      </c>
      <c r="B216" s="139"/>
      <c r="C216" s="152" t="s">
        <v>767</v>
      </c>
      <c r="D216" s="33"/>
      <c r="E216" s="33"/>
      <c r="F216" s="33"/>
      <c r="G216" s="33"/>
      <c r="H216" s="77" t="s">
        <v>1113</v>
      </c>
      <c r="I216" s="186" t="s">
        <v>1740</v>
      </c>
      <c r="J216" s="145" t="s">
        <v>761</v>
      </c>
      <c r="K216" s="125"/>
      <c r="L216" s="6"/>
      <c r="M216" s="6"/>
      <c r="N216" s="6"/>
      <c r="O216" s="51"/>
      <c r="P216" s="51"/>
      <c r="Q216" s="51"/>
      <c r="R216" s="60"/>
      <c r="S216" s="51"/>
      <c r="T216" s="51"/>
      <c r="U216" s="51"/>
      <c r="V216" s="60"/>
      <c r="W216" s="38"/>
      <c r="X216" s="11"/>
      <c r="Y216" s="17"/>
      <c r="Z216" s="17"/>
      <c r="AA216" s="70"/>
      <c r="AB216" s="70"/>
      <c r="AC216" s="70"/>
      <c r="AD216" s="43"/>
      <c r="AE216" s="38"/>
      <c r="AF216" s="11"/>
      <c r="AG216" s="6"/>
      <c r="AH216" s="6"/>
      <c r="AI216" s="6"/>
      <c r="AJ216" s="43"/>
      <c r="AK216" s="38"/>
      <c r="AL216" s="11"/>
      <c r="AM216" s="6"/>
      <c r="AN216" s="6"/>
      <c r="AO216" s="6"/>
      <c r="AP216" s="43"/>
    </row>
    <row r="217" spans="1:42">
      <c r="A217" s="37">
        <v>209</v>
      </c>
      <c r="B217" s="139"/>
      <c r="C217" s="152" t="s">
        <v>1578</v>
      </c>
      <c r="D217" s="33"/>
      <c r="E217" s="33"/>
      <c r="F217" s="33"/>
      <c r="G217" s="33"/>
      <c r="H217" s="110" t="s">
        <v>1580</v>
      </c>
      <c r="I217" s="187" t="s">
        <v>1106</v>
      </c>
      <c r="J217" s="146"/>
      <c r="K217" s="125"/>
      <c r="L217" s="6"/>
      <c r="M217" s="6"/>
      <c r="N217" s="6"/>
      <c r="O217" s="51"/>
      <c r="P217" s="51"/>
      <c r="Q217" s="51"/>
      <c r="R217" s="60"/>
      <c r="S217" s="51"/>
      <c r="T217" s="51"/>
      <c r="U217" s="51"/>
      <c r="V217" s="60"/>
      <c r="W217" s="38"/>
      <c r="X217" s="11"/>
      <c r="AA217" s="119"/>
      <c r="AB217" s="119"/>
      <c r="AC217" s="119"/>
      <c r="AE217" s="118"/>
      <c r="AG217" s="8"/>
      <c r="AH217" s="8"/>
      <c r="AI217" s="8"/>
      <c r="AK217" s="118"/>
      <c r="AM217" s="8"/>
      <c r="AN217" s="8"/>
      <c r="AO217" s="8"/>
    </row>
    <row r="218" spans="1:42">
      <c r="A218" s="37">
        <v>210</v>
      </c>
      <c r="B218" s="139"/>
      <c r="C218" s="152" t="s">
        <v>1644</v>
      </c>
      <c r="D218" s="33"/>
      <c r="E218" s="33"/>
      <c r="F218" s="33"/>
      <c r="G218" s="33"/>
      <c r="H218" s="110" t="s">
        <v>1645</v>
      </c>
      <c r="I218" s="187" t="s">
        <v>1063</v>
      </c>
      <c r="J218" s="146" t="s">
        <v>1646</v>
      </c>
      <c r="K218" s="125"/>
      <c r="L218" s="6"/>
      <c r="M218" s="6"/>
      <c r="N218" s="6"/>
      <c r="O218" s="51"/>
      <c r="P218" s="51"/>
      <c r="Q218" s="51"/>
      <c r="R218" s="60"/>
      <c r="S218" s="51"/>
      <c r="T218" s="51"/>
      <c r="U218" s="51"/>
      <c r="V218" s="60"/>
      <c r="W218" s="38"/>
      <c r="X218" s="11"/>
      <c r="AA218" s="119"/>
      <c r="AB218" s="119"/>
      <c r="AC218" s="119"/>
      <c r="AE218" s="118"/>
      <c r="AG218" s="8"/>
      <c r="AH218" s="8"/>
      <c r="AI218" s="8"/>
      <c r="AK218" s="118"/>
      <c r="AM218" s="8"/>
      <c r="AN218" s="8"/>
      <c r="AO218" s="8"/>
    </row>
    <row r="219" spans="1:42">
      <c r="A219" s="37">
        <v>211</v>
      </c>
      <c r="B219" s="139"/>
      <c r="C219" s="152" t="s">
        <v>959</v>
      </c>
      <c r="D219" s="33"/>
      <c r="E219" s="33"/>
      <c r="F219" s="33"/>
      <c r="G219" s="33"/>
      <c r="H219" s="110" t="s">
        <v>971</v>
      </c>
      <c r="I219" s="187" t="s">
        <v>1142</v>
      </c>
      <c r="J219" s="146" t="s">
        <v>972</v>
      </c>
      <c r="K219" s="125"/>
      <c r="L219" s="6"/>
      <c r="M219" s="6"/>
      <c r="N219" s="6"/>
      <c r="O219" s="51"/>
      <c r="P219" s="51"/>
      <c r="Q219" s="51"/>
      <c r="R219" s="60"/>
      <c r="S219" s="51"/>
      <c r="T219" s="51"/>
      <c r="U219" s="51"/>
      <c r="V219" s="60"/>
      <c r="W219" s="38"/>
      <c r="X219" s="11"/>
      <c r="AA219" s="119"/>
      <c r="AB219" s="119"/>
      <c r="AC219" s="119"/>
      <c r="AE219" s="118"/>
      <c r="AG219" s="8"/>
      <c r="AH219" s="8"/>
      <c r="AI219" s="8"/>
      <c r="AK219" s="118"/>
      <c r="AM219" s="8"/>
      <c r="AN219" s="8"/>
      <c r="AO219" s="8"/>
    </row>
    <row r="220" spans="1:42">
      <c r="A220" s="37">
        <v>212</v>
      </c>
      <c r="B220" s="139"/>
      <c r="C220" s="152" t="s">
        <v>1665</v>
      </c>
      <c r="D220" s="33"/>
      <c r="E220" s="33"/>
      <c r="F220" s="33"/>
      <c r="G220" s="33"/>
      <c r="H220" s="110" t="s">
        <v>855</v>
      </c>
      <c r="I220" s="187" t="s">
        <v>1106</v>
      </c>
      <c r="J220" s="146"/>
      <c r="K220" s="125"/>
      <c r="L220" s="6"/>
      <c r="M220" s="6"/>
      <c r="N220" s="6"/>
      <c r="O220" s="51"/>
      <c r="P220" s="51"/>
      <c r="Q220" s="51"/>
      <c r="R220" s="60"/>
      <c r="S220" s="51"/>
      <c r="T220" s="51"/>
      <c r="U220" s="51"/>
      <c r="V220" s="60"/>
      <c r="W220" s="38"/>
      <c r="X220" s="11"/>
      <c r="AA220" s="119"/>
      <c r="AB220" s="119"/>
      <c r="AC220" s="119"/>
      <c r="AE220" s="118"/>
      <c r="AG220" s="8"/>
      <c r="AH220" s="8"/>
      <c r="AI220" s="8"/>
      <c r="AK220" s="118"/>
      <c r="AM220" s="8"/>
      <c r="AN220" s="8"/>
      <c r="AO220" s="8"/>
    </row>
    <row r="221" spans="1:42">
      <c r="A221" s="37">
        <v>213</v>
      </c>
      <c r="B221" s="139"/>
      <c r="C221" s="152" t="s">
        <v>2001</v>
      </c>
      <c r="D221" s="33"/>
      <c r="E221" s="33"/>
      <c r="F221" s="33"/>
      <c r="G221" s="33"/>
      <c r="H221" s="110" t="s">
        <v>1999</v>
      </c>
      <c r="I221" s="187" t="s">
        <v>1394</v>
      </c>
      <c r="J221" s="146" t="s">
        <v>2000</v>
      </c>
      <c r="K221" s="125"/>
      <c r="L221" s="6"/>
      <c r="M221" s="6"/>
      <c r="N221" s="6"/>
      <c r="O221" s="51"/>
      <c r="P221" s="51"/>
      <c r="Q221" s="51"/>
      <c r="R221" s="60"/>
      <c r="S221" s="51"/>
      <c r="T221" s="51"/>
      <c r="U221" s="51"/>
      <c r="V221" s="60"/>
      <c r="W221" s="38"/>
      <c r="X221" s="11"/>
      <c r="AA221" s="119"/>
      <c r="AB221" s="119"/>
      <c r="AC221" s="119"/>
      <c r="AE221" s="118"/>
      <c r="AG221" s="8"/>
      <c r="AH221" s="8"/>
      <c r="AI221" s="8"/>
      <c r="AK221" s="118"/>
      <c r="AM221" s="8"/>
      <c r="AN221" s="8"/>
      <c r="AO221" s="8"/>
    </row>
    <row r="222" spans="1:42" ht="20.100000000000001" customHeight="1">
      <c r="A222" s="37">
        <v>214</v>
      </c>
      <c r="B222" s="139"/>
      <c r="C222" s="152" t="s">
        <v>766</v>
      </c>
      <c r="D222" s="33"/>
      <c r="E222" s="33"/>
      <c r="F222" s="33"/>
      <c r="G222" s="33"/>
      <c r="H222" s="77" t="s">
        <v>858</v>
      </c>
      <c r="I222" s="186" t="s">
        <v>998</v>
      </c>
      <c r="J222" s="145" t="s">
        <v>761</v>
      </c>
      <c r="K222" s="35"/>
      <c r="L222" s="17">
        <v>30800</v>
      </c>
      <c r="M222" s="17">
        <v>1540</v>
      </c>
      <c r="N222" s="17">
        <v>32340</v>
      </c>
      <c r="O222" s="51"/>
      <c r="P222" s="51"/>
      <c r="Q222" s="51"/>
      <c r="R222" s="60"/>
      <c r="S222" s="51"/>
      <c r="T222" s="53"/>
      <c r="U222" s="53"/>
      <c r="V222" s="60"/>
      <c r="W222" s="41"/>
      <c r="X222" s="42"/>
      <c r="Y222" s="68"/>
      <c r="Z222" s="68"/>
      <c r="AA222" s="70"/>
      <c r="AB222" s="70"/>
      <c r="AC222" s="70"/>
      <c r="AD222" s="43"/>
      <c r="AE222" s="41"/>
      <c r="AF222" s="42"/>
      <c r="AG222" s="6"/>
      <c r="AH222" s="6"/>
      <c r="AI222" s="6"/>
      <c r="AJ222" s="43"/>
      <c r="AK222" s="41"/>
      <c r="AL222" s="42"/>
      <c r="AM222" s="6"/>
      <c r="AN222" s="6"/>
      <c r="AO222" s="6"/>
      <c r="AP222" s="43"/>
    </row>
    <row r="223" spans="1:42" ht="20.100000000000001" customHeight="1">
      <c r="A223" s="37">
        <v>215</v>
      </c>
      <c r="B223" s="139"/>
      <c r="C223" s="152" t="s">
        <v>1191</v>
      </c>
      <c r="D223" s="33"/>
      <c r="E223" s="33"/>
      <c r="F223" s="33"/>
      <c r="G223" s="33"/>
      <c r="H223" s="141" t="s">
        <v>869</v>
      </c>
      <c r="I223" s="190" t="s">
        <v>1192</v>
      </c>
      <c r="J223" s="146"/>
      <c r="K223" s="35"/>
      <c r="L223" s="17"/>
      <c r="M223" s="17"/>
      <c r="N223" s="17"/>
      <c r="O223" s="51"/>
      <c r="P223" s="51"/>
      <c r="Q223" s="51"/>
      <c r="R223" s="60"/>
      <c r="S223" s="51"/>
      <c r="T223" s="53"/>
      <c r="U223" s="53"/>
      <c r="V223" s="60"/>
      <c r="W223" s="41"/>
      <c r="X223" s="42"/>
      <c r="Y223" s="68"/>
      <c r="Z223" s="68"/>
      <c r="AA223" s="70"/>
      <c r="AB223" s="70"/>
      <c r="AC223" s="70"/>
      <c r="AD223" s="43"/>
      <c r="AE223" s="41"/>
      <c r="AF223" s="42"/>
      <c r="AG223" s="6"/>
      <c r="AH223" s="6"/>
      <c r="AI223" s="6"/>
      <c r="AJ223" s="43"/>
      <c r="AK223" s="41"/>
      <c r="AL223" s="42"/>
      <c r="AM223" s="6"/>
      <c r="AN223" s="6"/>
      <c r="AO223" s="6"/>
      <c r="AP223" s="43"/>
    </row>
    <row r="224" spans="1:42" ht="20.100000000000001" customHeight="1">
      <c r="A224" s="37">
        <v>216</v>
      </c>
      <c r="B224" s="139"/>
      <c r="C224" s="152" t="s">
        <v>1140</v>
      </c>
      <c r="D224" s="33"/>
      <c r="E224" s="33"/>
      <c r="F224" s="33"/>
      <c r="G224" s="33"/>
      <c r="H224" s="141" t="s">
        <v>1141</v>
      </c>
      <c r="I224" s="190" t="s">
        <v>1037</v>
      </c>
      <c r="J224" s="146"/>
      <c r="K224" s="35"/>
      <c r="L224" s="17"/>
      <c r="M224" s="17"/>
      <c r="N224" s="17"/>
      <c r="O224" s="51"/>
      <c r="P224" s="51"/>
      <c r="Q224" s="51"/>
      <c r="R224" s="60"/>
      <c r="S224" s="51"/>
      <c r="T224" s="53"/>
      <c r="U224" s="53"/>
      <c r="V224" s="60"/>
      <c r="W224" s="41"/>
      <c r="X224" s="42"/>
      <c r="Y224" s="68"/>
      <c r="Z224" s="68"/>
      <c r="AA224" s="70"/>
      <c r="AB224" s="70"/>
      <c r="AC224" s="70"/>
      <c r="AD224" s="43"/>
      <c r="AE224" s="41"/>
      <c r="AF224" s="42"/>
      <c r="AG224" s="6"/>
      <c r="AH224" s="6"/>
      <c r="AI224" s="6"/>
      <c r="AJ224" s="43"/>
      <c r="AK224" s="41"/>
      <c r="AL224" s="42"/>
      <c r="AM224" s="6"/>
      <c r="AN224" s="6"/>
      <c r="AO224" s="6"/>
      <c r="AP224" s="43"/>
    </row>
    <row r="225" spans="1:42">
      <c r="A225" s="37">
        <v>217</v>
      </c>
      <c r="B225" s="139"/>
      <c r="C225" s="152" t="s">
        <v>1877</v>
      </c>
      <c r="D225" s="33"/>
      <c r="E225" s="33"/>
      <c r="F225" s="33"/>
      <c r="G225" s="33"/>
      <c r="H225" s="111" t="s">
        <v>1615</v>
      </c>
      <c r="I225" s="195" t="s">
        <v>1336</v>
      </c>
      <c r="J225" s="145" t="s">
        <v>1616</v>
      </c>
      <c r="K225" s="35"/>
      <c r="L225" s="17"/>
      <c r="M225" s="17"/>
      <c r="N225" s="17"/>
      <c r="O225" s="51"/>
      <c r="P225" s="51"/>
      <c r="Q225" s="51"/>
      <c r="R225" s="60"/>
      <c r="S225" s="51"/>
      <c r="T225" s="53"/>
      <c r="U225" s="53"/>
      <c r="V225" s="60"/>
      <c r="W225" s="38"/>
      <c r="X225" s="11"/>
      <c r="Y225" s="17"/>
      <c r="Z225" s="17"/>
      <c r="AA225" s="70"/>
      <c r="AB225" s="70"/>
      <c r="AC225" s="70"/>
      <c r="AD225" s="43"/>
      <c r="AE225" s="38"/>
      <c r="AF225" s="11"/>
      <c r="AG225" s="6"/>
      <c r="AH225" s="6"/>
      <c r="AI225" s="6"/>
      <c r="AJ225" s="43"/>
      <c r="AK225" s="38"/>
      <c r="AL225" s="11"/>
      <c r="AM225" s="6"/>
      <c r="AN225" s="6"/>
      <c r="AO225" s="6"/>
      <c r="AP225" s="43"/>
    </row>
    <row r="226" spans="1:42">
      <c r="A226" s="37">
        <v>218</v>
      </c>
      <c r="B226" s="139"/>
      <c r="C226" s="152" t="s">
        <v>678</v>
      </c>
      <c r="D226" s="33"/>
      <c r="E226" s="33"/>
      <c r="F226" s="33"/>
      <c r="G226" s="33"/>
      <c r="H226" s="111" t="s">
        <v>883</v>
      </c>
      <c r="I226" s="195"/>
      <c r="J226" s="145"/>
      <c r="K226" s="125"/>
      <c r="L226" s="6">
        <v>24885</v>
      </c>
      <c r="M226" s="6">
        <v>1244.25</v>
      </c>
      <c r="N226" s="6">
        <v>26129.25</v>
      </c>
      <c r="O226" s="51"/>
      <c r="P226" s="51"/>
      <c r="Q226" s="51"/>
      <c r="R226" s="60"/>
      <c r="S226" s="51"/>
      <c r="T226" s="51"/>
      <c r="U226" s="51"/>
      <c r="V226" s="60"/>
      <c r="W226" s="38"/>
      <c r="X226" s="11"/>
      <c r="Y226" s="17"/>
      <c r="Z226" s="17"/>
      <c r="AA226" s="70"/>
      <c r="AB226" s="70"/>
      <c r="AC226" s="70"/>
      <c r="AD226" s="43"/>
      <c r="AE226" s="38"/>
      <c r="AF226" s="11"/>
      <c r="AG226" s="6"/>
      <c r="AH226" s="6"/>
      <c r="AI226" s="6"/>
      <c r="AJ226" s="43"/>
      <c r="AK226" s="38"/>
      <c r="AL226" s="11"/>
      <c r="AM226" s="6"/>
      <c r="AN226" s="6"/>
      <c r="AO226" s="6"/>
      <c r="AP226" s="43"/>
    </row>
    <row r="227" spans="1:42" ht="27">
      <c r="A227" s="37">
        <v>219</v>
      </c>
      <c r="B227" s="139"/>
      <c r="C227" s="152" t="s">
        <v>422</v>
      </c>
      <c r="D227" s="33"/>
      <c r="E227" s="33"/>
      <c r="F227" s="33"/>
      <c r="G227" s="33"/>
      <c r="H227" s="77" t="s">
        <v>1413</v>
      </c>
      <c r="I227" s="186"/>
      <c r="J227" s="145" t="s">
        <v>925</v>
      </c>
      <c r="K227" s="125"/>
      <c r="L227" s="6"/>
      <c r="M227" s="6"/>
      <c r="N227" s="6"/>
      <c r="O227" s="51"/>
      <c r="P227" s="51"/>
      <c r="Q227" s="51"/>
      <c r="R227" s="60"/>
      <c r="S227" s="51"/>
      <c r="T227" s="51"/>
      <c r="U227" s="51"/>
      <c r="V227" s="60"/>
      <c r="W227" s="38"/>
      <c r="X227" s="11"/>
      <c r="Y227" s="17"/>
      <c r="Z227" s="17"/>
      <c r="AA227" s="70"/>
      <c r="AB227" s="70"/>
      <c r="AC227" s="70"/>
      <c r="AD227" s="43"/>
      <c r="AE227" s="38"/>
      <c r="AF227" s="11"/>
      <c r="AG227" s="6"/>
      <c r="AH227" s="6"/>
      <c r="AI227" s="6"/>
      <c r="AJ227" s="43"/>
      <c r="AK227" s="38"/>
      <c r="AL227" s="11"/>
      <c r="AM227" s="6"/>
      <c r="AN227" s="6"/>
      <c r="AO227" s="6"/>
      <c r="AP227" s="43"/>
    </row>
    <row r="228" spans="1:42">
      <c r="A228" s="37">
        <v>220</v>
      </c>
      <c r="B228" s="139"/>
      <c r="C228" s="152" t="s">
        <v>1952</v>
      </c>
      <c r="D228" s="33"/>
      <c r="E228" s="33"/>
      <c r="F228" s="33"/>
      <c r="G228" s="33"/>
      <c r="H228" s="77" t="s">
        <v>1953</v>
      </c>
      <c r="I228" s="186" t="s">
        <v>1394</v>
      </c>
      <c r="J228" s="145" t="s">
        <v>1954</v>
      </c>
      <c r="K228" s="125"/>
      <c r="L228" s="6"/>
      <c r="M228" s="6"/>
      <c r="N228" s="6"/>
      <c r="O228" s="51"/>
      <c r="P228" s="51"/>
      <c r="Q228" s="51"/>
      <c r="R228" s="60"/>
      <c r="S228" s="51"/>
      <c r="T228" s="51"/>
      <c r="U228" s="51"/>
      <c r="V228" s="60"/>
      <c r="W228" s="38"/>
      <c r="X228" s="11"/>
      <c r="Y228" s="17"/>
      <c r="Z228" s="17"/>
      <c r="AA228" s="70"/>
      <c r="AB228" s="70"/>
      <c r="AC228" s="70"/>
      <c r="AD228" s="43"/>
      <c r="AE228" s="38"/>
      <c r="AF228" s="11"/>
      <c r="AG228" s="6"/>
      <c r="AH228" s="6"/>
      <c r="AI228" s="6"/>
      <c r="AJ228" s="43"/>
      <c r="AK228" s="38"/>
      <c r="AL228" s="11"/>
      <c r="AM228" s="6"/>
      <c r="AN228" s="6"/>
      <c r="AO228" s="6"/>
      <c r="AP228" s="43"/>
    </row>
    <row r="229" spans="1:42" ht="27">
      <c r="A229" s="37">
        <v>221</v>
      </c>
      <c r="B229" s="139"/>
      <c r="C229" s="152" t="s">
        <v>1591</v>
      </c>
      <c r="D229" s="33"/>
      <c r="E229" s="33"/>
      <c r="F229" s="33"/>
      <c r="G229" s="33"/>
      <c r="H229" s="77" t="s">
        <v>1771</v>
      </c>
      <c r="I229" s="186" t="s">
        <v>1613</v>
      </c>
      <c r="J229" s="145" t="s">
        <v>1614</v>
      </c>
      <c r="K229" s="35"/>
      <c r="L229" s="17"/>
      <c r="M229" s="17"/>
      <c r="N229" s="17"/>
      <c r="O229" s="51"/>
      <c r="P229" s="51"/>
      <c r="Q229" s="51"/>
      <c r="R229" s="60"/>
      <c r="S229" s="52"/>
      <c r="T229" s="52"/>
      <c r="U229" s="52"/>
      <c r="V229" s="60"/>
      <c r="W229" s="38"/>
      <c r="X229" s="11"/>
      <c r="Y229" s="17"/>
      <c r="Z229" s="17"/>
      <c r="AA229" s="71"/>
      <c r="AB229" s="71"/>
      <c r="AC229" s="71"/>
      <c r="AD229" s="43"/>
      <c r="AE229" s="38"/>
      <c r="AF229" s="11"/>
      <c r="AG229" s="6"/>
      <c r="AH229" s="6"/>
      <c r="AI229" s="6"/>
      <c r="AJ229" s="43"/>
      <c r="AK229" s="38"/>
      <c r="AL229" s="11"/>
      <c r="AM229" s="6"/>
      <c r="AN229" s="6"/>
      <c r="AO229" s="6"/>
      <c r="AP229" s="43"/>
    </row>
    <row r="230" spans="1:42">
      <c r="A230" s="37"/>
      <c r="B230" s="139"/>
      <c r="C230" s="152" t="s">
        <v>2041</v>
      </c>
      <c r="D230" s="33"/>
      <c r="E230" s="33"/>
      <c r="F230" s="33"/>
      <c r="G230" s="33"/>
      <c r="H230" s="77" t="s">
        <v>2125</v>
      </c>
      <c r="I230" s="186" t="s">
        <v>2042</v>
      </c>
      <c r="J230" s="145"/>
      <c r="K230" s="35"/>
      <c r="L230" s="17"/>
      <c r="M230" s="17"/>
      <c r="N230" s="17"/>
      <c r="O230" s="51"/>
      <c r="P230" s="51"/>
      <c r="Q230" s="51"/>
      <c r="R230" s="60"/>
      <c r="S230" s="52"/>
      <c r="T230" s="52"/>
      <c r="U230" s="52"/>
      <c r="V230" s="60"/>
      <c r="W230" s="38"/>
      <c r="X230" s="11"/>
      <c r="Y230" s="17"/>
      <c r="Z230" s="17"/>
      <c r="AA230" s="71"/>
      <c r="AB230" s="71"/>
      <c r="AC230" s="71"/>
      <c r="AD230" s="43"/>
      <c r="AE230" s="38"/>
      <c r="AF230" s="11"/>
      <c r="AG230" s="6"/>
      <c r="AH230" s="6"/>
      <c r="AI230" s="6"/>
      <c r="AJ230" s="43"/>
      <c r="AK230" s="38"/>
      <c r="AL230" s="11"/>
      <c r="AM230" s="6"/>
      <c r="AN230" s="6"/>
      <c r="AO230" s="6"/>
      <c r="AP230" s="43"/>
    </row>
    <row r="231" spans="1:42" ht="27">
      <c r="A231" s="37">
        <v>353</v>
      </c>
      <c r="B231" s="139"/>
      <c r="C231" s="152" t="s">
        <v>1681</v>
      </c>
      <c r="D231" s="33"/>
      <c r="E231" s="33"/>
      <c r="F231" s="33"/>
      <c r="G231" s="33"/>
      <c r="H231" s="77" t="s">
        <v>1680</v>
      </c>
      <c r="I231" s="186" t="s">
        <v>2126</v>
      </c>
      <c r="J231" s="146" t="s">
        <v>1014</v>
      </c>
      <c r="K231" s="35"/>
      <c r="L231" s="17"/>
      <c r="M231" s="17"/>
      <c r="N231" s="17"/>
      <c r="O231" s="51"/>
      <c r="P231" s="51"/>
      <c r="Q231" s="51"/>
      <c r="R231" s="60"/>
      <c r="S231" s="97"/>
      <c r="T231" s="97"/>
      <c r="U231" s="97"/>
      <c r="V231" s="60"/>
      <c r="W231" s="38"/>
      <c r="X231" s="11"/>
      <c r="Y231" s="17"/>
      <c r="Z231" s="17"/>
      <c r="AA231" s="98"/>
      <c r="AB231" s="98"/>
      <c r="AC231" s="98"/>
      <c r="AD231" s="43"/>
      <c r="AE231" s="38"/>
      <c r="AF231" s="11"/>
      <c r="AG231" s="6"/>
      <c r="AH231" s="6"/>
      <c r="AI231" s="6"/>
      <c r="AJ231" s="43"/>
      <c r="AK231" s="38"/>
      <c r="AL231" s="11"/>
      <c r="AM231" s="6"/>
      <c r="AN231" s="6"/>
      <c r="AO231" s="6"/>
      <c r="AP231" s="43"/>
    </row>
    <row r="232" spans="1:42">
      <c r="A232" s="37">
        <v>222</v>
      </c>
      <c r="B232" s="139"/>
      <c r="C232" s="152" t="s">
        <v>638</v>
      </c>
      <c r="D232" s="33"/>
      <c r="E232" s="33"/>
      <c r="F232" s="33"/>
      <c r="G232" s="33"/>
      <c r="H232" s="77" t="s">
        <v>1773</v>
      </c>
      <c r="I232" s="186" t="s">
        <v>1059</v>
      </c>
      <c r="J232" s="146" t="s">
        <v>1125</v>
      </c>
      <c r="K232" s="125"/>
      <c r="L232" s="6"/>
      <c r="M232" s="6"/>
      <c r="N232" s="6"/>
      <c r="O232" s="51"/>
      <c r="P232" s="51"/>
      <c r="Q232" s="51"/>
      <c r="R232" s="60"/>
      <c r="S232" s="55"/>
      <c r="T232" s="55"/>
      <c r="U232" s="55"/>
      <c r="V232" s="60"/>
      <c r="W232" s="38"/>
      <c r="X232" s="11"/>
      <c r="Y232" s="17"/>
      <c r="Z232" s="17"/>
      <c r="AA232" s="73"/>
      <c r="AB232" s="73"/>
      <c r="AC232" s="73"/>
      <c r="AD232" s="43"/>
      <c r="AE232" s="38"/>
      <c r="AF232" s="11"/>
      <c r="AG232" s="6"/>
      <c r="AH232" s="6"/>
      <c r="AI232" s="6"/>
      <c r="AJ232" s="43"/>
      <c r="AK232" s="38"/>
      <c r="AL232" s="11"/>
      <c r="AM232" s="6"/>
      <c r="AN232" s="6"/>
      <c r="AO232" s="6"/>
      <c r="AP232" s="43"/>
    </row>
    <row r="233" spans="1:42" ht="27">
      <c r="A233" s="37">
        <v>223</v>
      </c>
      <c r="B233" s="139"/>
      <c r="C233" s="152" t="s">
        <v>693</v>
      </c>
      <c r="D233" s="33"/>
      <c r="E233" s="33"/>
      <c r="F233" s="33"/>
      <c r="G233" s="33"/>
      <c r="H233" s="77" t="s">
        <v>1772</v>
      </c>
      <c r="I233" s="186" t="s">
        <v>1774</v>
      </c>
      <c r="J233" s="146" t="s">
        <v>739</v>
      </c>
      <c r="K233" s="35"/>
      <c r="L233" s="17"/>
      <c r="M233" s="17"/>
      <c r="N233" s="17"/>
      <c r="O233" s="51"/>
      <c r="P233" s="51"/>
      <c r="Q233" s="51"/>
      <c r="R233" s="60"/>
      <c r="S233" s="51"/>
      <c r="T233" s="53"/>
      <c r="U233" s="53"/>
      <c r="V233" s="60"/>
      <c r="W233" s="38"/>
      <c r="X233" s="11"/>
      <c r="Y233" s="17"/>
      <c r="Z233" s="17"/>
      <c r="AA233" s="70"/>
      <c r="AB233" s="70"/>
      <c r="AC233" s="70"/>
      <c r="AD233" s="43"/>
      <c r="AE233" s="38"/>
      <c r="AF233" s="11"/>
      <c r="AG233" s="6"/>
      <c r="AH233" s="6"/>
      <c r="AI233" s="6"/>
      <c r="AJ233" s="43"/>
      <c r="AK233" s="38"/>
      <c r="AL233" s="11"/>
      <c r="AM233" s="6"/>
      <c r="AN233" s="6"/>
      <c r="AO233" s="6"/>
      <c r="AP233" s="43"/>
    </row>
    <row r="234" spans="1:42">
      <c r="A234" s="37">
        <v>224</v>
      </c>
      <c r="B234" s="139"/>
      <c r="C234" s="152" t="s">
        <v>1175</v>
      </c>
      <c r="D234" s="33"/>
      <c r="E234" s="33"/>
      <c r="F234" s="33"/>
      <c r="G234" s="33"/>
      <c r="H234" s="143" t="s">
        <v>1970</v>
      </c>
      <c r="I234" s="186" t="s">
        <v>1447</v>
      </c>
      <c r="J234" s="146" t="s">
        <v>1971</v>
      </c>
      <c r="K234" s="106">
        <v>276200</v>
      </c>
      <c r="L234" s="17">
        <v>24200</v>
      </c>
      <c r="M234" s="17">
        <v>1210</v>
      </c>
      <c r="N234" s="17">
        <v>25410</v>
      </c>
      <c r="O234" s="51"/>
      <c r="P234" s="51"/>
      <c r="Q234" s="51"/>
      <c r="R234" s="60"/>
      <c r="S234" s="54"/>
      <c r="T234" s="54"/>
      <c r="U234" s="54"/>
      <c r="V234" s="60"/>
      <c r="W234" s="38"/>
      <c r="X234" s="11"/>
      <c r="Y234" s="17"/>
      <c r="Z234" s="17"/>
      <c r="AA234" s="74"/>
      <c r="AB234" s="74"/>
      <c r="AC234" s="74"/>
      <c r="AD234" s="43"/>
      <c r="AE234" s="38"/>
      <c r="AF234" s="11"/>
      <c r="AG234" s="6"/>
      <c r="AH234" s="6"/>
      <c r="AI234" s="6"/>
      <c r="AJ234" s="43"/>
      <c r="AK234" s="38"/>
      <c r="AL234" s="11"/>
      <c r="AM234" s="6"/>
      <c r="AN234" s="6"/>
      <c r="AO234" s="6"/>
      <c r="AP234" s="43"/>
    </row>
    <row r="235" spans="1:42">
      <c r="A235" s="37">
        <v>225</v>
      </c>
      <c r="B235" s="139"/>
      <c r="C235" s="152" t="s">
        <v>617</v>
      </c>
      <c r="D235" s="33"/>
      <c r="E235" s="33"/>
      <c r="F235" s="33"/>
      <c r="G235" s="33"/>
      <c r="H235" s="138" t="s">
        <v>783</v>
      </c>
      <c r="I235" s="196" t="s">
        <v>1262</v>
      </c>
      <c r="J235" s="146" t="s">
        <v>782</v>
      </c>
      <c r="K235" s="35"/>
      <c r="L235" s="17">
        <v>16929</v>
      </c>
      <c r="M235" s="17">
        <v>846.45</v>
      </c>
      <c r="N235" s="17">
        <v>17775.45</v>
      </c>
      <c r="O235" s="51"/>
      <c r="P235" s="51"/>
      <c r="Q235" s="51"/>
      <c r="R235" s="60"/>
      <c r="S235" s="157" t="s">
        <v>788</v>
      </c>
      <c r="T235" s="52"/>
      <c r="U235" s="52"/>
      <c r="V235" s="60"/>
      <c r="W235" s="38"/>
      <c r="X235" s="11"/>
      <c r="Y235" s="17"/>
      <c r="Z235" s="17"/>
      <c r="AA235" s="70"/>
      <c r="AB235" s="70"/>
      <c r="AC235" s="70"/>
      <c r="AD235" s="43"/>
      <c r="AE235" s="38"/>
      <c r="AF235" s="11"/>
      <c r="AG235" s="6"/>
      <c r="AH235" s="6"/>
      <c r="AI235" s="6"/>
      <c r="AJ235" s="43"/>
      <c r="AK235" s="38"/>
      <c r="AL235" s="11"/>
      <c r="AM235" s="6"/>
      <c r="AN235" s="6"/>
      <c r="AO235" s="6"/>
      <c r="AP235" s="43"/>
    </row>
    <row r="236" spans="1:42">
      <c r="A236" s="37">
        <v>226</v>
      </c>
      <c r="B236" s="139"/>
      <c r="C236" s="152" t="s">
        <v>1159</v>
      </c>
      <c r="D236" s="33"/>
      <c r="E236" s="33"/>
      <c r="F236" s="33"/>
      <c r="G236" s="33"/>
      <c r="H236" s="138" t="s">
        <v>776</v>
      </c>
      <c r="I236" s="196" t="s">
        <v>1066</v>
      </c>
      <c r="J236" s="146" t="s">
        <v>784</v>
      </c>
      <c r="K236" s="125"/>
      <c r="L236" s="6">
        <v>540</v>
      </c>
      <c r="M236" s="6">
        <v>27</v>
      </c>
      <c r="N236" s="6">
        <v>567</v>
      </c>
      <c r="O236" s="51"/>
      <c r="P236" s="51"/>
      <c r="Q236" s="51"/>
      <c r="R236" s="60"/>
      <c r="S236" s="51"/>
      <c r="T236" s="51"/>
      <c r="U236" s="51"/>
      <c r="V236" s="60"/>
      <c r="W236" s="81"/>
      <c r="X236" s="11"/>
      <c r="Y236" s="17"/>
      <c r="Z236" s="17"/>
      <c r="AA236" s="70"/>
      <c r="AB236" s="70"/>
      <c r="AC236" s="70"/>
      <c r="AD236" s="43"/>
      <c r="AE236" s="38"/>
      <c r="AF236" s="11"/>
      <c r="AG236" s="6"/>
      <c r="AH236" s="6"/>
      <c r="AI236" s="6"/>
      <c r="AJ236" s="43"/>
      <c r="AK236" s="38"/>
      <c r="AL236" s="11"/>
      <c r="AM236" s="6"/>
      <c r="AN236" s="6"/>
      <c r="AO236" s="6"/>
      <c r="AP236" s="43"/>
    </row>
    <row r="237" spans="1:42">
      <c r="A237" s="37">
        <v>227</v>
      </c>
      <c r="B237" s="139"/>
      <c r="C237" s="152" t="s">
        <v>1737</v>
      </c>
      <c r="D237" s="33"/>
      <c r="E237" s="33"/>
      <c r="F237" s="33"/>
      <c r="G237" s="33"/>
      <c r="H237" s="77" t="s">
        <v>1450</v>
      </c>
      <c r="I237" s="186" t="s">
        <v>978</v>
      </c>
      <c r="J237" s="146" t="s">
        <v>726</v>
      </c>
      <c r="K237" s="128">
        <v>123913</v>
      </c>
      <c r="L237" s="6"/>
      <c r="M237" s="6"/>
      <c r="N237" s="6"/>
      <c r="O237" s="51"/>
      <c r="P237" s="51"/>
      <c r="Q237" s="51"/>
      <c r="R237" s="60"/>
      <c r="S237" s="51"/>
      <c r="T237" s="51"/>
      <c r="U237" s="51"/>
      <c r="V237" s="60"/>
      <c r="W237" s="81"/>
      <c r="X237" s="11"/>
      <c r="Y237" s="17"/>
      <c r="Z237" s="17"/>
      <c r="AA237" s="70"/>
      <c r="AB237" s="70"/>
      <c r="AC237" s="70"/>
      <c r="AD237" s="43"/>
      <c r="AE237" s="38"/>
      <c r="AF237" s="11"/>
      <c r="AG237" s="6"/>
      <c r="AH237" s="6"/>
      <c r="AI237" s="6"/>
      <c r="AJ237" s="43"/>
      <c r="AK237" s="38"/>
      <c r="AL237" s="11"/>
      <c r="AM237" s="6"/>
      <c r="AN237" s="6"/>
      <c r="AO237" s="6"/>
      <c r="AP237" s="43"/>
    </row>
    <row r="238" spans="1:42">
      <c r="A238" s="37">
        <v>228</v>
      </c>
      <c r="B238" s="139"/>
      <c r="C238" s="152" t="s">
        <v>2097</v>
      </c>
      <c r="D238" s="33"/>
      <c r="E238" s="33"/>
      <c r="F238" s="33"/>
      <c r="G238" s="33"/>
      <c r="H238" s="77" t="s">
        <v>1451</v>
      </c>
      <c r="I238" s="186" t="s">
        <v>978</v>
      </c>
      <c r="J238" s="146" t="s">
        <v>726</v>
      </c>
      <c r="K238" s="128"/>
      <c r="L238" s="6"/>
      <c r="M238" s="6"/>
      <c r="N238" s="6"/>
      <c r="O238" s="51"/>
      <c r="P238" s="51"/>
      <c r="Q238" s="51"/>
      <c r="R238" s="60"/>
      <c r="S238" s="51"/>
      <c r="T238" s="51"/>
      <c r="U238" s="51"/>
      <c r="V238" s="60"/>
      <c r="W238" s="81"/>
      <c r="X238" s="11"/>
      <c r="Y238" s="17"/>
      <c r="Z238" s="17"/>
      <c r="AA238" s="70"/>
      <c r="AB238" s="70"/>
      <c r="AC238" s="70"/>
      <c r="AD238" s="43"/>
      <c r="AE238" s="38"/>
      <c r="AF238" s="11"/>
      <c r="AG238" s="6"/>
      <c r="AH238" s="6"/>
      <c r="AI238" s="6"/>
      <c r="AJ238" s="43"/>
      <c r="AK238" s="38"/>
      <c r="AL238" s="11"/>
      <c r="AM238" s="6"/>
      <c r="AN238" s="6"/>
      <c r="AO238" s="6"/>
      <c r="AP238" s="43"/>
    </row>
    <row r="239" spans="1:42">
      <c r="A239" s="37">
        <v>229</v>
      </c>
      <c r="B239" s="139"/>
      <c r="C239" s="152" t="s">
        <v>1969</v>
      </c>
      <c r="D239" s="33"/>
      <c r="E239" s="33"/>
      <c r="F239" s="33"/>
      <c r="G239" s="33"/>
      <c r="H239" s="143" t="s">
        <v>1972</v>
      </c>
      <c r="I239" s="186" t="s">
        <v>1599</v>
      </c>
      <c r="J239" s="146" t="s">
        <v>1971</v>
      </c>
      <c r="K239" s="125"/>
      <c r="L239" s="6">
        <v>540</v>
      </c>
      <c r="M239" s="6">
        <v>27</v>
      </c>
      <c r="N239" s="6">
        <v>567</v>
      </c>
      <c r="O239" s="51"/>
      <c r="P239" s="51"/>
      <c r="Q239" s="51"/>
      <c r="R239" s="60"/>
      <c r="S239" s="51"/>
      <c r="T239" s="51"/>
      <c r="U239" s="51"/>
      <c r="V239" s="60"/>
      <c r="W239" s="81"/>
      <c r="X239" s="31"/>
      <c r="Y239" s="17"/>
      <c r="Z239" s="17"/>
      <c r="AA239" s="70"/>
      <c r="AB239" s="70"/>
      <c r="AC239" s="70"/>
      <c r="AD239" s="43"/>
      <c r="AE239" s="38"/>
      <c r="AF239" s="31"/>
      <c r="AG239" s="6"/>
      <c r="AH239" s="6"/>
      <c r="AI239" s="6"/>
      <c r="AJ239" s="43"/>
      <c r="AK239" s="38"/>
      <c r="AL239" s="31"/>
      <c r="AM239" s="6"/>
      <c r="AN239" s="6"/>
      <c r="AO239" s="6"/>
      <c r="AP239" s="43"/>
    </row>
    <row r="240" spans="1:42">
      <c r="A240" s="37">
        <v>230</v>
      </c>
      <c r="B240" s="139"/>
      <c r="C240" s="152" t="s">
        <v>2037</v>
      </c>
      <c r="D240" s="33"/>
      <c r="E240" s="33"/>
      <c r="F240" s="33"/>
      <c r="G240" s="33"/>
      <c r="H240" s="146" t="s">
        <v>2038</v>
      </c>
      <c r="I240" s="186" t="s">
        <v>1145</v>
      </c>
      <c r="J240" s="146" t="s">
        <v>706</v>
      </c>
      <c r="K240" s="35"/>
      <c r="L240" s="17"/>
      <c r="M240" s="17"/>
      <c r="N240" s="17"/>
      <c r="O240" s="6"/>
      <c r="P240" s="17"/>
      <c r="Q240" s="17"/>
      <c r="R240" s="35"/>
      <c r="S240" s="6"/>
      <c r="T240" s="17"/>
      <c r="U240" s="17"/>
      <c r="V240" s="35"/>
      <c r="W240" s="38"/>
      <c r="X240" s="11"/>
      <c r="Y240" s="17"/>
      <c r="Z240" s="17"/>
      <c r="AA240" s="6"/>
      <c r="AB240" s="6"/>
      <c r="AC240" s="6"/>
      <c r="AD240" s="43"/>
      <c r="AE240" s="38"/>
      <c r="AF240" s="11"/>
      <c r="AG240" s="6"/>
      <c r="AH240" s="6"/>
      <c r="AI240" s="6"/>
      <c r="AJ240" s="43"/>
      <c r="AK240" s="38"/>
      <c r="AL240" s="11"/>
      <c r="AM240" s="6"/>
      <c r="AN240" s="6"/>
      <c r="AO240" s="6"/>
      <c r="AP240" s="43"/>
    </row>
    <row r="241" spans="1:44">
      <c r="A241" s="37">
        <v>231</v>
      </c>
      <c r="B241" s="139"/>
      <c r="C241" s="168" t="s">
        <v>1464</v>
      </c>
      <c r="D241" s="33"/>
      <c r="E241" s="33"/>
      <c r="F241" s="33"/>
      <c r="G241" s="33"/>
      <c r="H241" s="146" t="s">
        <v>1465</v>
      </c>
      <c r="I241" s="186" t="s">
        <v>1466</v>
      </c>
      <c r="J241" s="146"/>
      <c r="K241" s="35"/>
      <c r="L241" s="17"/>
      <c r="M241" s="17"/>
      <c r="N241" s="17"/>
      <c r="O241" s="6"/>
      <c r="P241" s="17"/>
      <c r="Q241" s="17"/>
      <c r="R241" s="35"/>
      <c r="S241" s="6"/>
      <c r="T241" s="17"/>
      <c r="U241" s="17"/>
      <c r="V241" s="35"/>
      <c r="W241" s="38"/>
      <c r="X241" s="11"/>
      <c r="Y241" s="17"/>
      <c r="Z241" s="17"/>
      <c r="AA241" s="6"/>
      <c r="AB241" s="6"/>
      <c r="AC241" s="6"/>
      <c r="AD241" s="43"/>
      <c r="AE241" s="38"/>
      <c r="AF241" s="11"/>
      <c r="AG241" s="6"/>
      <c r="AH241" s="6"/>
      <c r="AI241" s="6"/>
      <c r="AJ241" s="43"/>
      <c r="AK241" s="38"/>
      <c r="AL241" s="11"/>
      <c r="AM241" s="6"/>
      <c r="AN241" s="6"/>
      <c r="AO241" s="6"/>
      <c r="AP241" s="43"/>
    </row>
    <row r="242" spans="1:44" ht="27">
      <c r="A242" s="37">
        <v>232</v>
      </c>
      <c r="B242" s="139"/>
      <c r="C242" s="152" t="s">
        <v>1471</v>
      </c>
      <c r="D242" s="33"/>
      <c r="E242" s="33"/>
      <c r="F242" s="33"/>
      <c r="G242" s="33"/>
      <c r="H242" s="77" t="s">
        <v>1472</v>
      </c>
      <c r="I242" s="186" t="s">
        <v>1013</v>
      </c>
      <c r="J242" s="146" t="s">
        <v>707</v>
      </c>
      <c r="K242" s="125"/>
      <c r="L242" s="6"/>
      <c r="M242" s="6"/>
      <c r="N242" s="6"/>
      <c r="O242" s="51"/>
      <c r="P242" s="51"/>
      <c r="Q242" s="51"/>
      <c r="R242" s="60"/>
      <c r="S242" s="51"/>
      <c r="T242" s="51"/>
      <c r="U242" s="51"/>
      <c r="V242" s="60"/>
      <c r="W242" s="81"/>
      <c r="X242" s="31"/>
      <c r="Y242" s="17"/>
      <c r="Z242" s="17"/>
      <c r="AA242" s="70"/>
      <c r="AB242" s="70"/>
      <c r="AC242" s="70"/>
      <c r="AD242" s="43"/>
      <c r="AE242" s="38"/>
      <c r="AF242" s="11"/>
      <c r="AG242" s="6"/>
      <c r="AH242" s="6"/>
      <c r="AI242" s="6"/>
      <c r="AJ242" s="43"/>
      <c r="AK242" s="38"/>
      <c r="AL242" s="31"/>
      <c r="AM242" s="6"/>
      <c r="AN242" s="6"/>
      <c r="AO242" s="6"/>
      <c r="AP242" s="43"/>
      <c r="AR242" s="65"/>
    </row>
    <row r="243" spans="1:44">
      <c r="A243" s="37">
        <v>233</v>
      </c>
      <c r="B243" s="139"/>
      <c r="C243" s="152" t="s">
        <v>2010</v>
      </c>
      <c r="D243" s="33"/>
      <c r="E243" s="33"/>
      <c r="F243" s="33"/>
      <c r="G243" s="33"/>
      <c r="H243" s="77" t="s">
        <v>2062</v>
      </c>
      <c r="I243" s="186" t="s">
        <v>1069</v>
      </c>
      <c r="J243" s="146" t="s">
        <v>2063</v>
      </c>
      <c r="K243" s="35"/>
      <c r="L243" s="17">
        <v>26840</v>
      </c>
      <c r="M243" s="17">
        <v>1342</v>
      </c>
      <c r="N243" s="17">
        <v>28182</v>
      </c>
      <c r="O243" s="51"/>
      <c r="P243" s="51"/>
      <c r="Q243" s="51"/>
      <c r="R243" s="60"/>
      <c r="S243" s="51"/>
      <c r="T243" s="53"/>
      <c r="U243" s="53"/>
      <c r="V243" s="60"/>
      <c r="W243" s="81"/>
      <c r="X243" s="31"/>
      <c r="Y243" s="17"/>
      <c r="Z243" s="17"/>
      <c r="AA243" s="70"/>
      <c r="AB243" s="70"/>
      <c r="AC243" s="70"/>
      <c r="AD243" s="43"/>
      <c r="AE243" s="38"/>
      <c r="AF243" s="11"/>
      <c r="AG243" s="6"/>
      <c r="AH243" s="6"/>
      <c r="AI243" s="6"/>
      <c r="AJ243" s="43"/>
      <c r="AK243" s="38"/>
      <c r="AL243" s="31"/>
      <c r="AM243" s="6"/>
      <c r="AN243" s="6"/>
      <c r="AO243" s="6"/>
      <c r="AP243" s="43"/>
    </row>
    <row r="244" spans="1:44">
      <c r="A244" s="37">
        <v>234</v>
      </c>
      <c r="B244" s="139"/>
      <c r="C244" s="152" t="s">
        <v>694</v>
      </c>
      <c r="D244" s="33"/>
      <c r="E244" s="33"/>
      <c r="F244" s="33"/>
      <c r="G244" s="33"/>
      <c r="H244" s="77" t="s">
        <v>868</v>
      </c>
      <c r="I244" s="186" t="s">
        <v>1099</v>
      </c>
      <c r="J244" s="145" t="s">
        <v>2011</v>
      </c>
      <c r="K244" s="125"/>
      <c r="L244" s="6">
        <v>600</v>
      </c>
      <c r="M244" s="6">
        <v>30</v>
      </c>
      <c r="N244" s="6">
        <v>630</v>
      </c>
      <c r="O244" s="51"/>
      <c r="P244" s="51"/>
      <c r="Q244" s="51"/>
      <c r="R244" s="60"/>
      <c r="S244" s="55"/>
      <c r="T244" s="55"/>
      <c r="U244" s="55"/>
      <c r="V244" s="60"/>
      <c r="W244" s="38"/>
      <c r="X244" s="11"/>
      <c r="Y244" s="17"/>
      <c r="Z244" s="17"/>
      <c r="AA244" s="73"/>
      <c r="AB244" s="73"/>
      <c r="AC244" s="73"/>
      <c r="AD244" s="43"/>
      <c r="AE244" s="38"/>
      <c r="AF244" s="11"/>
      <c r="AG244" s="6"/>
      <c r="AH244" s="6"/>
      <c r="AI244" s="6"/>
      <c r="AJ244" s="43"/>
      <c r="AK244" s="38"/>
      <c r="AL244" s="11"/>
      <c r="AM244" s="6"/>
      <c r="AN244" s="6"/>
      <c r="AO244" s="6"/>
      <c r="AP244" s="43"/>
    </row>
    <row r="245" spans="1:44">
      <c r="A245" s="37">
        <v>235</v>
      </c>
      <c r="B245" s="139"/>
      <c r="C245" s="168" t="s">
        <v>1243</v>
      </c>
      <c r="D245" s="33"/>
      <c r="E245" s="33"/>
      <c r="F245" s="33"/>
      <c r="G245" s="33"/>
      <c r="H245" s="77" t="s">
        <v>884</v>
      </c>
      <c r="I245" s="186" t="s">
        <v>1053</v>
      </c>
      <c r="J245" s="145" t="s">
        <v>821</v>
      </c>
      <c r="K245" s="125"/>
      <c r="L245" s="6"/>
      <c r="M245" s="6"/>
      <c r="N245" s="6"/>
      <c r="O245" s="51"/>
      <c r="P245" s="51"/>
      <c r="Q245" s="51"/>
      <c r="R245" s="60"/>
      <c r="S245" s="55"/>
      <c r="T245" s="55"/>
      <c r="U245" s="55"/>
      <c r="V245" s="60"/>
      <c r="W245" s="38"/>
      <c r="X245" s="11"/>
      <c r="Y245" s="17"/>
      <c r="Z245" s="17"/>
      <c r="AA245" s="73"/>
      <c r="AB245" s="73"/>
      <c r="AC245" s="73"/>
      <c r="AD245" s="43"/>
      <c r="AE245" s="38"/>
      <c r="AF245" s="11"/>
      <c r="AG245" s="6"/>
      <c r="AH245" s="6"/>
      <c r="AI245" s="6"/>
      <c r="AJ245" s="43"/>
      <c r="AK245" s="38"/>
      <c r="AL245" s="11"/>
      <c r="AM245" s="6"/>
      <c r="AN245" s="6"/>
      <c r="AO245" s="6"/>
      <c r="AP245" s="43"/>
    </row>
    <row r="246" spans="1:44">
      <c r="A246" s="37">
        <v>236</v>
      </c>
      <c r="B246" s="139"/>
      <c r="C246" s="152" t="s">
        <v>1266</v>
      </c>
      <c r="D246" s="33"/>
      <c r="E246" s="33"/>
      <c r="F246" s="33"/>
      <c r="G246" s="33"/>
      <c r="H246" s="77" t="s">
        <v>1267</v>
      </c>
      <c r="I246" s="186" t="s">
        <v>1097</v>
      </c>
      <c r="J246" s="145" t="s">
        <v>1268</v>
      </c>
      <c r="K246" s="125"/>
      <c r="L246" s="6"/>
      <c r="M246" s="6"/>
      <c r="N246" s="6"/>
      <c r="O246" s="51"/>
      <c r="P246" s="51"/>
      <c r="Q246" s="51"/>
      <c r="R246" s="60"/>
      <c r="S246" s="55"/>
      <c r="T246" s="55"/>
      <c r="U246" s="55"/>
      <c r="V246" s="60"/>
      <c r="W246" s="38"/>
      <c r="X246" s="11"/>
      <c r="Y246" s="17"/>
      <c r="Z246" s="17"/>
      <c r="AA246" s="73"/>
      <c r="AB246" s="73"/>
      <c r="AC246" s="73"/>
      <c r="AD246" s="43"/>
      <c r="AE246" s="38"/>
      <c r="AF246" s="11"/>
      <c r="AG246" s="6"/>
      <c r="AH246" s="6"/>
      <c r="AI246" s="6"/>
      <c r="AJ246" s="43"/>
      <c r="AK246" s="38"/>
      <c r="AL246" s="11"/>
      <c r="AM246" s="6"/>
      <c r="AN246" s="6"/>
      <c r="AO246" s="6"/>
      <c r="AP246" s="43"/>
    </row>
    <row r="247" spans="1:44">
      <c r="A247" s="37">
        <v>237</v>
      </c>
      <c r="B247" s="139"/>
      <c r="C247" s="152" t="s">
        <v>1415</v>
      </c>
      <c r="D247" s="33"/>
      <c r="E247" s="33"/>
      <c r="F247" s="33"/>
      <c r="G247" s="33"/>
      <c r="H247" s="77" t="s">
        <v>1129</v>
      </c>
      <c r="I247" s="186" t="s">
        <v>987</v>
      </c>
      <c r="J247" s="146" t="s">
        <v>947</v>
      </c>
      <c r="K247" s="35"/>
      <c r="L247" s="17">
        <v>15480</v>
      </c>
      <c r="M247" s="17">
        <v>774</v>
      </c>
      <c r="N247" s="17">
        <v>16254</v>
      </c>
      <c r="O247" s="51"/>
      <c r="P247" s="51"/>
      <c r="Q247" s="51"/>
      <c r="R247" s="60"/>
      <c r="S247" s="51"/>
      <c r="T247" s="53"/>
      <c r="U247" s="53"/>
      <c r="V247" s="60"/>
      <c r="W247" s="38"/>
      <c r="X247" s="11"/>
      <c r="Y247" s="17"/>
      <c r="Z247" s="17"/>
      <c r="AA247" s="70"/>
      <c r="AB247" s="70"/>
      <c r="AC247" s="70"/>
      <c r="AD247" s="43"/>
      <c r="AE247" s="38"/>
      <c r="AF247" s="11"/>
      <c r="AG247" s="6"/>
      <c r="AH247" s="6"/>
      <c r="AI247" s="6"/>
      <c r="AJ247" s="43"/>
      <c r="AK247" s="38"/>
      <c r="AL247" s="11"/>
      <c r="AM247" s="6"/>
      <c r="AN247" s="6"/>
      <c r="AO247" s="6"/>
      <c r="AP247" s="43"/>
    </row>
    <row r="248" spans="1:44">
      <c r="A248" s="37">
        <v>238</v>
      </c>
      <c r="B248" s="139"/>
      <c r="C248" s="152" t="s">
        <v>1513</v>
      </c>
      <c r="D248" s="33"/>
      <c r="E248" s="33"/>
      <c r="F248" s="33"/>
      <c r="G248" s="33"/>
      <c r="H248" s="77" t="s">
        <v>1514</v>
      </c>
      <c r="I248" s="186" t="s">
        <v>1026</v>
      </c>
      <c r="J248" s="146" t="s">
        <v>1515</v>
      </c>
      <c r="K248" s="125"/>
      <c r="L248" s="6"/>
      <c r="M248" s="6"/>
      <c r="N248" s="6"/>
      <c r="O248" s="51"/>
      <c r="P248" s="51"/>
      <c r="Q248" s="51"/>
      <c r="R248" s="60"/>
      <c r="S248" s="55"/>
      <c r="T248" s="55"/>
      <c r="U248" s="55"/>
      <c r="V248" s="60"/>
      <c r="W248" s="38"/>
      <c r="X248" s="11"/>
      <c r="Y248" s="17"/>
      <c r="Z248" s="17"/>
      <c r="AA248" s="73"/>
      <c r="AB248" s="73"/>
      <c r="AC248" s="73"/>
      <c r="AD248" s="43"/>
      <c r="AE248" s="38"/>
      <c r="AF248" s="11"/>
      <c r="AG248" s="6"/>
      <c r="AH248" s="6"/>
      <c r="AI248" s="6"/>
      <c r="AJ248" s="43"/>
      <c r="AK248" s="38"/>
      <c r="AL248" s="11"/>
      <c r="AM248" s="6"/>
      <c r="AN248" s="6"/>
      <c r="AO248" s="6"/>
      <c r="AP248" s="43"/>
    </row>
    <row r="249" spans="1:44">
      <c r="A249" s="37">
        <v>239</v>
      </c>
      <c r="B249" s="139"/>
      <c r="C249" s="152" t="s">
        <v>1239</v>
      </c>
      <c r="D249" s="33"/>
      <c r="E249" s="33"/>
      <c r="F249" s="33"/>
      <c r="G249" s="33"/>
      <c r="H249" s="77" t="s">
        <v>1238</v>
      </c>
      <c r="I249" s="186" t="s">
        <v>1091</v>
      </c>
      <c r="J249" s="146" t="s">
        <v>739</v>
      </c>
      <c r="K249" s="35"/>
      <c r="L249" s="17"/>
      <c r="M249" s="17"/>
      <c r="N249" s="17"/>
      <c r="O249" s="51"/>
      <c r="P249" s="51"/>
      <c r="Q249" s="51"/>
      <c r="R249" s="60"/>
      <c r="S249" s="51"/>
      <c r="T249" s="53"/>
      <c r="U249" s="53"/>
      <c r="V249" s="60"/>
      <c r="W249" s="38"/>
      <c r="X249" s="11"/>
      <c r="Y249" s="17"/>
      <c r="Z249" s="17"/>
      <c r="AA249" s="70"/>
      <c r="AB249" s="70"/>
      <c r="AC249" s="70"/>
      <c r="AD249" s="43"/>
      <c r="AE249" s="38"/>
      <c r="AF249" s="11"/>
      <c r="AG249" s="6"/>
      <c r="AH249" s="6"/>
      <c r="AI249" s="6"/>
      <c r="AJ249" s="43"/>
      <c r="AK249" s="38"/>
      <c r="AL249" s="11"/>
      <c r="AM249" s="6"/>
      <c r="AN249" s="6"/>
      <c r="AO249" s="6"/>
      <c r="AP249" s="43"/>
    </row>
    <row r="250" spans="1:44">
      <c r="A250" s="37">
        <v>240</v>
      </c>
      <c r="B250" s="139"/>
      <c r="C250" s="152" t="s">
        <v>1469</v>
      </c>
      <c r="D250" s="33"/>
      <c r="E250" s="33"/>
      <c r="F250" s="33"/>
      <c r="G250" s="33"/>
      <c r="H250" s="77" t="s">
        <v>1470</v>
      </c>
      <c r="I250" s="186" t="s">
        <v>1399</v>
      </c>
      <c r="J250" s="145"/>
      <c r="K250" s="125"/>
      <c r="L250" s="6"/>
      <c r="M250" s="6"/>
      <c r="N250" s="6"/>
      <c r="O250" s="51"/>
      <c r="P250" s="51"/>
      <c r="Q250" s="51"/>
      <c r="R250" s="60"/>
      <c r="S250" s="51"/>
      <c r="T250" s="51"/>
      <c r="U250" s="51"/>
      <c r="V250" s="60"/>
      <c r="W250" s="38"/>
      <c r="X250" s="11"/>
      <c r="Y250" s="17"/>
      <c r="Z250" s="17"/>
      <c r="AA250" s="70"/>
      <c r="AB250" s="70"/>
      <c r="AC250" s="70"/>
      <c r="AD250" s="43"/>
      <c r="AE250" s="38"/>
      <c r="AF250" s="11"/>
      <c r="AG250" s="6"/>
      <c r="AH250" s="6"/>
      <c r="AI250" s="6"/>
      <c r="AJ250" s="43"/>
      <c r="AK250" s="38"/>
      <c r="AL250" s="11"/>
      <c r="AM250" s="6"/>
      <c r="AN250" s="6"/>
      <c r="AO250" s="6"/>
      <c r="AP250" s="43"/>
    </row>
    <row r="251" spans="1:44" ht="27">
      <c r="A251" s="37">
        <v>241</v>
      </c>
      <c r="B251" s="139"/>
      <c r="C251" s="168" t="s">
        <v>1735</v>
      </c>
      <c r="D251" s="33"/>
      <c r="E251" s="33"/>
      <c r="F251" s="33"/>
      <c r="G251" s="33"/>
      <c r="H251" s="77" t="s">
        <v>1019</v>
      </c>
      <c r="I251" s="186" t="s">
        <v>1020</v>
      </c>
      <c r="J251" s="146" t="s">
        <v>1018</v>
      </c>
      <c r="K251" s="126"/>
      <c r="L251" s="93"/>
      <c r="M251" s="93"/>
      <c r="N251" s="93"/>
      <c r="O251" s="51"/>
      <c r="P251" s="51"/>
      <c r="Q251" s="51"/>
      <c r="R251" s="60"/>
      <c r="S251" s="51"/>
      <c r="T251" s="51"/>
      <c r="U251" s="51"/>
      <c r="V251" s="60"/>
      <c r="W251" s="118"/>
      <c r="AA251" s="119"/>
      <c r="AB251" s="119"/>
      <c r="AC251" s="119"/>
      <c r="AE251" s="118"/>
      <c r="AG251" s="8"/>
      <c r="AH251" s="8"/>
      <c r="AI251" s="8"/>
      <c r="AK251" s="118"/>
      <c r="AM251" s="8"/>
      <c r="AN251" s="8"/>
      <c r="AO251" s="8"/>
    </row>
    <row r="252" spans="1:44" ht="27">
      <c r="A252" s="37">
        <v>242</v>
      </c>
      <c r="B252" s="139"/>
      <c r="C252" s="168" t="s">
        <v>1199</v>
      </c>
      <c r="D252" s="33"/>
      <c r="E252" s="33"/>
      <c r="F252" s="33"/>
      <c r="G252" s="33"/>
      <c r="H252" s="77" t="s">
        <v>923</v>
      </c>
      <c r="I252" s="186" t="s">
        <v>1198</v>
      </c>
      <c r="J252" s="146" t="s">
        <v>1197</v>
      </c>
      <c r="K252" s="126"/>
      <c r="L252" s="93"/>
      <c r="M252" s="93"/>
      <c r="N252" s="93"/>
      <c r="O252" s="51"/>
      <c r="P252" s="51"/>
      <c r="Q252" s="51"/>
      <c r="R252" s="60"/>
      <c r="S252" s="51"/>
      <c r="T252" s="51"/>
      <c r="U252" s="51"/>
      <c r="V252" s="60"/>
      <c r="W252" s="118"/>
      <c r="AA252" s="119"/>
      <c r="AB252" s="119"/>
      <c r="AC252" s="119"/>
      <c r="AE252" s="118"/>
      <c r="AG252" s="8"/>
      <c r="AH252" s="8"/>
      <c r="AI252" s="8"/>
      <c r="AK252" s="118"/>
      <c r="AM252" s="8"/>
      <c r="AN252" s="8"/>
      <c r="AO252" s="8"/>
    </row>
    <row r="253" spans="1:44" ht="27">
      <c r="A253" s="37">
        <v>243</v>
      </c>
      <c r="B253" s="139"/>
      <c r="C253" s="152" t="s">
        <v>2014</v>
      </c>
      <c r="D253" s="33"/>
      <c r="E253" s="33"/>
      <c r="F253" s="33"/>
      <c r="G253" s="33"/>
      <c r="H253" s="93" t="s">
        <v>2015</v>
      </c>
      <c r="I253" s="197" t="s">
        <v>2016</v>
      </c>
      <c r="J253" s="148" t="s">
        <v>1392</v>
      </c>
      <c r="K253" s="126"/>
      <c r="L253" s="93"/>
      <c r="M253" s="93"/>
      <c r="N253" s="93"/>
      <c r="O253" s="51"/>
      <c r="P253" s="51"/>
      <c r="Q253" s="51"/>
      <c r="R253" s="60"/>
      <c r="S253" s="51"/>
      <c r="T253" s="51"/>
      <c r="U253" s="51"/>
      <c r="V253" s="60"/>
      <c r="W253" s="118"/>
      <c r="AA253" s="119"/>
      <c r="AB253" s="119"/>
      <c r="AC253" s="119"/>
      <c r="AE253" s="118"/>
      <c r="AG253" s="8"/>
      <c r="AH253" s="8"/>
      <c r="AI253" s="8"/>
      <c r="AK253" s="118"/>
      <c r="AM253" s="8"/>
      <c r="AN253" s="8"/>
      <c r="AO253" s="8"/>
    </row>
    <row r="254" spans="1:44">
      <c r="A254" s="37">
        <v>244</v>
      </c>
      <c r="B254" s="139"/>
      <c r="C254" s="152" t="s">
        <v>1396</v>
      </c>
      <c r="D254" s="33"/>
      <c r="E254" s="33"/>
      <c r="F254" s="33"/>
      <c r="G254" s="33"/>
      <c r="H254" s="93" t="s">
        <v>1398</v>
      </c>
      <c r="I254" s="197" t="s">
        <v>1399</v>
      </c>
      <c r="J254" s="148" t="s">
        <v>1397</v>
      </c>
      <c r="K254" s="126"/>
      <c r="L254" s="93"/>
      <c r="M254" s="93"/>
      <c r="N254" s="93"/>
      <c r="O254" s="51"/>
      <c r="P254" s="51"/>
      <c r="Q254" s="51"/>
      <c r="R254" s="60"/>
      <c r="S254" s="51"/>
      <c r="T254" s="51"/>
      <c r="U254" s="51"/>
      <c r="V254" s="60"/>
      <c r="W254" s="118"/>
      <c r="AA254" s="119"/>
      <c r="AB254" s="119"/>
      <c r="AC254" s="119"/>
      <c r="AE254" s="118"/>
      <c r="AG254" s="8"/>
      <c r="AH254" s="8"/>
      <c r="AI254" s="8"/>
      <c r="AK254" s="118"/>
      <c r="AM254" s="8"/>
      <c r="AN254" s="8"/>
      <c r="AO254" s="8"/>
    </row>
    <row r="255" spans="1:44">
      <c r="A255" s="37">
        <v>245</v>
      </c>
      <c r="B255" s="139"/>
      <c r="C255" s="152" t="s">
        <v>1597</v>
      </c>
      <c r="D255" s="33"/>
      <c r="E255" s="33"/>
      <c r="F255" s="33"/>
      <c r="G255" s="33"/>
      <c r="H255" s="93" t="s">
        <v>1598</v>
      </c>
      <c r="I255" s="197" t="s">
        <v>1599</v>
      </c>
      <c r="J255" s="148" t="s">
        <v>1620</v>
      </c>
      <c r="K255" s="126"/>
      <c r="L255" s="93"/>
      <c r="M255" s="93"/>
      <c r="N255" s="93"/>
      <c r="O255" s="51"/>
      <c r="P255" s="51"/>
      <c r="Q255" s="51"/>
      <c r="R255" s="60"/>
      <c r="S255" s="51"/>
      <c r="T255" s="51"/>
      <c r="U255" s="51"/>
      <c r="V255" s="60"/>
      <c r="W255" s="118"/>
      <c r="AA255" s="119"/>
      <c r="AB255" s="119"/>
      <c r="AC255" s="119"/>
      <c r="AE255" s="118"/>
      <c r="AG255" s="8"/>
      <c r="AH255" s="8"/>
      <c r="AI255" s="8"/>
      <c r="AK255" s="118"/>
      <c r="AM255" s="8"/>
      <c r="AN255" s="8"/>
      <c r="AO255" s="8"/>
    </row>
    <row r="256" spans="1:44" ht="27">
      <c r="A256" s="37">
        <v>246</v>
      </c>
      <c r="B256" s="139"/>
      <c r="C256" s="152" t="s">
        <v>1600</v>
      </c>
      <c r="D256" s="33"/>
      <c r="E256" s="33"/>
      <c r="F256" s="33"/>
      <c r="G256" s="33"/>
      <c r="H256" s="77" t="s">
        <v>1602</v>
      </c>
      <c r="I256" s="198" t="s">
        <v>1447</v>
      </c>
      <c r="J256" s="148" t="s">
        <v>1601</v>
      </c>
      <c r="K256" s="35"/>
      <c r="L256" s="17">
        <v>25200</v>
      </c>
      <c r="M256" s="17">
        <v>1260</v>
      </c>
      <c r="N256" s="11"/>
      <c r="O256" s="51"/>
      <c r="P256" s="51"/>
      <c r="Q256" s="51"/>
      <c r="R256" s="60"/>
      <c r="S256" s="51"/>
      <c r="T256" s="53"/>
      <c r="U256" s="53"/>
      <c r="V256" s="60"/>
      <c r="W256" s="38"/>
      <c r="X256" s="11"/>
      <c r="Y256" s="17"/>
      <c r="Z256" s="17"/>
      <c r="AA256" s="70"/>
      <c r="AB256" s="70"/>
      <c r="AC256" s="70"/>
      <c r="AD256" s="43"/>
      <c r="AE256" s="38"/>
      <c r="AF256" s="11"/>
      <c r="AG256" s="6"/>
      <c r="AH256" s="6"/>
      <c r="AI256" s="6"/>
      <c r="AJ256" s="43"/>
      <c r="AK256" s="38"/>
      <c r="AL256" s="11"/>
      <c r="AM256" s="6"/>
      <c r="AN256" s="6"/>
      <c r="AO256" s="6"/>
      <c r="AP256" s="43"/>
    </row>
    <row r="257" spans="1:42">
      <c r="A257" s="37">
        <v>247</v>
      </c>
      <c r="B257" s="139"/>
      <c r="C257" s="152" t="s">
        <v>1711</v>
      </c>
      <c r="D257" s="33"/>
      <c r="E257" s="33"/>
      <c r="F257" s="33"/>
      <c r="G257" s="33"/>
      <c r="H257" s="77" t="s">
        <v>1712</v>
      </c>
      <c r="I257" s="186" t="s">
        <v>1713</v>
      </c>
      <c r="J257" s="148" t="s">
        <v>1714</v>
      </c>
      <c r="N257"/>
      <c r="O257" s="116"/>
      <c r="P257" s="116"/>
      <c r="Q257" s="116"/>
      <c r="R257" s="117"/>
      <c r="S257" s="116"/>
      <c r="T257" s="116"/>
      <c r="U257" s="116"/>
      <c r="V257" s="117"/>
      <c r="W257" s="118"/>
      <c r="AA257" s="119"/>
      <c r="AB257" s="119"/>
      <c r="AC257" s="119"/>
      <c r="AE257" s="118"/>
      <c r="AG257" s="8"/>
      <c r="AH257" s="8"/>
      <c r="AI257" s="8"/>
      <c r="AK257" s="118"/>
      <c r="AM257" s="8"/>
      <c r="AN257" s="8"/>
      <c r="AO257" s="8"/>
    </row>
    <row r="258" spans="1:42">
      <c r="A258" s="37">
        <v>248</v>
      </c>
      <c r="B258" s="139"/>
      <c r="C258" s="152" t="s">
        <v>1103</v>
      </c>
      <c r="D258" s="33"/>
      <c r="E258" s="33"/>
      <c r="F258" s="33"/>
      <c r="G258" s="33"/>
      <c r="H258" s="77" t="s">
        <v>942</v>
      </c>
      <c r="I258" s="186" t="s">
        <v>1079</v>
      </c>
      <c r="J258" s="148"/>
      <c r="K258" s="125"/>
      <c r="L258" s="6">
        <v>192</v>
      </c>
      <c r="M258" s="6">
        <v>9.6000000000000014</v>
      </c>
      <c r="N258" s="5"/>
      <c r="O258" s="51"/>
      <c r="P258" s="51"/>
      <c r="Q258" s="51"/>
      <c r="R258" s="60"/>
      <c r="S258" s="51"/>
      <c r="T258" s="51"/>
      <c r="U258" s="51"/>
      <c r="V258" s="60"/>
      <c r="W258" s="38"/>
      <c r="X258" s="11"/>
      <c r="Y258" s="17"/>
      <c r="Z258" s="17"/>
      <c r="AA258" s="70"/>
      <c r="AB258" s="70"/>
      <c r="AC258" s="70"/>
      <c r="AD258" s="43"/>
      <c r="AE258" s="38"/>
      <c r="AF258" s="11"/>
      <c r="AG258" s="6"/>
      <c r="AH258" s="6"/>
      <c r="AI258" s="6"/>
      <c r="AJ258" s="43"/>
      <c r="AK258" s="38"/>
      <c r="AL258" s="11"/>
      <c r="AM258" s="6"/>
      <c r="AN258" s="6"/>
      <c r="AO258" s="6"/>
      <c r="AP258" s="43"/>
    </row>
    <row r="259" spans="1:42">
      <c r="A259" s="37">
        <v>249</v>
      </c>
      <c r="B259" s="139"/>
      <c r="C259" s="152" t="s">
        <v>1110</v>
      </c>
      <c r="D259" s="33"/>
      <c r="E259" s="33"/>
      <c r="F259" s="33"/>
      <c r="G259" s="33"/>
      <c r="H259" s="77" t="s">
        <v>942</v>
      </c>
      <c r="I259" s="186" t="s">
        <v>1079</v>
      </c>
      <c r="J259" s="148"/>
      <c r="K259" s="125"/>
      <c r="L259" s="6"/>
      <c r="M259" s="6"/>
      <c r="N259" s="5"/>
      <c r="O259" s="51"/>
      <c r="P259" s="51"/>
      <c r="Q259" s="51"/>
      <c r="R259" s="60"/>
      <c r="S259" s="51"/>
      <c r="T259" s="51"/>
      <c r="U259" s="51"/>
      <c r="V259" s="60"/>
      <c r="W259" s="38"/>
      <c r="X259" s="11"/>
      <c r="AA259" s="119"/>
      <c r="AB259" s="119"/>
      <c r="AC259" s="119"/>
      <c r="AE259" s="118"/>
      <c r="AG259" s="8"/>
      <c r="AH259" s="8"/>
      <c r="AI259" s="8"/>
      <c r="AK259" s="118"/>
      <c r="AM259" s="8"/>
      <c r="AN259" s="8"/>
      <c r="AO259" s="8"/>
    </row>
    <row r="260" spans="1:42">
      <c r="A260" s="37">
        <v>250</v>
      </c>
      <c r="B260" s="139"/>
      <c r="C260" s="152" t="s">
        <v>1187</v>
      </c>
      <c r="D260" s="33"/>
      <c r="E260" s="33"/>
      <c r="F260" s="33"/>
      <c r="G260" s="33"/>
      <c r="H260" s="77" t="s">
        <v>2040</v>
      </c>
      <c r="I260" s="186" t="s">
        <v>1091</v>
      </c>
      <c r="J260" s="148" t="s">
        <v>1090</v>
      </c>
      <c r="K260" s="126"/>
      <c r="L260" s="93"/>
      <c r="M260" s="93"/>
      <c r="N260" s="93"/>
      <c r="O260" s="51"/>
      <c r="P260" s="51"/>
      <c r="Q260" s="51"/>
      <c r="R260" s="60"/>
      <c r="S260" s="51"/>
      <c r="T260" s="51"/>
      <c r="U260" s="51"/>
      <c r="V260" s="60"/>
      <c r="W260" s="38"/>
      <c r="X260" s="11"/>
      <c r="AA260" s="119"/>
      <c r="AB260" s="119"/>
      <c r="AC260" s="119"/>
      <c r="AE260" s="118"/>
      <c r="AG260" s="8"/>
      <c r="AH260" s="8"/>
      <c r="AI260" s="8"/>
      <c r="AK260" s="118"/>
      <c r="AM260" s="8"/>
      <c r="AN260" s="8"/>
      <c r="AO260" s="8"/>
    </row>
    <row r="261" spans="1:42">
      <c r="A261" s="37">
        <v>251</v>
      </c>
      <c r="B261" s="139"/>
      <c r="C261" s="152" t="s">
        <v>2050</v>
      </c>
      <c r="D261" s="33"/>
      <c r="E261" s="33"/>
      <c r="F261" s="33"/>
      <c r="G261" s="33"/>
      <c r="H261" s="77" t="s">
        <v>2051</v>
      </c>
      <c r="I261" s="186" t="s">
        <v>2052</v>
      </c>
      <c r="J261" s="148" t="s">
        <v>1090</v>
      </c>
      <c r="K261" s="126"/>
      <c r="L261" s="93"/>
      <c r="M261" s="93"/>
      <c r="N261" s="93"/>
      <c r="O261" s="51"/>
      <c r="P261" s="51"/>
      <c r="Q261" s="51"/>
      <c r="R261" s="60"/>
      <c r="S261" s="51"/>
      <c r="T261" s="51"/>
      <c r="U261" s="51"/>
      <c r="V261" s="60"/>
      <c r="W261" s="81"/>
      <c r="X261" s="11"/>
      <c r="Y261" s="17"/>
      <c r="Z261" s="17"/>
      <c r="AA261" s="70"/>
      <c r="AB261" s="70"/>
      <c r="AC261" s="70"/>
      <c r="AD261" s="43"/>
      <c r="AE261" s="38"/>
      <c r="AF261" s="11"/>
      <c r="AG261" s="6"/>
      <c r="AH261" s="6"/>
      <c r="AI261" s="6"/>
      <c r="AJ261" s="43"/>
      <c r="AK261" s="38"/>
      <c r="AL261" s="11"/>
      <c r="AM261" s="6"/>
      <c r="AN261" s="6"/>
      <c r="AO261" s="6"/>
      <c r="AP261" s="43"/>
    </row>
    <row r="262" spans="1:42">
      <c r="A262" s="37">
        <v>252</v>
      </c>
      <c r="B262" s="142"/>
      <c r="C262" s="152" t="s">
        <v>1314</v>
      </c>
      <c r="D262" s="33"/>
      <c r="E262" s="33"/>
      <c r="F262" s="33"/>
      <c r="G262" s="33"/>
      <c r="H262" s="77" t="s">
        <v>680</v>
      </c>
      <c r="I262" s="186" t="s">
        <v>1315</v>
      </c>
      <c r="J262" s="148" t="s">
        <v>1090</v>
      </c>
      <c r="K262" s="126"/>
      <c r="L262" s="93"/>
      <c r="M262" s="93"/>
      <c r="N262" s="93"/>
      <c r="O262" s="51"/>
      <c r="P262" s="51"/>
      <c r="Q262" s="51"/>
      <c r="R262" s="60"/>
      <c r="S262" s="51"/>
      <c r="T262" s="51"/>
      <c r="U262" s="51"/>
      <c r="V262" s="60"/>
      <c r="W262" s="38"/>
      <c r="X262" s="11"/>
      <c r="AA262" s="119"/>
      <c r="AB262" s="119"/>
      <c r="AC262" s="119"/>
      <c r="AE262" s="118"/>
      <c r="AG262" s="8"/>
      <c r="AH262" s="8"/>
      <c r="AI262" s="8"/>
      <c r="AK262" s="118"/>
      <c r="AM262" s="8"/>
      <c r="AN262" s="8"/>
      <c r="AO262" s="8"/>
    </row>
    <row r="263" spans="1:42" ht="27">
      <c r="A263" s="37">
        <v>253</v>
      </c>
      <c r="B263" s="142"/>
      <c r="C263" s="152" t="s">
        <v>1572</v>
      </c>
      <c r="D263" s="33"/>
      <c r="E263" s="33"/>
      <c r="F263" s="33"/>
      <c r="G263" s="33"/>
      <c r="H263" s="77" t="s">
        <v>1573</v>
      </c>
      <c r="I263" s="186" t="s">
        <v>1391</v>
      </c>
      <c r="J263" s="148" t="s">
        <v>1574</v>
      </c>
      <c r="K263" s="126"/>
      <c r="L263" s="93"/>
      <c r="M263" s="93"/>
      <c r="N263" s="93"/>
      <c r="O263" s="51"/>
      <c r="P263" s="51"/>
      <c r="Q263" s="51"/>
      <c r="R263" s="60"/>
      <c r="S263" s="51"/>
      <c r="T263" s="51"/>
      <c r="U263" s="51"/>
      <c r="V263" s="60"/>
      <c r="W263" s="38"/>
      <c r="X263" s="11"/>
      <c r="AA263" s="119"/>
      <c r="AB263" s="119"/>
      <c r="AC263" s="119"/>
      <c r="AE263" s="118"/>
      <c r="AG263" s="8"/>
      <c r="AH263" s="8"/>
      <c r="AI263" s="8"/>
      <c r="AK263" s="118"/>
      <c r="AM263" s="8"/>
      <c r="AN263" s="8"/>
      <c r="AO263" s="8"/>
    </row>
    <row r="264" spans="1:42">
      <c r="A264" s="37">
        <v>254</v>
      </c>
      <c r="B264" s="142"/>
      <c r="C264" s="207" t="s">
        <v>1214</v>
      </c>
      <c r="D264" s="208"/>
      <c r="E264" s="208"/>
      <c r="F264" s="208"/>
      <c r="G264" s="208"/>
      <c r="H264" s="209" t="s">
        <v>943</v>
      </c>
      <c r="I264" s="210" t="s">
        <v>1100</v>
      </c>
      <c r="J264" s="146" t="s">
        <v>944</v>
      </c>
      <c r="K264" s="125"/>
      <c r="L264" s="6"/>
      <c r="M264" s="6"/>
      <c r="N264" s="6"/>
      <c r="O264" s="51"/>
      <c r="P264" s="51"/>
      <c r="Q264" s="51"/>
      <c r="R264" s="60"/>
      <c r="S264" s="52"/>
      <c r="T264" s="52"/>
      <c r="U264" s="52"/>
      <c r="V264" s="60"/>
      <c r="W264" s="38"/>
      <c r="X264" s="11"/>
      <c r="Y264" s="17"/>
      <c r="Z264" s="35"/>
      <c r="AA264" s="75"/>
      <c r="AB264" s="75"/>
      <c r="AC264" s="75"/>
      <c r="AD264" s="43"/>
      <c r="AE264" s="38"/>
      <c r="AF264" s="11"/>
      <c r="AG264" s="6"/>
      <c r="AH264" s="6"/>
      <c r="AI264" s="6"/>
      <c r="AJ264" s="43"/>
      <c r="AK264" s="38"/>
      <c r="AL264" s="11"/>
      <c r="AM264" s="6"/>
      <c r="AN264" s="6"/>
      <c r="AO264" s="6"/>
      <c r="AP264" s="43"/>
    </row>
    <row r="265" spans="1:42">
      <c r="A265" s="37">
        <v>255</v>
      </c>
      <c r="B265" s="142"/>
      <c r="C265" s="152" t="s">
        <v>697</v>
      </c>
      <c r="D265" s="33"/>
      <c r="E265" s="33"/>
      <c r="F265" s="33"/>
      <c r="G265" s="33"/>
      <c r="H265" s="141" t="s">
        <v>885</v>
      </c>
      <c r="I265" s="190"/>
      <c r="J265" s="143"/>
      <c r="K265" s="126"/>
      <c r="L265" s="93"/>
      <c r="M265" s="93"/>
      <c r="N265" s="93"/>
      <c r="O265" s="51"/>
      <c r="P265" s="51"/>
      <c r="Q265" s="51"/>
      <c r="R265" s="60"/>
      <c r="S265" s="51"/>
      <c r="T265" s="51"/>
      <c r="U265" s="51"/>
      <c r="V265" s="60"/>
      <c r="W265" s="38"/>
      <c r="X265" s="11"/>
      <c r="AA265" s="119"/>
      <c r="AB265" s="119"/>
      <c r="AC265" s="119"/>
      <c r="AE265" s="118"/>
      <c r="AG265" s="8"/>
      <c r="AH265" s="8"/>
      <c r="AI265" s="8"/>
      <c r="AK265" s="118"/>
      <c r="AM265" s="8"/>
      <c r="AN265" s="8"/>
      <c r="AO265" s="8"/>
    </row>
    <row r="266" spans="1:42">
      <c r="A266" s="37">
        <v>256</v>
      </c>
      <c r="B266" s="142"/>
      <c r="C266" s="152" t="s">
        <v>1795</v>
      </c>
      <c r="D266" s="33"/>
      <c r="E266" s="33"/>
      <c r="F266" s="33"/>
      <c r="G266" s="33"/>
      <c r="H266" s="77" t="s">
        <v>2035</v>
      </c>
      <c r="I266" s="186" t="s">
        <v>1176</v>
      </c>
      <c r="J266" s="148" t="s">
        <v>1957</v>
      </c>
      <c r="K266" s="126"/>
      <c r="L266" s="93"/>
      <c r="M266" s="93"/>
      <c r="N266" s="93"/>
      <c r="O266" s="51"/>
      <c r="P266" s="51"/>
      <c r="Q266" s="51"/>
      <c r="R266" s="60"/>
      <c r="S266" s="51"/>
      <c r="T266" s="51"/>
      <c r="U266" s="51"/>
      <c r="V266" s="60"/>
      <c r="W266" s="38"/>
      <c r="X266" s="11"/>
      <c r="AA266" s="119"/>
      <c r="AB266" s="119"/>
      <c r="AC266" s="119"/>
      <c r="AE266" s="118"/>
      <c r="AG266" s="8"/>
      <c r="AH266" s="8"/>
      <c r="AI266" s="8"/>
      <c r="AK266" s="118"/>
      <c r="AM266" s="8"/>
      <c r="AN266" s="8"/>
      <c r="AO266" s="8"/>
    </row>
    <row r="267" spans="1:42">
      <c r="A267" s="37">
        <v>257</v>
      </c>
      <c r="B267" s="142"/>
      <c r="C267" s="152" t="s">
        <v>809</v>
      </c>
      <c r="D267" s="33"/>
      <c r="E267" s="33"/>
      <c r="F267" s="33"/>
      <c r="G267" s="33"/>
      <c r="H267" s="77" t="s">
        <v>1211</v>
      </c>
      <c r="I267" s="186" t="s">
        <v>1130</v>
      </c>
      <c r="J267" s="148" t="s">
        <v>1210</v>
      </c>
      <c r="K267" s="126"/>
      <c r="L267" s="93"/>
      <c r="M267" s="93"/>
      <c r="N267" s="93"/>
      <c r="O267" s="51"/>
      <c r="P267" s="51"/>
      <c r="Q267" s="51"/>
      <c r="R267" s="60"/>
      <c r="S267" s="51"/>
      <c r="T267" s="51"/>
      <c r="U267" s="51"/>
      <c r="V267" s="60"/>
      <c r="W267" s="38"/>
      <c r="X267" s="11"/>
      <c r="AA267" s="119"/>
      <c r="AB267" s="119"/>
      <c r="AC267" s="119"/>
      <c r="AE267" s="118"/>
      <c r="AG267" s="8"/>
      <c r="AH267" s="8"/>
      <c r="AI267" s="8"/>
      <c r="AK267" s="118"/>
      <c r="AM267" s="8"/>
      <c r="AN267" s="8"/>
      <c r="AO267" s="8"/>
    </row>
    <row r="268" spans="1:42">
      <c r="A268" s="37"/>
      <c r="B268" s="142"/>
      <c r="C268" s="152" t="s">
        <v>2058</v>
      </c>
      <c r="D268" s="33"/>
      <c r="E268" s="33"/>
      <c r="F268" s="33"/>
      <c r="G268" s="33"/>
      <c r="H268" s="77" t="s">
        <v>2059</v>
      </c>
      <c r="I268" s="186" t="s">
        <v>2060</v>
      </c>
      <c r="J268" s="148" t="s">
        <v>2061</v>
      </c>
      <c r="K268" s="126"/>
      <c r="L268" s="93"/>
      <c r="M268" s="93"/>
      <c r="N268" s="93"/>
      <c r="O268" s="51"/>
      <c r="P268" s="51"/>
      <c r="Q268" s="51"/>
      <c r="R268" s="60"/>
      <c r="S268" s="51"/>
      <c r="T268" s="51"/>
      <c r="U268" s="51"/>
      <c r="V268" s="60"/>
      <c r="W268" s="38"/>
      <c r="X268" s="11"/>
      <c r="AA268" s="119"/>
      <c r="AB268" s="119"/>
      <c r="AC268" s="119"/>
      <c r="AE268" s="118"/>
      <c r="AG268" s="8"/>
      <c r="AH268" s="8"/>
      <c r="AI268" s="8"/>
      <c r="AK268" s="118"/>
      <c r="AM268" s="8"/>
      <c r="AN268" s="8"/>
      <c r="AO268" s="8"/>
    </row>
    <row r="269" spans="1:42">
      <c r="A269" s="37">
        <v>258</v>
      </c>
      <c r="B269" s="142"/>
      <c r="C269" s="152" t="s">
        <v>1193</v>
      </c>
      <c r="D269" s="33"/>
      <c r="E269" s="33"/>
      <c r="F269" s="33"/>
      <c r="G269" s="33"/>
      <c r="H269" s="77" t="s">
        <v>1195</v>
      </c>
      <c r="I269" s="186" t="s">
        <v>1196</v>
      </c>
      <c r="J269" s="148" t="s">
        <v>1194</v>
      </c>
      <c r="K269" s="126"/>
      <c r="L269" s="93"/>
      <c r="M269" s="93"/>
      <c r="N269" s="93"/>
      <c r="O269" s="51"/>
      <c r="P269" s="51"/>
      <c r="Q269" s="51"/>
      <c r="R269" s="60"/>
      <c r="S269" s="51"/>
      <c r="T269" s="51"/>
      <c r="U269" s="51"/>
      <c r="V269" s="60"/>
      <c r="W269" s="38"/>
      <c r="X269" s="11"/>
      <c r="AA269" s="119"/>
      <c r="AB269" s="119"/>
      <c r="AC269" s="119"/>
      <c r="AE269" s="118"/>
      <c r="AG269" s="8"/>
      <c r="AH269" s="8"/>
      <c r="AI269" s="8"/>
      <c r="AK269" s="118"/>
      <c r="AM269" s="8"/>
      <c r="AN269" s="8"/>
      <c r="AO269" s="8"/>
    </row>
    <row r="270" spans="1:42" ht="27">
      <c r="A270" s="37">
        <v>259</v>
      </c>
      <c r="B270" s="142"/>
      <c r="C270" s="152" t="s">
        <v>928</v>
      </c>
      <c r="D270" s="33"/>
      <c r="E270" s="33"/>
      <c r="F270" s="33"/>
      <c r="G270" s="33"/>
      <c r="H270" s="77" t="s">
        <v>930</v>
      </c>
      <c r="I270" s="186"/>
      <c r="J270" s="148" t="s">
        <v>929</v>
      </c>
      <c r="K270" s="126"/>
      <c r="L270" s="93"/>
      <c r="M270" s="93"/>
      <c r="N270" s="93"/>
      <c r="O270" s="51"/>
      <c r="P270" s="51"/>
      <c r="Q270" s="51"/>
      <c r="R270" s="60"/>
      <c r="S270" s="51"/>
      <c r="T270" s="51"/>
      <c r="U270" s="51"/>
      <c r="V270" s="60"/>
      <c r="W270" s="38"/>
      <c r="X270" s="11"/>
      <c r="AA270" s="119"/>
      <c r="AB270" s="119"/>
      <c r="AC270" s="119"/>
      <c r="AE270" s="118"/>
      <c r="AG270" s="8"/>
      <c r="AH270" s="8"/>
      <c r="AI270" s="8"/>
      <c r="AK270" s="118"/>
      <c r="AM270" s="8"/>
      <c r="AN270" s="8"/>
      <c r="AO270" s="8"/>
    </row>
    <row r="271" spans="1:42" ht="27">
      <c r="A271" s="37">
        <v>260</v>
      </c>
      <c r="B271" s="142"/>
      <c r="C271" s="152" t="s">
        <v>1485</v>
      </c>
      <c r="D271" s="33"/>
      <c r="E271" s="33"/>
      <c r="F271" s="33"/>
      <c r="G271" s="33"/>
      <c r="H271" s="77" t="s">
        <v>1490</v>
      </c>
      <c r="I271" s="186" t="s">
        <v>1491</v>
      </c>
      <c r="J271" s="148" t="s">
        <v>1494</v>
      </c>
      <c r="K271" s="126"/>
      <c r="L271" s="93"/>
      <c r="M271" s="93"/>
      <c r="N271" s="93"/>
      <c r="O271" s="51"/>
      <c r="P271" s="51"/>
      <c r="Q271" s="51"/>
      <c r="R271" s="60"/>
      <c r="S271" s="51"/>
      <c r="T271" s="51"/>
      <c r="U271" s="51"/>
      <c r="V271" s="60"/>
      <c r="W271" s="38"/>
      <c r="X271" s="11"/>
      <c r="AA271" s="119"/>
      <c r="AB271" s="119"/>
      <c r="AC271" s="119"/>
      <c r="AE271" s="118"/>
      <c r="AG271" s="8"/>
      <c r="AH271" s="8"/>
      <c r="AI271" s="8"/>
      <c r="AK271" s="118"/>
      <c r="AM271" s="8"/>
      <c r="AN271" s="8"/>
      <c r="AO271" s="8"/>
    </row>
    <row r="272" spans="1:42">
      <c r="A272" s="37">
        <v>261</v>
      </c>
      <c r="B272" s="142"/>
      <c r="C272" s="152" t="s">
        <v>2317</v>
      </c>
      <c r="D272" s="33"/>
      <c r="E272" s="33"/>
      <c r="F272" s="33"/>
      <c r="G272" s="33"/>
      <c r="H272" s="77" t="s">
        <v>2318</v>
      </c>
      <c r="I272" s="186" t="s">
        <v>1336</v>
      </c>
      <c r="J272" s="146" t="s">
        <v>2319</v>
      </c>
      <c r="K272" s="126"/>
      <c r="L272" s="93"/>
      <c r="M272" s="93"/>
      <c r="N272" s="93"/>
      <c r="O272" s="51"/>
      <c r="P272" s="51"/>
      <c r="Q272" s="51"/>
      <c r="R272" s="60"/>
      <c r="S272" s="51"/>
      <c r="T272" s="51"/>
      <c r="U272" s="51"/>
      <c r="V272" s="60"/>
      <c r="W272" s="38"/>
      <c r="X272" s="11"/>
      <c r="AA272" s="119"/>
      <c r="AB272" s="119"/>
      <c r="AC272" s="119"/>
      <c r="AE272" s="118"/>
      <c r="AG272" s="8"/>
      <c r="AH272" s="8"/>
      <c r="AI272" s="8"/>
      <c r="AK272" s="118"/>
      <c r="AM272" s="8"/>
      <c r="AN272" s="8"/>
      <c r="AO272" s="8"/>
    </row>
    <row r="273" spans="1:42">
      <c r="A273" s="37">
        <v>262</v>
      </c>
      <c r="B273" s="142"/>
      <c r="C273" s="152" t="s">
        <v>1486</v>
      </c>
      <c r="D273" s="33"/>
      <c r="E273" s="33"/>
      <c r="F273" s="33"/>
      <c r="G273" s="33"/>
      <c r="H273" s="77" t="s">
        <v>1489</v>
      </c>
      <c r="I273" s="186" t="s">
        <v>1407</v>
      </c>
      <c r="J273" s="148"/>
      <c r="K273" s="126"/>
      <c r="L273" s="93"/>
      <c r="M273" s="93"/>
      <c r="N273" s="93"/>
      <c r="O273" s="51"/>
      <c r="P273" s="51"/>
      <c r="Q273" s="51"/>
      <c r="R273" s="60"/>
      <c r="S273" s="51"/>
      <c r="T273" s="51"/>
      <c r="U273" s="51"/>
      <c r="V273" s="60"/>
      <c r="W273" s="38"/>
      <c r="X273" s="11"/>
      <c r="AA273" s="119"/>
      <c r="AB273" s="119"/>
      <c r="AC273" s="119"/>
      <c r="AE273" s="118"/>
      <c r="AG273" s="8"/>
      <c r="AH273" s="8"/>
      <c r="AI273" s="8"/>
      <c r="AK273" s="118"/>
      <c r="AM273" s="8"/>
      <c r="AN273" s="8"/>
      <c r="AO273" s="8"/>
    </row>
    <row r="274" spans="1:42">
      <c r="A274" s="37">
        <v>263</v>
      </c>
      <c r="B274" s="142"/>
      <c r="C274" s="152" t="s">
        <v>836</v>
      </c>
      <c r="D274" s="33"/>
      <c r="E274" s="33"/>
      <c r="F274" s="33"/>
      <c r="G274" s="33"/>
      <c r="H274" s="77" t="s">
        <v>831</v>
      </c>
      <c r="I274" s="186" t="s">
        <v>1017</v>
      </c>
      <c r="J274" s="148" t="s">
        <v>832</v>
      </c>
      <c r="K274" s="126"/>
      <c r="L274" s="93"/>
      <c r="M274" s="93"/>
      <c r="N274" s="93"/>
      <c r="O274" s="51"/>
      <c r="P274" s="51"/>
      <c r="Q274" s="51"/>
      <c r="R274" s="60"/>
      <c r="S274" s="51"/>
      <c r="T274" s="51"/>
      <c r="U274" s="51"/>
      <c r="V274" s="60"/>
      <c r="W274" s="38"/>
      <c r="X274" s="11"/>
      <c r="AA274" s="119"/>
      <c r="AB274" s="119"/>
      <c r="AC274" s="119"/>
      <c r="AE274" s="118"/>
      <c r="AG274" s="8"/>
      <c r="AH274" s="8"/>
      <c r="AI274" s="8"/>
      <c r="AK274" s="118"/>
      <c r="AM274" s="8"/>
      <c r="AN274" s="8"/>
      <c r="AO274" s="8"/>
    </row>
    <row r="275" spans="1:42">
      <c r="A275" s="37">
        <v>264</v>
      </c>
      <c r="B275" s="142"/>
      <c r="C275" s="152" t="s">
        <v>1966</v>
      </c>
      <c r="D275" s="33"/>
      <c r="E275" s="33"/>
      <c r="F275" s="33"/>
      <c r="G275" s="33"/>
      <c r="H275" s="77" t="s">
        <v>1967</v>
      </c>
      <c r="I275" s="199" t="s">
        <v>1968</v>
      </c>
      <c r="J275" s="146" t="s">
        <v>1926</v>
      </c>
      <c r="K275" s="126"/>
      <c r="L275" s="93"/>
      <c r="M275" s="93"/>
      <c r="N275" s="93"/>
      <c r="O275" s="51"/>
      <c r="P275" s="51"/>
      <c r="Q275" s="51"/>
      <c r="R275" s="60"/>
      <c r="S275" s="51"/>
      <c r="T275" s="51"/>
      <c r="U275" s="51"/>
      <c r="V275" s="60"/>
      <c r="W275" s="38"/>
      <c r="X275" s="11"/>
      <c r="AA275" s="119"/>
      <c r="AB275" s="119"/>
      <c r="AC275" s="119"/>
      <c r="AE275" s="118"/>
      <c r="AG275" s="8"/>
      <c r="AH275" s="8"/>
      <c r="AI275" s="8"/>
      <c r="AK275" s="118"/>
      <c r="AM275" s="8"/>
      <c r="AN275" s="8"/>
      <c r="AO275" s="8"/>
    </row>
    <row r="276" spans="1:42">
      <c r="A276" s="37">
        <v>265</v>
      </c>
      <c r="B276" s="139"/>
      <c r="C276" s="171" t="s">
        <v>1925</v>
      </c>
      <c r="D276" s="212"/>
      <c r="E276" s="212"/>
      <c r="F276" s="212"/>
      <c r="G276" s="212"/>
      <c r="H276" s="151" t="s">
        <v>1927</v>
      </c>
      <c r="I276" s="199" t="s">
        <v>1104</v>
      </c>
      <c r="J276" s="146" t="s">
        <v>1926</v>
      </c>
      <c r="K276" s="125"/>
      <c r="L276" s="6"/>
      <c r="M276" s="6"/>
      <c r="N276" s="6"/>
      <c r="O276" s="51"/>
      <c r="P276" s="51"/>
      <c r="Q276" s="51"/>
      <c r="R276" s="60"/>
      <c r="S276" s="51"/>
      <c r="T276" s="51"/>
      <c r="U276" s="51"/>
      <c r="V276" s="60"/>
      <c r="W276" s="38"/>
      <c r="X276" s="11"/>
      <c r="Y276" s="17"/>
      <c r="Z276" s="17"/>
      <c r="AA276" s="70"/>
      <c r="AB276" s="70"/>
      <c r="AC276" s="70"/>
      <c r="AD276" s="43"/>
      <c r="AE276" s="38"/>
      <c r="AF276" s="11"/>
      <c r="AG276" s="6"/>
      <c r="AH276" s="6"/>
      <c r="AI276" s="6"/>
      <c r="AJ276" s="43"/>
      <c r="AK276" s="38"/>
      <c r="AL276" s="11"/>
      <c r="AM276" s="6"/>
      <c r="AN276" s="6"/>
      <c r="AO276" s="6"/>
      <c r="AP276" s="43"/>
    </row>
    <row r="277" spans="1:42">
      <c r="A277" s="37">
        <v>266</v>
      </c>
      <c r="B277" s="139"/>
      <c r="C277" s="152" t="s">
        <v>1120</v>
      </c>
      <c r="D277" s="33"/>
      <c r="E277" s="33"/>
      <c r="F277" s="33"/>
      <c r="G277" s="33"/>
      <c r="H277" s="141" t="s">
        <v>854</v>
      </c>
      <c r="I277" s="190" t="s">
        <v>1121</v>
      </c>
      <c r="J277" s="146"/>
      <c r="K277" s="35"/>
      <c r="L277" s="17"/>
      <c r="M277" s="17"/>
      <c r="N277" s="17"/>
      <c r="O277" s="51"/>
      <c r="P277" s="51"/>
      <c r="Q277" s="51"/>
      <c r="R277" s="60"/>
      <c r="S277" s="51"/>
      <c r="T277" s="53"/>
      <c r="U277" s="53"/>
      <c r="V277" s="60"/>
      <c r="W277" s="38"/>
      <c r="X277" s="11"/>
      <c r="Y277" s="17"/>
      <c r="Z277" s="17"/>
      <c r="AA277" s="70"/>
      <c r="AB277" s="70"/>
      <c r="AC277" s="70"/>
      <c r="AD277" s="43"/>
      <c r="AE277" s="38"/>
      <c r="AF277" s="11"/>
      <c r="AG277" s="6"/>
      <c r="AH277" s="6"/>
      <c r="AI277" s="6"/>
      <c r="AJ277" s="43"/>
      <c r="AK277" s="38"/>
      <c r="AL277" s="11"/>
      <c r="AM277" s="6"/>
      <c r="AN277" s="6"/>
      <c r="AO277" s="6"/>
      <c r="AP277" s="43"/>
    </row>
    <row r="278" spans="1:42">
      <c r="A278" s="37">
        <v>267</v>
      </c>
      <c r="B278" s="139"/>
      <c r="C278" s="152" t="s">
        <v>1381</v>
      </c>
      <c r="D278" s="33"/>
      <c r="E278" s="33"/>
      <c r="F278" s="33"/>
      <c r="G278" s="33"/>
      <c r="H278" s="77" t="s">
        <v>1445</v>
      </c>
      <c r="I278" s="186" t="s">
        <v>985</v>
      </c>
      <c r="J278" s="146"/>
      <c r="K278" s="35"/>
      <c r="L278" s="17"/>
      <c r="M278" s="17"/>
      <c r="N278" s="17"/>
      <c r="O278" s="51"/>
      <c r="P278" s="51"/>
      <c r="Q278" s="51"/>
      <c r="R278" s="60"/>
      <c r="S278" s="51"/>
      <c r="T278" s="53"/>
      <c r="U278" s="53"/>
      <c r="V278" s="60"/>
      <c r="W278" s="38"/>
      <c r="X278" s="11"/>
      <c r="Y278" s="17"/>
      <c r="Z278" s="17"/>
      <c r="AA278" s="70"/>
      <c r="AB278" s="70"/>
      <c r="AC278" s="70"/>
      <c r="AD278" s="43"/>
      <c r="AE278" s="38"/>
      <c r="AF278" s="11"/>
      <c r="AG278" s="6"/>
      <c r="AH278" s="6"/>
      <c r="AI278" s="6"/>
      <c r="AJ278" s="43"/>
      <c r="AK278" s="38"/>
      <c r="AL278" s="11"/>
      <c r="AM278" s="6"/>
      <c r="AN278" s="6"/>
      <c r="AO278" s="6"/>
      <c r="AP278" s="43"/>
    </row>
    <row r="279" spans="1:42">
      <c r="A279" s="37">
        <v>268</v>
      </c>
      <c r="B279" s="142"/>
      <c r="C279" s="152" t="s">
        <v>1958</v>
      </c>
      <c r="D279" s="33"/>
      <c r="E279" s="33"/>
      <c r="F279" s="33"/>
      <c r="G279" s="33"/>
      <c r="H279" s="141" t="s">
        <v>1617</v>
      </c>
      <c r="I279" s="186" t="s">
        <v>977</v>
      </c>
      <c r="J279" s="149" t="s">
        <v>1622</v>
      </c>
      <c r="K279" s="35"/>
      <c r="L279" s="17"/>
      <c r="M279" s="17"/>
      <c r="N279" s="17"/>
      <c r="O279" s="51"/>
      <c r="P279" s="51"/>
      <c r="Q279" s="51"/>
      <c r="R279" s="60"/>
      <c r="S279" s="51"/>
      <c r="T279" s="53"/>
      <c r="U279" s="53"/>
      <c r="V279" s="60"/>
      <c r="W279" s="38"/>
      <c r="X279" s="11"/>
      <c r="Y279" s="17"/>
      <c r="Z279" s="17"/>
      <c r="AA279" s="70"/>
      <c r="AB279" s="70"/>
      <c r="AC279" s="70"/>
      <c r="AD279" s="43"/>
      <c r="AE279" s="38"/>
      <c r="AF279" s="11"/>
      <c r="AG279" s="6"/>
      <c r="AH279" s="6"/>
      <c r="AI279" s="6"/>
      <c r="AJ279" s="43"/>
      <c r="AK279" s="38"/>
      <c r="AL279" s="11"/>
      <c r="AM279" s="6"/>
      <c r="AN279" s="6"/>
      <c r="AO279" s="6"/>
      <c r="AP279" s="43"/>
    </row>
    <row r="280" spans="1:42">
      <c r="A280" s="37">
        <v>269</v>
      </c>
      <c r="B280" s="139"/>
      <c r="C280" s="152" t="s">
        <v>1325</v>
      </c>
      <c r="D280" s="33"/>
      <c r="E280" s="33"/>
      <c r="F280" s="33"/>
      <c r="G280" s="33"/>
      <c r="H280" s="77" t="s">
        <v>940</v>
      </c>
      <c r="I280" s="186" t="s">
        <v>984</v>
      </c>
      <c r="J280" s="146"/>
      <c r="K280" s="35"/>
      <c r="L280" s="17"/>
      <c r="M280" s="17"/>
      <c r="N280" s="17"/>
      <c r="O280" s="51"/>
      <c r="P280" s="51"/>
      <c r="Q280" s="51"/>
      <c r="R280" s="60"/>
      <c r="S280" s="51"/>
      <c r="T280" s="53"/>
      <c r="U280" s="53"/>
      <c r="V280" s="60"/>
      <c r="W280" s="38"/>
      <c r="X280" s="11"/>
      <c r="Y280" s="17"/>
      <c r="Z280" s="17"/>
      <c r="AA280" s="70"/>
      <c r="AB280" s="70"/>
      <c r="AC280" s="70"/>
      <c r="AD280" s="43"/>
      <c r="AE280" s="38"/>
      <c r="AF280" s="11"/>
      <c r="AG280" s="6"/>
      <c r="AH280" s="6"/>
      <c r="AI280" s="6"/>
      <c r="AJ280" s="43"/>
      <c r="AK280" s="38"/>
      <c r="AL280" s="11"/>
      <c r="AM280" s="6"/>
      <c r="AN280" s="6"/>
      <c r="AO280" s="6"/>
      <c r="AP280" s="43"/>
    </row>
    <row r="281" spans="1:42">
      <c r="A281" s="37">
        <v>270</v>
      </c>
      <c r="B281" s="142"/>
      <c r="C281" s="152" t="s">
        <v>657</v>
      </c>
      <c r="D281" s="33"/>
      <c r="E281" s="33"/>
      <c r="F281" s="33"/>
      <c r="G281" s="33"/>
      <c r="H281" s="77" t="s">
        <v>817</v>
      </c>
      <c r="I281" s="186" t="s">
        <v>1343</v>
      </c>
      <c r="J281" s="146" t="s">
        <v>1348</v>
      </c>
      <c r="K281" s="35"/>
      <c r="L281" s="17"/>
      <c r="M281" s="17"/>
      <c r="N281" s="17"/>
      <c r="O281" s="51"/>
      <c r="P281" s="51"/>
      <c r="Q281" s="51"/>
      <c r="R281" s="60"/>
      <c r="S281" s="51"/>
      <c r="T281" s="53"/>
      <c r="U281" s="53"/>
      <c r="V281" s="60"/>
      <c r="W281" s="38"/>
      <c r="X281" s="11"/>
      <c r="Y281" s="17"/>
      <c r="Z281" s="17"/>
      <c r="AA281" s="70"/>
      <c r="AB281" s="70"/>
      <c r="AC281" s="70"/>
      <c r="AD281" s="43"/>
      <c r="AE281" s="38"/>
      <c r="AF281" s="11"/>
      <c r="AG281" s="6"/>
      <c r="AH281" s="6"/>
      <c r="AI281" s="6"/>
      <c r="AJ281" s="43"/>
      <c r="AK281" s="38"/>
      <c r="AL281" s="11"/>
      <c r="AM281" s="6"/>
      <c r="AN281" s="6"/>
      <c r="AO281" s="6"/>
      <c r="AP281" s="43"/>
    </row>
    <row r="282" spans="1:42">
      <c r="A282" s="37">
        <v>271</v>
      </c>
      <c r="B282" s="142"/>
      <c r="C282" s="152" t="s">
        <v>1907</v>
      </c>
      <c r="D282" s="33"/>
      <c r="E282" s="33"/>
      <c r="F282" s="33"/>
      <c r="G282" s="33"/>
      <c r="H282" s="77" t="s">
        <v>1910</v>
      </c>
      <c r="I282" s="186" t="s">
        <v>1909</v>
      </c>
      <c r="J282" s="146" t="s">
        <v>1908</v>
      </c>
      <c r="K282" s="35"/>
      <c r="L282" s="17"/>
      <c r="M282" s="17"/>
      <c r="N282" s="17"/>
      <c r="O282" s="51"/>
      <c r="P282" s="51"/>
      <c r="Q282" s="51"/>
      <c r="R282" s="60"/>
      <c r="S282" s="51"/>
      <c r="T282" s="53"/>
      <c r="U282" s="53"/>
      <c r="V282" s="60"/>
      <c r="W282" s="38"/>
      <c r="X282" s="11"/>
      <c r="Y282" s="17"/>
      <c r="Z282" s="17"/>
      <c r="AA282" s="70"/>
      <c r="AB282" s="70"/>
      <c r="AC282" s="70"/>
      <c r="AD282" s="43"/>
      <c r="AE282" s="38"/>
      <c r="AF282" s="11"/>
      <c r="AG282" s="6"/>
      <c r="AH282" s="6"/>
      <c r="AI282" s="6"/>
      <c r="AJ282" s="43"/>
      <c r="AK282" s="38"/>
      <c r="AL282" s="11"/>
      <c r="AM282" s="6"/>
      <c r="AN282" s="6"/>
      <c r="AO282" s="6"/>
      <c r="AP282" s="43"/>
    </row>
    <row r="283" spans="1:42">
      <c r="A283" s="37">
        <v>272</v>
      </c>
      <c r="B283" s="142"/>
      <c r="C283" s="152" t="s">
        <v>1811</v>
      </c>
      <c r="D283" s="33"/>
      <c r="E283" s="33"/>
      <c r="F283" s="33"/>
      <c r="G283" s="33"/>
      <c r="H283" s="77" t="s">
        <v>1812</v>
      </c>
      <c r="I283" s="186" t="s">
        <v>1813</v>
      </c>
      <c r="J283" s="146"/>
      <c r="K283" s="35"/>
      <c r="L283" s="17"/>
      <c r="M283" s="17"/>
      <c r="N283" s="17"/>
      <c r="O283" s="51"/>
      <c r="P283" s="51"/>
      <c r="Q283" s="51"/>
      <c r="R283" s="60"/>
      <c r="S283" s="51"/>
      <c r="T283" s="53"/>
      <c r="U283" s="53"/>
      <c r="V283" s="60"/>
      <c r="W283" s="38"/>
      <c r="X283" s="11"/>
      <c r="Y283" s="17"/>
      <c r="Z283" s="17"/>
      <c r="AA283" s="70"/>
      <c r="AB283" s="70"/>
      <c r="AC283" s="70"/>
      <c r="AD283" s="43"/>
      <c r="AE283" s="38"/>
      <c r="AF283" s="11"/>
      <c r="AG283" s="6"/>
      <c r="AH283" s="6"/>
      <c r="AI283" s="6"/>
      <c r="AJ283" s="43"/>
      <c r="AK283" s="38"/>
      <c r="AL283" s="11"/>
      <c r="AM283" s="6"/>
      <c r="AN283" s="6"/>
      <c r="AO283" s="6"/>
      <c r="AP283" s="43"/>
    </row>
    <row r="284" spans="1:42">
      <c r="A284" s="37">
        <v>273</v>
      </c>
      <c r="B284" s="142"/>
      <c r="C284" s="152" t="s">
        <v>1341</v>
      </c>
      <c r="D284" s="33"/>
      <c r="E284" s="33"/>
      <c r="F284" s="33"/>
      <c r="G284" s="33"/>
      <c r="H284" s="77" t="s">
        <v>1349</v>
      </c>
      <c r="I284" s="186" t="s">
        <v>1343</v>
      </c>
      <c r="J284" s="146" t="s">
        <v>1347</v>
      </c>
      <c r="K284" s="35"/>
      <c r="L284" s="17"/>
      <c r="M284" s="17"/>
      <c r="N284" s="17"/>
      <c r="O284" s="51"/>
      <c r="P284" s="51"/>
      <c r="Q284" s="51"/>
      <c r="R284" s="60"/>
      <c r="S284" s="51"/>
      <c r="T284" s="53"/>
      <c r="U284" s="53"/>
      <c r="V284" s="60"/>
      <c r="W284" s="38"/>
      <c r="X284" s="11"/>
      <c r="Y284" s="17"/>
      <c r="Z284" s="17"/>
      <c r="AA284" s="70"/>
      <c r="AB284" s="70"/>
      <c r="AC284" s="70"/>
      <c r="AD284" s="43"/>
      <c r="AE284" s="38"/>
      <c r="AF284" s="11"/>
      <c r="AG284" s="6"/>
      <c r="AH284" s="6"/>
      <c r="AI284" s="6"/>
      <c r="AJ284" s="43"/>
      <c r="AK284" s="38"/>
      <c r="AL284" s="11"/>
      <c r="AM284" s="6"/>
      <c r="AN284" s="6"/>
      <c r="AO284" s="6"/>
      <c r="AP284" s="43"/>
    </row>
    <row r="285" spans="1:42">
      <c r="A285" s="37">
        <v>274</v>
      </c>
      <c r="B285" s="139"/>
      <c r="C285" s="152" t="s">
        <v>921</v>
      </c>
      <c r="D285" s="33"/>
      <c r="E285" s="33"/>
      <c r="F285" s="33"/>
      <c r="G285" s="33"/>
      <c r="H285" s="77" t="s">
        <v>913</v>
      </c>
      <c r="I285" s="186" t="s">
        <v>1046</v>
      </c>
      <c r="J285" s="146"/>
      <c r="K285" s="35"/>
      <c r="L285" s="17"/>
      <c r="M285" s="17"/>
      <c r="N285" s="17"/>
      <c r="O285" s="51"/>
      <c r="P285" s="51"/>
      <c r="Q285" s="51"/>
      <c r="R285" s="60"/>
      <c r="S285" s="51"/>
      <c r="T285" s="53"/>
      <c r="U285" s="53"/>
      <c r="V285" s="60"/>
      <c r="W285" s="38"/>
      <c r="X285" s="11"/>
      <c r="Y285" s="17"/>
      <c r="Z285" s="17"/>
      <c r="AA285" s="70"/>
      <c r="AB285" s="70"/>
      <c r="AC285" s="70"/>
      <c r="AD285" s="43"/>
      <c r="AE285" s="38"/>
      <c r="AF285" s="11"/>
      <c r="AG285" s="6"/>
      <c r="AH285" s="6"/>
      <c r="AI285" s="6"/>
      <c r="AJ285" s="43"/>
      <c r="AK285" s="38"/>
      <c r="AL285" s="11"/>
      <c r="AM285" s="6"/>
      <c r="AN285" s="6"/>
      <c r="AO285" s="6"/>
      <c r="AP285" s="43"/>
    </row>
    <row r="286" spans="1:42">
      <c r="A286" s="37">
        <v>275</v>
      </c>
      <c r="B286" s="139"/>
      <c r="C286" s="152" t="s">
        <v>1160</v>
      </c>
      <c r="D286" s="33"/>
      <c r="E286" s="33"/>
      <c r="F286" s="33"/>
      <c r="G286" s="33"/>
      <c r="H286" s="77" t="s">
        <v>1161</v>
      </c>
      <c r="I286" s="186" t="s">
        <v>1162</v>
      </c>
      <c r="J286" s="145" t="s">
        <v>1163</v>
      </c>
      <c r="K286" s="35"/>
      <c r="L286" s="17"/>
      <c r="M286" s="17"/>
      <c r="N286" s="17"/>
      <c r="O286" s="51"/>
      <c r="P286" s="51"/>
      <c r="Q286" s="51"/>
      <c r="R286" s="60"/>
      <c r="S286" s="51"/>
      <c r="T286" s="53"/>
      <c r="U286" s="53"/>
      <c r="V286" s="60"/>
      <c r="W286" s="38"/>
      <c r="X286" s="11"/>
      <c r="Y286" s="17"/>
      <c r="Z286" s="17"/>
      <c r="AA286" s="70"/>
      <c r="AB286" s="70"/>
      <c r="AC286" s="70"/>
      <c r="AD286" s="43"/>
      <c r="AE286" s="38"/>
      <c r="AF286" s="11"/>
      <c r="AG286" s="6"/>
      <c r="AH286" s="6"/>
      <c r="AI286" s="6"/>
      <c r="AJ286" s="43"/>
      <c r="AK286" s="38"/>
      <c r="AL286" s="11"/>
      <c r="AM286" s="6"/>
      <c r="AN286" s="6"/>
      <c r="AO286" s="6"/>
      <c r="AP286" s="43"/>
    </row>
    <row r="287" spans="1:42">
      <c r="A287" s="37">
        <v>276</v>
      </c>
      <c r="B287" s="139"/>
      <c r="C287" s="152" t="s">
        <v>1420</v>
      </c>
      <c r="D287" s="33"/>
      <c r="E287" s="33"/>
      <c r="F287" s="33"/>
      <c r="G287" s="33"/>
      <c r="H287" s="77" t="s">
        <v>1650</v>
      </c>
      <c r="I287" s="186" t="s">
        <v>977</v>
      </c>
      <c r="J287" s="145"/>
      <c r="K287" s="35"/>
      <c r="L287" s="17"/>
      <c r="M287" s="17"/>
      <c r="N287" s="17"/>
      <c r="O287" s="51"/>
      <c r="P287" s="51"/>
      <c r="Q287" s="51"/>
      <c r="R287" s="60"/>
      <c r="S287" s="51"/>
      <c r="T287" s="53"/>
      <c r="U287" s="53"/>
      <c r="V287" s="60"/>
      <c r="W287" s="38"/>
      <c r="X287" s="11"/>
      <c r="Y287" s="17"/>
      <c r="Z287" s="17"/>
      <c r="AA287" s="70"/>
      <c r="AB287" s="70"/>
      <c r="AC287" s="70"/>
      <c r="AD287" s="43"/>
      <c r="AE287" s="38"/>
      <c r="AF287" s="11"/>
      <c r="AG287" s="6"/>
      <c r="AH287" s="6"/>
      <c r="AI287" s="6"/>
      <c r="AJ287" s="43"/>
      <c r="AK287" s="38"/>
      <c r="AL287" s="11"/>
      <c r="AM287" s="6"/>
      <c r="AN287" s="6"/>
      <c r="AO287" s="6"/>
      <c r="AP287" s="43"/>
    </row>
    <row r="288" spans="1:42">
      <c r="A288" s="37">
        <v>277</v>
      </c>
      <c r="B288" s="139"/>
      <c r="C288" s="152" t="s">
        <v>718</v>
      </c>
      <c r="D288" s="33"/>
      <c r="E288" s="33"/>
      <c r="F288" s="33"/>
      <c r="G288" s="33"/>
      <c r="H288" s="77" t="s">
        <v>750</v>
      </c>
      <c r="I288" s="186" t="s">
        <v>1052</v>
      </c>
      <c r="J288" s="146" t="s">
        <v>749</v>
      </c>
      <c r="K288" s="35"/>
      <c r="L288" s="17">
        <v>11560</v>
      </c>
      <c r="M288" s="17">
        <v>578</v>
      </c>
      <c r="N288" s="17">
        <v>12138</v>
      </c>
      <c r="O288" s="51"/>
      <c r="P288" s="51"/>
      <c r="Q288" s="51"/>
      <c r="R288" s="60"/>
      <c r="S288" s="51"/>
      <c r="T288" s="53"/>
      <c r="U288" s="53"/>
      <c r="V288" s="60"/>
      <c r="W288" s="38"/>
      <c r="X288" s="11"/>
      <c r="Y288" s="17"/>
      <c r="Z288" s="17"/>
      <c r="AA288" s="70"/>
      <c r="AB288" s="70"/>
      <c r="AC288" s="70"/>
      <c r="AD288" s="43"/>
      <c r="AE288" s="38"/>
      <c r="AF288" s="11"/>
      <c r="AG288" s="6"/>
      <c r="AH288" s="6"/>
      <c r="AI288" s="6"/>
      <c r="AJ288" s="43"/>
      <c r="AK288" s="38"/>
      <c r="AL288" s="11"/>
      <c r="AM288" s="6"/>
      <c r="AN288" s="6"/>
      <c r="AO288" s="6"/>
      <c r="AP288" s="43"/>
    </row>
    <row r="289" spans="1:42" ht="27">
      <c r="A289" s="37">
        <v>278</v>
      </c>
      <c r="B289" s="154"/>
      <c r="C289" s="152" t="s">
        <v>1934</v>
      </c>
      <c r="D289" s="33"/>
      <c r="E289" s="33"/>
      <c r="F289" s="33"/>
      <c r="G289" s="33"/>
      <c r="H289" s="77" t="s">
        <v>1448</v>
      </c>
      <c r="I289" s="186" t="s">
        <v>1215</v>
      </c>
      <c r="J289" s="146" t="s">
        <v>1233</v>
      </c>
      <c r="K289" s="125"/>
      <c r="L289" s="6"/>
      <c r="M289" s="6"/>
      <c r="N289" s="6"/>
      <c r="O289" s="51"/>
      <c r="P289" s="51"/>
      <c r="Q289" s="51"/>
      <c r="R289" s="60"/>
      <c r="S289" s="51"/>
      <c r="T289" s="51"/>
      <c r="U289" s="51"/>
      <c r="V289" s="60"/>
      <c r="W289" s="38"/>
      <c r="X289" s="11"/>
      <c r="Y289" s="17"/>
      <c r="Z289" s="17"/>
      <c r="AA289" s="70"/>
      <c r="AB289" s="70"/>
      <c r="AC289" s="70"/>
      <c r="AD289" s="43"/>
      <c r="AE289" s="38"/>
      <c r="AF289" s="11"/>
      <c r="AG289" s="6"/>
      <c r="AH289" s="6"/>
      <c r="AI289" s="6"/>
      <c r="AJ289" s="43"/>
      <c r="AK289" s="38"/>
      <c r="AL289" s="11"/>
      <c r="AM289" s="6"/>
      <c r="AN289" s="6"/>
      <c r="AO289" s="6"/>
      <c r="AP289" s="43"/>
    </row>
    <row r="290" spans="1:42">
      <c r="A290" s="37">
        <v>279</v>
      </c>
      <c r="B290" s="139"/>
      <c r="C290" s="152" t="s">
        <v>486</v>
      </c>
      <c r="D290" s="33"/>
      <c r="E290" s="33"/>
      <c r="F290" s="33"/>
      <c r="G290" s="33"/>
      <c r="H290" s="77" t="s">
        <v>1022</v>
      </c>
      <c r="I290" s="186" t="s">
        <v>1023</v>
      </c>
      <c r="J290" s="146" t="s">
        <v>1021</v>
      </c>
      <c r="K290" s="125"/>
      <c r="L290" s="6"/>
      <c r="M290" s="6"/>
      <c r="N290" s="6"/>
      <c r="O290" s="51"/>
      <c r="P290" s="51"/>
      <c r="Q290" s="51"/>
      <c r="R290" s="60"/>
      <c r="S290" s="54"/>
      <c r="T290" s="54"/>
      <c r="U290" s="54"/>
      <c r="V290" s="60"/>
      <c r="W290" s="38"/>
      <c r="X290" s="11"/>
      <c r="Y290" s="17"/>
      <c r="Z290" s="17"/>
      <c r="AA290" s="98"/>
      <c r="AB290" s="98"/>
      <c r="AC290" s="98"/>
      <c r="AD290" s="43"/>
      <c r="AE290" s="38"/>
      <c r="AF290" s="11"/>
      <c r="AG290" s="99"/>
      <c r="AH290" s="99"/>
      <c r="AI290" s="99"/>
      <c r="AJ290" s="43"/>
      <c r="AK290" s="38"/>
      <c r="AL290" s="11"/>
      <c r="AM290" s="6"/>
      <c r="AN290" s="6"/>
      <c r="AO290" s="6"/>
      <c r="AP290" s="43"/>
    </row>
    <row r="291" spans="1:42">
      <c r="A291" s="37">
        <v>280</v>
      </c>
      <c r="B291" s="139"/>
      <c r="C291" s="152" t="s">
        <v>2217</v>
      </c>
      <c r="D291" s="33"/>
      <c r="E291" s="33"/>
      <c r="F291" s="33"/>
      <c r="G291" s="33"/>
      <c r="H291" s="77" t="s">
        <v>2216</v>
      </c>
      <c r="I291" s="186" t="s">
        <v>1004</v>
      </c>
      <c r="J291" s="146"/>
      <c r="K291" s="35"/>
      <c r="L291" s="17">
        <v>67200</v>
      </c>
      <c r="M291" s="17">
        <v>3360</v>
      </c>
      <c r="N291" s="17">
        <v>70560</v>
      </c>
      <c r="O291" s="51"/>
      <c r="P291" s="51"/>
      <c r="Q291" s="51"/>
      <c r="R291" s="60"/>
      <c r="S291" s="51"/>
      <c r="T291" s="53"/>
      <c r="U291" s="53"/>
      <c r="V291" s="60"/>
      <c r="W291" s="38"/>
      <c r="X291" s="11"/>
      <c r="Y291" s="17"/>
      <c r="Z291" s="17"/>
      <c r="AA291" s="70"/>
      <c r="AB291" s="70"/>
      <c r="AC291" s="70"/>
      <c r="AD291" s="43"/>
      <c r="AE291" s="38"/>
      <c r="AF291" s="11"/>
      <c r="AG291" s="6"/>
      <c r="AH291" s="6"/>
      <c r="AI291" s="6"/>
      <c r="AJ291" s="43"/>
      <c r="AK291" s="38"/>
      <c r="AL291" s="11"/>
      <c r="AM291" s="6"/>
      <c r="AN291" s="6"/>
      <c r="AO291" s="6"/>
      <c r="AP291" s="43"/>
    </row>
    <row r="292" spans="1:42">
      <c r="A292" s="37">
        <v>281</v>
      </c>
      <c r="B292" s="139"/>
      <c r="C292" s="152" t="s">
        <v>1734</v>
      </c>
      <c r="D292" s="33"/>
      <c r="E292" s="33"/>
      <c r="F292" s="33"/>
      <c r="G292" s="33"/>
      <c r="H292" s="77" t="s">
        <v>1557</v>
      </c>
      <c r="I292" s="186" t="s">
        <v>1012</v>
      </c>
      <c r="J292" s="146" t="s">
        <v>1011</v>
      </c>
      <c r="K292" s="125"/>
      <c r="L292" s="6"/>
      <c r="M292" s="6"/>
      <c r="N292" s="6"/>
      <c r="O292" s="51"/>
      <c r="P292" s="51"/>
      <c r="Q292" s="51"/>
      <c r="R292" s="60"/>
      <c r="S292" s="51"/>
      <c r="T292" s="51"/>
      <c r="U292" s="51"/>
      <c r="V292" s="60"/>
      <c r="W292" s="38"/>
      <c r="X292" s="11"/>
      <c r="Y292" s="17"/>
      <c r="Z292" s="17"/>
      <c r="AA292" s="70"/>
      <c r="AB292" s="70"/>
      <c r="AC292" s="70"/>
      <c r="AD292" s="43"/>
      <c r="AE292" s="38"/>
      <c r="AF292" s="11"/>
      <c r="AG292" s="6"/>
      <c r="AH292" s="6"/>
      <c r="AI292" s="6"/>
      <c r="AJ292" s="43"/>
      <c r="AK292" s="38"/>
      <c r="AL292" s="11"/>
      <c r="AM292" s="6"/>
      <c r="AN292" s="6"/>
      <c r="AO292" s="6"/>
      <c r="AP292" s="43"/>
    </row>
    <row r="293" spans="1:42">
      <c r="A293" s="37">
        <v>282</v>
      </c>
      <c r="B293" s="139"/>
      <c r="C293" s="152" t="s">
        <v>1797</v>
      </c>
      <c r="D293" s="33"/>
      <c r="E293" s="33"/>
      <c r="F293" s="33"/>
      <c r="G293" s="33"/>
      <c r="H293" s="77" t="s">
        <v>1542</v>
      </c>
      <c r="I293" s="186" t="s">
        <v>1543</v>
      </c>
      <c r="J293" s="146" t="s">
        <v>1541</v>
      </c>
      <c r="K293" s="125"/>
      <c r="L293" s="6"/>
      <c r="M293" s="6"/>
      <c r="N293" s="6"/>
      <c r="O293" s="51"/>
      <c r="P293" s="51"/>
      <c r="Q293" s="51"/>
      <c r="R293" s="60"/>
      <c r="S293" s="51"/>
      <c r="T293" s="51"/>
      <c r="U293" s="51"/>
      <c r="V293" s="60"/>
      <c r="W293" s="38"/>
      <c r="X293" s="11"/>
      <c r="Y293" s="17"/>
      <c r="Z293" s="17"/>
      <c r="AA293" s="70"/>
      <c r="AB293" s="70"/>
      <c r="AC293" s="70"/>
      <c r="AD293" s="43"/>
      <c r="AE293" s="38"/>
      <c r="AF293" s="11"/>
      <c r="AG293" s="6"/>
      <c r="AH293" s="6"/>
      <c r="AI293" s="6"/>
      <c r="AJ293" s="43"/>
      <c r="AK293" s="38"/>
      <c r="AL293" s="11"/>
      <c r="AM293" s="6"/>
      <c r="AN293" s="6"/>
      <c r="AO293" s="6"/>
      <c r="AP293" s="43"/>
    </row>
    <row r="294" spans="1:42">
      <c r="A294" s="37">
        <v>283</v>
      </c>
      <c r="B294" s="139"/>
      <c r="C294" s="152" t="s">
        <v>647</v>
      </c>
      <c r="D294" s="33"/>
      <c r="E294" s="33"/>
      <c r="F294" s="33"/>
      <c r="G294" s="33"/>
      <c r="H294" s="77" t="s">
        <v>872</v>
      </c>
      <c r="I294" s="186" t="s">
        <v>1000</v>
      </c>
      <c r="J294" s="146"/>
      <c r="K294" s="125"/>
      <c r="L294" s="6">
        <v>0</v>
      </c>
      <c r="M294" s="6">
        <v>0</v>
      </c>
      <c r="N294" s="6">
        <v>0</v>
      </c>
      <c r="O294" s="51"/>
      <c r="P294" s="51"/>
      <c r="Q294" s="51"/>
      <c r="R294" s="60"/>
      <c r="S294" s="52"/>
      <c r="T294" s="52"/>
      <c r="U294" s="52"/>
      <c r="V294" s="60"/>
      <c r="W294" s="38"/>
      <c r="X294" s="11"/>
      <c r="Y294" s="17"/>
      <c r="Z294" s="35"/>
      <c r="AA294" s="75"/>
      <c r="AB294" s="75"/>
      <c r="AC294" s="75"/>
      <c r="AD294" s="43"/>
      <c r="AE294" s="38"/>
      <c r="AF294" s="11"/>
      <c r="AG294" s="6"/>
      <c r="AH294" s="6"/>
      <c r="AI294" s="6"/>
      <c r="AJ294" s="43"/>
      <c r="AK294" s="38"/>
      <c r="AL294" s="11"/>
      <c r="AM294" s="6"/>
      <c r="AN294" s="6"/>
      <c r="AO294" s="6"/>
      <c r="AP294" s="43"/>
    </row>
    <row r="295" spans="1:42">
      <c r="A295" s="37">
        <v>284</v>
      </c>
      <c r="B295" s="139"/>
      <c r="C295" s="152" t="s">
        <v>1088</v>
      </c>
      <c r="D295" s="33"/>
      <c r="E295" s="33"/>
      <c r="F295" s="33"/>
      <c r="G295" s="33"/>
      <c r="H295" s="77" t="s">
        <v>873</v>
      </c>
      <c r="I295" s="186" t="s">
        <v>1089</v>
      </c>
      <c r="J295" s="146"/>
      <c r="K295" s="125"/>
      <c r="L295" s="6"/>
      <c r="M295" s="6"/>
      <c r="N295" s="6"/>
      <c r="O295" s="51"/>
      <c r="P295" s="51"/>
      <c r="Q295" s="51"/>
      <c r="R295" s="60"/>
      <c r="S295" s="52"/>
      <c r="T295" s="52"/>
      <c r="U295" s="52"/>
      <c r="V295" s="60"/>
      <c r="W295" s="38"/>
      <c r="X295" s="11"/>
      <c r="Y295" s="17"/>
      <c r="Z295" s="35"/>
      <c r="AA295" s="75"/>
      <c r="AB295" s="75"/>
      <c r="AC295" s="75"/>
      <c r="AD295" s="43"/>
      <c r="AE295" s="38"/>
      <c r="AF295" s="11"/>
      <c r="AG295" s="6"/>
      <c r="AH295" s="6"/>
      <c r="AI295" s="6"/>
      <c r="AJ295" s="43"/>
      <c r="AK295" s="38"/>
      <c r="AL295" s="11"/>
      <c r="AM295" s="6"/>
      <c r="AN295" s="6"/>
      <c r="AO295" s="6"/>
      <c r="AP295" s="43"/>
    </row>
    <row r="296" spans="1:42" ht="27">
      <c r="A296" s="37">
        <v>286</v>
      </c>
      <c r="B296" s="139"/>
      <c r="C296" s="152" t="s">
        <v>469</v>
      </c>
      <c r="D296" s="33"/>
      <c r="E296" s="33"/>
      <c r="F296" s="33"/>
      <c r="G296" s="33"/>
      <c r="H296" s="77" t="s">
        <v>757</v>
      </c>
      <c r="I296" s="186" t="s">
        <v>1092</v>
      </c>
      <c r="J296" s="145" t="s">
        <v>731</v>
      </c>
      <c r="K296" s="125"/>
      <c r="L296" s="6">
        <v>25000</v>
      </c>
      <c r="M296" s="6">
        <v>1250</v>
      </c>
      <c r="N296" s="6">
        <v>26250</v>
      </c>
      <c r="O296" s="51"/>
      <c r="P296" s="51"/>
      <c r="Q296" s="51"/>
      <c r="R296" s="60"/>
      <c r="S296" s="52"/>
      <c r="T296" s="52"/>
      <c r="U296" s="52"/>
      <c r="V296" s="60"/>
      <c r="W296" s="38"/>
      <c r="X296" s="11"/>
      <c r="Y296" s="17"/>
      <c r="Z296" s="17"/>
      <c r="AA296" s="71"/>
      <c r="AB296" s="71"/>
      <c r="AC296" s="71"/>
      <c r="AD296" s="43"/>
      <c r="AE296" s="38"/>
      <c r="AF296" s="11"/>
      <c r="AG296" s="6"/>
      <c r="AH296" s="6"/>
      <c r="AI296" s="6"/>
      <c r="AJ296" s="43"/>
      <c r="AK296" s="38"/>
      <c r="AL296" s="11"/>
      <c r="AM296" s="6"/>
      <c r="AN296" s="6"/>
      <c r="AO296" s="6"/>
      <c r="AP296" s="43"/>
    </row>
    <row r="297" spans="1:42">
      <c r="A297" s="37">
        <v>287</v>
      </c>
      <c r="B297" s="139"/>
      <c r="C297" s="152" t="s">
        <v>1631</v>
      </c>
      <c r="D297" s="33"/>
      <c r="E297" s="33"/>
      <c r="F297" s="33"/>
      <c r="G297" s="33"/>
      <c r="H297" s="141" t="s">
        <v>1412</v>
      </c>
      <c r="I297" s="190" t="s">
        <v>1109</v>
      </c>
      <c r="J297" s="145" t="s">
        <v>1411</v>
      </c>
      <c r="K297" s="125"/>
      <c r="L297" s="6"/>
      <c r="M297" s="6"/>
      <c r="N297" s="6"/>
      <c r="O297" s="51"/>
      <c r="P297" s="51"/>
      <c r="Q297" s="51"/>
      <c r="R297" s="60"/>
      <c r="S297" s="55"/>
      <c r="T297" s="55"/>
      <c r="U297" s="55"/>
      <c r="V297" s="60"/>
      <c r="W297" s="38"/>
      <c r="X297" s="11"/>
      <c r="Y297" s="17"/>
      <c r="Z297" s="17"/>
      <c r="AA297" s="73"/>
      <c r="AB297" s="73"/>
      <c r="AC297" s="73"/>
      <c r="AD297" s="43"/>
      <c r="AE297" s="38"/>
      <c r="AF297" s="11"/>
      <c r="AG297" s="84"/>
      <c r="AH297" s="84"/>
      <c r="AI297" s="84"/>
      <c r="AJ297" s="43"/>
      <c r="AK297" s="38"/>
      <c r="AL297" s="11"/>
      <c r="AM297" s="6"/>
      <c r="AN297" s="6"/>
      <c r="AO297" s="6"/>
      <c r="AP297" s="43"/>
    </row>
    <row r="298" spans="1:42" ht="24">
      <c r="A298" s="37">
        <v>289</v>
      </c>
      <c r="B298" s="139"/>
      <c r="C298" s="152" t="s">
        <v>1152</v>
      </c>
      <c r="D298" s="33"/>
      <c r="E298" s="33"/>
      <c r="F298" s="33"/>
      <c r="G298" s="33"/>
      <c r="H298" s="145" t="s">
        <v>1153</v>
      </c>
      <c r="I298" s="191" t="s">
        <v>1154</v>
      </c>
      <c r="J298" s="146"/>
      <c r="K298" s="125"/>
      <c r="L298" s="6"/>
      <c r="M298" s="6"/>
      <c r="N298" s="6"/>
      <c r="O298" s="51"/>
      <c r="P298" s="51"/>
      <c r="Q298" s="51"/>
      <c r="R298" s="60"/>
      <c r="S298" s="55"/>
      <c r="T298" s="55"/>
      <c r="U298" s="55"/>
      <c r="V298" s="60"/>
      <c r="W298" s="38"/>
      <c r="X298" s="11"/>
      <c r="Y298" s="17"/>
      <c r="Z298" s="17"/>
      <c r="AA298" s="73"/>
      <c r="AB298" s="73"/>
      <c r="AC298" s="73"/>
      <c r="AD298" s="43"/>
      <c r="AE298" s="38"/>
      <c r="AF298" s="11"/>
      <c r="AG298" s="84"/>
      <c r="AH298" s="84"/>
      <c r="AI298" s="84"/>
      <c r="AJ298" s="43"/>
      <c r="AK298" s="38"/>
      <c r="AL298" s="11"/>
      <c r="AM298" s="6"/>
      <c r="AN298" s="6"/>
      <c r="AO298" s="6"/>
      <c r="AP298" s="43"/>
    </row>
    <row r="299" spans="1:42">
      <c r="A299" s="37">
        <v>290</v>
      </c>
      <c r="B299" s="139"/>
      <c r="C299" s="152" t="s">
        <v>1458</v>
      </c>
      <c r="D299" s="33"/>
      <c r="E299" s="33"/>
      <c r="F299" s="33"/>
      <c r="G299" s="33"/>
      <c r="H299" s="77" t="s">
        <v>1459</v>
      </c>
      <c r="I299" s="186"/>
      <c r="J299" s="146"/>
      <c r="K299" s="125"/>
      <c r="L299" s="6">
        <v>22860</v>
      </c>
      <c r="M299" s="6">
        <v>1143</v>
      </c>
      <c r="N299" s="6">
        <v>24003</v>
      </c>
      <c r="O299" s="51"/>
      <c r="P299" s="51"/>
      <c r="Q299" s="51"/>
      <c r="R299" s="60"/>
      <c r="S299" s="52"/>
      <c r="T299" s="52"/>
      <c r="U299" s="52"/>
      <c r="V299" s="60"/>
      <c r="W299" s="38"/>
      <c r="X299" s="11"/>
      <c r="Y299" s="17"/>
      <c r="Z299" s="17"/>
      <c r="AA299" s="75"/>
      <c r="AB299" s="75"/>
      <c r="AC299" s="75"/>
      <c r="AD299" s="43"/>
      <c r="AE299" s="38"/>
      <c r="AF299" s="11"/>
      <c r="AG299" s="6"/>
      <c r="AH299" s="6"/>
      <c r="AI299" s="6"/>
      <c r="AJ299" s="43"/>
      <c r="AK299" s="38"/>
      <c r="AL299" s="11"/>
      <c r="AM299" s="6"/>
      <c r="AN299" s="6"/>
      <c r="AO299" s="6"/>
      <c r="AP299" s="43"/>
    </row>
    <row r="300" spans="1:42" s="108" customFormat="1">
      <c r="A300" s="37">
        <v>291</v>
      </c>
      <c r="B300" s="139"/>
      <c r="C300" s="152" t="s">
        <v>1251</v>
      </c>
      <c r="D300" s="33"/>
      <c r="E300" s="33"/>
      <c r="F300" s="33"/>
      <c r="G300" s="33"/>
      <c r="H300" s="77" t="s">
        <v>1252</v>
      </c>
      <c r="I300" s="186" t="s">
        <v>1087</v>
      </c>
      <c r="J300" s="148" t="s">
        <v>1253</v>
      </c>
      <c r="K300" s="125"/>
      <c r="L300" s="6"/>
      <c r="M300" s="6"/>
      <c r="N300" s="6"/>
      <c r="O300" s="105"/>
      <c r="P300" s="105"/>
      <c r="Q300" s="105"/>
      <c r="R300" s="106"/>
      <c r="S300" s="105"/>
      <c r="T300" s="105"/>
      <c r="U300" s="105"/>
      <c r="V300" s="106"/>
      <c r="W300" s="81"/>
      <c r="X300" s="82"/>
      <c r="Y300" s="104"/>
      <c r="Z300" s="104"/>
      <c r="AA300" s="105"/>
      <c r="AB300" s="105"/>
      <c r="AC300" s="105"/>
      <c r="AD300" s="107"/>
      <c r="AE300" s="81"/>
      <c r="AF300" s="82"/>
      <c r="AG300" s="105"/>
      <c r="AH300" s="105"/>
      <c r="AI300" s="105"/>
      <c r="AJ300" s="107"/>
      <c r="AK300" s="81"/>
      <c r="AL300" s="82"/>
      <c r="AM300" s="105"/>
      <c r="AN300" s="105"/>
      <c r="AO300" s="105"/>
      <c r="AP300" s="107"/>
    </row>
    <row r="301" spans="1:42">
      <c r="A301" s="37">
        <v>292</v>
      </c>
      <c r="B301" s="139"/>
      <c r="C301" s="152" t="s">
        <v>856</v>
      </c>
      <c r="D301" s="33"/>
      <c r="E301" s="33"/>
      <c r="F301" s="33"/>
      <c r="G301" s="33"/>
      <c r="H301" s="77" t="s">
        <v>1496</v>
      </c>
      <c r="I301" s="186" t="s">
        <v>1135</v>
      </c>
      <c r="J301" s="145" t="s">
        <v>2023</v>
      </c>
      <c r="K301" s="125"/>
      <c r="L301" s="6">
        <v>33085</v>
      </c>
      <c r="M301" s="6">
        <v>1654.25</v>
      </c>
      <c r="N301" s="5"/>
      <c r="O301" s="51"/>
      <c r="P301" s="51"/>
      <c r="Q301" s="51"/>
      <c r="R301" s="60"/>
      <c r="S301" s="51"/>
      <c r="T301" s="51"/>
      <c r="U301" s="51"/>
      <c r="V301" s="60"/>
      <c r="W301" s="38"/>
      <c r="X301" s="11"/>
      <c r="Y301" s="17"/>
      <c r="Z301" s="17"/>
      <c r="AA301" s="70"/>
      <c r="AB301" s="70"/>
      <c r="AC301" s="70"/>
      <c r="AD301" s="43"/>
      <c r="AE301" s="38"/>
      <c r="AF301" s="11"/>
      <c r="AG301" s="6"/>
      <c r="AH301" s="6"/>
      <c r="AI301" s="6"/>
      <c r="AJ301" s="43"/>
      <c r="AK301" s="38"/>
      <c r="AL301" s="11"/>
      <c r="AM301" s="6"/>
      <c r="AN301" s="6"/>
      <c r="AO301" s="6"/>
      <c r="AP301" s="43"/>
    </row>
    <row r="302" spans="1:42">
      <c r="A302" s="37">
        <v>293</v>
      </c>
      <c r="B302" s="139"/>
      <c r="C302" s="152" t="s">
        <v>1744</v>
      </c>
      <c r="D302" s="33"/>
      <c r="E302" s="33"/>
      <c r="F302" s="33"/>
      <c r="G302" s="33"/>
      <c r="H302" s="77" t="s">
        <v>1745</v>
      </c>
      <c r="I302" s="186" t="s">
        <v>1185</v>
      </c>
      <c r="J302" s="146" t="s">
        <v>1184</v>
      </c>
      <c r="K302" s="125"/>
      <c r="L302" s="6">
        <v>240</v>
      </c>
      <c r="M302" s="6">
        <v>12</v>
      </c>
      <c r="N302" s="6">
        <v>252</v>
      </c>
      <c r="O302" s="51"/>
      <c r="P302" s="51"/>
      <c r="Q302" s="51"/>
      <c r="R302" s="60"/>
      <c r="S302" s="51"/>
      <c r="T302" s="51"/>
      <c r="U302" s="51"/>
      <c r="V302" s="60"/>
      <c r="W302" s="38"/>
      <c r="X302" s="11"/>
      <c r="Y302" s="17"/>
      <c r="Z302" s="17"/>
      <c r="AA302" s="70"/>
      <c r="AB302" s="70"/>
      <c r="AC302" s="70"/>
      <c r="AD302" s="43"/>
      <c r="AE302" s="38"/>
      <c r="AF302" s="11"/>
      <c r="AG302" s="6"/>
      <c r="AH302" s="6"/>
      <c r="AI302" s="6"/>
      <c r="AJ302" s="43"/>
      <c r="AK302" s="38"/>
      <c r="AL302" s="11"/>
      <c r="AM302" s="6"/>
      <c r="AN302" s="6"/>
      <c r="AO302" s="6"/>
      <c r="AP302" s="43"/>
    </row>
    <row r="303" spans="1:42">
      <c r="A303" s="37">
        <v>294</v>
      </c>
      <c r="B303" s="139"/>
      <c r="C303" s="152" t="s">
        <v>934</v>
      </c>
      <c r="D303" s="33"/>
      <c r="E303" s="33"/>
      <c r="F303" s="33"/>
      <c r="G303" s="33"/>
      <c r="H303" s="77" t="s">
        <v>935</v>
      </c>
      <c r="I303" s="186" t="s">
        <v>1001</v>
      </c>
      <c r="J303" s="146"/>
      <c r="K303" s="125"/>
      <c r="L303" s="6"/>
      <c r="M303" s="6"/>
      <c r="N303" s="6"/>
      <c r="O303" s="51"/>
      <c r="P303" s="51"/>
      <c r="Q303" s="51"/>
      <c r="R303" s="60"/>
      <c r="S303" s="51"/>
      <c r="T303" s="51"/>
      <c r="U303" s="51"/>
      <c r="V303" s="60"/>
      <c r="W303" s="38"/>
      <c r="X303" s="11"/>
      <c r="Y303" s="17"/>
      <c r="Z303" s="17"/>
      <c r="AA303" s="70"/>
      <c r="AB303" s="70"/>
      <c r="AC303" s="70"/>
      <c r="AD303" s="43"/>
      <c r="AE303" s="38"/>
      <c r="AF303" s="11"/>
      <c r="AG303" s="6"/>
      <c r="AH303" s="6"/>
      <c r="AI303" s="6"/>
      <c r="AJ303" s="43"/>
      <c r="AK303" s="38"/>
      <c r="AL303" s="11"/>
      <c r="AM303" s="6"/>
      <c r="AN303" s="6"/>
      <c r="AO303" s="6"/>
      <c r="AP303" s="43"/>
    </row>
    <row r="304" spans="1:42">
      <c r="A304" s="37">
        <v>295</v>
      </c>
      <c r="B304" s="139"/>
      <c r="C304" s="152" t="s">
        <v>835</v>
      </c>
      <c r="D304" s="33"/>
      <c r="E304" s="33"/>
      <c r="F304" s="33"/>
      <c r="G304" s="33"/>
      <c r="H304" s="77" t="s">
        <v>1991</v>
      </c>
      <c r="I304" s="186" t="s">
        <v>1052</v>
      </c>
      <c r="J304" s="146"/>
      <c r="K304" s="125"/>
      <c r="L304" s="6"/>
      <c r="M304" s="6"/>
      <c r="N304" s="6"/>
      <c r="O304" s="51"/>
      <c r="P304" s="51"/>
      <c r="Q304" s="51"/>
      <c r="R304" s="60"/>
      <c r="S304" s="51"/>
      <c r="T304" s="51"/>
      <c r="U304" s="51"/>
      <c r="V304" s="60"/>
      <c r="W304" s="38"/>
      <c r="X304" s="11"/>
      <c r="Y304" s="17"/>
      <c r="Z304" s="17"/>
      <c r="AA304" s="70"/>
      <c r="AB304" s="70"/>
      <c r="AC304" s="70"/>
      <c r="AD304" s="43"/>
      <c r="AE304" s="38"/>
      <c r="AF304" s="11"/>
      <c r="AG304" s="6"/>
      <c r="AH304" s="6"/>
      <c r="AI304" s="6"/>
      <c r="AJ304" s="43"/>
      <c r="AK304" s="38"/>
      <c r="AL304" s="11"/>
      <c r="AM304" s="6"/>
      <c r="AN304" s="6"/>
      <c r="AO304" s="6"/>
      <c r="AP304" s="43"/>
    </row>
    <row r="305" spans="1:42">
      <c r="A305" s="37">
        <v>296</v>
      </c>
      <c r="B305" s="139"/>
      <c r="C305" s="152" t="s">
        <v>1990</v>
      </c>
      <c r="D305" s="33"/>
      <c r="E305" s="33"/>
      <c r="F305" s="33"/>
      <c r="G305" s="33"/>
      <c r="H305" s="77" t="s">
        <v>1992</v>
      </c>
      <c r="I305" s="186" t="s">
        <v>1001</v>
      </c>
      <c r="J305" s="146"/>
      <c r="K305" s="125"/>
      <c r="L305" s="6">
        <v>20360</v>
      </c>
      <c r="M305" s="6">
        <v>1018</v>
      </c>
      <c r="N305" s="5"/>
      <c r="O305" s="85"/>
      <c r="P305" s="85"/>
      <c r="Q305" s="85"/>
      <c r="R305" s="60"/>
      <c r="S305" s="64"/>
      <c r="T305" s="80"/>
      <c r="U305" s="80"/>
      <c r="V305" s="60"/>
      <c r="W305" s="38"/>
      <c r="X305" s="11"/>
      <c r="Y305" s="17"/>
      <c r="Z305" s="17"/>
      <c r="AA305" s="79"/>
      <c r="AB305" s="78"/>
      <c r="AC305" s="78"/>
      <c r="AD305" s="43"/>
      <c r="AE305" s="39"/>
      <c r="AF305" s="11"/>
      <c r="AG305" s="6"/>
      <c r="AH305" s="6"/>
      <c r="AI305" s="6"/>
      <c r="AJ305" s="43"/>
      <c r="AK305" s="39"/>
      <c r="AL305" s="11"/>
      <c r="AM305" s="6"/>
      <c r="AN305" s="6"/>
      <c r="AO305" s="6"/>
      <c r="AP305" s="43"/>
    </row>
    <row r="306" spans="1:42">
      <c r="A306" s="37">
        <v>297</v>
      </c>
      <c r="B306" s="139"/>
      <c r="C306" s="152" t="s">
        <v>2043</v>
      </c>
      <c r="D306" s="33"/>
      <c r="E306" s="33"/>
      <c r="F306" s="33"/>
      <c r="G306" s="33"/>
      <c r="H306" s="77" t="s">
        <v>1061</v>
      </c>
      <c r="I306" s="186" t="s">
        <v>1059</v>
      </c>
      <c r="J306" s="146" t="s">
        <v>924</v>
      </c>
      <c r="K306" s="125"/>
      <c r="L306" s="6"/>
      <c r="M306" s="6"/>
      <c r="N306" s="5"/>
      <c r="O306" s="85"/>
      <c r="P306" s="85"/>
      <c r="Q306" s="85"/>
      <c r="R306" s="60"/>
      <c r="S306" s="64"/>
      <c r="T306" s="80"/>
      <c r="U306" s="80"/>
      <c r="V306" s="60"/>
      <c r="W306" s="38"/>
      <c r="X306" s="11"/>
      <c r="Y306" s="17"/>
      <c r="Z306" s="17"/>
      <c r="AA306" s="79"/>
      <c r="AB306" s="78"/>
      <c r="AC306" s="78"/>
      <c r="AD306" s="43"/>
      <c r="AE306" s="39"/>
      <c r="AF306" s="11"/>
      <c r="AG306" s="6"/>
      <c r="AH306" s="6"/>
      <c r="AI306" s="6"/>
      <c r="AJ306" s="43"/>
      <c r="AK306" s="39"/>
      <c r="AL306" s="11"/>
      <c r="AM306" s="6"/>
      <c r="AN306" s="6"/>
      <c r="AO306" s="6"/>
      <c r="AP306" s="43"/>
    </row>
    <row r="307" spans="1:42" ht="27">
      <c r="A307" s="37">
        <v>298</v>
      </c>
      <c r="B307" s="139"/>
      <c r="C307" s="152" t="s">
        <v>2020</v>
      </c>
      <c r="D307" s="33"/>
      <c r="E307" s="33"/>
      <c r="F307" s="33"/>
      <c r="G307" s="33"/>
      <c r="H307" s="77" t="s">
        <v>1579</v>
      </c>
      <c r="I307" s="186" t="s">
        <v>1336</v>
      </c>
      <c r="J307" s="146" t="s">
        <v>2021</v>
      </c>
      <c r="K307" s="125"/>
      <c r="L307" s="6"/>
      <c r="M307" s="6"/>
      <c r="N307" s="5"/>
      <c r="O307" s="85"/>
      <c r="P307" s="85"/>
      <c r="Q307" s="85"/>
      <c r="R307" s="60"/>
      <c r="S307" s="64"/>
      <c r="T307" s="80"/>
      <c r="U307" s="80"/>
      <c r="V307" s="60"/>
      <c r="W307" s="38"/>
      <c r="X307" s="11"/>
      <c r="Y307" s="17"/>
      <c r="Z307" s="17"/>
      <c r="AA307" s="79"/>
      <c r="AB307" s="78"/>
      <c r="AC307" s="78"/>
      <c r="AD307" s="43"/>
      <c r="AE307" s="39"/>
      <c r="AF307" s="11"/>
      <c r="AG307" s="6"/>
      <c r="AH307" s="6"/>
      <c r="AI307" s="6"/>
      <c r="AJ307" s="43"/>
      <c r="AK307" s="39"/>
      <c r="AL307" s="11"/>
      <c r="AM307" s="6"/>
      <c r="AN307" s="6"/>
      <c r="AO307" s="6"/>
      <c r="AP307" s="43"/>
    </row>
    <row r="308" spans="1:42">
      <c r="A308" s="37">
        <v>299</v>
      </c>
      <c r="B308" s="139"/>
      <c r="C308" s="152" t="s">
        <v>1166</v>
      </c>
      <c r="D308" s="33"/>
      <c r="E308" s="33"/>
      <c r="F308" s="33"/>
      <c r="G308" s="33"/>
      <c r="H308" s="77" t="s">
        <v>955</v>
      </c>
      <c r="I308" s="186" t="s">
        <v>1101</v>
      </c>
      <c r="J308" s="146" t="s">
        <v>79</v>
      </c>
      <c r="K308" s="125"/>
      <c r="L308" s="6"/>
      <c r="M308" s="6"/>
      <c r="N308" s="5"/>
      <c r="O308" s="85"/>
      <c r="P308" s="85"/>
      <c r="Q308" s="85"/>
      <c r="R308" s="60"/>
      <c r="S308" s="64"/>
      <c r="T308" s="80"/>
      <c r="U308" s="80"/>
      <c r="V308" s="60"/>
      <c r="W308" s="38"/>
      <c r="X308" s="11"/>
      <c r="Y308" s="17"/>
      <c r="Z308" s="17"/>
      <c r="AA308" s="79"/>
      <c r="AB308" s="78"/>
      <c r="AC308" s="78"/>
      <c r="AD308" s="43"/>
      <c r="AE308" s="39"/>
      <c r="AF308" s="11"/>
      <c r="AG308" s="6"/>
      <c r="AH308" s="6"/>
      <c r="AI308" s="6"/>
      <c r="AJ308" s="43"/>
      <c r="AK308" s="39"/>
      <c r="AL308" s="11"/>
      <c r="AM308" s="6"/>
      <c r="AN308" s="6"/>
      <c r="AO308" s="6"/>
      <c r="AP308" s="43"/>
    </row>
    <row r="309" spans="1:42">
      <c r="A309" s="37">
        <v>300</v>
      </c>
      <c r="B309" s="139"/>
      <c r="C309" s="152" t="s">
        <v>2068</v>
      </c>
      <c r="D309" s="33"/>
      <c r="E309" s="33"/>
      <c r="F309" s="33"/>
      <c r="G309" s="33"/>
      <c r="H309" s="77" t="s">
        <v>2069</v>
      </c>
      <c r="I309" s="186" t="s">
        <v>1101</v>
      </c>
      <c r="J309" s="146"/>
      <c r="K309" s="125"/>
      <c r="L309" s="6">
        <v>540</v>
      </c>
      <c r="M309" s="6">
        <v>27</v>
      </c>
      <c r="N309" s="6">
        <v>567</v>
      </c>
      <c r="O309" s="51"/>
      <c r="P309" s="51"/>
      <c r="Q309" s="51"/>
      <c r="R309" s="60"/>
      <c r="S309" s="52"/>
      <c r="T309" s="56"/>
      <c r="U309" s="56"/>
      <c r="V309" s="60"/>
      <c r="W309" s="38"/>
      <c r="X309" s="11"/>
      <c r="Y309" s="17"/>
      <c r="Z309" s="17"/>
      <c r="AA309" s="76"/>
      <c r="AB309" s="76"/>
      <c r="AC309" s="76"/>
      <c r="AD309" s="43"/>
      <c r="AE309" s="38"/>
      <c r="AF309" s="11"/>
      <c r="AG309" s="6"/>
      <c r="AH309" s="6"/>
      <c r="AI309" s="6"/>
      <c r="AJ309" s="43"/>
      <c r="AK309" s="38"/>
      <c r="AL309" s="11"/>
      <c r="AM309" s="6"/>
      <c r="AN309" s="6"/>
      <c r="AO309" s="6"/>
      <c r="AP309" s="43"/>
    </row>
    <row r="310" spans="1:42">
      <c r="A310" s="37">
        <v>301</v>
      </c>
      <c r="B310" s="139"/>
      <c r="C310" s="152" t="s">
        <v>1462</v>
      </c>
      <c r="D310" s="33"/>
      <c r="E310" s="33"/>
      <c r="F310" s="33"/>
      <c r="G310" s="33"/>
      <c r="H310" s="77" t="s">
        <v>1463</v>
      </c>
      <c r="I310" s="186" t="s">
        <v>1101</v>
      </c>
      <c r="J310" s="146" t="s">
        <v>699</v>
      </c>
      <c r="K310" s="125"/>
      <c r="L310" s="6"/>
      <c r="M310" s="6"/>
      <c r="N310" s="6"/>
      <c r="O310" s="51"/>
      <c r="P310" s="51"/>
      <c r="Q310" s="51"/>
      <c r="R310" s="60"/>
      <c r="S310" s="52"/>
      <c r="T310" s="56"/>
      <c r="U310" s="56"/>
      <c r="V310" s="60"/>
      <c r="W310" s="38"/>
      <c r="X310" s="11"/>
      <c r="Y310" s="17"/>
      <c r="Z310" s="17"/>
      <c r="AA310" s="76"/>
      <c r="AB310" s="76"/>
      <c r="AC310" s="76"/>
      <c r="AD310" s="43"/>
      <c r="AE310" s="38"/>
      <c r="AF310" s="11"/>
      <c r="AG310" s="6"/>
      <c r="AH310" s="6"/>
      <c r="AI310" s="6"/>
      <c r="AJ310" s="43"/>
      <c r="AK310" s="38"/>
      <c r="AL310" s="11"/>
      <c r="AM310" s="6"/>
      <c r="AN310" s="6"/>
      <c r="AO310" s="6"/>
      <c r="AP310" s="43"/>
    </row>
    <row r="311" spans="1:42">
      <c r="A311" s="37">
        <v>302</v>
      </c>
      <c r="B311" s="139"/>
      <c r="C311" s="152" t="s">
        <v>461</v>
      </c>
      <c r="D311" s="33"/>
      <c r="E311" s="33"/>
      <c r="F311" s="33"/>
      <c r="G311" s="33"/>
      <c r="H311" s="77" t="s">
        <v>862</v>
      </c>
      <c r="I311" s="186" t="s">
        <v>1000</v>
      </c>
      <c r="J311" s="146"/>
      <c r="K311" s="125"/>
      <c r="L311" s="6">
        <v>600</v>
      </c>
      <c r="M311" s="6">
        <v>30</v>
      </c>
      <c r="N311" s="6">
        <v>630</v>
      </c>
      <c r="O311" s="51"/>
      <c r="P311" s="51"/>
      <c r="Q311" s="51"/>
      <c r="R311" s="60"/>
      <c r="S311" s="52"/>
      <c r="T311" s="56"/>
      <c r="U311" s="56"/>
      <c r="V311" s="60"/>
      <c r="W311" s="38"/>
      <c r="X311" s="11"/>
      <c r="Y311" s="17"/>
      <c r="Z311" s="17"/>
      <c r="AA311" s="76"/>
      <c r="AB311" s="76"/>
      <c r="AC311" s="76"/>
      <c r="AD311" s="43"/>
      <c r="AE311" s="38"/>
      <c r="AF311" s="11"/>
      <c r="AG311" s="6"/>
      <c r="AH311" s="6"/>
      <c r="AI311" s="6"/>
      <c r="AJ311" s="43"/>
      <c r="AK311" s="38"/>
      <c r="AL311" s="11"/>
      <c r="AM311" s="6"/>
      <c r="AN311" s="6"/>
      <c r="AO311" s="6"/>
      <c r="AP311" s="43"/>
    </row>
    <row r="312" spans="1:42">
      <c r="A312" s="37">
        <v>303</v>
      </c>
      <c r="B312" s="139"/>
      <c r="C312" s="152" t="s">
        <v>819</v>
      </c>
      <c r="D312" s="33"/>
      <c r="E312" s="33"/>
      <c r="F312" s="33"/>
      <c r="G312" s="33"/>
      <c r="H312" s="77" t="s">
        <v>863</v>
      </c>
      <c r="I312" s="186"/>
      <c r="J312" s="146"/>
      <c r="K312" s="125"/>
      <c r="L312" s="6"/>
      <c r="M312" s="6"/>
      <c r="N312" s="6"/>
      <c r="O312" s="51"/>
      <c r="P312" s="51"/>
      <c r="Q312" s="51"/>
      <c r="R312" s="60"/>
      <c r="S312" s="52"/>
      <c r="T312" s="56"/>
      <c r="U312" s="56"/>
      <c r="V312" s="60"/>
      <c r="W312" s="38"/>
      <c r="X312" s="11"/>
      <c r="Y312" s="17"/>
      <c r="Z312" s="17"/>
      <c r="AA312" s="76"/>
      <c r="AB312" s="76"/>
      <c r="AC312" s="76"/>
      <c r="AD312" s="43"/>
      <c r="AE312" s="38"/>
      <c r="AF312" s="11"/>
      <c r="AG312" s="6"/>
      <c r="AH312" s="6"/>
      <c r="AI312" s="6"/>
      <c r="AJ312" s="43"/>
      <c r="AK312" s="38"/>
      <c r="AL312" s="11"/>
      <c r="AM312" s="6"/>
      <c r="AN312" s="6"/>
      <c r="AO312" s="6"/>
      <c r="AP312" s="43"/>
    </row>
    <row r="313" spans="1:42" ht="24">
      <c r="A313" s="37">
        <v>304</v>
      </c>
      <c r="B313" s="139"/>
      <c r="C313" s="152" t="s">
        <v>2039</v>
      </c>
      <c r="D313" s="33"/>
      <c r="E313" s="33"/>
      <c r="F313" s="33"/>
      <c r="G313" s="33"/>
      <c r="H313" s="145" t="s">
        <v>2057</v>
      </c>
      <c r="I313" s="186" t="s">
        <v>1139</v>
      </c>
      <c r="J313" s="146" t="s">
        <v>759</v>
      </c>
      <c r="K313" s="125"/>
      <c r="L313" s="6"/>
      <c r="M313" s="6"/>
      <c r="N313" s="6"/>
      <c r="O313" s="51"/>
      <c r="P313" s="51"/>
      <c r="Q313" s="51"/>
      <c r="R313" s="60"/>
      <c r="S313" s="51"/>
      <c r="T313" s="51"/>
      <c r="U313" s="51"/>
      <c r="V313" s="60"/>
      <c r="W313" s="81"/>
      <c r="X313" s="11"/>
      <c r="Y313" s="17"/>
      <c r="Z313" s="17"/>
      <c r="AA313" s="70"/>
      <c r="AB313" s="70"/>
      <c r="AC313" s="70"/>
      <c r="AD313" s="43"/>
      <c r="AE313" s="38"/>
      <c r="AF313" s="11"/>
      <c r="AG313" s="6"/>
      <c r="AH313" s="6"/>
      <c r="AI313" s="6"/>
      <c r="AJ313" s="43"/>
      <c r="AK313" s="38"/>
      <c r="AL313" s="11"/>
      <c r="AM313" s="6"/>
      <c r="AN313" s="6"/>
      <c r="AO313" s="6"/>
      <c r="AP313" s="43"/>
    </row>
    <row r="314" spans="1:42" ht="27">
      <c r="A314" s="37">
        <v>305</v>
      </c>
      <c r="B314" s="139"/>
      <c r="C314" s="152" t="s">
        <v>1886</v>
      </c>
      <c r="D314" s="33"/>
      <c r="E314" s="33"/>
      <c r="F314" s="33"/>
      <c r="G314" s="33"/>
      <c r="H314" s="77" t="s">
        <v>1921</v>
      </c>
      <c r="I314" s="186" t="s">
        <v>1139</v>
      </c>
      <c r="J314" s="146" t="s">
        <v>1419</v>
      </c>
      <c r="K314" s="125"/>
      <c r="L314" s="6"/>
      <c r="M314" s="6"/>
      <c r="N314" s="6"/>
      <c r="O314" s="51"/>
      <c r="P314" s="51"/>
      <c r="Q314" s="51"/>
      <c r="R314" s="60"/>
      <c r="S314" s="51"/>
      <c r="T314" s="51"/>
      <c r="U314" s="51"/>
      <c r="V314" s="60"/>
      <c r="W314" s="81"/>
      <c r="X314" s="11"/>
      <c r="Y314" s="17"/>
      <c r="Z314" s="17"/>
      <c r="AA314" s="70"/>
      <c r="AB314" s="70"/>
      <c r="AC314" s="70"/>
      <c r="AD314" s="43"/>
      <c r="AE314" s="38"/>
      <c r="AF314" s="11"/>
      <c r="AG314" s="6"/>
      <c r="AH314" s="6"/>
      <c r="AI314" s="6"/>
      <c r="AJ314" s="43"/>
      <c r="AK314" s="38"/>
      <c r="AL314" s="11"/>
      <c r="AM314" s="6"/>
      <c r="AN314" s="6"/>
      <c r="AO314" s="6"/>
      <c r="AP314" s="43"/>
    </row>
    <row r="315" spans="1:42">
      <c r="A315" s="37">
        <v>306</v>
      </c>
      <c r="B315" s="139"/>
      <c r="C315" s="152" t="s">
        <v>1390</v>
      </c>
      <c r="D315" s="33"/>
      <c r="E315" s="33"/>
      <c r="F315" s="33"/>
      <c r="G315" s="33"/>
      <c r="H315" s="77" t="s">
        <v>1588</v>
      </c>
      <c r="I315" s="186" t="s">
        <v>1403</v>
      </c>
      <c r="J315" s="146" t="s">
        <v>1402</v>
      </c>
      <c r="K315" s="125"/>
      <c r="L315" s="6"/>
      <c r="M315" s="6"/>
      <c r="N315" s="6"/>
      <c r="O315" s="51"/>
      <c r="P315" s="51"/>
      <c r="Q315" s="51"/>
      <c r="R315" s="60"/>
      <c r="S315" s="51"/>
      <c r="T315" s="51"/>
      <c r="U315" s="51"/>
      <c r="V315" s="60"/>
      <c r="W315" s="81"/>
      <c r="X315" s="11"/>
      <c r="Y315" s="17"/>
      <c r="Z315" s="17"/>
      <c r="AA315" s="70"/>
      <c r="AB315" s="70"/>
      <c r="AC315" s="70"/>
      <c r="AD315" s="43"/>
      <c r="AE315" s="38"/>
      <c r="AF315" s="11"/>
      <c r="AG315" s="6"/>
      <c r="AH315" s="6"/>
      <c r="AI315" s="6"/>
      <c r="AJ315" s="43"/>
      <c r="AK315" s="38"/>
      <c r="AL315" s="11"/>
      <c r="AM315" s="6"/>
      <c r="AN315" s="6"/>
      <c r="AO315" s="6"/>
      <c r="AP315" s="43"/>
    </row>
    <row r="316" spans="1:42">
      <c r="A316" s="37">
        <v>307</v>
      </c>
      <c r="B316" s="139"/>
      <c r="C316" s="152" t="s">
        <v>1935</v>
      </c>
      <c r="D316" s="33"/>
      <c r="E316" s="33"/>
      <c r="F316" s="33"/>
      <c r="G316" s="33"/>
      <c r="H316" s="145" t="s">
        <v>1532</v>
      </c>
      <c r="I316" s="186" t="s">
        <v>1139</v>
      </c>
      <c r="J316" s="146" t="s">
        <v>759</v>
      </c>
      <c r="K316" s="125"/>
      <c r="L316" s="6">
        <v>22905</v>
      </c>
      <c r="M316" s="6">
        <v>1145.25</v>
      </c>
      <c r="N316" s="6">
        <v>24050.25</v>
      </c>
      <c r="O316" s="51"/>
      <c r="P316" s="51"/>
      <c r="Q316" s="51"/>
      <c r="R316" s="60"/>
      <c r="S316" s="52"/>
      <c r="T316" s="52"/>
      <c r="U316" s="52"/>
      <c r="V316" s="60"/>
      <c r="W316" s="38"/>
      <c r="X316" s="11"/>
      <c r="Y316" s="17"/>
      <c r="Z316" s="17"/>
      <c r="AA316" s="71"/>
      <c r="AB316" s="71"/>
      <c r="AC316" s="71"/>
      <c r="AD316" s="43"/>
      <c r="AE316" s="38"/>
      <c r="AF316" s="11"/>
      <c r="AG316" s="6"/>
      <c r="AH316" s="6"/>
      <c r="AI316" s="6"/>
      <c r="AJ316" s="43"/>
      <c r="AK316" s="38"/>
      <c r="AL316" s="11"/>
      <c r="AM316" s="6"/>
      <c r="AN316" s="6"/>
      <c r="AO316" s="6"/>
      <c r="AP316" s="43"/>
    </row>
    <row r="317" spans="1:42" ht="27">
      <c r="A317" s="37">
        <v>308</v>
      </c>
      <c r="B317" s="139"/>
      <c r="C317" s="152" t="s">
        <v>2031</v>
      </c>
      <c r="D317" s="33"/>
      <c r="E317" s="33"/>
      <c r="F317" s="33"/>
      <c r="G317" s="33"/>
      <c r="H317" s="77" t="s">
        <v>886</v>
      </c>
      <c r="I317" s="186" t="s">
        <v>1432</v>
      </c>
      <c r="J317" s="146" t="s">
        <v>803</v>
      </c>
      <c r="K317" s="125"/>
      <c r="L317" s="6"/>
      <c r="M317" s="6"/>
      <c r="N317" s="6"/>
      <c r="O317" s="51"/>
      <c r="P317" s="51"/>
      <c r="Q317" s="51"/>
      <c r="R317" s="60"/>
      <c r="S317" s="51"/>
      <c r="T317" s="51"/>
      <c r="U317" s="51"/>
      <c r="V317" s="60"/>
      <c r="W317" s="38"/>
      <c r="X317" s="11"/>
      <c r="Y317" s="17"/>
      <c r="Z317" s="17"/>
      <c r="AA317" s="70"/>
      <c r="AB317" s="70"/>
      <c r="AC317" s="70"/>
      <c r="AD317" s="43"/>
      <c r="AE317" s="38"/>
      <c r="AF317" s="11"/>
      <c r="AG317" s="6"/>
      <c r="AH317" s="6"/>
      <c r="AI317" s="6"/>
      <c r="AJ317" s="43"/>
      <c r="AK317" s="38"/>
      <c r="AL317" s="11"/>
      <c r="AM317" s="6"/>
      <c r="AN317" s="6"/>
      <c r="AO317" s="6"/>
      <c r="AP317" s="43"/>
    </row>
    <row r="318" spans="1:42">
      <c r="A318" s="37">
        <v>309</v>
      </c>
      <c r="B318" s="139"/>
      <c r="C318" s="152" t="s">
        <v>1487</v>
      </c>
      <c r="D318" s="33"/>
      <c r="E318" s="33"/>
      <c r="F318" s="33"/>
      <c r="G318" s="33"/>
      <c r="H318" s="77" t="s">
        <v>1488</v>
      </c>
      <c r="I318" s="186" t="s">
        <v>1174</v>
      </c>
      <c r="J318" s="146"/>
      <c r="K318" s="125"/>
      <c r="L318" s="6"/>
      <c r="M318" s="6"/>
      <c r="N318" s="6"/>
      <c r="O318" s="51"/>
      <c r="P318" s="51"/>
      <c r="Q318" s="51"/>
      <c r="R318" s="60"/>
      <c r="S318" s="51"/>
      <c r="T318" s="51"/>
      <c r="U318" s="51"/>
      <c r="V318" s="60"/>
      <c r="W318" s="38"/>
      <c r="X318" s="11"/>
      <c r="Y318" s="17"/>
      <c r="Z318" s="17"/>
      <c r="AA318" s="70"/>
      <c r="AB318" s="70"/>
      <c r="AC318" s="70"/>
      <c r="AD318" s="43"/>
      <c r="AE318" s="38"/>
      <c r="AF318" s="11"/>
      <c r="AG318" s="6"/>
      <c r="AH318" s="6"/>
      <c r="AI318" s="6"/>
      <c r="AJ318" s="43"/>
      <c r="AK318" s="38"/>
      <c r="AL318" s="11"/>
      <c r="AM318" s="6"/>
      <c r="AN318" s="6"/>
      <c r="AO318" s="6"/>
      <c r="AP318" s="43"/>
    </row>
    <row r="319" spans="1:42">
      <c r="A319" s="37">
        <v>310</v>
      </c>
      <c r="B319" s="139"/>
      <c r="C319" s="152" t="s">
        <v>802</v>
      </c>
      <c r="D319" s="33"/>
      <c r="E319" s="33"/>
      <c r="F319" s="33"/>
      <c r="G319" s="33"/>
      <c r="H319" s="77" t="s">
        <v>804</v>
      </c>
      <c r="I319" s="186" t="s">
        <v>1236</v>
      </c>
      <c r="J319" s="146" t="s">
        <v>803</v>
      </c>
      <c r="K319" s="125"/>
      <c r="L319" s="6"/>
      <c r="M319" s="6"/>
      <c r="N319" s="6"/>
      <c r="O319" s="51"/>
      <c r="P319" s="51"/>
      <c r="Q319" s="51"/>
      <c r="R319" s="60"/>
      <c r="S319" s="51"/>
      <c r="T319" s="51"/>
      <c r="U319" s="51"/>
      <c r="V319" s="60"/>
      <c r="W319" s="38"/>
      <c r="X319" s="11"/>
      <c r="Y319" s="17"/>
      <c r="Z319" s="17"/>
      <c r="AA319" s="70"/>
      <c r="AB319" s="70"/>
      <c r="AC319" s="70"/>
      <c r="AD319" s="43"/>
      <c r="AE319" s="38"/>
      <c r="AF319" s="11"/>
      <c r="AG319" s="6"/>
      <c r="AH319" s="6"/>
      <c r="AI319" s="6"/>
      <c r="AJ319" s="43"/>
      <c r="AK319" s="38"/>
      <c r="AL319" s="11"/>
      <c r="AM319" s="6"/>
      <c r="AN319" s="6"/>
      <c r="AO319" s="6"/>
      <c r="AP319" s="43"/>
    </row>
    <row r="320" spans="1:42">
      <c r="A320" s="37">
        <v>311</v>
      </c>
      <c r="B320" s="139"/>
      <c r="C320" s="152" t="s">
        <v>616</v>
      </c>
      <c r="D320" s="33"/>
      <c r="E320" s="33"/>
      <c r="F320" s="33"/>
      <c r="G320" s="33"/>
      <c r="H320" s="77" t="s">
        <v>1334</v>
      </c>
      <c r="I320" s="186" t="s">
        <v>1087</v>
      </c>
      <c r="J320" s="146" t="s">
        <v>1335</v>
      </c>
      <c r="K320" s="125"/>
      <c r="L320" s="6"/>
      <c r="M320" s="6"/>
      <c r="N320" s="6"/>
      <c r="O320" s="51"/>
      <c r="P320" s="51"/>
      <c r="Q320" s="51"/>
      <c r="R320" s="60"/>
      <c r="S320" s="51"/>
      <c r="T320" s="51"/>
      <c r="U320" s="51"/>
      <c r="V320" s="60"/>
      <c r="W320" s="38"/>
      <c r="X320" s="11"/>
      <c r="Y320" s="17"/>
      <c r="Z320" s="17"/>
      <c r="AA320" s="70"/>
      <c r="AB320" s="70"/>
      <c r="AC320" s="70"/>
      <c r="AD320" s="43"/>
      <c r="AE320" s="38"/>
      <c r="AF320" s="11"/>
      <c r="AG320" s="6"/>
      <c r="AH320" s="6"/>
      <c r="AI320" s="6"/>
      <c r="AJ320" s="43"/>
      <c r="AK320" s="38"/>
      <c r="AL320" s="11"/>
      <c r="AM320" s="6"/>
      <c r="AN320" s="6"/>
      <c r="AO320" s="6"/>
      <c r="AP320" s="43"/>
    </row>
    <row r="321" spans="1:42">
      <c r="A321" s="37">
        <v>312</v>
      </c>
      <c r="B321" s="139"/>
      <c r="C321" s="152" t="s">
        <v>1889</v>
      </c>
      <c r="D321" s="33"/>
      <c r="E321" s="33"/>
      <c r="F321" s="33"/>
      <c r="G321" s="33"/>
      <c r="H321" s="77" t="s">
        <v>922</v>
      </c>
      <c r="I321" s="186" t="s">
        <v>985</v>
      </c>
      <c r="J321" s="146"/>
      <c r="K321" s="125"/>
      <c r="L321" s="6"/>
      <c r="M321" s="6"/>
      <c r="N321" s="6"/>
      <c r="O321" s="51"/>
      <c r="P321" s="51"/>
      <c r="Q321" s="51"/>
      <c r="R321" s="60"/>
      <c r="S321" s="51"/>
      <c r="T321" s="51"/>
      <c r="U321" s="51"/>
      <c r="V321" s="60"/>
      <c r="W321" s="38"/>
      <c r="X321" s="11"/>
      <c r="Y321" s="17"/>
      <c r="Z321" s="17"/>
      <c r="AA321" s="70"/>
      <c r="AB321" s="70"/>
      <c r="AC321" s="70"/>
      <c r="AD321" s="43"/>
      <c r="AE321" s="38"/>
      <c r="AF321" s="11"/>
      <c r="AG321" s="6"/>
      <c r="AH321" s="6"/>
      <c r="AI321" s="6"/>
      <c r="AJ321" s="43"/>
      <c r="AK321" s="38"/>
      <c r="AL321" s="11"/>
      <c r="AM321" s="6"/>
      <c r="AN321" s="6"/>
      <c r="AO321" s="6"/>
      <c r="AP321" s="43"/>
    </row>
    <row r="322" spans="1:42">
      <c r="A322" s="37">
        <v>313</v>
      </c>
      <c r="B322" s="139"/>
      <c r="C322" s="168" t="s">
        <v>996</v>
      </c>
      <c r="D322" s="33"/>
      <c r="E322" s="33"/>
      <c r="F322" s="33"/>
      <c r="G322" s="33"/>
      <c r="H322" s="77" t="s">
        <v>997</v>
      </c>
      <c r="I322" s="186" t="s">
        <v>1228</v>
      </c>
      <c r="J322" s="146"/>
      <c r="K322" s="125"/>
      <c r="L322" s="6"/>
      <c r="M322" s="6"/>
      <c r="N322" s="6"/>
      <c r="O322" s="51"/>
      <c r="P322" s="51"/>
      <c r="Q322" s="51"/>
      <c r="R322" s="60"/>
      <c r="S322" s="51"/>
      <c r="T322" s="51"/>
      <c r="U322" s="51"/>
      <c r="V322" s="60"/>
      <c r="W322" s="38"/>
      <c r="X322" s="11"/>
      <c r="Y322" s="17"/>
      <c r="Z322" s="17"/>
      <c r="AA322" s="70"/>
      <c r="AB322" s="70"/>
      <c r="AC322" s="70"/>
      <c r="AD322" s="43"/>
      <c r="AE322" s="38"/>
      <c r="AF322" s="11"/>
      <c r="AG322" s="6"/>
      <c r="AH322" s="6"/>
      <c r="AI322" s="6"/>
      <c r="AJ322" s="43"/>
      <c r="AK322" s="38"/>
      <c r="AL322" s="11"/>
      <c r="AM322" s="6"/>
      <c r="AN322" s="6"/>
      <c r="AO322" s="6"/>
      <c r="AP322" s="43"/>
    </row>
    <row r="323" spans="1:42">
      <c r="A323" s="37">
        <v>314</v>
      </c>
      <c r="B323" s="139"/>
      <c r="C323" s="152" t="s">
        <v>1330</v>
      </c>
      <c r="D323" s="33"/>
      <c r="E323" s="33"/>
      <c r="F323" s="33"/>
      <c r="G323" s="33"/>
      <c r="H323" s="77" t="s">
        <v>1149</v>
      </c>
      <c r="I323" s="186" t="s">
        <v>1227</v>
      </c>
      <c r="J323" s="146"/>
      <c r="K323" s="125"/>
      <c r="L323" s="6"/>
      <c r="M323" s="6"/>
      <c r="N323" s="6"/>
      <c r="O323" s="51"/>
      <c r="P323" s="51"/>
      <c r="Q323" s="51"/>
      <c r="R323" s="60"/>
      <c r="S323" s="88"/>
      <c r="T323" s="88"/>
      <c r="U323" s="88"/>
      <c r="V323" s="60"/>
      <c r="W323" s="38"/>
      <c r="X323" s="11"/>
      <c r="Y323" s="17"/>
      <c r="Z323" s="87"/>
      <c r="AA323" s="72"/>
      <c r="AB323" s="72"/>
      <c r="AC323" s="72"/>
      <c r="AD323" s="43"/>
      <c r="AE323" s="38"/>
      <c r="AF323" s="11"/>
      <c r="AG323" s="6"/>
      <c r="AH323" s="6"/>
      <c r="AI323" s="6"/>
      <c r="AJ323" s="43"/>
      <c r="AK323" s="38"/>
      <c r="AL323" s="11"/>
      <c r="AM323" s="6"/>
      <c r="AN323" s="6"/>
      <c r="AO323" s="6"/>
      <c r="AP323" s="43"/>
    </row>
    <row r="324" spans="1:42">
      <c r="A324" s="37">
        <v>315</v>
      </c>
      <c r="B324" s="139"/>
      <c r="C324" s="152" t="s">
        <v>1612</v>
      </c>
      <c r="D324" s="33"/>
      <c r="E324" s="33"/>
      <c r="F324" s="33"/>
      <c r="G324" s="33"/>
      <c r="H324" s="77" t="s">
        <v>982</v>
      </c>
      <c r="I324" s="186" t="s">
        <v>1025</v>
      </c>
      <c r="J324" s="146"/>
      <c r="K324" s="125"/>
      <c r="L324" s="6"/>
      <c r="M324" s="6"/>
      <c r="N324" s="6"/>
      <c r="O324" s="51"/>
      <c r="P324" s="51"/>
      <c r="Q324" s="51"/>
      <c r="R324" s="60"/>
      <c r="S324" s="51"/>
      <c r="T324" s="51"/>
      <c r="U324" s="51"/>
      <c r="V324" s="60"/>
      <c r="W324" s="38"/>
      <c r="X324" s="11"/>
      <c r="Y324" s="17"/>
      <c r="Z324" s="17"/>
      <c r="AA324" s="70"/>
      <c r="AB324" s="70"/>
      <c r="AC324" s="70"/>
      <c r="AD324" s="43"/>
      <c r="AE324" s="38"/>
      <c r="AF324" s="11"/>
      <c r="AG324" s="6"/>
      <c r="AH324" s="6"/>
      <c r="AI324" s="6"/>
      <c r="AJ324" s="43"/>
      <c r="AK324" s="38"/>
      <c r="AL324" s="11"/>
      <c r="AM324" s="6"/>
      <c r="AN324" s="6"/>
      <c r="AO324" s="6"/>
      <c r="AP324" s="43"/>
    </row>
    <row r="325" spans="1:42">
      <c r="A325" s="37">
        <v>316</v>
      </c>
      <c r="B325" s="139"/>
      <c r="C325" s="152" t="s">
        <v>665</v>
      </c>
      <c r="D325" s="33"/>
      <c r="E325" s="33"/>
      <c r="F325" s="33"/>
      <c r="G325" s="33"/>
      <c r="H325" s="77" t="s">
        <v>983</v>
      </c>
      <c r="I325" s="186" t="s">
        <v>1064</v>
      </c>
      <c r="J325" s="186" t="s">
        <v>1064</v>
      </c>
      <c r="K325" s="125"/>
      <c r="L325" s="6">
        <v>480</v>
      </c>
      <c r="M325" s="6">
        <v>24</v>
      </c>
      <c r="N325" s="6">
        <v>504</v>
      </c>
      <c r="O325" s="51"/>
      <c r="P325" s="51"/>
      <c r="Q325" s="51"/>
      <c r="R325" s="60"/>
      <c r="S325" s="51"/>
      <c r="T325" s="51"/>
      <c r="U325" s="51"/>
      <c r="V325" s="60"/>
      <c r="W325" s="38"/>
      <c r="X325" s="11"/>
      <c r="Y325" s="17"/>
      <c r="Z325" s="17"/>
      <c r="AA325" s="70"/>
      <c r="AB325" s="70"/>
      <c r="AC325" s="70"/>
      <c r="AD325" s="43"/>
      <c r="AE325" s="38"/>
      <c r="AF325" s="11"/>
      <c r="AG325" s="6"/>
      <c r="AH325" s="6"/>
      <c r="AI325" s="6"/>
      <c r="AJ325" s="43"/>
      <c r="AK325" s="38"/>
      <c r="AL325" s="11"/>
      <c r="AM325" s="6"/>
      <c r="AN325" s="6"/>
      <c r="AO325" s="6"/>
      <c r="AP325" s="43"/>
    </row>
    <row r="326" spans="1:42" ht="27">
      <c r="A326" s="37">
        <v>317</v>
      </c>
      <c r="B326" s="139"/>
      <c r="C326" s="152" t="s">
        <v>1278</v>
      </c>
      <c r="D326" s="33"/>
      <c r="E326" s="33"/>
      <c r="F326" s="33"/>
      <c r="G326" s="33"/>
      <c r="H326" s="77" t="s">
        <v>950</v>
      </c>
      <c r="I326" s="186" t="s">
        <v>1104</v>
      </c>
      <c r="J326" s="146" t="s">
        <v>951</v>
      </c>
      <c r="K326" s="125"/>
      <c r="L326" s="6"/>
      <c r="M326" s="6"/>
      <c r="N326" s="6"/>
      <c r="O326" s="51"/>
      <c r="P326" s="51"/>
      <c r="Q326" s="51"/>
      <c r="R326" s="60"/>
      <c r="S326" s="51"/>
      <c r="T326" s="51"/>
      <c r="U326" s="51"/>
      <c r="V326" s="60"/>
      <c r="W326" s="38"/>
      <c r="X326" s="11"/>
      <c r="Y326" s="17"/>
      <c r="Z326" s="17"/>
      <c r="AA326" s="70"/>
      <c r="AB326" s="70"/>
      <c r="AC326" s="70"/>
      <c r="AD326" s="43"/>
      <c r="AE326" s="38"/>
      <c r="AF326" s="11"/>
      <c r="AG326" s="6"/>
      <c r="AH326" s="6"/>
      <c r="AI326" s="6"/>
      <c r="AJ326" s="43"/>
      <c r="AK326" s="38"/>
      <c r="AL326" s="11"/>
      <c r="AM326" s="6"/>
      <c r="AN326" s="6"/>
      <c r="AO326" s="6"/>
      <c r="AP326" s="43"/>
    </row>
    <row r="327" spans="1:42" ht="27">
      <c r="A327" s="37">
        <v>318</v>
      </c>
      <c r="B327" s="139"/>
      <c r="C327" s="152" t="s">
        <v>952</v>
      </c>
      <c r="D327" s="33"/>
      <c r="E327" s="33"/>
      <c r="F327" s="33"/>
      <c r="G327" s="33"/>
      <c r="H327" s="77" t="s">
        <v>953</v>
      </c>
      <c r="I327" s="186" t="s">
        <v>1207</v>
      </c>
      <c r="J327" s="146" t="s">
        <v>954</v>
      </c>
      <c r="K327" s="125"/>
      <c r="L327" s="6"/>
      <c r="M327" s="6"/>
      <c r="N327" s="6"/>
      <c r="O327" s="51"/>
      <c r="P327" s="51"/>
      <c r="Q327" s="51"/>
      <c r="R327" s="60"/>
      <c r="S327" s="51"/>
      <c r="T327" s="51"/>
      <c r="U327" s="51"/>
      <c r="V327" s="60"/>
      <c r="W327" s="38"/>
      <c r="X327" s="11"/>
      <c r="Y327" s="17"/>
      <c r="Z327" s="17"/>
      <c r="AA327" s="70"/>
      <c r="AB327" s="70"/>
      <c r="AC327" s="70"/>
      <c r="AD327" s="43"/>
      <c r="AE327" s="38"/>
      <c r="AF327" s="11"/>
      <c r="AG327" s="6"/>
      <c r="AH327" s="6"/>
      <c r="AI327" s="6"/>
      <c r="AJ327" s="43"/>
      <c r="AK327" s="38"/>
      <c r="AL327" s="11"/>
      <c r="AM327" s="6"/>
      <c r="AN327" s="6"/>
      <c r="AO327" s="6"/>
      <c r="AP327" s="43"/>
    </row>
    <row r="328" spans="1:42">
      <c r="A328" s="37">
        <v>319</v>
      </c>
      <c r="B328" s="139"/>
      <c r="C328" s="152" t="s">
        <v>1703</v>
      </c>
      <c r="D328" s="33"/>
      <c r="E328" s="33"/>
      <c r="F328" s="33"/>
      <c r="G328" s="33"/>
      <c r="H328" s="77" t="s">
        <v>2024</v>
      </c>
      <c r="I328" s="186" t="s">
        <v>1056</v>
      </c>
      <c r="J328" s="146" t="s">
        <v>2025</v>
      </c>
      <c r="K328" s="125"/>
      <c r="L328" s="6">
        <v>24900</v>
      </c>
      <c r="M328" s="6">
        <v>1245</v>
      </c>
      <c r="N328" s="6">
        <v>26145</v>
      </c>
      <c r="O328" s="51"/>
      <c r="P328" s="51"/>
      <c r="Q328" s="51"/>
      <c r="R328" s="60"/>
      <c r="S328" s="51"/>
      <c r="T328" s="51"/>
      <c r="U328" s="51"/>
      <c r="V328" s="60"/>
      <c r="W328" s="81"/>
      <c r="X328" s="11"/>
      <c r="Y328" s="17"/>
      <c r="Z328" s="17"/>
      <c r="AA328" s="70"/>
      <c r="AB328" s="70"/>
      <c r="AC328" s="70"/>
      <c r="AD328" s="43"/>
      <c r="AE328" s="38"/>
      <c r="AF328" s="11"/>
      <c r="AG328" s="6"/>
      <c r="AH328" s="6"/>
      <c r="AI328" s="6"/>
      <c r="AJ328" s="43"/>
      <c r="AK328" s="38"/>
      <c r="AL328" s="11"/>
      <c r="AM328" s="6"/>
      <c r="AN328" s="6"/>
      <c r="AO328" s="6"/>
      <c r="AP328" s="43"/>
    </row>
    <row r="329" spans="1:42" ht="27">
      <c r="A329" s="37">
        <v>320</v>
      </c>
      <c r="B329" s="139"/>
      <c r="C329" s="152" t="s">
        <v>1567</v>
      </c>
      <c r="D329" s="33"/>
      <c r="E329" s="33"/>
      <c r="F329" s="33"/>
      <c r="G329" s="33"/>
      <c r="H329" s="77" t="s">
        <v>1568</v>
      </c>
      <c r="I329" s="186" t="s">
        <v>1558</v>
      </c>
      <c r="J329" s="146" t="s">
        <v>1544</v>
      </c>
      <c r="K329" s="125"/>
      <c r="L329" s="6"/>
      <c r="M329" s="6"/>
      <c r="N329" s="6"/>
      <c r="O329" s="51"/>
      <c r="P329" s="51"/>
      <c r="Q329" s="51"/>
      <c r="R329" s="60"/>
      <c r="S329" s="51"/>
      <c r="T329" s="51"/>
      <c r="U329" s="51"/>
      <c r="V329" s="60"/>
      <c r="W329" s="81"/>
      <c r="X329" s="11"/>
      <c r="Y329" s="17"/>
      <c r="Z329" s="17"/>
      <c r="AA329" s="70"/>
      <c r="AB329" s="70"/>
      <c r="AC329" s="70"/>
      <c r="AD329" s="43"/>
      <c r="AE329" s="38"/>
      <c r="AF329" s="11"/>
      <c r="AG329" s="6"/>
      <c r="AH329" s="6"/>
      <c r="AI329" s="6"/>
      <c r="AJ329" s="43"/>
      <c r="AK329" s="38"/>
      <c r="AL329" s="11"/>
      <c r="AM329" s="6"/>
      <c r="AN329" s="6"/>
      <c r="AO329" s="6"/>
      <c r="AP329" s="43"/>
    </row>
    <row r="330" spans="1:42">
      <c r="A330" s="37">
        <v>321</v>
      </c>
      <c r="B330" s="139"/>
      <c r="C330" s="152" t="s">
        <v>671</v>
      </c>
      <c r="D330" s="33"/>
      <c r="E330" s="33"/>
      <c r="F330" s="33"/>
      <c r="G330" s="33"/>
      <c r="H330" s="77" t="s">
        <v>887</v>
      </c>
      <c r="I330" s="186" t="s">
        <v>1060</v>
      </c>
      <c r="J330" s="146" t="s">
        <v>762</v>
      </c>
      <c r="K330" s="125"/>
      <c r="L330" s="6"/>
      <c r="M330" s="6"/>
      <c r="N330" s="6"/>
      <c r="O330" s="51"/>
      <c r="P330" s="51"/>
      <c r="Q330" s="51"/>
      <c r="R330" s="60"/>
      <c r="S330" s="51"/>
      <c r="T330" s="51"/>
      <c r="U330" s="51"/>
      <c r="V330" s="60"/>
      <c r="W330" s="81"/>
      <c r="X330" s="11"/>
      <c r="Y330" s="17"/>
      <c r="Z330" s="17"/>
      <c r="AA330" s="70"/>
      <c r="AB330" s="70"/>
      <c r="AC330" s="70"/>
      <c r="AD330" s="43"/>
      <c r="AE330" s="38"/>
      <c r="AF330" s="11"/>
      <c r="AG330" s="6"/>
      <c r="AH330" s="6"/>
      <c r="AI330" s="6"/>
      <c r="AJ330" s="43"/>
      <c r="AK330" s="38"/>
      <c r="AL330" s="11"/>
      <c r="AM330" s="6"/>
      <c r="AN330" s="6"/>
      <c r="AO330" s="6"/>
      <c r="AP330" s="43"/>
    </row>
    <row r="331" spans="1:42" ht="20.100000000000001" customHeight="1">
      <c r="A331" s="37">
        <v>322</v>
      </c>
      <c r="B331" s="139"/>
      <c r="C331" s="152" t="s">
        <v>1626</v>
      </c>
      <c r="D331" s="33"/>
      <c r="E331" s="33"/>
      <c r="F331" s="33"/>
      <c r="G331" s="33"/>
      <c r="H331" s="77" t="s">
        <v>1536</v>
      </c>
      <c r="I331" s="186" t="s">
        <v>1135</v>
      </c>
      <c r="J331" s="146"/>
      <c r="K331" s="125"/>
      <c r="L331" s="6">
        <v>600</v>
      </c>
      <c r="M331" s="6">
        <v>30</v>
      </c>
      <c r="N331" s="6">
        <v>630</v>
      </c>
      <c r="O331" s="51"/>
      <c r="P331" s="51"/>
      <c r="Q331" s="51"/>
      <c r="R331" s="60"/>
      <c r="S331" s="51"/>
      <c r="T331" s="51"/>
      <c r="U331" s="51"/>
      <c r="V331" s="60"/>
      <c r="W331" s="38"/>
      <c r="X331" s="11"/>
      <c r="Y331" s="17"/>
      <c r="Z331" s="17"/>
      <c r="AA331" s="70"/>
      <c r="AB331" s="70"/>
      <c r="AC331" s="70"/>
      <c r="AD331" s="43"/>
      <c r="AE331" s="38"/>
      <c r="AF331" s="11"/>
      <c r="AG331" s="6"/>
      <c r="AH331" s="6"/>
      <c r="AI331" s="6"/>
      <c r="AJ331" s="43"/>
      <c r="AK331" s="38"/>
      <c r="AL331" s="11"/>
      <c r="AM331" s="6"/>
      <c r="AN331" s="6"/>
      <c r="AO331" s="6"/>
      <c r="AP331" s="43"/>
    </row>
    <row r="332" spans="1:42" ht="20.100000000000001" customHeight="1">
      <c r="A332" s="37"/>
      <c r="B332" s="139"/>
      <c r="C332" s="152" t="s">
        <v>2012</v>
      </c>
      <c r="D332" s="33"/>
      <c r="E332" s="33"/>
      <c r="F332" s="33"/>
      <c r="G332" s="33"/>
      <c r="H332" s="77" t="s">
        <v>2013</v>
      </c>
      <c r="I332" s="186" t="s">
        <v>1098</v>
      </c>
      <c r="J332" s="146"/>
      <c r="K332" s="125"/>
      <c r="L332" s="6"/>
      <c r="M332" s="6"/>
      <c r="N332" s="6"/>
      <c r="O332" s="51"/>
      <c r="P332" s="51"/>
      <c r="Q332" s="51"/>
      <c r="R332" s="60"/>
      <c r="S332" s="51"/>
      <c r="T332" s="51"/>
      <c r="U332" s="51"/>
      <c r="V332" s="60"/>
      <c r="W332" s="38"/>
      <c r="X332" s="11"/>
      <c r="Y332" s="17"/>
      <c r="Z332" s="17"/>
      <c r="AA332" s="70"/>
      <c r="AB332" s="70"/>
      <c r="AC332" s="70"/>
      <c r="AD332" s="43"/>
      <c r="AE332" s="38"/>
      <c r="AF332" s="11"/>
      <c r="AG332" s="6"/>
      <c r="AH332" s="6"/>
      <c r="AI332" s="6"/>
      <c r="AJ332" s="43"/>
      <c r="AK332" s="38"/>
      <c r="AL332" s="11"/>
      <c r="AM332" s="6"/>
      <c r="AN332" s="6"/>
      <c r="AO332" s="6"/>
      <c r="AP332" s="43"/>
    </row>
    <row r="333" spans="1:42">
      <c r="A333" s="37">
        <v>323</v>
      </c>
      <c r="B333" s="139"/>
      <c r="C333" s="152" t="s">
        <v>674</v>
      </c>
      <c r="D333" s="33"/>
      <c r="E333" s="33"/>
      <c r="F333" s="33"/>
      <c r="G333" s="33"/>
      <c r="H333" s="77" t="s">
        <v>668</v>
      </c>
      <c r="I333" s="186" t="s">
        <v>1054</v>
      </c>
      <c r="J333" s="146" t="s">
        <v>780</v>
      </c>
      <c r="K333" s="125"/>
      <c r="L333" s="6">
        <v>480</v>
      </c>
      <c r="M333" s="6">
        <v>24</v>
      </c>
      <c r="N333" s="6">
        <v>504</v>
      </c>
      <c r="O333" s="51"/>
      <c r="P333" s="51"/>
      <c r="Q333" s="51"/>
      <c r="R333" s="60"/>
      <c r="S333" s="51"/>
      <c r="T333" s="51"/>
      <c r="U333" s="51"/>
      <c r="V333" s="60"/>
      <c r="W333" s="38"/>
      <c r="X333" s="11"/>
      <c r="Y333" s="17"/>
      <c r="Z333" s="17"/>
      <c r="AA333" s="70"/>
      <c r="AB333" s="70"/>
      <c r="AC333" s="70"/>
      <c r="AD333" s="43"/>
      <c r="AE333" s="38"/>
      <c r="AF333" s="11"/>
      <c r="AG333" s="6"/>
      <c r="AH333" s="6"/>
      <c r="AI333" s="6"/>
      <c r="AJ333" s="43"/>
      <c r="AK333" s="38"/>
      <c r="AL333" s="11"/>
      <c r="AM333" s="6"/>
      <c r="AN333" s="6"/>
      <c r="AO333" s="6"/>
      <c r="AP333" s="43"/>
    </row>
    <row r="334" spans="1:42">
      <c r="A334" s="37">
        <v>324</v>
      </c>
      <c r="B334" s="139"/>
      <c r="C334" s="152" t="s">
        <v>916</v>
      </c>
      <c r="D334" s="33"/>
      <c r="E334" s="33"/>
      <c r="F334" s="33"/>
      <c r="G334" s="33"/>
      <c r="H334" s="77" t="s">
        <v>763</v>
      </c>
      <c r="I334" s="186" t="s">
        <v>1017</v>
      </c>
      <c r="J334" s="146" t="s">
        <v>764</v>
      </c>
      <c r="K334" s="125"/>
      <c r="L334" s="6"/>
      <c r="M334" s="6"/>
      <c r="N334" s="6"/>
      <c r="O334" s="51"/>
      <c r="P334" s="51"/>
      <c r="Q334" s="51"/>
      <c r="R334" s="60"/>
      <c r="S334" s="52"/>
      <c r="T334" s="52"/>
      <c r="U334" s="52"/>
      <c r="V334" s="60"/>
      <c r="W334" s="81"/>
      <c r="X334" s="11"/>
      <c r="Y334" s="17"/>
      <c r="Z334" s="17"/>
      <c r="AA334" s="71"/>
      <c r="AB334" s="71"/>
      <c r="AC334" s="71"/>
      <c r="AD334" s="43"/>
      <c r="AE334" s="38"/>
      <c r="AF334" s="11"/>
      <c r="AG334" s="6"/>
      <c r="AH334" s="6"/>
      <c r="AI334" s="6"/>
      <c r="AJ334" s="43"/>
      <c r="AK334" s="38"/>
      <c r="AL334" s="11"/>
      <c r="AM334" s="6"/>
      <c r="AN334" s="6"/>
      <c r="AO334" s="6"/>
      <c r="AP334" s="43"/>
    </row>
    <row r="335" spans="1:42">
      <c r="A335" s="37">
        <v>325</v>
      </c>
      <c r="B335" s="139"/>
      <c r="C335" s="152" t="s">
        <v>1939</v>
      </c>
      <c r="D335" s="33"/>
      <c r="E335" s="33"/>
      <c r="F335" s="33"/>
      <c r="G335" s="33"/>
      <c r="H335" s="77" t="s">
        <v>1938</v>
      </c>
      <c r="I335" s="186" t="s">
        <v>986</v>
      </c>
      <c r="J335" s="146"/>
      <c r="K335" s="125"/>
      <c r="L335" s="6"/>
      <c r="M335" s="6"/>
      <c r="N335" s="6"/>
      <c r="O335" s="51"/>
      <c r="P335" s="51"/>
      <c r="Q335" s="51"/>
      <c r="R335" s="60"/>
      <c r="S335" s="52"/>
      <c r="T335" s="52"/>
      <c r="U335" s="52"/>
      <c r="V335" s="60"/>
      <c r="W335" s="38"/>
      <c r="X335" s="11"/>
      <c r="Y335" s="17"/>
      <c r="Z335" s="17"/>
      <c r="AA335" s="71"/>
      <c r="AB335" s="71"/>
      <c r="AC335" s="71"/>
      <c r="AD335" s="43"/>
      <c r="AE335" s="38"/>
      <c r="AF335" s="11"/>
      <c r="AG335" s="6"/>
      <c r="AH335" s="6"/>
      <c r="AI335" s="6"/>
      <c r="AJ335" s="43"/>
      <c r="AK335" s="38"/>
      <c r="AL335" s="11"/>
      <c r="AM335" s="6"/>
      <c r="AN335" s="6"/>
      <c r="AO335" s="6"/>
      <c r="AP335" s="43"/>
    </row>
    <row r="336" spans="1:42">
      <c r="A336" s="37"/>
      <c r="B336" s="139"/>
      <c r="C336" s="152" t="s">
        <v>2005</v>
      </c>
      <c r="D336" s="33"/>
      <c r="E336" s="33"/>
      <c r="F336" s="33"/>
      <c r="G336" s="33"/>
      <c r="H336" s="77" t="s">
        <v>2006</v>
      </c>
      <c r="I336" s="186" t="s">
        <v>984</v>
      </c>
      <c r="J336" s="146"/>
      <c r="K336" s="125"/>
      <c r="L336" s="6"/>
      <c r="M336" s="6"/>
      <c r="N336" s="6"/>
      <c r="O336" s="51"/>
      <c r="P336" s="51"/>
      <c r="Q336" s="51"/>
      <c r="R336" s="60"/>
      <c r="S336" s="52"/>
      <c r="T336" s="52"/>
      <c r="U336" s="52"/>
      <c r="V336" s="60"/>
      <c r="W336" s="38"/>
      <c r="X336" s="11"/>
      <c r="Y336" s="17"/>
      <c r="Z336" s="17"/>
      <c r="AA336" s="71"/>
      <c r="AB336" s="71"/>
      <c r="AC336" s="71"/>
      <c r="AD336" s="43"/>
      <c r="AE336" s="38"/>
      <c r="AF336" s="11"/>
      <c r="AG336" s="6"/>
      <c r="AH336" s="6"/>
      <c r="AI336" s="6"/>
      <c r="AJ336" s="43"/>
      <c r="AK336" s="38"/>
      <c r="AL336" s="11"/>
      <c r="AM336" s="6"/>
      <c r="AN336" s="6"/>
      <c r="AO336" s="6"/>
      <c r="AP336" s="43"/>
    </row>
    <row r="337" spans="1:42">
      <c r="A337" s="37">
        <v>326</v>
      </c>
      <c r="B337" s="139"/>
      <c r="C337" s="152" t="s">
        <v>1346</v>
      </c>
      <c r="D337" s="33"/>
      <c r="E337" s="33"/>
      <c r="F337" s="33"/>
      <c r="G337" s="33"/>
      <c r="H337" s="77" t="s">
        <v>1350</v>
      </c>
      <c r="I337" s="186" t="s">
        <v>1105</v>
      </c>
      <c r="J337" s="146"/>
      <c r="K337" s="125"/>
      <c r="L337" s="6"/>
      <c r="M337" s="6"/>
      <c r="N337" s="6"/>
      <c r="O337" s="51"/>
      <c r="P337" s="51"/>
      <c r="Q337" s="51"/>
      <c r="R337" s="60"/>
      <c r="S337" s="52"/>
      <c r="T337" s="52"/>
      <c r="U337" s="52"/>
      <c r="V337" s="60"/>
      <c r="W337" s="38"/>
      <c r="X337" s="11"/>
      <c r="Y337" s="17"/>
      <c r="Z337" s="17"/>
      <c r="AA337" s="71"/>
      <c r="AB337" s="71"/>
      <c r="AC337" s="71"/>
      <c r="AD337" s="43"/>
      <c r="AE337" s="38"/>
      <c r="AF337" s="11"/>
      <c r="AG337" s="6"/>
      <c r="AH337" s="6"/>
      <c r="AI337" s="6"/>
      <c r="AJ337" s="43"/>
      <c r="AK337" s="38"/>
      <c r="AL337" s="11"/>
      <c r="AM337" s="6"/>
      <c r="AN337" s="6"/>
      <c r="AO337" s="6"/>
      <c r="AP337" s="43"/>
    </row>
    <row r="338" spans="1:42">
      <c r="A338" s="37">
        <v>327</v>
      </c>
      <c r="B338" s="139"/>
      <c r="C338" s="152" t="s">
        <v>1327</v>
      </c>
      <c r="D338" s="33"/>
      <c r="E338" s="33"/>
      <c r="F338" s="33"/>
      <c r="G338" s="33"/>
      <c r="H338" s="77" t="s">
        <v>1146</v>
      </c>
      <c r="I338" s="186" t="s">
        <v>985</v>
      </c>
      <c r="J338" s="146" t="s">
        <v>797</v>
      </c>
      <c r="K338" s="35"/>
      <c r="L338" s="17">
        <v>22000</v>
      </c>
      <c r="M338" s="17">
        <v>1100</v>
      </c>
      <c r="N338" s="17">
        <v>23100</v>
      </c>
      <c r="O338" s="51"/>
      <c r="P338" s="51"/>
      <c r="Q338" s="51"/>
      <c r="R338" s="60"/>
      <c r="S338" s="51"/>
      <c r="T338" s="53"/>
      <c r="U338" s="53"/>
      <c r="V338" s="60"/>
      <c r="W338" s="38"/>
      <c r="X338" s="11"/>
      <c r="Y338" s="17"/>
      <c r="Z338" s="17"/>
      <c r="AA338" s="70"/>
      <c r="AB338" s="70"/>
      <c r="AC338" s="70"/>
      <c r="AD338" s="43"/>
      <c r="AE338" s="38"/>
      <c r="AF338" s="11"/>
      <c r="AG338" s="6"/>
      <c r="AH338" s="6"/>
      <c r="AI338" s="6"/>
      <c r="AJ338" s="43"/>
      <c r="AK338" s="38"/>
      <c r="AL338" s="11"/>
      <c r="AM338" s="6"/>
      <c r="AN338" s="6"/>
      <c r="AO338" s="6"/>
      <c r="AP338" s="43"/>
    </row>
    <row r="339" spans="1:42">
      <c r="A339" s="37">
        <v>328</v>
      </c>
      <c r="B339" s="139"/>
      <c r="C339" s="152" t="s">
        <v>1036</v>
      </c>
      <c r="D339" s="33"/>
      <c r="E339" s="33"/>
      <c r="F339" s="33"/>
      <c r="G339" s="33"/>
      <c r="H339" s="145" t="s">
        <v>1581</v>
      </c>
      <c r="I339" s="191" t="s">
        <v>1035</v>
      </c>
      <c r="J339" s="146"/>
      <c r="K339" s="125"/>
      <c r="L339" s="6">
        <v>600</v>
      </c>
      <c r="M339" s="6">
        <v>30</v>
      </c>
      <c r="N339" s="6">
        <v>630</v>
      </c>
      <c r="O339" s="51"/>
      <c r="P339" s="51"/>
      <c r="Q339" s="51"/>
      <c r="R339" s="60"/>
      <c r="S339" s="51"/>
      <c r="T339" s="51"/>
      <c r="U339" s="51"/>
      <c r="V339" s="60"/>
      <c r="W339" s="38"/>
      <c r="X339" s="11"/>
      <c r="Y339" s="17"/>
      <c r="Z339" s="17"/>
      <c r="AA339" s="70"/>
      <c r="AB339" s="70"/>
      <c r="AC339" s="70"/>
      <c r="AD339" s="43"/>
      <c r="AE339" s="38"/>
      <c r="AF339" s="11"/>
      <c r="AG339" s="6"/>
      <c r="AH339" s="6"/>
      <c r="AI339" s="6"/>
      <c r="AJ339" s="43"/>
      <c r="AK339" s="38"/>
      <c r="AL339" s="11"/>
      <c r="AM339" s="6"/>
      <c r="AN339" s="6"/>
      <c r="AO339" s="6"/>
      <c r="AP339" s="43"/>
    </row>
    <row r="340" spans="1:42">
      <c r="A340" s="37">
        <v>329</v>
      </c>
      <c r="B340" s="139"/>
      <c r="C340" s="152" t="s">
        <v>636</v>
      </c>
      <c r="D340" s="33"/>
      <c r="E340" s="33"/>
      <c r="F340" s="33"/>
      <c r="G340" s="33"/>
      <c r="H340" s="113" t="s">
        <v>1697</v>
      </c>
      <c r="I340" s="193" t="s">
        <v>1698</v>
      </c>
      <c r="J340" s="146" t="s">
        <v>1699</v>
      </c>
      <c r="K340" s="125"/>
      <c r="L340" s="6">
        <v>0</v>
      </c>
      <c r="M340" s="6">
        <v>0</v>
      </c>
      <c r="N340" s="6">
        <v>0</v>
      </c>
      <c r="O340" s="51"/>
      <c r="P340" s="51"/>
      <c r="Q340" s="51"/>
      <c r="R340" s="60"/>
      <c r="S340" s="51"/>
      <c r="T340" s="51"/>
      <c r="U340" s="51"/>
      <c r="V340" s="60"/>
      <c r="W340" s="38"/>
      <c r="X340" s="11"/>
      <c r="Y340" s="17"/>
      <c r="Z340" s="17"/>
      <c r="AA340" s="70"/>
      <c r="AB340" s="70"/>
      <c r="AC340" s="70"/>
      <c r="AD340" s="43"/>
      <c r="AE340" s="38"/>
      <c r="AF340" s="11"/>
      <c r="AG340" s="6"/>
      <c r="AH340" s="6"/>
      <c r="AI340" s="6"/>
      <c r="AJ340" s="43"/>
      <c r="AK340" s="38"/>
      <c r="AL340" s="11"/>
      <c r="AM340" s="6"/>
      <c r="AN340" s="6"/>
      <c r="AO340" s="6"/>
      <c r="AP340" s="43"/>
    </row>
    <row r="341" spans="1:42">
      <c r="A341" s="37">
        <v>330</v>
      </c>
      <c r="B341" s="139"/>
      <c r="C341" s="152" t="s">
        <v>493</v>
      </c>
      <c r="D341" s="33"/>
      <c r="E341" s="33"/>
      <c r="F341" s="33"/>
      <c r="G341" s="33"/>
      <c r="H341" s="77" t="s">
        <v>2222</v>
      </c>
      <c r="I341" s="186" t="s">
        <v>985</v>
      </c>
      <c r="J341" s="146"/>
      <c r="K341" s="125"/>
      <c r="L341" s="6">
        <v>25400</v>
      </c>
      <c r="M341" s="6">
        <v>1270</v>
      </c>
      <c r="N341" s="6">
        <v>26670</v>
      </c>
      <c r="O341" s="51"/>
      <c r="P341" s="51"/>
      <c r="Q341" s="51"/>
      <c r="R341" s="60"/>
      <c r="S341" s="51"/>
      <c r="T341" s="51"/>
      <c r="U341" s="51"/>
      <c r="V341" s="60"/>
      <c r="W341" s="38"/>
      <c r="X341" s="11"/>
      <c r="Y341" s="17"/>
      <c r="Z341" s="17"/>
      <c r="AA341" s="70"/>
      <c r="AB341" s="70"/>
      <c r="AC341" s="70"/>
      <c r="AD341" s="43"/>
      <c r="AE341" s="38"/>
      <c r="AF341" s="11"/>
      <c r="AG341" s="6"/>
      <c r="AH341" s="6"/>
      <c r="AI341" s="6"/>
      <c r="AJ341" s="43"/>
      <c r="AK341" s="38"/>
      <c r="AL341" s="11"/>
      <c r="AM341" s="6"/>
      <c r="AN341" s="6"/>
      <c r="AO341" s="6"/>
      <c r="AP341" s="43"/>
    </row>
    <row r="342" spans="1:42">
      <c r="A342" s="37">
        <v>331</v>
      </c>
      <c r="B342" s="139"/>
      <c r="C342" s="152" t="s">
        <v>2098</v>
      </c>
      <c r="D342" s="33"/>
      <c r="E342" s="33"/>
      <c r="F342" s="33"/>
      <c r="G342" s="33"/>
      <c r="H342" s="77" t="s">
        <v>1919</v>
      </c>
      <c r="I342" s="186" t="s">
        <v>1664</v>
      </c>
      <c r="J342" s="146"/>
      <c r="K342" s="125"/>
      <c r="L342" s="6"/>
      <c r="M342" s="6"/>
      <c r="N342" s="6"/>
      <c r="O342" s="51"/>
      <c r="P342" s="51"/>
      <c r="Q342" s="51"/>
      <c r="R342" s="60"/>
      <c r="S342" s="57"/>
      <c r="T342" s="57"/>
      <c r="U342" s="57"/>
      <c r="V342" s="60"/>
      <c r="W342" s="38"/>
      <c r="X342" s="11"/>
      <c r="Y342" s="17"/>
      <c r="Z342" s="17"/>
      <c r="AA342" s="89"/>
      <c r="AB342" s="89"/>
      <c r="AC342" s="89"/>
      <c r="AD342" s="43"/>
      <c r="AE342" s="38"/>
      <c r="AF342" s="11"/>
      <c r="AG342" s="6"/>
      <c r="AH342" s="6"/>
      <c r="AI342" s="6"/>
      <c r="AJ342" s="43"/>
      <c r="AK342" s="38"/>
      <c r="AL342" s="11"/>
      <c r="AM342" s="6"/>
      <c r="AN342" s="6"/>
      <c r="AO342" s="6"/>
      <c r="AP342" s="43"/>
    </row>
    <row r="343" spans="1:42">
      <c r="A343" s="37">
        <v>332</v>
      </c>
      <c r="B343" s="139"/>
      <c r="C343" s="152" t="s">
        <v>1495</v>
      </c>
      <c r="D343" s="33"/>
      <c r="E343" s="33"/>
      <c r="F343" s="33"/>
      <c r="G343" s="33"/>
      <c r="H343" s="77" t="s">
        <v>1480</v>
      </c>
      <c r="I343" s="186" t="s">
        <v>984</v>
      </c>
      <c r="J343" s="146"/>
      <c r="K343" s="125"/>
      <c r="L343" s="6">
        <v>19160</v>
      </c>
      <c r="M343" s="6">
        <v>958</v>
      </c>
      <c r="N343" s="6">
        <v>20118</v>
      </c>
      <c r="O343" s="51"/>
      <c r="P343" s="51"/>
      <c r="Q343" s="51"/>
      <c r="R343" s="60"/>
      <c r="S343" s="88"/>
      <c r="T343" s="88"/>
      <c r="U343" s="88"/>
      <c r="V343" s="60"/>
      <c r="W343" s="38"/>
      <c r="X343" s="11"/>
      <c r="Y343" s="17"/>
      <c r="Z343" s="17"/>
      <c r="AA343" s="72"/>
      <c r="AB343" s="72"/>
      <c r="AC343" s="72"/>
      <c r="AD343" s="43"/>
      <c r="AE343" s="38"/>
      <c r="AF343" s="11"/>
      <c r="AG343" s="6"/>
      <c r="AH343" s="6"/>
      <c r="AI343" s="6"/>
      <c r="AJ343" s="43"/>
      <c r="AK343" s="38"/>
      <c r="AL343" s="11"/>
      <c r="AM343" s="6"/>
      <c r="AN343" s="6"/>
      <c r="AO343" s="6"/>
      <c r="AP343" s="43"/>
    </row>
    <row r="344" spans="1:42">
      <c r="A344" s="37">
        <v>333</v>
      </c>
      <c r="B344" s="139"/>
      <c r="C344" s="152" t="s">
        <v>1209</v>
      </c>
      <c r="D344" s="33"/>
      <c r="E344" s="33"/>
      <c r="F344" s="33"/>
      <c r="G344" s="33"/>
      <c r="H344" s="77" t="s">
        <v>1232</v>
      </c>
      <c r="I344" s="186" t="s">
        <v>984</v>
      </c>
      <c r="J344" s="146"/>
      <c r="K344" s="125"/>
      <c r="L344" s="6"/>
      <c r="M344" s="6"/>
      <c r="N344" s="6"/>
      <c r="O344" s="51"/>
      <c r="P344" s="51"/>
      <c r="Q344" s="51"/>
      <c r="R344" s="60"/>
      <c r="S344" s="88"/>
      <c r="T344" s="88"/>
      <c r="U344" s="88"/>
      <c r="V344" s="60"/>
      <c r="W344" s="38"/>
      <c r="X344" s="11"/>
      <c r="Y344" s="17"/>
      <c r="Z344" s="17"/>
      <c r="AA344" s="72"/>
      <c r="AB344" s="72"/>
      <c r="AC344" s="72"/>
      <c r="AD344" s="43"/>
      <c r="AE344" s="38"/>
      <c r="AF344" s="11"/>
      <c r="AG344" s="6"/>
      <c r="AH344" s="6"/>
      <c r="AI344" s="6"/>
      <c r="AJ344" s="43"/>
      <c r="AK344" s="38"/>
      <c r="AL344" s="11"/>
      <c r="AM344" s="6"/>
      <c r="AN344" s="6"/>
      <c r="AO344" s="6"/>
      <c r="AP344" s="43"/>
    </row>
    <row r="345" spans="1:42">
      <c r="A345" s="37">
        <v>334</v>
      </c>
      <c r="B345" s="139"/>
      <c r="C345" s="152" t="s">
        <v>1728</v>
      </c>
      <c r="D345" s="33"/>
      <c r="E345" s="33"/>
      <c r="F345" s="33"/>
      <c r="G345" s="33"/>
      <c r="H345" s="77" t="s">
        <v>1181</v>
      </c>
      <c r="I345" s="186" t="s">
        <v>1001</v>
      </c>
      <c r="J345" s="146"/>
      <c r="K345" s="125"/>
      <c r="L345" s="6"/>
      <c r="M345" s="6"/>
      <c r="N345" s="6"/>
      <c r="O345" s="51"/>
      <c r="P345" s="51"/>
      <c r="Q345" s="51"/>
      <c r="R345" s="60"/>
      <c r="S345" s="88"/>
      <c r="T345" s="88"/>
      <c r="U345" s="88"/>
      <c r="V345" s="60"/>
      <c r="W345" s="38"/>
      <c r="X345" s="11"/>
      <c r="Y345" s="17"/>
      <c r="Z345" s="17"/>
      <c r="AA345" s="72"/>
      <c r="AB345" s="72"/>
      <c r="AC345" s="72"/>
      <c r="AD345" s="43"/>
      <c r="AE345" s="38"/>
      <c r="AF345" s="11"/>
      <c r="AG345" s="6"/>
      <c r="AH345" s="6"/>
      <c r="AI345" s="6"/>
      <c r="AJ345" s="43"/>
      <c r="AK345" s="38"/>
      <c r="AL345" s="11"/>
      <c r="AM345" s="6"/>
      <c r="AN345" s="6"/>
      <c r="AO345" s="6"/>
      <c r="AP345" s="43"/>
    </row>
    <row r="346" spans="1:42">
      <c r="A346" s="37">
        <v>335</v>
      </c>
      <c r="B346" s="139"/>
      <c r="C346" s="152" t="s">
        <v>1352</v>
      </c>
      <c r="D346" s="33"/>
      <c r="E346" s="33"/>
      <c r="F346" s="33"/>
      <c r="G346" s="33"/>
      <c r="H346" s="77" t="s">
        <v>1353</v>
      </c>
      <c r="I346" s="186" t="s">
        <v>1001</v>
      </c>
      <c r="J346" s="146" t="s">
        <v>1354</v>
      </c>
      <c r="K346" s="125"/>
      <c r="L346" s="6"/>
      <c r="M346" s="6"/>
      <c r="N346" s="6"/>
      <c r="O346" s="51"/>
      <c r="P346" s="51"/>
      <c r="Q346" s="51"/>
      <c r="R346" s="60"/>
      <c r="S346" s="88"/>
      <c r="T346" s="88"/>
      <c r="U346" s="88"/>
      <c r="V346" s="60"/>
      <c r="W346" s="38"/>
      <c r="X346" s="11"/>
      <c r="Y346" s="17"/>
      <c r="Z346" s="17"/>
      <c r="AA346" s="72"/>
      <c r="AB346" s="72"/>
      <c r="AC346" s="72"/>
      <c r="AD346" s="43"/>
      <c r="AE346" s="38"/>
      <c r="AF346" s="11"/>
      <c r="AG346" s="6"/>
      <c r="AH346" s="6"/>
      <c r="AI346" s="6"/>
      <c r="AJ346" s="43"/>
      <c r="AK346" s="38"/>
      <c r="AL346" s="11"/>
      <c r="AM346" s="6"/>
      <c r="AN346" s="6"/>
      <c r="AO346" s="6"/>
      <c r="AP346" s="43"/>
    </row>
    <row r="347" spans="1:42">
      <c r="A347" s="37">
        <v>336</v>
      </c>
      <c r="B347" s="139"/>
      <c r="C347" s="152" t="s">
        <v>938</v>
      </c>
      <c r="D347" s="33"/>
      <c r="E347" s="33"/>
      <c r="F347" s="33"/>
      <c r="G347" s="33"/>
      <c r="H347" s="77" t="s">
        <v>939</v>
      </c>
      <c r="I347" s="186" t="s">
        <v>984</v>
      </c>
      <c r="J347" s="146"/>
      <c r="K347" s="125"/>
      <c r="L347" s="6"/>
      <c r="M347" s="6"/>
      <c r="N347" s="6"/>
      <c r="O347" s="51"/>
      <c r="P347" s="51"/>
      <c r="Q347" s="51"/>
      <c r="R347" s="60"/>
      <c r="S347" s="51"/>
      <c r="T347" s="51"/>
      <c r="U347" s="51"/>
      <c r="V347" s="60"/>
      <c r="W347" s="38"/>
      <c r="X347" s="11"/>
      <c r="Y347" s="17"/>
      <c r="Z347" s="17"/>
      <c r="AA347" s="70"/>
      <c r="AB347" s="70"/>
      <c r="AC347" s="70"/>
      <c r="AD347" s="43"/>
      <c r="AE347" s="38"/>
      <c r="AF347" s="11"/>
      <c r="AG347" s="6"/>
      <c r="AH347" s="6"/>
      <c r="AI347" s="6"/>
      <c r="AJ347" s="43"/>
      <c r="AK347" s="38"/>
      <c r="AL347" s="11"/>
      <c r="AM347" s="6"/>
      <c r="AN347" s="6"/>
      <c r="AO347" s="6"/>
      <c r="AP347" s="43"/>
    </row>
    <row r="348" spans="1:42">
      <c r="A348" s="37">
        <v>337</v>
      </c>
      <c r="B348" s="139"/>
      <c r="C348" s="152" t="s">
        <v>518</v>
      </c>
      <c r="D348" s="33"/>
      <c r="E348" s="33"/>
      <c r="F348" s="33"/>
      <c r="G348" s="33"/>
      <c r="H348" s="77" t="s">
        <v>1621</v>
      </c>
      <c r="I348" s="186" t="s">
        <v>1010</v>
      </c>
      <c r="J348" s="146"/>
      <c r="K348" s="125"/>
      <c r="L348" s="6"/>
      <c r="M348" s="6"/>
      <c r="N348" s="6"/>
      <c r="O348" s="51"/>
      <c r="P348" s="51"/>
      <c r="Q348" s="51"/>
      <c r="R348" s="60"/>
      <c r="S348" s="51"/>
      <c r="T348" s="51"/>
      <c r="U348" s="51"/>
      <c r="V348" s="60"/>
      <c r="W348" s="38"/>
      <c r="X348" s="11"/>
      <c r="Y348" s="17"/>
      <c r="Z348" s="17"/>
      <c r="AA348" s="70"/>
      <c r="AB348" s="70"/>
      <c r="AC348" s="70"/>
      <c r="AD348" s="43"/>
      <c r="AE348" s="38"/>
      <c r="AF348" s="11"/>
      <c r="AG348" s="6"/>
      <c r="AH348" s="6"/>
      <c r="AI348" s="6"/>
      <c r="AJ348" s="43"/>
      <c r="AK348" s="38"/>
      <c r="AL348" s="11"/>
      <c r="AM348" s="6"/>
      <c r="AN348" s="6"/>
      <c r="AO348" s="6"/>
      <c r="AP348" s="43"/>
    </row>
    <row r="349" spans="1:42">
      <c r="A349" s="37">
        <v>338</v>
      </c>
      <c r="B349" s="139"/>
      <c r="C349" s="152" t="s">
        <v>627</v>
      </c>
      <c r="D349" s="33"/>
      <c r="E349" s="33"/>
      <c r="F349" s="33"/>
      <c r="G349" s="33"/>
      <c r="H349" s="77" t="s">
        <v>1114</v>
      </c>
      <c r="I349" s="186" t="s">
        <v>984</v>
      </c>
      <c r="J349" s="146"/>
      <c r="K349" s="35"/>
      <c r="L349" s="17"/>
      <c r="M349" s="17"/>
      <c r="N349" s="17"/>
      <c r="O349" s="51"/>
      <c r="P349" s="51"/>
      <c r="Q349" s="51"/>
      <c r="R349" s="60"/>
      <c r="S349" s="54"/>
      <c r="T349" s="58"/>
      <c r="U349" s="58"/>
      <c r="V349" s="60"/>
      <c r="W349" s="38"/>
      <c r="X349" s="11"/>
      <c r="Y349" s="17"/>
      <c r="Z349" s="17"/>
      <c r="AA349" s="70"/>
      <c r="AB349" s="70"/>
      <c r="AC349" s="70"/>
      <c r="AD349" s="43"/>
      <c r="AE349" s="38"/>
      <c r="AF349" s="11"/>
      <c r="AG349" s="6"/>
      <c r="AH349" s="6"/>
      <c r="AI349" s="6"/>
      <c r="AJ349" s="43"/>
      <c r="AK349" s="38"/>
      <c r="AL349" s="11"/>
      <c r="AM349" s="6"/>
      <c r="AN349" s="6"/>
      <c r="AO349" s="6"/>
      <c r="AP349" s="43"/>
    </row>
    <row r="350" spans="1:42">
      <c r="A350" s="37">
        <v>339</v>
      </c>
      <c r="B350" s="139"/>
      <c r="C350" s="152" t="s">
        <v>1540</v>
      </c>
      <c r="D350" s="33"/>
      <c r="E350" s="33"/>
      <c r="F350" s="33"/>
      <c r="G350" s="33"/>
      <c r="H350" s="77" t="s">
        <v>1538</v>
      </c>
      <c r="I350" s="186" t="s">
        <v>1537</v>
      </c>
      <c r="J350" s="146" t="s">
        <v>1539</v>
      </c>
      <c r="K350" s="35"/>
      <c r="L350" s="17"/>
      <c r="M350" s="17"/>
      <c r="N350" s="17"/>
      <c r="O350" s="51"/>
      <c r="P350" s="51"/>
      <c r="Q350" s="51"/>
      <c r="R350" s="60"/>
      <c r="S350" s="54"/>
      <c r="T350" s="58"/>
      <c r="U350" s="58"/>
      <c r="V350" s="60"/>
      <c r="W350" s="38"/>
      <c r="X350" s="11"/>
      <c r="Y350" s="17"/>
      <c r="Z350" s="17"/>
      <c r="AA350" s="70"/>
      <c r="AB350" s="70"/>
      <c r="AC350" s="70"/>
      <c r="AD350" s="43"/>
      <c r="AE350" s="38"/>
      <c r="AF350" s="11"/>
      <c r="AG350" s="6"/>
      <c r="AH350" s="6"/>
      <c r="AI350" s="6"/>
      <c r="AJ350" s="43"/>
      <c r="AK350" s="38"/>
      <c r="AL350" s="11"/>
      <c r="AM350" s="6"/>
      <c r="AN350" s="6"/>
      <c r="AO350" s="6"/>
      <c r="AP350" s="43"/>
    </row>
    <row r="351" spans="1:42">
      <c r="A351" s="37">
        <v>340</v>
      </c>
      <c r="B351" s="139"/>
      <c r="C351" s="152" t="s">
        <v>1634</v>
      </c>
      <c r="D351" s="33"/>
      <c r="E351" s="33"/>
      <c r="F351" s="33"/>
      <c r="G351" s="33"/>
      <c r="H351" s="77" t="s">
        <v>1636</v>
      </c>
      <c r="I351" s="186" t="s">
        <v>1637</v>
      </c>
      <c r="J351" s="146" t="s">
        <v>1635</v>
      </c>
      <c r="K351" s="35"/>
      <c r="L351" s="17">
        <v>12400</v>
      </c>
      <c r="M351" s="17">
        <v>620</v>
      </c>
      <c r="N351" s="17">
        <v>13020</v>
      </c>
      <c r="O351" s="51"/>
      <c r="P351" s="51"/>
      <c r="Q351" s="51"/>
      <c r="R351" s="60"/>
      <c r="S351" s="51"/>
      <c r="T351" s="53"/>
      <c r="U351" s="53"/>
      <c r="V351" s="60"/>
      <c r="W351" s="38"/>
      <c r="X351" s="11"/>
      <c r="Y351" s="17"/>
      <c r="Z351" s="17"/>
      <c r="AA351" s="70"/>
      <c r="AB351" s="70"/>
      <c r="AC351" s="70"/>
      <c r="AD351" s="43"/>
      <c r="AE351" s="38"/>
      <c r="AF351" s="11"/>
      <c r="AG351" s="6"/>
      <c r="AH351" s="6"/>
      <c r="AI351" s="6"/>
      <c r="AJ351" s="43"/>
      <c r="AK351" s="38"/>
      <c r="AL351" s="11"/>
      <c r="AM351" s="6"/>
      <c r="AN351" s="6"/>
      <c r="AO351" s="6"/>
      <c r="AP351" s="43"/>
    </row>
    <row r="352" spans="1:42">
      <c r="A352" s="37">
        <v>341</v>
      </c>
      <c r="B352" s="139"/>
      <c r="C352" s="152" t="s">
        <v>1123</v>
      </c>
      <c r="D352" s="33"/>
      <c r="E352" s="33"/>
      <c r="F352" s="33"/>
      <c r="G352" s="33"/>
      <c r="H352" s="77" t="s">
        <v>758</v>
      </c>
      <c r="I352" s="186"/>
      <c r="J352" s="146" t="s">
        <v>926</v>
      </c>
      <c r="K352" s="35"/>
      <c r="L352" s="17">
        <v>12400</v>
      </c>
      <c r="M352" s="17">
        <v>620</v>
      </c>
      <c r="N352" s="17">
        <v>13020</v>
      </c>
      <c r="O352" s="51"/>
      <c r="P352" s="51"/>
      <c r="Q352" s="51"/>
      <c r="R352" s="60"/>
      <c r="S352" s="51"/>
      <c r="T352" s="53"/>
      <c r="U352" s="53"/>
      <c r="V352" s="60"/>
      <c r="W352" s="118"/>
      <c r="AA352" s="119"/>
      <c r="AB352" s="119"/>
      <c r="AC352" s="119"/>
      <c r="AE352" s="118"/>
      <c r="AG352" s="8"/>
      <c r="AH352" s="8"/>
      <c r="AI352" s="8"/>
      <c r="AK352" s="118"/>
      <c r="AM352" s="8"/>
      <c r="AN352" s="8"/>
      <c r="AO352" s="8"/>
    </row>
    <row r="353" spans="1:42">
      <c r="A353" s="37">
        <v>342</v>
      </c>
      <c r="B353" s="139"/>
      <c r="C353" s="152" t="s">
        <v>956</v>
      </c>
      <c r="D353" s="33"/>
      <c r="E353" s="33"/>
      <c r="F353" s="33"/>
      <c r="G353" s="33"/>
      <c r="H353" s="77" t="s">
        <v>958</v>
      </c>
      <c r="I353" s="186"/>
      <c r="J353" s="146" t="s">
        <v>957</v>
      </c>
      <c r="K353" s="35"/>
      <c r="L353" s="17"/>
      <c r="M353" s="17"/>
      <c r="N353" s="17"/>
      <c r="O353" s="51"/>
      <c r="P353" s="51"/>
      <c r="Q353" s="51"/>
      <c r="R353" s="60"/>
      <c r="S353" s="51"/>
      <c r="T353" s="53"/>
      <c r="U353" s="53"/>
      <c r="V353" s="60"/>
      <c r="W353" s="118"/>
      <c r="AA353" s="119"/>
      <c r="AB353" s="119"/>
      <c r="AC353" s="119"/>
      <c r="AE353" s="118"/>
      <c r="AG353" s="8"/>
      <c r="AH353" s="8"/>
      <c r="AI353" s="8"/>
      <c r="AK353" s="118"/>
      <c r="AM353" s="8"/>
      <c r="AN353" s="8"/>
      <c r="AO353" s="8"/>
    </row>
    <row r="354" spans="1:42">
      <c r="A354" s="37">
        <v>343</v>
      </c>
      <c r="B354" s="139"/>
      <c r="C354" s="152" t="s">
        <v>1404</v>
      </c>
      <c r="D354" s="33"/>
      <c r="E354" s="33"/>
      <c r="F354" s="33"/>
      <c r="G354" s="33"/>
      <c r="H354" s="113" t="s">
        <v>1134</v>
      </c>
      <c r="I354" s="193" t="s">
        <v>1112</v>
      </c>
      <c r="J354" s="146"/>
      <c r="K354" s="35"/>
      <c r="L354" s="17"/>
      <c r="M354" s="17"/>
      <c r="N354" s="17"/>
      <c r="O354" s="51"/>
      <c r="P354" s="51"/>
      <c r="Q354" s="51"/>
      <c r="R354" s="60"/>
      <c r="S354" s="51"/>
      <c r="T354" s="53"/>
      <c r="U354" s="53"/>
      <c r="V354" s="60"/>
      <c r="W354" s="118"/>
      <c r="AA354" s="119"/>
      <c r="AB354" s="119"/>
      <c r="AC354" s="119"/>
      <c r="AE354" s="118"/>
      <c r="AG354" s="8"/>
      <c r="AH354" s="8"/>
      <c r="AI354" s="8"/>
      <c r="AK354" s="118"/>
      <c r="AM354" s="8"/>
      <c r="AN354" s="8"/>
      <c r="AO354" s="8"/>
    </row>
    <row r="355" spans="1:42">
      <c r="A355" s="37">
        <v>344</v>
      </c>
      <c r="B355" s="139"/>
      <c r="C355" s="152" t="s">
        <v>1647</v>
      </c>
      <c r="D355" s="33"/>
      <c r="E355" s="33"/>
      <c r="F355" s="33"/>
      <c r="G355" s="33"/>
      <c r="H355" s="113" t="s">
        <v>1648</v>
      </c>
      <c r="I355" s="193" t="s">
        <v>1112</v>
      </c>
      <c r="J355" s="146" t="s">
        <v>1649</v>
      </c>
      <c r="K355" s="35"/>
      <c r="L355" s="17"/>
      <c r="M355" s="17"/>
      <c r="N355" s="17"/>
      <c r="O355" s="51"/>
      <c r="P355" s="51"/>
      <c r="Q355" s="51"/>
      <c r="R355" s="60"/>
      <c r="S355" s="51"/>
      <c r="T355" s="53"/>
      <c r="U355" s="53"/>
      <c r="V355" s="60"/>
      <c r="W355" s="118"/>
      <c r="AA355" s="119"/>
      <c r="AB355" s="119"/>
      <c r="AC355" s="119"/>
      <c r="AE355" s="118"/>
      <c r="AG355" s="8"/>
      <c r="AH355" s="8"/>
      <c r="AI355" s="8"/>
      <c r="AK355" s="118"/>
      <c r="AM355" s="8"/>
      <c r="AN355" s="8"/>
      <c r="AO355" s="8"/>
    </row>
    <row r="356" spans="1:42" ht="27">
      <c r="A356" s="37">
        <v>345</v>
      </c>
      <c r="B356" s="139"/>
      <c r="C356" s="152" t="s">
        <v>675</v>
      </c>
      <c r="D356" s="33"/>
      <c r="E356" s="33"/>
      <c r="F356" s="33"/>
      <c r="G356" s="33"/>
      <c r="H356" s="77" t="s">
        <v>888</v>
      </c>
      <c r="I356" s="186"/>
      <c r="J356" s="146"/>
      <c r="K356" s="35"/>
      <c r="L356" s="17">
        <v>12400</v>
      </c>
      <c r="M356" s="17">
        <v>620</v>
      </c>
      <c r="N356" s="17">
        <v>13020</v>
      </c>
      <c r="O356" s="51"/>
      <c r="P356" s="51"/>
      <c r="Q356" s="51"/>
      <c r="R356" s="60"/>
      <c r="S356" s="51"/>
      <c r="T356" s="53"/>
      <c r="U356" s="53"/>
      <c r="V356" s="60"/>
      <c r="W356" s="118"/>
      <c r="AA356" s="119"/>
      <c r="AB356" s="119"/>
      <c r="AC356" s="119"/>
      <c r="AE356" s="118"/>
      <c r="AG356" s="8"/>
      <c r="AH356" s="8"/>
      <c r="AI356" s="8"/>
      <c r="AK356" s="118"/>
      <c r="AM356" s="8"/>
      <c r="AN356" s="8"/>
      <c r="AO356" s="8"/>
    </row>
    <row r="357" spans="1:42">
      <c r="A357" s="37">
        <v>346</v>
      </c>
      <c r="B357" s="139"/>
      <c r="C357" s="152" t="s">
        <v>2211</v>
      </c>
      <c r="D357" s="33"/>
      <c r="E357" s="33"/>
      <c r="F357" s="33"/>
      <c r="G357" s="33"/>
      <c r="H357" s="77" t="s">
        <v>2212</v>
      </c>
      <c r="I357" s="186" t="s">
        <v>1947</v>
      </c>
      <c r="J357" s="146" t="s">
        <v>781</v>
      </c>
      <c r="K357" s="35"/>
      <c r="L357" s="17">
        <v>12400</v>
      </c>
      <c r="M357" s="17">
        <v>620</v>
      </c>
      <c r="N357" s="17">
        <v>13020</v>
      </c>
      <c r="O357" s="51"/>
      <c r="P357" s="51"/>
      <c r="Q357" s="51"/>
      <c r="R357" s="60"/>
      <c r="S357" s="51"/>
      <c r="T357" s="53"/>
      <c r="U357" s="53"/>
      <c r="V357" s="60"/>
      <c r="W357" s="118"/>
      <c r="AA357" s="119"/>
      <c r="AB357" s="119"/>
      <c r="AC357" s="119"/>
      <c r="AE357" s="118"/>
      <c r="AG357" s="8"/>
      <c r="AH357" s="8"/>
      <c r="AI357" s="8"/>
      <c r="AK357" s="118"/>
      <c r="AM357" s="8"/>
      <c r="AN357" s="8"/>
      <c r="AO357" s="8"/>
    </row>
    <row r="358" spans="1:42">
      <c r="A358" s="37">
        <v>347</v>
      </c>
      <c r="B358" s="139"/>
      <c r="C358" s="152" t="s">
        <v>710</v>
      </c>
      <c r="D358" s="33"/>
      <c r="E358" s="33"/>
      <c r="F358" s="33"/>
      <c r="G358" s="33"/>
      <c r="H358" s="77" t="s">
        <v>889</v>
      </c>
      <c r="I358" s="186"/>
      <c r="J358" s="146" t="s">
        <v>735</v>
      </c>
      <c r="K358" s="35"/>
      <c r="L358" s="17"/>
      <c r="M358" s="17"/>
      <c r="N358" s="17"/>
      <c r="O358" s="51"/>
      <c r="P358" s="51"/>
      <c r="Q358" s="51"/>
      <c r="R358" s="60"/>
      <c r="S358" s="51"/>
      <c r="T358" s="53"/>
      <c r="U358" s="53"/>
      <c r="V358" s="60"/>
      <c r="W358" s="118"/>
      <c r="AA358" s="119"/>
      <c r="AB358" s="119"/>
      <c r="AC358" s="119"/>
      <c r="AE358" s="118"/>
      <c r="AG358" s="8"/>
      <c r="AH358" s="8"/>
      <c r="AI358" s="8"/>
      <c r="AK358" s="118"/>
      <c r="AM358" s="8"/>
      <c r="AN358" s="8"/>
      <c r="AO358" s="8"/>
    </row>
    <row r="359" spans="1:42">
      <c r="A359" s="37">
        <v>348</v>
      </c>
      <c r="B359" s="139"/>
      <c r="C359" s="152" t="s">
        <v>1798</v>
      </c>
      <c r="D359" s="33"/>
      <c r="E359" s="33"/>
      <c r="F359" s="33"/>
      <c r="G359" s="33"/>
      <c r="H359" s="77" t="s">
        <v>1799</v>
      </c>
      <c r="I359" s="186"/>
      <c r="J359" s="146" t="s">
        <v>182</v>
      </c>
      <c r="K359" s="35"/>
      <c r="L359" s="17">
        <v>12400</v>
      </c>
      <c r="M359" s="17">
        <v>620</v>
      </c>
      <c r="N359" s="17">
        <v>13020</v>
      </c>
      <c r="O359" s="51"/>
      <c r="P359" s="51"/>
      <c r="Q359" s="51"/>
      <c r="R359" s="60"/>
      <c r="S359" s="51"/>
      <c r="T359" s="53"/>
      <c r="U359" s="53"/>
      <c r="V359" s="60"/>
      <c r="W359" s="118"/>
      <c r="AA359" s="119"/>
      <c r="AB359" s="119"/>
      <c r="AC359" s="119"/>
      <c r="AE359" s="118"/>
      <c r="AG359" s="8"/>
      <c r="AH359" s="8"/>
      <c r="AI359" s="8"/>
      <c r="AK359" s="118"/>
      <c r="AM359" s="8"/>
      <c r="AN359" s="8"/>
      <c r="AO359" s="8"/>
    </row>
    <row r="360" spans="1:42">
      <c r="A360" s="37">
        <v>349</v>
      </c>
      <c r="B360" s="139"/>
      <c r="C360" s="152" t="s">
        <v>462</v>
      </c>
      <c r="D360" s="33"/>
      <c r="E360" s="33"/>
      <c r="F360" s="33"/>
      <c r="G360" s="33"/>
      <c r="H360" s="77" t="s">
        <v>1693</v>
      </c>
      <c r="I360" s="186" t="s">
        <v>1694</v>
      </c>
      <c r="J360" s="146" t="s">
        <v>730</v>
      </c>
      <c r="K360" s="125"/>
      <c r="L360" s="6">
        <v>7020</v>
      </c>
      <c r="M360" s="6">
        <v>351</v>
      </c>
      <c r="N360" s="6">
        <v>7371</v>
      </c>
      <c r="O360" s="51"/>
      <c r="P360" s="51"/>
      <c r="Q360" s="51"/>
      <c r="R360" s="60"/>
      <c r="S360" s="51"/>
      <c r="T360" s="51"/>
      <c r="U360" s="51"/>
      <c r="V360" s="60"/>
      <c r="W360" s="38"/>
      <c r="X360" s="11"/>
      <c r="Y360" s="17"/>
      <c r="Z360" s="17"/>
      <c r="AA360" s="70"/>
      <c r="AB360" s="70"/>
      <c r="AC360" s="70"/>
      <c r="AD360" s="43"/>
      <c r="AE360" s="38"/>
      <c r="AF360" s="11"/>
      <c r="AG360" s="6"/>
      <c r="AH360" s="6"/>
      <c r="AI360" s="6"/>
      <c r="AJ360" s="43"/>
      <c r="AK360" s="38"/>
      <c r="AL360" s="11"/>
      <c r="AM360" s="6"/>
      <c r="AN360" s="6"/>
      <c r="AO360" s="6"/>
      <c r="AP360" s="43"/>
    </row>
    <row r="361" spans="1:42">
      <c r="A361" s="37">
        <v>350</v>
      </c>
      <c r="B361" s="139"/>
      <c r="C361" s="152" t="s">
        <v>363</v>
      </c>
      <c r="D361" s="33"/>
      <c r="E361" s="33"/>
      <c r="F361" s="33"/>
      <c r="G361" s="33"/>
      <c r="H361" s="77" t="s">
        <v>1695</v>
      </c>
      <c r="I361" s="186" t="s">
        <v>1117</v>
      </c>
      <c r="J361" s="146" t="s">
        <v>730</v>
      </c>
      <c r="K361" s="125"/>
      <c r="L361" s="6">
        <v>480</v>
      </c>
      <c r="M361" s="6">
        <v>24</v>
      </c>
      <c r="N361" s="6">
        <v>504</v>
      </c>
      <c r="O361" s="51"/>
      <c r="P361" s="51"/>
      <c r="Q361" s="51"/>
      <c r="R361" s="60"/>
      <c r="S361" s="52"/>
      <c r="T361" s="52"/>
      <c r="U361" s="52"/>
      <c r="V361" s="60"/>
      <c r="W361" s="38"/>
      <c r="X361" s="11"/>
      <c r="Y361" s="17"/>
      <c r="Z361" s="17"/>
      <c r="AA361" s="70"/>
      <c r="AB361" s="70"/>
      <c r="AC361" s="70"/>
      <c r="AD361" s="43"/>
      <c r="AE361" s="38"/>
      <c r="AF361" s="11"/>
      <c r="AG361" s="6"/>
      <c r="AH361" s="6"/>
      <c r="AI361" s="6"/>
      <c r="AJ361" s="43"/>
      <c r="AK361" s="38"/>
      <c r="AL361" s="11"/>
      <c r="AM361" s="6"/>
      <c r="AN361" s="6"/>
      <c r="AO361" s="6"/>
      <c r="AP361" s="43"/>
    </row>
    <row r="362" spans="1:42">
      <c r="A362" s="37">
        <v>351</v>
      </c>
      <c r="B362" s="139"/>
      <c r="C362" s="152" t="s">
        <v>464</v>
      </c>
      <c r="D362" s="33"/>
      <c r="E362" s="33"/>
      <c r="F362" s="33"/>
      <c r="G362" s="33"/>
      <c r="H362" s="77" t="s">
        <v>890</v>
      </c>
      <c r="I362" s="186" t="s">
        <v>1035</v>
      </c>
      <c r="J362" s="146" t="s">
        <v>812</v>
      </c>
      <c r="K362" s="125"/>
      <c r="L362" s="6"/>
      <c r="M362" s="6"/>
      <c r="N362" s="6"/>
      <c r="O362" s="51"/>
      <c r="P362" s="51"/>
      <c r="Q362" s="51"/>
      <c r="R362" s="60"/>
      <c r="S362" s="52"/>
      <c r="T362" s="52"/>
      <c r="U362" s="52"/>
      <c r="V362" s="60"/>
      <c r="W362" s="38"/>
      <c r="X362" s="11"/>
      <c r="Y362" s="17"/>
      <c r="Z362" s="17"/>
      <c r="AA362" s="70"/>
      <c r="AB362" s="70"/>
      <c r="AC362" s="70"/>
      <c r="AD362" s="43"/>
      <c r="AE362" s="38"/>
      <c r="AF362" s="11"/>
      <c r="AG362" s="6"/>
      <c r="AH362" s="6"/>
      <c r="AI362" s="6"/>
      <c r="AJ362" s="43"/>
      <c r="AK362" s="38"/>
      <c r="AL362" s="11"/>
      <c r="AM362" s="6"/>
      <c r="AN362" s="6"/>
      <c r="AO362" s="6"/>
      <c r="AP362" s="43"/>
    </row>
    <row r="363" spans="1:42" ht="27">
      <c r="A363" s="37">
        <v>352</v>
      </c>
      <c r="B363" s="139"/>
      <c r="C363" s="152" t="s">
        <v>320</v>
      </c>
      <c r="D363" s="33"/>
      <c r="E363" s="33"/>
      <c r="F363" s="33"/>
      <c r="G363" s="33"/>
      <c r="H363" s="77" t="s">
        <v>1015</v>
      </c>
      <c r="I363" s="186" t="s">
        <v>1016</v>
      </c>
      <c r="J363" s="146" t="s">
        <v>1014</v>
      </c>
      <c r="K363" s="35"/>
      <c r="L363" s="17">
        <v>21600</v>
      </c>
      <c r="M363" s="17">
        <v>1080</v>
      </c>
      <c r="N363" s="17">
        <v>22680</v>
      </c>
      <c r="O363" s="51"/>
      <c r="P363" s="51"/>
      <c r="Q363" s="51"/>
      <c r="R363" s="60"/>
      <c r="S363" s="97"/>
      <c r="T363" s="97"/>
      <c r="U363" s="97"/>
      <c r="V363" s="60"/>
      <c r="W363" s="38"/>
      <c r="X363" s="11"/>
      <c r="Y363" s="17"/>
      <c r="Z363" s="17"/>
      <c r="AA363" s="98"/>
      <c r="AB363" s="98"/>
      <c r="AC363" s="98"/>
      <c r="AD363" s="43"/>
      <c r="AE363" s="38"/>
      <c r="AF363" s="11"/>
      <c r="AG363" s="6"/>
      <c r="AH363" s="6"/>
      <c r="AI363" s="6"/>
      <c r="AJ363" s="43"/>
      <c r="AK363" s="38"/>
      <c r="AL363" s="11"/>
      <c r="AM363" s="6"/>
      <c r="AN363" s="6"/>
      <c r="AO363" s="6"/>
      <c r="AP363" s="43"/>
    </row>
    <row r="364" spans="1:42" ht="27">
      <c r="A364" s="37">
        <v>354</v>
      </c>
      <c r="B364" s="139"/>
      <c r="C364" s="152" t="s">
        <v>1641</v>
      </c>
      <c r="D364" s="33"/>
      <c r="E364" s="33"/>
      <c r="F364" s="33"/>
      <c r="G364" s="33"/>
      <c r="H364" s="77" t="s">
        <v>1639</v>
      </c>
      <c r="I364" s="186" t="s">
        <v>1033</v>
      </c>
      <c r="J364" s="146" t="s">
        <v>1640</v>
      </c>
      <c r="K364" s="35"/>
      <c r="L364" s="17"/>
      <c r="M364" s="17"/>
      <c r="N364" s="17"/>
      <c r="O364" s="51"/>
      <c r="P364" s="51"/>
      <c r="Q364" s="51"/>
      <c r="R364" s="60"/>
      <c r="S364" s="97"/>
      <c r="T364" s="97"/>
      <c r="U364" s="97"/>
      <c r="V364" s="60"/>
      <c r="W364" s="38"/>
      <c r="X364" s="11"/>
      <c r="Y364" s="17"/>
      <c r="Z364" s="17"/>
      <c r="AA364" s="98"/>
      <c r="AB364" s="98"/>
      <c r="AC364" s="98"/>
      <c r="AD364" s="43"/>
      <c r="AE364" s="38"/>
      <c r="AF364" s="11"/>
      <c r="AG364" s="6"/>
      <c r="AH364" s="6"/>
      <c r="AI364" s="6"/>
      <c r="AJ364" s="43"/>
      <c r="AK364" s="38"/>
      <c r="AL364" s="11"/>
      <c r="AM364" s="6"/>
      <c r="AN364" s="6"/>
      <c r="AO364" s="6"/>
      <c r="AP364" s="43"/>
    </row>
    <row r="365" spans="1:42">
      <c r="A365" s="37">
        <v>355</v>
      </c>
      <c r="B365" s="139"/>
      <c r="C365" s="152" t="s">
        <v>1793</v>
      </c>
      <c r="D365" s="33"/>
      <c r="E365" s="33"/>
      <c r="F365" s="33"/>
      <c r="G365" s="33"/>
      <c r="H365" s="77" t="s">
        <v>1770</v>
      </c>
      <c r="I365" s="186" t="s">
        <v>1769</v>
      </c>
      <c r="J365" s="146" t="s">
        <v>1768</v>
      </c>
      <c r="K365" s="35"/>
      <c r="L365" s="17"/>
      <c r="M365" s="17"/>
      <c r="N365" s="17"/>
      <c r="O365" s="51"/>
      <c r="P365" s="51"/>
      <c r="Q365" s="51"/>
      <c r="R365" s="60"/>
      <c r="S365" s="97"/>
      <c r="T365" s="97"/>
      <c r="U365" s="97"/>
      <c r="V365" s="60"/>
      <c r="W365" s="38"/>
      <c r="X365" s="11"/>
      <c r="Y365" s="17"/>
      <c r="Z365" s="17"/>
      <c r="AA365" s="98"/>
      <c r="AB365" s="98"/>
      <c r="AC365" s="98"/>
      <c r="AD365" s="43"/>
      <c r="AE365" s="38"/>
      <c r="AF365" s="11"/>
      <c r="AG365" s="6"/>
      <c r="AH365" s="6"/>
      <c r="AI365" s="6"/>
      <c r="AJ365" s="43"/>
      <c r="AK365" s="38"/>
      <c r="AL365" s="11"/>
      <c r="AM365" s="6"/>
      <c r="AN365" s="6"/>
      <c r="AO365" s="6"/>
      <c r="AP365" s="43"/>
    </row>
    <row r="366" spans="1:42" ht="27">
      <c r="A366" s="37">
        <v>356</v>
      </c>
      <c r="B366" s="139"/>
      <c r="C366" s="152" t="s">
        <v>661</v>
      </c>
      <c r="D366" s="33"/>
      <c r="E366" s="33"/>
      <c r="F366" s="33"/>
      <c r="G366" s="33"/>
      <c r="H366" s="77" t="s">
        <v>937</v>
      </c>
      <c r="I366" s="186" t="s">
        <v>1017</v>
      </c>
      <c r="J366" s="146" t="s">
        <v>317</v>
      </c>
      <c r="K366" s="35"/>
      <c r="L366" s="17"/>
      <c r="M366" s="17"/>
      <c r="N366" s="17"/>
      <c r="O366" s="51"/>
      <c r="P366" s="51"/>
      <c r="Q366" s="51"/>
      <c r="R366" s="60"/>
      <c r="S366" s="97"/>
      <c r="T366" s="97"/>
      <c r="U366" s="97"/>
      <c r="V366" s="60"/>
      <c r="W366" s="38"/>
      <c r="X366" s="11"/>
      <c r="Y366" s="17"/>
      <c r="Z366" s="17"/>
      <c r="AA366" s="98"/>
      <c r="AB366" s="98"/>
      <c r="AC366" s="98"/>
      <c r="AD366" s="43"/>
      <c r="AE366" s="38"/>
      <c r="AF366" s="11"/>
      <c r="AG366" s="6"/>
      <c r="AH366" s="6"/>
      <c r="AI366" s="6"/>
      <c r="AJ366" s="43"/>
      <c r="AK366" s="38"/>
      <c r="AL366" s="11"/>
      <c r="AM366" s="6"/>
      <c r="AN366" s="6"/>
      <c r="AO366" s="6"/>
      <c r="AP366" s="43"/>
    </row>
    <row r="367" spans="1:42">
      <c r="A367" s="37">
        <v>357</v>
      </c>
      <c r="B367" s="139"/>
      <c r="C367" s="152" t="s">
        <v>1331</v>
      </c>
      <c r="D367" s="33"/>
      <c r="E367" s="33"/>
      <c r="F367" s="33"/>
      <c r="G367" s="33"/>
      <c r="H367" s="77" t="s">
        <v>791</v>
      </c>
      <c r="I367" s="186" t="s">
        <v>1032</v>
      </c>
      <c r="J367" s="146" t="s">
        <v>790</v>
      </c>
      <c r="K367" s="35"/>
      <c r="L367" s="17">
        <v>3915</v>
      </c>
      <c r="M367" s="17">
        <v>195.75</v>
      </c>
      <c r="N367" s="17">
        <v>4110.75</v>
      </c>
      <c r="O367" s="51"/>
      <c r="P367" s="51"/>
      <c r="Q367" s="51"/>
      <c r="R367" s="60"/>
      <c r="S367" s="51"/>
      <c r="T367" s="53"/>
      <c r="U367" s="53"/>
      <c r="V367" s="60"/>
      <c r="W367" s="38"/>
      <c r="X367" s="11"/>
      <c r="Y367" s="17"/>
      <c r="Z367" s="17"/>
      <c r="AA367" s="70"/>
      <c r="AB367" s="70"/>
      <c r="AC367" s="70"/>
      <c r="AD367" s="43"/>
      <c r="AE367" s="38"/>
      <c r="AF367" s="11"/>
      <c r="AG367" s="6"/>
      <c r="AH367" s="6"/>
      <c r="AI367" s="6"/>
      <c r="AJ367" s="43"/>
      <c r="AK367" s="38"/>
      <c r="AL367" s="11"/>
      <c r="AM367" s="6"/>
      <c r="AN367" s="6"/>
      <c r="AO367" s="6"/>
      <c r="AP367" s="43"/>
    </row>
    <row r="368" spans="1:42">
      <c r="A368" s="37">
        <v>358</v>
      </c>
      <c r="B368" s="139"/>
      <c r="C368" s="152" t="s">
        <v>738</v>
      </c>
      <c r="D368" s="33"/>
      <c r="E368" s="33"/>
      <c r="F368" s="33"/>
      <c r="G368" s="33"/>
      <c r="H368" s="77" t="s">
        <v>891</v>
      </c>
      <c r="I368" s="186"/>
      <c r="J368" s="146"/>
      <c r="K368" s="125"/>
      <c r="L368" s="6">
        <v>400</v>
      </c>
      <c r="M368" s="6">
        <v>20</v>
      </c>
      <c r="N368" s="6">
        <v>420</v>
      </c>
      <c r="O368" s="51"/>
      <c r="P368" s="51"/>
      <c r="Q368" s="51"/>
      <c r="R368" s="60"/>
      <c r="S368" s="51"/>
      <c r="T368" s="51"/>
      <c r="U368" s="51"/>
      <c r="V368" s="60"/>
      <c r="W368" s="38"/>
      <c r="X368" s="11"/>
      <c r="Y368" s="17"/>
      <c r="Z368" s="17"/>
      <c r="AA368" s="70"/>
      <c r="AB368" s="70"/>
      <c r="AC368" s="70"/>
      <c r="AD368" s="43"/>
      <c r="AE368" s="38"/>
      <c r="AF368" s="11"/>
      <c r="AG368" s="6"/>
      <c r="AH368" s="6"/>
      <c r="AI368" s="6"/>
      <c r="AJ368" s="43"/>
      <c r="AK368" s="38"/>
      <c r="AL368" s="11"/>
      <c r="AM368" s="6"/>
      <c r="AN368" s="6"/>
      <c r="AO368" s="6"/>
      <c r="AP368" s="43"/>
    </row>
    <row r="369" spans="1:42">
      <c r="A369" s="37">
        <v>359</v>
      </c>
      <c r="B369" s="139"/>
      <c r="C369" s="152" t="s">
        <v>662</v>
      </c>
      <c r="D369" s="33"/>
      <c r="E369" s="33"/>
      <c r="F369" s="33"/>
      <c r="G369" s="33"/>
      <c r="H369" s="77" t="s">
        <v>892</v>
      </c>
      <c r="I369" s="186" t="s">
        <v>1111</v>
      </c>
      <c r="J369" s="146" t="s">
        <v>719</v>
      </c>
      <c r="K369" s="35"/>
      <c r="L369" s="17">
        <v>24130</v>
      </c>
      <c r="M369" s="17">
        <v>1206.5</v>
      </c>
      <c r="N369" s="17">
        <v>25336.5</v>
      </c>
      <c r="O369" s="51"/>
      <c r="P369" s="51"/>
      <c r="Q369" s="51"/>
      <c r="R369" s="60"/>
      <c r="S369" s="51"/>
      <c r="T369" s="53"/>
      <c r="U369" s="53"/>
      <c r="V369" s="60"/>
      <c r="W369" s="38"/>
      <c r="X369" s="11"/>
      <c r="Y369" s="17"/>
      <c r="Z369" s="17"/>
      <c r="AA369" s="70"/>
      <c r="AB369" s="70"/>
      <c r="AC369" s="70"/>
      <c r="AD369" s="43"/>
      <c r="AE369" s="38"/>
      <c r="AF369" s="11"/>
      <c r="AG369" s="6"/>
      <c r="AH369" s="6"/>
      <c r="AI369" s="6"/>
      <c r="AJ369" s="43"/>
      <c r="AK369" s="38"/>
      <c r="AL369" s="11"/>
      <c r="AM369" s="6"/>
      <c r="AN369" s="6"/>
      <c r="AO369" s="6"/>
      <c r="AP369" s="43"/>
    </row>
    <row r="370" spans="1:42">
      <c r="A370" s="37">
        <v>360</v>
      </c>
      <c r="B370" s="139"/>
      <c r="C370" s="152" t="s">
        <v>1322</v>
      </c>
      <c r="D370" s="33"/>
      <c r="E370" s="33"/>
      <c r="F370" s="33"/>
      <c r="G370" s="33"/>
      <c r="H370" s="77" t="s">
        <v>1323</v>
      </c>
      <c r="I370" s="186" t="s">
        <v>1041</v>
      </c>
      <c r="J370" s="146"/>
      <c r="K370" s="128"/>
      <c r="L370" s="6"/>
      <c r="M370" s="6"/>
      <c r="N370" s="6"/>
      <c r="O370" s="51"/>
      <c r="P370" s="51"/>
      <c r="Q370" s="51"/>
      <c r="R370" s="60"/>
      <c r="S370" s="51"/>
      <c r="T370" s="51"/>
      <c r="U370" s="51"/>
      <c r="V370" s="60"/>
      <c r="W370" s="38"/>
      <c r="X370" s="11"/>
      <c r="Y370" s="17"/>
      <c r="Z370" s="17"/>
      <c r="AA370" s="70"/>
      <c r="AB370" s="70"/>
      <c r="AC370" s="70"/>
      <c r="AD370" s="43"/>
      <c r="AE370" s="38"/>
      <c r="AF370" s="11"/>
      <c r="AG370" s="6"/>
      <c r="AH370" s="6"/>
      <c r="AI370" s="6"/>
      <c r="AJ370" s="43"/>
      <c r="AK370" s="38"/>
      <c r="AL370" s="11"/>
      <c r="AM370" s="6"/>
      <c r="AN370" s="6"/>
      <c r="AO370" s="6"/>
      <c r="AP370" s="43"/>
    </row>
    <row r="371" spans="1:42">
      <c r="A371" s="37">
        <v>361</v>
      </c>
      <c r="B371" s="139"/>
      <c r="C371" s="172" t="s">
        <v>2004</v>
      </c>
      <c r="D371" s="205"/>
      <c r="E371" s="205"/>
      <c r="F371" s="205"/>
      <c r="G371" s="205"/>
      <c r="H371" s="77" t="s">
        <v>1993</v>
      </c>
      <c r="I371" s="186" t="s">
        <v>1752</v>
      </c>
      <c r="J371" s="146"/>
      <c r="K371" s="128"/>
      <c r="L371" s="6"/>
      <c r="M371" s="6"/>
      <c r="N371" s="6"/>
      <c r="O371" s="51"/>
      <c r="P371" s="51"/>
      <c r="Q371" s="51"/>
      <c r="R371" s="60"/>
      <c r="S371" s="51"/>
      <c r="T371" s="51"/>
      <c r="U371" s="51"/>
      <c r="V371" s="60"/>
      <c r="W371" s="38"/>
      <c r="X371" s="11"/>
      <c r="Y371" s="17"/>
      <c r="Z371" s="17"/>
      <c r="AA371" s="70"/>
      <c r="AB371" s="70"/>
      <c r="AC371" s="70"/>
      <c r="AD371" s="43"/>
      <c r="AE371" s="38"/>
      <c r="AF371" s="11"/>
      <c r="AG371" s="6"/>
      <c r="AH371" s="6"/>
      <c r="AI371" s="6"/>
      <c r="AJ371" s="43"/>
      <c r="AK371" s="38"/>
      <c r="AL371" s="11"/>
      <c r="AM371" s="6"/>
      <c r="AN371" s="6"/>
      <c r="AO371" s="6"/>
      <c r="AP371" s="43"/>
    </row>
    <row r="372" spans="1:42">
      <c r="A372" s="37">
        <v>362</v>
      </c>
      <c r="B372" s="139"/>
      <c r="C372" s="173" t="s">
        <v>1474</v>
      </c>
      <c r="D372" s="205"/>
      <c r="E372" s="205"/>
      <c r="F372" s="205"/>
      <c r="G372" s="205"/>
      <c r="H372" s="141" t="s">
        <v>1475</v>
      </c>
      <c r="I372" s="190" t="s">
        <v>1476</v>
      </c>
      <c r="J372" s="146"/>
      <c r="K372" s="128"/>
      <c r="L372" s="6"/>
      <c r="M372" s="6"/>
      <c r="N372" s="6"/>
      <c r="O372" s="51"/>
      <c r="P372" s="51"/>
      <c r="Q372" s="51"/>
      <c r="R372" s="60"/>
      <c r="S372" s="51"/>
      <c r="T372" s="51"/>
      <c r="U372" s="51"/>
      <c r="V372" s="60"/>
      <c r="W372" s="38"/>
      <c r="X372" s="11"/>
      <c r="Y372" s="17"/>
      <c r="Z372" s="17"/>
      <c r="AA372" s="70"/>
      <c r="AB372" s="70"/>
      <c r="AC372" s="70"/>
      <c r="AD372" s="43"/>
      <c r="AE372" s="38"/>
      <c r="AF372" s="11"/>
      <c r="AG372" s="6"/>
      <c r="AH372" s="6"/>
      <c r="AI372" s="6"/>
      <c r="AJ372" s="43"/>
      <c r="AK372" s="38"/>
      <c r="AL372" s="11"/>
      <c r="AM372" s="6"/>
      <c r="AN372" s="6"/>
      <c r="AO372" s="6"/>
      <c r="AP372" s="43"/>
    </row>
    <row r="373" spans="1:42">
      <c r="A373" s="37">
        <v>363</v>
      </c>
      <c r="B373" s="139"/>
      <c r="C373" s="152" t="s">
        <v>318</v>
      </c>
      <c r="D373" s="33"/>
      <c r="E373" s="33"/>
      <c r="F373" s="33"/>
      <c r="G373" s="33"/>
      <c r="H373" s="77" t="s">
        <v>893</v>
      </c>
      <c r="I373" s="186" t="s">
        <v>1044</v>
      </c>
      <c r="J373" s="146" t="s">
        <v>730</v>
      </c>
      <c r="K373" s="125"/>
      <c r="L373" s="6">
        <v>17185</v>
      </c>
      <c r="M373" s="6">
        <v>859.25</v>
      </c>
      <c r="N373" s="6">
        <v>18044.25</v>
      </c>
      <c r="O373" s="51"/>
      <c r="P373" s="51"/>
      <c r="Q373" s="51"/>
      <c r="R373" s="60"/>
      <c r="S373" s="51"/>
      <c r="T373" s="51"/>
      <c r="U373" s="51"/>
      <c r="V373" s="60"/>
      <c r="W373" s="38"/>
      <c r="X373" s="11"/>
      <c r="Y373" s="17"/>
      <c r="Z373" s="17"/>
      <c r="AA373" s="70"/>
      <c r="AB373" s="70"/>
      <c r="AC373" s="70"/>
      <c r="AD373" s="43"/>
      <c r="AE373" s="38"/>
      <c r="AF373" s="11"/>
      <c r="AG373" s="6"/>
      <c r="AH373" s="6"/>
      <c r="AI373" s="6"/>
      <c r="AJ373" s="43"/>
      <c r="AK373" s="38"/>
      <c r="AL373" s="11"/>
      <c r="AM373" s="6"/>
      <c r="AN373" s="6"/>
      <c r="AO373" s="6"/>
      <c r="AP373" s="43"/>
    </row>
    <row r="374" spans="1:42">
      <c r="A374" s="37">
        <v>364</v>
      </c>
      <c r="B374" s="139"/>
      <c r="C374" s="152" t="s">
        <v>1928</v>
      </c>
      <c r="D374" s="33"/>
      <c r="E374" s="33"/>
      <c r="F374" s="33"/>
      <c r="G374" s="33"/>
      <c r="H374" s="77" t="s">
        <v>1929</v>
      </c>
      <c r="I374" s="186" t="s">
        <v>1638</v>
      </c>
      <c r="J374" s="145" t="s">
        <v>1163</v>
      </c>
      <c r="K374" s="125"/>
      <c r="L374" s="6"/>
      <c r="M374" s="6"/>
      <c r="N374" s="6"/>
      <c r="O374" s="51"/>
      <c r="P374" s="51"/>
      <c r="Q374" s="51"/>
      <c r="R374" s="60"/>
      <c r="S374" s="52"/>
      <c r="T374" s="52"/>
      <c r="U374" s="52"/>
      <c r="V374" s="60"/>
      <c r="W374" s="38"/>
      <c r="X374" s="11"/>
      <c r="Y374" s="17"/>
      <c r="Z374" s="17"/>
      <c r="AA374" s="75"/>
      <c r="AB374" s="75"/>
      <c r="AC374" s="75"/>
      <c r="AD374" s="43"/>
      <c r="AE374" s="38"/>
      <c r="AF374" s="11"/>
      <c r="AG374" s="6"/>
      <c r="AH374" s="6"/>
      <c r="AI374" s="6"/>
      <c r="AJ374" s="43"/>
      <c r="AK374" s="38"/>
      <c r="AL374" s="11"/>
      <c r="AM374" s="6"/>
      <c r="AN374" s="6"/>
      <c r="AO374" s="6"/>
      <c r="AP374" s="43"/>
    </row>
    <row r="375" spans="1:42">
      <c r="A375" s="37">
        <v>365</v>
      </c>
      <c r="B375" s="139"/>
      <c r="C375" s="152" t="s">
        <v>2204</v>
      </c>
      <c r="D375" s="33"/>
      <c r="E375" s="33"/>
      <c r="F375" s="33"/>
      <c r="G375" s="33"/>
      <c r="H375" s="77" t="s">
        <v>1696</v>
      </c>
      <c r="I375" s="186" t="s">
        <v>1028</v>
      </c>
      <c r="J375" s="145"/>
      <c r="K375" s="125"/>
      <c r="L375" s="6"/>
      <c r="M375" s="6"/>
      <c r="N375" s="6"/>
      <c r="O375" s="51"/>
      <c r="P375" s="51"/>
      <c r="Q375" s="51"/>
      <c r="R375" s="60"/>
      <c r="S375" s="52"/>
      <c r="T375" s="52"/>
      <c r="U375" s="52"/>
      <c r="V375" s="60"/>
      <c r="W375" s="38"/>
      <c r="X375" s="11"/>
      <c r="Y375" s="17"/>
      <c r="Z375" s="17"/>
      <c r="AA375" s="75"/>
      <c r="AB375" s="75"/>
      <c r="AC375" s="75"/>
      <c r="AD375" s="43"/>
      <c r="AE375" s="38"/>
      <c r="AF375" s="11"/>
      <c r="AG375" s="6"/>
      <c r="AH375" s="6"/>
      <c r="AI375" s="6"/>
      <c r="AJ375" s="43"/>
      <c r="AK375" s="38"/>
      <c r="AL375" s="11"/>
      <c r="AM375" s="6"/>
      <c r="AN375" s="6"/>
      <c r="AO375" s="6"/>
      <c r="AP375" s="43"/>
    </row>
    <row r="376" spans="1:42">
      <c r="A376" s="37">
        <v>366</v>
      </c>
      <c r="B376" s="139"/>
      <c r="C376" s="152" t="s">
        <v>457</v>
      </c>
      <c r="D376" s="33"/>
      <c r="E376" s="33"/>
      <c r="F376" s="33"/>
      <c r="G376" s="33"/>
      <c r="H376" s="77" t="s">
        <v>894</v>
      </c>
      <c r="I376" s="186"/>
      <c r="J376" s="148"/>
      <c r="K376" s="125"/>
      <c r="L376" s="6"/>
      <c r="M376" s="6"/>
      <c r="N376" s="6"/>
      <c r="O376" s="51"/>
      <c r="P376" s="51"/>
      <c r="Q376" s="51"/>
      <c r="R376" s="60"/>
      <c r="S376" s="51"/>
      <c r="T376" s="51"/>
      <c r="U376" s="51"/>
      <c r="V376" s="60"/>
      <c r="W376" s="38"/>
      <c r="X376" s="11"/>
      <c r="Y376" s="17"/>
      <c r="Z376" s="17"/>
      <c r="AA376" s="70"/>
      <c r="AB376" s="70"/>
      <c r="AC376" s="70"/>
      <c r="AD376" s="43"/>
      <c r="AE376" s="38"/>
      <c r="AF376" s="11"/>
      <c r="AG376" s="6"/>
      <c r="AH376" s="6"/>
      <c r="AI376" s="6"/>
      <c r="AJ376" s="43"/>
      <c r="AK376" s="38"/>
      <c r="AL376" s="11"/>
      <c r="AM376" s="6"/>
      <c r="AN376" s="6"/>
      <c r="AO376" s="6"/>
      <c r="AP376" s="43"/>
    </row>
    <row r="377" spans="1:42">
      <c r="A377" s="37">
        <v>369</v>
      </c>
      <c r="B377" s="155"/>
      <c r="C377" s="152" t="s">
        <v>645</v>
      </c>
      <c r="D377" s="33"/>
      <c r="E377" s="33"/>
      <c r="F377" s="33"/>
      <c r="G377" s="33"/>
      <c r="H377" s="77" t="s">
        <v>748</v>
      </c>
      <c r="I377" s="186"/>
      <c r="J377" s="148" t="s">
        <v>747</v>
      </c>
      <c r="K377" s="125"/>
      <c r="L377" s="6"/>
      <c r="M377" s="6"/>
      <c r="N377" s="5"/>
      <c r="O377" s="51"/>
      <c r="P377" s="51"/>
      <c r="Q377" s="51"/>
      <c r="R377" s="60"/>
      <c r="S377" s="51"/>
      <c r="T377" s="51"/>
      <c r="U377" s="51"/>
      <c r="V377" s="60"/>
      <c r="W377" s="38"/>
      <c r="X377" s="11"/>
      <c r="Y377" s="17"/>
      <c r="Z377" s="17"/>
      <c r="AA377" s="70"/>
      <c r="AB377" s="70"/>
      <c r="AC377" s="70"/>
      <c r="AD377" s="43"/>
      <c r="AE377" s="38"/>
      <c r="AF377" s="11"/>
      <c r="AG377" s="6"/>
      <c r="AH377" s="6"/>
      <c r="AI377" s="6"/>
      <c r="AJ377" s="43"/>
      <c r="AK377" s="38"/>
      <c r="AL377" s="11"/>
      <c r="AM377" s="6"/>
      <c r="AN377" s="6"/>
      <c r="AO377" s="6"/>
      <c r="AP377" s="43"/>
    </row>
    <row r="378" spans="1:42">
      <c r="A378" s="37">
        <v>370</v>
      </c>
      <c r="B378" s="155"/>
      <c r="C378" s="152" t="s">
        <v>1845</v>
      </c>
      <c r="D378" s="33"/>
      <c r="E378" s="33"/>
      <c r="F378" s="33"/>
      <c r="G378" s="33"/>
      <c r="H378" s="77" t="s">
        <v>2034</v>
      </c>
      <c r="I378" s="186" t="s">
        <v>1035</v>
      </c>
      <c r="J378" s="146" t="s">
        <v>1118</v>
      </c>
      <c r="K378" s="125"/>
      <c r="L378" s="6"/>
      <c r="M378" s="6"/>
      <c r="N378" s="5"/>
      <c r="O378" s="51"/>
      <c r="P378" s="51"/>
      <c r="Q378" s="51"/>
      <c r="R378" s="60"/>
      <c r="S378" s="51"/>
      <c r="T378" s="51"/>
      <c r="U378" s="51"/>
      <c r="V378" s="60"/>
      <c r="W378" s="38"/>
      <c r="X378" s="11"/>
      <c r="Y378" s="17"/>
      <c r="Z378" s="17"/>
      <c r="AA378" s="70"/>
      <c r="AB378" s="70"/>
      <c r="AC378" s="70"/>
      <c r="AD378" s="43"/>
      <c r="AE378" s="38"/>
      <c r="AF378" s="11"/>
      <c r="AG378" s="6"/>
      <c r="AH378" s="6"/>
      <c r="AI378" s="6"/>
      <c r="AJ378" s="43"/>
      <c r="AK378" s="38"/>
      <c r="AL378" s="11"/>
      <c r="AM378" s="6"/>
      <c r="AN378" s="6"/>
      <c r="AO378" s="6"/>
      <c r="AP378" s="43"/>
    </row>
    <row r="379" spans="1:42">
      <c r="A379" s="37">
        <v>371</v>
      </c>
      <c r="B379" s="155"/>
      <c r="C379" s="152" t="s">
        <v>663</v>
      </c>
      <c r="D379" s="33"/>
      <c r="E379" s="33"/>
      <c r="F379" s="33"/>
      <c r="G379" s="33"/>
      <c r="H379" s="77" t="s">
        <v>2007</v>
      </c>
      <c r="I379" s="186" t="s">
        <v>984</v>
      </c>
      <c r="J379" s="146"/>
      <c r="K379" s="125"/>
      <c r="L379" s="6"/>
      <c r="M379" s="6"/>
      <c r="N379" s="6"/>
      <c r="O379" s="51"/>
      <c r="P379" s="51"/>
      <c r="Q379" s="51"/>
      <c r="R379" s="60"/>
      <c r="S379" s="51"/>
      <c r="T379" s="51"/>
      <c r="U379" s="51"/>
      <c r="V379" s="60"/>
      <c r="W379" s="38"/>
      <c r="X379" s="11"/>
      <c r="Y379" s="17"/>
      <c r="Z379" s="17"/>
      <c r="AA379" s="70"/>
      <c r="AB379" s="70"/>
      <c r="AC379" s="70"/>
      <c r="AD379" s="43"/>
      <c r="AE379" s="38"/>
      <c r="AF379" s="11"/>
      <c r="AG379" s="6"/>
      <c r="AH379" s="6"/>
      <c r="AI379" s="6"/>
      <c r="AJ379" s="43"/>
      <c r="AK379" s="38"/>
      <c r="AL379" s="11"/>
      <c r="AM379" s="6"/>
      <c r="AN379" s="6"/>
      <c r="AO379" s="6"/>
      <c r="AP379" s="43"/>
    </row>
    <row r="380" spans="1:42">
      <c r="A380" s="37"/>
      <c r="B380" s="155"/>
      <c r="C380" s="152" t="s">
        <v>2100</v>
      </c>
      <c r="D380" s="33"/>
      <c r="E380" s="33"/>
      <c r="F380" s="33"/>
      <c r="G380" s="33"/>
      <c r="H380" s="77" t="s">
        <v>2093</v>
      </c>
      <c r="I380" s="186" t="s">
        <v>984</v>
      </c>
      <c r="J380" s="146"/>
      <c r="K380" s="125"/>
      <c r="L380" s="6"/>
      <c r="M380" s="6"/>
      <c r="N380" s="6"/>
      <c r="O380" s="51"/>
      <c r="P380" s="51"/>
      <c r="Q380" s="51"/>
      <c r="R380" s="60"/>
      <c r="S380" s="51"/>
      <c r="T380" s="51"/>
      <c r="U380" s="51"/>
      <c r="V380" s="60"/>
      <c r="W380" s="38"/>
      <c r="X380" s="11"/>
      <c r="Y380" s="17"/>
      <c r="Z380" s="17"/>
      <c r="AA380" s="70"/>
      <c r="AB380" s="70"/>
      <c r="AC380" s="70"/>
      <c r="AD380" s="43"/>
      <c r="AE380" s="38"/>
      <c r="AF380" s="11"/>
      <c r="AG380" s="6"/>
      <c r="AH380" s="6"/>
      <c r="AI380" s="6"/>
      <c r="AJ380" s="43"/>
      <c r="AK380" s="38"/>
      <c r="AL380" s="11"/>
      <c r="AM380" s="6"/>
      <c r="AN380" s="6"/>
      <c r="AO380" s="6"/>
      <c r="AP380" s="43"/>
    </row>
    <row r="381" spans="1:42">
      <c r="A381" s="37">
        <v>372</v>
      </c>
      <c r="B381" s="155"/>
      <c r="C381" s="152" t="s">
        <v>664</v>
      </c>
      <c r="D381" s="33"/>
      <c r="E381" s="33"/>
      <c r="F381" s="33"/>
      <c r="G381" s="33"/>
      <c r="H381" s="77" t="s">
        <v>895</v>
      </c>
      <c r="I381" s="186" t="s">
        <v>984</v>
      </c>
      <c r="J381" s="146"/>
      <c r="K381" s="125"/>
      <c r="L381" s="6">
        <v>18760</v>
      </c>
      <c r="M381" s="6">
        <v>938</v>
      </c>
      <c r="N381" s="6">
        <v>19698</v>
      </c>
      <c r="O381" s="51"/>
      <c r="P381" s="51"/>
      <c r="Q381" s="51"/>
      <c r="R381" s="60"/>
      <c r="S381" s="88"/>
      <c r="T381" s="88"/>
      <c r="U381" s="88"/>
      <c r="V381" s="60"/>
      <c r="W381" s="38"/>
      <c r="X381" s="11"/>
      <c r="Y381" s="17"/>
      <c r="Z381" s="17"/>
      <c r="AA381" s="72"/>
      <c r="AB381" s="72"/>
      <c r="AC381" s="72"/>
      <c r="AD381" s="43"/>
      <c r="AE381" s="38"/>
      <c r="AF381" s="11"/>
      <c r="AG381" s="6"/>
      <c r="AH381" s="6"/>
      <c r="AI381" s="6"/>
      <c r="AJ381" s="43"/>
      <c r="AK381" s="38"/>
      <c r="AL381" s="11"/>
      <c r="AM381" s="6"/>
      <c r="AN381" s="6"/>
      <c r="AO381" s="6"/>
      <c r="AP381" s="43"/>
    </row>
    <row r="382" spans="1:42">
      <c r="A382" s="37">
        <v>373</v>
      </c>
      <c r="B382" s="155"/>
      <c r="C382" s="152" t="s">
        <v>2086</v>
      </c>
      <c r="D382" s="33"/>
      <c r="E382" s="33"/>
      <c r="F382" s="33"/>
      <c r="G382" s="33"/>
      <c r="H382" s="77" t="s">
        <v>2087</v>
      </c>
      <c r="I382" s="186" t="s">
        <v>984</v>
      </c>
      <c r="J382" s="146" t="s">
        <v>745</v>
      </c>
      <c r="K382" s="125"/>
      <c r="L382" s="6"/>
      <c r="M382" s="6"/>
      <c r="N382" s="6"/>
      <c r="O382" s="51"/>
      <c r="P382" s="51"/>
      <c r="Q382" s="51"/>
      <c r="R382" s="60"/>
      <c r="S382" s="88"/>
      <c r="T382" s="88"/>
      <c r="U382" s="88"/>
      <c r="V382" s="60"/>
      <c r="W382" s="38"/>
      <c r="X382" s="11"/>
      <c r="Y382" s="17"/>
      <c r="Z382" s="17"/>
      <c r="AA382" s="72"/>
      <c r="AB382" s="72"/>
      <c r="AC382" s="72"/>
      <c r="AD382" s="43"/>
      <c r="AE382" s="38"/>
      <c r="AF382" s="11"/>
      <c r="AG382" s="6"/>
      <c r="AH382" s="6"/>
      <c r="AI382" s="6"/>
      <c r="AJ382" s="43"/>
      <c r="AK382" s="38"/>
      <c r="AL382" s="11"/>
      <c r="AM382" s="6"/>
      <c r="AN382" s="6"/>
      <c r="AO382" s="6"/>
      <c r="AP382" s="43"/>
    </row>
    <row r="383" spans="1:42">
      <c r="A383" s="37">
        <v>374</v>
      </c>
      <c r="B383" s="155"/>
      <c r="C383" s="152" t="s">
        <v>1963</v>
      </c>
      <c r="D383" s="33"/>
      <c r="E383" s="33"/>
      <c r="F383" s="33"/>
      <c r="G383" s="33"/>
      <c r="H383" s="77" t="s">
        <v>1569</v>
      </c>
      <c r="I383" s="186" t="s">
        <v>984</v>
      </c>
      <c r="J383" s="146" t="s">
        <v>745</v>
      </c>
      <c r="K383" s="125"/>
      <c r="L383" s="6">
        <v>15390</v>
      </c>
      <c r="M383" s="6">
        <v>769.5</v>
      </c>
      <c r="N383" s="6">
        <v>16159.5</v>
      </c>
      <c r="O383" s="51"/>
      <c r="P383" s="51"/>
      <c r="Q383" s="51"/>
      <c r="R383" s="60"/>
      <c r="S383" s="51"/>
      <c r="T383" s="51"/>
      <c r="U383" s="51"/>
      <c r="V383" s="60"/>
      <c r="W383" s="38"/>
      <c r="X383" s="11"/>
      <c r="Y383" s="17"/>
      <c r="Z383" s="17"/>
      <c r="AA383" s="70"/>
      <c r="AB383" s="70"/>
      <c r="AC383" s="70"/>
      <c r="AD383" s="43"/>
      <c r="AE383" s="38"/>
      <c r="AF383" s="11"/>
      <c r="AG383" s="6"/>
      <c r="AH383" s="6"/>
      <c r="AI383" s="6"/>
      <c r="AJ383" s="43"/>
      <c r="AK383" s="38"/>
      <c r="AL383" s="11"/>
      <c r="AM383" s="6"/>
      <c r="AN383" s="6"/>
      <c r="AO383" s="6"/>
      <c r="AP383" s="43"/>
    </row>
    <row r="384" spans="1:42">
      <c r="A384" s="37">
        <v>375</v>
      </c>
      <c r="B384" s="155"/>
      <c r="C384" s="152" t="s">
        <v>842</v>
      </c>
      <c r="D384" s="33"/>
      <c r="E384" s="33"/>
      <c r="F384" s="33"/>
      <c r="G384" s="33"/>
      <c r="H384" s="77" t="s">
        <v>852</v>
      </c>
      <c r="I384" s="186"/>
      <c r="J384" s="146"/>
      <c r="K384" s="125"/>
      <c r="L384" s="6"/>
      <c r="M384" s="6"/>
      <c r="N384" s="6"/>
      <c r="O384" s="51"/>
      <c r="P384" s="51"/>
      <c r="Q384" s="51"/>
      <c r="R384" s="60"/>
      <c r="S384" s="51"/>
      <c r="T384" s="51"/>
      <c r="U384" s="51"/>
      <c r="V384" s="60"/>
      <c r="W384" s="38"/>
      <c r="X384" s="11"/>
      <c r="Y384" s="17"/>
      <c r="Z384" s="17"/>
      <c r="AA384" s="70"/>
      <c r="AB384" s="70"/>
      <c r="AC384" s="70"/>
      <c r="AD384" s="43"/>
      <c r="AE384" s="38"/>
      <c r="AF384" s="11"/>
      <c r="AG384" s="6"/>
      <c r="AH384" s="6"/>
      <c r="AI384" s="6"/>
      <c r="AJ384" s="43"/>
      <c r="AK384" s="38"/>
      <c r="AL384" s="11"/>
      <c r="AM384" s="6"/>
      <c r="AN384" s="6"/>
      <c r="AO384" s="6"/>
      <c r="AP384" s="43"/>
    </row>
    <row r="385" spans="1:42">
      <c r="A385" s="37">
        <v>376</v>
      </c>
      <c r="B385" s="155"/>
      <c r="C385" s="152" t="s">
        <v>644</v>
      </c>
      <c r="D385" s="33"/>
      <c r="E385" s="33"/>
      <c r="F385" s="33"/>
      <c r="G385" s="33"/>
      <c r="H385" s="77" t="s">
        <v>746</v>
      </c>
      <c r="I385" s="186"/>
      <c r="J385" s="146" t="s">
        <v>701</v>
      </c>
      <c r="K385" s="125"/>
      <c r="L385" s="6"/>
      <c r="M385" s="6"/>
      <c r="N385" s="6"/>
      <c r="O385" s="51"/>
      <c r="P385" s="51"/>
      <c r="Q385" s="51"/>
      <c r="R385" s="60"/>
      <c r="S385" s="51"/>
      <c r="T385" s="51"/>
      <c r="U385" s="51"/>
      <c r="V385" s="60"/>
      <c r="W385" s="38"/>
      <c r="X385" s="11"/>
      <c r="Y385" s="17"/>
      <c r="Z385" s="17"/>
      <c r="AA385" s="70"/>
      <c r="AB385" s="70"/>
      <c r="AC385" s="70"/>
      <c r="AD385" s="43"/>
      <c r="AE385" s="38"/>
      <c r="AF385" s="11"/>
      <c r="AG385" s="6"/>
      <c r="AH385" s="6"/>
      <c r="AI385" s="6"/>
      <c r="AJ385" s="43"/>
      <c r="AK385" s="38"/>
      <c r="AL385" s="11"/>
      <c r="AM385" s="6"/>
      <c r="AN385" s="6"/>
      <c r="AO385" s="6"/>
      <c r="AP385" s="43"/>
    </row>
    <row r="386" spans="1:42">
      <c r="A386" s="37">
        <v>377</v>
      </c>
      <c r="B386" s="155"/>
      <c r="C386" s="152" t="s">
        <v>2070</v>
      </c>
      <c r="D386" s="33"/>
      <c r="E386" s="33"/>
      <c r="F386" s="33"/>
      <c r="G386" s="33"/>
      <c r="H386" s="77" t="s">
        <v>2071</v>
      </c>
      <c r="I386" s="186" t="s">
        <v>1001</v>
      </c>
      <c r="J386" s="146"/>
      <c r="K386" s="125"/>
      <c r="L386" s="6"/>
      <c r="M386" s="6"/>
      <c r="N386" s="6"/>
      <c r="O386" s="51"/>
      <c r="P386" s="51"/>
      <c r="Q386" s="51"/>
      <c r="R386" s="60"/>
      <c r="S386" s="51"/>
      <c r="T386" s="51"/>
      <c r="U386" s="51"/>
      <c r="V386" s="60"/>
      <c r="W386" s="38"/>
      <c r="X386" s="11"/>
      <c r="Y386" s="17"/>
      <c r="Z386" s="17"/>
      <c r="AA386" s="70"/>
      <c r="AB386" s="70"/>
      <c r="AC386" s="70"/>
      <c r="AD386" s="43"/>
      <c r="AE386" s="38"/>
      <c r="AF386" s="11"/>
      <c r="AG386" s="6"/>
      <c r="AH386" s="6"/>
      <c r="AI386" s="6"/>
      <c r="AJ386" s="43"/>
      <c r="AK386" s="38"/>
      <c r="AL386" s="11"/>
      <c r="AM386" s="6"/>
      <c r="AN386" s="6"/>
      <c r="AO386" s="6"/>
      <c r="AP386" s="43"/>
    </row>
    <row r="387" spans="1:42">
      <c r="A387" s="37">
        <v>378</v>
      </c>
      <c r="B387" s="155"/>
      <c r="C387" s="152" t="s">
        <v>2073</v>
      </c>
      <c r="D387" s="33"/>
      <c r="E387" s="33"/>
      <c r="F387" s="33"/>
      <c r="G387" s="33"/>
      <c r="H387" s="115" t="s">
        <v>1838</v>
      </c>
      <c r="I387" s="195" t="s">
        <v>984</v>
      </c>
      <c r="J387" s="146"/>
      <c r="K387" s="125"/>
      <c r="L387" s="6"/>
      <c r="M387" s="6"/>
      <c r="N387" s="6"/>
      <c r="O387" s="51"/>
      <c r="P387" s="51"/>
      <c r="Q387" s="51"/>
      <c r="R387" s="60"/>
      <c r="S387" s="51"/>
      <c r="T387" s="51"/>
      <c r="U387" s="51"/>
      <c r="V387" s="60"/>
      <c r="W387" s="38"/>
      <c r="X387" s="11"/>
      <c r="Y387" s="17"/>
      <c r="Z387" s="17"/>
      <c r="AA387" s="70"/>
      <c r="AB387" s="70"/>
      <c r="AC387" s="70"/>
      <c r="AD387" s="43"/>
      <c r="AE387" s="38"/>
      <c r="AF387" s="11"/>
      <c r="AG387" s="6"/>
      <c r="AH387" s="6"/>
      <c r="AI387" s="6"/>
      <c r="AJ387" s="43"/>
      <c r="AK387" s="38"/>
      <c r="AL387" s="11"/>
      <c r="AM387" s="6"/>
      <c r="AN387" s="6"/>
      <c r="AO387" s="6"/>
      <c r="AP387" s="43"/>
    </row>
    <row r="388" spans="1:42">
      <c r="A388" s="37">
        <v>379</v>
      </c>
      <c r="B388" s="155"/>
      <c r="C388" s="152" t="s">
        <v>1577</v>
      </c>
      <c r="D388" s="33"/>
      <c r="E388" s="33"/>
      <c r="F388" s="33"/>
      <c r="G388" s="33"/>
      <c r="H388" s="115" t="s">
        <v>1892</v>
      </c>
      <c r="I388" s="195" t="s">
        <v>984</v>
      </c>
      <c r="J388" s="146"/>
      <c r="K388" s="125"/>
      <c r="L388" s="6"/>
      <c r="M388" s="6"/>
      <c r="N388" s="6"/>
      <c r="O388" s="51"/>
      <c r="P388" s="51"/>
      <c r="Q388" s="51"/>
      <c r="R388" s="60"/>
      <c r="S388" s="51"/>
      <c r="T388" s="51"/>
      <c r="U388" s="51"/>
      <c r="V388" s="60"/>
      <c r="W388" s="38"/>
      <c r="X388" s="11"/>
      <c r="Y388" s="17"/>
      <c r="Z388" s="17"/>
      <c r="AA388" s="70"/>
      <c r="AB388" s="70"/>
      <c r="AC388" s="70"/>
      <c r="AD388" s="43"/>
      <c r="AE388" s="38"/>
      <c r="AF388" s="11"/>
      <c r="AG388" s="6"/>
      <c r="AH388" s="6"/>
      <c r="AI388" s="6"/>
      <c r="AJ388" s="43"/>
      <c r="AK388" s="38"/>
      <c r="AL388" s="11"/>
      <c r="AM388" s="6"/>
      <c r="AN388" s="6"/>
      <c r="AO388" s="6"/>
      <c r="AP388" s="43"/>
    </row>
    <row r="389" spans="1:42">
      <c r="A389" s="37">
        <v>380</v>
      </c>
      <c r="B389" s="155"/>
      <c r="C389" s="152" t="s">
        <v>2046</v>
      </c>
      <c r="D389" s="33"/>
      <c r="E389" s="33"/>
      <c r="F389" s="33"/>
      <c r="G389" s="33"/>
      <c r="H389" s="115" t="s">
        <v>1891</v>
      </c>
      <c r="I389" s="195" t="s">
        <v>984</v>
      </c>
      <c r="J389" s="146"/>
      <c r="K389" s="125"/>
      <c r="L389" s="6"/>
      <c r="M389" s="6"/>
      <c r="N389" s="6"/>
      <c r="O389" s="51"/>
      <c r="P389" s="51"/>
      <c r="Q389" s="51"/>
      <c r="R389" s="60"/>
      <c r="S389" s="51"/>
      <c r="T389" s="51"/>
      <c r="U389" s="51"/>
      <c r="V389" s="60"/>
      <c r="W389" s="38"/>
      <c r="X389" s="11"/>
      <c r="Y389" s="17"/>
      <c r="Z389" s="17"/>
      <c r="AA389" s="70"/>
      <c r="AB389" s="70"/>
      <c r="AC389" s="70"/>
      <c r="AD389" s="43"/>
      <c r="AE389" s="38"/>
      <c r="AF389" s="11"/>
      <c r="AG389" s="6"/>
      <c r="AH389" s="6"/>
      <c r="AI389" s="6"/>
      <c r="AJ389" s="43"/>
      <c r="AK389" s="38"/>
      <c r="AL389" s="11"/>
      <c r="AM389" s="6"/>
      <c r="AN389" s="6"/>
      <c r="AO389" s="6"/>
      <c r="AP389" s="43"/>
    </row>
    <row r="390" spans="1:42">
      <c r="A390" s="37">
        <v>381</v>
      </c>
      <c r="B390" s="155"/>
      <c r="C390" s="152" t="s">
        <v>709</v>
      </c>
      <c r="D390" s="33"/>
      <c r="E390" s="33"/>
      <c r="F390" s="33"/>
      <c r="G390" s="33"/>
      <c r="H390" s="77" t="s">
        <v>896</v>
      </c>
      <c r="I390" s="195" t="s">
        <v>984</v>
      </c>
      <c r="J390" s="146"/>
      <c r="K390" s="125"/>
      <c r="L390" s="6"/>
      <c r="M390" s="6"/>
      <c r="N390" s="6"/>
      <c r="O390" s="51"/>
      <c r="P390" s="51"/>
      <c r="Q390" s="51"/>
      <c r="R390" s="60"/>
      <c r="S390" s="51"/>
      <c r="T390" s="51"/>
      <c r="U390" s="51"/>
      <c r="V390" s="60"/>
      <c r="W390" s="38"/>
      <c r="X390" s="11"/>
      <c r="Y390" s="17"/>
      <c r="Z390" s="17"/>
      <c r="AA390" s="70"/>
      <c r="AB390" s="70"/>
      <c r="AC390" s="70"/>
      <c r="AD390" s="43"/>
      <c r="AE390" s="38"/>
      <c r="AF390" s="11"/>
      <c r="AG390" s="6"/>
      <c r="AH390" s="6"/>
      <c r="AI390" s="6"/>
      <c r="AJ390" s="43"/>
      <c r="AK390" s="38"/>
      <c r="AL390" s="11"/>
      <c r="AM390" s="6"/>
      <c r="AN390" s="6"/>
      <c r="AO390" s="6"/>
      <c r="AP390" s="43"/>
    </row>
    <row r="391" spans="1:42">
      <c r="A391" s="37">
        <v>382</v>
      </c>
      <c r="B391" s="155"/>
      <c r="C391" s="152" t="s">
        <v>681</v>
      </c>
      <c r="D391" s="33"/>
      <c r="E391" s="33"/>
      <c r="F391" s="33"/>
      <c r="G391" s="33"/>
      <c r="H391" s="77" t="s">
        <v>1461</v>
      </c>
      <c r="I391" s="186" t="s">
        <v>1217</v>
      </c>
      <c r="J391" s="146"/>
      <c r="K391" s="125"/>
      <c r="L391" s="6">
        <v>24950</v>
      </c>
      <c r="M391" s="6">
        <v>1247.5</v>
      </c>
      <c r="N391" s="6">
        <v>26197.5</v>
      </c>
      <c r="O391" s="51"/>
      <c r="P391" s="51"/>
      <c r="Q391" s="51"/>
      <c r="R391" s="60"/>
      <c r="S391" s="51"/>
      <c r="T391" s="51"/>
      <c r="U391" s="51"/>
      <c r="V391" s="60"/>
      <c r="W391" s="38"/>
      <c r="X391" s="11"/>
      <c r="Y391" s="17"/>
      <c r="Z391" s="17"/>
      <c r="AA391" s="70"/>
      <c r="AB391" s="70"/>
      <c r="AC391" s="70"/>
      <c r="AD391" s="43"/>
      <c r="AE391" s="81"/>
      <c r="AF391" s="11"/>
      <c r="AG391" s="6"/>
      <c r="AH391" s="6"/>
      <c r="AI391" s="6"/>
      <c r="AJ391" s="43"/>
      <c r="AK391" s="38"/>
      <c r="AL391" s="11"/>
      <c r="AM391" s="6"/>
      <c r="AN391" s="6"/>
      <c r="AO391" s="6"/>
      <c r="AP391" s="43"/>
    </row>
    <row r="392" spans="1:42">
      <c r="A392" s="37">
        <v>383</v>
      </c>
      <c r="B392" s="155"/>
      <c r="C392" s="152" t="s">
        <v>1006</v>
      </c>
      <c r="D392" s="33"/>
      <c r="E392" s="33"/>
      <c r="F392" s="33"/>
      <c r="G392" s="33"/>
      <c r="H392" s="77" t="s">
        <v>1005</v>
      </c>
      <c r="I392" s="186" t="s">
        <v>1007</v>
      </c>
      <c r="J392" s="146"/>
      <c r="K392" s="125"/>
      <c r="L392" s="6">
        <v>540</v>
      </c>
      <c r="M392" s="6">
        <v>27</v>
      </c>
      <c r="N392" s="6">
        <v>567</v>
      </c>
      <c r="O392" s="51"/>
      <c r="P392" s="51"/>
      <c r="Q392" s="51"/>
      <c r="R392" s="60"/>
      <c r="S392" s="51"/>
      <c r="T392" s="51"/>
      <c r="U392" s="51"/>
      <c r="V392" s="60"/>
      <c r="W392" s="38"/>
      <c r="X392" s="11"/>
      <c r="Y392" s="17"/>
      <c r="Z392" s="17"/>
      <c r="AA392" s="70"/>
      <c r="AB392" s="70"/>
      <c r="AC392" s="70"/>
      <c r="AD392" s="43"/>
      <c r="AE392" s="38"/>
      <c r="AF392" s="11"/>
      <c r="AG392" s="6"/>
      <c r="AH392" s="6"/>
      <c r="AI392" s="6"/>
      <c r="AJ392" s="43"/>
      <c r="AK392" s="38"/>
      <c r="AL392" s="11"/>
      <c r="AM392" s="6"/>
      <c r="AN392" s="6"/>
      <c r="AO392" s="6"/>
      <c r="AP392" s="43"/>
    </row>
    <row r="393" spans="1:42">
      <c r="A393" s="37">
        <v>384</v>
      </c>
      <c r="B393" s="155"/>
      <c r="C393" s="152" t="s">
        <v>482</v>
      </c>
      <c r="D393" s="33"/>
      <c r="E393" s="33"/>
      <c r="F393" s="33"/>
      <c r="G393" s="33"/>
      <c r="H393" s="77" t="s">
        <v>41</v>
      </c>
      <c r="I393" s="186" t="s">
        <v>984</v>
      </c>
      <c r="J393" s="146"/>
      <c r="K393" s="125"/>
      <c r="L393" s="6"/>
      <c r="M393" s="6"/>
      <c r="N393" s="6"/>
      <c r="O393" s="51"/>
      <c r="P393" s="51"/>
      <c r="Q393" s="51"/>
      <c r="R393" s="60"/>
      <c r="S393" s="51"/>
      <c r="T393" s="51"/>
      <c r="U393" s="51"/>
      <c r="V393" s="60"/>
      <c r="W393" s="38"/>
      <c r="X393" s="11"/>
      <c r="Y393" s="17"/>
      <c r="Z393" s="17"/>
      <c r="AA393" s="70"/>
      <c r="AB393" s="70"/>
      <c r="AC393" s="70"/>
      <c r="AD393" s="43"/>
      <c r="AE393" s="38"/>
      <c r="AF393" s="11"/>
      <c r="AG393" s="6"/>
      <c r="AH393" s="6"/>
      <c r="AI393" s="6"/>
      <c r="AJ393" s="43"/>
      <c r="AK393" s="38"/>
      <c r="AL393" s="11"/>
      <c r="AM393" s="6"/>
      <c r="AN393" s="6"/>
      <c r="AO393" s="6"/>
      <c r="AP393" s="43"/>
    </row>
    <row r="394" spans="1:42">
      <c r="A394" s="37">
        <v>385</v>
      </c>
      <c r="B394" s="155"/>
      <c r="C394" s="152" t="s">
        <v>679</v>
      </c>
      <c r="D394" s="33"/>
      <c r="E394" s="33"/>
      <c r="F394" s="33"/>
      <c r="G394" s="33"/>
      <c r="H394" s="77" t="s">
        <v>865</v>
      </c>
      <c r="I394" s="186"/>
      <c r="J394" s="146" t="s">
        <v>866</v>
      </c>
      <c r="K394" s="35"/>
      <c r="L394" s="17"/>
      <c r="M394" s="17"/>
      <c r="N394" s="17"/>
      <c r="O394" s="51"/>
      <c r="P394" s="51"/>
      <c r="Q394" s="51"/>
      <c r="R394" s="60"/>
      <c r="S394" s="51"/>
      <c r="T394" s="53"/>
      <c r="U394" s="53"/>
      <c r="V394" s="60"/>
      <c r="W394" s="38"/>
      <c r="X394" s="11"/>
      <c r="Y394" s="17"/>
      <c r="Z394" s="17"/>
      <c r="AA394" s="70"/>
      <c r="AB394" s="70"/>
      <c r="AC394" s="70"/>
      <c r="AD394" s="43"/>
      <c r="AE394" s="38"/>
      <c r="AF394" s="11"/>
      <c r="AG394" s="6"/>
      <c r="AH394" s="6"/>
      <c r="AI394" s="6"/>
      <c r="AJ394" s="43"/>
      <c r="AK394" s="38"/>
      <c r="AL394" s="11"/>
      <c r="AM394" s="6"/>
      <c r="AN394" s="6"/>
      <c r="AO394" s="6"/>
      <c r="AP394" s="43"/>
    </row>
    <row r="395" spans="1:42">
      <c r="A395" s="37">
        <v>386</v>
      </c>
      <c r="B395" s="155"/>
      <c r="C395" s="152" t="s">
        <v>2115</v>
      </c>
      <c r="D395" s="33"/>
      <c r="E395" s="33"/>
      <c r="F395" s="33"/>
      <c r="G395" s="33"/>
      <c r="H395" s="77" t="s">
        <v>2116</v>
      </c>
      <c r="I395" s="186" t="s">
        <v>1001</v>
      </c>
      <c r="J395" s="145"/>
      <c r="K395" s="35"/>
      <c r="L395" s="17"/>
      <c r="M395" s="17"/>
      <c r="N395" s="17"/>
      <c r="O395" s="51"/>
      <c r="P395" s="51"/>
      <c r="Q395" s="51"/>
      <c r="R395" s="60"/>
      <c r="S395" s="51"/>
      <c r="T395" s="53"/>
      <c r="U395" s="53"/>
      <c r="V395" s="60"/>
      <c r="W395" s="38"/>
      <c r="X395" s="11"/>
      <c r="Y395" s="17"/>
      <c r="Z395" s="17"/>
      <c r="AA395" s="70"/>
      <c r="AB395" s="70"/>
      <c r="AC395" s="70"/>
      <c r="AD395" s="43"/>
      <c r="AE395" s="38"/>
      <c r="AF395" s="11"/>
      <c r="AG395" s="6"/>
      <c r="AH395" s="6"/>
      <c r="AI395" s="6"/>
      <c r="AJ395" s="43"/>
      <c r="AK395" s="38"/>
      <c r="AL395" s="11"/>
      <c r="AM395" s="6"/>
      <c r="AN395" s="6"/>
      <c r="AO395" s="6"/>
      <c r="AP395" s="43"/>
    </row>
    <row r="396" spans="1:42" ht="27">
      <c r="A396" s="37">
        <v>387</v>
      </c>
      <c r="B396" s="155"/>
      <c r="C396" s="152" t="s">
        <v>2215</v>
      </c>
      <c r="D396" s="33"/>
      <c r="E396" s="33"/>
      <c r="F396" s="33"/>
      <c r="G396" s="33"/>
      <c r="H396" s="77" t="s">
        <v>1150</v>
      </c>
      <c r="I396" s="186" t="s">
        <v>1878</v>
      </c>
      <c r="J396" s="148"/>
      <c r="K396" s="125"/>
      <c r="L396" s="6">
        <v>240</v>
      </c>
      <c r="M396" s="6">
        <v>12</v>
      </c>
      <c r="N396" s="6">
        <v>252</v>
      </c>
      <c r="O396" s="51"/>
      <c r="P396" s="51"/>
      <c r="Q396" s="51"/>
      <c r="R396" s="60"/>
      <c r="S396" s="51"/>
      <c r="T396" s="51"/>
      <c r="U396" s="51"/>
      <c r="V396" s="60"/>
      <c r="W396" s="81"/>
      <c r="X396" s="11"/>
      <c r="Y396" s="17"/>
      <c r="Z396" s="17"/>
      <c r="AA396" s="70"/>
      <c r="AB396" s="70"/>
      <c r="AC396" s="70"/>
      <c r="AD396" s="43"/>
      <c r="AE396" s="38"/>
      <c r="AF396" s="11"/>
      <c r="AG396" s="84"/>
      <c r="AH396" s="84"/>
      <c r="AI396" s="84"/>
      <c r="AJ396" s="43"/>
      <c r="AK396" s="38"/>
      <c r="AL396" s="11"/>
      <c r="AM396" s="6"/>
      <c r="AN396" s="6"/>
      <c r="AO396" s="6"/>
      <c r="AP396" s="43"/>
    </row>
    <row r="397" spans="1:42">
      <c r="A397" s="37">
        <v>388</v>
      </c>
      <c r="B397" s="155"/>
      <c r="C397" s="152" t="s">
        <v>2033</v>
      </c>
      <c r="D397" s="33"/>
      <c r="E397" s="33"/>
      <c r="F397" s="33"/>
      <c r="G397" s="33"/>
      <c r="H397" s="77" t="s">
        <v>1879</v>
      </c>
      <c r="I397" s="186" t="s">
        <v>1112</v>
      </c>
      <c r="J397" s="148"/>
      <c r="K397" s="125"/>
      <c r="L397" s="6"/>
      <c r="M397" s="6"/>
      <c r="N397" s="6"/>
      <c r="O397" s="51"/>
      <c r="P397" s="51"/>
      <c r="Q397" s="51"/>
      <c r="R397" s="60"/>
      <c r="S397" s="51"/>
      <c r="T397" s="51"/>
      <c r="U397" s="51"/>
      <c r="V397" s="60"/>
      <c r="W397" s="81"/>
      <c r="X397" s="11"/>
      <c r="Y397" s="17"/>
      <c r="Z397" s="17"/>
      <c r="AA397" s="70"/>
      <c r="AB397" s="70"/>
      <c r="AC397" s="70"/>
      <c r="AD397" s="43"/>
      <c r="AE397" s="38"/>
      <c r="AF397" s="11"/>
      <c r="AG397" s="84"/>
      <c r="AH397" s="84"/>
      <c r="AI397" s="84"/>
      <c r="AJ397" s="43"/>
      <c r="AK397" s="38"/>
      <c r="AL397" s="11"/>
      <c r="AM397" s="6"/>
      <c r="AN397" s="6"/>
      <c r="AO397" s="6"/>
      <c r="AP397" s="43"/>
    </row>
    <row r="398" spans="1:42">
      <c r="A398" s="37">
        <v>389</v>
      </c>
      <c r="B398" s="155"/>
      <c r="C398" s="152" t="s">
        <v>1241</v>
      </c>
      <c r="D398" s="33"/>
      <c r="E398" s="33"/>
      <c r="F398" s="33"/>
      <c r="G398" s="33"/>
      <c r="H398" s="77" t="s">
        <v>1820</v>
      </c>
      <c r="I398" s="186"/>
      <c r="J398" s="145"/>
      <c r="K398" s="35"/>
      <c r="L398" s="17"/>
      <c r="M398" s="17"/>
      <c r="N398" s="17"/>
      <c r="O398" s="51"/>
      <c r="P398" s="51"/>
      <c r="Q398" s="51"/>
      <c r="R398" s="60"/>
      <c r="S398" s="51"/>
      <c r="T398" s="53"/>
      <c r="U398" s="53"/>
      <c r="V398" s="60"/>
      <c r="W398" s="38"/>
      <c r="X398" s="11"/>
      <c r="Y398" s="17"/>
      <c r="Z398" s="17"/>
      <c r="AA398" s="70"/>
      <c r="AB398" s="70"/>
      <c r="AC398" s="70"/>
      <c r="AD398" s="43"/>
      <c r="AE398" s="38"/>
      <c r="AF398" s="11"/>
      <c r="AG398" s="6"/>
      <c r="AH398" s="6"/>
      <c r="AI398" s="6"/>
      <c r="AJ398" s="43"/>
      <c r="AK398" s="38"/>
      <c r="AL398" s="11"/>
      <c r="AM398" s="6"/>
      <c r="AN398" s="6"/>
      <c r="AO398" s="6"/>
      <c r="AP398" s="43"/>
    </row>
    <row r="399" spans="1:42">
      <c r="A399" s="37">
        <v>390</v>
      </c>
      <c r="B399" s="155"/>
      <c r="C399" s="152" t="s">
        <v>1821</v>
      </c>
      <c r="D399" s="33"/>
      <c r="E399" s="33"/>
      <c r="F399" s="33"/>
      <c r="G399" s="33"/>
      <c r="H399" s="77" t="s">
        <v>1822</v>
      </c>
      <c r="I399" s="186" t="s">
        <v>977</v>
      </c>
      <c r="J399" s="145" t="s">
        <v>1823</v>
      </c>
      <c r="K399" s="35"/>
      <c r="L399" s="17"/>
      <c r="M399" s="17"/>
      <c r="N399" s="17"/>
      <c r="O399" s="51"/>
      <c r="P399" s="51"/>
      <c r="Q399" s="51"/>
      <c r="R399" s="60"/>
      <c r="S399" s="51"/>
      <c r="T399" s="53"/>
      <c r="U399" s="53"/>
      <c r="V399" s="60"/>
      <c r="W399" s="38"/>
      <c r="X399" s="11"/>
      <c r="Y399" s="17"/>
      <c r="Z399" s="17"/>
      <c r="AA399" s="70"/>
      <c r="AB399" s="70"/>
      <c r="AC399" s="70"/>
      <c r="AD399" s="43"/>
      <c r="AE399" s="38"/>
      <c r="AF399" s="11"/>
      <c r="AG399" s="6"/>
      <c r="AH399" s="6"/>
      <c r="AI399" s="6"/>
      <c r="AJ399" s="43"/>
      <c r="AK399" s="38"/>
      <c r="AL399" s="11"/>
      <c r="AM399" s="6"/>
      <c r="AN399" s="6"/>
      <c r="AO399" s="6"/>
      <c r="AP399" s="43"/>
    </row>
    <row r="400" spans="1:42">
      <c r="A400" s="37">
        <v>391</v>
      </c>
      <c r="B400" s="155"/>
      <c r="C400" s="152" t="s">
        <v>1521</v>
      </c>
      <c r="D400" s="33"/>
      <c r="E400" s="33"/>
      <c r="F400" s="33"/>
      <c r="G400" s="33"/>
      <c r="H400" s="77" t="s">
        <v>1460</v>
      </c>
      <c r="I400" s="186"/>
      <c r="J400" s="145"/>
      <c r="K400" s="35"/>
      <c r="L400" s="17"/>
      <c r="M400" s="17"/>
      <c r="N400" s="17"/>
      <c r="O400" s="51"/>
      <c r="P400" s="51"/>
      <c r="Q400" s="51"/>
      <c r="R400" s="60"/>
      <c r="S400" s="51"/>
      <c r="T400" s="53"/>
      <c r="U400" s="53"/>
      <c r="V400" s="60"/>
      <c r="W400" s="38"/>
      <c r="X400" s="11"/>
      <c r="Y400" s="17"/>
      <c r="Z400" s="17"/>
      <c r="AA400" s="70"/>
      <c r="AB400" s="70"/>
      <c r="AC400" s="70"/>
      <c r="AD400" s="43"/>
      <c r="AE400" s="38"/>
      <c r="AF400" s="11"/>
      <c r="AG400" s="6"/>
      <c r="AH400" s="6"/>
      <c r="AI400" s="6"/>
      <c r="AJ400" s="43"/>
      <c r="AK400" s="38"/>
      <c r="AL400" s="11"/>
      <c r="AM400" s="6"/>
      <c r="AN400" s="6"/>
      <c r="AO400" s="6"/>
      <c r="AP400" s="43"/>
    </row>
    <row r="401" spans="1:42">
      <c r="A401" s="37">
        <v>392</v>
      </c>
      <c r="B401" s="155"/>
      <c r="C401" s="152" t="s">
        <v>1322</v>
      </c>
      <c r="D401" s="33"/>
      <c r="E401" s="33"/>
      <c r="F401" s="33"/>
      <c r="G401" s="33"/>
      <c r="H401" s="77" t="s">
        <v>1560</v>
      </c>
      <c r="I401" s="186"/>
      <c r="J401" s="145" t="s">
        <v>773</v>
      </c>
      <c r="K401" s="35"/>
      <c r="L401" s="17"/>
      <c r="M401" s="17"/>
      <c r="N401" s="17"/>
      <c r="O401" s="51"/>
      <c r="P401" s="51"/>
      <c r="Q401" s="51"/>
      <c r="R401" s="60"/>
      <c r="S401" s="51"/>
      <c r="T401" s="53"/>
      <c r="U401" s="53"/>
      <c r="V401" s="60"/>
      <c r="W401" s="38"/>
      <c r="X401" s="11"/>
      <c r="Y401" s="17"/>
      <c r="Z401" s="17"/>
      <c r="AA401" s="70"/>
      <c r="AB401" s="70"/>
      <c r="AC401" s="70"/>
      <c r="AD401" s="43"/>
      <c r="AE401" s="38"/>
      <c r="AF401" s="11"/>
      <c r="AG401" s="6"/>
      <c r="AH401" s="6"/>
      <c r="AI401" s="6"/>
      <c r="AJ401" s="43"/>
      <c r="AK401" s="38"/>
      <c r="AL401" s="11"/>
      <c r="AM401" s="6"/>
      <c r="AN401" s="6"/>
      <c r="AO401" s="6"/>
      <c r="AP401" s="43"/>
    </row>
    <row r="402" spans="1:42">
      <c r="A402" s="37">
        <v>393</v>
      </c>
      <c r="B402" s="155"/>
      <c r="C402" s="152" t="s">
        <v>226</v>
      </c>
      <c r="D402" s="33"/>
      <c r="E402" s="33"/>
      <c r="F402" s="33"/>
      <c r="G402" s="33"/>
      <c r="H402" s="77" t="s">
        <v>11</v>
      </c>
      <c r="I402" s="186" t="s">
        <v>1101</v>
      </c>
      <c r="J402" s="146" t="s">
        <v>828</v>
      </c>
      <c r="K402" s="125"/>
      <c r="L402" s="6"/>
      <c r="M402" s="6"/>
      <c r="N402" s="6"/>
      <c r="O402" s="51"/>
      <c r="P402" s="51"/>
      <c r="Q402" s="51"/>
      <c r="R402" s="60"/>
      <c r="S402" s="94"/>
      <c r="T402" s="94"/>
      <c r="U402" s="94"/>
      <c r="V402" s="60"/>
      <c r="W402" s="38"/>
      <c r="X402" s="11"/>
      <c r="Y402" s="17"/>
      <c r="Z402" s="17"/>
      <c r="AA402" s="95"/>
      <c r="AB402" s="95"/>
      <c r="AC402" s="95"/>
      <c r="AD402" s="43"/>
      <c r="AE402" s="38"/>
      <c r="AF402" s="11"/>
      <c r="AG402" s="6"/>
      <c r="AH402" s="6"/>
      <c r="AI402" s="6"/>
      <c r="AJ402" s="43"/>
      <c r="AK402" s="38"/>
      <c r="AL402" s="11"/>
      <c r="AM402" s="84"/>
      <c r="AN402" s="84"/>
      <c r="AO402" s="84"/>
      <c r="AP402" s="43"/>
    </row>
    <row r="403" spans="1:42">
      <c r="A403" s="37">
        <v>394</v>
      </c>
      <c r="B403" s="155"/>
      <c r="C403" s="152" t="s">
        <v>1526</v>
      </c>
      <c r="D403" s="33"/>
      <c r="E403" s="33"/>
      <c r="F403" s="33"/>
      <c r="G403" s="33"/>
      <c r="H403" s="77" t="s">
        <v>1663</v>
      </c>
      <c r="I403" s="186" t="s">
        <v>1839</v>
      </c>
      <c r="J403" s="146" t="s">
        <v>798</v>
      </c>
      <c r="K403" s="35"/>
      <c r="L403" s="17">
        <v>24000</v>
      </c>
      <c r="M403" s="17">
        <v>1200</v>
      </c>
      <c r="N403" s="17">
        <v>25200</v>
      </c>
      <c r="O403" s="51"/>
      <c r="P403" s="51"/>
      <c r="Q403" s="51"/>
      <c r="R403" s="60"/>
      <c r="S403" s="51"/>
      <c r="T403" s="53"/>
      <c r="U403" s="53"/>
      <c r="V403" s="60"/>
      <c r="W403" s="38"/>
      <c r="X403" s="11"/>
      <c r="Y403" s="17"/>
      <c r="Z403" s="17"/>
      <c r="AA403" s="70"/>
      <c r="AB403" s="70"/>
      <c r="AC403" s="70"/>
      <c r="AD403" s="43"/>
      <c r="AE403" s="38"/>
      <c r="AF403" s="11"/>
      <c r="AG403" s="6"/>
      <c r="AH403" s="6"/>
      <c r="AI403" s="6"/>
      <c r="AJ403" s="43"/>
      <c r="AK403" s="38"/>
      <c r="AL403" s="11"/>
      <c r="AM403" s="6"/>
      <c r="AN403" s="6"/>
      <c r="AO403" s="6"/>
      <c r="AP403" s="43"/>
    </row>
    <row r="404" spans="1:42">
      <c r="A404" s="37">
        <v>395</v>
      </c>
      <c r="B404" s="155"/>
      <c r="C404" s="152" t="s">
        <v>1742</v>
      </c>
      <c r="D404" s="33"/>
      <c r="E404" s="33"/>
      <c r="F404" s="33"/>
      <c r="G404" s="33"/>
      <c r="H404" s="250" t="s">
        <v>1741</v>
      </c>
      <c r="I404" s="186" t="s">
        <v>1743</v>
      </c>
      <c r="J404" s="146"/>
      <c r="K404" s="35"/>
      <c r="L404" s="17"/>
      <c r="M404" s="17"/>
      <c r="N404" s="17"/>
      <c r="O404" s="51"/>
      <c r="P404" s="51"/>
      <c r="Q404" s="51"/>
      <c r="R404" s="60"/>
      <c r="S404" s="51"/>
      <c r="T404" s="53"/>
      <c r="U404" s="53"/>
      <c r="V404" s="60"/>
      <c r="W404" s="38"/>
      <c r="X404" s="11"/>
      <c r="Y404" s="17"/>
      <c r="Z404" s="17"/>
      <c r="AA404" s="70"/>
      <c r="AB404" s="70"/>
      <c r="AC404" s="70"/>
      <c r="AD404" s="43"/>
      <c r="AE404" s="38"/>
      <c r="AF404" s="11"/>
      <c r="AG404" s="6"/>
      <c r="AH404" s="6"/>
      <c r="AI404" s="6"/>
      <c r="AJ404" s="43"/>
      <c r="AK404" s="38"/>
      <c r="AL404" s="11"/>
      <c r="AM404" s="6"/>
      <c r="AN404" s="6"/>
      <c r="AO404" s="6"/>
      <c r="AP404" s="43"/>
    </row>
    <row r="405" spans="1:42">
      <c r="A405" s="37">
        <v>396</v>
      </c>
      <c r="B405" s="155"/>
      <c r="C405" s="152" t="s">
        <v>1846</v>
      </c>
      <c r="D405" s="33"/>
      <c r="E405" s="33"/>
      <c r="F405" s="33"/>
      <c r="G405" s="33"/>
      <c r="H405" s="112" t="s">
        <v>1855</v>
      </c>
      <c r="I405" s="186" t="s">
        <v>984</v>
      </c>
      <c r="J405" s="146"/>
      <c r="K405" s="35"/>
      <c r="L405" s="17"/>
      <c r="M405" s="17"/>
      <c r="N405" s="17"/>
      <c r="O405" s="51"/>
      <c r="P405" s="51"/>
      <c r="Q405" s="51"/>
      <c r="R405" s="60"/>
      <c r="S405" s="51"/>
      <c r="T405" s="53"/>
      <c r="U405" s="53"/>
      <c r="V405" s="60"/>
      <c r="W405" s="38"/>
      <c r="X405" s="11"/>
      <c r="Y405" s="17"/>
      <c r="Z405" s="17"/>
      <c r="AA405" s="70"/>
      <c r="AB405" s="70"/>
      <c r="AC405" s="70"/>
      <c r="AD405" s="43"/>
      <c r="AE405" s="38"/>
      <c r="AF405" s="11"/>
      <c r="AG405" s="6"/>
      <c r="AH405" s="6"/>
      <c r="AI405" s="6"/>
      <c r="AJ405" s="43"/>
      <c r="AK405" s="38"/>
      <c r="AL405" s="11"/>
      <c r="AM405" s="6"/>
      <c r="AN405" s="6"/>
      <c r="AO405" s="6"/>
      <c r="AP405" s="43"/>
    </row>
    <row r="406" spans="1:42">
      <c r="A406" s="37">
        <v>397</v>
      </c>
      <c r="B406" s="155"/>
      <c r="C406" s="152" t="s">
        <v>1800</v>
      </c>
      <c r="D406" s="33"/>
      <c r="E406" s="33"/>
      <c r="F406" s="33"/>
      <c r="G406" s="33"/>
      <c r="H406" s="77" t="s">
        <v>1796</v>
      </c>
      <c r="I406" s="186" t="s">
        <v>1836</v>
      </c>
      <c r="J406" s="146"/>
      <c r="K406" s="125"/>
      <c r="L406" s="6">
        <v>17920</v>
      </c>
      <c r="M406" s="6">
        <v>896</v>
      </c>
      <c r="N406" s="6">
        <v>18816</v>
      </c>
      <c r="O406" s="51"/>
      <c r="P406" s="51"/>
      <c r="Q406" s="51"/>
      <c r="R406" s="60"/>
      <c r="S406" s="51"/>
      <c r="T406" s="51"/>
      <c r="U406" s="51"/>
      <c r="V406" s="60"/>
      <c r="W406" s="38"/>
      <c r="X406" s="11"/>
      <c r="Y406" s="17"/>
      <c r="Z406" s="17"/>
      <c r="AA406" s="70"/>
      <c r="AB406" s="70"/>
      <c r="AC406" s="70"/>
      <c r="AD406" s="43"/>
      <c r="AE406" s="38"/>
      <c r="AF406" s="11"/>
      <c r="AG406" s="6"/>
      <c r="AH406" s="6"/>
      <c r="AI406" s="6"/>
      <c r="AJ406" s="43"/>
      <c r="AK406" s="38"/>
      <c r="AL406" s="11"/>
      <c r="AM406" s="6"/>
      <c r="AN406" s="6"/>
      <c r="AO406" s="6"/>
      <c r="AP406" s="43"/>
    </row>
    <row r="407" spans="1:42">
      <c r="A407" s="37">
        <v>398</v>
      </c>
      <c r="B407" s="155"/>
      <c r="C407" s="152" t="s">
        <v>2044</v>
      </c>
      <c r="D407" s="33"/>
      <c r="E407" s="33"/>
      <c r="F407" s="33"/>
      <c r="G407" s="33"/>
      <c r="H407" s="77" t="s">
        <v>1869</v>
      </c>
      <c r="I407" s="186" t="s">
        <v>1870</v>
      </c>
      <c r="J407" s="146"/>
      <c r="K407" s="125"/>
      <c r="L407" s="6"/>
      <c r="M407" s="6"/>
      <c r="N407" s="6"/>
      <c r="O407" s="51"/>
      <c r="P407" s="51"/>
      <c r="Q407" s="51"/>
      <c r="R407" s="60"/>
      <c r="S407" s="51"/>
      <c r="T407" s="51"/>
      <c r="U407" s="51"/>
      <c r="V407" s="60"/>
      <c r="W407" s="38"/>
      <c r="X407" s="11"/>
      <c r="Y407" s="17"/>
      <c r="Z407" s="17"/>
      <c r="AA407" s="70"/>
      <c r="AB407" s="70"/>
      <c r="AC407" s="70"/>
      <c r="AD407" s="43"/>
      <c r="AE407" s="38"/>
      <c r="AF407" s="11"/>
      <c r="AG407" s="6"/>
      <c r="AH407" s="6"/>
      <c r="AI407" s="6"/>
      <c r="AJ407" s="43"/>
      <c r="AK407" s="38"/>
      <c r="AL407" s="11"/>
      <c r="AM407" s="6"/>
      <c r="AN407" s="6"/>
      <c r="AO407" s="6"/>
      <c r="AP407" s="43"/>
    </row>
    <row r="408" spans="1:42">
      <c r="A408" s="37">
        <v>399</v>
      </c>
      <c r="B408" s="155"/>
      <c r="C408" s="152" t="s">
        <v>631</v>
      </c>
      <c r="D408" s="33"/>
      <c r="E408" s="33"/>
      <c r="F408" s="33"/>
      <c r="G408" s="33"/>
      <c r="H408" s="77" t="s">
        <v>729</v>
      </c>
      <c r="I408" s="186" t="s">
        <v>989</v>
      </c>
      <c r="J408" s="146"/>
      <c r="K408" s="125"/>
      <c r="L408" s="6"/>
      <c r="M408" s="6"/>
      <c r="N408" s="6"/>
      <c r="O408" s="51"/>
      <c r="P408" s="51"/>
      <c r="Q408" s="51"/>
      <c r="R408" s="60"/>
      <c r="S408" s="51"/>
      <c r="T408" s="51"/>
      <c r="U408" s="51"/>
      <c r="V408" s="60"/>
      <c r="W408" s="38"/>
      <c r="X408" s="11"/>
      <c r="Y408" s="17"/>
      <c r="Z408" s="17"/>
      <c r="AA408" s="70"/>
      <c r="AB408" s="70"/>
      <c r="AC408" s="70"/>
      <c r="AD408" s="43"/>
      <c r="AE408" s="38"/>
      <c r="AF408" s="11"/>
      <c r="AG408" s="6"/>
      <c r="AH408" s="6"/>
      <c r="AI408" s="6"/>
      <c r="AJ408" s="43"/>
      <c r="AK408" s="38"/>
      <c r="AL408" s="11"/>
      <c r="AM408" s="6"/>
      <c r="AN408" s="6"/>
      <c r="AO408" s="6"/>
      <c r="AP408" s="43"/>
    </row>
    <row r="409" spans="1:42">
      <c r="A409" s="37">
        <v>400</v>
      </c>
      <c r="B409" s="155"/>
      <c r="C409" s="152" t="s">
        <v>1983</v>
      </c>
      <c r="D409" s="33"/>
      <c r="E409" s="33"/>
      <c r="F409" s="33"/>
      <c r="G409" s="33"/>
      <c r="H409" s="77" t="s">
        <v>1984</v>
      </c>
      <c r="I409" s="186" t="s">
        <v>1154</v>
      </c>
      <c r="J409" s="146" t="s">
        <v>1985</v>
      </c>
      <c r="K409" s="125"/>
      <c r="L409" s="6"/>
      <c r="M409" s="6"/>
      <c r="N409" s="6"/>
      <c r="O409" s="51"/>
      <c r="P409" s="51"/>
      <c r="Q409" s="51"/>
      <c r="R409" s="60"/>
      <c r="S409" s="54"/>
      <c r="T409" s="54"/>
      <c r="U409" s="54"/>
      <c r="V409" s="60"/>
      <c r="W409" s="38"/>
      <c r="X409" s="11"/>
      <c r="Y409" s="17"/>
      <c r="Z409" s="87"/>
      <c r="AA409" s="86"/>
      <c r="AB409" s="86"/>
      <c r="AC409" s="86"/>
      <c r="AD409" s="43"/>
      <c r="AE409" s="38"/>
      <c r="AF409" s="11"/>
      <c r="AG409" s="6"/>
      <c r="AH409" s="6"/>
      <c r="AI409" s="6"/>
      <c r="AJ409" s="43"/>
      <c r="AK409" s="38"/>
      <c r="AL409" s="11"/>
      <c r="AM409" s="6"/>
      <c r="AN409" s="6"/>
      <c r="AO409" s="6"/>
      <c r="AP409" s="43"/>
    </row>
    <row r="410" spans="1:42">
      <c r="A410" s="37">
        <v>401</v>
      </c>
      <c r="B410" s="155"/>
      <c r="C410" s="152" t="s">
        <v>1911</v>
      </c>
      <c r="D410" s="33"/>
      <c r="E410" s="33"/>
      <c r="F410" s="33"/>
      <c r="G410" s="33"/>
      <c r="H410" s="77" t="s">
        <v>1914</v>
      </c>
      <c r="I410" s="186" t="s">
        <v>1913</v>
      </c>
      <c r="J410" s="146" t="s">
        <v>1912</v>
      </c>
      <c r="K410" s="125"/>
      <c r="L410" s="6"/>
      <c r="M410" s="6"/>
      <c r="N410" s="6"/>
      <c r="O410" s="51"/>
      <c r="P410" s="51"/>
      <c r="Q410" s="51"/>
      <c r="R410" s="60"/>
      <c r="S410" s="54"/>
      <c r="T410" s="54"/>
      <c r="U410" s="54"/>
      <c r="V410" s="60"/>
      <c r="W410" s="38"/>
      <c r="X410" s="11"/>
      <c r="Y410" s="17"/>
      <c r="Z410" s="87"/>
      <c r="AA410" s="86"/>
      <c r="AB410" s="86"/>
      <c r="AC410" s="86"/>
      <c r="AD410" s="43"/>
      <c r="AE410" s="38"/>
      <c r="AF410" s="11"/>
      <c r="AG410" s="6"/>
      <c r="AH410" s="6"/>
      <c r="AI410" s="6"/>
      <c r="AJ410" s="43"/>
      <c r="AK410" s="38"/>
      <c r="AL410" s="11"/>
      <c r="AM410" s="6"/>
      <c r="AN410" s="6"/>
      <c r="AO410" s="6"/>
      <c r="AP410" s="43"/>
    </row>
    <row r="411" spans="1:42">
      <c r="A411" s="37">
        <v>402</v>
      </c>
      <c r="B411" s="155"/>
      <c r="C411" s="152" t="s">
        <v>483</v>
      </c>
      <c r="D411" s="33"/>
      <c r="E411" s="33"/>
      <c r="F411" s="33"/>
      <c r="G411" s="33"/>
      <c r="H411" s="77" t="s">
        <v>42</v>
      </c>
      <c r="I411" s="186" t="s">
        <v>984</v>
      </c>
      <c r="J411" s="146"/>
      <c r="K411" s="125"/>
      <c r="L411" s="6">
        <v>24900</v>
      </c>
      <c r="M411" s="6">
        <v>1245</v>
      </c>
      <c r="N411" s="6">
        <v>26145</v>
      </c>
      <c r="O411" s="51"/>
      <c r="P411" s="51"/>
      <c r="Q411" s="51"/>
      <c r="R411" s="60"/>
      <c r="S411" s="51"/>
      <c r="T411" s="51"/>
      <c r="U411" s="51"/>
      <c r="V411" s="60"/>
      <c r="W411" s="38"/>
      <c r="X411" s="11"/>
      <c r="Y411" s="17"/>
      <c r="Z411" s="17"/>
      <c r="AA411" s="70"/>
      <c r="AB411" s="70"/>
      <c r="AC411" s="70"/>
      <c r="AD411" s="43"/>
      <c r="AE411" s="38"/>
      <c r="AF411" s="11"/>
      <c r="AG411" s="6"/>
      <c r="AH411" s="6"/>
      <c r="AI411" s="6"/>
      <c r="AJ411" s="43"/>
      <c r="AK411" s="38"/>
      <c r="AL411" s="11"/>
      <c r="AM411" s="6"/>
      <c r="AN411" s="6"/>
      <c r="AO411" s="6"/>
      <c r="AP411" s="43"/>
    </row>
    <row r="412" spans="1:42">
      <c r="A412" s="37"/>
      <c r="B412" s="155"/>
      <c r="C412" s="152" t="s">
        <v>2084</v>
      </c>
      <c r="D412" s="33"/>
      <c r="E412" s="33"/>
      <c r="F412" s="33"/>
      <c r="G412" s="33"/>
      <c r="H412" s="77" t="s">
        <v>2085</v>
      </c>
      <c r="I412" s="186" t="s">
        <v>2099</v>
      </c>
      <c r="J412" s="146"/>
      <c r="K412" s="125"/>
      <c r="L412" s="6"/>
      <c r="M412" s="6"/>
      <c r="N412" s="6"/>
      <c r="O412" s="51"/>
      <c r="P412" s="51"/>
      <c r="Q412" s="51"/>
      <c r="R412" s="60"/>
      <c r="S412" s="51"/>
      <c r="T412" s="51"/>
      <c r="U412" s="51"/>
      <c r="V412" s="60"/>
      <c r="W412" s="38"/>
      <c r="X412" s="11"/>
      <c r="Y412" s="17"/>
      <c r="Z412" s="17"/>
      <c r="AA412" s="70"/>
      <c r="AB412" s="70"/>
      <c r="AC412" s="70"/>
      <c r="AD412" s="43"/>
      <c r="AE412" s="38"/>
      <c r="AF412" s="11"/>
      <c r="AG412" s="6"/>
      <c r="AH412" s="6"/>
      <c r="AI412" s="6"/>
      <c r="AJ412" s="43"/>
      <c r="AK412" s="38"/>
      <c r="AL412" s="11"/>
      <c r="AM412" s="6"/>
      <c r="AN412" s="6"/>
      <c r="AO412" s="6"/>
      <c r="AP412" s="43"/>
    </row>
    <row r="413" spans="1:42">
      <c r="A413" s="37">
        <v>403</v>
      </c>
      <c r="B413" s="155"/>
      <c r="C413" s="152" t="s">
        <v>633</v>
      </c>
      <c r="D413" s="33"/>
      <c r="E413" s="33"/>
      <c r="F413" s="33"/>
      <c r="G413" s="33"/>
      <c r="H413" s="77" t="s">
        <v>1518</v>
      </c>
      <c r="I413" s="186"/>
      <c r="J413" s="146"/>
      <c r="K413" s="125"/>
      <c r="L413" s="6">
        <v>81800</v>
      </c>
      <c r="M413" s="6">
        <v>4090</v>
      </c>
      <c r="N413" s="6">
        <v>85890</v>
      </c>
      <c r="O413" s="51"/>
      <c r="P413" s="51"/>
      <c r="Q413" s="51"/>
      <c r="R413" s="60"/>
      <c r="S413" s="51"/>
      <c r="T413" s="51"/>
      <c r="U413" s="51"/>
      <c r="V413" s="60"/>
      <c r="W413" s="38"/>
      <c r="X413" s="11"/>
      <c r="Y413" s="17"/>
      <c r="Z413" s="17"/>
      <c r="AA413" s="70"/>
      <c r="AB413" s="70"/>
      <c r="AC413" s="70"/>
      <c r="AD413" s="43"/>
      <c r="AE413" s="38"/>
      <c r="AF413" s="11"/>
      <c r="AG413" s="6"/>
      <c r="AH413" s="6"/>
      <c r="AI413" s="6"/>
      <c r="AJ413" s="43"/>
      <c r="AK413" s="38"/>
      <c r="AL413" s="11"/>
      <c r="AM413" s="6"/>
      <c r="AN413" s="6"/>
      <c r="AO413" s="6"/>
      <c r="AP413" s="43"/>
    </row>
    <row r="414" spans="1:42">
      <c r="A414" s="37">
        <v>404</v>
      </c>
      <c r="B414" s="155"/>
      <c r="C414" s="152" t="s">
        <v>1903</v>
      </c>
      <c r="D414" s="33"/>
      <c r="E414" s="33"/>
      <c r="F414" s="33"/>
      <c r="G414" s="33"/>
      <c r="H414" s="77" t="s">
        <v>1932</v>
      </c>
      <c r="I414" s="186" t="s">
        <v>1064</v>
      </c>
      <c r="J414" s="146" t="s">
        <v>1180</v>
      </c>
      <c r="K414" s="125"/>
      <c r="L414" s="6">
        <v>16870</v>
      </c>
      <c r="M414" s="6">
        <v>843.5</v>
      </c>
      <c r="N414" s="6">
        <v>17713.5</v>
      </c>
      <c r="O414" s="51"/>
      <c r="P414" s="51"/>
      <c r="Q414" s="51"/>
      <c r="R414" s="60"/>
      <c r="S414" s="88"/>
      <c r="T414" s="88"/>
      <c r="U414" s="88"/>
      <c r="V414" s="60"/>
      <c r="W414" s="38"/>
      <c r="X414" s="11"/>
      <c r="Y414" s="17"/>
      <c r="Z414" s="87"/>
      <c r="AA414" s="72"/>
      <c r="AB414" s="72"/>
      <c r="AC414" s="72"/>
      <c r="AD414" s="43"/>
      <c r="AE414" s="38"/>
      <c r="AF414" s="11"/>
      <c r="AG414" s="6"/>
      <c r="AH414" s="6"/>
      <c r="AI414" s="6"/>
      <c r="AJ414" s="43"/>
      <c r="AK414" s="38"/>
      <c r="AL414" s="11"/>
      <c r="AM414" s="6"/>
      <c r="AN414" s="6"/>
      <c r="AO414" s="6"/>
      <c r="AP414" s="43"/>
    </row>
    <row r="415" spans="1:42">
      <c r="A415" s="37">
        <v>405</v>
      </c>
      <c r="B415" s="155"/>
      <c r="C415" s="152" t="s">
        <v>1592</v>
      </c>
      <c r="D415" s="33"/>
      <c r="E415" s="33"/>
      <c r="F415" s="33"/>
      <c r="G415" s="33"/>
      <c r="H415" s="77" t="s">
        <v>1593</v>
      </c>
      <c r="I415" s="186" t="s">
        <v>1041</v>
      </c>
      <c r="J415" s="146" t="s">
        <v>715</v>
      </c>
      <c r="K415" s="125"/>
      <c r="L415" s="6"/>
      <c r="M415" s="6"/>
      <c r="N415" s="6"/>
      <c r="O415" s="51"/>
      <c r="P415" s="51"/>
      <c r="Q415" s="51"/>
      <c r="R415" s="60"/>
      <c r="S415" s="88"/>
      <c r="T415" s="88"/>
      <c r="U415" s="88"/>
      <c r="V415" s="60"/>
      <c r="W415" s="38"/>
      <c r="X415" s="11"/>
      <c r="Y415" s="17"/>
      <c r="Z415" s="87"/>
      <c r="AA415" s="72"/>
      <c r="AB415" s="72"/>
      <c r="AC415" s="72"/>
      <c r="AD415" s="43"/>
      <c r="AE415" s="38"/>
      <c r="AF415" s="11"/>
      <c r="AG415" s="6"/>
      <c r="AH415" s="6"/>
      <c r="AI415" s="6"/>
      <c r="AJ415" s="43"/>
      <c r="AK415" s="38"/>
      <c r="AL415" s="11"/>
      <c r="AM415" s="6"/>
      <c r="AN415" s="6"/>
      <c r="AO415" s="6"/>
      <c r="AP415" s="43"/>
    </row>
    <row r="416" spans="1:42">
      <c r="A416" s="37">
        <v>406</v>
      </c>
      <c r="B416" s="155"/>
      <c r="C416" s="152" t="s">
        <v>1528</v>
      </c>
      <c r="D416" s="33"/>
      <c r="E416" s="33"/>
      <c r="F416" s="33"/>
      <c r="G416" s="33"/>
      <c r="H416" s="77" t="s">
        <v>1529</v>
      </c>
      <c r="I416" s="186" t="s">
        <v>984</v>
      </c>
      <c r="J416" s="146"/>
      <c r="K416" s="125"/>
      <c r="L416" s="6"/>
      <c r="M416" s="6"/>
      <c r="N416" s="6"/>
      <c r="O416" s="51"/>
      <c r="P416" s="51"/>
      <c r="Q416" s="51"/>
      <c r="R416" s="60"/>
      <c r="S416" s="88"/>
      <c r="T416" s="88"/>
      <c r="U416" s="88"/>
      <c r="V416" s="60"/>
      <c r="W416" s="38"/>
      <c r="X416" s="11"/>
      <c r="Y416" s="17"/>
      <c r="Z416" s="87"/>
      <c r="AA416" s="72"/>
      <c r="AB416" s="72"/>
      <c r="AC416" s="72"/>
      <c r="AD416" s="43"/>
      <c r="AE416" s="38"/>
      <c r="AF416" s="11"/>
      <c r="AG416" s="6"/>
      <c r="AH416" s="6"/>
      <c r="AI416" s="6"/>
      <c r="AJ416" s="43"/>
      <c r="AK416" s="38"/>
      <c r="AL416" s="11"/>
      <c r="AM416" s="6"/>
      <c r="AN416" s="6"/>
      <c r="AO416" s="6"/>
      <c r="AP416" s="43"/>
    </row>
    <row r="417" spans="1:42">
      <c r="A417" s="37">
        <v>407</v>
      </c>
      <c r="B417" s="155"/>
      <c r="C417" s="152" t="s">
        <v>2101</v>
      </c>
      <c r="D417" s="33"/>
      <c r="E417" s="33"/>
      <c r="F417" s="33"/>
      <c r="G417" s="33"/>
      <c r="H417" s="77" t="s">
        <v>1895</v>
      </c>
      <c r="I417" s="186" t="s">
        <v>984</v>
      </c>
      <c r="J417" s="146"/>
      <c r="K417" s="125"/>
      <c r="L417" s="6"/>
      <c r="M417" s="6"/>
      <c r="N417" s="6"/>
      <c r="O417" s="51"/>
      <c r="P417" s="51"/>
      <c r="Q417" s="51"/>
      <c r="R417" s="60"/>
      <c r="S417" s="88"/>
      <c r="T417" s="88"/>
      <c r="U417" s="88"/>
      <c r="V417" s="60"/>
      <c r="W417" s="38"/>
      <c r="X417" s="11"/>
      <c r="Y417" s="17"/>
      <c r="Z417" s="87"/>
      <c r="AA417" s="72"/>
      <c r="AB417" s="72"/>
      <c r="AC417" s="72"/>
      <c r="AD417" s="43"/>
      <c r="AE417" s="38"/>
      <c r="AF417" s="11"/>
      <c r="AG417" s="6"/>
      <c r="AH417" s="6"/>
      <c r="AI417" s="6"/>
      <c r="AJ417" s="43"/>
      <c r="AK417" s="38"/>
      <c r="AL417" s="11"/>
      <c r="AM417" s="6"/>
      <c r="AN417" s="6"/>
      <c r="AO417" s="6"/>
      <c r="AP417" s="43"/>
    </row>
    <row r="418" spans="1:42">
      <c r="A418" s="37">
        <v>408</v>
      </c>
      <c r="B418" s="155"/>
      <c r="C418" s="152" t="s">
        <v>2102</v>
      </c>
      <c r="D418" s="33"/>
      <c r="E418" s="33"/>
      <c r="F418" s="33"/>
      <c r="G418" s="33"/>
      <c r="H418" s="77" t="s">
        <v>1533</v>
      </c>
      <c r="I418" s="186" t="s">
        <v>1809</v>
      </c>
      <c r="J418" s="146"/>
      <c r="K418" s="125"/>
      <c r="L418" s="6"/>
      <c r="M418" s="6"/>
      <c r="N418" s="6"/>
      <c r="O418" s="51"/>
      <c r="P418" s="51"/>
      <c r="Q418" s="51"/>
      <c r="R418" s="60"/>
      <c r="S418" s="88"/>
      <c r="T418" s="88"/>
      <c r="U418" s="88"/>
      <c r="V418" s="60"/>
      <c r="W418" s="38"/>
      <c r="X418" s="11"/>
      <c r="Y418" s="17"/>
      <c r="Z418" s="87"/>
      <c r="AA418" s="72"/>
      <c r="AB418" s="72"/>
      <c r="AC418" s="72"/>
      <c r="AD418" s="43"/>
      <c r="AE418" s="38"/>
      <c r="AF418" s="11"/>
      <c r="AG418" s="6"/>
      <c r="AH418" s="6"/>
      <c r="AI418" s="6"/>
      <c r="AJ418" s="43"/>
      <c r="AK418" s="38"/>
      <c r="AL418" s="11"/>
      <c r="AM418" s="6"/>
      <c r="AN418" s="6"/>
      <c r="AO418" s="6"/>
      <c r="AP418" s="43"/>
    </row>
    <row r="419" spans="1:42">
      <c r="A419" s="37">
        <v>409</v>
      </c>
      <c r="B419" s="155"/>
      <c r="C419" s="152" t="s">
        <v>672</v>
      </c>
      <c r="D419" s="33"/>
      <c r="E419" s="33"/>
      <c r="F419" s="33"/>
      <c r="G419" s="33"/>
      <c r="H419" s="77" t="s">
        <v>864</v>
      </c>
      <c r="I419" s="186"/>
      <c r="J419" s="146"/>
      <c r="K419" s="125"/>
      <c r="L419" s="6"/>
      <c r="M419" s="6"/>
      <c r="N419" s="6"/>
      <c r="O419" s="51"/>
      <c r="P419" s="51"/>
      <c r="Q419" s="51"/>
      <c r="R419" s="60"/>
      <c r="S419" s="88"/>
      <c r="T419" s="88"/>
      <c r="U419" s="88"/>
      <c r="V419" s="60"/>
      <c r="W419" s="38"/>
      <c r="X419" s="11"/>
      <c r="Y419" s="17"/>
      <c r="Z419" s="87"/>
      <c r="AA419" s="72"/>
      <c r="AB419" s="72"/>
      <c r="AC419" s="72"/>
      <c r="AD419" s="43"/>
      <c r="AE419" s="38"/>
      <c r="AF419" s="11"/>
      <c r="AG419" s="6"/>
      <c r="AH419" s="6"/>
      <c r="AI419" s="6"/>
      <c r="AJ419" s="43"/>
      <c r="AK419" s="38"/>
      <c r="AL419" s="11"/>
      <c r="AM419" s="6"/>
      <c r="AN419" s="6"/>
      <c r="AO419" s="6"/>
      <c r="AP419" s="43"/>
    </row>
    <row r="420" spans="1:42">
      <c r="A420" s="37">
        <v>410</v>
      </c>
      <c r="B420" s="155"/>
      <c r="C420" s="152" t="s">
        <v>960</v>
      </c>
      <c r="D420" s="33"/>
      <c r="E420" s="33"/>
      <c r="F420" s="33"/>
      <c r="G420" s="33"/>
      <c r="H420" s="77" t="s">
        <v>1276</v>
      </c>
      <c r="I420" s="186" t="s">
        <v>984</v>
      </c>
      <c r="J420" s="146"/>
      <c r="K420" s="35"/>
      <c r="L420" s="17"/>
      <c r="M420" s="17"/>
      <c r="N420" s="17"/>
      <c r="O420" s="51"/>
      <c r="P420" s="51"/>
      <c r="Q420" s="51"/>
      <c r="R420" s="60"/>
      <c r="S420" s="52"/>
      <c r="T420" s="52"/>
      <c r="U420" s="52"/>
      <c r="V420" s="60"/>
      <c r="W420" s="38"/>
      <c r="X420" s="11"/>
      <c r="Y420" s="17"/>
      <c r="Z420" s="17"/>
      <c r="AA420" s="71"/>
      <c r="AB420" s="71"/>
      <c r="AC420" s="71"/>
      <c r="AD420" s="43"/>
      <c r="AE420" s="38"/>
      <c r="AF420" s="11"/>
      <c r="AG420" s="6"/>
      <c r="AH420" s="6"/>
      <c r="AI420" s="6"/>
      <c r="AJ420" s="43"/>
      <c r="AK420" s="38"/>
      <c r="AL420" s="11"/>
      <c r="AM420" s="6"/>
      <c r="AN420" s="6"/>
      <c r="AO420" s="6"/>
      <c r="AP420" s="43"/>
    </row>
    <row r="421" spans="1:42">
      <c r="A421" s="37">
        <v>411</v>
      </c>
      <c r="B421" s="155"/>
      <c r="C421" s="152" t="s">
        <v>1363</v>
      </c>
      <c r="D421" s="33"/>
      <c r="E421" s="33"/>
      <c r="F421" s="33"/>
      <c r="G421" s="33"/>
      <c r="H421" s="77" t="s">
        <v>1364</v>
      </c>
      <c r="I421" s="186"/>
      <c r="J421" s="146"/>
      <c r="K421" s="35"/>
      <c r="L421" s="17"/>
      <c r="M421" s="17"/>
      <c r="N421" s="17"/>
      <c r="O421" s="51"/>
      <c r="P421" s="51"/>
      <c r="Q421" s="51"/>
      <c r="R421" s="60"/>
      <c r="S421" s="52"/>
      <c r="T421" s="52"/>
      <c r="U421" s="52"/>
      <c r="V421" s="60"/>
      <c r="W421" s="38"/>
      <c r="X421" s="11"/>
      <c r="Y421" s="17"/>
      <c r="Z421" s="17"/>
      <c r="AA421" s="71"/>
      <c r="AB421" s="71"/>
      <c r="AC421" s="71"/>
      <c r="AD421" s="43"/>
      <c r="AE421" s="38"/>
      <c r="AF421" s="11"/>
      <c r="AG421" s="6"/>
      <c r="AH421" s="6"/>
      <c r="AI421" s="6"/>
      <c r="AJ421" s="43"/>
      <c r="AK421" s="38"/>
      <c r="AL421" s="11"/>
      <c r="AM421" s="6"/>
      <c r="AN421" s="6"/>
      <c r="AO421" s="6"/>
      <c r="AP421" s="43"/>
    </row>
    <row r="422" spans="1:42">
      <c r="A422" s="37">
        <v>412</v>
      </c>
      <c r="B422" s="155"/>
      <c r="C422" s="152" t="s">
        <v>485</v>
      </c>
      <c r="D422" s="33"/>
      <c r="E422" s="33"/>
      <c r="F422" s="33"/>
      <c r="G422" s="33"/>
      <c r="H422" s="77" t="s">
        <v>1157</v>
      </c>
      <c r="I422" s="186" t="s">
        <v>1071</v>
      </c>
      <c r="J422" s="145" t="s">
        <v>1163</v>
      </c>
      <c r="K422" s="125"/>
      <c r="L422" s="6">
        <v>22860</v>
      </c>
      <c r="M422" s="6">
        <v>1143</v>
      </c>
      <c r="N422" s="6">
        <v>24003</v>
      </c>
      <c r="O422" s="51"/>
      <c r="P422" s="51"/>
      <c r="Q422" s="51"/>
      <c r="R422" s="60"/>
      <c r="S422" s="51"/>
      <c r="T422" s="51"/>
      <c r="U422" s="51"/>
      <c r="V422" s="60"/>
      <c r="W422" s="38"/>
      <c r="X422" s="11"/>
      <c r="Y422" s="17"/>
      <c r="Z422" s="17"/>
      <c r="AA422" s="70"/>
      <c r="AB422" s="70"/>
      <c r="AC422" s="70"/>
      <c r="AD422" s="43"/>
      <c r="AE422" s="38"/>
      <c r="AF422" s="11"/>
      <c r="AG422" s="6"/>
      <c r="AH422" s="6"/>
      <c r="AI422" s="6"/>
      <c r="AJ422" s="43"/>
      <c r="AK422" s="38"/>
      <c r="AL422" s="11"/>
      <c r="AM422" s="6"/>
      <c r="AN422" s="6"/>
      <c r="AO422" s="6"/>
      <c r="AP422" s="43"/>
    </row>
    <row r="423" spans="1:42">
      <c r="A423" s="37">
        <v>413</v>
      </c>
      <c r="B423" s="155"/>
      <c r="C423" s="152" t="s">
        <v>1610</v>
      </c>
      <c r="D423" s="33"/>
      <c r="E423" s="33"/>
      <c r="F423" s="33"/>
      <c r="G423" s="33"/>
      <c r="H423" s="77" t="s">
        <v>1155</v>
      </c>
      <c r="I423" s="186" t="s">
        <v>979</v>
      </c>
      <c r="J423" s="146"/>
      <c r="K423" s="125"/>
      <c r="L423" s="6"/>
      <c r="M423" s="6"/>
      <c r="N423" s="6"/>
      <c r="O423" s="51"/>
      <c r="P423" s="51"/>
      <c r="Q423" s="51"/>
      <c r="R423" s="60"/>
      <c r="S423" s="51"/>
      <c r="T423" s="51"/>
      <c r="U423" s="51"/>
      <c r="V423" s="60"/>
      <c r="W423" s="38"/>
      <c r="X423" s="11"/>
      <c r="Y423" s="17"/>
      <c r="Z423" s="17"/>
      <c r="AA423" s="70"/>
      <c r="AB423" s="70"/>
      <c r="AC423" s="70"/>
      <c r="AD423" s="43"/>
      <c r="AE423" s="38"/>
      <c r="AF423" s="11"/>
      <c r="AG423" s="6"/>
      <c r="AH423" s="6"/>
      <c r="AI423" s="6"/>
      <c r="AJ423" s="43"/>
      <c r="AK423" s="38"/>
      <c r="AL423" s="11"/>
      <c r="AM423" s="6"/>
      <c r="AN423" s="6"/>
      <c r="AO423" s="6"/>
      <c r="AP423" s="43"/>
    </row>
    <row r="424" spans="1:42">
      <c r="A424" s="37">
        <v>414</v>
      </c>
      <c r="B424" s="155"/>
      <c r="C424" s="152" t="s">
        <v>1876</v>
      </c>
      <c r="D424" s="33"/>
      <c r="E424" s="33"/>
      <c r="F424" s="33"/>
      <c r="G424" s="33"/>
      <c r="H424" s="77" t="s">
        <v>897</v>
      </c>
      <c r="I424" s="186"/>
      <c r="J424" s="146"/>
      <c r="K424" s="125"/>
      <c r="L424" s="6"/>
      <c r="M424" s="6"/>
      <c r="N424" s="6"/>
      <c r="O424" s="51"/>
      <c r="P424" s="51"/>
      <c r="Q424" s="51"/>
      <c r="R424" s="60"/>
      <c r="S424" s="51"/>
      <c r="T424" s="51"/>
      <c r="U424" s="51"/>
      <c r="V424" s="60"/>
      <c r="W424" s="38"/>
      <c r="X424" s="11"/>
      <c r="Y424" s="17"/>
      <c r="Z424" s="17"/>
      <c r="AA424" s="70"/>
      <c r="AB424" s="70"/>
      <c r="AC424" s="70"/>
      <c r="AD424" s="43"/>
      <c r="AE424" s="38"/>
      <c r="AF424" s="11"/>
      <c r="AG424" s="6"/>
      <c r="AH424" s="6"/>
      <c r="AI424" s="6"/>
      <c r="AJ424" s="43"/>
      <c r="AK424" s="38"/>
      <c r="AL424" s="11"/>
      <c r="AM424" s="6"/>
      <c r="AN424" s="6"/>
      <c r="AO424" s="6"/>
      <c r="AP424" s="43"/>
    </row>
    <row r="425" spans="1:42">
      <c r="A425" s="37">
        <v>415</v>
      </c>
      <c r="B425" s="155"/>
      <c r="C425" s="152" t="s">
        <v>841</v>
      </c>
      <c r="D425" s="33"/>
      <c r="E425" s="33"/>
      <c r="F425" s="33"/>
      <c r="G425" s="33"/>
      <c r="H425" s="77" t="s">
        <v>1156</v>
      </c>
      <c r="I425" s="186"/>
      <c r="J425" s="146"/>
      <c r="K425" s="125"/>
      <c r="L425" s="6"/>
      <c r="M425" s="6"/>
      <c r="N425" s="6"/>
      <c r="O425" s="51"/>
      <c r="P425" s="51"/>
      <c r="Q425" s="51"/>
      <c r="R425" s="60"/>
      <c r="S425" s="51"/>
      <c r="T425" s="51"/>
      <c r="U425" s="51"/>
      <c r="V425" s="60"/>
      <c r="W425" s="38"/>
      <c r="X425" s="11"/>
      <c r="Y425" s="17"/>
      <c r="Z425" s="17"/>
      <c r="AA425" s="70"/>
      <c r="AB425" s="70"/>
      <c r="AC425" s="70"/>
      <c r="AD425" s="43"/>
      <c r="AE425" s="38"/>
      <c r="AF425" s="11"/>
      <c r="AG425" s="6"/>
      <c r="AH425" s="6"/>
      <c r="AI425" s="6"/>
      <c r="AJ425" s="43"/>
      <c r="AK425" s="38"/>
      <c r="AL425" s="11"/>
      <c r="AM425" s="6"/>
      <c r="AN425" s="6"/>
      <c r="AO425" s="6"/>
      <c r="AP425" s="43"/>
    </row>
    <row r="426" spans="1:42">
      <c r="A426" s="37">
        <v>416</v>
      </c>
      <c r="B426" s="155"/>
      <c r="C426" s="152" t="s">
        <v>1366</v>
      </c>
      <c r="D426" s="33"/>
      <c r="E426" s="33"/>
      <c r="F426" s="33"/>
      <c r="G426" s="33"/>
      <c r="H426" s="77" t="s">
        <v>1190</v>
      </c>
      <c r="I426" s="186" t="s">
        <v>984</v>
      </c>
      <c r="J426" s="146"/>
      <c r="K426" s="125"/>
      <c r="L426" s="6"/>
      <c r="M426" s="6"/>
      <c r="N426" s="6"/>
      <c r="O426" s="51"/>
      <c r="P426" s="51"/>
      <c r="Q426" s="51"/>
      <c r="R426" s="60"/>
      <c r="S426" s="51"/>
      <c r="T426" s="51"/>
      <c r="U426" s="51"/>
      <c r="V426" s="60"/>
      <c r="W426" s="38"/>
      <c r="X426" s="11"/>
      <c r="Y426" s="17"/>
      <c r="Z426" s="17"/>
      <c r="AA426" s="70"/>
      <c r="AB426" s="70"/>
      <c r="AC426" s="70"/>
      <c r="AD426" s="43"/>
      <c r="AE426" s="38"/>
      <c r="AF426" s="11"/>
      <c r="AG426" s="6"/>
      <c r="AH426" s="6"/>
      <c r="AI426" s="6"/>
      <c r="AJ426" s="43"/>
      <c r="AK426" s="38"/>
      <c r="AL426" s="11"/>
      <c r="AM426" s="6"/>
      <c r="AN426" s="6"/>
      <c r="AO426" s="6"/>
      <c r="AP426" s="43"/>
    </row>
    <row r="427" spans="1:42">
      <c r="A427" s="37">
        <v>417</v>
      </c>
      <c r="B427" s="155"/>
      <c r="C427" s="152" t="s">
        <v>823</v>
      </c>
      <c r="D427" s="33"/>
      <c r="E427" s="33"/>
      <c r="F427" s="33"/>
      <c r="G427" s="33"/>
      <c r="H427" s="77" t="s">
        <v>1038</v>
      </c>
      <c r="I427" s="186" t="s">
        <v>979</v>
      </c>
      <c r="J427" s="146"/>
      <c r="K427" s="125"/>
      <c r="L427" s="6"/>
      <c r="M427" s="6"/>
      <c r="N427" s="6"/>
      <c r="O427" s="51"/>
      <c r="P427" s="51"/>
      <c r="Q427" s="51"/>
      <c r="R427" s="60"/>
      <c r="S427" s="51"/>
      <c r="T427" s="51"/>
      <c r="U427" s="51"/>
      <c r="V427" s="60"/>
      <c r="W427" s="38"/>
      <c r="X427" s="11"/>
      <c r="Y427" s="17"/>
      <c r="Z427" s="17"/>
      <c r="AA427" s="70"/>
      <c r="AB427" s="70"/>
      <c r="AC427" s="70"/>
      <c r="AD427" s="43"/>
      <c r="AE427" s="38"/>
      <c r="AF427" s="11"/>
      <c r="AG427" s="6"/>
      <c r="AH427" s="6"/>
      <c r="AI427" s="6"/>
      <c r="AJ427" s="43"/>
      <c r="AK427" s="38"/>
      <c r="AL427" s="11"/>
      <c r="AM427" s="6"/>
      <c r="AN427" s="6"/>
      <c r="AO427" s="6"/>
      <c r="AP427" s="43"/>
    </row>
    <row r="428" spans="1:42">
      <c r="A428" s="37">
        <v>418</v>
      </c>
      <c r="B428" s="155"/>
      <c r="C428" s="152" t="s">
        <v>673</v>
      </c>
      <c r="D428" s="33"/>
      <c r="E428" s="33"/>
      <c r="F428" s="33"/>
      <c r="G428" s="33"/>
      <c r="H428" s="112" t="s">
        <v>898</v>
      </c>
      <c r="I428" s="187"/>
      <c r="J428" s="146" t="s">
        <v>713</v>
      </c>
      <c r="K428" s="127">
        <v>338152</v>
      </c>
      <c r="L428" s="6"/>
      <c r="M428" s="6"/>
      <c r="N428" s="6"/>
      <c r="O428" s="51"/>
      <c r="P428" s="51"/>
      <c r="Q428" s="51"/>
      <c r="R428" s="60"/>
      <c r="S428" s="51"/>
      <c r="T428" s="51"/>
      <c r="U428" s="51"/>
      <c r="V428" s="60"/>
      <c r="W428" s="38"/>
      <c r="X428" s="11"/>
      <c r="Y428" s="17"/>
      <c r="Z428" s="17"/>
      <c r="AA428" s="70"/>
      <c r="AB428" s="70"/>
      <c r="AC428" s="70"/>
      <c r="AD428" s="43"/>
      <c r="AE428" s="38"/>
      <c r="AF428" s="11"/>
      <c r="AG428" s="6"/>
      <c r="AH428" s="6"/>
      <c r="AI428" s="6"/>
      <c r="AJ428" s="43"/>
      <c r="AK428" s="38"/>
      <c r="AL428" s="11"/>
      <c r="AM428" s="6"/>
      <c r="AN428" s="6"/>
      <c r="AO428" s="6"/>
      <c r="AP428" s="43"/>
    </row>
    <row r="429" spans="1:42">
      <c r="A429" s="37">
        <v>419</v>
      </c>
      <c r="B429" s="155"/>
      <c r="C429" s="152" t="s">
        <v>1265</v>
      </c>
      <c r="D429" s="33"/>
      <c r="E429" s="33"/>
      <c r="F429" s="33"/>
      <c r="G429" s="33"/>
      <c r="H429" s="77" t="s">
        <v>969</v>
      </c>
      <c r="I429" s="186" t="s">
        <v>984</v>
      </c>
      <c r="J429" s="146"/>
      <c r="K429" s="127"/>
      <c r="L429" s="6"/>
      <c r="M429" s="6"/>
      <c r="N429" s="6"/>
      <c r="O429" s="51"/>
      <c r="P429" s="51"/>
      <c r="Q429" s="51"/>
      <c r="R429" s="60"/>
      <c r="S429" s="51"/>
      <c r="T429" s="51"/>
      <c r="U429" s="51"/>
      <c r="V429" s="60"/>
      <c r="W429" s="38"/>
      <c r="X429" s="11"/>
      <c r="Y429" s="17"/>
      <c r="Z429" s="17"/>
      <c r="AA429" s="70"/>
      <c r="AB429" s="70"/>
      <c r="AC429" s="70"/>
      <c r="AD429" s="43"/>
      <c r="AE429" s="38"/>
      <c r="AF429" s="11"/>
      <c r="AG429" s="6"/>
      <c r="AH429" s="6"/>
      <c r="AI429" s="6"/>
      <c r="AJ429" s="43"/>
      <c r="AK429" s="38"/>
      <c r="AL429" s="11"/>
      <c r="AM429" s="6"/>
      <c r="AN429" s="6"/>
      <c r="AO429" s="6"/>
      <c r="AP429" s="43"/>
    </row>
    <row r="430" spans="1:42">
      <c r="A430" s="37">
        <v>420</v>
      </c>
      <c r="B430" s="155"/>
      <c r="C430" s="152" t="s">
        <v>1320</v>
      </c>
      <c r="D430" s="33"/>
      <c r="E430" s="33"/>
      <c r="F430" s="33"/>
      <c r="G430" s="33"/>
      <c r="H430" s="77" t="s">
        <v>1321</v>
      </c>
      <c r="I430" s="186" t="s">
        <v>984</v>
      </c>
      <c r="J430" s="146"/>
      <c r="K430" s="125"/>
      <c r="L430" s="6"/>
      <c r="M430" s="6"/>
      <c r="N430" s="6"/>
      <c r="O430" s="51"/>
      <c r="P430" s="51"/>
      <c r="Q430" s="51"/>
      <c r="R430" s="60"/>
      <c r="S430" s="51"/>
      <c r="T430" s="51"/>
      <c r="U430" s="51"/>
      <c r="V430" s="60"/>
      <c r="W430" s="38"/>
      <c r="X430" s="11"/>
      <c r="Y430" s="17"/>
      <c r="Z430" s="17"/>
      <c r="AA430" s="70"/>
      <c r="AB430" s="70"/>
      <c r="AC430" s="70"/>
      <c r="AD430" s="43"/>
      <c r="AE430" s="38"/>
      <c r="AF430" s="11"/>
      <c r="AG430" s="6"/>
      <c r="AH430" s="6"/>
      <c r="AI430" s="6"/>
      <c r="AJ430" s="43"/>
      <c r="AK430" s="38"/>
      <c r="AL430" s="11"/>
      <c r="AM430" s="6"/>
      <c r="AN430" s="6"/>
      <c r="AO430" s="6"/>
      <c r="AP430" s="43"/>
    </row>
    <row r="431" spans="1:42">
      <c r="A431" s="37">
        <v>421</v>
      </c>
      <c r="B431" s="155"/>
      <c r="C431" s="152" t="s">
        <v>1905</v>
      </c>
      <c r="D431" s="33"/>
      <c r="E431" s="33"/>
      <c r="F431" s="33"/>
      <c r="G431" s="33"/>
      <c r="H431" s="77" t="s">
        <v>1906</v>
      </c>
      <c r="I431" s="186" t="s">
        <v>984</v>
      </c>
      <c r="J431" s="146"/>
      <c r="K431" s="125"/>
      <c r="L431" s="6"/>
      <c r="M431" s="6"/>
      <c r="N431" s="6"/>
      <c r="O431" s="51"/>
      <c r="P431" s="51"/>
      <c r="Q431" s="51"/>
      <c r="R431" s="60"/>
      <c r="S431" s="51"/>
      <c r="T431" s="51"/>
      <c r="U431" s="51"/>
      <c r="V431" s="60"/>
      <c r="W431" s="38"/>
      <c r="X431" s="11"/>
      <c r="Y431" s="17"/>
      <c r="Z431" s="17"/>
      <c r="AA431" s="70"/>
      <c r="AB431" s="70"/>
      <c r="AC431" s="70"/>
      <c r="AD431" s="43"/>
      <c r="AE431" s="38"/>
      <c r="AF431" s="11"/>
      <c r="AG431" s="6"/>
      <c r="AH431" s="6"/>
      <c r="AI431" s="6"/>
      <c r="AJ431" s="43"/>
      <c r="AK431" s="38"/>
      <c r="AL431" s="11"/>
      <c r="AM431" s="6"/>
      <c r="AN431" s="6"/>
      <c r="AO431" s="6"/>
      <c r="AP431" s="43"/>
    </row>
    <row r="432" spans="1:42">
      <c r="A432" s="37">
        <v>422</v>
      </c>
      <c r="B432" s="155"/>
      <c r="C432" s="152" t="s">
        <v>650</v>
      </c>
      <c r="D432" s="33"/>
      <c r="E432" s="33"/>
      <c r="F432" s="33"/>
      <c r="G432" s="33"/>
      <c r="H432" s="77" t="s">
        <v>642</v>
      </c>
      <c r="I432" s="186"/>
      <c r="J432" s="146" t="s">
        <v>701</v>
      </c>
      <c r="K432" s="125"/>
      <c r="L432" s="6"/>
      <c r="M432" s="6"/>
      <c r="N432" s="6"/>
      <c r="O432" s="51"/>
      <c r="P432" s="51"/>
      <c r="Q432" s="51"/>
      <c r="R432" s="60"/>
      <c r="S432" s="88"/>
      <c r="T432" s="88"/>
      <c r="U432" s="88"/>
      <c r="V432" s="60"/>
      <c r="W432" s="38"/>
      <c r="X432" s="11"/>
      <c r="Y432" s="17"/>
      <c r="Z432" s="87"/>
      <c r="AA432" s="72"/>
      <c r="AB432" s="72"/>
      <c r="AC432" s="72"/>
      <c r="AD432" s="43"/>
      <c r="AE432" s="38"/>
      <c r="AF432" s="11"/>
      <c r="AG432" s="6"/>
      <c r="AH432" s="6"/>
      <c r="AI432" s="6"/>
      <c r="AJ432" s="43"/>
      <c r="AK432" s="38"/>
      <c r="AL432" s="11"/>
      <c r="AM432" s="6"/>
      <c r="AN432" s="6"/>
      <c r="AO432" s="6"/>
      <c r="AP432" s="43"/>
    </row>
    <row r="433" spans="1:42">
      <c r="A433" s="37">
        <v>423</v>
      </c>
      <c r="B433" s="155"/>
      <c r="C433" s="152" t="s">
        <v>659</v>
      </c>
      <c r="D433" s="33"/>
      <c r="E433" s="33"/>
      <c r="F433" s="33"/>
      <c r="G433" s="33"/>
      <c r="H433" s="77" t="s">
        <v>2209</v>
      </c>
      <c r="I433" s="186"/>
      <c r="J433" s="146"/>
      <c r="K433" s="125"/>
      <c r="L433" s="6"/>
      <c r="M433" s="6"/>
      <c r="N433" s="6"/>
      <c r="O433" s="51"/>
      <c r="P433" s="51"/>
      <c r="Q433" s="51"/>
      <c r="R433" s="60"/>
      <c r="S433" s="51"/>
      <c r="T433" s="51"/>
      <c r="U433" s="51"/>
      <c r="V433" s="60"/>
      <c r="W433" s="38"/>
      <c r="X433" s="11"/>
      <c r="Y433" s="17"/>
      <c r="Z433" s="17"/>
      <c r="AA433" s="70"/>
      <c r="AB433" s="70"/>
      <c r="AC433" s="70"/>
      <c r="AD433" s="43"/>
      <c r="AE433" s="38"/>
      <c r="AF433" s="11"/>
      <c r="AG433" s="6"/>
      <c r="AH433" s="6"/>
      <c r="AI433" s="6"/>
      <c r="AJ433" s="43"/>
      <c r="AK433" s="38"/>
      <c r="AL433" s="11"/>
      <c r="AM433" s="6"/>
      <c r="AN433" s="6"/>
      <c r="AO433" s="6"/>
      <c r="AP433" s="43"/>
    </row>
    <row r="434" spans="1:42">
      <c r="A434" s="37">
        <v>424</v>
      </c>
      <c r="B434" s="155"/>
      <c r="C434" s="152" t="s">
        <v>1632</v>
      </c>
      <c r="D434" s="33"/>
      <c r="E434" s="33"/>
      <c r="F434" s="33"/>
      <c r="G434" s="33"/>
      <c r="H434" s="77" t="s">
        <v>1651</v>
      </c>
      <c r="I434" s="186" t="s">
        <v>1633</v>
      </c>
      <c r="J434" s="148"/>
      <c r="K434" s="125"/>
      <c r="L434" s="6"/>
      <c r="M434" s="6"/>
      <c r="N434" s="6"/>
      <c r="O434" s="51"/>
      <c r="P434" s="51"/>
      <c r="Q434" s="51"/>
      <c r="R434" s="60"/>
      <c r="S434" s="51"/>
      <c r="T434" s="51"/>
      <c r="U434" s="51"/>
      <c r="V434" s="60"/>
      <c r="W434" s="38"/>
      <c r="X434" s="11"/>
      <c r="Y434" s="17"/>
      <c r="Z434" s="17"/>
      <c r="AA434" s="70"/>
      <c r="AB434" s="70"/>
      <c r="AC434" s="70"/>
      <c r="AD434" s="43"/>
      <c r="AE434" s="38"/>
      <c r="AF434" s="11"/>
      <c r="AG434" s="6"/>
      <c r="AH434" s="6"/>
      <c r="AI434" s="6"/>
      <c r="AJ434" s="43"/>
      <c r="AK434" s="38"/>
      <c r="AL434" s="11"/>
      <c r="AM434" s="6"/>
      <c r="AN434" s="6"/>
      <c r="AO434" s="6"/>
      <c r="AP434" s="43"/>
    </row>
    <row r="435" spans="1:42">
      <c r="A435" s="37">
        <v>425</v>
      </c>
      <c r="B435" s="155"/>
      <c r="C435" s="168" t="s">
        <v>2207</v>
      </c>
      <c r="D435" s="33"/>
      <c r="E435" s="33"/>
      <c r="F435" s="33"/>
      <c r="G435" s="33"/>
      <c r="H435" s="77" t="s">
        <v>2208</v>
      </c>
      <c r="I435" s="186" t="s">
        <v>984</v>
      </c>
      <c r="J435" s="148"/>
      <c r="K435" s="35"/>
      <c r="L435" s="17"/>
      <c r="M435" s="17"/>
      <c r="N435" s="11"/>
      <c r="O435" s="51"/>
      <c r="P435" s="51"/>
      <c r="Q435" s="51"/>
      <c r="R435" s="60"/>
      <c r="S435" s="51"/>
      <c r="T435" s="53"/>
      <c r="U435" s="53"/>
      <c r="V435" s="60"/>
      <c r="W435" s="38"/>
      <c r="X435" s="11"/>
      <c r="Y435" s="17"/>
      <c r="Z435" s="17"/>
      <c r="AA435" s="70"/>
      <c r="AB435" s="70"/>
      <c r="AC435" s="70"/>
      <c r="AD435" s="43"/>
      <c r="AE435" s="38"/>
      <c r="AF435" s="11"/>
      <c r="AG435" s="6"/>
      <c r="AH435" s="6"/>
      <c r="AI435" s="6"/>
      <c r="AJ435" s="43"/>
      <c r="AK435" s="38"/>
      <c r="AL435" s="11"/>
      <c r="AM435" s="6"/>
      <c r="AN435" s="6"/>
      <c r="AO435" s="6"/>
      <c r="AP435" s="43"/>
    </row>
    <row r="436" spans="1:42">
      <c r="A436" s="37">
        <v>426</v>
      </c>
      <c r="B436" s="155"/>
      <c r="C436" s="152" t="s">
        <v>1344</v>
      </c>
      <c r="D436" s="33"/>
      <c r="E436" s="33"/>
      <c r="F436" s="33"/>
      <c r="G436" s="33"/>
      <c r="H436" s="77" t="s">
        <v>1345</v>
      </c>
      <c r="I436" s="186" t="s">
        <v>984</v>
      </c>
      <c r="J436" s="148"/>
      <c r="K436" s="35"/>
      <c r="L436" s="17"/>
      <c r="M436" s="17"/>
      <c r="N436" s="11"/>
      <c r="O436" s="51"/>
      <c r="P436" s="51"/>
      <c r="Q436" s="51"/>
      <c r="R436" s="60"/>
      <c r="S436" s="51"/>
      <c r="T436" s="53"/>
      <c r="U436" s="53"/>
      <c r="V436" s="60"/>
      <c r="W436" s="38"/>
      <c r="X436" s="11"/>
      <c r="Y436" s="17"/>
      <c r="Z436" s="17"/>
      <c r="AA436" s="70"/>
      <c r="AB436" s="70"/>
      <c r="AC436" s="70"/>
      <c r="AD436" s="43"/>
      <c r="AE436" s="38"/>
      <c r="AF436" s="11"/>
      <c r="AG436" s="6"/>
      <c r="AH436" s="6"/>
      <c r="AI436" s="6"/>
      <c r="AJ436" s="43"/>
      <c r="AK436" s="38"/>
      <c r="AL436" s="11"/>
      <c r="AM436" s="6"/>
      <c r="AN436" s="6"/>
      <c r="AO436" s="6"/>
      <c r="AP436" s="43"/>
    </row>
    <row r="437" spans="1:42">
      <c r="A437" s="37">
        <v>427</v>
      </c>
      <c r="B437" s="155"/>
      <c r="C437" s="152" t="s">
        <v>2094</v>
      </c>
      <c r="D437" s="33"/>
      <c r="E437" s="33"/>
      <c r="F437" s="33"/>
      <c r="G437" s="33"/>
      <c r="H437" s="77" t="s">
        <v>1930</v>
      </c>
      <c r="I437" s="186" t="s">
        <v>986</v>
      </c>
      <c r="J437" s="148"/>
      <c r="K437" s="35"/>
      <c r="L437" s="17"/>
      <c r="M437" s="17"/>
      <c r="N437" s="11"/>
      <c r="O437" s="51"/>
      <c r="P437" s="51"/>
      <c r="Q437" s="51"/>
      <c r="R437" s="60"/>
      <c r="S437" s="51"/>
      <c r="T437" s="53"/>
      <c r="U437" s="53"/>
      <c r="V437" s="60"/>
      <c r="W437" s="38"/>
      <c r="X437" s="11"/>
      <c r="Y437" s="17"/>
      <c r="Z437" s="17"/>
      <c r="AA437" s="70"/>
      <c r="AB437" s="70"/>
      <c r="AC437" s="70"/>
      <c r="AD437" s="43"/>
      <c r="AE437" s="38"/>
      <c r="AF437" s="11"/>
      <c r="AG437" s="6"/>
      <c r="AH437" s="6"/>
      <c r="AI437" s="6"/>
      <c r="AJ437" s="43"/>
      <c r="AK437" s="38"/>
      <c r="AL437" s="11"/>
      <c r="AM437" s="6"/>
      <c r="AN437" s="6"/>
      <c r="AO437" s="6"/>
      <c r="AP437" s="43"/>
    </row>
    <row r="438" spans="1:42">
      <c r="A438" s="37">
        <v>428</v>
      </c>
      <c r="B438" s="155"/>
      <c r="C438" s="152" t="s">
        <v>1576</v>
      </c>
      <c r="D438" s="33"/>
      <c r="E438" s="33"/>
      <c r="F438" s="33"/>
      <c r="G438" s="33"/>
      <c r="H438" s="77" t="s">
        <v>1425</v>
      </c>
      <c r="I438" s="186" t="s">
        <v>984</v>
      </c>
      <c r="J438" s="145"/>
      <c r="K438" s="125"/>
      <c r="L438" s="6"/>
      <c r="M438" s="6"/>
      <c r="N438" s="6"/>
      <c r="O438" s="51"/>
      <c r="P438" s="51"/>
      <c r="Q438" s="51"/>
      <c r="R438" s="60"/>
      <c r="S438" s="51"/>
      <c r="T438" s="51"/>
      <c r="U438" s="51"/>
      <c r="V438" s="60"/>
      <c r="W438" s="38"/>
      <c r="X438" s="11"/>
      <c r="Y438" s="17"/>
      <c r="Z438" s="17"/>
      <c r="AA438" s="70"/>
      <c r="AB438" s="70"/>
      <c r="AC438" s="70"/>
      <c r="AD438" s="43"/>
      <c r="AE438" s="38"/>
      <c r="AF438" s="11"/>
      <c r="AG438" s="6"/>
      <c r="AH438" s="6"/>
      <c r="AI438" s="6"/>
      <c r="AJ438" s="43"/>
      <c r="AK438" s="38"/>
      <c r="AL438" s="11"/>
      <c r="AM438" s="6"/>
      <c r="AN438" s="6"/>
      <c r="AO438" s="6"/>
      <c r="AP438" s="43"/>
    </row>
    <row r="439" spans="1:42">
      <c r="A439" s="37">
        <v>429</v>
      </c>
      <c r="B439" s="155"/>
      <c r="C439" s="169" t="s">
        <v>1218</v>
      </c>
      <c r="D439" s="33"/>
      <c r="E439" s="33"/>
      <c r="F439" s="33"/>
      <c r="G439" s="33"/>
      <c r="H439" s="77" t="s">
        <v>1186</v>
      </c>
      <c r="I439" s="186" t="s">
        <v>1064</v>
      </c>
      <c r="J439" s="146" t="s">
        <v>753</v>
      </c>
      <c r="K439" s="125"/>
      <c r="L439" s="6"/>
      <c r="M439" s="6"/>
      <c r="N439" s="6"/>
      <c r="O439" s="51"/>
      <c r="P439" s="51"/>
      <c r="Q439" s="51"/>
      <c r="R439" s="60"/>
      <c r="S439" s="52"/>
      <c r="T439" s="52"/>
      <c r="U439" s="52"/>
      <c r="V439" s="60"/>
      <c r="W439" s="38"/>
      <c r="X439" s="11"/>
      <c r="Y439" s="17"/>
      <c r="Z439" s="17"/>
      <c r="AA439" s="72"/>
      <c r="AB439" s="72"/>
      <c r="AC439" s="72"/>
      <c r="AD439" s="43"/>
      <c r="AE439" s="38"/>
      <c r="AF439" s="11"/>
      <c r="AG439" s="6"/>
      <c r="AH439" s="6"/>
      <c r="AI439" s="6"/>
      <c r="AJ439" s="43"/>
      <c r="AK439" s="38"/>
      <c r="AL439" s="11"/>
      <c r="AM439" s="6"/>
      <c r="AN439" s="6"/>
      <c r="AO439" s="6"/>
      <c r="AP439" s="43"/>
    </row>
    <row r="440" spans="1:42">
      <c r="A440" s="37">
        <v>430</v>
      </c>
      <c r="B440" s="155"/>
      <c r="C440" s="168" t="s">
        <v>1219</v>
      </c>
      <c r="D440" s="33"/>
      <c r="E440" s="33"/>
      <c r="F440" s="33"/>
      <c r="G440" s="33"/>
      <c r="H440" s="77" t="s">
        <v>975</v>
      </c>
      <c r="I440" s="186" t="s">
        <v>1001</v>
      </c>
      <c r="J440" s="146" t="s">
        <v>753</v>
      </c>
      <c r="K440" s="125"/>
      <c r="L440" s="6"/>
      <c r="M440" s="6"/>
      <c r="N440" s="6"/>
      <c r="O440" s="51"/>
      <c r="P440" s="51"/>
      <c r="Q440" s="51"/>
      <c r="R440" s="60"/>
      <c r="S440" s="52"/>
      <c r="T440" s="52"/>
      <c r="U440" s="52"/>
      <c r="V440" s="60"/>
      <c r="W440" s="38"/>
      <c r="X440" s="11"/>
      <c r="Y440" s="17"/>
      <c r="Z440" s="17"/>
      <c r="AA440" s="72"/>
      <c r="AB440" s="72"/>
      <c r="AC440" s="72"/>
      <c r="AD440" s="43"/>
      <c r="AE440" s="38"/>
      <c r="AF440" s="11"/>
      <c r="AG440" s="6"/>
      <c r="AH440" s="6"/>
      <c r="AI440" s="6"/>
      <c r="AJ440" s="43"/>
      <c r="AK440" s="38"/>
      <c r="AL440" s="11"/>
      <c r="AM440" s="6"/>
      <c r="AN440" s="6"/>
      <c r="AO440" s="6"/>
      <c r="AP440" s="43"/>
    </row>
    <row r="441" spans="1:42">
      <c r="A441" s="37">
        <v>431</v>
      </c>
      <c r="B441" s="155"/>
      <c r="C441" s="168" t="s">
        <v>1373</v>
      </c>
      <c r="D441" s="33"/>
      <c r="E441" s="33"/>
      <c r="F441" s="33"/>
      <c r="G441" s="33"/>
      <c r="H441" s="77" t="s">
        <v>1374</v>
      </c>
      <c r="I441" s="186" t="s">
        <v>1375</v>
      </c>
      <c r="J441" s="146" t="s">
        <v>753</v>
      </c>
      <c r="K441" s="125"/>
      <c r="L441" s="6"/>
      <c r="M441" s="6"/>
      <c r="N441" s="6"/>
      <c r="O441" s="51"/>
      <c r="P441" s="51"/>
      <c r="Q441" s="51"/>
      <c r="R441" s="60"/>
      <c r="S441" s="52"/>
      <c r="T441" s="52"/>
      <c r="U441" s="52"/>
      <c r="V441" s="60"/>
      <c r="W441" s="38"/>
      <c r="X441" s="11"/>
      <c r="Y441" s="17"/>
      <c r="Z441" s="17"/>
      <c r="AA441" s="72"/>
      <c r="AB441" s="72"/>
      <c r="AC441" s="72"/>
      <c r="AD441" s="43"/>
      <c r="AE441" s="38"/>
      <c r="AF441" s="11"/>
      <c r="AG441" s="6"/>
      <c r="AH441" s="6"/>
      <c r="AI441" s="6"/>
      <c r="AJ441" s="43"/>
      <c r="AK441" s="38"/>
      <c r="AL441" s="11"/>
      <c r="AM441" s="6"/>
      <c r="AN441" s="6"/>
      <c r="AO441" s="6"/>
      <c r="AP441" s="43"/>
    </row>
    <row r="442" spans="1:42">
      <c r="A442" s="37">
        <v>432</v>
      </c>
      <c r="B442" s="155"/>
      <c r="C442" s="168" t="s">
        <v>795</v>
      </c>
      <c r="D442" s="33"/>
      <c r="E442" s="33"/>
      <c r="F442" s="33"/>
      <c r="G442" s="33"/>
      <c r="H442" s="77" t="s">
        <v>899</v>
      </c>
      <c r="I442" s="186"/>
      <c r="J442" s="146"/>
      <c r="K442" s="125"/>
      <c r="L442" s="6"/>
      <c r="M442" s="6"/>
      <c r="N442" s="6"/>
      <c r="O442" s="51"/>
      <c r="P442" s="51"/>
      <c r="Q442" s="51"/>
      <c r="R442" s="60"/>
      <c r="S442" s="52"/>
      <c r="T442" s="52"/>
      <c r="U442" s="52"/>
      <c r="V442" s="60"/>
      <c r="W442" s="38"/>
      <c r="X442" s="11"/>
      <c r="Y442" s="17"/>
      <c r="Z442" s="17"/>
      <c r="AA442" s="72"/>
      <c r="AB442" s="72"/>
      <c r="AC442" s="72"/>
      <c r="AD442" s="43"/>
      <c r="AE442" s="38"/>
      <c r="AF442" s="11"/>
      <c r="AG442" s="6"/>
      <c r="AH442" s="6"/>
      <c r="AI442" s="6"/>
      <c r="AJ442" s="43"/>
      <c r="AK442" s="38"/>
      <c r="AL442" s="11"/>
      <c r="AM442" s="6"/>
      <c r="AN442" s="6"/>
      <c r="AO442" s="6"/>
      <c r="AP442" s="43"/>
    </row>
    <row r="443" spans="1:42">
      <c r="A443" s="37">
        <v>433</v>
      </c>
      <c r="B443" s="155"/>
      <c r="C443" s="168" t="s">
        <v>1332</v>
      </c>
      <c r="D443" s="33"/>
      <c r="E443" s="33"/>
      <c r="F443" s="33"/>
      <c r="G443" s="33"/>
      <c r="H443" s="77" t="s">
        <v>1333</v>
      </c>
      <c r="I443" s="186" t="s">
        <v>977</v>
      </c>
      <c r="J443" s="146"/>
      <c r="K443" s="125"/>
      <c r="L443" s="6"/>
      <c r="M443" s="6"/>
      <c r="N443" s="6"/>
      <c r="O443" s="51"/>
      <c r="P443" s="51"/>
      <c r="Q443" s="51"/>
      <c r="R443" s="60"/>
      <c r="S443" s="52"/>
      <c r="T443" s="52"/>
      <c r="U443" s="52"/>
      <c r="V443" s="60"/>
      <c r="W443" s="38"/>
      <c r="X443" s="11"/>
      <c r="Y443" s="17"/>
      <c r="Z443" s="17"/>
      <c r="AA443" s="72"/>
      <c r="AB443" s="72"/>
      <c r="AC443" s="72"/>
      <c r="AD443" s="43"/>
      <c r="AE443" s="38"/>
      <c r="AF443" s="11"/>
      <c r="AG443" s="6"/>
      <c r="AH443" s="6"/>
      <c r="AI443" s="6"/>
      <c r="AJ443" s="43"/>
      <c r="AK443" s="38"/>
      <c r="AL443" s="11"/>
      <c r="AM443" s="6"/>
      <c r="AN443" s="6"/>
      <c r="AO443" s="6"/>
      <c r="AP443" s="43"/>
    </row>
    <row r="444" spans="1:42">
      <c r="A444" s="37">
        <v>434</v>
      </c>
      <c r="B444" s="155"/>
      <c r="C444" s="168" t="s">
        <v>1263</v>
      </c>
      <c r="D444" s="33"/>
      <c r="E444" s="33"/>
      <c r="F444" s="33"/>
      <c r="G444" s="33"/>
      <c r="H444" s="77" t="s">
        <v>1264</v>
      </c>
      <c r="I444" s="186" t="s">
        <v>977</v>
      </c>
      <c r="J444" s="146"/>
      <c r="K444" s="35"/>
      <c r="L444" s="17"/>
      <c r="M444" s="17"/>
      <c r="N444" s="17"/>
      <c r="O444" s="51"/>
      <c r="P444" s="51"/>
      <c r="Q444" s="51"/>
      <c r="R444" s="60"/>
      <c r="S444" s="51"/>
      <c r="T444" s="53"/>
      <c r="U444" s="53"/>
      <c r="V444" s="60"/>
      <c r="W444" s="38"/>
      <c r="X444" s="11"/>
      <c r="Y444" s="17"/>
      <c r="Z444" s="17"/>
      <c r="AA444" s="70"/>
      <c r="AB444" s="70"/>
      <c r="AC444" s="70"/>
      <c r="AD444" s="43"/>
      <c r="AE444" s="38"/>
      <c r="AF444" s="11"/>
      <c r="AG444" s="6"/>
      <c r="AH444" s="6"/>
      <c r="AI444" s="6"/>
      <c r="AJ444" s="43"/>
      <c r="AK444" s="38"/>
      <c r="AL444" s="31"/>
      <c r="AM444" s="6"/>
      <c r="AN444" s="6"/>
      <c r="AO444" s="6"/>
      <c r="AP444" s="43"/>
    </row>
    <row r="445" spans="1:42">
      <c r="A445" s="37"/>
      <c r="B445" s="155"/>
      <c r="C445" s="168" t="s">
        <v>1994</v>
      </c>
      <c r="D445" s="33"/>
      <c r="E445" s="33"/>
      <c r="F445" s="33"/>
      <c r="G445" s="33"/>
      <c r="H445" s="77" t="s">
        <v>1995</v>
      </c>
      <c r="I445" s="186" t="s">
        <v>1837</v>
      </c>
      <c r="J445" s="146"/>
      <c r="K445" s="35"/>
      <c r="L445" s="17"/>
      <c r="M445" s="17"/>
      <c r="N445" s="17"/>
      <c r="O445" s="51"/>
      <c r="P445" s="51"/>
      <c r="Q445" s="51"/>
      <c r="R445" s="60"/>
      <c r="S445" s="51"/>
      <c r="T445" s="53"/>
      <c r="U445" s="53"/>
      <c r="V445" s="60"/>
      <c r="W445" s="38"/>
      <c r="X445" s="11"/>
      <c r="Y445" s="17"/>
      <c r="Z445" s="17"/>
      <c r="AA445" s="70"/>
      <c r="AB445" s="70"/>
      <c r="AC445" s="70"/>
      <c r="AD445" s="43"/>
      <c r="AE445" s="38"/>
      <c r="AF445" s="11"/>
      <c r="AG445" s="6"/>
      <c r="AH445" s="6"/>
      <c r="AI445" s="6"/>
      <c r="AJ445" s="43"/>
      <c r="AK445" s="38"/>
      <c r="AL445" s="31"/>
      <c r="AM445" s="6"/>
      <c r="AN445" s="6"/>
      <c r="AO445" s="6"/>
      <c r="AP445" s="43"/>
    </row>
    <row r="446" spans="1:42">
      <c r="A446" s="37">
        <v>435</v>
      </c>
      <c r="B446" s="155"/>
      <c r="C446" s="152" t="s">
        <v>1608</v>
      </c>
      <c r="D446" s="33"/>
      <c r="E446" s="33"/>
      <c r="F446" s="33"/>
      <c r="G446" s="33"/>
      <c r="H446" s="77" t="s">
        <v>1609</v>
      </c>
      <c r="I446" s="186" t="s">
        <v>1839</v>
      </c>
      <c r="J446" s="145"/>
      <c r="K446" s="125"/>
      <c r="L446" s="6"/>
      <c r="M446" s="6"/>
      <c r="N446" s="6"/>
      <c r="O446" s="51"/>
      <c r="P446" s="51"/>
      <c r="Q446" s="51"/>
      <c r="R446" s="60"/>
      <c r="S446" s="51"/>
      <c r="T446" s="51"/>
      <c r="U446" s="51"/>
      <c r="V446" s="60"/>
      <c r="W446" s="38"/>
      <c r="X446" s="11"/>
      <c r="Y446" s="17"/>
      <c r="Z446" s="17"/>
      <c r="AA446" s="70"/>
      <c r="AB446" s="70"/>
      <c r="AC446" s="70"/>
      <c r="AD446" s="43"/>
      <c r="AE446" s="38"/>
      <c r="AF446" s="11"/>
      <c r="AG446" s="6"/>
      <c r="AH446" s="6"/>
      <c r="AI446" s="6"/>
      <c r="AJ446" s="43"/>
      <c r="AK446" s="38"/>
      <c r="AL446" s="11"/>
      <c r="AM446" s="6"/>
      <c r="AN446" s="6"/>
      <c r="AO446" s="6"/>
      <c r="AP446" s="43"/>
    </row>
    <row r="447" spans="1:42">
      <c r="A447" s="37">
        <v>436</v>
      </c>
      <c r="B447" s="155"/>
      <c r="C447" s="152" t="s">
        <v>2072</v>
      </c>
      <c r="D447" s="33"/>
      <c r="E447" s="33"/>
      <c r="F447" s="33"/>
      <c r="G447" s="33"/>
      <c r="H447" s="77" t="s">
        <v>2077</v>
      </c>
      <c r="I447" s="186" t="s">
        <v>1839</v>
      </c>
      <c r="J447" s="145"/>
      <c r="K447" s="125"/>
      <c r="L447" s="6"/>
      <c r="M447" s="6"/>
      <c r="N447" s="6"/>
      <c r="O447" s="51"/>
      <c r="P447" s="51"/>
      <c r="Q447" s="51"/>
      <c r="R447" s="60"/>
      <c r="S447" s="51"/>
      <c r="T447" s="51"/>
      <c r="U447" s="51"/>
      <c r="V447" s="60"/>
      <c r="W447" s="38"/>
      <c r="X447" s="11"/>
      <c r="Y447" s="17"/>
      <c r="Z447" s="17"/>
      <c r="AA447" s="70"/>
      <c r="AB447" s="70"/>
      <c r="AC447" s="70"/>
      <c r="AD447" s="43"/>
      <c r="AE447" s="38"/>
      <c r="AF447" s="11"/>
      <c r="AG447" s="6"/>
      <c r="AH447" s="6"/>
      <c r="AI447" s="6"/>
      <c r="AJ447" s="43"/>
      <c r="AK447" s="38"/>
      <c r="AL447" s="11"/>
      <c r="AM447" s="6"/>
      <c r="AN447" s="6"/>
      <c r="AO447" s="6"/>
      <c r="AP447" s="43"/>
    </row>
    <row r="448" spans="1:42" ht="27">
      <c r="A448" s="37">
        <v>437</v>
      </c>
      <c r="B448" s="155"/>
      <c r="C448" s="152" t="s">
        <v>1501</v>
      </c>
      <c r="D448" s="33"/>
      <c r="E448" s="33"/>
      <c r="F448" s="33"/>
      <c r="G448" s="33"/>
      <c r="H448" s="77" t="s">
        <v>1329</v>
      </c>
      <c r="I448" s="186" t="s">
        <v>1378</v>
      </c>
      <c r="J448" s="145" t="s">
        <v>927</v>
      </c>
      <c r="K448" s="125"/>
      <c r="L448" s="6"/>
      <c r="M448" s="6"/>
      <c r="N448" s="6"/>
      <c r="O448" s="51"/>
      <c r="P448" s="51"/>
      <c r="Q448" s="51"/>
      <c r="R448" s="60"/>
      <c r="S448" s="51"/>
      <c r="T448" s="51"/>
      <c r="U448" s="51"/>
      <c r="V448" s="60"/>
      <c r="W448" s="38"/>
      <c r="X448" s="11"/>
      <c r="Y448" s="17"/>
      <c r="Z448" s="17"/>
      <c r="AA448" s="70"/>
      <c r="AB448" s="70"/>
      <c r="AC448" s="70"/>
      <c r="AD448" s="43"/>
      <c r="AE448" s="38"/>
      <c r="AF448" s="11"/>
      <c r="AG448" s="6"/>
      <c r="AH448" s="6"/>
      <c r="AI448" s="6"/>
      <c r="AJ448" s="43"/>
      <c r="AK448" s="38"/>
      <c r="AL448" s="11"/>
      <c r="AM448" s="6"/>
      <c r="AN448" s="6"/>
      <c r="AO448" s="6"/>
      <c r="AP448" s="43"/>
    </row>
    <row r="449" spans="1:42" ht="27">
      <c r="A449" s="37"/>
      <c r="B449" s="155"/>
      <c r="C449" s="152" t="s">
        <v>2029</v>
      </c>
      <c r="D449" s="33"/>
      <c r="E449" s="33"/>
      <c r="F449" s="33"/>
      <c r="G449" s="33"/>
      <c r="H449" s="77" t="s">
        <v>2030</v>
      </c>
      <c r="I449" s="186" t="s">
        <v>1378</v>
      </c>
      <c r="J449" s="145"/>
      <c r="K449" s="125"/>
      <c r="L449" s="6"/>
      <c r="M449" s="6"/>
      <c r="N449" s="6"/>
      <c r="O449" s="51"/>
      <c r="P449" s="51"/>
      <c r="Q449" s="51"/>
      <c r="R449" s="60"/>
      <c r="S449" s="51"/>
      <c r="T449" s="51"/>
      <c r="U449" s="51"/>
      <c r="V449" s="60"/>
      <c r="W449" s="38"/>
      <c r="X449" s="11"/>
      <c r="Y449" s="17"/>
      <c r="Z449" s="17"/>
      <c r="AA449" s="70"/>
      <c r="AB449" s="70"/>
      <c r="AC449" s="70"/>
      <c r="AD449" s="43"/>
      <c r="AE449" s="38"/>
      <c r="AF449" s="11"/>
      <c r="AG449" s="6"/>
      <c r="AH449" s="6"/>
      <c r="AI449" s="6"/>
      <c r="AJ449" s="43"/>
      <c r="AK449" s="38"/>
      <c r="AL449" s="11"/>
      <c r="AM449" s="6"/>
      <c r="AN449" s="6"/>
      <c r="AO449" s="6"/>
      <c r="AP449" s="43"/>
    </row>
    <row r="450" spans="1:42">
      <c r="A450" s="37"/>
      <c r="B450" s="155"/>
      <c r="C450" s="152" t="s">
        <v>2205</v>
      </c>
      <c r="D450" s="33"/>
      <c r="E450" s="33"/>
      <c r="F450" s="33"/>
      <c r="G450" s="33"/>
      <c r="H450" s="77" t="s">
        <v>2206</v>
      </c>
      <c r="I450" s="186" t="s">
        <v>984</v>
      </c>
      <c r="J450" s="145"/>
      <c r="K450" s="125"/>
      <c r="L450" s="6"/>
      <c r="M450" s="6"/>
      <c r="N450" s="6"/>
      <c r="O450" s="51"/>
      <c r="P450" s="51"/>
      <c r="Q450" s="51"/>
      <c r="R450" s="60"/>
      <c r="S450" s="51"/>
      <c r="T450" s="51"/>
      <c r="U450" s="51"/>
      <c r="V450" s="60"/>
      <c r="W450" s="38"/>
      <c r="X450" s="11"/>
      <c r="Y450" s="17"/>
      <c r="Z450" s="17"/>
      <c r="AA450" s="70"/>
      <c r="AB450" s="70"/>
      <c r="AC450" s="70"/>
      <c r="AD450" s="43"/>
      <c r="AE450" s="38"/>
      <c r="AF450" s="11"/>
      <c r="AG450" s="6"/>
      <c r="AH450" s="6"/>
      <c r="AI450" s="6"/>
      <c r="AJ450" s="43"/>
      <c r="AK450" s="38"/>
      <c r="AL450" s="11"/>
      <c r="AM450" s="6"/>
      <c r="AN450" s="6"/>
      <c r="AO450" s="6"/>
      <c r="AP450" s="43"/>
    </row>
    <row r="451" spans="1:42">
      <c r="A451" s="37">
        <v>438</v>
      </c>
      <c r="B451" s="155"/>
      <c r="C451" s="152" t="s">
        <v>1794</v>
      </c>
      <c r="D451" s="33"/>
      <c r="E451" s="33"/>
      <c r="F451" s="33"/>
      <c r="G451" s="33"/>
      <c r="H451" s="77" t="s">
        <v>1832</v>
      </c>
      <c r="I451" s="186"/>
      <c r="J451" s="148" t="s">
        <v>727</v>
      </c>
      <c r="K451" s="35"/>
      <c r="L451" s="17"/>
      <c r="M451" s="17"/>
      <c r="N451" s="11"/>
      <c r="O451" s="51"/>
      <c r="P451" s="51"/>
      <c r="Q451" s="51"/>
      <c r="R451" s="60"/>
      <c r="S451" s="51"/>
      <c r="T451" s="53"/>
      <c r="U451" s="53"/>
      <c r="V451" s="60"/>
      <c r="W451" s="38"/>
      <c r="X451" s="11"/>
      <c r="Y451" s="17"/>
      <c r="Z451" s="17"/>
      <c r="AA451" s="70"/>
      <c r="AB451" s="70"/>
      <c r="AC451" s="70"/>
      <c r="AD451" s="43"/>
      <c r="AE451" s="38"/>
      <c r="AF451" s="11"/>
      <c r="AG451" s="6"/>
      <c r="AH451" s="6"/>
      <c r="AI451" s="6"/>
      <c r="AJ451" s="43"/>
      <c r="AK451" s="38"/>
      <c r="AL451" s="11"/>
      <c r="AM451" s="6"/>
      <c r="AN451" s="6"/>
      <c r="AO451" s="6"/>
      <c r="AP451" s="43"/>
    </row>
    <row r="452" spans="1:42">
      <c r="A452" s="37">
        <v>439</v>
      </c>
      <c r="B452" s="155"/>
      <c r="C452" s="152" t="s">
        <v>1700</v>
      </c>
      <c r="D452" s="33"/>
      <c r="E452" s="33"/>
      <c r="F452" s="33"/>
      <c r="G452" s="33"/>
      <c r="H452" s="77" t="s">
        <v>1701</v>
      </c>
      <c r="I452" s="186" t="s">
        <v>1702</v>
      </c>
      <c r="J452" s="146"/>
      <c r="K452" s="125"/>
      <c r="L452" s="6">
        <v>51240</v>
      </c>
      <c r="M452" s="6">
        <v>2562</v>
      </c>
      <c r="N452" s="6">
        <v>53802</v>
      </c>
      <c r="O452" s="6"/>
      <c r="P452" s="6"/>
      <c r="Q452" s="6"/>
      <c r="R452" s="35"/>
      <c r="S452" s="6"/>
      <c r="T452" s="6"/>
      <c r="U452" s="6"/>
      <c r="V452" s="35"/>
      <c r="W452" s="38"/>
      <c r="X452" s="11"/>
      <c r="Y452" s="17"/>
      <c r="Z452" s="17"/>
      <c r="AA452" s="6"/>
      <c r="AB452" s="6"/>
      <c r="AC452" s="6"/>
      <c r="AD452" s="43"/>
      <c r="AE452" s="38"/>
      <c r="AF452" s="11"/>
      <c r="AG452" s="6"/>
      <c r="AH452" s="6"/>
      <c r="AI452" s="6"/>
      <c r="AJ452" s="43"/>
      <c r="AK452" s="38"/>
      <c r="AL452" s="11"/>
      <c r="AM452" s="6"/>
      <c r="AN452" s="6"/>
      <c r="AO452" s="6"/>
      <c r="AP452" s="43"/>
    </row>
    <row r="453" spans="1:42">
      <c r="A453" s="37">
        <v>440</v>
      </c>
      <c r="B453" s="155"/>
      <c r="C453" s="152" t="s">
        <v>1936</v>
      </c>
      <c r="D453" s="33"/>
      <c r="E453" s="33"/>
      <c r="F453" s="33"/>
      <c r="G453" s="33"/>
      <c r="H453" s="77" t="s">
        <v>1937</v>
      </c>
      <c r="I453" s="186" t="s">
        <v>984</v>
      </c>
      <c r="J453" s="146"/>
      <c r="K453" s="125"/>
      <c r="L453" s="6"/>
      <c r="M453" s="6"/>
      <c r="N453" s="6"/>
      <c r="O453" s="6"/>
      <c r="P453" s="6"/>
      <c r="Q453" s="6"/>
      <c r="R453" s="35"/>
      <c r="S453" s="6"/>
      <c r="T453" s="6"/>
      <c r="U453" s="6"/>
      <c r="V453" s="35"/>
      <c r="W453" s="38"/>
      <c r="X453" s="11"/>
      <c r="Y453" s="17"/>
      <c r="Z453" s="17"/>
      <c r="AA453" s="6"/>
      <c r="AB453" s="6"/>
      <c r="AC453" s="6"/>
      <c r="AD453" s="43"/>
      <c r="AE453" s="38"/>
      <c r="AF453" s="11"/>
      <c r="AG453" s="6"/>
      <c r="AH453" s="6"/>
      <c r="AI453" s="6"/>
      <c r="AJ453" s="43"/>
      <c r="AK453" s="38"/>
      <c r="AL453" s="11"/>
      <c r="AM453" s="6"/>
      <c r="AN453" s="6"/>
      <c r="AO453" s="6"/>
      <c r="AP453" s="43"/>
    </row>
    <row r="454" spans="1:42" ht="27">
      <c r="A454" s="37">
        <v>441</v>
      </c>
      <c r="B454" s="155"/>
      <c r="C454" s="152" t="s">
        <v>1804</v>
      </c>
      <c r="D454" s="33"/>
      <c r="E454" s="33"/>
      <c r="F454" s="33"/>
      <c r="G454" s="33"/>
      <c r="H454" s="77" t="s">
        <v>1805</v>
      </c>
      <c r="I454" s="186" t="s">
        <v>1079</v>
      </c>
      <c r="J454" s="146"/>
      <c r="K454" s="125"/>
      <c r="L454" s="6"/>
      <c r="M454" s="6"/>
      <c r="N454" s="6"/>
      <c r="O454" s="6"/>
      <c r="P454" s="6"/>
      <c r="Q454" s="6"/>
      <c r="R454" s="35"/>
      <c r="S454" s="6"/>
      <c r="T454" s="6"/>
      <c r="U454" s="6"/>
      <c r="V454" s="35"/>
      <c r="W454" s="38"/>
      <c r="X454" s="11"/>
      <c r="Y454" s="17"/>
      <c r="Z454" s="17"/>
      <c r="AA454" s="6"/>
      <c r="AB454" s="6"/>
      <c r="AC454" s="6"/>
      <c r="AD454" s="43"/>
      <c r="AE454" s="38"/>
      <c r="AF454" s="11"/>
      <c r="AG454" s="6"/>
      <c r="AH454" s="6"/>
      <c r="AI454" s="6"/>
      <c r="AJ454" s="43"/>
      <c r="AK454" s="38"/>
      <c r="AL454" s="11"/>
      <c r="AM454" s="6"/>
      <c r="AN454" s="6"/>
      <c r="AO454" s="6"/>
      <c r="AP454" s="43"/>
    </row>
    <row r="455" spans="1:42">
      <c r="A455" s="37">
        <v>442</v>
      </c>
      <c r="B455" s="155"/>
      <c r="C455" s="152" t="s">
        <v>508</v>
      </c>
      <c r="D455" s="33"/>
      <c r="E455" s="33"/>
      <c r="F455" s="33"/>
      <c r="G455" s="33"/>
      <c r="H455" s="77" t="s">
        <v>1455</v>
      </c>
      <c r="I455" s="186" t="s">
        <v>984</v>
      </c>
      <c r="J455" s="146"/>
      <c r="K455" s="35"/>
      <c r="L455" s="17">
        <v>2200</v>
      </c>
      <c r="M455" s="17">
        <v>110</v>
      </c>
      <c r="N455" s="17">
        <v>2310</v>
      </c>
      <c r="O455" s="51"/>
      <c r="P455" s="51"/>
      <c r="Q455" s="51"/>
      <c r="R455" s="60"/>
      <c r="S455" s="51"/>
      <c r="T455" s="53"/>
      <c r="U455" s="53"/>
      <c r="V455" s="60"/>
      <c r="W455" s="38"/>
      <c r="X455" s="11"/>
      <c r="Y455" s="17"/>
      <c r="Z455" s="17"/>
      <c r="AA455" s="70"/>
      <c r="AB455" s="70"/>
      <c r="AC455" s="70"/>
      <c r="AD455" s="43"/>
      <c r="AE455" s="38"/>
      <c r="AF455" s="11"/>
      <c r="AG455" s="6"/>
      <c r="AH455" s="6"/>
      <c r="AI455" s="6"/>
      <c r="AJ455" s="43"/>
      <c r="AK455" s="38"/>
      <c r="AL455" s="11"/>
      <c r="AM455" s="6"/>
      <c r="AN455" s="6"/>
      <c r="AO455" s="6"/>
      <c r="AP455" s="43"/>
    </row>
    <row r="456" spans="1:42">
      <c r="A456" s="37">
        <v>443</v>
      </c>
      <c r="B456" s="155"/>
      <c r="C456" s="152" t="s">
        <v>936</v>
      </c>
      <c r="D456" s="33"/>
      <c r="E456" s="33"/>
      <c r="F456" s="33"/>
      <c r="G456" s="33"/>
      <c r="H456" s="77" t="s">
        <v>1029</v>
      </c>
      <c r="I456" s="186" t="s">
        <v>1839</v>
      </c>
      <c r="J456" s="146"/>
      <c r="K456" s="35"/>
      <c r="L456" s="17"/>
      <c r="M456" s="17"/>
      <c r="N456" s="17"/>
      <c r="O456" s="51"/>
      <c r="P456" s="51"/>
      <c r="Q456" s="51"/>
      <c r="R456" s="60"/>
      <c r="S456" s="51"/>
      <c r="T456" s="53"/>
      <c r="U456" s="53"/>
      <c r="V456" s="60"/>
      <c r="W456" s="38"/>
      <c r="X456" s="11"/>
      <c r="Y456" s="17"/>
      <c r="Z456" s="17"/>
      <c r="AA456" s="70"/>
      <c r="AB456" s="70"/>
      <c r="AC456" s="70"/>
      <c r="AD456" s="43"/>
      <c r="AE456" s="38"/>
      <c r="AF456" s="11"/>
      <c r="AG456" s="6"/>
      <c r="AH456" s="6"/>
      <c r="AI456" s="6"/>
      <c r="AJ456" s="43"/>
      <c r="AK456" s="38"/>
      <c r="AL456" s="11"/>
      <c r="AM456" s="6"/>
      <c r="AN456" s="6"/>
      <c r="AO456" s="6"/>
      <c r="AP456" s="43"/>
    </row>
    <row r="457" spans="1:42">
      <c r="A457" s="37">
        <v>444</v>
      </c>
      <c r="B457" s="155"/>
      <c r="C457" s="152" t="s">
        <v>807</v>
      </c>
      <c r="D457" s="33"/>
      <c r="E457" s="33"/>
      <c r="F457" s="33"/>
      <c r="G457" s="33"/>
      <c r="H457" s="77" t="s">
        <v>808</v>
      </c>
      <c r="I457" s="186" t="s">
        <v>984</v>
      </c>
      <c r="J457" s="146"/>
      <c r="K457" s="35"/>
      <c r="L457" s="17">
        <v>51900</v>
      </c>
      <c r="M457" s="17">
        <v>2595</v>
      </c>
      <c r="N457" s="17">
        <v>54495</v>
      </c>
      <c r="O457" s="51"/>
      <c r="P457" s="51"/>
      <c r="Q457" s="51"/>
      <c r="R457" s="60"/>
      <c r="S457" s="51"/>
      <c r="T457" s="53"/>
      <c r="U457" s="53"/>
      <c r="V457" s="60"/>
      <c r="W457" s="38"/>
      <c r="X457" s="11"/>
      <c r="Y457" s="17"/>
      <c r="Z457" s="17"/>
      <c r="AA457" s="70"/>
      <c r="AB457" s="70"/>
      <c r="AC457" s="70"/>
      <c r="AD457" s="43"/>
      <c r="AE457" s="38"/>
      <c r="AF457" s="11"/>
      <c r="AG457" s="6"/>
      <c r="AH457" s="6"/>
      <c r="AI457" s="6"/>
      <c r="AJ457" s="43"/>
      <c r="AK457" s="38"/>
      <c r="AL457" s="11"/>
      <c r="AM457" s="6"/>
      <c r="AN457" s="6"/>
      <c r="AO457" s="6"/>
      <c r="AP457" s="43"/>
    </row>
    <row r="458" spans="1:42">
      <c r="A458" s="37">
        <v>445</v>
      </c>
      <c r="B458" s="155"/>
      <c r="C458" s="152" t="s">
        <v>2008</v>
      </c>
      <c r="D458" s="33"/>
      <c r="E458" s="33"/>
      <c r="F458" s="33"/>
      <c r="G458" s="33"/>
      <c r="H458" s="77" t="s">
        <v>2009</v>
      </c>
      <c r="I458" s="186" t="s">
        <v>979</v>
      </c>
      <c r="J458" s="146"/>
      <c r="K458" s="35"/>
      <c r="L458" s="17"/>
      <c r="M458" s="17"/>
      <c r="N458" s="17"/>
      <c r="O458" s="51"/>
      <c r="P458" s="51"/>
      <c r="Q458" s="51"/>
      <c r="R458" s="60"/>
      <c r="S458" s="51"/>
      <c r="T458" s="53"/>
      <c r="U458" s="53"/>
      <c r="V458" s="60"/>
      <c r="W458" s="38"/>
      <c r="X458" s="11"/>
      <c r="Y458" s="17"/>
      <c r="Z458" s="17"/>
      <c r="AA458" s="70"/>
      <c r="AB458" s="70"/>
      <c r="AC458" s="70"/>
      <c r="AD458" s="43"/>
      <c r="AE458" s="38"/>
      <c r="AF458" s="11"/>
      <c r="AG458" s="6"/>
      <c r="AH458" s="6"/>
      <c r="AI458" s="6"/>
      <c r="AJ458" s="43"/>
      <c r="AK458" s="38"/>
      <c r="AL458" s="11"/>
      <c r="AM458" s="6"/>
      <c r="AN458" s="6"/>
      <c r="AO458" s="6"/>
      <c r="AP458" s="43"/>
    </row>
    <row r="459" spans="1:42">
      <c r="A459" s="37">
        <v>446</v>
      </c>
      <c r="B459" s="155"/>
      <c r="C459" s="152" t="s">
        <v>1896</v>
      </c>
      <c r="D459" s="33"/>
      <c r="E459" s="33"/>
      <c r="F459" s="33"/>
      <c r="G459" s="33"/>
      <c r="H459" s="77" t="s">
        <v>1897</v>
      </c>
      <c r="I459" s="186" t="s">
        <v>979</v>
      </c>
      <c r="J459" s="146"/>
      <c r="K459" s="35"/>
      <c r="L459" s="17"/>
      <c r="M459" s="17"/>
      <c r="N459" s="17"/>
      <c r="O459" s="51"/>
      <c r="P459" s="51"/>
      <c r="Q459" s="51"/>
      <c r="R459" s="60"/>
      <c r="S459" s="51"/>
      <c r="T459" s="53"/>
      <c r="U459" s="53"/>
      <c r="V459" s="60"/>
      <c r="W459" s="38"/>
      <c r="X459" s="11"/>
      <c r="Y459" s="17"/>
      <c r="Z459" s="17"/>
      <c r="AA459" s="70"/>
      <c r="AB459" s="70"/>
      <c r="AC459" s="70"/>
      <c r="AD459" s="43"/>
      <c r="AE459" s="38"/>
      <c r="AF459" s="11"/>
      <c r="AG459" s="6"/>
      <c r="AH459" s="6"/>
      <c r="AI459" s="6"/>
      <c r="AJ459" s="43"/>
      <c r="AK459" s="38"/>
      <c r="AL459" s="11"/>
      <c r="AM459" s="6"/>
      <c r="AN459" s="6"/>
      <c r="AO459" s="6"/>
      <c r="AP459" s="43"/>
    </row>
    <row r="460" spans="1:42">
      <c r="A460" s="37">
        <v>447</v>
      </c>
      <c r="B460" s="155"/>
      <c r="C460" s="173" t="s">
        <v>945</v>
      </c>
      <c r="D460" s="163"/>
      <c r="E460" s="163"/>
      <c r="F460" s="163"/>
      <c r="G460" s="163"/>
      <c r="H460" s="164" t="s">
        <v>946</v>
      </c>
      <c r="I460" s="200" t="s">
        <v>979</v>
      </c>
      <c r="J460" s="146"/>
      <c r="K460" s="35"/>
      <c r="L460" s="17"/>
      <c r="M460" s="17"/>
      <c r="N460" s="17"/>
      <c r="O460" s="51"/>
      <c r="P460" s="51"/>
      <c r="Q460" s="51"/>
      <c r="R460" s="60"/>
      <c r="S460" s="51"/>
      <c r="T460" s="53"/>
      <c r="U460" s="53"/>
      <c r="V460" s="60"/>
      <c r="W460" s="38"/>
      <c r="X460" s="11"/>
      <c r="Y460" s="17"/>
      <c r="Z460" s="17"/>
      <c r="AA460" s="70"/>
      <c r="AB460" s="70"/>
      <c r="AC460" s="70"/>
      <c r="AD460" s="43"/>
      <c r="AE460" s="38"/>
      <c r="AF460" s="11"/>
      <c r="AG460" s="6"/>
      <c r="AH460" s="6"/>
      <c r="AI460" s="6"/>
      <c r="AJ460" s="43"/>
      <c r="AK460" s="38"/>
      <c r="AL460" s="11"/>
      <c r="AM460" s="6"/>
      <c r="AN460" s="6"/>
      <c r="AO460" s="6"/>
      <c r="AP460" s="43"/>
    </row>
    <row r="461" spans="1:42">
      <c r="A461" s="37">
        <v>448</v>
      </c>
      <c r="B461" s="155"/>
      <c r="C461" s="172" t="s">
        <v>1996</v>
      </c>
      <c r="D461" s="268"/>
      <c r="E461" s="268"/>
      <c r="F461" s="268"/>
      <c r="G461" s="268"/>
      <c r="H461" s="269" t="s">
        <v>1997</v>
      </c>
      <c r="I461" s="186" t="s">
        <v>1001</v>
      </c>
      <c r="J461" s="146" t="s">
        <v>1893</v>
      </c>
      <c r="K461" s="35"/>
      <c r="L461" s="17"/>
      <c r="M461" s="17"/>
      <c r="N461" s="17"/>
      <c r="O461" s="51"/>
      <c r="P461" s="51"/>
      <c r="Q461" s="51"/>
      <c r="R461" s="60"/>
      <c r="S461" s="51"/>
      <c r="T461" s="53"/>
      <c r="U461" s="53"/>
      <c r="V461" s="60"/>
      <c r="W461" s="38"/>
      <c r="X461" s="11"/>
      <c r="Y461" s="17"/>
      <c r="Z461" s="17"/>
      <c r="AA461" s="70"/>
      <c r="AB461" s="70"/>
      <c r="AC461" s="70"/>
      <c r="AD461" s="43"/>
      <c r="AE461" s="38"/>
      <c r="AF461" s="11"/>
      <c r="AG461" s="6"/>
      <c r="AH461" s="6"/>
      <c r="AI461" s="6"/>
      <c r="AJ461" s="43"/>
      <c r="AK461" s="38"/>
      <c r="AL461" s="11"/>
      <c r="AM461" s="6"/>
      <c r="AN461" s="6"/>
      <c r="AO461" s="6"/>
      <c r="AP461" s="43"/>
    </row>
    <row r="462" spans="1:42">
      <c r="A462" s="37">
        <v>449</v>
      </c>
      <c r="B462" s="155"/>
      <c r="C462" s="152" t="s">
        <v>1226</v>
      </c>
      <c r="D462" s="33"/>
      <c r="E462" s="33"/>
      <c r="F462" s="33"/>
      <c r="G462" s="33"/>
      <c r="H462" s="77" t="s">
        <v>914</v>
      </c>
      <c r="I462" s="186"/>
      <c r="J462" s="146"/>
      <c r="K462" s="125"/>
      <c r="L462" s="6">
        <v>0</v>
      </c>
      <c r="M462" s="6">
        <v>0</v>
      </c>
      <c r="N462" s="6">
        <v>0</v>
      </c>
      <c r="O462" s="51"/>
      <c r="P462" s="51"/>
      <c r="Q462" s="51"/>
      <c r="R462" s="60"/>
      <c r="S462" s="51"/>
      <c r="T462" s="51"/>
      <c r="U462" s="51"/>
      <c r="V462" s="60"/>
      <c r="W462" s="38"/>
      <c r="X462" s="11"/>
      <c r="Y462" s="17"/>
      <c r="Z462" s="17"/>
      <c r="AA462" s="70"/>
      <c r="AB462" s="70"/>
      <c r="AC462" s="70"/>
      <c r="AD462" s="43"/>
      <c r="AE462" s="38"/>
      <c r="AF462" s="11"/>
      <c r="AG462" s="6"/>
      <c r="AH462" s="6"/>
      <c r="AI462" s="6"/>
      <c r="AJ462" s="43"/>
      <c r="AK462" s="38"/>
      <c r="AL462" s="11"/>
      <c r="AM462" s="6"/>
      <c r="AN462" s="6"/>
      <c r="AO462" s="6"/>
      <c r="AP462" s="43"/>
    </row>
    <row r="463" spans="1:42">
      <c r="A463" s="37">
        <v>450</v>
      </c>
      <c r="B463" s="155"/>
      <c r="C463" s="152" t="s">
        <v>1492</v>
      </c>
      <c r="D463" s="33"/>
      <c r="E463" s="33"/>
      <c r="F463" s="33"/>
      <c r="G463" s="33"/>
      <c r="H463" s="77" t="s">
        <v>1049</v>
      </c>
      <c r="I463" s="186" t="s">
        <v>979</v>
      </c>
      <c r="J463" s="146"/>
      <c r="K463" s="125"/>
      <c r="L463" s="6"/>
      <c r="M463" s="6"/>
      <c r="N463" s="6"/>
      <c r="O463" s="51"/>
      <c r="P463" s="51"/>
      <c r="Q463" s="51"/>
      <c r="R463" s="60"/>
      <c r="S463" s="51"/>
      <c r="T463" s="51"/>
      <c r="U463" s="51"/>
      <c r="V463" s="60"/>
      <c r="W463" s="38"/>
      <c r="X463" s="11"/>
      <c r="Y463" s="17"/>
      <c r="Z463" s="17"/>
      <c r="AA463" s="70"/>
      <c r="AB463" s="70"/>
      <c r="AC463" s="70"/>
      <c r="AD463" s="43"/>
      <c r="AE463" s="38"/>
      <c r="AF463" s="11"/>
      <c r="AG463" s="6"/>
      <c r="AH463" s="6"/>
      <c r="AI463" s="6"/>
      <c r="AJ463" s="43"/>
      <c r="AK463" s="38"/>
      <c r="AL463" s="11"/>
      <c r="AM463" s="6"/>
      <c r="AN463" s="6"/>
      <c r="AO463" s="6"/>
      <c r="AP463" s="43"/>
    </row>
    <row r="464" spans="1:42">
      <c r="A464" s="37">
        <v>451</v>
      </c>
      <c r="B464" s="155"/>
      <c r="C464" s="152" t="s">
        <v>1205</v>
      </c>
      <c r="D464" s="33"/>
      <c r="E464" s="33"/>
      <c r="F464" s="33"/>
      <c r="G464" s="33"/>
      <c r="H464" s="77" t="s">
        <v>1206</v>
      </c>
      <c r="I464" s="186" t="s">
        <v>984</v>
      </c>
      <c r="J464" s="146"/>
      <c r="K464" s="125"/>
      <c r="L464" s="6"/>
      <c r="M464" s="6"/>
      <c r="N464" s="6"/>
      <c r="O464" s="51"/>
      <c r="P464" s="51"/>
      <c r="Q464" s="51"/>
      <c r="R464" s="60"/>
      <c r="S464" s="51"/>
      <c r="T464" s="51"/>
      <c r="U464" s="51"/>
      <c r="V464" s="60"/>
      <c r="W464" s="38"/>
      <c r="X464" s="11"/>
      <c r="Y464" s="17"/>
      <c r="Z464" s="17"/>
      <c r="AA464" s="70"/>
      <c r="AB464" s="70"/>
      <c r="AC464" s="70"/>
      <c r="AD464" s="43"/>
      <c r="AE464" s="38"/>
      <c r="AF464" s="11"/>
      <c r="AG464" s="6"/>
      <c r="AH464" s="6"/>
      <c r="AI464" s="6"/>
      <c r="AJ464" s="43"/>
      <c r="AK464" s="38"/>
      <c r="AL464" s="11"/>
      <c r="AM464" s="6"/>
      <c r="AN464" s="6"/>
      <c r="AO464" s="6"/>
      <c r="AP464" s="43"/>
    </row>
    <row r="465" spans="1:42">
      <c r="A465" s="37">
        <v>452</v>
      </c>
      <c r="B465" s="155"/>
      <c r="C465" s="152" t="s">
        <v>1861</v>
      </c>
      <c r="D465" s="33"/>
      <c r="E465" s="33"/>
      <c r="F465" s="33"/>
      <c r="G465" s="33"/>
      <c r="H465" s="77" t="s">
        <v>1862</v>
      </c>
      <c r="I465" s="186"/>
      <c r="J465" s="145" t="s">
        <v>703</v>
      </c>
      <c r="K465" s="125"/>
      <c r="L465" s="6"/>
      <c r="M465" s="6"/>
      <c r="N465" s="6"/>
      <c r="O465" s="51"/>
      <c r="P465" s="51"/>
      <c r="Q465" s="51"/>
      <c r="R465" s="60"/>
      <c r="S465" s="51"/>
      <c r="T465" s="51"/>
      <c r="U465" s="51"/>
      <c r="V465" s="60"/>
      <c r="W465" s="38"/>
      <c r="X465" s="11"/>
      <c r="Y465" s="17"/>
      <c r="Z465" s="17"/>
      <c r="AA465" s="70"/>
      <c r="AB465" s="70"/>
      <c r="AC465" s="70"/>
      <c r="AD465" s="43"/>
      <c r="AE465" s="38"/>
      <c r="AF465" s="11"/>
      <c r="AG465" s="6"/>
      <c r="AH465" s="6"/>
      <c r="AI465" s="6"/>
      <c r="AJ465" s="43"/>
      <c r="AK465" s="38"/>
      <c r="AL465" s="11"/>
      <c r="AM465" s="6"/>
      <c r="AN465" s="6"/>
      <c r="AO465" s="6"/>
      <c r="AP465" s="43"/>
    </row>
    <row r="466" spans="1:42">
      <c r="A466" s="37">
        <v>453</v>
      </c>
      <c r="B466" s="155"/>
      <c r="C466" s="152" t="s">
        <v>805</v>
      </c>
      <c r="D466" s="33"/>
      <c r="E466" s="33"/>
      <c r="F466" s="33"/>
      <c r="G466" s="33"/>
      <c r="H466" s="77" t="s">
        <v>900</v>
      </c>
      <c r="I466" s="186"/>
      <c r="J466" s="145" t="s">
        <v>806</v>
      </c>
      <c r="K466" s="125"/>
      <c r="L466" s="6"/>
      <c r="M466" s="6"/>
      <c r="N466" s="6"/>
      <c r="O466" s="51"/>
      <c r="P466" s="51"/>
      <c r="Q466" s="51"/>
      <c r="R466" s="60"/>
      <c r="S466" s="51"/>
      <c r="T466" s="51"/>
      <c r="U466" s="51"/>
      <c r="V466" s="60"/>
      <c r="W466" s="38"/>
      <c r="X466" s="11"/>
      <c r="Y466" s="17"/>
      <c r="Z466" s="17"/>
      <c r="AA466" s="70"/>
      <c r="AB466" s="70"/>
      <c r="AC466" s="70"/>
      <c r="AD466" s="43"/>
      <c r="AE466" s="38"/>
      <c r="AF466" s="11"/>
      <c r="AG466" s="6"/>
      <c r="AH466" s="6"/>
      <c r="AI466" s="6"/>
      <c r="AJ466" s="43"/>
      <c r="AK466" s="38"/>
      <c r="AL466" s="11"/>
      <c r="AM466" s="6"/>
      <c r="AN466" s="6"/>
      <c r="AO466" s="6"/>
      <c r="AP466" s="43"/>
    </row>
    <row r="467" spans="1:42">
      <c r="A467" s="37">
        <v>454</v>
      </c>
      <c r="B467" s="155"/>
      <c r="C467" s="152" t="s">
        <v>1498</v>
      </c>
      <c r="D467" s="33"/>
      <c r="E467" s="33"/>
      <c r="F467" s="33"/>
      <c r="G467" s="33"/>
      <c r="H467" s="77" t="s">
        <v>1499</v>
      </c>
      <c r="I467" s="186"/>
      <c r="J467" s="145"/>
      <c r="K467" s="125"/>
      <c r="L467" s="6"/>
      <c r="M467" s="6"/>
      <c r="N467" s="6"/>
      <c r="O467" s="51"/>
      <c r="P467" s="51"/>
      <c r="Q467" s="51"/>
      <c r="R467" s="60"/>
      <c r="S467" s="51"/>
      <c r="T467" s="51"/>
      <c r="U467" s="51"/>
      <c r="V467" s="60"/>
      <c r="W467" s="38"/>
      <c r="X467" s="11"/>
      <c r="Y467" s="17"/>
      <c r="Z467" s="17"/>
      <c r="AA467" s="70"/>
      <c r="AB467" s="70"/>
      <c r="AC467" s="70"/>
      <c r="AD467" s="43"/>
      <c r="AE467" s="38"/>
      <c r="AF467" s="11"/>
      <c r="AG467" s="6"/>
      <c r="AH467" s="6"/>
      <c r="AI467" s="6"/>
      <c r="AJ467" s="43"/>
      <c r="AK467" s="38"/>
      <c r="AL467" s="11"/>
      <c r="AM467" s="6"/>
      <c r="AN467" s="6"/>
      <c r="AO467" s="6"/>
      <c r="AP467" s="43"/>
    </row>
    <row r="468" spans="1:42">
      <c r="A468" s="37">
        <v>455</v>
      </c>
      <c r="B468" s="155"/>
      <c r="C468" s="152" t="s">
        <v>1478</v>
      </c>
      <c r="D468" s="33"/>
      <c r="E468" s="33"/>
      <c r="F468" s="33"/>
      <c r="G468" s="33"/>
      <c r="H468" s="77" t="s">
        <v>1479</v>
      </c>
      <c r="I468" s="186" t="s">
        <v>979</v>
      </c>
      <c r="J468" s="146"/>
      <c r="K468" s="125"/>
      <c r="L468" s="6">
        <v>68760</v>
      </c>
      <c r="M468" s="6">
        <v>3438</v>
      </c>
      <c r="N468" s="6">
        <v>72198</v>
      </c>
      <c r="O468" s="51"/>
      <c r="P468" s="51"/>
      <c r="Q468" s="51"/>
      <c r="R468" s="60"/>
      <c r="S468" s="51"/>
      <c r="T468" s="51"/>
      <c r="U468" s="51"/>
      <c r="V468" s="60"/>
      <c r="W468" s="38"/>
      <c r="X468" s="11"/>
      <c r="Y468" s="17"/>
      <c r="Z468" s="17"/>
      <c r="AA468" s="70"/>
      <c r="AB468" s="70"/>
      <c r="AC468" s="70"/>
      <c r="AD468" s="43"/>
      <c r="AE468" s="38"/>
      <c r="AF468" s="11"/>
      <c r="AG468" s="6"/>
      <c r="AH468" s="6"/>
      <c r="AI468" s="6"/>
      <c r="AJ468" s="43"/>
      <c r="AK468" s="38"/>
      <c r="AL468" s="11"/>
      <c r="AM468" s="6"/>
      <c r="AN468" s="6"/>
      <c r="AO468" s="6"/>
      <c r="AP468" s="43"/>
    </row>
    <row r="469" spans="1:42">
      <c r="A469" s="37">
        <v>456</v>
      </c>
      <c r="B469" s="155"/>
      <c r="C469" s="152" t="s">
        <v>1570</v>
      </c>
      <c r="D469" s="33"/>
      <c r="E469" s="33"/>
      <c r="F469" s="33"/>
      <c r="G469" s="33"/>
      <c r="H469" s="77" t="s">
        <v>1571</v>
      </c>
      <c r="I469" s="186" t="s">
        <v>979</v>
      </c>
      <c r="J469" s="146" t="s">
        <v>721</v>
      </c>
      <c r="K469" s="125"/>
      <c r="L469" s="6"/>
      <c r="M469" s="6"/>
      <c r="N469" s="6"/>
      <c r="O469" s="51"/>
      <c r="P469" s="51"/>
      <c r="Q469" s="51"/>
      <c r="R469" s="60"/>
      <c r="S469" s="51"/>
      <c r="T469" s="51"/>
      <c r="U469" s="51"/>
      <c r="V469" s="60"/>
      <c r="W469" s="38"/>
      <c r="X469" s="11"/>
      <c r="Y469" s="17"/>
      <c r="Z469" s="17"/>
      <c r="AA469" s="70"/>
      <c r="AB469" s="70"/>
      <c r="AC469" s="70"/>
      <c r="AD469" s="43"/>
      <c r="AE469" s="38"/>
      <c r="AF469" s="11"/>
      <c r="AG469" s="6"/>
      <c r="AH469" s="6"/>
      <c r="AI469" s="6"/>
      <c r="AJ469" s="43"/>
      <c r="AK469" s="38"/>
      <c r="AL469" s="11"/>
      <c r="AM469" s="6"/>
      <c r="AN469" s="6"/>
      <c r="AO469" s="6"/>
      <c r="AP469" s="43"/>
    </row>
    <row r="470" spans="1:42">
      <c r="A470" s="37">
        <v>457</v>
      </c>
      <c r="B470" s="155"/>
      <c r="C470" s="152" t="s">
        <v>1961</v>
      </c>
      <c r="D470" s="33"/>
      <c r="E470" s="33"/>
      <c r="F470" s="33"/>
      <c r="G470" s="33"/>
      <c r="H470" s="77" t="s">
        <v>1962</v>
      </c>
      <c r="I470" s="186" t="s">
        <v>1043</v>
      </c>
      <c r="J470" s="146"/>
      <c r="K470" s="125"/>
      <c r="L470" s="6"/>
      <c r="M470" s="6"/>
      <c r="N470" s="6"/>
      <c r="O470" s="51"/>
      <c r="P470" s="51"/>
      <c r="Q470" s="51"/>
      <c r="R470" s="60"/>
      <c r="S470" s="51"/>
      <c r="T470" s="51"/>
      <c r="U470" s="51"/>
      <c r="V470" s="60"/>
      <c r="W470" s="38"/>
      <c r="X470" s="11"/>
      <c r="Y470" s="17"/>
      <c r="Z470" s="17"/>
      <c r="AA470" s="70"/>
      <c r="AB470" s="70"/>
      <c r="AC470" s="70"/>
      <c r="AD470" s="43"/>
      <c r="AE470" s="38"/>
      <c r="AF470" s="11"/>
      <c r="AG470" s="6"/>
      <c r="AH470" s="6"/>
      <c r="AI470" s="6"/>
      <c r="AJ470" s="43"/>
      <c r="AK470" s="38"/>
      <c r="AL470" s="11"/>
      <c r="AM470" s="6"/>
      <c r="AN470" s="6"/>
      <c r="AO470" s="6"/>
      <c r="AP470" s="43"/>
    </row>
    <row r="471" spans="1:42">
      <c r="A471" s="37">
        <v>458</v>
      </c>
      <c r="B471" s="155"/>
      <c r="C471" s="152" t="s">
        <v>1715</v>
      </c>
      <c r="D471" s="33"/>
      <c r="E471" s="33"/>
      <c r="F471" s="33"/>
      <c r="G471" s="33"/>
      <c r="H471" s="112" t="s">
        <v>1208</v>
      </c>
      <c r="I471" s="187" t="s">
        <v>984</v>
      </c>
      <c r="J471" s="146" t="s">
        <v>867</v>
      </c>
      <c r="K471" s="125"/>
      <c r="L471" s="6">
        <v>2535</v>
      </c>
      <c r="M471" s="6">
        <v>126.75</v>
      </c>
      <c r="N471" s="6">
        <v>2661.75</v>
      </c>
      <c r="O471" s="51"/>
      <c r="P471" s="51"/>
      <c r="Q471" s="51"/>
      <c r="R471" s="60"/>
      <c r="S471" s="51"/>
      <c r="T471" s="51"/>
      <c r="U471" s="51"/>
      <c r="V471" s="60"/>
      <c r="W471" s="38"/>
      <c r="X471" s="11"/>
      <c r="Y471" s="17"/>
      <c r="Z471" s="17"/>
      <c r="AA471" s="70"/>
      <c r="AB471" s="70"/>
      <c r="AC471" s="70"/>
      <c r="AD471" s="43"/>
      <c r="AE471" s="38"/>
      <c r="AF471" s="11"/>
      <c r="AG471" s="6"/>
      <c r="AH471" s="6"/>
      <c r="AI471" s="6"/>
      <c r="AJ471" s="43"/>
      <c r="AK471" s="38"/>
      <c r="AL471" s="11"/>
      <c r="AM471" s="6"/>
      <c r="AN471" s="6"/>
      <c r="AO471" s="6"/>
      <c r="AP471" s="43"/>
    </row>
    <row r="472" spans="1:42">
      <c r="A472" s="37">
        <v>459</v>
      </c>
      <c r="B472" s="155"/>
      <c r="C472" s="152" t="s">
        <v>629</v>
      </c>
      <c r="D472" s="33"/>
      <c r="E472" s="33"/>
      <c r="F472" s="33"/>
      <c r="G472" s="33"/>
      <c r="H472" s="77" t="s">
        <v>779</v>
      </c>
      <c r="I472" s="186" t="s">
        <v>977</v>
      </c>
      <c r="J472" s="150" t="s">
        <v>702</v>
      </c>
      <c r="K472" s="35"/>
      <c r="L472" s="17">
        <v>10100</v>
      </c>
      <c r="M472" s="17">
        <v>505</v>
      </c>
      <c r="N472" s="17">
        <v>10605</v>
      </c>
      <c r="O472" s="51"/>
      <c r="P472" s="51"/>
      <c r="Q472" s="51"/>
      <c r="R472" s="60"/>
      <c r="S472" s="52"/>
      <c r="T472" s="52"/>
      <c r="U472" s="52"/>
      <c r="V472" s="60"/>
      <c r="W472" s="38"/>
      <c r="X472" s="11"/>
      <c r="Y472" s="17"/>
      <c r="Z472" s="83"/>
      <c r="AA472" s="71"/>
      <c r="AB472" s="71"/>
      <c r="AC472" s="71"/>
      <c r="AD472" s="43"/>
      <c r="AE472" s="38"/>
      <c r="AF472" s="11"/>
      <c r="AG472" s="6"/>
      <c r="AH472" s="6"/>
      <c r="AI472" s="6"/>
      <c r="AJ472" s="43"/>
      <c r="AK472" s="38"/>
      <c r="AL472" s="11"/>
      <c r="AM472" s="6"/>
      <c r="AN472" s="6"/>
      <c r="AO472" s="6"/>
      <c r="AP472" s="43"/>
    </row>
    <row r="473" spans="1:42">
      <c r="A473" s="37">
        <v>460</v>
      </c>
      <c r="B473" s="155"/>
      <c r="C473" s="152" t="s">
        <v>1245</v>
      </c>
      <c r="D473" s="33"/>
      <c r="E473" s="33"/>
      <c r="F473" s="33"/>
      <c r="G473" s="33"/>
      <c r="H473" s="77" t="s">
        <v>1454</v>
      </c>
      <c r="I473" s="186" t="s">
        <v>984</v>
      </c>
      <c r="J473" s="146"/>
      <c r="K473" s="35"/>
      <c r="L473" s="17">
        <v>51900</v>
      </c>
      <c r="M473" s="17">
        <v>2595</v>
      </c>
      <c r="N473" s="17">
        <v>54495</v>
      </c>
      <c r="O473" s="51"/>
      <c r="P473" s="51"/>
      <c r="Q473" s="51"/>
      <c r="R473" s="60"/>
      <c r="S473" s="51"/>
      <c r="T473" s="53"/>
      <c r="U473" s="53"/>
      <c r="V473" s="60"/>
      <c r="W473" s="38"/>
      <c r="X473" s="11"/>
      <c r="Y473" s="17"/>
      <c r="Z473" s="17"/>
      <c r="AA473" s="70"/>
      <c r="AB473" s="70"/>
      <c r="AC473" s="70"/>
      <c r="AD473" s="43"/>
      <c r="AE473" s="38"/>
      <c r="AF473" s="11"/>
      <c r="AG473" s="6"/>
      <c r="AH473" s="6"/>
      <c r="AI473" s="6"/>
      <c r="AJ473" s="43"/>
      <c r="AK473" s="38"/>
      <c r="AL473" s="11"/>
      <c r="AM473" s="6"/>
      <c r="AN473" s="6"/>
      <c r="AO473" s="6"/>
      <c r="AP473" s="43"/>
    </row>
    <row r="474" spans="1:42">
      <c r="A474" s="37">
        <v>461</v>
      </c>
      <c r="B474" s="155"/>
      <c r="C474" s="152" t="s">
        <v>2213</v>
      </c>
      <c r="D474" s="33"/>
      <c r="E474" s="33"/>
      <c r="F474" s="33"/>
      <c r="G474" s="33"/>
      <c r="H474" s="77" t="s">
        <v>1687</v>
      </c>
      <c r="I474" s="186" t="s">
        <v>984</v>
      </c>
      <c r="J474" s="146"/>
      <c r="K474" s="125"/>
      <c r="L474" s="6">
        <v>22905</v>
      </c>
      <c r="M474" s="6">
        <v>1145.25</v>
      </c>
      <c r="N474" s="5"/>
      <c r="O474" s="51"/>
      <c r="P474" s="51"/>
      <c r="Q474" s="51"/>
      <c r="R474" s="60"/>
      <c r="S474" s="51"/>
      <c r="T474" s="51"/>
      <c r="U474" s="51"/>
      <c r="V474" s="60"/>
      <c r="W474" s="38"/>
      <c r="X474" s="11"/>
      <c r="Y474" s="17"/>
      <c r="Z474" s="17"/>
      <c r="AA474" s="70"/>
      <c r="AB474" s="70"/>
      <c r="AC474" s="70"/>
      <c r="AD474" s="43"/>
      <c r="AE474" s="38"/>
      <c r="AF474" s="11"/>
      <c r="AG474" s="6"/>
      <c r="AH474" s="6"/>
      <c r="AI474" s="6"/>
      <c r="AJ474" s="43"/>
      <c r="AK474" s="38"/>
      <c r="AL474" s="11"/>
      <c r="AM474" s="6"/>
      <c r="AN474" s="6"/>
      <c r="AO474" s="6"/>
      <c r="AP474" s="43"/>
    </row>
    <row r="475" spans="1:42">
      <c r="A475" s="37">
        <v>462</v>
      </c>
      <c r="B475" s="155"/>
      <c r="C475" s="152" t="s">
        <v>920</v>
      </c>
      <c r="D475" s="33"/>
      <c r="E475" s="33"/>
      <c r="F475" s="33"/>
      <c r="G475" s="33"/>
      <c r="H475" s="77" t="s">
        <v>1042</v>
      </c>
      <c r="I475" s="186" t="s">
        <v>984</v>
      </c>
      <c r="J475" s="148"/>
      <c r="K475" s="125"/>
      <c r="L475" s="6"/>
      <c r="M475" s="6"/>
      <c r="N475" s="5"/>
      <c r="O475" s="51"/>
      <c r="P475" s="51"/>
      <c r="Q475" s="51"/>
      <c r="R475" s="60"/>
      <c r="S475" s="51"/>
      <c r="T475" s="51"/>
      <c r="U475" s="51"/>
      <c r="V475" s="60"/>
      <c r="W475" s="38"/>
      <c r="X475" s="11"/>
      <c r="Y475" s="17"/>
      <c r="Z475" s="17"/>
      <c r="AA475" s="70"/>
      <c r="AB475" s="70"/>
      <c r="AC475" s="70"/>
      <c r="AD475" s="43"/>
      <c r="AE475" s="38"/>
      <c r="AF475" s="11"/>
      <c r="AG475" s="6"/>
      <c r="AH475" s="6"/>
      <c r="AI475" s="6"/>
      <c r="AJ475" s="43"/>
      <c r="AK475" s="38"/>
      <c r="AL475" s="11"/>
      <c r="AM475" s="6"/>
      <c r="AN475" s="6"/>
      <c r="AO475" s="6"/>
      <c r="AP475" s="43"/>
    </row>
    <row r="476" spans="1:42">
      <c r="A476" s="37">
        <v>463</v>
      </c>
      <c r="B476" s="155"/>
      <c r="C476" s="152" t="s">
        <v>793</v>
      </c>
      <c r="D476" s="33"/>
      <c r="E476" s="33"/>
      <c r="F476" s="33"/>
      <c r="G476" s="33"/>
      <c r="H476" s="77" t="s">
        <v>1840</v>
      </c>
      <c r="I476" s="186" t="s">
        <v>984</v>
      </c>
      <c r="J476" s="148"/>
      <c r="K476" s="125"/>
      <c r="L476" s="6"/>
      <c r="M476" s="6"/>
      <c r="N476" s="5"/>
      <c r="O476" s="51"/>
      <c r="P476" s="51"/>
      <c r="Q476" s="51"/>
      <c r="R476" s="60"/>
      <c r="S476" s="51"/>
      <c r="T476" s="51"/>
      <c r="U476" s="51"/>
      <c r="V476" s="60"/>
      <c r="W476" s="38"/>
      <c r="X476" s="11"/>
      <c r="Y476" s="17"/>
      <c r="Z476" s="17"/>
      <c r="AA476" s="70"/>
      <c r="AB476" s="70"/>
      <c r="AC476" s="70"/>
      <c r="AD476" s="43"/>
      <c r="AE476" s="38"/>
      <c r="AF476" s="11"/>
      <c r="AG476" s="6"/>
      <c r="AH476" s="6"/>
      <c r="AI476" s="6"/>
      <c r="AJ476" s="43"/>
      <c r="AK476" s="38"/>
      <c r="AL476" s="11"/>
      <c r="AM476" s="6"/>
      <c r="AN476" s="6"/>
      <c r="AO476" s="6"/>
      <c r="AP476" s="43"/>
    </row>
    <row r="477" spans="1:42">
      <c r="A477" s="37">
        <v>464</v>
      </c>
      <c r="B477" s="155"/>
      <c r="C477" s="152" t="s">
        <v>634</v>
      </c>
      <c r="D477" s="33"/>
      <c r="E477" s="33"/>
      <c r="F477" s="33"/>
      <c r="G477" s="33"/>
      <c r="H477" s="77" t="s">
        <v>901</v>
      </c>
      <c r="I477" s="186" t="s">
        <v>1841</v>
      </c>
      <c r="J477" s="148" t="s">
        <v>785</v>
      </c>
      <c r="K477" s="125"/>
      <c r="L477" s="6"/>
      <c r="M477" s="6"/>
      <c r="N477" s="5"/>
      <c r="O477" s="51"/>
      <c r="P477" s="51"/>
      <c r="Q477" s="51"/>
      <c r="R477" s="60"/>
      <c r="S477" s="51"/>
      <c r="T477" s="51"/>
      <c r="U477" s="51"/>
      <c r="V477" s="60"/>
      <c r="W477" s="38"/>
      <c r="X477" s="11"/>
      <c r="Y477" s="17"/>
      <c r="Z477" s="17"/>
      <c r="AA477" s="70"/>
      <c r="AB477" s="70"/>
      <c r="AC477" s="70"/>
      <c r="AD477" s="43"/>
      <c r="AE477" s="38"/>
      <c r="AF477" s="11"/>
      <c r="AG477" s="6"/>
      <c r="AH477" s="6"/>
      <c r="AI477" s="6"/>
      <c r="AJ477" s="43"/>
      <c r="AK477" s="38"/>
      <c r="AL477" s="11"/>
      <c r="AM477" s="6"/>
      <c r="AN477" s="6"/>
      <c r="AO477" s="6"/>
      <c r="AP477" s="43"/>
    </row>
    <row r="478" spans="1:42">
      <c r="A478" s="37">
        <v>465</v>
      </c>
      <c r="B478" s="155"/>
      <c r="C478" s="168" t="s">
        <v>800</v>
      </c>
      <c r="D478" s="33"/>
      <c r="E478" s="33"/>
      <c r="F478" s="33"/>
      <c r="G478" s="33"/>
      <c r="H478" s="77" t="s">
        <v>902</v>
      </c>
      <c r="I478" s="186" t="s">
        <v>979</v>
      </c>
      <c r="J478" s="148" t="s">
        <v>799</v>
      </c>
      <c r="K478" s="125"/>
      <c r="L478" s="6"/>
      <c r="M478" s="6"/>
      <c r="N478" s="5"/>
      <c r="O478" s="51"/>
      <c r="P478" s="51"/>
      <c r="Q478" s="51"/>
      <c r="R478" s="60"/>
      <c r="S478" s="63"/>
      <c r="T478" s="63"/>
      <c r="U478" s="63"/>
      <c r="V478" s="60"/>
      <c r="W478" s="38"/>
      <c r="X478" s="11"/>
      <c r="Y478" s="17"/>
      <c r="Z478" s="96"/>
      <c r="AA478" s="86"/>
      <c r="AB478" s="86"/>
      <c r="AC478" s="86"/>
      <c r="AD478" s="43"/>
      <c r="AE478" s="38"/>
      <c r="AF478" s="11"/>
      <c r="AG478" s="6"/>
      <c r="AH478" s="6"/>
      <c r="AI478" s="6"/>
      <c r="AJ478" s="43"/>
      <c r="AK478" s="38"/>
      <c r="AL478" s="11"/>
      <c r="AM478" s="6"/>
      <c r="AN478" s="6"/>
      <c r="AO478" s="6"/>
      <c r="AP478" s="43"/>
    </row>
    <row r="479" spans="1:42">
      <c r="A479" s="37">
        <v>466</v>
      </c>
      <c r="B479" s="155"/>
      <c r="C479" s="152" t="s">
        <v>509</v>
      </c>
      <c r="D479" s="33"/>
      <c r="E479" s="33"/>
      <c r="F479" s="33"/>
      <c r="G479" s="33"/>
      <c r="H479" s="77" t="s">
        <v>1788</v>
      </c>
      <c r="I479" s="186" t="s">
        <v>988</v>
      </c>
      <c r="J479" s="146" t="s">
        <v>1516</v>
      </c>
      <c r="K479" s="125"/>
      <c r="L479" s="6">
        <v>144</v>
      </c>
      <c r="M479" s="6">
        <v>7.2</v>
      </c>
      <c r="N479" s="6">
        <v>151.19999999999999</v>
      </c>
      <c r="O479" s="51"/>
      <c r="P479" s="51"/>
      <c r="Q479" s="51"/>
      <c r="R479" s="60"/>
      <c r="S479" s="51"/>
      <c r="T479" s="51"/>
      <c r="U479" s="51"/>
      <c r="V479" s="60"/>
      <c r="W479" s="38"/>
      <c r="X479" s="11"/>
      <c r="Y479" s="17"/>
      <c r="Z479" s="17"/>
      <c r="AA479" s="70"/>
      <c r="AB479" s="70"/>
      <c r="AC479" s="70"/>
      <c r="AD479" s="43"/>
      <c r="AE479" s="38"/>
      <c r="AF479" s="11"/>
      <c r="AG479" s="6"/>
      <c r="AH479" s="6"/>
      <c r="AI479" s="6"/>
      <c r="AJ479" s="43"/>
      <c r="AK479" s="38"/>
      <c r="AL479" s="11"/>
      <c r="AM479" s="6"/>
      <c r="AN479" s="6"/>
      <c r="AO479" s="6"/>
      <c r="AP479" s="43"/>
    </row>
    <row r="480" spans="1:42">
      <c r="A480" s="37">
        <v>467</v>
      </c>
      <c r="B480" s="155"/>
      <c r="C480" s="152" t="s">
        <v>370</v>
      </c>
      <c r="D480" s="33"/>
      <c r="E480" s="33"/>
      <c r="F480" s="33"/>
      <c r="G480" s="33"/>
      <c r="H480" s="77" t="s">
        <v>903</v>
      </c>
      <c r="I480" s="186" t="s">
        <v>988</v>
      </c>
      <c r="J480" s="146" t="s">
        <v>734</v>
      </c>
      <c r="K480" s="35"/>
      <c r="L480" s="17">
        <v>3840</v>
      </c>
      <c r="M480" s="17">
        <v>192</v>
      </c>
      <c r="N480" s="17">
        <v>4032</v>
      </c>
      <c r="O480" s="51"/>
      <c r="P480" s="51"/>
      <c r="Q480" s="51"/>
      <c r="R480" s="60"/>
      <c r="S480" s="51"/>
      <c r="T480" s="53"/>
      <c r="U480" s="53"/>
      <c r="V480" s="60"/>
      <c r="W480" s="38"/>
      <c r="X480" s="11"/>
      <c r="Y480" s="17"/>
      <c r="Z480" s="17"/>
      <c r="AA480" s="70"/>
      <c r="AB480" s="70"/>
      <c r="AC480" s="70"/>
      <c r="AD480" s="43"/>
      <c r="AE480" s="38"/>
      <c r="AF480" s="11"/>
      <c r="AG480" s="6"/>
      <c r="AH480" s="6"/>
      <c r="AI480" s="6"/>
      <c r="AJ480" s="43"/>
      <c r="AK480" s="38"/>
      <c r="AL480" s="11"/>
      <c r="AM480" s="6"/>
      <c r="AN480" s="6"/>
      <c r="AO480" s="6"/>
      <c r="AP480" s="43"/>
    </row>
    <row r="481" spans="1:42">
      <c r="A481" s="37">
        <v>468</v>
      </c>
      <c r="B481" s="155"/>
      <c r="C481" s="152" t="s">
        <v>504</v>
      </c>
      <c r="D481" s="33"/>
      <c r="E481" s="33"/>
      <c r="F481" s="33"/>
      <c r="G481" s="33"/>
      <c r="H481" s="77" t="s">
        <v>670</v>
      </c>
      <c r="I481" s="186" t="s">
        <v>984</v>
      </c>
      <c r="J481" s="146"/>
      <c r="K481" s="35"/>
      <c r="L481" s="17"/>
      <c r="M481" s="17"/>
      <c r="N481" s="17"/>
      <c r="O481" s="51"/>
      <c r="P481" s="51"/>
      <c r="Q481" s="51"/>
      <c r="R481" s="60"/>
      <c r="S481" s="51"/>
      <c r="T481" s="53"/>
      <c r="U481" s="53"/>
      <c r="V481" s="60"/>
      <c r="W481" s="38"/>
      <c r="X481" s="11"/>
      <c r="Y481" s="17"/>
      <c r="Z481" s="17"/>
      <c r="AA481" s="70"/>
      <c r="AB481" s="70"/>
      <c r="AC481" s="70"/>
      <c r="AD481" s="43"/>
      <c r="AE481" s="38"/>
      <c r="AF481" s="11"/>
      <c r="AG481" s="6"/>
      <c r="AH481" s="6"/>
      <c r="AI481" s="6"/>
      <c r="AJ481" s="43"/>
      <c r="AK481" s="38"/>
      <c r="AL481" s="11"/>
      <c r="AM481" s="6"/>
      <c r="AN481" s="6"/>
      <c r="AO481" s="6"/>
      <c r="AP481" s="43"/>
    </row>
    <row r="482" spans="1:42">
      <c r="A482" s="37">
        <v>469</v>
      </c>
      <c r="B482" s="155"/>
      <c r="C482" s="152" t="s">
        <v>1801</v>
      </c>
      <c r="D482" s="33"/>
      <c r="E482" s="33"/>
      <c r="F482" s="33"/>
      <c r="G482" s="33"/>
      <c r="H482" s="77" t="s">
        <v>1148</v>
      </c>
      <c r="I482" s="186" t="s">
        <v>979</v>
      </c>
      <c r="J482" s="146"/>
      <c r="K482" s="35"/>
      <c r="L482" s="17"/>
      <c r="M482" s="17"/>
      <c r="N482" s="17"/>
      <c r="O482" s="51"/>
      <c r="P482" s="51"/>
      <c r="Q482" s="51"/>
      <c r="R482" s="60"/>
      <c r="S482" s="51"/>
      <c r="T482" s="53"/>
      <c r="U482" s="53"/>
      <c r="V482" s="60"/>
      <c r="W482" s="38"/>
      <c r="X482" s="11"/>
      <c r="Y482" s="17"/>
      <c r="Z482" s="17"/>
      <c r="AA482" s="70"/>
      <c r="AB482" s="70"/>
      <c r="AC482" s="70"/>
      <c r="AD482" s="43"/>
      <c r="AE482" s="38"/>
      <c r="AF482" s="11"/>
      <c r="AG482" s="6"/>
      <c r="AH482" s="6"/>
      <c r="AI482" s="6"/>
      <c r="AJ482" s="43"/>
      <c r="AK482" s="38"/>
      <c r="AL482" s="11"/>
      <c r="AM482" s="6"/>
      <c r="AN482" s="6"/>
      <c r="AO482" s="6"/>
      <c r="AP482" s="43"/>
    </row>
    <row r="483" spans="1:42">
      <c r="A483" s="37">
        <v>470</v>
      </c>
      <c r="B483" s="155"/>
      <c r="C483" s="152" t="s">
        <v>1167</v>
      </c>
      <c r="D483" s="33"/>
      <c r="E483" s="33"/>
      <c r="F483" s="33"/>
      <c r="G483" s="33"/>
      <c r="H483" s="77" t="s">
        <v>1168</v>
      </c>
      <c r="I483" s="186" t="s">
        <v>984</v>
      </c>
      <c r="J483" s="146"/>
      <c r="K483" s="125"/>
      <c r="L483" s="6">
        <v>20520</v>
      </c>
      <c r="M483" s="6">
        <v>1026</v>
      </c>
      <c r="N483" s="6">
        <v>21546</v>
      </c>
      <c r="O483" s="51"/>
      <c r="P483" s="51"/>
      <c r="Q483" s="51"/>
      <c r="R483" s="60"/>
      <c r="S483" s="51"/>
      <c r="T483" s="51"/>
      <c r="U483" s="51"/>
      <c r="V483" s="60"/>
      <c r="W483" s="38"/>
      <c r="X483" s="11"/>
      <c r="Y483" s="17"/>
      <c r="Z483" s="17"/>
      <c r="AA483" s="70"/>
      <c r="AB483" s="70"/>
      <c r="AC483" s="70"/>
      <c r="AD483" s="43"/>
      <c r="AE483" s="38"/>
      <c r="AF483" s="11"/>
      <c r="AG483" s="6"/>
      <c r="AH483" s="6"/>
      <c r="AI483" s="6"/>
      <c r="AJ483" s="43"/>
      <c r="AK483" s="38"/>
      <c r="AL483" s="11"/>
      <c r="AM483" s="6"/>
      <c r="AN483" s="6"/>
      <c r="AO483" s="6"/>
      <c r="AP483" s="43"/>
    </row>
    <row r="484" spans="1:42" ht="27">
      <c r="A484" s="37">
        <v>471</v>
      </c>
      <c r="B484" s="155"/>
      <c r="C484" s="152" t="s">
        <v>1376</v>
      </c>
      <c r="D484" s="33"/>
      <c r="E484" s="33"/>
      <c r="F484" s="33"/>
      <c r="G484" s="33"/>
      <c r="H484" s="77" t="s">
        <v>1377</v>
      </c>
      <c r="I484" s="186" t="s">
        <v>1378</v>
      </c>
      <c r="J484" s="145" t="s">
        <v>927</v>
      </c>
      <c r="K484" s="125"/>
      <c r="L484" s="6"/>
      <c r="M484" s="6"/>
      <c r="N484" s="6"/>
      <c r="O484" s="51"/>
      <c r="P484" s="51"/>
      <c r="Q484" s="51"/>
      <c r="R484" s="60"/>
      <c r="S484" s="51"/>
      <c r="T484" s="51"/>
      <c r="U484" s="51"/>
      <c r="V484" s="60"/>
      <c r="W484" s="38"/>
      <c r="X484" s="11"/>
      <c r="Y484" s="17"/>
      <c r="Z484" s="17"/>
      <c r="AA484" s="70"/>
      <c r="AB484" s="70"/>
      <c r="AC484" s="70"/>
      <c r="AD484" s="43"/>
      <c r="AE484" s="38"/>
      <c r="AF484" s="11"/>
      <c r="AG484" s="6"/>
      <c r="AH484" s="6"/>
      <c r="AI484" s="6"/>
      <c r="AJ484" s="43"/>
      <c r="AK484" s="38"/>
      <c r="AL484" s="11"/>
      <c r="AM484" s="6"/>
      <c r="AN484" s="6"/>
      <c r="AO484" s="6"/>
      <c r="AP484" s="43"/>
    </row>
    <row r="485" spans="1:42" ht="27">
      <c r="A485" s="37">
        <v>472</v>
      </c>
      <c r="B485" s="155"/>
      <c r="C485" s="152" t="s">
        <v>1746</v>
      </c>
      <c r="D485" s="33"/>
      <c r="E485" s="33"/>
      <c r="F485" s="33"/>
      <c r="G485" s="33"/>
      <c r="H485" s="77" t="s">
        <v>1747</v>
      </c>
      <c r="I485" s="186" t="s">
        <v>1748</v>
      </c>
      <c r="J485" s="146" t="s">
        <v>966</v>
      </c>
      <c r="K485" s="125"/>
      <c r="L485" s="6"/>
      <c r="M485" s="6"/>
      <c r="N485" s="6"/>
      <c r="O485" s="51"/>
      <c r="P485" s="51"/>
      <c r="Q485" s="51"/>
      <c r="R485" s="60"/>
      <c r="S485" s="51"/>
      <c r="T485" s="51"/>
      <c r="U485" s="51"/>
      <c r="V485" s="60"/>
      <c r="W485" s="38"/>
      <c r="X485" s="11"/>
      <c r="Y485" s="17"/>
      <c r="Z485" s="17"/>
      <c r="AA485" s="70"/>
      <c r="AB485" s="70"/>
      <c r="AC485" s="70"/>
      <c r="AD485" s="43"/>
      <c r="AE485" s="38"/>
      <c r="AF485" s="11"/>
      <c r="AG485" s="6"/>
      <c r="AH485" s="6"/>
      <c r="AI485" s="6"/>
      <c r="AJ485" s="43"/>
      <c r="AK485" s="38"/>
      <c r="AL485" s="11"/>
      <c r="AM485" s="6"/>
      <c r="AN485" s="6"/>
      <c r="AO485" s="6"/>
      <c r="AP485" s="43"/>
    </row>
    <row r="486" spans="1:42">
      <c r="A486" s="37">
        <v>473</v>
      </c>
      <c r="B486" s="155"/>
      <c r="C486" s="152" t="s">
        <v>669</v>
      </c>
      <c r="D486" s="33"/>
      <c r="E486" s="33"/>
      <c r="F486" s="33"/>
      <c r="G486" s="33"/>
      <c r="H486" s="77" t="s">
        <v>0</v>
      </c>
      <c r="I486" s="186" t="s">
        <v>984</v>
      </c>
      <c r="J486" s="146"/>
      <c r="K486" s="125"/>
      <c r="L486" s="6"/>
      <c r="M486" s="6"/>
      <c r="N486" s="6"/>
      <c r="O486" s="51"/>
      <c r="P486" s="51"/>
      <c r="Q486" s="51"/>
      <c r="R486" s="60"/>
      <c r="S486" s="51"/>
      <c r="T486" s="51"/>
      <c r="U486" s="51"/>
      <c r="V486" s="60"/>
      <c r="W486" s="38"/>
      <c r="X486" s="11"/>
      <c r="Y486" s="17"/>
      <c r="Z486" s="17"/>
      <c r="AA486" s="70"/>
      <c r="AB486" s="70"/>
      <c r="AC486" s="70"/>
      <c r="AD486" s="43"/>
      <c r="AE486" s="38"/>
      <c r="AF486" s="11"/>
      <c r="AG486" s="6"/>
      <c r="AH486" s="6"/>
      <c r="AI486" s="6"/>
      <c r="AJ486" s="43"/>
      <c r="AK486" s="38"/>
      <c r="AL486" s="11"/>
      <c r="AM486" s="6"/>
      <c r="AN486" s="6"/>
      <c r="AO486" s="6"/>
      <c r="AP486" s="43"/>
    </row>
    <row r="487" spans="1:42">
      <c r="A487" s="37">
        <v>474</v>
      </c>
      <c r="B487" s="155"/>
      <c r="C487" s="152" t="s">
        <v>635</v>
      </c>
      <c r="D487" s="33"/>
      <c r="E487" s="33"/>
      <c r="F487" s="33"/>
      <c r="G487" s="33"/>
      <c r="H487" s="77" t="s">
        <v>904</v>
      </c>
      <c r="I487" s="186" t="s">
        <v>1563</v>
      </c>
      <c r="J487" s="146" t="s">
        <v>733</v>
      </c>
      <c r="K487" s="125"/>
      <c r="L487" s="6"/>
      <c r="M487" s="6"/>
      <c r="N487" s="6"/>
      <c r="O487" s="51"/>
      <c r="P487" s="51"/>
      <c r="Q487" s="51"/>
      <c r="R487" s="60"/>
      <c r="S487" s="51"/>
      <c r="T487" s="51"/>
      <c r="U487" s="51"/>
      <c r="V487" s="60"/>
      <c r="W487" s="38"/>
      <c r="AA487" s="119"/>
      <c r="AB487" s="119"/>
      <c r="AC487" s="119"/>
      <c r="AE487" s="118"/>
      <c r="AG487" s="8"/>
      <c r="AH487" s="8"/>
      <c r="AI487" s="8"/>
      <c r="AK487" s="118"/>
      <c r="AM487" s="8"/>
      <c r="AN487" s="8"/>
      <c r="AO487" s="8"/>
    </row>
    <row r="488" spans="1:42">
      <c r="A488" s="37">
        <v>475</v>
      </c>
      <c r="B488" s="155"/>
      <c r="C488" s="152" t="s">
        <v>1778</v>
      </c>
      <c r="D488" s="33"/>
      <c r="E488" s="33"/>
      <c r="F488" s="33"/>
      <c r="G488" s="33"/>
      <c r="H488" s="77" t="s">
        <v>1834</v>
      </c>
      <c r="I488" s="186" t="s">
        <v>1915</v>
      </c>
      <c r="J488" s="146"/>
      <c r="K488" s="125"/>
      <c r="L488" s="6"/>
      <c r="M488" s="6"/>
      <c r="N488" s="6"/>
      <c r="O488" s="51"/>
      <c r="P488" s="51"/>
      <c r="Q488" s="51"/>
      <c r="R488" s="60"/>
      <c r="S488" s="51"/>
      <c r="T488" s="51"/>
      <c r="U488" s="51"/>
      <c r="V488" s="60"/>
      <c r="W488" s="38"/>
      <c r="AA488" s="119"/>
      <c r="AB488" s="119"/>
      <c r="AC488" s="119"/>
      <c r="AE488" s="118"/>
      <c r="AG488" s="8"/>
      <c r="AH488" s="8"/>
      <c r="AI488" s="8"/>
      <c r="AK488" s="118"/>
      <c r="AM488" s="8"/>
      <c r="AN488" s="8"/>
      <c r="AO488" s="8"/>
    </row>
    <row r="489" spans="1:42">
      <c r="A489" s="37">
        <v>476</v>
      </c>
      <c r="B489" s="155"/>
      <c r="C489" s="152" t="s">
        <v>1779</v>
      </c>
      <c r="D489" s="33"/>
      <c r="E489" s="33"/>
      <c r="F489" s="33"/>
      <c r="G489" s="33"/>
      <c r="H489" s="77" t="s">
        <v>1780</v>
      </c>
      <c r="I489" s="186" t="s">
        <v>1781</v>
      </c>
      <c r="J489" s="146" t="s">
        <v>1782</v>
      </c>
      <c r="K489" s="125"/>
      <c r="L489" s="6"/>
      <c r="M489" s="6"/>
      <c r="N489" s="6"/>
      <c r="O489" s="51"/>
      <c r="P489" s="51"/>
      <c r="Q489" s="51"/>
      <c r="R489" s="60"/>
      <c r="S489" s="51"/>
      <c r="T489" s="51"/>
      <c r="U489" s="51"/>
      <c r="V489" s="60"/>
      <c r="W489" s="38"/>
      <c r="AA489" s="119"/>
      <c r="AB489" s="119"/>
      <c r="AC489" s="119"/>
      <c r="AE489" s="118"/>
      <c r="AG489" s="8"/>
      <c r="AH489" s="8"/>
      <c r="AI489" s="8"/>
      <c r="AK489" s="118"/>
      <c r="AM489" s="8"/>
      <c r="AN489" s="8"/>
      <c r="AO489" s="8"/>
    </row>
    <row r="490" spans="1:42" ht="27">
      <c r="A490" s="37">
        <v>477</v>
      </c>
      <c r="B490" s="155"/>
      <c r="C490" s="152" t="s">
        <v>1128</v>
      </c>
      <c r="D490" s="33"/>
      <c r="E490" s="33"/>
      <c r="F490" s="33"/>
      <c r="G490" s="33"/>
      <c r="H490" s="77" t="s">
        <v>1337</v>
      </c>
      <c r="I490" s="186" t="s">
        <v>994</v>
      </c>
      <c r="J490" s="146" t="s">
        <v>848</v>
      </c>
      <c r="K490" s="125"/>
      <c r="L490" s="6"/>
      <c r="M490" s="6"/>
      <c r="N490" s="6"/>
      <c r="O490" s="51"/>
      <c r="P490" s="51"/>
      <c r="Q490" s="51"/>
      <c r="R490" s="60"/>
      <c r="S490" s="51"/>
      <c r="T490" s="51"/>
      <c r="U490" s="51"/>
      <c r="V490" s="60"/>
      <c r="W490" s="38"/>
      <c r="AA490" s="119"/>
      <c r="AB490" s="119"/>
      <c r="AC490" s="119"/>
      <c r="AE490" s="118"/>
      <c r="AG490" s="8"/>
      <c r="AH490" s="8"/>
      <c r="AI490" s="8"/>
      <c r="AK490" s="118"/>
      <c r="AM490" s="8"/>
      <c r="AN490" s="8"/>
      <c r="AO490" s="8"/>
    </row>
    <row r="491" spans="1:42" ht="27">
      <c r="A491" s="37">
        <v>478</v>
      </c>
      <c r="B491" s="155"/>
      <c r="C491" s="152" t="s">
        <v>2210</v>
      </c>
      <c r="D491" s="33"/>
      <c r="E491" s="33"/>
      <c r="F491" s="33"/>
      <c r="G491" s="33"/>
      <c r="H491" s="77" t="s">
        <v>1590</v>
      </c>
      <c r="I491" s="186" t="s">
        <v>1259</v>
      </c>
      <c r="J491" s="146" t="s">
        <v>1260</v>
      </c>
      <c r="K491" s="125"/>
      <c r="L491" s="6"/>
      <c r="M491" s="6"/>
      <c r="N491" s="6"/>
      <c r="O491" s="51"/>
      <c r="P491" s="51"/>
      <c r="Q491" s="51"/>
      <c r="R491" s="60"/>
      <c r="S491" s="51"/>
      <c r="T491" s="51"/>
      <c r="U491" s="51"/>
      <c r="V491" s="60"/>
      <c r="W491" s="38"/>
      <c r="AA491" s="119"/>
      <c r="AB491" s="119"/>
      <c r="AC491" s="119"/>
      <c r="AE491" s="118"/>
      <c r="AG491" s="8"/>
      <c r="AH491" s="8"/>
      <c r="AI491" s="8"/>
      <c r="AK491" s="118"/>
      <c r="AM491" s="8"/>
      <c r="AN491" s="8"/>
      <c r="AO491" s="8"/>
    </row>
    <row r="492" spans="1:42">
      <c r="A492" s="37">
        <v>479</v>
      </c>
      <c r="B492" s="142"/>
      <c r="C492" s="152" t="s">
        <v>1370</v>
      </c>
      <c r="D492" s="33"/>
      <c r="E492" s="33"/>
      <c r="F492" s="33"/>
      <c r="G492" s="33"/>
      <c r="H492" s="77" t="s">
        <v>1416</v>
      </c>
      <c r="I492" s="186" t="s">
        <v>1372</v>
      </c>
      <c r="J492" s="148" t="s">
        <v>1371</v>
      </c>
      <c r="K492" s="126"/>
      <c r="L492" s="93"/>
      <c r="M492" s="93"/>
      <c r="N492" s="93"/>
      <c r="O492" s="51"/>
      <c r="P492" s="51"/>
      <c r="Q492" s="51"/>
      <c r="R492" s="60"/>
      <c r="S492" s="51"/>
      <c r="T492" s="51"/>
      <c r="U492" s="51"/>
      <c r="V492" s="60"/>
      <c r="W492" s="38"/>
      <c r="X492" s="11"/>
      <c r="AA492" s="119"/>
      <c r="AB492" s="119"/>
      <c r="AC492" s="119"/>
      <c r="AE492" s="118"/>
      <c r="AG492" s="8"/>
      <c r="AH492" s="8"/>
      <c r="AI492" s="8"/>
      <c r="AK492" s="118"/>
      <c r="AM492" s="8"/>
      <c r="AN492" s="8"/>
      <c r="AO492" s="8"/>
    </row>
    <row r="493" spans="1:42" ht="27">
      <c r="A493" s="37">
        <v>480</v>
      </c>
      <c r="B493" s="155"/>
      <c r="C493" s="152" t="s">
        <v>1338</v>
      </c>
      <c r="D493" s="33"/>
      <c r="E493" s="33"/>
      <c r="F493" s="33"/>
      <c r="G493" s="33"/>
      <c r="H493" s="77" t="s">
        <v>1686</v>
      </c>
      <c r="I493" s="186" t="s">
        <v>1340</v>
      </c>
      <c r="J493" s="146" t="s">
        <v>1339</v>
      </c>
      <c r="K493" s="125"/>
      <c r="L493" s="6"/>
      <c r="M493" s="6"/>
      <c r="N493" s="6"/>
      <c r="O493" s="51"/>
      <c r="P493" s="51"/>
      <c r="Q493" s="51"/>
      <c r="R493" s="60"/>
      <c r="S493" s="51"/>
      <c r="T493" s="51"/>
      <c r="U493" s="51"/>
      <c r="V493" s="60"/>
      <c r="W493" s="38"/>
      <c r="AA493" s="119"/>
      <c r="AB493" s="119"/>
      <c r="AC493" s="119"/>
      <c r="AE493" s="118"/>
      <c r="AG493" s="8"/>
      <c r="AH493" s="8"/>
      <c r="AI493" s="8"/>
      <c r="AK493" s="118"/>
      <c r="AM493" s="8"/>
      <c r="AN493" s="8"/>
      <c r="AO493" s="8"/>
    </row>
    <row r="494" spans="1:42">
      <c r="A494" s="37">
        <v>481</v>
      </c>
      <c r="B494" s="155"/>
      <c r="C494" s="152" t="s">
        <v>1388</v>
      </c>
      <c r="D494" s="33"/>
      <c r="E494" s="33"/>
      <c r="F494" s="33"/>
      <c r="G494" s="33"/>
      <c r="H494" s="77" t="s">
        <v>723</v>
      </c>
      <c r="I494" s="186" t="s">
        <v>1040</v>
      </c>
      <c r="J494" s="146" t="s">
        <v>722</v>
      </c>
      <c r="K494" s="125"/>
      <c r="L494" s="6"/>
      <c r="M494" s="6"/>
      <c r="N494" s="6"/>
      <c r="O494" s="51"/>
      <c r="P494" s="51"/>
      <c r="Q494" s="51"/>
      <c r="R494" s="60"/>
      <c r="S494" s="51"/>
      <c r="T494" s="51"/>
      <c r="U494" s="51"/>
      <c r="V494" s="60"/>
      <c r="W494" s="38"/>
      <c r="AA494" s="119"/>
      <c r="AB494" s="119"/>
      <c r="AC494" s="119"/>
      <c r="AE494" s="118"/>
      <c r="AG494" s="8"/>
      <c r="AH494" s="8"/>
      <c r="AI494" s="8"/>
      <c r="AK494" s="118"/>
      <c r="AM494" s="8"/>
      <c r="AN494" s="8"/>
      <c r="AO494" s="8"/>
    </row>
    <row r="495" spans="1:42">
      <c r="A495" s="37">
        <v>482</v>
      </c>
      <c r="B495" s="155"/>
      <c r="C495" s="152" t="s">
        <v>2032</v>
      </c>
      <c r="D495" s="33"/>
      <c r="E495" s="33"/>
      <c r="F495" s="33"/>
      <c r="G495" s="33"/>
      <c r="H495" s="77" t="s">
        <v>1943</v>
      </c>
      <c r="I495" s="186" t="s">
        <v>1030</v>
      </c>
      <c r="J495" s="146" t="s">
        <v>1273</v>
      </c>
      <c r="K495" s="125"/>
      <c r="L495" s="6"/>
      <c r="M495" s="6"/>
      <c r="N495" s="6"/>
      <c r="O495" s="51"/>
      <c r="P495" s="51"/>
      <c r="Q495" s="51"/>
      <c r="R495" s="60"/>
      <c r="S495" s="51"/>
      <c r="T495" s="51"/>
      <c r="U495" s="51"/>
      <c r="V495" s="60"/>
      <c r="W495" s="38"/>
      <c r="AA495" s="119"/>
      <c r="AB495" s="119"/>
      <c r="AC495" s="119"/>
      <c r="AE495" s="118"/>
      <c r="AG495" s="8"/>
      <c r="AH495" s="8"/>
      <c r="AI495" s="8"/>
      <c r="AK495" s="118"/>
      <c r="AM495" s="8"/>
      <c r="AN495" s="8"/>
      <c r="AO495" s="8"/>
    </row>
    <row r="496" spans="1:42">
      <c r="A496" s="37">
        <v>483</v>
      </c>
      <c r="B496" s="155"/>
      <c r="C496" s="152" t="s">
        <v>1271</v>
      </c>
      <c r="D496" s="33"/>
      <c r="E496" s="33"/>
      <c r="F496" s="33"/>
      <c r="G496" s="33"/>
      <c r="H496" s="77" t="s">
        <v>1942</v>
      </c>
      <c r="I496" s="186" t="s">
        <v>1030</v>
      </c>
      <c r="J496" s="146" t="s">
        <v>1272</v>
      </c>
      <c r="K496" s="125"/>
      <c r="L496" s="6"/>
      <c r="M496" s="6"/>
      <c r="N496" s="6"/>
      <c r="O496" s="51"/>
      <c r="P496" s="51"/>
      <c r="Q496" s="51"/>
      <c r="R496" s="60"/>
      <c r="S496" s="51"/>
      <c r="T496" s="51"/>
      <c r="U496" s="51"/>
      <c r="V496" s="60"/>
      <c r="W496" s="38"/>
      <c r="AA496" s="119"/>
      <c r="AB496" s="119"/>
      <c r="AC496" s="119"/>
      <c r="AE496" s="118"/>
      <c r="AG496" s="8"/>
      <c r="AH496" s="8"/>
      <c r="AI496" s="8"/>
      <c r="AK496" s="118"/>
      <c r="AM496" s="8"/>
      <c r="AN496" s="8"/>
      <c r="AO496" s="8"/>
    </row>
    <row r="497" spans="1:42">
      <c r="A497" s="37">
        <v>484</v>
      </c>
      <c r="B497" s="155"/>
      <c r="C497" s="152" t="s">
        <v>1940</v>
      </c>
      <c r="D497" s="33"/>
      <c r="E497" s="33"/>
      <c r="F497" s="33"/>
      <c r="G497" s="33"/>
      <c r="H497" s="77" t="s">
        <v>1941</v>
      </c>
      <c r="I497" s="186" t="s">
        <v>1030</v>
      </c>
      <c r="J497" s="146" t="s">
        <v>1944</v>
      </c>
      <c r="K497" s="125"/>
      <c r="L497" s="6"/>
      <c r="M497" s="6"/>
      <c r="N497" s="6"/>
      <c r="O497" s="51"/>
      <c r="P497" s="51"/>
      <c r="Q497" s="51"/>
      <c r="R497" s="60"/>
      <c r="S497" s="51"/>
      <c r="T497" s="51"/>
      <c r="U497" s="51"/>
      <c r="V497" s="60"/>
      <c r="W497" s="38"/>
      <c r="AA497" s="119"/>
      <c r="AB497" s="119"/>
      <c r="AC497" s="119"/>
      <c r="AE497" s="118"/>
      <c r="AG497" s="8"/>
      <c r="AH497" s="8"/>
      <c r="AI497" s="8"/>
      <c r="AK497" s="118"/>
      <c r="AM497" s="8"/>
      <c r="AN497" s="8"/>
      <c r="AO497" s="8"/>
    </row>
    <row r="498" spans="1:42">
      <c r="A498" s="37">
        <v>485</v>
      </c>
      <c r="B498" s="155"/>
      <c r="C498" s="168" t="s">
        <v>815</v>
      </c>
      <c r="D498" s="33"/>
      <c r="E498" s="33"/>
      <c r="F498" s="33"/>
      <c r="G498" s="33"/>
      <c r="H498" s="77" t="s">
        <v>816</v>
      </c>
      <c r="I498" s="186"/>
      <c r="J498" s="146" t="s">
        <v>814</v>
      </c>
      <c r="K498" s="125"/>
      <c r="L498" s="6"/>
      <c r="M498" s="6"/>
      <c r="N498" s="6"/>
      <c r="O498" s="51"/>
      <c r="P498" s="51"/>
      <c r="Q498" s="51"/>
      <c r="R498" s="60"/>
      <c r="S498" s="51"/>
      <c r="T498" s="51"/>
      <c r="U498" s="51"/>
      <c r="V498" s="60"/>
      <c r="W498" s="38"/>
      <c r="AA498" s="119"/>
      <c r="AB498" s="119"/>
      <c r="AC498" s="119"/>
      <c r="AE498" s="118"/>
      <c r="AG498" s="8"/>
      <c r="AH498" s="8"/>
      <c r="AI498" s="8"/>
      <c r="AK498" s="118"/>
      <c r="AM498" s="8"/>
      <c r="AN498" s="8"/>
      <c r="AO498" s="8"/>
    </row>
    <row r="499" spans="1:42">
      <c r="A499" s="37">
        <v>486</v>
      </c>
      <c r="B499" s="155"/>
      <c r="C499" s="152" t="s">
        <v>786</v>
      </c>
      <c r="D499" s="33"/>
      <c r="E499" s="33"/>
      <c r="F499" s="33"/>
      <c r="G499" s="33"/>
      <c r="H499" s="77" t="s">
        <v>1220</v>
      </c>
      <c r="I499" s="186" t="s">
        <v>1028</v>
      </c>
      <c r="J499" s="146" t="s">
        <v>787</v>
      </c>
      <c r="K499" s="125"/>
      <c r="L499" s="6"/>
      <c r="M499" s="6"/>
      <c r="N499" s="6"/>
      <c r="O499" s="51"/>
      <c r="P499" s="51"/>
      <c r="Q499" s="51"/>
      <c r="R499" s="60"/>
      <c r="S499" s="51"/>
      <c r="T499" s="51"/>
      <c r="U499" s="51"/>
      <c r="V499" s="60"/>
      <c r="W499" s="38"/>
      <c r="AA499" s="119"/>
      <c r="AB499" s="119"/>
      <c r="AC499" s="119"/>
      <c r="AE499" s="118"/>
      <c r="AG499" s="8"/>
      <c r="AH499" s="8"/>
      <c r="AI499" s="8"/>
      <c r="AK499" s="118"/>
      <c r="AM499" s="8"/>
      <c r="AN499" s="8"/>
      <c r="AO499" s="8"/>
    </row>
    <row r="500" spans="1:42" ht="27">
      <c r="A500" s="37">
        <v>487</v>
      </c>
      <c r="B500" s="155"/>
      <c r="C500" s="152" t="s">
        <v>1389</v>
      </c>
      <c r="D500" s="33"/>
      <c r="E500" s="33"/>
      <c r="F500" s="33"/>
      <c r="G500" s="33"/>
      <c r="H500" s="77" t="s">
        <v>1393</v>
      </c>
      <c r="I500" s="186" t="s">
        <v>1394</v>
      </c>
      <c r="J500" s="146" t="s">
        <v>1395</v>
      </c>
      <c r="K500" s="125"/>
      <c r="L500" s="6"/>
      <c r="M500" s="6"/>
      <c r="N500" s="6"/>
      <c r="O500" s="51"/>
      <c r="P500" s="51"/>
      <c r="Q500" s="51"/>
      <c r="R500" s="60"/>
      <c r="S500" s="51"/>
      <c r="T500" s="51"/>
      <c r="U500" s="51"/>
      <c r="V500" s="60"/>
      <c r="W500" s="38"/>
      <c r="X500" s="11"/>
      <c r="Y500" s="17"/>
      <c r="Z500" s="17"/>
      <c r="AA500" s="70"/>
      <c r="AB500" s="70"/>
      <c r="AC500" s="70"/>
      <c r="AD500" s="43"/>
      <c r="AE500" s="38"/>
      <c r="AF500" s="11"/>
      <c r="AG500" s="6"/>
      <c r="AH500" s="6"/>
      <c r="AI500" s="6"/>
      <c r="AJ500" s="43"/>
      <c r="AK500" s="38"/>
      <c r="AL500" s="11"/>
      <c r="AM500" s="6"/>
      <c r="AN500" s="6"/>
      <c r="AO500" s="6"/>
      <c r="AP500" s="43"/>
    </row>
    <row r="501" spans="1:42">
      <c r="A501" s="37">
        <v>488</v>
      </c>
      <c r="B501" s="155"/>
      <c r="C501" s="152" t="s">
        <v>1250</v>
      </c>
      <c r="D501" s="33"/>
      <c r="E501" s="33"/>
      <c r="F501" s="33"/>
      <c r="G501" s="33"/>
      <c r="H501" s="77" t="s">
        <v>1254</v>
      </c>
      <c r="I501" s="186" t="s">
        <v>1255</v>
      </c>
      <c r="J501" s="146" t="s">
        <v>1256</v>
      </c>
      <c r="K501" s="125"/>
      <c r="L501" s="6"/>
      <c r="M501" s="6"/>
      <c r="N501" s="6"/>
      <c r="O501" s="51"/>
      <c r="P501" s="51"/>
      <c r="Q501" s="51"/>
      <c r="R501" s="60"/>
      <c r="S501" s="51"/>
      <c r="T501" s="51"/>
      <c r="U501" s="51"/>
      <c r="V501" s="60"/>
      <c r="W501" s="38"/>
      <c r="AA501" s="119"/>
      <c r="AB501" s="119"/>
      <c r="AC501" s="119"/>
      <c r="AE501" s="118"/>
      <c r="AG501" s="8"/>
      <c r="AH501" s="8"/>
      <c r="AI501" s="8"/>
      <c r="AK501" s="118"/>
      <c r="AM501" s="8"/>
      <c r="AN501" s="8"/>
      <c r="AO501" s="8"/>
    </row>
    <row r="502" spans="1:42">
      <c r="A502" s="37">
        <v>489</v>
      </c>
      <c r="B502" s="155"/>
      <c r="C502" s="152" t="s">
        <v>837</v>
      </c>
      <c r="D502" s="33"/>
      <c r="E502" s="33"/>
      <c r="F502" s="33"/>
      <c r="G502" s="33"/>
      <c r="H502" s="77" t="s">
        <v>905</v>
      </c>
      <c r="I502" s="186" t="s">
        <v>1064</v>
      </c>
      <c r="J502" s="146" t="s">
        <v>720</v>
      </c>
      <c r="K502" s="125"/>
      <c r="L502" s="6"/>
      <c r="M502" s="6"/>
      <c r="N502" s="6"/>
      <c r="O502" s="51"/>
      <c r="P502" s="51"/>
      <c r="Q502" s="51"/>
      <c r="R502" s="60"/>
      <c r="S502" s="51"/>
      <c r="T502" s="51"/>
      <c r="U502" s="51"/>
      <c r="V502" s="60"/>
      <c r="W502" s="38"/>
      <c r="AA502" s="119"/>
      <c r="AB502" s="119"/>
      <c r="AC502" s="119"/>
      <c r="AE502" s="118"/>
      <c r="AG502" s="8"/>
      <c r="AH502" s="8"/>
      <c r="AI502" s="8"/>
      <c r="AK502" s="118"/>
      <c r="AM502" s="8"/>
      <c r="AN502" s="8"/>
      <c r="AO502" s="8"/>
    </row>
    <row r="503" spans="1:42">
      <c r="A503" s="37">
        <v>490</v>
      </c>
      <c r="B503" s="155"/>
      <c r="C503" s="152" t="s">
        <v>1274</v>
      </c>
      <c r="D503" s="33"/>
      <c r="E503" s="33"/>
      <c r="F503" s="33"/>
      <c r="G503" s="33"/>
      <c r="H503" s="77" t="s">
        <v>1275</v>
      </c>
      <c r="I503" s="186" t="s">
        <v>1255</v>
      </c>
      <c r="J503" s="146" t="s">
        <v>720</v>
      </c>
      <c r="K503" s="125"/>
      <c r="L503" s="6"/>
      <c r="M503" s="6"/>
      <c r="N503" s="6"/>
      <c r="O503" s="51"/>
      <c r="P503" s="51"/>
      <c r="Q503" s="51"/>
      <c r="R503" s="60"/>
      <c r="S503" s="51"/>
      <c r="T503" s="51"/>
      <c r="U503" s="51"/>
      <c r="V503" s="60"/>
      <c r="W503" s="38"/>
      <c r="AA503" s="119"/>
      <c r="AB503" s="119"/>
      <c r="AC503" s="119"/>
      <c r="AE503" s="118"/>
      <c r="AG503" s="8"/>
      <c r="AH503" s="8"/>
      <c r="AI503" s="8"/>
      <c r="AK503" s="118"/>
      <c r="AM503" s="8"/>
      <c r="AN503" s="8"/>
      <c r="AO503" s="8"/>
    </row>
    <row r="504" spans="1:42">
      <c r="A504" s="37">
        <v>491</v>
      </c>
      <c r="B504" s="155"/>
      <c r="C504" s="152" t="s">
        <v>794</v>
      </c>
      <c r="D504" s="33"/>
      <c r="E504" s="33"/>
      <c r="F504" s="33"/>
      <c r="G504" s="33"/>
      <c r="H504" s="77" t="s">
        <v>845</v>
      </c>
      <c r="I504" s="186" t="s">
        <v>995</v>
      </c>
      <c r="J504" s="146" t="s">
        <v>846</v>
      </c>
      <c r="K504" s="125"/>
      <c r="L504" s="6"/>
      <c r="M504" s="6"/>
      <c r="N504" s="6"/>
      <c r="O504" s="51"/>
      <c r="P504" s="51"/>
      <c r="Q504" s="51"/>
      <c r="R504" s="60"/>
      <c r="S504" s="51"/>
      <c r="T504" s="51"/>
      <c r="U504" s="51"/>
      <c r="V504" s="60"/>
      <c r="W504" s="38"/>
      <c r="AA504" s="119"/>
      <c r="AB504" s="119"/>
      <c r="AC504" s="119"/>
      <c r="AE504" s="118"/>
      <c r="AG504" s="8"/>
      <c r="AH504" s="8"/>
      <c r="AI504" s="8"/>
      <c r="AK504" s="118"/>
      <c r="AM504" s="8"/>
      <c r="AN504" s="8"/>
      <c r="AO504" s="8"/>
    </row>
    <row r="505" spans="1:42">
      <c r="A505" s="37">
        <v>492</v>
      </c>
      <c r="B505" s="155"/>
      <c r="C505" s="152" t="s">
        <v>843</v>
      </c>
      <c r="D505" s="33"/>
      <c r="E505" s="33"/>
      <c r="F505" s="33"/>
      <c r="G505" s="33"/>
      <c r="H505" s="77" t="s">
        <v>844</v>
      </c>
      <c r="I505" s="186" t="s">
        <v>995</v>
      </c>
      <c r="J505" s="146" t="s">
        <v>846</v>
      </c>
      <c r="K505" s="125"/>
      <c r="L505" s="6"/>
      <c r="M505" s="6"/>
      <c r="N505" s="6"/>
      <c r="O505" s="51"/>
      <c r="P505" s="51"/>
      <c r="Q505" s="51"/>
      <c r="R505" s="60"/>
      <c r="S505" s="51"/>
      <c r="T505" s="51"/>
      <c r="U505" s="51"/>
      <c r="V505" s="60"/>
      <c r="W505" s="38"/>
      <c r="X505" s="11"/>
      <c r="Y505" s="17"/>
      <c r="Z505" s="17"/>
      <c r="AA505" s="70"/>
      <c r="AB505" s="70"/>
      <c r="AC505" s="70"/>
      <c r="AD505" s="43"/>
      <c r="AE505" s="38"/>
      <c r="AF505" s="11"/>
      <c r="AG505" s="6"/>
      <c r="AH505" s="6"/>
      <c r="AI505" s="6"/>
      <c r="AJ505" s="43"/>
      <c r="AK505" s="38"/>
      <c r="AL505" s="11"/>
      <c r="AM505" s="6"/>
      <c r="AN505" s="6"/>
      <c r="AO505" s="6"/>
      <c r="AP505" s="43"/>
    </row>
    <row r="506" spans="1:42">
      <c r="A506" s="37">
        <v>493</v>
      </c>
      <c r="B506" s="155"/>
      <c r="C506" s="152" t="s">
        <v>948</v>
      </c>
      <c r="D506" s="33"/>
      <c r="E506" s="33"/>
      <c r="F506" s="33"/>
      <c r="G506" s="33"/>
      <c r="H506" s="77" t="s">
        <v>949</v>
      </c>
      <c r="I506" s="186" t="s">
        <v>995</v>
      </c>
      <c r="J506" s="146" t="s">
        <v>846</v>
      </c>
      <c r="K506" s="125"/>
      <c r="L506" s="6"/>
      <c r="M506" s="6"/>
      <c r="N506" s="6"/>
      <c r="O506" s="51"/>
      <c r="P506" s="51"/>
      <c r="Q506" s="51"/>
      <c r="R506" s="60"/>
      <c r="S506" s="51"/>
      <c r="T506" s="51"/>
      <c r="U506" s="51"/>
      <c r="V506" s="60"/>
      <c r="W506" s="38"/>
      <c r="X506" s="11"/>
      <c r="Y506" s="17"/>
      <c r="Z506" s="17"/>
      <c r="AA506" s="70"/>
      <c r="AB506" s="70"/>
      <c r="AC506" s="70"/>
      <c r="AD506" s="43"/>
      <c r="AE506" s="38"/>
      <c r="AF506" s="11"/>
      <c r="AG506" s="6"/>
      <c r="AH506" s="6"/>
      <c r="AI506" s="6"/>
      <c r="AJ506" s="43"/>
      <c r="AK506" s="38"/>
      <c r="AL506" s="11"/>
      <c r="AM506" s="6"/>
      <c r="AN506" s="6"/>
      <c r="AO506" s="6"/>
      <c r="AP506" s="43"/>
    </row>
    <row r="507" spans="1:42">
      <c r="A507" s="37">
        <v>494</v>
      </c>
      <c r="B507" s="155"/>
      <c r="C507" s="152" t="s">
        <v>1561</v>
      </c>
      <c r="D507" s="33"/>
      <c r="E507" s="33"/>
      <c r="F507" s="33"/>
      <c r="G507" s="33"/>
      <c r="H507" s="77" t="s">
        <v>1562</v>
      </c>
      <c r="I507" s="186" t="s">
        <v>1563</v>
      </c>
      <c r="J507" s="146" t="s">
        <v>1564</v>
      </c>
      <c r="K507" s="125"/>
      <c r="L507" s="6"/>
      <c r="M507" s="6"/>
      <c r="N507" s="6"/>
      <c r="O507" s="51"/>
      <c r="P507" s="51"/>
      <c r="Q507" s="51"/>
      <c r="R507" s="60"/>
      <c r="S507" s="51"/>
      <c r="T507" s="51"/>
      <c r="U507" s="51"/>
      <c r="V507" s="60"/>
      <c r="W507" s="38"/>
      <c r="X507" s="11"/>
      <c r="Y507" s="17"/>
      <c r="Z507" s="17"/>
      <c r="AA507" s="70"/>
      <c r="AB507" s="70"/>
      <c r="AC507" s="70"/>
      <c r="AD507" s="43"/>
      <c r="AE507" s="38"/>
      <c r="AF507" s="11"/>
      <c r="AG507" s="6"/>
      <c r="AH507" s="6"/>
      <c r="AI507" s="6"/>
      <c r="AJ507" s="43"/>
      <c r="AK507" s="38"/>
      <c r="AL507" s="11"/>
      <c r="AM507" s="6"/>
      <c r="AN507" s="6"/>
      <c r="AO507" s="6"/>
      <c r="AP507" s="43"/>
    </row>
    <row r="508" spans="1:42">
      <c r="A508" s="37">
        <v>495</v>
      </c>
      <c r="B508" s="155"/>
      <c r="C508" s="152" t="s">
        <v>1116</v>
      </c>
      <c r="D508" s="33"/>
      <c r="E508" s="33"/>
      <c r="F508" s="33"/>
      <c r="G508" s="33"/>
      <c r="H508" s="77" t="s">
        <v>1654</v>
      </c>
      <c r="I508" s="186"/>
      <c r="J508" s="146" t="s">
        <v>1653</v>
      </c>
      <c r="K508" s="125"/>
      <c r="L508" s="6"/>
      <c r="M508" s="6"/>
      <c r="N508" s="6"/>
      <c r="O508" s="51"/>
      <c r="P508" s="51"/>
      <c r="Q508" s="51"/>
      <c r="R508" s="60"/>
      <c r="S508" s="51"/>
      <c r="T508" s="51"/>
      <c r="U508" s="51"/>
      <c r="V508" s="60"/>
      <c r="W508" s="38"/>
      <c r="X508" s="11"/>
      <c r="Y508" s="17"/>
      <c r="Z508" s="17"/>
      <c r="AA508" s="70"/>
      <c r="AB508" s="70"/>
      <c r="AC508" s="70"/>
      <c r="AD508" s="43"/>
      <c r="AE508" s="38"/>
      <c r="AF508" s="11"/>
      <c r="AG508" s="6"/>
      <c r="AH508" s="6"/>
      <c r="AI508" s="6"/>
      <c r="AJ508" s="43"/>
      <c r="AK508" s="38"/>
      <c r="AL508" s="11"/>
      <c r="AM508" s="6"/>
      <c r="AN508" s="6"/>
      <c r="AO508" s="6"/>
      <c r="AP508" s="43"/>
    </row>
    <row r="509" spans="1:42" ht="27">
      <c r="A509" s="37">
        <v>496</v>
      </c>
      <c r="B509" s="155"/>
      <c r="C509" s="152" t="s">
        <v>630</v>
      </c>
      <c r="D509" s="33"/>
      <c r="E509" s="33"/>
      <c r="F509" s="33"/>
      <c r="G509" s="33"/>
      <c r="H509" s="77" t="s">
        <v>1677</v>
      </c>
      <c r="I509" s="186" t="s">
        <v>1678</v>
      </c>
      <c r="J509" s="146" t="s">
        <v>1679</v>
      </c>
      <c r="K509" s="125"/>
      <c r="L509" s="6"/>
      <c r="M509" s="6"/>
      <c r="N509" s="6"/>
      <c r="O509" s="51"/>
      <c r="P509" s="51"/>
      <c r="Q509" s="51"/>
      <c r="R509" s="60"/>
      <c r="S509" s="51"/>
      <c r="T509" s="51"/>
      <c r="U509" s="51"/>
      <c r="V509" s="60"/>
      <c r="W509" s="38"/>
      <c r="X509" s="11"/>
      <c r="Y509" s="17"/>
      <c r="Z509" s="17"/>
      <c r="AA509" s="70"/>
      <c r="AB509" s="70"/>
      <c r="AC509" s="70"/>
      <c r="AD509" s="43"/>
      <c r="AE509" s="38"/>
      <c r="AF509" s="11"/>
      <c r="AG509" s="6"/>
      <c r="AH509" s="6"/>
      <c r="AI509" s="6"/>
      <c r="AJ509" s="43"/>
      <c r="AK509" s="38"/>
      <c r="AL509" s="11"/>
      <c r="AM509" s="6"/>
      <c r="AN509" s="6"/>
      <c r="AO509" s="6"/>
      <c r="AP509" s="43"/>
    </row>
    <row r="510" spans="1:42">
      <c r="A510" s="37">
        <v>497</v>
      </c>
      <c r="B510" s="155"/>
      <c r="C510" s="152" t="s">
        <v>1817</v>
      </c>
      <c r="D510" s="33"/>
      <c r="E510" s="33"/>
      <c r="F510" s="33"/>
      <c r="G510" s="33"/>
      <c r="H510" s="77" t="s">
        <v>1818</v>
      </c>
      <c r="I510" s="186" t="s">
        <v>1026</v>
      </c>
      <c r="J510" s="146" t="s">
        <v>1819</v>
      </c>
      <c r="K510" s="125"/>
      <c r="L510" s="6"/>
      <c r="M510" s="6"/>
      <c r="N510" s="6"/>
      <c r="O510" s="51"/>
      <c r="P510" s="51"/>
      <c r="Q510" s="51"/>
      <c r="R510" s="60"/>
      <c r="S510" s="51"/>
      <c r="T510" s="51"/>
      <c r="U510" s="51"/>
      <c r="V510" s="60"/>
      <c r="W510" s="38"/>
      <c r="X510" s="11"/>
      <c r="Y510" s="17"/>
      <c r="Z510" s="17"/>
      <c r="AA510" s="70"/>
      <c r="AB510" s="70"/>
      <c r="AC510" s="70"/>
      <c r="AD510" s="43"/>
      <c r="AE510" s="38"/>
      <c r="AF510" s="11"/>
      <c r="AG510" s="6"/>
      <c r="AH510" s="6"/>
      <c r="AI510" s="6"/>
      <c r="AJ510" s="43"/>
      <c r="AK510" s="38"/>
      <c r="AL510" s="11"/>
      <c r="AM510" s="6"/>
      <c r="AN510" s="6"/>
      <c r="AO510" s="6"/>
      <c r="AP510" s="43"/>
    </row>
    <row r="511" spans="1:42">
      <c r="A511" s="37">
        <v>498</v>
      </c>
      <c r="B511" s="155"/>
      <c r="C511" s="152" t="s">
        <v>689</v>
      </c>
      <c r="D511" s="33"/>
      <c r="E511" s="33"/>
      <c r="F511" s="33"/>
      <c r="G511" s="33"/>
      <c r="H511" s="77" t="s">
        <v>850</v>
      </c>
      <c r="I511" s="186"/>
      <c r="J511" s="146"/>
      <c r="K511" s="35"/>
      <c r="L511" s="17"/>
      <c r="M511" s="17"/>
      <c r="N511" s="17"/>
      <c r="O511" s="51"/>
      <c r="P511" s="51"/>
      <c r="Q511" s="51"/>
      <c r="R511" s="60"/>
      <c r="S511" s="51"/>
      <c r="T511" s="53"/>
      <c r="U511" s="53"/>
      <c r="V511" s="60"/>
      <c r="W511" s="38"/>
      <c r="X511" s="11"/>
      <c r="Y511" s="17"/>
      <c r="Z511" s="17"/>
      <c r="AA511" s="70"/>
      <c r="AB511" s="70"/>
      <c r="AC511" s="70"/>
      <c r="AD511" s="43"/>
      <c r="AE511" s="38"/>
      <c r="AF511" s="11"/>
      <c r="AG511" s="6"/>
      <c r="AH511" s="6"/>
      <c r="AI511" s="6"/>
      <c r="AJ511" s="43"/>
      <c r="AK511" s="38"/>
      <c r="AL511" s="11"/>
      <c r="AM511" s="6"/>
      <c r="AN511" s="6"/>
      <c r="AO511" s="6"/>
      <c r="AP511" s="43"/>
    </row>
    <row r="512" spans="1:42">
      <c r="A512" s="37">
        <v>499</v>
      </c>
      <c r="B512" s="155"/>
      <c r="C512" s="152" t="s">
        <v>653</v>
      </c>
      <c r="D512" s="33"/>
      <c r="E512" s="33"/>
      <c r="F512" s="33"/>
      <c r="G512" s="33"/>
      <c r="H512" s="77" t="s">
        <v>906</v>
      </c>
      <c r="I512" s="186"/>
      <c r="J512" s="146"/>
      <c r="K512" s="125"/>
      <c r="L512" s="6"/>
      <c r="M512" s="6"/>
      <c r="N512" s="6"/>
      <c r="O512" s="51"/>
      <c r="P512" s="51"/>
      <c r="Q512" s="51"/>
      <c r="R512" s="60"/>
      <c r="S512" s="51"/>
      <c r="T512" s="51"/>
      <c r="U512" s="51"/>
      <c r="V512" s="60"/>
      <c r="W512" s="38"/>
      <c r="X512" s="11"/>
      <c r="Y512" s="17"/>
      <c r="Z512" s="17"/>
      <c r="AA512" s="70"/>
      <c r="AB512" s="70"/>
      <c r="AC512" s="70"/>
      <c r="AD512" s="43"/>
      <c r="AE512" s="38"/>
      <c r="AF512" s="11"/>
      <c r="AG512" s="6"/>
      <c r="AH512" s="6"/>
      <c r="AI512" s="6"/>
      <c r="AJ512" s="43"/>
      <c r="AK512" s="38"/>
      <c r="AL512" s="11"/>
      <c r="AM512" s="6"/>
      <c r="AN512" s="6"/>
      <c r="AO512" s="6"/>
      <c r="AP512" s="43"/>
    </row>
    <row r="513" spans="1:42">
      <c r="A513" s="37">
        <v>500</v>
      </c>
      <c r="B513" s="155"/>
      <c r="C513" s="152" t="s">
        <v>648</v>
      </c>
      <c r="D513" s="33"/>
      <c r="E513" s="33"/>
      <c r="F513" s="33"/>
      <c r="G513" s="33"/>
      <c r="H513" s="77" t="s">
        <v>907</v>
      </c>
      <c r="I513" s="186"/>
      <c r="J513" s="146"/>
      <c r="K513" s="125"/>
      <c r="L513" s="6"/>
      <c r="M513" s="6"/>
      <c r="N513" s="6"/>
      <c r="O513" s="51"/>
      <c r="P513" s="51"/>
      <c r="Q513" s="51"/>
      <c r="R513" s="60"/>
      <c r="S513" s="51"/>
      <c r="T513" s="51"/>
      <c r="U513" s="51"/>
      <c r="V513" s="60"/>
      <c r="W513" s="38"/>
      <c r="X513" s="11"/>
      <c r="Y513" s="17"/>
      <c r="Z513" s="17"/>
      <c r="AA513" s="70"/>
      <c r="AB513" s="70"/>
      <c r="AC513" s="70"/>
      <c r="AD513" s="43"/>
      <c r="AE513" s="38"/>
      <c r="AF513" s="11"/>
      <c r="AG513" s="6"/>
      <c r="AH513" s="6"/>
      <c r="AI513" s="6"/>
      <c r="AJ513" s="43"/>
      <c r="AK513" s="38"/>
      <c r="AL513" s="11"/>
      <c r="AM513" s="6"/>
      <c r="AN513" s="6"/>
      <c r="AO513" s="6"/>
      <c r="AP513" s="43"/>
    </row>
    <row r="514" spans="1:42">
      <c r="A514" s="37">
        <v>501</v>
      </c>
      <c r="B514" s="155"/>
      <c r="C514" s="152" t="s">
        <v>1586</v>
      </c>
      <c r="D514" s="33"/>
      <c r="E514" s="33"/>
      <c r="F514" s="33"/>
      <c r="G514" s="33"/>
      <c r="H514" s="77" t="s">
        <v>1584</v>
      </c>
      <c r="I514" s="186"/>
      <c r="J514" s="146" t="s">
        <v>768</v>
      </c>
      <c r="K514" s="125"/>
      <c r="L514" s="6"/>
      <c r="M514" s="6"/>
      <c r="N514" s="6"/>
      <c r="O514" s="51"/>
      <c r="P514" s="51"/>
      <c r="Q514" s="51"/>
      <c r="R514" s="60"/>
      <c r="S514" s="51"/>
      <c r="T514" s="51"/>
      <c r="U514" s="51"/>
      <c r="V514" s="60"/>
      <c r="W514" s="38"/>
      <c r="X514" s="11"/>
      <c r="Y514" s="17"/>
      <c r="Z514" s="17"/>
      <c r="AA514" s="70"/>
      <c r="AB514" s="70"/>
      <c r="AC514" s="70"/>
      <c r="AD514" s="43"/>
      <c r="AE514" s="38"/>
      <c r="AF514" s="11"/>
      <c r="AG514" s="6"/>
      <c r="AH514" s="6"/>
      <c r="AI514" s="6"/>
      <c r="AJ514" s="43"/>
      <c r="AK514" s="38"/>
      <c r="AL514" s="11"/>
      <c r="AM514" s="6"/>
      <c r="AN514" s="6"/>
      <c r="AO514" s="6"/>
      <c r="AP514" s="43"/>
    </row>
    <row r="515" spans="1:42">
      <c r="A515" s="37">
        <v>502</v>
      </c>
      <c r="B515" s="155"/>
      <c r="C515" s="152" t="s">
        <v>1587</v>
      </c>
      <c r="D515" s="33"/>
      <c r="E515" s="33"/>
      <c r="F515" s="33"/>
      <c r="G515" s="33"/>
      <c r="H515" s="77" t="s">
        <v>1585</v>
      </c>
      <c r="I515" s="186" t="s">
        <v>1024</v>
      </c>
      <c r="J515" s="146" t="s">
        <v>768</v>
      </c>
      <c r="K515" s="125"/>
      <c r="L515" s="6"/>
      <c r="M515" s="6"/>
      <c r="N515" s="6"/>
      <c r="O515" s="51"/>
      <c r="P515" s="51"/>
      <c r="Q515" s="51"/>
      <c r="R515" s="60"/>
      <c r="S515" s="51"/>
      <c r="T515" s="51"/>
      <c r="U515" s="51"/>
      <c r="V515" s="60"/>
      <c r="W515" s="38"/>
      <c r="X515" s="11"/>
      <c r="Y515" s="17"/>
      <c r="Z515" s="17"/>
      <c r="AA515" s="70"/>
      <c r="AB515" s="70"/>
      <c r="AC515" s="70"/>
      <c r="AD515" s="43"/>
      <c r="AE515" s="38"/>
      <c r="AF515" s="11"/>
      <c r="AG515" s="6"/>
      <c r="AH515" s="6"/>
      <c r="AI515" s="6"/>
      <c r="AJ515" s="43"/>
      <c r="AK515" s="38"/>
      <c r="AL515" s="11"/>
      <c r="AM515" s="6"/>
      <c r="AN515" s="6"/>
      <c r="AO515" s="6"/>
      <c r="AP515" s="43"/>
    </row>
    <row r="516" spans="1:42">
      <c r="A516" s="37">
        <v>503</v>
      </c>
      <c r="B516" s="155"/>
      <c r="C516" s="152" t="s">
        <v>1094</v>
      </c>
      <c r="D516" s="33"/>
      <c r="E516" s="33"/>
      <c r="F516" s="33"/>
      <c r="G516" s="33"/>
      <c r="H516" s="77" t="s">
        <v>1224</v>
      </c>
      <c r="I516" s="186"/>
      <c r="J516" s="146" t="s">
        <v>1095</v>
      </c>
      <c r="K516" s="125"/>
      <c r="L516" s="6"/>
      <c r="M516" s="6"/>
      <c r="N516" s="6"/>
      <c r="O516" s="51"/>
      <c r="P516" s="51"/>
      <c r="Q516" s="51"/>
      <c r="R516" s="60"/>
      <c r="S516" s="51"/>
      <c r="T516" s="51"/>
      <c r="U516" s="51"/>
      <c r="V516" s="60"/>
      <c r="W516" s="38"/>
      <c r="X516" s="11"/>
      <c r="Y516" s="17"/>
      <c r="Z516" s="17"/>
      <c r="AA516" s="70"/>
      <c r="AB516" s="70"/>
      <c r="AC516" s="70"/>
      <c r="AD516" s="43"/>
      <c r="AE516" s="38"/>
      <c r="AF516" s="11"/>
      <c r="AG516" s="6"/>
      <c r="AH516" s="6"/>
      <c r="AI516" s="6"/>
      <c r="AJ516" s="43"/>
      <c r="AK516" s="38"/>
      <c r="AL516" s="11"/>
      <c r="AM516" s="6"/>
      <c r="AN516" s="6"/>
      <c r="AO516" s="6"/>
      <c r="AP516" s="43"/>
    </row>
    <row r="517" spans="1:42">
      <c r="A517" s="37">
        <v>504</v>
      </c>
      <c r="B517" s="155"/>
      <c r="C517" s="152" t="s">
        <v>1222</v>
      </c>
      <c r="D517" s="33"/>
      <c r="E517" s="33"/>
      <c r="F517" s="33"/>
      <c r="G517" s="33"/>
      <c r="H517" s="77" t="s">
        <v>1223</v>
      </c>
      <c r="I517" s="186"/>
      <c r="J517" s="146" t="s">
        <v>1095</v>
      </c>
      <c r="K517" s="125"/>
      <c r="L517" s="6"/>
      <c r="M517" s="6"/>
      <c r="N517" s="6"/>
      <c r="O517" s="51"/>
      <c r="P517" s="51"/>
      <c r="Q517" s="51"/>
      <c r="R517" s="60"/>
      <c r="S517" s="51"/>
      <c r="T517" s="51"/>
      <c r="U517" s="51"/>
      <c r="V517" s="60"/>
      <c r="W517" s="38"/>
      <c r="X517" s="11"/>
      <c r="Y517" s="17"/>
      <c r="Z517" s="17"/>
      <c r="AA517" s="70"/>
      <c r="AB517" s="70"/>
      <c r="AC517" s="70"/>
      <c r="AD517" s="43"/>
      <c r="AE517" s="38"/>
      <c r="AF517" s="11"/>
      <c r="AG517" s="6"/>
      <c r="AH517" s="6"/>
      <c r="AI517" s="6"/>
      <c r="AJ517" s="43"/>
      <c r="AK517" s="38"/>
      <c r="AL517" s="11"/>
      <c r="AM517" s="6"/>
      <c r="AN517" s="6"/>
      <c r="AO517" s="6"/>
      <c r="AP517" s="43"/>
    </row>
    <row r="518" spans="1:42" ht="27">
      <c r="A518" s="37">
        <v>505</v>
      </c>
      <c r="B518" s="155"/>
      <c r="C518" s="152" t="s">
        <v>1565</v>
      </c>
      <c r="D518" s="33"/>
      <c r="E518" s="33"/>
      <c r="F518" s="33"/>
      <c r="G518" s="33"/>
      <c r="H518" s="77" t="s">
        <v>1566</v>
      </c>
      <c r="I518" s="186" t="s">
        <v>995</v>
      </c>
      <c r="J518" s="146" t="s">
        <v>1095</v>
      </c>
      <c r="K518" s="125"/>
      <c r="L518" s="6"/>
      <c r="M518" s="6"/>
      <c r="N518" s="6"/>
      <c r="O518" s="51"/>
      <c r="P518" s="51"/>
      <c r="Q518" s="51"/>
      <c r="R518" s="60"/>
      <c r="S518" s="51"/>
      <c r="T518" s="51"/>
      <c r="U518" s="51"/>
      <c r="V518" s="60"/>
      <c r="W518" s="38"/>
      <c r="X518" s="11"/>
      <c r="Y518" s="17"/>
      <c r="Z518" s="17"/>
      <c r="AA518" s="70"/>
      <c r="AB518" s="70"/>
      <c r="AC518" s="70"/>
      <c r="AD518" s="43"/>
      <c r="AE518" s="38"/>
      <c r="AF518" s="11"/>
      <c r="AG518" s="6"/>
      <c r="AH518" s="6"/>
      <c r="AI518" s="6"/>
      <c r="AJ518" s="43"/>
      <c r="AK518" s="38"/>
      <c r="AL518" s="11"/>
      <c r="AM518" s="6"/>
      <c r="AN518" s="6"/>
      <c r="AO518" s="6"/>
      <c r="AP518" s="43"/>
    </row>
    <row r="519" spans="1:42">
      <c r="A519" s="37">
        <v>506</v>
      </c>
      <c r="B519" s="155"/>
      <c r="C519" s="152" t="s">
        <v>1736</v>
      </c>
      <c r="D519" s="33"/>
      <c r="E519" s="33"/>
      <c r="F519" s="33"/>
      <c r="G519" s="33"/>
      <c r="H519" s="77" t="s">
        <v>1933</v>
      </c>
      <c r="I519" s="186" t="s">
        <v>1731</v>
      </c>
      <c r="J519" s="146"/>
      <c r="K519" s="125"/>
      <c r="L519" s="6"/>
      <c r="M519" s="6"/>
      <c r="N519" s="6"/>
      <c r="O519" s="51"/>
      <c r="P519" s="51"/>
      <c r="Q519" s="51"/>
      <c r="R519" s="60"/>
      <c r="S519" s="51"/>
      <c r="T519" s="51"/>
      <c r="U519" s="51"/>
      <c r="V519" s="60"/>
      <c r="W519" s="38"/>
      <c r="X519" s="11"/>
      <c r="Y519" s="17"/>
      <c r="Z519" s="17"/>
      <c r="AA519" s="70"/>
      <c r="AB519" s="70"/>
      <c r="AC519" s="70"/>
      <c r="AD519" s="43"/>
      <c r="AE519" s="38"/>
      <c r="AF519" s="11"/>
      <c r="AG519" s="6"/>
      <c r="AH519" s="6"/>
      <c r="AI519" s="6"/>
      <c r="AJ519" s="43"/>
      <c r="AK519" s="38"/>
      <c r="AL519" s="11"/>
      <c r="AM519" s="6"/>
      <c r="AN519" s="6"/>
      <c r="AO519" s="6"/>
      <c r="AP519" s="43"/>
    </row>
    <row r="520" spans="1:42">
      <c r="A520" s="37">
        <v>507</v>
      </c>
      <c r="B520" s="155"/>
      <c r="C520" s="152" t="s">
        <v>1409</v>
      </c>
      <c r="D520" s="33"/>
      <c r="E520" s="33"/>
      <c r="F520" s="33"/>
      <c r="G520" s="33"/>
      <c r="H520" s="223" t="s">
        <v>1410</v>
      </c>
      <c r="I520" s="224"/>
      <c r="J520" s="146"/>
      <c r="K520" s="125"/>
      <c r="L520" s="6"/>
      <c r="M520" s="6"/>
      <c r="N520" s="6"/>
      <c r="O520" s="51"/>
      <c r="P520" s="51"/>
      <c r="Q520" s="51"/>
      <c r="R520" s="60"/>
      <c r="S520" s="51"/>
      <c r="T520" s="51"/>
      <c r="U520" s="51"/>
      <c r="V520" s="60"/>
      <c r="W520" s="38"/>
      <c r="X520" s="11"/>
      <c r="Y520" s="17"/>
      <c r="Z520" s="17"/>
      <c r="AA520" s="70"/>
      <c r="AB520" s="70"/>
      <c r="AC520" s="70"/>
      <c r="AD520" s="43"/>
      <c r="AE520" s="38"/>
      <c r="AF520" s="11"/>
      <c r="AG520" s="6"/>
      <c r="AH520" s="6"/>
      <c r="AI520" s="6"/>
      <c r="AJ520" s="43"/>
      <c r="AK520" s="38"/>
      <c r="AL520" s="11"/>
      <c r="AM520" s="6"/>
      <c r="AN520" s="6"/>
      <c r="AO520" s="6"/>
      <c r="AP520" s="43"/>
    </row>
    <row r="521" spans="1:42">
      <c r="A521" s="37">
        <v>508</v>
      </c>
      <c r="B521" s="155"/>
      <c r="C521" s="152" t="s">
        <v>818</v>
      </c>
      <c r="D521" s="33"/>
      <c r="E521" s="33"/>
      <c r="F521" s="33"/>
      <c r="G521" s="33"/>
      <c r="H521" s="113" t="s">
        <v>908</v>
      </c>
      <c r="I521" s="193"/>
      <c r="J521" s="146"/>
      <c r="K521" s="125"/>
      <c r="L521" s="6"/>
      <c r="M521" s="6"/>
      <c r="N521" s="6"/>
      <c r="O521" s="51"/>
      <c r="P521" s="51"/>
      <c r="Q521" s="51"/>
      <c r="R521" s="60"/>
      <c r="S521" s="51"/>
      <c r="T521" s="51"/>
      <c r="U521" s="51"/>
      <c r="V521" s="60"/>
      <c r="W521" s="38"/>
      <c r="X521" s="11"/>
      <c r="Y521" s="17"/>
      <c r="Z521" s="17"/>
      <c r="AA521" s="70"/>
      <c r="AB521" s="70"/>
      <c r="AC521" s="70"/>
      <c r="AD521" s="43"/>
      <c r="AE521" s="38"/>
      <c r="AF521" s="11"/>
      <c r="AG521" s="6"/>
      <c r="AH521" s="6"/>
      <c r="AI521" s="6"/>
      <c r="AJ521" s="43"/>
      <c r="AK521" s="38"/>
      <c r="AL521" s="11"/>
      <c r="AM521" s="6"/>
      <c r="AN521" s="6"/>
      <c r="AO521" s="6"/>
      <c r="AP521" s="43"/>
    </row>
    <row r="522" spans="1:42">
      <c r="A522" s="37">
        <v>509</v>
      </c>
      <c r="B522" s="155"/>
      <c r="C522" s="152" t="s">
        <v>649</v>
      </c>
      <c r="D522" s="33"/>
      <c r="E522" s="33"/>
      <c r="F522" s="33"/>
      <c r="G522" s="33"/>
      <c r="H522" s="77" t="s">
        <v>641</v>
      </c>
      <c r="I522" s="186" t="s">
        <v>984</v>
      </c>
      <c r="J522" s="146"/>
      <c r="K522" s="125"/>
      <c r="L522" s="6"/>
      <c r="M522" s="6"/>
      <c r="N522" s="6"/>
      <c r="O522" s="51"/>
      <c r="P522" s="51"/>
      <c r="Q522" s="51"/>
      <c r="R522" s="60"/>
      <c r="S522" s="51"/>
      <c r="T522" s="51"/>
      <c r="U522" s="51"/>
      <c r="V522" s="60"/>
      <c r="W522" s="38"/>
      <c r="X522" s="11"/>
      <c r="Y522" s="17"/>
      <c r="Z522" s="17"/>
      <c r="AA522" s="70"/>
      <c r="AB522" s="70"/>
      <c r="AC522" s="70"/>
      <c r="AD522" s="43"/>
      <c r="AE522" s="38"/>
      <c r="AF522" s="11"/>
      <c r="AG522" s="6"/>
      <c r="AH522" s="6"/>
      <c r="AI522" s="6"/>
      <c r="AJ522" s="43"/>
      <c r="AK522" s="38"/>
      <c r="AL522" s="11"/>
      <c r="AM522" s="6"/>
      <c r="AN522" s="6"/>
      <c r="AO522" s="6"/>
      <c r="AP522" s="43"/>
    </row>
    <row r="523" spans="1:42">
      <c r="A523" s="37">
        <v>510</v>
      </c>
      <c r="B523" s="155"/>
      <c r="C523" s="152" t="s">
        <v>1732</v>
      </c>
      <c r="D523" s="33"/>
      <c r="E523" s="33"/>
      <c r="F523" s="33"/>
      <c r="G523" s="33"/>
      <c r="H523" s="77" t="s">
        <v>1749</v>
      </c>
      <c r="I523" s="186" t="s">
        <v>1751</v>
      </c>
      <c r="J523" s="146" t="s">
        <v>1750</v>
      </c>
      <c r="K523" s="125"/>
      <c r="L523" s="6"/>
      <c r="M523" s="6"/>
      <c r="N523" s="6"/>
      <c r="O523" s="51"/>
      <c r="P523" s="51"/>
      <c r="Q523" s="51"/>
      <c r="R523" s="60"/>
      <c r="S523" s="51"/>
      <c r="T523" s="51"/>
      <c r="U523" s="51"/>
      <c r="V523" s="60"/>
      <c r="W523" s="38"/>
      <c r="X523" s="11"/>
      <c r="Y523" s="17"/>
      <c r="Z523" s="17"/>
      <c r="AA523" s="70"/>
      <c r="AB523" s="70"/>
      <c r="AC523" s="70"/>
      <c r="AD523" s="43"/>
      <c r="AE523" s="38"/>
      <c r="AF523" s="11"/>
      <c r="AG523" s="6"/>
      <c r="AH523" s="6"/>
      <c r="AI523" s="6"/>
      <c r="AJ523" s="43"/>
      <c r="AK523" s="38"/>
      <c r="AL523" s="11"/>
      <c r="AM523" s="6"/>
      <c r="AN523" s="6"/>
      <c r="AO523" s="6"/>
      <c r="AP523" s="43"/>
    </row>
    <row r="524" spans="1:42">
      <c r="A524" s="37">
        <v>511</v>
      </c>
      <c r="B524" s="155"/>
      <c r="C524" s="152" t="s">
        <v>1733</v>
      </c>
      <c r="D524" s="33"/>
      <c r="E524" s="33"/>
      <c r="F524" s="33"/>
      <c r="G524" s="33"/>
      <c r="H524" s="77" t="s">
        <v>1790</v>
      </c>
      <c r="I524" s="186"/>
      <c r="J524" s="146" t="s">
        <v>1789</v>
      </c>
      <c r="K524" s="125"/>
      <c r="L524" s="6"/>
      <c r="M524" s="6"/>
      <c r="N524" s="6"/>
      <c r="O524" s="51"/>
      <c r="P524" s="51"/>
      <c r="Q524" s="51"/>
      <c r="R524" s="60"/>
      <c r="S524" s="51"/>
      <c r="T524" s="51"/>
      <c r="U524" s="51"/>
      <c r="V524" s="60"/>
      <c r="W524" s="38"/>
      <c r="X524" s="11"/>
      <c r="Y524" s="17"/>
      <c r="Z524" s="17"/>
      <c r="AA524" s="70"/>
      <c r="AB524" s="70"/>
      <c r="AC524" s="70"/>
      <c r="AD524" s="43"/>
      <c r="AE524" s="38"/>
      <c r="AF524" s="11"/>
      <c r="AG524" s="6"/>
      <c r="AH524" s="6"/>
      <c r="AI524" s="6"/>
      <c r="AJ524" s="43"/>
      <c r="AK524" s="38"/>
      <c r="AL524" s="11"/>
      <c r="AM524" s="6"/>
      <c r="AN524" s="6"/>
      <c r="AO524" s="6"/>
      <c r="AP524" s="43"/>
    </row>
    <row r="525" spans="1:42">
      <c r="A525" s="37">
        <v>512</v>
      </c>
      <c r="B525" s="155"/>
      <c r="C525" s="152" t="s">
        <v>691</v>
      </c>
      <c r="D525" s="33"/>
      <c r="E525" s="33"/>
      <c r="F525" s="33"/>
      <c r="G525" s="33"/>
      <c r="H525" s="77" t="s">
        <v>692</v>
      </c>
      <c r="I525" s="186"/>
      <c r="J525" s="146" t="s">
        <v>769</v>
      </c>
      <c r="K525" s="125"/>
      <c r="L525" s="6"/>
      <c r="M525" s="6"/>
      <c r="N525" s="6"/>
      <c r="O525" s="51"/>
      <c r="P525" s="51"/>
      <c r="Q525" s="51"/>
      <c r="R525" s="60"/>
      <c r="S525" s="51"/>
      <c r="T525" s="51"/>
      <c r="U525" s="51"/>
      <c r="V525" s="60"/>
      <c r="W525" s="38"/>
      <c r="X525" s="11"/>
      <c r="Y525" s="17"/>
      <c r="Z525" s="17"/>
      <c r="AA525" s="70"/>
      <c r="AB525" s="70"/>
      <c r="AC525" s="70"/>
      <c r="AD525" s="43"/>
      <c r="AE525" s="38"/>
      <c r="AF525" s="11"/>
      <c r="AG525" s="6"/>
      <c r="AH525" s="6"/>
      <c r="AI525" s="6"/>
      <c r="AJ525" s="43"/>
      <c r="AK525" s="38"/>
      <c r="AL525" s="11"/>
      <c r="AM525" s="6"/>
      <c r="AN525" s="6"/>
      <c r="AO525" s="6"/>
      <c r="AP525" s="43"/>
    </row>
    <row r="526" spans="1:42">
      <c r="A526" s="37">
        <v>513</v>
      </c>
      <c r="B526" s="155"/>
      <c r="C526" s="152" t="s">
        <v>677</v>
      </c>
      <c r="D526" s="33"/>
      <c r="E526" s="33"/>
      <c r="F526" s="33"/>
      <c r="G526" s="33"/>
      <c r="H526" s="111" t="s">
        <v>909</v>
      </c>
      <c r="I526" s="195"/>
      <c r="J526" s="145" t="s">
        <v>778</v>
      </c>
      <c r="K526" s="125"/>
      <c r="L526" s="6"/>
      <c r="M526" s="6"/>
      <c r="N526" s="6"/>
      <c r="O526" s="51"/>
      <c r="P526" s="51"/>
      <c r="Q526" s="51"/>
      <c r="R526" s="60"/>
      <c r="S526" s="51"/>
      <c r="T526" s="51"/>
      <c r="U526" s="51"/>
      <c r="V526" s="60"/>
      <c r="W526" s="38"/>
      <c r="X526" s="11"/>
      <c r="Y526" s="17"/>
      <c r="Z526" s="17"/>
      <c r="AA526" s="70"/>
      <c r="AB526" s="70"/>
      <c r="AC526" s="70"/>
      <c r="AD526" s="43"/>
      <c r="AE526" s="38"/>
      <c r="AF526" s="11"/>
      <c r="AG526" s="6"/>
      <c r="AH526" s="6"/>
      <c r="AI526" s="6"/>
      <c r="AJ526" s="43"/>
      <c r="AK526" s="38"/>
      <c r="AL526" s="11"/>
      <c r="AM526" s="6"/>
      <c r="AN526" s="6"/>
      <c r="AO526" s="6"/>
      <c r="AP526" s="43"/>
    </row>
    <row r="527" spans="1:42">
      <c r="A527" s="37">
        <v>514</v>
      </c>
      <c r="B527" s="155"/>
      <c r="C527" s="152" t="s">
        <v>736</v>
      </c>
      <c r="D527" s="33"/>
      <c r="E527" s="33"/>
      <c r="F527" s="33"/>
      <c r="G527" s="33"/>
      <c r="H527" s="111" t="s">
        <v>751</v>
      </c>
      <c r="I527" s="195" t="s">
        <v>979</v>
      </c>
      <c r="J527" s="145" t="s">
        <v>752</v>
      </c>
      <c r="K527" s="125"/>
      <c r="L527" s="6"/>
      <c r="M527" s="6"/>
      <c r="N527" s="6"/>
      <c r="O527" s="51"/>
      <c r="P527" s="51"/>
      <c r="Q527" s="51"/>
      <c r="R527" s="60"/>
      <c r="S527" s="51"/>
      <c r="T527" s="116"/>
      <c r="U527" s="116"/>
      <c r="V527" s="117"/>
      <c r="W527" s="118"/>
      <c r="AA527" s="119"/>
      <c r="AB527" s="119"/>
      <c r="AC527" s="119"/>
      <c r="AE527" s="118"/>
      <c r="AG527" s="8"/>
      <c r="AH527" s="8"/>
      <c r="AI527" s="8"/>
      <c r="AK527" s="118"/>
      <c r="AM527" s="8"/>
      <c r="AN527" s="8"/>
      <c r="AO527" s="8"/>
    </row>
    <row r="528" spans="1:42">
      <c r="A528" s="37">
        <v>515</v>
      </c>
      <c r="B528" s="155"/>
      <c r="C528" s="152" t="s">
        <v>1844</v>
      </c>
      <c r="D528" s="33"/>
      <c r="E528" s="33"/>
      <c r="F528" s="33"/>
      <c r="G528" s="33"/>
      <c r="H528" s="111" t="s">
        <v>910</v>
      </c>
      <c r="I528" s="195" t="s">
        <v>1767</v>
      </c>
      <c r="J528" s="145" t="s">
        <v>792</v>
      </c>
      <c r="K528" s="125"/>
      <c r="L528" s="6"/>
      <c r="M528" s="6"/>
      <c r="N528" s="6"/>
      <c r="O528" s="51"/>
      <c r="P528" s="51"/>
      <c r="Q528" s="51"/>
      <c r="R528" s="60"/>
      <c r="S528" s="51"/>
      <c r="T528" s="116"/>
      <c r="U528" s="116"/>
      <c r="V528" s="117"/>
      <c r="W528" s="118"/>
      <c r="AA528" s="119"/>
      <c r="AB528" s="119"/>
      <c r="AC528" s="119"/>
      <c r="AE528" s="118"/>
      <c r="AG528" s="8"/>
      <c r="AH528" s="8"/>
      <c r="AI528" s="8"/>
      <c r="AK528" s="118"/>
      <c r="AM528" s="8"/>
      <c r="AN528" s="8"/>
      <c r="AO528" s="8"/>
    </row>
    <row r="529" spans="1:41">
      <c r="A529" s="37">
        <v>516</v>
      </c>
      <c r="B529" s="155"/>
      <c r="C529" s="152" t="s">
        <v>1858</v>
      </c>
      <c r="D529" s="33"/>
      <c r="E529" s="33"/>
      <c r="F529" s="33"/>
      <c r="G529" s="33"/>
      <c r="H529" s="113" t="s">
        <v>1860</v>
      </c>
      <c r="I529" s="193" t="s">
        <v>1255</v>
      </c>
      <c r="J529" s="145"/>
      <c r="K529" s="125"/>
      <c r="L529" s="6"/>
      <c r="M529" s="6"/>
      <c r="N529" s="6"/>
      <c r="O529" s="51"/>
      <c r="P529" s="51"/>
      <c r="Q529" s="51"/>
      <c r="R529" s="60"/>
      <c r="S529" s="51"/>
      <c r="T529" s="116"/>
      <c r="U529" s="116"/>
      <c r="V529" s="117"/>
      <c r="W529" s="118"/>
      <c r="AA529" s="119"/>
      <c r="AB529" s="119"/>
      <c r="AC529" s="119"/>
      <c r="AE529" s="118"/>
      <c r="AG529" s="8"/>
      <c r="AH529" s="8"/>
      <c r="AI529" s="8"/>
      <c r="AK529" s="118"/>
      <c r="AM529" s="8"/>
      <c r="AN529" s="8"/>
      <c r="AO529" s="8"/>
    </row>
    <row r="530" spans="1:41">
      <c r="A530" s="37">
        <v>517</v>
      </c>
      <c r="B530" s="156"/>
      <c r="C530" s="152" t="s">
        <v>1446</v>
      </c>
      <c r="D530" s="33"/>
      <c r="E530" s="33"/>
      <c r="F530" s="33"/>
      <c r="G530" s="33"/>
      <c r="H530" s="77" t="s">
        <v>1456</v>
      </c>
      <c r="I530" s="195" t="s">
        <v>1447</v>
      </c>
      <c r="J530" s="145" t="s">
        <v>1163</v>
      </c>
      <c r="K530" s="125"/>
      <c r="L530" s="6"/>
      <c r="M530" s="6"/>
      <c r="N530" s="6"/>
      <c r="O530" s="51"/>
      <c r="P530" s="51"/>
      <c r="Q530" s="51"/>
      <c r="R530" s="60"/>
      <c r="S530" s="51"/>
      <c r="T530" s="116"/>
      <c r="U530" s="116"/>
      <c r="V530" s="117"/>
      <c r="W530" s="118"/>
      <c r="AA530" s="119"/>
      <c r="AB530" s="119"/>
      <c r="AC530" s="119"/>
      <c r="AE530" s="118"/>
      <c r="AG530" s="8"/>
      <c r="AH530" s="8"/>
      <c r="AI530" s="8"/>
      <c r="AK530" s="118"/>
      <c r="AM530" s="8"/>
      <c r="AN530" s="8"/>
      <c r="AO530" s="8"/>
    </row>
    <row r="531" spans="1:41">
      <c r="A531" s="37">
        <v>518</v>
      </c>
      <c r="B531" s="156" t="s">
        <v>296</v>
      </c>
      <c r="C531" s="152" t="s">
        <v>1922</v>
      </c>
      <c r="D531" s="33"/>
      <c r="E531" s="33"/>
      <c r="F531" s="33"/>
      <c r="G531" s="33"/>
      <c r="H531" s="77" t="s">
        <v>1871</v>
      </c>
      <c r="I531" s="195" t="s">
        <v>1031</v>
      </c>
      <c r="J531" s="145"/>
      <c r="K531" s="125"/>
      <c r="L531" s="6"/>
      <c r="M531" s="6"/>
      <c r="N531" s="6"/>
      <c r="O531" s="51"/>
      <c r="P531" s="51"/>
      <c r="Q531" s="51"/>
      <c r="R531" s="60"/>
      <c r="S531" s="51"/>
      <c r="T531" s="116"/>
      <c r="U531" s="116"/>
      <c r="V531" s="117"/>
      <c r="W531" s="118"/>
      <c r="AA531" s="119"/>
      <c r="AB531" s="119"/>
      <c r="AC531" s="119"/>
      <c r="AE531" s="118"/>
      <c r="AG531" s="8"/>
      <c r="AH531" s="8"/>
      <c r="AI531" s="8"/>
      <c r="AK531" s="118"/>
      <c r="AM531" s="8"/>
      <c r="AN531" s="8"/>
      <c r="AO531" s="8"/>
    </row>
    <row r="532" spans="1:41">
      <c r="A532" s="37"/>
      <c r="B532" s="156"/>
      <c r="C532" s="152" t="s">
        <v>2108</v>
      </c>
      <c r="D532" s="33"/>
      <c r="E532" s="33"/>
      <c r="F532" s="33"/>
      <c r="G532" s="33"/>
      <c r="H532" s="77" t="s">
        <v>2109</v>
      </c>
      <c r="I532" s="195" t="s">
        <v>2110</v>
      </c>
      <c r="J532" s="145"/>
      <c r="K532" s="125"/>
      <c r="L532" s="6"/>
      <c r="M532" s="6"/>
      <c r="N532" s="6"/>
      <c r="O532" s="51"/>
      <c r="P532" s="51"/>
      <c r="Q532" s="51"/>
      <c r="R532" s="60"/>
      <c r="S532" s="51"/>
      <c r="T532" s="116"/>
      <c r="U532" s="116"/>
      <c r="V532" s="117"/>
      <c r="W532" s="118"/>
      <c r="AA532" s="119"/>
      <c r="AB532" s="119"/>
      <c r="AC532" s="119"/>
      <c r="AE532" s="118"/>
      <c r="AG532" s="8"/>
      <c r="AH532" s="8"/>
      <c r="AI532" s="8"/>
      <c r="AK532" s="118"/>
      <c r="AM532" s="8"/>
      <c r="AN532" s="8"/>
      <c r="AO532" s="8"/>
    </row>
    <row r="533" spans="1:41">
      <c r="A533" s="37">
        <v>519</v>
      </c>
      <c r="B533" s="156" t="s">
        <v>296</v>
      </c>
      <c r="C533" s="152" t="s">
        <v>1107</v>
      </c>
      <c r="D533" s="33"/>
      <c r="E533" s="33"/>
      <c r="F533" s="33"/>
      <c r="G533" s="33"/>
      <c r="H533" s="77" t="s">
        <v>1444</v>
      </c>
      <c r="I533" s="195" t="s">
        <v>1108</v>
      </c>
      <c r="J533" s="145" t="s">
        <v>1163</v>
      </c>
      <c r="K533" s="125"/>
      <c r="L533" s="6"/>
      <c r="M533" s="6"/>
      <c r="N533" s="6"/>
      <c r="O533" s="51"/>
      <c r="P533" s="51"/>
      <c r="Q533" s="51"/>
      <c r="R533" s="60"/>
      <c r="S533" s="51"/>
      <c r="T533" s="116"/>
      <c r="U533" s="116"/>
      <c r="V533" s="117"/>
      <c r="W533" s="118"/>
      <c r="AA533" s="119"/>
      <c r="AB533" s="119"/>
      <c r="AC533" s="119"/>
      <c r="AE533" s="118"/>
      <c r="AG533" s="8"/>
      <c r="AH533" s="8"/>
      <c r="AI533" s="8"/>
      <c r="AK533" s="118"/>
      <c r="AM533" s="8"/>
      <c r="AN533" s="8"/>
      <c r="AO533" s="8"/>
    </row>
    <row r="534" spans="1:41">
      <c r="A534" s="37">
        <v>520</v>
      </c>
      <c r="B534" s="156" t="s">
        <v>296</v>
      </c>
      <c r="C534" s="152" t="s">
        <v>1828</v>
      </c>
      <c r="D534" s="33"/>
      <c r="E534" s="33"/>
      <c r="F534" s="33"/>
      <c r="G534" s="33"/>
      <c r="H534" s="77" t="s">
        <v>1829</v>
      </c>
      <c r="I534" s="186" t="s">
        <v>1830</v>
      </c>
      <c r="J534" s="145"/>
      <c r="K534" s="125"/>
      <c r="L534" s="6"/>
      <c r="M534" s="6"/>
      <c r="N534" s="6"/>
      <c r="O534" s="51"/>
      <c r="P534" s="51"/>
      <c r="Q534" s="51"/>
      <c r="R534" s="60"/>
      <c r="S534" s="51"/>
      <c r="T534" s="116"/>
      <c r="U534" s="116"/>
      <c r="V534" s="117"/>
      <c r="W534" s="118"/>
      <c r="AA534" s="119"/>
      <c r="AB534" s="119"/>
      <c r="AC534" s="119"/>
      <c r="AE534" s="118"/>
      <c r="AG534" s="8"/>
      <c r="AH534" s="8"/>
      <c r="AI534" s="8"/>
      <c r="AK534" s="118"/>
      <c r="AM534" s="8"/>
      <c r="AN534" s="8"/>
      <c r="AO534" s="8"/>
    </row>
    <row r="535" spans="1:41">
      <c r="A535" s="37">
        <v>521</v>
      </c>
      <c r="B535" s="156" t="s">
        <v>296</v>
      </c>
      <c r="C535" s="152" t="s">
        <v>827</v>
      </c>
      <c r="D535" s="33"/>
      <c r="E535" s="33"/>
      <c r="F535" s="33"/>
      <c r="G535" s="33"/>
      <c r="H535" s="77" t="s">
        <v>1589</v>
      </c>
      <c r="I535" s="186" t="s">
        <v>1062</v>
      </c>
      <c r="J535" s="145"/>
      <c r="K535" s="125"/>
      <c r="L535" s="6"/>
      <c r="M535" s="6"/>
      <c r="N535" s="6"/>
      <c r="O535" s="51"/>
      <c r="P535" s="51"/>
      <c r="Q535" s="51"/>
      <c r="R535" s="60"/>
      <c r="S535" s="51"/>
      <c r="T535" s="116"/>
      <c r="U535" s="116"/>
      <c r="V535" s="117"/>
      <c r="W535" s="118"/>
      <c r="AA535" s="119"/>
      <c r="AB535" s="119"/>
      <c r="AC535" s="119"/>
      <c r="AE535" s="118"/>
      <c r="AG535" s="8"/>
      <c r="AH535" s="8"/>
      <c r="AI535" s="8"/>
      <c r="AK535" s="118"/>
      <c r="AM535" s="8"/>
      <c r="AN535" s="8"/>
      <c r="AO535" s="8"/>
    </row>
    <row r="536" spans="1:41">
      <c r="A536" s="37">
        <v>522</v>
      </c>
      <c r="B536" s="156" t="s">
        <v>296</v>
      </c>
      <c r="C536" s="152" t="s">
        <v>656</v>
      </c>
      <c r="D536" s="33"/>
      <c r="E536" s="33"/>
      <c r="F536" s="33"/>
      <c r="G536" s="33"/>
      <c r="H536" s="77" t="s">
        <v>911</v>
      </c>
      <c r="I536" s="186" t="s">
        <v>984</v>
      </c>
      <c r="J536" s="145" t="s">
        <v>789</v>
      </c>
      <c r="K536" s="125"/>
      <c r="L536" s="6"/>
      <c r="M536" s="6"/>
      <c r="N536" s="6"/>
      <c r="O536" s="51"/>
      <c r="P536" s="51"/>
      <c r="Q536" s="51"/>
      <c r="R536" s="60"/>
      <c r="S536" s="51"/>
      <c r="T536" s="116"/>
      <c r="U536" s="116"/>
      <c r="V536" s="117"/>
      <c r="W536" s="118"/>
      <c r="AA536" s="119"/>
      <c r="AB536" s="119"/>
      <c r="AC536" s="119"/>
      <c r="AE536" s="118"/>
      <c r="AG536" s="8"/>
      <c r="AH536" s="8"/>
      <c r="AI536" s="8"/>
      <c r="AK536" s="118"/>
      <c r="AM536" s="8"/>
      <c r="AN536" s="8"/>
      <c r="AO536" s="8"/>
    </row>
    <row r="537" spans="1:41">
      <c r="A537" s="37"/>
      <c r="B537" s="156"/>
      <c r="C537" s="152" t="s">
        <v>2113</v>
      </c>
      <c r="D537" s="33"/>
      <c r="E537" s="33"/>
      <c r="F537" s="33"/>
      <c r="G537" s="33"/>
      <c r="H537" s="77" t="s">
        <v>911</v>
      </c>
      <c r="I537" s="186" t="s">
        <v>984</v>
      </c>
      <c r="J537" s="145"/>
      <c r="K537" s="125"/>
      <c r="L537" s="6"/>
      <c r="M537" s="6"/>
      <c r="N537" s="6"/>
      <c r="O537" s="51"/>
      <c r="P537" s="51"/>
      <c r="Q537" s="51"/>
      <c r="R537" s="60"/>
      <c r="S537" s="51"/>
      <c r="T537" s="116"/>
      <c r="U537" s="116"/>
      <c r="V537" s="117"/>
      <c r="W537" s="118"/>
      <c r="AA537" s="119"/>
      <c r="AB537" s="119"/>
      <c r="AC537" s="119"/>
      <c r="AE537" s="118"/>
      <c r="AG537" s="8"/>
      <c r="AH537" s="8"/>
      <c r="AI537" s="8"/>
      <c r="AK537" s="118"/>
      <c r="AM537" s="8"/>
      <c r="AN537" s="8"/>
      <c r="AO537" s="8"/>
    </row>
    <row r="538" spans="1:41">
      <c r="A538" s="37">
        <v>523</v>
      </c>
      <c r="B538" s="156"/>
      <c r="C538" s="152" t="s">
        <v>2112</v>
      </c>
      <c r="D538" s="33"/>
      <c r="E538" s="33"/>
      <c r="F538" s="33"/>
      <c r="G538" s="33"/>
      <c r="H538" s="77" t="s">
        <v>2111</v>
      </c>
      <c r="I538" s="186" t="s">
        <v>984</v>
      </c>
      <c r="J538" s="145" t="s">
        <v>789</v>
      </c>
      <c r="K538" s="125"/>
      <c r="L538" s="6"/>
      <c r="M538" s="6"/>
      <c r="N538" s="6"/>
      <c r="O538" s="51"/>
      <c r="P538" s="51"/>
      <c r="Q538" s="51"/>
      <c r="R538" s="60"/>
      <c r="S538" s="51"/>
      <c r="T538" s="62"/>
      <c r="U538" s="62"/>
    </row>
    <row r="539" spans="1:41">
      <c r="A539" s="37">
        <v>524</v>
      </c>
      <c r="B539" s="156"/>
      <c r="C539" s="152" t="s">
        <v>1787</v>
      </c>
      <c r="D539" s="33"/>
      <c r="E539" s="33"/>
      <c r="F539" s="33"/>
      <c r="G539" s="33"/>
      <c r="H539" s="147" t="s">
        <v>1792</v>
      </c>
      <c r="I539" s="186"/>
      <c r="J539" s="145"/>
      <c r="K539" s="125"/>
      <c r="L539" s="6"/>
      <c r="M539" s="6"/>
      <c r="N539" s="6"/>
      <c r="O539" s="51"/>
      <c r="P539" s="51"/>
      <c r="Q539" s="51"/>
      <c r="R539" s="60"/>
      <c r="S539" s="51"/>
      <c r="T539" s="62"/>
      <c r="U539" s="62"/>
    </row>
    <row r="540" spans="1:41">
      <c r="A540" s="37">
        <v>525</v>
      </c>
      <c r="B540" s="156" t="s">
        <v>296</v>
      </c>
      <c r="C540" s="152" t="s">
        <v>1357</v>
      </c>
      <c r="D540" s="33"/>
      <c r="E540" s="33"/>
      <c r="F540" s="33"/>
      <c r="G540" s="33"/>
      <c r="H540" s="147" t="s">
        <v>1358</v>
      </c>
      <c r="I540" s="201"/>
      <c r="J540" s="145"/>
      <c r="K540" s="125"/>
      <c r="L540" s="6"/>
      <c r="M540" s="6"/>
      <c r="N540" s="6"/>
      <c r="O540" s="51"/>
      <c r="P540" s="51"/>
      <c r="Q540" s="51"/>
      <c r="R540" s="60"/>
      <c r="S540" s="51"/>
    </row>
    <row r="541" spans="1:41">
      <c r="A541" s="37">
        <v>526</v>
      </c>
      <c r="B541" s="156" t="s">
        <v>296</v>
      </c>
      <c r="C541" s="152" t="s">
        <v>1359</v>
      </c>
      <c r="D541" s="33"/>
      <c r="E541" s="33"/>
      <c r="F541" s="33"/>
      <c r="G541" s="33"/>
      <c r="H541" s="147" t="s">
        <v>1360</v>
      </c>
      <c r="I541" s="201"/>
      <c r="J541" s="145"/>
      <c r="K541" s="125"/>
      <c r="L541" s="6"/>
      <c r="M541" s="6"/>
      <c r="N541" s="6"/>
      <c r="O541" s="51"/>
      <c r="P541" s="51"/>
      <c r="Q541" s="51"/>
      <c r="R541" s="60"/>
      <c r="S541" s="51"/>
    </row>
    <row r="542" spans="1:41">
      <c r="A542" s="37">
        <v>527</v>
      </c>
      <c r="B542" s="156" t="s">
        <v>296</v>
      </c>
      <c r="C542" s="152" t="s">
        <v>292</v>
      </c>
      <c r="D542" s="33"/>
      <c r="E542" s="33"/>
      <c r="F542" s="33"/>
      <c r="G542" s="33"/>
      <c r="H542" s="147" t="s">
        <v>853</v>
      </c>
      <c r="I542" s="201"/>
      <c r="J542" s="145"/>
      <c r="K542" s="125"/>
      <c r="L542" s="6"/>
      <c r="M542" s="6"/>
      <c r="N542" s="6"/>
      <c r="O542" s="51"/>
      <c r="P542" s="51"/>
      <c r="Q542" s="51"/>
      <c r="R542" s="60"/>
      <c r="S542" s="51"/>
    </row>
    <row r="543" spans="1:41">
      <c r="A543" s="37">
        <v>528</v>
      </c>
      <c r="B543" s="156" t="s">
        <v>296</v>
      </c>
      <c r="C543" s="152" t="s">
        <v>1361</v>
      </c>
      <c r="D543" s="33"/>
      <c r="E543" s="33"/>
      <c r="F543" s="33"/>
      <c r="G543" s="33"/>
      <c r="H543" s="147" t="s">
        <v>1362</v>
      </c>
      <c r="I543" s="201"/>
      <c r="J543" s="145"/>
      <c r="K543" s="125"/>
      <c r="L543" s="6"/>
      <c r="M543" s="6"/>
      <c r="N543" s="6"/>
      <c r="O543" s="51"/>
      <c r="P543" s="51"/>
      <c r="Q543" s="51"/>
      <c r="R543" s="60"/>
      <c r="S543" s="51"/>
    </row>
    <row r="544" spans="1:41">
      <c r="A544" s="37">
        <v>529</v>
      </c>
      <c r="C544" s="174"/>
    </row>
    <row r="545" spans="1:3">
      <c r="A545" s="37">
        <v>530</v>
      </c>
      <c r="C545" s="174"/>
    </row>
    <row r="546" spans="1:3">
      <c r="A546" s="37">
        <v>531</v>
      </c>
      <c r="C546" s="174"/>
    </row>
    <row r="547" spans="1:3">
      <c r="A547" s="37">
        <v>532</v>
      </c>
      <c r="C547" s="174"/>
    </row>
    <row r="548" spans="1:3">
      <c r="A548" s="37">
        <v>533</v>
      </c>
      <c r="C548" s="174"/>
    </row>
    <row r="549" spans="1:3">
      <c r="A549" s="37">
        <v>534</v>
      </c>
      <c r="C549" s="174"/>
    </row>
    <row r="550" spans="1:3">
      <c r="A550" s="37">
        <v>535</v>
      </c>
      <c r="C550" s="174"/>
    </row>
    <row r="551" spans="1:3">
      <c r="A551" s="37">
        <v>536</v>
      </c>
      <c r="C551" s="174"/>
    </row>
    <row r="552" spans="1:3">
      <c r="A552" s="37">
        <v>537</v>
      </c>
      <c r="C552" s="174"/>
    </row>
    <row r="553" spans="1:3">
      <c r="A553" s="37">
        <v>538</v>
      </c>
      <c r="C553" s="174"/>
    </row>
    <row r="554" spans="1:3">
      <c r="A554" s="37">
        <v>539</v>
      </c>
      <c r="C554" s="174"/>
    </row>
    <row r="555" spans="1:3">
      <c r="A555" s="37">
        <v>540</v>
      </c>
      <c r="C555" s="174"/>
    </row>
    <row r="556" spans="1:3">
      <c r="A556" s="37">
        <v>541</v>
      </c>
      <c r="C556" s="174"/>
    </row>
    <row r="557" spans="1:3">
      <c r="A557" s="37">
        <v>542</v>
      </c>
      <c r="C557" s="174"/>
    </row>
    <row r="558" spans="1:3">
      <c r="A558" s="37">
        <v>543</v>
      </c>
      <c r="C558" s="174"/>
    </row>
    <row r="559" spans="1:3">
      <c r="A559" s="37">
        <v>544</v>
      </c>
      <c r="C559" s="174"/>
    </row>
    <row r="560" spans="1:3">
      <c r="A560" s="37">
        <v>545</v>
      </c>
      <c r="C560" s="174"/>
    </row>
    <row r="561" spans="1:3">
      <c r="A561" s="37">
        <v>546</v>
      </c>
      <c r="C561" s="174"/>
    </row>
    <row r="562" spans="1:3">
      <c r="A562" s="37">
        <v>547</v>
      </c>
      <c r="C562" s="174"/>
    </row>
    <row r="563" spans="1:3">
      <c r="A563" s="37">
        <v>548</v>
      </c>
      <c r="C563" s="174"/>
    </row>
    <row r="564" spans="1:3">
      <c r="A564" s="37">
        <v>549</v>
      </c>
      <c r="C564" s="174"/>
    </row>
    <row r="565" spans="1:3">
      <c r="A565" s="37">
        <v>550</v>
      </c>
      <c r="C565" s="174"/>
    </row>
  </sheetData>
  <sortState xmlns:xlrd2="http://schemas.microsoft.com/office/spreadsheetml/2017/richdata2" ref="A308:L378">
    <sortCondition ref="C308:C378"/>
  </sortState>
  <phoneticPr fontId="12" type="noConversion"/>
  <conditionalFormatting sqref="C79">
    <cfRule type="duplicateValues" dxfId="90" priority="12"/>
  </conditionalFormatting>
  <conditionalFormatting sqref="C96 C83">
    <cfRule type="duplicateValues" dxfId="89" priority="308"/>
  </conditionalFormatting>
  <conditionalFormatting sqref="C102">
    <cfRule type="duplicateValues" dxfId="88" priority="10"/>
  </conditionalFormatting>
  <conditionalFormatting sqref="C176">
    <cfRule type="duplicateValues" dxfId="87" priority="5"/>
    <cfRule type="duplicateValues" dxfId="86" priority="6"/>
  </conditionalFormatting>
  <conditionalFormatting sqref="C190:C192 C170:C171 C150 C124">
    <cfRule type="duplicateValues" dxfId="85" priority="360"/>
  </conditionalFormatting>
  <conditionalFormatting sqref="C206">
    <cfRule type="duplicateValues" dxfId="84" priority="14"/>
  </conditionalFormatting>
  <conditionalFormatting sqref="C207">
    <cfRule type="duplicateValues" dxfId="83" priority="13"/>
  </conditionalFormatting>
  <conditionalFormatting sqref="C213">
    <cfRule type="duplicateValues" dxfId="82" priority="7"/>
  </conditionalFormatting>
  <conditionalFormatting sqref="C214 C168">
    <cfRule type="duplicateValues" dxfId="81" priority="28"/>
  </conditionalFormatting>
  <conditionalFormatting sqref="C218">
    <cfRule type="duplicateValues" dxfId="80" priority="16"/>
  </conditionalFormatting>
  <conditionalFormatting sqref="C222 C165:C166 C126:C127 C196">
    <cfRule type="duplicateValues" dxfId="79" priority="343"/>
  </conditionalFormatting>
  <conditionalFormatting sqref="C247">
    <cfRule type="duplicateValues" dxfId="78" priority="38"/>
  </conditionalFormatting>
  <conditionalFormatting sqref="C257">
    <cfRule type="duplicateValues" dxfId="77" priority="11"/>
  </conditionalFormatting>
  <conditionalFormatting sqref="C261 C35 C98 C31">
    <cfRule type="duplicateValues" dxfId="76" priority="255"/>
  </conditionalFormatting>
  <conditionalFormatting sqref="C272">
    <cfRule type="duplicateValues" dxfId="75" priority="1"/>
  </conditionalFormatting>
  <conditionalFormatting sqref="C273">
    <cfRule type="duplicateValues" dxfId="74" priority="247"/>
  </conditionalFormatting>
  <conditionalFormatting sqref="C276">
    <cfRule type="duplicateValues" dxfId="73" priority="432"/>
  </conditionalFormatting>
  <conditionalFormatting sqref="C288">
    <cfRule type="duplicateValues" dxfId="72" priority="32"/>
  </conditionalFormatting>
  <conditionalFormatting sqref="C335:C337 C316">
    <cfRule type="duplicateValues" dxfId="71" priority="40"/>
  </conditionalFormatting>
  <conditionalFormatting sqref="C341">
    <cfRule type="duplicateValues" dxfId="70" priority="2"/>
  </conditionalFormatting>
  <conditionalFormatting sqref="C355">
    <cfRule type="duplicateValues" dxfId="69" priority="15"/>
  </conditionalFormatting>
  <conditionalFormatting sqref="C359">
    <cfRule type="duplicateValues" dxfId="68" priority="29"/>
  </conditionalFormatting>
  <conditionalFormatting sqref="C366">
    <cfRule type="duplicateValues" dxfId="67" priority="30"/>
  </conditionalFormatting>
  <conditionalFormatting sqref="C384">
    <cfRule type="duplicateValues" dxfId="66" priority="31"/>
  </conditionalFormatting>
  <conditionalFormatting sqref="C398:C399">
    <cfRule type="duplicateValues" dxfId="65" priority="9"/>
  </conditionalFormatting>
  <conditionalFormatting sqref="C401">
    <cfRule type="duplicateValues" dxfId="64" priority="17"/>
  </conditionalFormatting>
  <conditionalFormatting sqref="C409:C410">
    <cfRule type="duplicateValues" dxfId="63" priority="430"/>
  </conditionalFormatting>
  <conditionalFormatting sqref="C446 C145 C301 C438 C448:C449">
    <cfRule type="duplicateValues" dxfId="62" priority="429"/>
  </conditionalFormatting>
  <conditionalFormatting sqref="C447">
    <cfRule type="duplicateValues" dxfId="61" priority="8"/>
  </conditionalFormatting>
  <conditionalFormatting sqref="C450">
    <cfRule type="duplicateValues" dxfId="60" priority="3"/>
  </conditionalFormatting>
  <conditionalFormatting sqref="C461">
    <cfRule type="duplicateValues" dxfId="59" priority="4"/>
  </conditionalFormatting>
  <conditionalFormatting sqref="C465:C467">
    <cfRule type="duplicateValues" dxfId="58" priority="26"/>
  </conditionalFormatting>
  <conditionalFormatting sqref="C468:C477 C360:C383 C338:C340 C197:C201 C193:C195 C163:C164 C203 C167 C215:C217 C436:C437 C246:C250 C223:C240 C253:C256 C262:C271 C302:C315 C317:C321 C242:C244 C479:C497 C289:C300 C2 C4:C25 C76:C78 C99:C101 C73:C74 C97 C169 C118:C119 C121:C123 C128 C125 C80:C95 C27:C30 C32:C34 C36:C71 C323:C334 C208:C212 C130:C144 C146:C149 C151:C159 C116 C161 C172:C175 C451:C460 C501:C502 C499 C274:C275 C277:C287 C504:C506 C411:C434 C385:C397 C536:C539 C511:C532 C219:C221 C356:C358 C205 C402:C408 C258:C260 C400 C177:C189 C103:C114 C462:C464 C342:C354">
    <cfRule type="duplicateValues" dxfId="57" priority="452"/>
  </conditionalFormatting>
  <conditionalFormatting sqref="C500">
    <cfRule type="duplicateValues" dxfId="56" priority="19"/>
  </conditionalFormatting>
  <conditionalFormatting sqref="C503">
    <cfRule type="duplicateValues" dxfId="55" priority="21"/>
  </conditionalFormatting>
  <conditionalFormatting sqref="C507:C510">
    <cfRule type="duplicateValues" dxfId="54" priority="18"/>
  </conditionalFormatting>
  <conditionalFormatting sqref="C531:C535">
    <cfRule type="duplicateValues" dxfId="53" priority="428"/>
  </conditionalFormatting>
  <conditionalFormatting sqref="C540:C543">
    <cfRule type="duplicateValues" dxfId="52" priority="246"/>
  </conditionalFormatting>
  <conditionalFormatting sqref="C544:C1048576">
    <cfRule type="duplicateValues" dxfId="51" priority="243"/>
  </conditionalFormatting>
  <pageMargins left="0" right="0" top="0.74791663885116577" bottom="0.74791663885116577" header="0.31486111879348755" footer="0.31486111879348755"/>
  <pageSetup paperSize="9" scale="92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29EB-E769-40A0-8B46-ABF8618D73B7}">
  <sheetPr>
    <tabColor rgb="FF72F688"/>
    <pageSetUpPr fitToPage="1"/>
  </sheetPr>
  <dimension ref="B1:W2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2232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1359</v>
      </c>
      <c r="E3" s="262">
        <v>140</v>
      </c>
      <c r="F3" s="262"/>
      <c r="G3" s="263" t="str">
        <f>IFERROR(INDEX(온라인_반찬!$C$2:$H$594,MATCH($D3,온라인_반찬!$C$2:$C$594,0),6),"")</f>
        <v>쌀(국산)90%, 찰보리(국산.친환경)5%, 정제수</v>
      </c>
      <c r="H3" s="264">
        <f>IFERROR(INDEX(온라인_반찬!$D$2:$J$587,MATCH($D3,온라인_반찬!$C$2:$C$587,0),6),"")</f>
        <v>0</v>
      </c>
      <c r="I3" s="265" t="s">
        <v>2128</v>
      </c>
      <c r="J3" s="266">
        <v>917</v>
      </c>
      <c r="K3" s="264">
        <v>132620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961</v>
      </c>
      <c r="E4" s="123">
        <v>150</v>
      </c>
      <c r="F4" s="124"/>
      <c r="G4" s="113" t="str">
        <f>IFERROR(INDEX(온라인_반찬!$C$2:$H$594,MATCH($D4,온라인_반찬!$C$2:$C$594,0),6),"")</f>
        <v>볼어묵[연육(:중국산, 베트남산)53.29%, 설탕, 밀가루(밀:미국산, 호주산), 정제소금(국산)]18%, 무(국산)7%, 양파, 대파, 마늘, 정제수, 국간장, 소금</v>
      </c>
      <c r="H4" s="101" t="str">
        <f>IFERROR(INDEX(온라인_반찬!$D$2:$J$587,MATCH($D4,온라인_반찬!$C$2:$C$587,0),6),"")</f>
        <v>.5.6.</v>
      </c>
      <c r="I4" s="109" t="s">
        <v>2128</v>
      </c>
      <c r="J4" s="102">
        <v>917</v>
      </c>
      <c r="K4" s="101">
        <v>133270</v>
      </c>
      <c r="L4" s="129" t="str">
        <f>IFERROR(INDEX(온라인_반찬!$C$2:$J$587,MATCH($D4,온라인_반찬!$C$2:$C$587,0),8),"")</f>
        <v>볼어묵(이츠웰)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1668</v>
      </c>
      <c r="E5" s="123">
        <v>110</v>
      </c>
      <c r="F5" s="124"/>
      <c r="G5" s="113" t="str">
        <f>IFERROR(INDEX(온라인_반찬!$C$2:$H$594,MATCH($D5,온라인_반찬!$C$2:$C$594,0),6),"")</f>
        <v>소고기(미국산.호주산)45%, 계란(국내산)10%, 표고버섯(중국산)5%, 양파, 돈부리소스, 쯔유, 정제수, 소금, 전분</v>
      </c>
      <c r="H5" s="101" t="str">
        <f>IFERROR(INDEX(온라인_반찬!$D$2:$J$587,MATCH($D5,온라인_반찬!$C$2:$C$587,0),6),"")</f>
        <v>.1.2.5.6.16.</v>
      </c>
      <c r="I5" s="109" t="s">
        <v>2128</v>
      </c>
      <c r="J5" s="102">
        <v>917</v>
      </c>
      <c r="K5" s="101">
        <v>111030</v>
      </c>
      <c r="L5" s="129" t="str">
        <f>IFERROR(INDEX(온라인_반찬!$C$2:$J$587,MATCH($D5,온라인_반찬!$C$2:$C$587,0),8),"")</f>
        <v>돈부리소스(가토코), 쯔유(이엔푸드)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1703</v>
      </c>
      <c r="E6" s="123"/>
      <c r="F6" s="124">
        <v>1</v>
      </c>
      <c r="G6" s="113" t="str">
        <f>IFERROR(INDEX(온라인_반찬!$C$2:$H$594,MATCH($D6,온라인_반찬!$C$2:$C$594,0),6),"")</f>
        <v>돼지고기(국산)36.53%, 밀가루(밀:미국산.호주산), 양파(국산), 건무, 부추, 곤약, 돼지갈비살(국산)2.09%, 설탕, 갅방, 물엿, 마늘, 생강, 참기름, 후추, 대파 등</v>
      </c>
      <c r="H6" s="101" t="str">
        <f>IFERROR(INDEX(온라인_반찬!$D$2:$J$587,MATCH($D6,온라인_반찬!$C$2:$C$587,0),6),"")</f>
        <v>.2.5.6.10.16.21.</v>
      </c>
      <c r="I6" s="109" t="s">
        <v>2128</v>
      </c>
      <c r="J6" s="102">
        <v>917</v>
      </c>
      <c r="K6" s="101">
        <v>1363.8000000000002</v>
      </c>
      <c r="L6" s="129" t="str">
        <f>IFERROR(INDEX(온라인_반찬!$C$2:$J$587,MATCH($D6,온라인_반찬!$C$2:$C$587,0),8),"")</f>
        <v>달콤한갈비만두(한만두) 개당25g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1366</v>
      </c>
      <c r="E7" s="123">
        <v>25</v>
      </c>
      <c r="F7" s="124"/>
      <c r="G7" s="113" t="str">
        <f>IFERROR(INDEX(온라인_반찬!$C$2:$H$594,MATCH($D7,온라인_반찬!$C$2:$C$594,0),6),"")</f>
        <v xml:space="preserve">오이(국산)87%, 부추(국산)3%, 파, 마늘, 고추가루, 소금, 설탕, 식초, 참깨 </v>
      </c>
      <c r="H7" s="101" t="str">
        <f>IFERROR(INDEX(온라인_반찬!$D$2:$J$587,MATCH($D7,온라인_반찬!$C$2:$C$587,0),6),"")</f>
        <v>.5.21.</v>
      </c>
      <c r="I7" s="109" t="s">
        <v>2128</v>
      </c>
      <c r="J7" s="102">
        <v>917</v>
      </c>
      <c r="K7" s="101">
        <v>26195</v>
      </c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630</v>
      </c>
      <c r="E8" s="123">
        <v>25</v>
      </c>
      <c r="F8" s="123"/>
      <c r="G8" s="113" t="str">
        <f>IFERROR(INDEX(온라인_반찬!$C$2:$H$594,MATCH($D8,온라인_반찬!$C$2:$C$594,0),6),"")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IFERROR(INDEX(온라인_반찬!$D$2:$J$587,MATCH($D8,온라인_반찬!$C$2:$C$587,0),6),"")</f>
        <v>.9.12.</v>
      </c>
      <c r="I8" s="109" t="s">
        <v>2128</v>
      </c>
      <c r="J8" s="102">
        <v>917</v>
      </c>
      <c r="K8" s="101">
        <v>23132.5</v>
      </c>
      <c r="L8" s="129" t="str">
        <f>IFERROR(INDEX(온라인_반찬!$C$2:$J$587,MATCH($D8,온라인_반찬!$C$2:$C$587,0),8),"")</f>
        <v>토마토김치(종가집)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 t="s">
        <v>2274</v>
      </c>
      <c r="H9" s="166"/>
      <c r="I9" s="137"/>
      <c r="J9" s="134">
        <v>1</v>
      </c>
      <c r="K9" s="134">
        <v>0.25</v>
      </c>
      <c r="L9" s="135"/>
      <c r="M9" s="120">
        <v>132620</v>
      </c>
      <c r="N9" s="120">
        <v>133270</v>
      </c>
      <c r="O9" s="120">
        <v>111030</v>
      </c>
      <c r="P9">
        <v>1363.8000000000002</v>
      </c>
      <c r="Q9" s="120">
        <v>26195</v>
      </c>
      <c r="R9" s="120">
        <v>23132.5</v>
      </c>
      <c r="S9" s="120">
        <v>23132.5</v>
      </c>
    </row>
    <row r="10" spans="2:23" ht="39.950000000000003" customHeight="1">
      <c r="B10" s="331" t="s">
        <v>1619</v>
      </c>
      <c r="C10" s="100" t="s">
        <v>620</v>
      </c>
      <c r="D10" s="162" t="s">
        <v>2113</v>
      </c>
      <c r="E10" s="123">
        <v>140</v>
      </c>
      <c r="F10" s="123"/>
      <c r="G10" s="113" t="str">
        <f>IFERROR(INDEX(온라인_반찬!$C$2:$H$594,MATCH($D10,온라인_반찬!$C$2:$C$594,0),6),"")</f>
        <v>밥(쌀:국산)95%, 후리카케[볶은참깨(참깨:인도산), 밀소맥볼(밀:미국,호주산),조각김(김:국산), 양조간장], 맛소금, 참기름</v>
      </c>
      <c r="H10" s="101" t="str">
        <f>IFERROR(INDEX(온라인_반찬!$D$2:$J$587,MATCH($D10,온라인_반찬!$C$2:$C$587,0),6),"")</f>
        <v>.5.21.</v>
      </c>
      <c r="I10" s="109" t="s">
        <v>2128</v>
      </c>
      <c r="J10" s="158">
        <v>99</v>
      </c>
      <c r="K10" s="158">
        <v>15620</v>
      </c>
      <c r="L10" s="129">
        <f>IFERROR(INDEX(온라인_반찬!$C$2:$J$587,MATCH($D10,온라인_반찬!$C$2:$C$587,0),8),"")</f>
        <v>0</v>
      </c>
      <c r="M10" s="120"/>
    </row>
    <row r="11" spans="2:23" ht="39.950000000000003" customHeight="1">
      <c r="B11" s="332"/>
      <c r="C11" s="160" t="s">
        <v>622</v>
      </c>
      <c r="D11" s="162" t="s">
        <v>2078</v>
      </c>
      <c r="E11" s="123">
        <v>60</v>
      </c>
      <c r="F11" s="123"/>
      <c r="G11" s="113" t="str">
        <f>IFERROR(INDEX(온라인_반찬!$C$2:$H$594,MATCH($D11,온라인_반찬!$C$2:$C$594,0),6),"")</f>
        <v>순살치킨[닭고기(닭다리살:브라질산)64.76%,밀가루(밀:호주산,미국산),옥수수전분(옥수수:외국산), 대두유]</v>
      </c>
      <c r="H11" s="101" t="str">
        <f>IFERROR(INDEX(온라인_반찬!$D$2:$J$587,MATCH($D11,온라인_반찬!$C$2:$C$587,0),6),"")</f>
        <v>.1.2.5.6.15.16.</v>
      </c>
      <c r="I11" s="109" t="s">
        <v>2128</v>
      </c>
      <c r="J11" s="158">
        <v>99</v>
      </c>
      <c r="K11" s="158">
        <v>7305</v>
      </c>
      <c r="L11" s="129" t="str">
        <f>IFERROR(INDEX(온라인_반찬!$C$2:$J$587,MATCH($D11,온라인_반찬!$C$2:$C$587,0),8),"")</f>
        <v>순살치킨가라아게(하림)</v>
      </c>
      <c r="M11" s="120"/>
    </row>
    <row r="12" spans="2:23" ht="39.950000000000003" customHeight="1">
      <c r="B12" s="332"/>
      <c r="C12" s="160" t="s">
        <v>623</v>
      </c>
      <c r="D12" s="162" t="s">
        <v>674</v>
      </c>
      <c r="E12" s="123"/>
      <c r="F12" s="123">
        <v>1</v>
      </c>
      <c r="G12" s="113" t="str">
        <f>IFERROR(INDEX(온라인_반찬!$C$2:$H$594,MATCH($D12,온라인_반찬!$C$2:$C$594,0),6),"")</f>
        <v>딤섬[(새우살36.62%, 정제수, 밀전분 11.47%, 타피오카전분 7.94%, 관자 5.64%, 대두유)원산지: 베트남산]</v>
      </c>
      <c r="H12" s="101" t="str">
        <f>IFERROR(INDEX(온라인_반찬!$D$2:$J$587,MATCH($D12,온라인_반찬!$C$2:$C$587,0),6),"")</f>
        <v>.5.6.9.18.</v>
      </c>
      <c r="I12" s="109" t="s">
        <v>2128</v>
      </c>
      <c r="J12" s="158">
        <v>111</v>
      </c>
      <c r="K12" s="158">
        <v>108</v>
      </c>
      <c r="L12" s="129" t="str">
        <f>IFERROR(INDEX(온라인_반찬!$C$2:$J$587,MATCH($D12,온라인_반찬!$C$2:$C$587,0),8),"")</f>
        <v>관자쇼마이(세미원푸드)</v>
      </c>
      <c r="M12" s="120"/>
    </row>
    <row r="13" spans="2:23" ht="39.950000000000003" customHeight="1">
      <c r="B13" s="332"/>
      <c r="C13" s="114" t="s">
        <v>820</v>
      </c>
      <c r="D13" s="162" t="s">
        <v>2228</v>
      </c>
      <c r="E13" s="123"/>
      <c r="F13" s="123">
        <v>2</v>
      </c>
      <c r="G13" s="113" t="s">
        <v>2229</v>
      </c>
      <c r="H13" s="101" t="s">
        <v>1017</v>
      </c>
      <c r="I13" s="109" t="s">
        <v>2128</v>
      </c>
      <c r="J13" s="158">
        <v>99</v>
      </c>
      <c r="K13" s="158">
        <v>226</v>
      </c>
      <c r="L13" s="129" t="str">
        <f>IFERROR(INDEX(온라인_반찬!$C$2:$J$587,MATCH($D13,온라인_반찬!$C$2:$C$587,0),8),"")</f>
        <v/>
      </c>
      <c r="M13" s="120"/>
    </row>
    <row r="14" spans="2:23" ht="39.950000000000003" customHeight="1">
      <c r="B14" s="332"/>
      <c r="C14" s="160" t="s">
        <v>102</v>
      </c>
      <c r="D14" s="162" t="s">
        <v>2074</v>
      </c>
      <c r="E14" s="123">
        <v>30</v>
      </c>
      <c r="F14" s="123"/>
      <c r="G14" s="113" t="s">
        <v>2230</v>
      </c>
      <c r="H14" s="101" t="str">
        <f>IFERROR(INDEX(온라인_반찬!$D$2:$J$587,MATCH($D14,온라인_반찬!$C$2:$C$587,0),6),"")</f>
        <v/>
      </c>
      <c r="I14" s="109" t="s">
        <v>2128</v>
      </c>
      <c r="J14" s="158">
        <v>99</v>
      </c>
      <c r="K14" s="158">
        <v>3415</v>
      </c>
      <c r="L14" s="129" t="str">
        <f>IFERROR(INDEX(온라인_반찬!$C$2:$J$587,MATCH($D14,온라인_반찬!$C$2:$C$587,0),8),"")</f>
        <v/>
      </c>
      <c r="M14" s="120"/>
    </row>
    <row r="15" spans="2:23" ht="39.950000000000003" customHeight="1" thickBot="1">
      <c r="B15" s="333"/>
      <c r="C15" s="130" t="s">
        <v>97</v>
      </c>
      <c r="D15" s="131"/>
      <c r="E15" s="131"/>
      <c r="F15" s="132">
        <v>1</v>
      </c>
      <c r="G15" s="133"/>
      <c r="H15" s="166"/>
      <c r="I15" s="137"/>
      <c r="J15" s="134">
        <v>1</v>
      </c>
      <c r="K15" s="134">
        <v>0.25</v>
      </c>
      <c r="L15" s="135"/>
    </row>
    <row r="16" spans="2:23" ht="39.950000000000003" customHeight="1">
      <c r="B16" s="328" t="s">
        <v>1365</v>
      </c>
      <c r="C16" s="251" t="s">
        <v>620</v>
      </c>
      <c r="D16" s="261" t="s">
        <v>1359</v>
      </c>
      <c r="E16" s="225">
        <v>150</v>
      </c>
      <c r="F16" s="225"/>
      <c r="G16" s="226" t="str">
        <f>IFERROR(INDEX(온라인_반찬!$C$2:$H$594,MATCH($D16,온라인_반찬!$C$2:$C$594,0),6),"")</f>
        <v>쌀(국산)90%, 찰보리(국산.친환경)5%, 정제수</v>
      </c>
      <c r="H16" s="227">
        <f>IFERROR(INDEX(온라인_반찬!$D$2:$J$587,MATCH($D16,온라인_반찬!$C$2:$C$587,0),6),"")</f>
        <v>0</v>
      </c>
      <c r="I16" s="228" t="s">
        <v>2129</v>
      </c>
      <c r="J16" s="266">
        <v>49</v>
      </c>
      <c r="K16" s="264">
        <v>7800</v>
      </c>
      <c r="L16" s="229">
        <f>IFERROR(INDEX(온라인_반찬!$C$2:$J$587,MATCH($D16,온라인_반찬!$C$2:$C$587,0),8),"")</f>
        <v>0</v>
      </c>
      <c r="M16" s="120" t="s">
        <v>1408</v>
      </c>
      <c r="N16" s="120"/>
      <c r="O16" s="120"/>
      <c r="P16" s="120" t="s">
        <v>1467</v>
      </c>
      <c r="S16" s="120" t="s">
        <v>1667</v>
      </c>
    </row>
    <row r="17" spans="2:19" ht="39.950000000000003" customHeight="1">
      <c r="B17" s="328"/>
      <c r="C17" s="245" t="s">
        <v>624</v>
      </c>
      <c r="D17" s="103" t="s">
        <v>961</v>
      </c>
      <c r="E17" s="123">
        <v>160</v>
      </c>
      <c r="F17" s="124"/>
      <c r="G17" s="113" t="str">
        <f>IFERROR(INDEX(온라인_반찬!$C$2:$H$594,MATCH($D17,온라인_반찬!$C$2:$C$594,0),6),"")</f>
        <v>볼어묵[연육(:중국산, 베트남산)53.29%, 설탕, 밀가루(밀:미국산, 호주산), 정제소금(국산)]18%, 무(국산)7%, 양파, 대파, 마늘, 정제수, 국간장, 소금</v>
      </c>
      <c r="H17" s="101" t="str">
        <f>IFERROR(INDEX(온라인_반찬!$D$2:$J$587,MATCH($D17,온라인_반찬!$C$2:$C$587,0),6),"")</f>
        <v>.5.6.</v>
      </c>
      <c r="I17" s="109" t="s">
        <v>2129</v>
      </c>
      <c r="J17" s="102">
        <v>49</v>
      </c>
      <c r="K17" s="101">
        <v>8160</v>
      </c>
      <c r="L17" s="129" t="str">
        <f>IFERROR(INDEX(온라인_반찬!$C$2:$J$587,MATCH($D17,온라인_반찬!$C$2:$C$587,0),8),"")</f>
        <v>볼어묵(이츠웰)</v>
      </c>
      <c r="M17" s="120" t="s">
        <v>1865</v>
      </c>
      <c r="N17" s="120"/>
      <c r="O17" s="120"/>
      <c r="P17" s="120" t="s">
        <v>1917</v>
      </c>
      <c r="S17" s="120" t="s">
        <v>1918</v>
      </c>
    </row>
    <row r="18" spans="2:19" ht="39.950000000000003" customHeight="1">
      <c r="B18" s="328"/>
      <c r="C18" s="245" t="s">
        <v>621</v>
      </c>
      <c r="D18" s="103" t="s">
        <v>1668</v>
      </c>
      <c r="E18" s="123">
        <v>120</v>
      </c>
      <c r="F18" s="124"/>
      <c r="G18" s="113" t="str">
        <f>IFERROR(INDEX(온라인_반찬!$C$2:$H$594,MATCH($D18,온라인_반찬!$C$2:$C$594,0),6),"")</f>
        <v>소고기(미국산.호주산)45%, 계란(국내산)10%, 표고버섯(중국산)5%, 양파, 돈부리소스, 쯔유, 정제수, 소금, 전분</v>
      </c>
      <c r="H18" s="101" t="str">
        <f>IFERROR(INDEX(온라인_반찬!$D$2:$J$587,MATCH($D18,온라인_반찬!$C$2:$C$587,0),6),"")</f>
        <v>.1.2.5.6.16.</v>
      </c>
      <c r="I18" s="109" t="s">
        <v>2129</v>
      </c>
      <c r="J18" s="102">
        <v>49</v>
      </c>
      <c r="K18" s="101">
        <v>6370</v>
      </c>
      <c r="L18" s="129" t="str">
        <f>IFERROR(INDEX(온라인_반찬!$C$2:$J$587,MATCH($D18,온라인_반찬!$C$2:$C$587,0),8),"")</f>
        <v>돈부리소스(가토코), 쯔유(이엔푸드)</v>
      </c>
      <c r="M18" s="120"/>
      <c r="N18" s="120"/>
    </row>
    <row r="19" spans="2:19" ht="39.950000000000003" customHeight="1">
      <c r="B19" s="328"/>
      <c r="C19" s="245" t="s">
        <v>622</v>
      </c>
      <c r="D19" s="103" t="s">
        <v>1703</v>
      </c>
      <c r="E19" s="123"/>
      <c r="F19" s="124">
        <v>2</v>
      </c>
      <c r="G19" s="113" t="str">
        <f>IFERROR(INDEX(온라인_반찬!$C$2:$H$594,MATCH($D19,온라인_반찬!$C$2:$C$594,0),6),"")</f>
        <v>돼지고기(국산)36.53%, 밀가루(밀:미국산.호주산), 양파(국산), 건무, 부추, 곤약, 돼지갈비살(국산)2.09%, 설탕, 갅방, 물엿, 마늘, 생강, 참기름, 후추, 대파 등</v>
      </c>
      <c r="H19" s="101" t="str">
        <f>IFERROR(INDEX(온라인_반찬!$D$2:$J$587,MATCH($D19,온라인_반찬!$C$2:$C$587,0),6),"")</f>
        <v>.2.5.6.10.16.21.</v>
      </c>
      <c r="I19" s="109" t="s">
        <v>2129</v>
      </c>
      <c r="J19" s="102">
        <v>49</v>
      </c>
      <c r="K19" s="101">
        <v>107.80000000000001</v>
      </c>
      <c r="L19" s="129" t="str">
        <f>IFERROR(INDEX(온라인_반찬!$C$2:$J$587,MATCH($D19,온라인_반찬!$C$2:$C$587,0),8),"")</f>
        <v>달콤한갈비만두(한만두) 개당25g</v>
      </c>
      <c r="M19" s="120"/>
      <c r="N19" s="120"/>
      <c r="O19" s="120"/>
    </row>
    <row r="20" spans="2:19" ht="39.950000000000003" customHeight="1">
      <c r="B20" s="328"/>
      <c r="C20" s="160" t="s">
        <v>290</v>
      </c>
      <c r="D20" s="103" t="s">
        <v>1366</v>
      </c>
      <c r="E20" s="123">
        <v>35</v>
      </c>
      <c r="F20" s="124"/>
      <c r="G20" s="113" t="str">
        <f>IFERROR(INDEX(온라인_반찬!$C$2:$H$594,MATCH($D20,온라인_반찬!$C$2:$C$594,0),6),"")</f>
        <v xml:space="preserve">오이(국산)87%, 부추(국산)3%, 파, 마늘, 고추가루, 소금, 설탕, 식초, 참깨 </v>
      </c>
      <c r="H20" s="101" t="str">
        <f>IFERROR(INDEX(온라인_반찬!$D$2:$J$587,MATCH($D20,온라인_반찬!$C$2:$C$587,0),6),"")</f>
        <v>.5.21.</v>
      </c>
      <c r="I20" s="109" t="s">
        <v>2129</v>
      </c>
      <c r="J20" s="102">
        <v>49</v>
      </c>
      <c r="K20" s="101">
        <v>1715</v>
      </c>
      <c r="L20" s="129">
        <f>IFERROR(INDEX(온라인_반찬!$C$2:$J$587,MATCH($D20,온라인_반찬!$C$2:$C$587,0),8),"")</f>
        <v>0</v>
      </c>
      <c r="M20" s="120"/>
      <c r="N20" s="120"/>
      <c r="O20" s="120"/>
    </row>
    <row r="21" spans="2:19" ht="39.950000000000003" customHeight="1">
      <c r="B21" s="328"/>
      <c r="C21" s="246" t="s">
        <v>820</v>
      </c>
      <c r="D21" s="103" t="s">
        <v>630</v>
      </c>
      <c r="E21" s="123">
        <v>35</v>
      </c>
      <c r="F21" s="123"/>
      <c r="G21" s="113" t="str">
        <f>IFERROR(INDEX(온라인_반찬!$C$2:$H$594,MATCH($D21,온라인_반찬!$C$2:$C$594,0),6),"")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1" s="101" t="str">
        <f>IFERROR(INDEX(온라인_반찬!$D$2:$J$587,MATCH($D21,온라인_반찬!$C$2:$C$587,0),6),"")</f>
        <v>.9.12.</v>
      </c>
      <c r="I21" s="109" t="s">
        <v>2129</v>
      </c>
      <c r="J21" s="102">
        <v>49</v>
      </c>
      <c r="K21" s="101">
        <v>1715</v>
      </c>
      <c r="L21" s="129" t="str">
        <f>IFERROR(INDEX(온라인_반찬!$C$2:$J$587,MATCH($D21,온라인_반찬!$C$2:$C$587,0),8),"")</f>
        <v>토마토김치(종가집)</v>
      </c>
      <c r="M21" s="120"/>
      <c r="N21" s="120"/>
      <c r="O21" s="120"/>
    </row>
    <row r="22" spans="2:19" ht="39.950000000000003" customHeight="1">
      <c r="B22" s="328"/>
      <c r="C22" s="222" t="s">
        <v>1405</v>
      </c>
      <c r="D22" s="103" t="s">
        <v>1644</v>
      </c>
      <c r="E22" s="123">
        <v>80</v>
      </c>
      <c r="F22" s="123"/>
      <c r="G22" s="113" t="str">
        <f>IFERROR(INDEX(온라인_반찬!$C$2:$H$594,MATCH($D22,온라인_반찬!$C$2:$C$594,0),6),"")</f>
        <v>순살치킨[닭고기(닭다리살:브라질산)64.76%,밀가루(밀:호주산,미국산),옥수수전분(옥수수:외국산), 대두유]95%, 치즈시즈닝[(치즈혼합분말:미국산,호주산)15.58%,(스트롱체다치즈분말:덴마크산)0.5%]5%</v>
      </c>
      <c r="H22" s="101" t="str">
        <f>IFERROR(INDEX(온라인_반찬!$D$2:$J$587,MATCH($D22,온라인_반찬!$C$2:$C$587,0),6),"")</f>
        <v>.1.2.5.6.15.</v>
      </c>
      <c r="I22" s="109" t="s">
        <v>2129</v>
      </c>
      <c r="J22" s="102">
        <v>28</v>
      </c>
      <c r="K22" s="101">
        <v>2580</v>
      </c>
      <c r="L22" s="165" t="str">
        <f>IFERROR(INDEX(온라인_반찬!$C$2:$J$587,MATCH($D22,온라인_반찬!$C$2:$C$587,0),8),"")</f>
        <v>치즈시즈닝(상상푸드)</v>
      </c>
      <c r="M22" s="120"/>
      <c r="N22" s="120"/>
      <c r="O22" s="120"/>
    </row>
    <row r="23" spans="2:19" ht="39.950000000000003" customHeight="1" thickBot="1">
      <c r="B23" s="329"/>
      <c r="C23" s="161" t="s">
        <v>97</v>
      </c>
      <c r="D23" s="211"/>
      <c r="E23" s="131"/>
      <c r="F23" s="132"/>
      <c r="G23" s="215"/>
      <c r="H23" s="166"/>
      <c r="I23" s="137"/>
      <c r="J23" s="134">
        <v>1</v>
      </c>
      <c r="K23" s="134">
        <v>0.25</v>
      </c>
      <c r="L23" s="135"/>
      <c r="M23" s="120"/>
      <c r="N23" s="120"/>
      <c r="O23" s="120"/>
    </row>
    <row r="24" spans="2:19">
      <c r="L24" s="32"/>
    </row>
    <row r="26" spans="2:19">
      <c r="E26"/>
      <c r="F26" s="121"/>
    </row>
  </sheetData>
  <mergeCells count="5">
    <mergeCell ref="B1:L1"/>
    <mergeCell ref="B3:B9"/>
    <mergeCell ref="S5:W5"/>
    <mergeCell ref="B16:B23"/>
    <mergeCell ref="B10:B1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913D-5334-4D82-BE3A-4A613493E156}">
  <sheetPr>
    <pageSetUpPr fitToPage="1"/>
  </sheetPr>
  <dimension ref="B1:W2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2231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1361</v>
      </c>
      <c r="E3" s="262">
        <v>140</v>
      </c>
      <c r="F3" s="262"/>
      <c r="G3" s="263" t="str">
        <f>IFERROR(INDEX(온라인_반찬!$C$2:$H$594,MATCH($D3,온라인_반찬!$C$2:$C$594,0),6),"")</f>
        <v>쌀(국산)90%, 현미(국산.친환경)5%, 정제수</v>
      </c>
      <c r="H3" s="264">
        <f>IFERROR(INDEX(온라인_반찬!$D$2:$J$587,MATCH($D3,온라인_반찬!$C$2:$C$587,0),6),"")</f>
        <v>0</v>
      </c>
      <c r="I3" s="265" t="s">
        <v>2236</v>
      </c>
      <c r="J3" s="266">
        <v>2361</v>
      </c>
      <c r="K3" s="264">
        <v>354085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2233</v>
      </c>
      <c r="E4" s="123">
        <v>150</v>
      </c>
      <c r="F4" s="124"/>
      <c r="G4" s="113" t="str">
        <f>IFERROR(INDEX(온라인_반찬!$C$2:$H$594,MATCH($D4,온라인_반찬!$C$2:$C$594,0),6),"")</f>
        <v xml:space="preserve">무(국산)18.3%, 소고기(호주산)10.7%, 양파, 대파, 마늘, 정제수, 소금, 멸치육수농축액, 국간장, 후추 </v>
      </c>
      <c r="H4" s="101" t="str">
        <f>IFERROR(INDEX(온라인_반찬!$D$2:$J$587,MATCH($D4,온라인_반찬!$C$2:$C$587,0),6),"")</f>
        <v>.5.16.</v>
      </c>
      <c r="I4" s="109" t="s">
        <v>2236</v>
      </c>
      <c r="J4" s="102">
        <v>2361</v>
      </c>
      <c r="K4" s="101">
        <v>361195</v>
      </c>
      <c r="L4" s="129">
        <f>IFERROR(INDEX(온라인_반찬!$C$2:$J$587,MATCH($D4,온라인_반찬!$C$2:$C$587,0),8),"")</f>
        <v>0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337" t="s">
        <v>621</v>
      </c>
      <c r="D5" s="103" t="s">
        <v>2140</v>
      </c>
      <c r="E5" s="123"/>
      <c r="F5" s="124">
        <v>1</v>
      </c>
      <c r="G5" s="113" t="str">
        <f>IFERROR(INDEX(온라인_반찬!$C$2:$H$594,MATCH($D5,온라인_반찬!$C$2:$C$594,0),6),"")</f>
        <v>생선통살까스 [민대구(한국산)50%, 빵가루, 정제수 ,쇼트닝, 소금]95%, 대두유</v>
      </c>
      <c r="H5" s="101" t="str">
        <f>IFERROR(INDEX(온라인_반찬!$D$2:$J$587,MATCH($D5,온라인_반찬!$C$2:$C$587,0),6),"")</f>
        <v>1.5.</v>
      </c>
      <c r="I5" s="109" t="s">
        <v>2236</v>
      </c>
      <c r="J5" s="102">
        <v>2361</v>
      </c>
      <c r="K5" s="101">
        <v>2696.6000000000004</v>
      </c>
      <c r="L5" s="129" t="str">
        <f>IFERROR(INDEX(온라인_반찬!$C$2:$J$587,MATCH($D5,온라인_반찬!$C$2:$C$587,0),8),"")</f>
        <v>이츠웰 흰살생선까스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338"/>
      <c r="D6" s="103" t="s">
        <v>1159</v>
      </c>
      <c r="E6" s="123">
        <v>10</v>
      </c>
      <c r="F6" s="124"/>
      <c r="G6" s="113" t="str">
        <f>IFERROR(INDEX(온라인_반찬!$C$2:$H$594,MATCH($D6,온라인_반찬!$C$2:$C$594,0),6),"")</f>
        <v>타르타르소스(시판용)85%, 마요네즈10%, 파인애플(청크)5%</v>
      </c>
      <c r="H6" s="101" t="str">
        <f>IFERROR(INDEX(온라인_반찬!$D$2:$J$587,MATCH($D6,온라인_반찬!$C$2:$C$587,0),6),"")</f>
        <v>.1.5.19.</v>
      </c>
      <c r="I6" s="109" t="s">
        <v>2236</v>
      </c>
      <c r="J6" s="102">
        <v>2361</v>
      </c>
      <c r="K6" s="101">
        <v>25260</v>
      </c>
      <c r="L6" s="129" t="str">
        <f>IFERROR(INDEX(온라인_반찬!$C$2:$J$587,MATCH($D6,온라인_반찬!$C$2:$C$587,0),8),"")</f>
        <v>타르타르드레싱(쉐프솔루션), 파인애플 청크(이츠웰)</v>
      </c>
      <c r="M6" s="120"/>
      <c r="N6" s="120"/>
      <c r="R6" s="120"/>
      <c r="S6" s="280"/>
      <c r="T6" s="280"/>
      <c r="U6" s="280"/>
      <c r="V6" s="280"/>
      <c r="W6" s="280"/>
    </row>
    <row r="7" spans="2:23" ht="39.950000000000003" customHeight="1">
      <c r="B7" s="328"/>
      <c r="C7" s="245" t="s">
        <v>622</v>
      </c>
      <c r="D7" s="103" t="s">
        <v>1966</v>
      </c>
      <c r="E7" s="123">
        <v>35</v>
      </c>
      <c r="F7" s="124"/>
      <c r="G7" s="113" t="str">
        <f>IFERROR(INDEX(온라인_반찬!$C$2:$H$594,MATCH($D7,온라인_반찬!$C$2:$C$594,0),6),"")</f>
        <v>푸실리(듀럼밀:터키산)60%, 양파, 피망, 양송이, 라구소스{토마토페이스트(토마토:미국산), 소고기(호주산),돼지고기(국산)], 올리브유, 파슬리가루</v>
      </c>
      <c r="H7" s="101" t="str">
        <f>IFERROR(INDEX(온라인_반찬!$D$2:$J$587,MATCH($D7,온라인_반찬!$C$2:$C$587,0),6),"")</f>
        <v>.5.6.10.12.15.16.</v>
      </c>
      <c r="I7" s="109" t="s">
        <v>2236</v>
      </c>
      <c r="J7" s="102">
        <v>2361</v>
      </c>
      <c r="K7" s="101">
        <v>92377.5</v>
      </c>
      <c r="L7" s="129" t="str">
        <f>IFERROR(INDEX(온라인_반찬!$C$2:$J$587,MATCH($D7,온라인_반찬!$C$2:$C$587,0),8),"")</f>
        <v>미트소스(이츠웰)</v>
      </c>
      <c r="M7" s="120" t="s">
        <v>811</v>
      </c>
      <c r="N7" s="120"/>
      <c r="P7" s="120" t="s">
        <v>1258</v>
      </c>
      <c r="R7" s="120"/>
      <c r="S7" s="120" t="s">
        <v>915</v>
      </c>
    </row>
    <row r="8" spans="2:23" ht="39.950000000000003" customHeight="1">
      <c r="B8" s="328"/>
      <c r="C8" s="160" t="s">
        <v>290</v>
      </c>
      <c r="D8" s="103" t="s">
        <v>1845</v>
      </c>
      <c r="E8" s="123">
        <v>40</v>
      </c>
      <c r="F8" s="124"/>
      <c r="G8" s="113" t="str">
        <f>IFERROR(INDEX(온라인_반찬!$C$2:$H$594,MATCH($D8,온라인_반찬!$C$2:$C$594,0),6),"")</f>
        <v>단호박(중국산)66.6%, 샐러드베이스13.8%[난황(국내산), 대두유(대두:외국산), 양조식초 등], 당근(중국산), 물엿, 정제수, 가쓰오브시엑기스, 설탕 등</v>
      </c>
      <c r="H8" s="101" t="str">
        <f>IFERROR(INDEX(온라인_반찬!$D$2:$J$587,MATCH($D8,온라인_반찬!$C$2:$C$587,0),6),"")</f>
        <v>.1.5.</v>
      </c>
      <c r="I8" s="109" t="s">
        <v>2236</v>
      </c>
      <c r="J8" s="102">
        <v>2361</v>
      </c>
      <c r="K8" s="101">
        <v>92212.5</v>
      </c>
      <c r="L8" s="129" t="str">
        <f>IFERROR(INDEX(온라인_반찬!$C$2:$J$587,MATCH($D8,온라인_반찬!$C$2:$C$587,0),8),"")</f>
        <v>단호박샐러드(이츠웰)</v>
      </c>
      <c r="M8" s="120" t="s">
        <v>688</v>
      </c>
      <c r="N8" s="120"/>
      <c r="P8" s="120" t="s">
        <v>1277</v>
      </c>
      <c r="R8" s="120"/>
      <c r="S8" s="120" t="s">
        <v>833</v>
      </c>
    </row>
    <row r="9" spans="2:23" ht="39.950000000000003" customHeight="1">
      <c r="B9" s="328"/>
      <c r="C9" s="246" t="s">
        <v>820</v>
      </c>
      <c r="D9" s="103" t="s">
        <v>630</v>
      </c>
      <c r="E9" s="123">
        <v>25</v>
      </c>
      <c r="F9" s="123"/>
      <c r="G9" s="113" t="str">
        <f>IFERROR(INDEX(온라인_반찬!$C$2:$H$594,MATCH($D9,온라인_반찬!$C$2:$C$594,0),6),"")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IFERROR(INDEX(온라인_반찬!$D$2:$J$587,MATCH($D9,온라인_반찬!$C$2:$C$587,0),6),"")</f>
        <v>.9.12.</v>
      </c>
      <c r="I9" s="109" t="s">
        <v>2236</v>
      </c>
      <c r="J9" s="102">
        <v>2361</v>
      </c>
      <c r="K9" s="101">
        <v>63120</v>
      </c>
      <c r="L9" s="129" t="str">
        <f>IFERROR(INDEX(온라인_반찬!$C$2:$J$587,MATCH($D9,온라인_반찬!$C$2:$C$587,0),8),"")</f>
        <v>토마토김치(종가집)</v>
      </c>
      <c r="M9" s="120" t="s">
        <v>1406</v>
      </c>
      <c r="N9" s="120"/>
      <c r="P9" s="120" t="s">
        <v>1417</v>
      </c>
      <c r="R9" s="120"/>
      <c r="S9" s="120" t="s">
        <v>1666</v>
      </c>
    </row>
    <row r="10" spans="2:23" ht="39.950000000000003" customHeight="1" thickBot="1">
      <c r="B10" s="329"/>
      <c r="C10" s="161" t="s">
        <v>97</v>
      </c>
      <c r="D10" s="211"/>
      <c r="E10" s="131"/>
      <c r="F10" s="132"/>
      <c r="G10" s="277" t="s">
        <v>2275</v>
      </c>
      <c r="H10" s="166"/>
      <c r="I10" s="137"/>
      <c r="J10" s="134">
        <v>1</v>
      </c>
      <c r="K10" s="134">
        <v>0.25</v>
      </c>
      <c r="L10" s="135"/>
      <c r="M10" s="120"/>
      <c r="N10" s="120"/>
      <c r="O10" s="120"/>
      <c r="Q10" s="120"/>
      <c r="R10" s="120"/>
    </row>
    <row r="11" spans="2:23" ht="39.950000000000003" customHeight="1">
      <c r="B11" s="328" t="s">
        <v>2227</v>
      </c>
      <c r="C11" s="251" t="s">
        <v>620</v>
      </c>
      <c r="D11" s="261" t="s">
        <v>1361</v>
      </c>
      <c r="E11" s="225">
        <v>150</v>
      </c>
      <c r="F11" s="225"/>
      <c r="G11" s="226" t="str">
        <f>IFERROR(INDEX(온라인_반찬!$C$2:$H$594,MATCH($D11,온라인_반찬!$C$2:$C$594,0),6),"")</f>
        <v>쌀(국산)90%, 현미(국산.친환경)5%, 정제수</v>
      </c>
      <c r="H11" s="227">
        <f>IFERROR(INDEX(온라인_반찬!$D$2:$J$587,MATCH($D11,온라인_반찬!$C$2:$C$587,0),6),"")</f>
        <v>0</v>
      </c>
      <c r="I11" s="228" t="s">
        <v>2237</v>
      </c>
      <c r="J11" s="266">
        <v>72</v>
      </c>
      <c r="K11" s="264">
        <v>7800</v>
      </c>
      <c r="L11" s="229">
        <f>IFERROR(INDEX(온라인_반찬!$C$2:$J$587,MATCH($D11,온라인_반찬!$C$2:$C$587,0),8),"")</f>
        <v>0</v>
      </c>
      <c r="M11" s="120" t="s">
        <v>1408</v>
      </c>
      <c r="N11" s="120"/>
      <c r="O11" s="120"/>
      <c r="P11" s="120" t="s">
        <v>1467</v>
      </c>
      <c r="S11" s="120" t="s">
        <v>1667</v>
      </c>
    </row>
    <row r="12" spans="2:23" ht="39.950000000000003" customHeight="1">
      <c r="B12" s="328"/>
      <c r="C12" s="245" t="s">
        <v>624</v>
      </c>
      <c r="D12" s="281" t="s">
        <v>1856</v>
      </c>
      <c r="E12" s="282">
        <v>160</v>
      </c>
      <c r="F12" s="283"/>
      <c r="G12" s="284" t="str">
        <f>IFERROR(INDEX(온라인_반찬!$C$2:$H$594,MATCH($D12,온라인_반찬!$C$2:$C$594,0),6),"")</f>
        <v xml:space="preserve">무(국산)18.3%, 소고기(호주산)10.7%, 양파, 대파, 마늘, 정제수, 소금, 고춧가루, 멸치육수농축액, 국간장, 후추 </v>
      </c>
      <c r="H12" s="285" t="str">
        <f>IFERROR(INDEX(온라인_반찬!$D$2:$J$587,MATCH($D12,온라인_반찬!$C$2:$C$587,0),6),"")</f>
        <v>.5.16.</v>
      </c>
      <c r="I12" s="109" t="s">
        <v>2237</v>
      </c>
      <c r="J12" s="102">
        <v>72</v>
      </c>
      <c r="K12" s="101">
        <v>8160</v>
      </c>
      <c r="L12" s="129">
        <f>IFERROR(INDEX(온라인_반찬!$C$2:$J$587,MATCH($D12,온라인_반찬!$C$2:$C$587,0),8),"")</f>
        <v>0</v>
      </c>
      <c r="M12" s="120" t="s">
        <v>1865</v>
      </c>
      <c r="N12" s="120"/>
      <c r="O12" s="120"/>
      <c r="P12" s="120" t="s">
        <v>1917</v>
      </c>
      <c r="S12" s="120" t="s">
        <v>1918</v>
      </c>
    </row>
    <row r="13" spans="2:23" ht="39.950000000000003" customHeight="1">
      <c r="B13" s="328"/>
      <c r="C13" s="160" t="s">
        <v>621</v>
      </c>
      <c r="D13" s="281" t="s">
        <v>2078</v>
      </c>
      <c r="E13" s="282">
        <v>80</v>
      </c>
      <c r="F13" s="283"/>
      <c r="G13" s="284" t="str">
        <f>IFERROR(INDEX(온라인_반찬!$C$2:$H$594,MATCH($D13,온라인_반찬!$C$2:$C$594,0),6),"")</f>
        <v>순살치킨[닭고기(닭다리살:브라질산)64.76%,밀가루(밀:호주산,미국산),옥수수전분(옥수수:외국산), 대두유]</v>
      </c>
      <c r="H13" s="285" t="str">
        <f>IFERROR(INDEX(온라인_반찬!$D$2:$J$587,MATCH($D13,온라인_반찬!$C$2:$C$587,0),6),"")</f>
        <v>.1.2.5.6.15.16.</v>
      </c>
      <c r="I13" s="109" t="s">
        <v>2237</v>
      </c>
      <c r="J13" s="102">
        <v>72</v>
      </c>
      <c r="K13" s="101">
        <v>6504</v>
      </c>
      <c r="L13" s="129" t="str">
        <f>IFERROR(INDEX(온라인_반찬!$C$2:$J$587,MATCH($D13,온라인_반찬!$C$2:$C$587,0),8),"")</f>
        <v>순살치킨가라아게(하림)</v>
      </c>
      <c r="M13" s="120"/>
      <c r="N13" s="120"/>
      <c r="O13" s="120"/>
    </row>
    <row r="14" spans="2:23" ht="39.950000000000003" customHeight="1">
      <c r="B14" s="328"/>
      <c r="C14" s="245" t="s">
        <v>622</v>
      </c>
      <c r="D14" s="103" t="s">
        <v>1966</v>
      </c>
      <c r="E14" s="123">
        <v>40</v>
      </c>
      <c r="F14" s="124"/>
      <c r="G14" s="113" t="str">
        <f>IFERROR(INDEX(온라인_반찬!$C$2:$H$594,MATCH($D14,온라인_반찬!$C$2:$C$594,0),6),"")</f>
        <v>푸실리(듀럼밀:터키산)60%, 양파, 피망, 양송이, 라구소스{토마토페이스트(토마토:미국산), 소고기(호주산),돼지고기(국산)], 올리브유, 파슬리가루</v>
      </c>
      <c r="H14" s="101" t="str">
        <f>IFERROR(INDEX(온라인_반찬!$D$2:$J$587,MATCH($D14,온라인_반찬!$C$2:$C$587,0),6),"")</f>
        <v>.5.6.10.12.15.16.</v>
      </c>
      <c r="I14" s="109" t="s">
        <v>2237</v>
      </c>
      <c r="J14" s="102">
        <v>72</v>
      </c>
      <c r="K14" s="101">
        <v>2960</v>
      </c>
      <c r="L14" s="129" t="str">
        <f>IFERROR(INDEX(온라인_반찬!$C$2:$J$587,MATCH($D14,온라인_반찬!$C$2:$C$587,0),8),"")</f>
        <v>미트소스(이츠웰)</v>
      </c>
      <c r="M14" s="120"/>
      <c r="N14" s="120"/>
    </row>
    <row r="15" spans="2:23" ht="39.950000000000003" customHeight="1">
      <c r="B15" s="328"/>
      <c r="C15" s="160" t="s">
        <v>290</v>
      </c>
      <c r="D15" s="103" t="s">
        <v>1845</v>
      </c>
      <c r="E15" s="123">
        <v>40</v>
      </c>
      <c r="F15" s="124"/>
      <c r="G15" s="113" t="str">
        <f>IFERROR(INDEX(온라인_반찬!$C$2:$H$594,MATCH($D15,온라인_반찬!$C$2:$C$594,0),6),"")</f>
        <v>단호박(중국산)66.6%, 샐러드베이스13.8%[난황(국내산), 대두유(대두:외국산), 양조식초 등], 당근(중국산), 물엿, 정제수, 가쓰오브시엑기스, 설탕 등</v>
      </c>
      <c r="H15" s="101" t="str">
        <f>IFERROR(INDEX(온라인_반찬!$D$2:$J$587,MATCH($D15,온라인_반찬!$C$2:$C$587,0),6),"")</f>
        <v>.1.5.</v>
      </c>
      <c r="I15" s="109" t="s">
        <v>2237</v>
      </c>
      <c r="J15" s="102">
        <v>72</v>
      </c>
      <c r="K15" s="101">
        <v>2960</v>
      </c>
      <c r="L15" s="129" t="str">
        <f>IFERROR(INDEX(온라인_반찬!$C$2:$J$587,MATCH($D15,온라인_반찬!$C$2:$C$587,0),8),"")</f>
        <v>단호박샐러드(이츠웰)</v>
      </c>
      <c r="M15" s="120"/>
      <c r="N15" s="120"/>
      <c r="O15" s="120"/>
    </row>
    <row r="16" spans="2:23" ht="39.950000000000003" customHeight="1">
      <c r="B16" s="328"/>
      <c r="C16" s="246" t="s">
        <v>820</v>
      </c>
      <c r="D16" s="103" t="s">
        <v>630</v>
      </c>
      <c r="E16" s="123">
        <v>35</v>
      </c>
      <c r="F16" s="123"/>
      <c r="G16" s="113" t="str">
        <f>IFERROR(INDEX(온라인_반찬!$C$2:$H$594,MATCH($D16,온라인_반찬!$C$2:$C$594,0),6),"")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IFERROR(INDEX(온라인_반찬!$D$2:$J$587,MATCH($D16,온라인_반찬!$C$2:$C$587,0),6),"")</f>
        <v>.9.12.</v>
      </c>
      <c r="I16" s="109" t="s">
        <v>2237</v>
      </c>
      <c r="J16" s="102">
        <v>72</v>
      </c>
      <c r="K16" s="101">
        <v>2220</v>
      </c>
      <c r="L16" s="129" t="str">
        <f>IFERROR(INDEX(온라인_반찬!$C$2:$J$587,MATCH($D16,온라인_반찬!$C$2:$C$587,0),8),"")</f>
        <v>토마토김치(종가집)</v>
      </c>
      <c r="M16" s="120"/>
      <c r="N16" s="120"/>
      <c r="O16" s="120"/>
    </row>
    <row r="17" spans="2:15" ht="39.950000000000003" customHeight="1">
      <c r="B17" s="328"/>
      <c r="C17" s="222" t="s">
        <v>1405</v>
      </c>
      <c r="D17" s="103" t="s">
        <v>1735</v>
      </c>
      <c r="E17" s="123">
        <v>80</v>
      </c>
      <c r="F17" s="123"/>
      <c r="G17" s="113" t="str">
        <f>IFERROR(INDEX(온라인_반찬!$C$2:$H$594,MATCH($D17,온라인_반찬!$C$2:$C$594,0),6),"")</f>
        <v>훈제오리{(오리육97.26%, 자일리톨, 소금, 대두단백, 양파분, 마늘분, 생강분, 로즈마리분말, 참기름, 후추)중국산)70%, 새송이버섯(국산), 양파, 당근, 파, 마늘, 굴소스, 소금, 참기름, 참깨</v>
      </c>
      <c r="H17" s="101" t="str">
        <f>IFERROR(INDEX(온라인_반찬!$D$2:$J$587,MATCH($D17,온라인_반찬!$C$2:$C$587,0),6),"")</f>
        <v>.1.5.6.10.18.21.</v>
      </c>
      <c r="I17" s="109" t="s">
        <v>2237</v>
      </c>
      <c r="J17" s="102">
        <v>28</v>
      </c>
      <c r="K17" s="101">
        <v>2580</v>
      </c>
      <c r="L17" s="165" t="str">
        <f>IFERROR(INDEX(온라인_반찬!$C$2:$J$587,MATCH($D17,온라인_반찬!$C$2:$C$587,0),8),"")</f>
        <v>훈제오리(에스에프)</v>
      </c>
      <c r="M17" s="120"/>
      <c r="N17" s="120"/>
      <c r="O17" s="120"/>
    </row>
    <row r="18" spans="2:15" ht="39.950000000000003" customHeight="1" thickBot="1">
      <c r="B18" s="329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5" ht="39.950000000000003" customHeight="1">
      <c r="B19" s="334" t="s">
        <v>1619</v>
      </c>
      <c r="C19" s="100" t="s">
        <v>620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2236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7" t="s">
        <v>622</v>
      </c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2236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338"/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2236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60" t="s">
        <v>623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2236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14" t="s">
        <v>820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2236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>
      <c r="B24" s="335"/>
      <c r="C24" s="160" t="s">
        <v>102</v>
      </c>
      <c r="D24" s="162"/>
      <c r="E24" s="123"/>
      <c r="F24" s="123"/>
      <c r="G24" s="113" t="str">
        <f>IFERROR(INDEX(온라인_반찬!$C$2:$H$594,MATCH($D24,온라인_반찬!$C$2:$C$594,0),6),"")</f>
        <v/>
      </c>
      <c r="H24" s="101" t="str">
        <f>IFERROR(INDEX(온라인_반찬!$D$2:$J$587,MATCH($D24,온라인_반찬!$C$2:$C$587,0),6),"")</f>
        <v/>
      </c>
      <c r="I24" s="109" t="s">
        <v>2236</v>
      </c>
      <c r="J24" s="158"/>
      <c r="K24" s="158"/>
      <c r="L24" s="129" t="str">
        <f>IFERROR(INDEX(온라인_반찬!$C$2:$J$587,MATCH($D24,온라인_반찬!$C$2:$C$587,0),8),"")</f>
        <v/>
      </c>
      <c r="M24" s="120"/>
    </row>
    <row r="25" spans="2:15" ht="39.950000000000003" customHeight="1" thickBot="1">
      <c r="B25" s="336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5">
      <c r="L26" s="32"/>
    </row>
    <row r="28" spans="2:15">
      <c r="E28"/>
      <c r="F28" s="121"/>
    </row>
  </sheetData>
  <mergeCells count="7">
    <mergeCell ref="B1:L1"/>
    <mergeCell ref="B3:B10"/>
    <mergeCell ref="S5:W5"/>
    <mergeCell ref="B11:B18"/>
    <mergeCell ref="B19:B25"/>
    <mergeCell ref="C20:C21"/>
    <mergeCell ref="C5:C6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4873-0FDE-4145-BAA1-9EC616FA0B58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2238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1787</v>
      </c>
      <c r="E3" s="262">
        <v>140</v>
      </c>
      <c r="F3" s="262"/>
      <c r="G3" s="263" t="str">
        <f>IFERROR(INDEX(온라인_반찬!$C$2:$H$594,MATCH($D3,온라인_반찬!$C$2:$C$594,0),6),"")</f>
        <v>쌀(국산)90%, 귀리(국산.친환경)5%, 정제수</v>
      </c>
      <c r="H3" s="264">
        <f>IFERROR(INDEX(온라인_반찬!$D$2:$J$587,MATCH($D3,온라인_반찬!$C$2:$C$587,0),6),"")</f>
        <v>0</v>
      </c>
      <c r="I3" s="265" t="s">
        <v>2234</v>
      </c>
      <c r="J3" s="266">
        <v>2488</v>
      </c>
      <c r="K3" s="264">
        <v>376305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632</v>
      </c>
      <c r="E4" s="123">
        <v>150</v>
      </c>
      <c r="F4" s="124"/>
      <c r="G4" s="113" t="str">
        <f>IFERROR(INDEX(온라인_반찬!$C$2:$H$594,MATCH($D4,온라인_반찬!$C$2:$C$594,0),6),"")</f>
        <v>계란(국산)10%, 황태채(러시아산)5%, 양파, 파, 마늘, 정제수, 참기름, 국간장, 소금</v>
      </c>
      <c r="H4" s="101" t="str">
        <f>IFERROR(INDEX(온라인_반찬!$D$2:$J$587,MATCH($D4,온라인_반찬!$C$2:$C$587,0),6),"")</f>
        <v>.1.5.21.</v>
      </c>
      <c r="I4" s="109" t="s">
        <v>2234</v>
      </c>
      <c r="J4" s="102">
        <v>2488</v>
      </c>
      <c r="K4" s="101">
        <v>384645</v>
      </c>
      <c r="L4" s="129">
        <f>IFERROR(INDEX(온라인_반찬!$C$2:$J$587,MATCH($D4,온라인_반찬!$C$2:$C$587,0),8),"")</f>
        <v>0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637</v>
      </c>
      <c r="E5" s="123">
        <v>75</v>
      </c>
      <c r="F5" s="124"/>
      <c r="G5" s="113" t="str">
        <f>IFERROR(INDEX(온라인_반찬!$C$2:$H$594,MATCH($D5,온라인_반찬!$C$2:$C$594,0),6),"")</f>
        <v>닭정육(닭가슴살,닭다리살:국산)53%, 밀떡(밀:수입산), 당근, 양파, 감자, 대파, 마늘, 춘장, 간장, 물엿, 참기름, 후추</v>
      </c>
      <c r="H5" s="101" t="str">
        <f>IFERROR(INDEX(온라인_반찬!$D$2:$J$587,MATCH($D5,온라인_반찬!$C$2:$C$587,0),6),"")</f>
        <v>.1.5.6.10.21.</v>
      </c>
      <c r="I5" s="109" t="s">
        <v>2234</v>
      </c>
      <c r="J5" s="102">
        <v>2488</v>
      </c>
      <c r="K5" s="101">
        <v>218575</v>
      </c>
      <c r="L5" s="129" t="str">
        <f>IFERROR(INDEX(온라인_반찬!$C$2:$J$587,MATCH($D5,온라인_반찬!$C$2:$C$587,0),8),"")</f>
        <v>밀떡볶이떡(토담)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1495</v>
      </c>
      <c r="E6" s="123">
        <v>12</v>
      </c>
      <c r="F6" s="124"/>
      <c r="G6" s="113" t="str">
        <f>IFERROR(INDEX(온라인_반찬!$C$2:$H$594,MATCH($D6,온라인_반찬!$C$2:$C$594,0),6),"")</f>
        <v>멸치(국산)79.9%, 대두유, 간장, 맛술, 물엿, 참기름, 참깨</v>
      </c>
      <c r="H6" s="101" t="str">
        <f>IFERROR(INDEX(온라인_반찬!$D$2:$J$587,MATCH($D6,온라인_반찬!$C$2:$C$587,0),6),"")</f>
        <v>.5.21.</v>
      </c>
      <c r="I6" s="109" t="s">
        <v>2234</v>
      </c>
      <c r="J6" s="102">
        <v>2488</v>
      </c>
      <c r="K6" s="101">
        <v>34672</v>
      </c>
      <c r="L6" s="129">
        <f>IFERROR(INDEX(온라인_반찬!$C$2:$J$587,MATCH($D6,온라인_반찬!$C$2:$C$587,0),8),"")</f>
        <v>0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1167</v>
      </c>
      <c r="E7" s="123">
        <v>25</v>
      </c>
      <c r="F7" s="124"/>
      <c r="G7" s="113" t="str">
        <f>IFERROR(INDEX(온라인_반찬!$C$2:$H$594,MATCH($D7,온라인_반찬!$C$2:$C$594,0),6),"")</f>
        <v>콩나물(원료수입산)90%, 당근, 부추, 마늘, 대파, 참치액, 소금, 참기름, 참깨</v>
      </c>
      <c r="H7" s="101" t="str">
        <f>IFERROR(INDEX(온라인_반찬!$D$2:$J$587,MATCH($D7,온라인_반찬!$C$2:$C$587,0),6),"")</f>
        <v>.5.21.</v>
      </c>
      <c r="I7" s="109" t="s">
        <v>2234</v>
      </c>
      <c r="J7" s="102">
        <v>2488</v>
      </c>
      <c r="K7" s="101">
        <v>74675</v>
      </c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631</v>
      </c>
      <c r="E8" s="123">
        <v>25</v>
      </c>
      <c r="F8" s="123"/>
      <c r="G8" s="113" t="str">
        <f>IFERROR(INDEX(온라인_반찬!$C$2:$H$594,MATCH($D8,온라인_반찬!$C$2:$C$594,0),6),"")</f>
        <v>무(국산)85.2%, 고추가루(국산), 밀가루풀(국산), 파, 마늘, 새우젓 등 양념(국산)</v>
      </c>
      <c r="H8" s="101" t="str">
        <f>IFERROR(INDEX(온라인_반찬!$D$2:$J$587,MATCH($D8,온라인_반찬!$C$2:$C$587,0),6),"")</f>
        <v>.6.9.</v>
      </c>
      <c r="I8" s="109" t="s">
        <v>2234</v>
      </c>
      <c r="J8" s="102">
        <v>2488</v>
      </c>
      <c r="K8" s="101">
        <v>69375</v>
      </c>
      <c r="L8" s="129">
        <f>IFERROR(INDEX(온라인_반찬!$C$2:$J$587,MATCH($D8,온라인_반찬!$C$2:$C$587,0),8),"")</f>
        <v>0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8" t="s">
        <v>2227</v>
      </c>
      <c r="C10" s="251" t="s">
        <v>620</v>
      </c>
      <c r="D10" s="261" t="s">
        <v>1787</v>
      </c>
      <c r="E10" s="225">
        <v>150</v>
      </c>
      <c r="F10" s="225"/>
      <c r="G10" s="226" t="str">
        <f>IFERROR(INDEX(온라인_반찬!$C$2:$H$594,MATCH($D10,온라인_반찬!$C$2:$C$594,0),6),"")</f>
        <v>쌀(국산)90%, 귀리(국산.친환경)5%, 정제수</v>
      </c>
      <c r="H10" s="227">
        <f>IFERROR(INDEX(온라인_반찬!$D$2:$J$587,MATCH($D10,온라인_반찬!$C$2:$C$587,0),6),"")</f>
        <v>0</v>
      </c>
      <c r="I10" s="228" t="s">
        <v>2235</v>
      </c>
      <c r="J10" s="266">
        <v>72</v>
      </c>
      <c r="K10" s="264">
        <v>7800</v>
      </c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45" t="s">
        <v>624</v>
      </c>
      <c r="D11" s="103" t="s">
        <v>632</v>
      </c>
      <c r="E11" s="123">
        <v>160</v>
      </c>
      <c r="F11" s="124"/>
      <c r="G11" s="113" t="str">
        <f>IFERROR(INDEX(온라인_반찬!$C$2:$H$594,MATCH($D11,온라인_반찬!$C$2:$C$594,0),6),"")</f>
        <v>계란(국산)10%, 황태채(러시아산)5%, 양파, 파, 마늘, 정제수, 참기름, 국간장, 소금</v>
      </c>
      <c r="H11" s="101" t="str">
        <f>IFERROR(INDEX(온라인_반찬!$D$2:$J$587,MATCH($D11,온라인_반찬!$C$2:$C$587,0),6),"")</f>
        <v>.1.5.21.</v>
      </c>
      <c r="I11" s="109" t="s">
        <v>2235</v>
      </c>
      <c r="J11" s="102">
        <v>72</v>
      </c>
      <c r="K11" s="101">
        <v>8160</v>
      </c>
      <c r="L11" s="129">
        <f>IFERROR(INDEX(온라인_반찬!$C$2:$J$587,MATCH($D11,온라인_반찬!$C$2:$C$587,0),8),"")</f>
        <v>0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45" t="s">
        <v>621</v>
      </c>
      <c r="D12" s="281" t="s">
        <v>2239</v>
      </c>
      <c r="E12" s="282">
        <v>95</v>
      </c>
      <c r="F12" s="283"/>
      <c r="G12" s="284" t="s">
        <v>2241</v>
      </c>
      <c r="H12" s="285" t="s">
        <v>2240</v>
      </c>
      <c r="I12" s="109" t="s">
        <v>2235</v>
      </c>
      <c r="J12" s="102">
        <v>72</v>
      </c>
      <c r="K12" s="101">
        <v>7317</v>
      </c>
      <c r="L12" s="129" t="str">
        <f>IFERROR(INDEX(온라인_반찬!$C$2:$J$587,MATCH($D12,온라인_반찬!$C$2:$C$587,0),8),"")</f>
        <v/>
      </c>
      <c r="M12" s="120"/>
      <c r="N12" s="120"/>
      <c r="O12" s="120"/>
    </row>
    <row r="13" spans="2:23" ht="39.950000000000003" customHeight="1">
      <c r="B13" s="328"/>
      <c r="C13" s="245" t="s">
        <v>622</v>
      </c>
      <c r="D13" s="103" t="s">
        <v>1495</v>
      </c>
      <c r="E13" s="123">
        <v>15</v>
      </c>
      <c r="F13" s="124"/>
      <c r="G13" s="113" t="str">
        <f>IFERROR(INDEX(온라인_반찬!$C$2:$H$594,MATCH($D13,온라인_반찬!$C$2:$C$594,0),6),"")</f>
        <v>멸치(국산)79.9%, 대두유, 간장, 맛술, 물엿, 참기름, 참깨</v>
      </c>
      <c r="H13" s="101" t="str">
        <f>IFERROR(INDEX(온라인_반찬!$D$2:$J$587,MATCH($D13,온라인_반찬!$C$2:$C$587,0),6),"")</f>
        <v>.5.21.</v>
      </c>
      <c r="I13" s="109" t="s">
        <v>2235</v>
      </c>
      <c r="J13" s="102">
        <v>72</v>
      </c>
      <c r="K13" s="101">
        <v>1110</v>
      </c>
      <c r="L13" s="129">
        <f>IFERROR(INDEX(온라인_반찬!$C$2:$J$587,MATCH($D13,온라인_반찬!$C$2:$C$587,0),8),"")</f>
        <v>0</v>
      </c>
      <c r="M13" s="120"/>
      <c r="N13" s="120"/>
      <c r="O13" s="120"/>
    </row>
    <row r="14" spans="2:23" ht="39.950000000000003" customHeight="1">
      <c r="B14" s="328"/>
      <c r="C14" s="160" t="s">
        <v>290</v>
      </c>
      <c r="D14" s="103" t="s">
        <v>1167</v>
      </c>
      <c r="E14" s="123">
        <v>40</v>
      </c>
      <c r="F14" s="124"/>
      <c r="G14" s="113" t="str">
        <f>IFERROR(INDEX(온라인_반찬!$C$2:$H$594,MATCH($D14,온라인_반찬!$C$2:$C$594,0),6),"")</f>
        <v>콩나물(원료수입산)90%, 당근, 부추, 마늘, 대파, 참치액, 소금, 참기름, 참깨</v>
      </c>
      <c r="H14" s="101" t="str">
        <f>IFERROR(INDEX(온라인_반찬!$D$2:$J$587,MATCH($D14,온라인_반찬!$C$2:$C$587,0),6),"")</f>
        <v>.5.21.</v>
      </c>
      <c r="I14" s="109" t="s">
        <v>2235</v>
      </c>
      <c r="J14" s="102">
        <v>72</v>
      </c>
      <c r="K14" s="101">
        <v>2960</v>
      </c>
      <c r="L14" s="129">
        <f>IFERROR(INDEX(온라인_반찬!$C$2:$J$587,MATCH($D14,온라인_반찬!$C$2:$C$587,0),8),"")</f>
        <v>0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103" t="s">
        <v>631</v>
      </c>
      <c r="E15" s="123">
        <v>35</v>
      </c>
      <c r="F15" s="123"/>
      <c r="G15" s="113" t="str">
        <f>IFERROR(INDEX(온라인_반찬!$C$2:$H$594,MATCH($D15,온라인_반찬!$C$2:$C$594,0),6),"")</f>
        <v>무(국산)85.2%, 고추가루(국산), 밀가루풀(국산), 파, 마늘, 새우젓 등 양념(국산)</v>
      </c>
      <c r="H15" s="101" t="str">
        <f>IFERROR(INDEX(온라인_반찬!$D$2:$J$587,MATCH($D15,온라인_반찬!$C$2:$C$587,0),6),"")</f>
        <v>.6.9.</v>
      </c>
      <c r="I15" s="109" t="s">
        <v>2235</v>
      </c>
      <c r="J15" s="102">
        <v>72</v>
      </c>
      <c r="K15" s="101">
        <v>2590</v>
      </c>
      <c r="L15" s="129">
        <f>IFERROR(INDEX(온라인_반찬!$C$2:$J$587,MATCH($D15,온라인_반찬!$C$2:$C$587,0),8),"")</f>
        <v>0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103" t="s">
        <v>2074</v>
      </c>
      <c r="E16" s="123"/>
      <c r="F16" s="123">
        <v>1</v>
      </c>
      <c r="G16" s="113" t="s">
        <v>2279</v>
      </c>
      <c r="H16" s="101" t="str">
        <f>IFERROR(INDEX(온라인_반찬!$D$2:$J$587,MATCH($D16,온라인_반찬!$C$2:$C$587,0),6),"")</f>
        <v/>
      </c>
      <c r="I16" s="109" t="s">
        <v>2235</v>
      </c>
      <c r="J16" s="102">
        <v>28</v>
      </c>
      <c r="K16" s="101">
        <v>30</v>
      </c>
      <c r="L16" s="165" t="str">
        <f>IFERROR(INDEX(온라인_반찬!$C$2:$J$587,MATCH($D16,온라인_반찬!$C$2:$C$587,0),8),"")</f>
        <v/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2234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2234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2234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2234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2234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2234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A785-E745-4C07-BDED-67B4AF462FDA}">
  <sheetPr>
    <pageSetUpPr fitToPage="1"/>
  </sheetPr>
  <dimension ref="B1:W2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2244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1357</v>
      </c>
      <c r="E3" s="262">
        <v>140</v>
      </c>
      <c r="F3" s="262"/>
      <c r="G3" s="263" t="str">
        <f>IFERROR(INDEX(온라인_반찬!$C$2:$H$594,MATCH($D3,온라인_반찬!$C$2:$C$594,0),6),"")</f>
        <v>쌀(국산)90%, 찰흑미(국산.친환경)5%, 정제수</v>
      </c>
      <c r="H3" s="264">
        <f>IFERROR(INDEX(온라인_반찬!$D$2:$J$587,MATCH($D3,온라인_반찬!$C$2:$C$587,0),6),"")</f>
        <v>0</v>
      </c>
      <c r="I3" s="265" t="s">
        <v>2242</v>
      </c>
      <c r="J3" s="266">
        <v>2600</v>
      </c>
      <c r="K3" s="264">
        <v>393875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912</v>
      </c>
      <c r="E4" s="123">
        <v>150</v>
      </c>
      <c r="F4" s="124"/>
      <c r="G4" s="113" t="str">
        <f>IFERROR(INDEX(온라인_반찬!$C$2:$H$594,MATCH($D4,온라인_반찬!$C$2:$C$594,0),6),"")</f>
        <v>모둠채소[(호박.감자.양파.느타리버섯:국산),.표고버섯(중국산)]20%, 두부(원료수입산)5%, 정제수, 된장, 대파, 마늘, 소금</v>
      </c>
      <c r="H4" s="101" t="str">
        <f>IFERROR(INDEX(온라인_반찬!$D$2:$J$587,MATCH($D4,온라인_반찬!$C$2:$C$587,0),6),"")</f>
        <v>.5.9.</v>
      </c>
      <c r="I4" s="109" t="s">
        <v>2242</v>
      </c>
      <c r="J4" s="102">
        <v>2600</v>
      </c>
      <c r="K4" s="101">
        <v>400865</v>
      </c>
      <c r="L4" s="129" t="str">
        <f>IFERROR(INDEX(온라인_반찬!$C$2:$J$587,MATCH($D4,온라인_반찬!$C$2:$C$587,0),8),"")</f>
        <v>50g/60g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2067</v>
      </c>
      <c r="E5" s="123">
        <v>60</v>
      </c>
      <c r="F5" s="124"/>
      <c r="G5" s="113" t="str">
        <f>IFERROR(INDEX(온라인_반찬!$C$2:$H$594,MATCH($D5,온라인_반찬!$C$2:$C$594,0),6),"")</f>
        <v>소고기(호주산)75%, 새송이버섯(국산)10%, 황금팽이버섯(국산)2%, 당근, 대파, 마늘, 간장, 맛술, 참기름, 후추, 참깨</v>
      </c>
      <c r="H5" s="101" t="str">
        <f>IFERROR(INDEX(온라인_반찬!$D$2:$J$587,MATCH($D5,온라인_반찬!$C$2:$C$587,0),6),"")</f>
        <v>.5.16.21.</v>
      </c>
      <c r="I5" s="109" t="s">
        <v>2242</v>
      </c>
      <c r="J5" s="102">
        <v>2600</v>
      </c>
      <c r="K5" s="101">
        <v>186310</v>
      </c>
      <c r="L5" s="129">
        <f>IFERROR(INDEX(온라인_반찬!$C$2:$J$587,MATCH($D5,온라인_반찬!$C$2:$C$587,0),8),"")</f>
        <v>0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2204</v>
      </c>
      <c r="E6" s="123">
        <v>35</v>
      </c>
      <c r="F6" s="124"/>
      <c r="G6" s="113" t="str">
        <f>IFERROR(INDEX(온라인_반찬!$C$2:$H$594,MATCH($D6,온라인_반찬!$C$2:$C$594,0),6),"")</f>
        <v>계란(국산)90%, 브로콜리(국내산)6%, 대두유, 우유, 소금, 백후추</v>
      </c>
      <c r="H6" s="101" t="str">
        <f>IFERROR(INDEX(온라인_반찬!$D$2:$J$587,MATCH($D6,온라인_반찬!$C$2:$C$587,0),6),"")</f>
        <v>.1.2.5.</v>
      </c>
      <c r="I6" s="109" t="s">
        <v>2242</v>
      </c>
      <c r="J6" s="102">
        <v>2600</v>
      </c>
      <c r="K6" s="101">
        <v>102817.5</v>
      </c>
      <c r="L6" s="129">
        <f>IFERROR(INDEX(온라인_반찬!$C$2:$J$587,MATCH($D6,온라인_반찬!$C$2:$C$587,0),8),"")</f>
        <v>0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2205</v>
      </c>
      <c r="E7" s="123">
        <v>25</v>
      </c>
      <c r="F7" s="124"/>
      <c r="G7" s="113" t="str">
        <f>IFERROR(INDEX(온라인_반찬!$C$2:$H$594,MATCH($D7,온라인_반찬!$C$2:$C$594,0),6),"")</f>
        <v>무(국내산)70%, 미역(국산)15%, (국내산)]10%, 설탕, 식초, 레몬즙, 소금, 참깨</v>
      </c>
      <c r="H7" s="101" t="str">
        <f>IFERROR(INDEX(온라인_반찬!$D$2:$J$587,MATCH($D7,온라인_반찬!$C$2:$C$587,0),6),"")</f>
        <v>.5.21.</v>
      </c>
      <c r="I7" s="109" t="s">
        <v>2242</v>
      </c>
      <c r="J7" s="102">
        <v>2600</v>
      </c>
      <c r="K7" s="101">
        <v>77855</v>
      </c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1116</v>
      </c>
      <c r="E8" s="123">
        <v>25</v>
      </c>
      <c r="F8" s="123"/>
      <c r="G8" s="113" t="str">
        <f>IFERROR(INDEX(온라인_반찬!$C$2:$H$594,MATCH($D8,온라인_반찬!$C$2:$C$594,0),6),"")</f>
        <v>배추(국내산)64%, 무채(무:국내산)8%, 양파, 정제수, 생강, 마늘, 생강, 배, 쪽파, 정제염</v>
      </c>
      <c r="H8" s="101">
        <f>IFERROR(INDEX(온라인_반찬!$D$2:$J$587,MATCH($D8,온라인_반찬!$C$2:$C$587,0),6),"")</f>
        <v>0</v>
      </c>
      <c r="I8" s="109" t="s">
        <v>2242</v>
      </c>
      <c r="J8" s="102">
        <v>2600</v>
      </c>
      <c r="K8" s="101">
        <v>72560</v>
      </c>
      <c r="L8" s="129" t="str">
        <f>IFERROR(INDEX(온라인_반찬!$C$2:$J$587,MATCH($D8,온라인_반찬!$C$2:$C$587,0),8),"")</f>
        <v>백김치(정우식품)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>
      <c r="B9" s="328"/>
      <c r="C9" s="246" t="s">
        <v>820</v>
      </c>
      <c r="D9" s="103" t="s">
        <v>616</v>
      </c>
      <c r="E9" s="123"/>
      <c r="F9" s="123">
        <v>5</v>
      </c>
      <c r="G9" s="113" t="str">
        <f>IFERROR(INDEX(온라인_반찬!$C$2:$H$594,MATCH($D9,온라인_반찬!$C$2:$C$594,0),6),"")</f>
        <v>치킨너겟[닭고기(닭:국산100%)74.65%, 브레더[밀가루(밀:호주산, 미극산),전분(옥수수:외국산)], 대두단백, 정제소금, 백설탕 등</v>
      </c>
      <c r="H9" s="101" t="str">
        <f>IFERROR(INDEX(온라인_반찬!$D$2:$J$587,MATCH($D9,온라인_반찬!$C$2:$C$587,0),6),"")</f>
        <v>.1.2.5.6.15.16.</v>
      </c>
      <c r="I9" s="109" t="s">
        <v>2242</v>
      </c>
      <c r="J9" s="102">
        <v>6</v>
      </c>
      <c r="K9" s="101">
        <v>35</v>
      </c>
      <c r="L9" s="129" t="str">
        <f>IFERROR(INDEX(온라인_반찬!$C$2:$J$587,MATCH($D9,온라인_반찬!$C$2:$C$587,0),8),"")</f>
        <v>치킨너겟(하림)</v>
      </c>
      <c r="M9" s="120"/>
      <c r="N9" s="120"/>
      <c r="O9" s="120"/>
      <c r="Q9" s="120"/>
      <c r="R9" s="120"/>
      <c r="S9" s="120"/>
    </row>
    <row r="10" spans="2:23" ht="39.950000000000003" customHeight="1" thickBot="1">
      <c r="B10" s="329"/>
      <c r="C10" s="161" t="s">
        <v>97</v>
      </c>
      <c r="D10" s="211"/>
      <c r="E10" s="131"/>
      <c r="F10" s="132"/>
      <c r="G10" s="277" t="s">
        <v>2285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8" t="s">
        <v>2227</v>
      </c>
      <c r="C11" s="251" t="s">
        <v>620</v>
      </c>
      <c r="D11" s="261" t="s">
        <v>1357</v>
      </c>
      <c r="E11" s="225">
        <v>150</v>
      </c>
      <c r="F11" s="225"/>
      <c r="G11" s="226" t="str">
        <f>IFERROR(INDEX(온라인_반찬!$C$2:$H$594,MATCH($D11,온라인_반찬!$C$2:$C$594,0),6),"")</f>
        <v>쌀(국산)90%, 찰흑미(국산.친환경)5%, 정제수</v>
      </c>
      <c r="H11" s="227">
        <f>IFERROR(INDEX(온라인_반찬!$D$2:$J$587,MATCH($D11,온라인_반찬!$C$2:$C$587,0),6),"")</f>
        <v>0</v>
      </c>
      <c r="I11" s="228" t="s">
        <v>2243</v>
      </c>
      <c r="J11" s="266">
        <v>44</v>
      </c>
      <c r="K11" s="264">
        <v>3150</v>
      </c>
      <c r="L11" s="229">
        <f>IFERROR(INDEX(온라인_반찬!$C$2:$J$587,MATCH($D11,온라인_반찬!$C$2:$C$587,0),8),"")</f>
        <v>0</v>
      </c>
      <c r="M11" s="120" t="s">
        <v>1408</v>
      </c>
      <c r="N11" s="120"/>
      <c r="O11" s="120"/>
      <c r="P11" s="120" t="s">
        <v>1467</v>
      </c>
      <c r="S11" s="120" t="s">
        <v>1667</v>
      </c>
    </row>
    <row r="12" spans="2:23" ht="39.950000000000003" customHeight="1">
      <c r="B12" s="328"/>
      <c r="C12" s="245" t="s">
        <v>624</v>
      </c>
      <c r="D12" s="103" t="s">
        <v>912</v>
      </c>
      <c r="E12" s="123">
        <v>160</v>
      </c>
      <c r="F12" s="124"/>
      <c r="G12" s="113" t="str">
        <f>IFERROR(INDEX(온라인_반찬!$C$2:$H$594,MATCH($D12,온라인_반찬!$C$2:$C$594,0),6),"")</f>
        <v>모둠채소[(호박.감자.양파.느타리버섯:국산),.표고버섯(중국산)]20%, 두부(원료수입산)5%, 정제수, 된장, 대파, 마늘, 소금</v>
      </c>
      <c r="H12" s="101" t="str">
        <f>IFERROR(INDEX(온라인_반찬!$D$2:$J$587,MATCH($D12,온라인_반찬!$C$2:$C$587,0),6),"")</f>
        <v>.5.9.</v>
      </c>
      <c r="I12" s="109" t="s">
        <v>2243</v>
      </c>
      <c r="J12" s="102">
        <v>44</v>
      </c>
      <c r="K12" s="101">
        <v>3360</v>
      </c>
      <c r="L12" s="129" t="str">
        <f>IFERROR(INDEX(온라인_반찬!$C$2:$J$587,MATCH($D12,온라인_반찬!$C$2:$C$587,0),8),"")</f>
        <v>50g/60g</v>
      </c>
      <c r="M12" s="120" t="s">
        <v>1865</v>
      </c>
      <c r="N12" s="120"/>
      <c r="O12" s="120"/>
      <c r="P12" s="120" t="s">
        <v>1917</v>
      </c>
      <c r="S12" s="120" t="s">
        <v>1918</v>
      </c>
    </row>
    <row r="13" spans="2:23" ht="39.950000000000003" customHeight="1">
      <c r="B13" s="328"/>
      <c r="C13" s="245" t="s">
        <v>621</v>
      </c>
      <c r="D13" s="103" t="s">
        <v>2067</v>
      </c>
      <c r="E13" s="123">
        <v>80</v>
      </c>
      <c r="F13" s="124"/>
      <c r="G13" s="113" t="str">
        <f>IFERROR(INDEX(온라인_반찬!$C$2:$H$594,MATCH($D13,온라인_반찬!$C$2:$C$594,0),6),"")</f>
        <v>소고기(호주산)75%, 새송이버섯(국산)10%, 황금팽이버섯(국산)2%, 당근, 대파, 마늘, 간장, 맛술, 참기름, 후추, 참깨</v>
      </c>
      <c r="H13" s="101" t="str">
        <f>IFERROR(INDEX(온라인_반찬!$D$2:$J$587,MATCH($D13,온라인_반찬!$C$2:$C$587,0),6),"")</f>
        <v>.5.16.21.</v>
      </c>
      <c r="I13" s="109" t="s">
        <v>2243</v>
      </c>
      <c r="J13" s="102">
        <v>44</v>
      </c>
      <c r="K13" s="101">
        <v>4040</v>
      </c>
      <c r="L13" s="129">
        <f>IFERROR(INDEX(온라인_반찬!$C$2:$J$587,MATCH($D13,온라인_반찬!$C$2:$C$587,0),8),"")</f>
        <v>0</v>
      </c>
      <c r="M13" s="120"/>
      <c r="N13" s="120"/>
    </row>
    <row r="14" spans="2:23" ht="39.950000000000003" customHeight="1">
      <c r="B14" s="328"/>
      <c r="C14" s="245" t="s">
        <v>622</v>
      </c>
      <c r="D14" s="103" t="s">
        <v>2204</v>
      </c>
      <c r="E14" s="123">
        <v>40</v>
      </c>
      <c r="F14" s="124"/>
      <c r="G14" s="113" t="str">
        <f>IFERROR(INDEX(온라인_반찬!$C$2:$H$594,MATCH($D14,온라인_반찬!$C$2:$C$594,0),6),"")</f>
        <v>계란(국산)90%, 브로콜리(국내산)6%, 대두유, 우유, 소금, 백후추</v>
      </c>
      <c r="H14" s="101" t="str">
        <f>IFERROR(INDEX(온라인_반찬!$D$2:$J$587,MATCH($D14,온라인_반찬!$C$2:$C$587,0),6),"")</f>
        <v>.1.2.5.</v>
      </c>
      <c r="I14" s="109" t="s">
        <v>2243</v>
      </c>
      <c r="J14" s="102">
        <v>44</v>
      </c>
      <c r="K14" s="101">
        <v>1840</v>
      </c>
      <c r="L14" s="129">
        <f>IFERROR(INDEX(온라인_반찬!$C$2:$J$587,MATCH($D14,온라인_반찬!$C$2:$C$587,0),8),"")</f>
        <v>0</v>
      </c>
      <c r="M14" s="120"/>
      <c r="N14" s="120"/>
      <c r="O14" s="120"/>
    </row>
    <row r="15" spans="2:23" ht="39.950000000000003" customHeight="1">
      <c r="B15" s="328"/>
      <c r="C15" s="160" t="s">
        <v>290</v>
      </c>
      <c r="D15" s="103" t="s">
        <v>2205</v>
      </c>
      <c r="E15" s="123">
        <v>35</v>
      </c>
      <c r="F15" s="124"/>
      <c r="G15" s="113" t="str">
        <f>IFERROR(INDEX(온라인_반찬!$C$2:$H$594,MATCH($D15,온라인_반찬!$C$2:$C$594,0),6),"")</f>
        <v>무(국내산)70%, 미역(국산)15%, (국내산)]10%, 설탕, 식초, 레몬즙, 소금, 참깨</v>
      </c>
      <c r="H15" s="101" t="str">
        <f>IFERROR(INDEX(온라인_반찬!$D$2:$J$587,MATCH($D15,온라인_반찬!$C$2:$C$587,0),6),"")</f>
        <v>.5.21.</v>
      </c>
      <c r="I15" s="109" t="s">
        <v>2243</v>
      </c>
      <c r="J15" s="102">
        <v>44</v>
      </c>
      <c r="K15" s="101">
        <v>1610</v>
      </c>
      <c r="L15" s="129">
        <f>IFERROR(INDEX(온라인_반찬!$C$2:$J$587,MATCH($D15,온라인_반찬!$C$2:$C$587,0),8),"")</f>
        <v>0</v>
      </c>
      <c r="M15" s="120"/>
      <c r="N15" s="120"/>
      <c r="O15" s="120"/>
    </row>
    <row r="16" spans="2:23" ht="39.950000000000003" customHeight="1">
      <c r="B16" s="328"/>
      <c r="C16" s="246" t="s">
        <v>820</v>
      </c>
      <c r="D16" s="281" t="s">
        <v>1561</v>
      </c>
      <c r="E16" s="282">
        <v>35</v>
      </c>
      <c r="F16" s="282"/>
      <c r="G16" s="284" t="str">
        <f>IFERROR(INDEX(온라인_반찬!$C$2:$H$594,MATCH($D16,온라인_반찬!$C$2:$C$594,0),6),"")</f>
        <v>절임열무51%(열무,식염:고추구루, 양파, 대파, 전용풀. 마늘, 다시마농축액.새우액젓.생강:국산)</v>
      </c>
      <c r="H16" s="285" t="str">
        <f>IFERROR(INDEX(온라인_반찬!$D$2:$J$587,MATCH($D16,온라인_반찬!$C$2:$C$587,0),6),"")</f>
        <v>.9.</v>
      </c>
      <c r="I16" s="109" t="s">
        <v>2243</v>
      </c>
      <c r="J16" s="102">
        <v>44</v>
      </c>
      <c r="K16" s="101">
        <v>1610</v>
      </c>
      <c r="L16" s="129" t="str">
        <f>IFERROR(INDEX(온라인_반찬!$C$2:$J$587,MATCH($D16,온라인_반찬!$C$2:$C$587,0),8),"")</f>
        <v>열무김치(종가김치)</v>
      </c>
      <c r="M16" s="120"/>
      <c r="N16" s="120"/>
      <c r="O16" s="120"/>
    </row>
    <row r="17" spans="2:15" ht="39.950000000000003" customHeight="1">
      <c r="B17" s="328"/>
      <c r="C17" s="222" t="s">
        <v>1405</v>
      </c>
      <c r="D17" s="103" t="s">
        <v>1482</v>
      </c>
      <c r="E17" s="123"/>
      <c r="F17" s="123">
        <v>2</v>
      </c>
      <c r="G17" s="113" t="str">
        <f>IFERROR(INDEX(온라인_반찬!$C$2:$H$594,MATCH($D17,온라인_반찬!$C$2:$C$594,0),6),"")</f>
        <v>등갈비(돼지고기:스페인산)60%, 배추김치(배추, 고추가루:국산)15%, 파인애플(전처리용), 파, 마늘, 생강가루, 월계수잎, 정제수, 간장, 설탕, 맛술, 물엿, 참기름, 후추</v>
      </c>
      <c r="H17" s="101" t="str">
        <f>IFERROR(INDEX(온라인_반찬!$D$2:$J$587,MATCH($D17,온라인_반찬!$C$2:$C$587,0),6),"")</f>
        <v>.5.10.19.21.</v>
      </c>
      <c r="I17" s="109" t="s">
        <v>2243</v>
      </c>
      <c r="J17" s="102">
        <v>28</v>
      </c>
      <c r="K17" s="101">
        <v>60</v>
      </c>
      <c r="L17" s="165">
        <f>IFERROR(INDEX(온라인_반찬!$C$2:$J$587,MATCH($D17,온라인_반찬!$C$2:$C$587,0),8),"")</f>
        <v>0</v>
      </c>
      <c r="M17" s="120"/>
      <c r="N17" s="120"/>
      <c r="O17" s="120"/>
    </row>
    <row r="18" spans="2:15" ht="39.950000000000003" customHeight="1" thickBot="1">
      <c r="B18" s="329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5" ht="39.950000000000003" customHeight="1">
      <c r="B19" s="334" t="s">
        <v>1619</v>
      </c>
      <c r="C19" s="100" t="s">
        <v>620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2242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7" t="s">
        <v>622</v>
      </c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2242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338"/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2242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60" t="s">
        <v>623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2242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14" t="s">
        <v>820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2242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>
      <c r="B24" s="335"/>
      <c r="C24" s="160" t="s">
        <v>102</v>
      </c>
      <c r="D24" s="162"/>
      <c r="E24" s="123"/>
      <c r="F24" s="123"/>
      <c r="G24" s="113" t="str">
        <f>IFERROR(INDEX(온라인_반찬!$C$2:$H$594,MATCH($D24,온라인_반찬!$C$2:$C$594,0),6),"")</f>
        <v/>
      </c>
      <c r="H24" s="101" t="str">
        <f>IFERROR(INDEX(온라인_반찬!$D$2:$J$587,MATCH($D24,온라인_반찬!$C$2:$C$587,0),6),"")</f>
        <v/>
      </c>
      <c r="I24" s="109" t="s">
        <v>2242</v>
      </c>
      <c r="J24" s="158"/>
      <c r="K24" s="158"/>
      <c r="L24" s="129" t="str">
        <f>IFERROR(INDEX(온라인_반찬!$C$2:$J$587,MATCH($D24,온라인_반찬!$C$2:$C$587,0),8),"")</f>
        <v/>
      </c>
      <c r="M24" s="120"/>
    </row>
    <row r="25" spans="2:15" ht="39.950000000000003" customHeight="1" thickBot="1">
      <c r="B25" s="336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5">
      <c r="L26" s="32"/>
    </row>
    <row r="28" spans="2:15">
      <c r="E28"/>
      <c r="F28" s="121"/>
    </row>
  </sheetData>
  <mergeCells count="6"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7973-60F2-4FA4-846A-F78B88B8F48C}">
  <sheetPr>
    <pageSetUpPr fitToPage="1"/>
  </sheetPr>
  <dimension ref="B1:W27"/>
  <sheetViews>
    <sheetView zoomScale="80" zoomScaleNormal="80" zoomScaleSheetLayoutView="75" workbookViewId="0">
      <selection activeCell="M12" sqref="M12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2248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2247</v>
      </c>
      <c r="E3" s="262">
        <v>140</v>
      </c>
      <c r="F3" s="262"/>
      <c r="G3" s="263" t="str">
        <f>IFERROR(INDEX(온라인_반찬!$C$2:$H$594,MATCH($D3,온라인_반찬!$C$2:$C$594,0),6),"")</f>
        <v>쌀(국산)95%, 정제수</v>
      </c>
      <c r="H3" s="264">
        <f>IFERROR(INDEX(온라인_반찬!$D$2:$J$587,MATCH($D3,온라인_반찬!$C$2:$C$587,0),6),"")</f>
        <v>0</v>
      </c>
      <c r="I3" s="265" t="s">
        <v>2245</v>
      </c>
      <c r="J3" s="266">
        <v>2650</v>
      </c>
      <c r="K3" s="264">
        <v>401595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2065</v>
      </c>
      <c r="E4" s="123">
        <v>150</v>
      </c>
      <c r="F4" s="124"/>
      <c r="G4" s="113" t="str">
        <f>IFERROR(INDEX(온라인_반찬!$C$2:$H$594,MATCH($D4,온라인_반찬!$C$2:$C$594,0),6),"")</f>
        <v>불린미역(국산)21%, 다슬기(국내산)2%, 마늘, 정제수, 국간장, 참치액, 소금</v>
      </c>
      <c r="H4" s="101" t="str">
        <f>IFERROR(INDEX(온라인_반찬!$D$2:$J$587,MATCH($D4,온라인_반찬!$C$2:$C$587,0),6),"")</f>
        <v>.5.9.</v>
      </c>
      <c r="I4" s="109" t="s">
        <v>2245</v>
      </c>
      <c r="J4" s="102">
        <v>2650</v>
      </c>
      <c r="K4" s="101">
        <v>408485</v>
      </c>
      <c r="L4" s="129" t="str">
        <f>IFERROR(INDEX(온라인_반찬!$C$2:$J$587,MATCH($D4,온라인_반찬!$C$2:$C$587,0),8),"")</f>
        <v>25g/30g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1261</v>
      </c>
      <c r="E5" s="123">
        <v>75</v>
      </c>
      <c r="F5" s="124"/>
      <c r="G5" s="113" t="str">
        <f>IFERROR(INDEX(온라인_반찬!$C$2:$H$594,MATCH($D5,온라인_반찬!$C$2:$C$594,0),6),"")</f>
        <v>닭정육(국산)78%, 총알새송이(국산), 마늘, 정제수, 우유, 생크림, 토마토소스, 크림베이스소스, 소금, 파슬리가루</v>
      </c>
      <c r="H5" s="101" t="str">
        <f>IFERROR(INDEX(온라인_반찬!$D$2:$J$587,MATCH($D5,온라인_반찬!$C$2:$C$587,0),6),"")</f>
        <v>.2.5.6.12.15.</v>
      </c>
      <c r="I5" s="109" t="s">
        <v>2245</v>
      </c>
      <c r="J5" s="102">
        <v>2650</v>
      </c>
      <c r="K5" s="101">
        <v>232857.5</v>
      </c>
      <c r="L5" s="129" t="str">
        <f>IFERROR(INDEX(온라인_반찬!$C$2:$J$587,MATCH($D5,온라인_반찬!$C$2:$C$587,0),8),"")</f>
        <v>토마토소스(오쉐프), 크림벵이스소스(면사랑)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1969</v>
      </c>
      <c r="E6" s="123">
        <v>40</v>
      </c>
      <c r="F6" s="124"/>
      <c r="G6" s="113" t="str">
        <f>IFERROR(INDEX(온라인_반찬!$C$2:$H$594,MATCH($D6,온라인_반찬!$C$2:$C$594,0),6),"")</f>
        <v>미트볼[돼지고기(국내산)45.45%,소고기(호주산,뉴질랜드산)20.61%]80%, 양파, 피망, 간장, 맛술, 후추, 파슬리가루</v>
      </c>
      <c r="H6" s="101" t="str">
        <f>IFERROR(INDEX(온라인_반찬!$D$2:$J$587,MATCH($D6,온라인_반찬!$C$2:$C$587,0),6),"")</f>
        <v>.1.2.5.6.10.16.</v>
      </c>
      <c r="I6" s="109" t="s">
        <v>2245</v>
      </c>
      <c r="J6" s="102">
        <v>2650</v>
      </c>
      <c r="K6" s="101">
        <v>120145</v>
      </c>
      <c r="L6" s="129" t="str">
        <f>IFERROR(INDEX(온라인_반찬!$C$2:$J$587,MATCH($D6,온라인_반찬!$C$2:$C$587,0),8),"")</f>
        <v>미트볼골드(선진)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2073</v>
      </c>
      <c r="E7" s="123">
        <v>25</v>
      </c>
      <c r="F7" s="124"/>
      <c r="G7" s="113" t="str">
        <f>IFERROR(INDEX(온라인_반찬!$C$2:$H$594,MATCH($D7,온라인_반찬!$C$2:$C$594,0),6),"")</f>
        <v>배추(국산)86.4%, 마늘, 대파, 된장, 참치액, 소금, 참기름, 참깨</v>
      </c>
      <c r="H7" s="101" t="str">
        <f>IFERROR(INDEX(온라인_반찬!$D$2:$J$587,MATCH($D7,온라인_반찬!$C$2:$C$587,0),6),"")</f>
        <v>.5.21.</v>
      </c>
      <c r="I7" s="109" t="s">
        <v>2245</v>
      </c>
      <c r="J7" s="102">
        <v>2650</v>
      </c>
      <c r="K7" s="101">
        <v>79327.5</v>
      </c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631</v>
      </c>
      <c r="E8" s="123">
        <v>25</v>
      </c>
      <c r="F8" s="123"/>
      <c r="G8" s="113" t="str">
        <f>IFERROR(INDEX(온라인_반찬!$C$2:$H$594,MATCH($D8,온라인_반찬!$C$2:$C$594,0),6),"")</f>
        <v>무(국산)85.2%, 고추가루(국산), 밀가루풀(국산), 파, 마늘, 새우젓 등 양념(국산)</v>
      </c>
      <c r="H8" s="101" t="str">
        <f>IFERROR(INDEX(온라인_반찬!$D$2:$J$587,MATCH($D8,온라인_반찬!$C$2:$C$587,0),6),"")</f>
        <v>.6.9.</v>
      </c>
      <c r="I8" s="109" t="s">
        <v>2245</v>
      </c>
      <c r="J8" s="102">
        <v>2650</v>
      </c>
      <c r="K8" s="101">
        <v>74045</v>
      </c>
      <c r="L8" s="129">
        <f>IFERROR(INDEX(온라인_반찬!$C$2:$J$587,MATCH($D8,온라인_반찬!$C$2:$C$587,0),8),"")</f>
        <v>0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>
        <v>74045</v>
      </c>
    </row>
    <row r="10" spans="2:23" ht="39.950000000000003" customHeight="1">
      <c r="B10" s="328" t="s">
        <v>2227</v>
      </c>
      <c r="C10" s="251" t="s">
        <v>620</v>
      </c>
      <c r="D10" s="261" t="s">
        <v>2247</v>
      </c>
      <c r="E10" s="225">
        <v>150</v>
      </c>
      <c r="F10" s="225"/>
      <c r="G10" s="226" t="str">
        <f>IFERROR(INDEX(온라인_반찬!$C$2:$H$594,MATCH($D10,온라인_반찬!$C$2:$C$594,0),6),"")</f>
        <v>쌀(국산)95%, 정제수</v>
      </c>
      <c r="H10" s="227">
        <f>IFERROR(INDEX(온라인_반찬!$D$2:$J$587,MATCH($D10,온라인_반찬!$C$2:$C$587,0),6),"")</f>
        <v>0</v>
      </c>
      <c r="I10" s="228" t="s">
        <v>2246</v>
      </c>
      <c r="J10" s="266">
        <v>72</v>
      </c>
      <c r="K10" s="264">
        <v>3150</v>
      </c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45" t="s">
        <v>624</v>
      </c>
      <c r="D11" s="103" t="s">
        <v>2065</v>
      </c>
      <c r="E11" s="123">
        <v>160</v>
      </c>
      <c r="F11" s="124"/>
      <c r="G11" s="113" t="str">
        <f>IFERROR(INDEX(온라인_반찬!$C$2:$H$594,MATCH($D11,온라인_반찬!$C$2:$C$594,0),6),"")</f>
        <v>불린미역(국산)21%, 다슬기(국내산)2%, 마늘, 정제수, 국간장, 참치액, 소금</v>
      </c>
      <c r="H11" s="101" t="str">
        <f>IFERROR(INDEX(온라인_반찬!$D$2:$J$587,MATCH($D11,온라인_반찬!$C$2:$C$587,0),6),"")</f>
        <v>.5.9.</v>
      </c>
      <c r="I11" s="109" t="s">
        <v>2246</v>
      </c>
      <c r="J11" s="102">
        <v>72</v>
      </c>
      <c r="K11" s="101">
        <v>3360</v>
      </c>
      <c r="L11" s="129" t="str">
        <f>IFERROR(INDEX(온라인_반찬!$C$2:$J$587,MATCH($D11,온라인_반찬!$C$2:$C$587,0),8),"")</f>
        <v>25g/30g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45" t="s">
        <v>621</v>
      </c>
      <c r="D12" s="103" t="s">
        <v>1261</v>
      </c>
      <c r="E12" s="123">
        <v>90</v>
      </c>
      <c r="F12" s="124"/>
      <c r="G12" s="113" t="str">
        <f>IFERROR(INDEX(온라인_반찬!$C$2:$H$594,MATCH($D12,온라인_반찬!$C$2:$C$594,0),6),"")</f>
        <v>닭정육(국산)78%, 총알새송이(국산), 마늘, 정제수, 우유, 생크림, 토마토소스, 크림베이스소스, 소금, 파슬리가루</v>
      </c>
      <c r="H12" s="101" t="str">
        <f>IFERROR(INDEX(온라인_반찬!$D$2:$J$587,MATCH($D12,온라인_반찬!$C$2:$C$587,0),6),"")</f>
        <v>.2.5.6.12.15.</v>
      </c>
      <c r="I12" s="109" t="s">
        <v>2246</v>
      </c>
      <c r="J12" s="102">
        <v>72</v>
      </c>
      <c r="K12" s="101">
        <v>4545</v>
      </c>
      <c r="L12" s="129" t="str">
        <f>IFERROR(INDEX(온라인_반찬!$C$2:$J$587,MATCH($D12,온라인_반찬!$C$2:$C$587,0),8),"")</f>
        <v>토마토소스(오쉐프), 크림벵이스소스(면사랑)</v>
      </c>
      <c r="M12" s="120"/>
      <c r="N12" s="120"/>
      <c r="O12" s="120"/>
    </row>
    <row r="13" spans="2:23" ht="39.950000000000003" customHeight="1">
      <c r="B13" s="328"/>
      <c r="C13" s="245" t="s">
        <v>622</v>
      </c>
      <c r="D13" s="103" t="s">
        <v>1969</v>
      </c>
      <c r="E13" s="123">
        <v>45</v>
      </c>
      <c r="F13" s="124"/>
      <c r="G13" s="113" t="str">
        <f>IFERROR(INDEX(온라인_반찬!$C$2:$H$594,MATCH($D13,온라인_반찬!$C$2:$C$594,0),6),"")</f>
        <v>미트볼[돼지고기(국내산)45.45%,소고기(호주산,뉴질랜드산)20.61%]80%, 양파, 피망, 간장, 맛술, 후추, 파슬리가루</v>
      </c>
      <c r="H13" s="101" t="str">
        <f>IFERROR(INDEX(온라인_반찬!$D$2:$J$587,MATCH($D13,온라인_반찬!$C$2:$C$587,0),6),"")</f>
        <v>.1.2.5.6.10.16.</v>
      </c>
      <c r="I13" s="109" t="s">
        <v>2246</v>
      </c>
      <c r="J13" s="102">
        <v>72</v>
      </c>
      <c r="K13" s="101">
        <v>2070</v>
      </c>
      <c r="L13" s="129" t="str">
        <f>IFERROR(INDEX(온라인_반찬!$C$2:$J$587,MATCH($D13,온라인_반찬!$C$2:$C$587,0),8),"")</f>
        <v>미트볼골드(선진)</v>
      </c>
      <c r="M13" s="120"/>
      <c r="N13" s="120"/>
      <c r="S13">
        <v>1610</v>
      </c>
    </row>
    <row r="14" spans="2:23" ht="39.950000000000003" customHeight="1">
      <c r="B14" s="328"/>
      <c r="C14" s="160" t="s">
        <v>290</v>
      </c>
      <c r="D14" s="103" t="s">
        <v>2073</v>
      </c>
      <c r="E14" s="123">
        <v>35</v>
      </c>
      <c r="F14" s="124"/>
      <c r="G14" s="113" t="str">
        <f>IFERROR(INDEX(온라인_반찬!$C$2:$H$594,MATCH($D14,온라인_반찬!$C$2:$C$594,0),6),"")</f>
        <v>배추(국산)86.4%, 마늘, 대파, 된장, 참치액, 소금, 참기름, 참깨</v>
      </c>
      <c r="H14" s="101" t="str">
        <f>IFERROR(INDEX(온라인_반찬!$D$2:$J$587,MATCH($D14,온라인_반찬!$C$2:$C$587,0),6),"")</f>
        <v>.5.21.</v>
      </c>
      <c r="I14" s="109" t="s">
        <v>2246</v>
      </c>
      <c r="J14" s="102">
        <v>72</v>
      </c>
      <c r="K14" s="101">
        <v>1610</v>
      </c>
      <c r="L14" s="129">
        <f>IFERROR(INDEX(온라인_반찬!$C$2:$J$587,MATCH($D14,온라인_반찬!$C$2:$C$587,0),8),"")</f>
        <v>0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103" t="s">
        <v>631</v>
      </c>
      <c r="E15" s="123">
        <v>35</v>
      </c>
      <c r="F15" s="123"/>
      <c r="G15" s="113" t="str">
        <f>IFERROR(INDEX(온라인_반찬!$C$2:$H$594,MATCH($D15,온라인_반찬!$C$2:$C$594,0),6),"")</f>
        <v>무(국산)85.2%, 고추가루(국산), 밀가루풀(국산), 파, 마늘, 새우젓 등 양념(국산)</v>
      </c>
      <c r="H15" s="101" t="str">
        <f>IFERROR(INDEX(온라인_반찬!$D$2:$J$587,MATCH($D15,온라인_반찬!$C$2:$C$587,0),6),"")</f>
        <v>.6.9.</v>
      </c>
      <c r="I15" s="109" t="s">
        <v>2246</v>
      </c>
      <c r="J15" s="102">
        <v>72</v>
      </c>
      <c r="K15" s="101">
        <v>1610</v>
      </c>
      <c r="L15" s="129">
        <f>IFERROR(INDEX(온라인_반찬!$C$2:$J$587,MATCH($D15,온라인_반찬!$C$2:$C$587,0),8),"")</f>
        <v>0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103" t="s">
        <v>2074</v>
      </c>
      <c r="E16" s="123"/>
      <c r="F16" s="123">
        <v>100</v>
      </c>
      <c r="G16" s="113" t="s">
        <v>2284</v>
      </c>
      <c r="H16" s="101" t="str">
        <f>IFERROR(INDEX(온라인_반찬!$D$2:$J$587,MATCH($D16,온라인_반찬!$C$2:$C$587,0),6),"")</f>
        <v/>
      </c>
      <c r="I16" s="109" t="s">
        <v>2246</v>
      </c>
      <c r="J16" s="102">
        <v>28</v>
      </c>
      <c r="K16" s="101">
        <v>3200</v>
      </c>
      <c r="L16" s="165" t="str">
        <f>IFERROR(INDEX(온라인_반찬!$C$2:$J$587,MATCH($D16,온라인_반찬!$C$2:$C$587,0),8),"")</f>
        <v/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2245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2245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2245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2245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2245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2245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5092-F480-4617-835E-168399718406}">
  <sheetPr>
    <pageSetUpPr fitToPage="1"/>
  </sheetPr>
  <dimension ref="B1:W2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2251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1359</v>
      </c>
      <c r="E3" s="262">
        <v>140</v>
      </c>
      <c r="F3" s="262"/>
      <c r="G3" s="263" t="str">
        <f>IFERROR(INDEX(온라인_반찬!$C$2:$H$594,MATCH($D3,온라인_반찬!$C$2:$C$594,0),6),"")</f>
        <v>쌀(국산)90%, 찰보리(국산.친환경)5%, 정제수</v>
      </c>
      <c r="H3" s="264">
        <f>IFERROR(INDEX(온라인_반찬!$D$2:$J$587,MATCH($D3,온라인_반찬!$C$2:$C$587,0),6),"")</f>
        <v>0</v>
      </c>
      <c r="I3" s="265" t="s">
        <v>2249</v>
      </c>
      <c r="J3" s="266">
        <v>2808</v>
      </c>
      <c r="K3" s="264">
        <v>424265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1842</v>
      </c>
      <c r="E4" s="123">
        <v>150</v>
      </c>
      <c r="F4" s="124"/>
      <c r="G4" s="113" t="str">
        <f>IFERROR(INDEX(온라인_반찬!$C$2:$H$594,MATCH($D4,온라인_반찬!$C$2:$C$594,0),6),"")</f>
        <v>모둠채소(호박, 양파, 감자:국산)20%, 순두부(콩:미국,호주,캐나다등)12%, 파, 마늘, 된장, 멸치육수농축액, 정제수, 소금</v>
      </c>
      <c r="H4" s="101" t="str">
        <f>IFERROR(INDEX(온라인_반찬!$D$2:$J$587,MATCH($D4,온라인_반찬!$C$2:$C$587,0),6),"")</f>
        <v>.5.</v>
      </c>
      <c r="I4" s="109" t="s">
        <v>2249</v>
      </c>
      <c r="J4" s="102">
        <v>2808</v>
      </c>
      <c r="K4" s="101">
        <v>431715</v>
      </c>
      <c r="L4" s="129">
        <f>IFERROR(INDEX(온라인_반찬!$C$2:$J$587,MATCH($D4,온라인_반찬!$C$2:$C$587,0),8),"")</f>
        <v>0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1519</v>
      </c>
      <c r="E5" s="123">
        <v>60</v>
      </c>
      <c r="F5" s="124"/>
      <c r="G5" s="113" t="str">
        <f>IFERROR(INDEX(온라인_반찬!$C$2:$H$594,MATCH($D5,온라인_반찬!$C$2:$C$594,0),6),"")</f>
        <v>돼지고기(국산)80%, 양배추(국산)5%, 정제수,, 당근, 대파, 마늘, 쌈장, 간장, 맛술, 참기름, 후추</v>
      </c>
      <c r="H5" s="101" t="str">
        <f>IFERROR(INDEX(온라인_반찬!$D$2:$J$587,MATCH($D5,온라인_반찬!$C$2:$C$587,0),6),"")</f>
        <v>.5.10.21.</v>
      </c>
      <c r="I5" s="109" t="s">
        <v>2249</v>
      </c>
      <c r="J5" s="102">
        <v>2808</v>
      </c>
      <c r="K5" s="101">
        <v>200750</v>
      </c>
      <c r="L5" s="129">
        <f>IFERROR(INDEX(온라인_반찬!$C$2:$J$587,MATCH($D5,온라인_반찬!$C$2:$C$587,0),8),"")</f>
        <v>0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1036</v>
      </c>
      <c r="E6" s="123">
        <v>35</v>
      </c>
      <c r="F6" s="124"/>
      <c r="G6" s="113" t="str">
        <f>IFERROR(INDEX(온라인_반찬!$C$2:$H$594,MATCH($D6,온라인_반찬!$C$2:$C$594,0),6),"")</f>
        <v>참치 [가다랑어 (원양산:태평양) 74.47%]70%, 모둠채소[당근, 양파, 완두콩]12%, 소금, 설탕, 마요네즈, 레몬즙</v>
      </c>
      <c r="H6" s="101" t="str">
        <f>IFERROR(INDEX(온라인_반찬!$D$2:$J$587,MATCH($D6,온라인_반찬!$C$2:$C$587,0),6),"")</f>
        <v>.1.5.</v>
      </c>
      <c r="I6" s="109" t="s">
        <v>2249</v>
      </c>
      <c r="J6" s="102">
        <v>2808</v>
      </c>
      <c r="K6" s="101">
        <v>111202.5</v>
      </c>
      <c r="L6" s="129">
        <f>IFERROR(INDEX(온라인_반찬!$C$2:$J$587,MATCH($D6,온라인_반찬!$C$2:$C$587,0),8),"")</f>
        <v>0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800</v>
      </c>
      <c r="E7" s="123"/>
      <c r="F7" s="124">
        <v>1</v>
      </c>
      <c r="G7" s="113" t="str">
        <f>IFERROR(INDEX(온라인_반찬!$C$2:$H$594,MATCH($D7,온라인_반찬!$C$2:$C$594,0),6),"")</f>
        <v>김(국산), 카놀라유(원료:외국산), 참기름, 정제소금</v>
      </c>
      <c r="H7" s="101" t="str">
        <f>IFERROR(INDEX(온라인_반찬!$D$2:$J$587,MATCH($D7,온라인_반찬!$C$2:$C$587,0),6),"")</f>
        <v>.21.</v>
      </c>
      <c r="I7" s="109" t="s">
        <v>2249</v>
      </c>
      <c r="J7" s="102">
        <v>2808</v>
      </c>
      <c r="K7" s="101">
        <v>2739.7000000000012</v>
      </c>
      <c r="L7" s="129" t="str">
        <f>IFERROR(INDEX(온라인_반찬!$C$2:$J$587,MATCH($D7,온라인_반찬!$C$2:$C$587,0),8),"")</f>
        <v>양반김(동원)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630</v>
      </c>
      <c r="E8" s="123">
        <v>25</v>
      </c>
      <c r="F8" s="123"/>
      <c r="G8" s="113" t="str">
        <f>IFERROR(INDEX(온라인_반찬!$C$2:$H$594,MATCH($D8,온라인_반찬!$C$2:$C$594,0),6),"")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IFERROR(INDEX(온라인_반찬!$D$2:$J$587,MATCH($D8,온라인_반찬!$C$2:$C$587,0),6),"")</f>
        <v>.9.12.</v>
      </c>
      <c r="I8" s="109" t="s">
        <v>2249</v>
      </c>
      <c r="J8" s="102">
        <v>2808</v>
      </c>
      <c r="K8" s="101">
        <v>76742.5</v>
      </c>
      <c r="L8" s="129" t="str">
        <f>IFERROR(INDEX(온라인_반찬!$C$2:$J$587,MATCH($D8,온라인_반찬!$C$2:$C$587,0),8),"")</f>
        <v>토마토김치(종가집)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 t="s">
        <v>2322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8" t="s">
        <v>2227</v>
      </c>
      <c r="C10" s="251" t="s">
        <v>620</v>
      </c>
      <c r="D10" s="261" t="s">
        <v>1359</v>
      </c>
      <c r="E10" s="225">
        <v>150</v>
      </c>
      <c r="F10" s="225"/>
      <c r="G10" s="226" t="str">
        <f>IFERROR(INDEX(온라인_반찬!$C$2:$H$594,MATCH($D10,온라인_반찬!$C$2:$C$594,0),6),"")</f>
        <v>쌀(국산)90%, 찰보리(국산.친환경)5%, 정제수</v>
      </c>
      <c r="H10" s="227">
        <f>IFERROR(INDEX(온라인_반찬!$D$2:$J$587,MATCH($D10,온라인_반찬!$C$2:$C$587,0),6),"")</f>
        <v>0</v>
      </c>
      <c r="I10" s="228" t="s">
        <v>2250</v>
      </c>
      <c r="J10" s="266">
        <v>72</v>
      </c>
      <c r="K10" s="264">
        <v>7800</v>
      </c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86" t="s">
        <v>624</v>
      </c>
      <c r="D11" s="281" t="s">
        <v>1814</v>
      </c>
      <c r="E11" s="282">
        <v>160</v>
      </c>
      <c r="F11" s="283"/>
      <c r="G11" s="284" t="str">
        <f>IFERROR(INDEX(온라인_반찬!$C$2:$H$594,MATCH($D11,온라인_반찬!$C$2:$C$594,0),6),"")</f>
        <v>순두부(대두:수입산)42.9%, 해물[바지락살(중국산), 칵테일새우(베트남산), 오징어(미국산)]7%, 양파, 파, 마늘, 정제수, 멸치육수농축액, 고춧가루, 국간장,소금</v>
      </c>
      <c r="H11" s="285" t="str">
        <f>IFERROR(INDEX(온라인_반찬!$D$2:$J$587,MATCH($D11,온라인_반찬!$C$2:$C$587,0),6),"")</f>
        <v>.5.9.17.18.</v>
      </c>
      <c r="I11" s="109" t="s">
        <v>2250</v>
      </c>
      <c r="J11" s="102">
        <v>72</v>
      </c>
      <c r="K11" s="101">
        <v>8160</v>
      </c>
      <c r="L11" s="129">
        <f>IFERROR(INDEX(온라인_반찬!$C$2:$J$587,MATCH($D11,온라인_반찬!$C$2:$C$587,0),8),"")</f>
        <v>0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86" t="s">
        <v>621</v>
      </c>
      <c r="D12" s="281" t="s">
        <v>1802</v>
      </c>
      <c r="E12" s="282">
        <v>80</v>
      </c>
      <c r="F12" s="283"/>
      <c r="G12" s="284" t="str">
        <f>IFERROR(INDEX(온라인_반찬!$C$2:$H$594,MATCH($D12,온라인_반찬!$C$2:$C$594,0),6),"")</f>
        <v>돼지고기(국산)65%, 양파(국산)10%, 당근, 대파, 마늘, 고추장, 간장, , 맛술, 후추, 설탕, 참기름, 참깨</v>
      </c>
      <c r="H12" s="285" t="str">
        <f>IFERROR(INDEX(온라인_반찬!$D$2:$J$587,MATCH($D12,온라인_반찬!$C$2:$C$587,0),6),"")</f>
        <v>.5.6.10.21.</v>
      </c>
      <c r="I12" s="109" t="s">
        <v>2250</v>
      </c>
      <c r="J12" s="102">
        <v>72</v>
      </c>
      <c r="K12" s="101">
        <v>6504</v>
      </c>
      <c r="L12" s="129">
        <f>IFERROR(INDEX(온라인_반찬!$C$2:$J$587,MATCH($D12,온라인_반찬!$C$2:$C$587,0),8),"")</f>
        <v>0</v>
      </c>
      <c r="M12" s="120"/>
      <c r="N12" s="120"/>
    </row>
    <row r="13" spans="2:23" ht="39.950000000000003" customHeight="1">
      <c r="B13" s="328"/>
      <c r="C13" s="245" t="s">
        <v>622</v>
      </c>
      <c r="D13" s="103" t="s">
        <v>1036</v>
      </c>
      <c r="E13" s="123">
        <v>40</v>
      </c>
      <c r="F13" s="124"/>
      <c r="G13" s="113" t="str">
        <f>IFERROR(INDEX(온라인_반찬!$C$2:$H$594,MATCH($D13,온라인_반찬!$C$2:$C$594,0),6),"")</f>
        <v>참치 [가다랑어 (원양산:태평양) 74.47%]70%, 모둠채소[당근, 양파, 완두콩]12%, 소금, 설탕, 마요네즈, 레몬즙</v>
      </c>
      <c r="H13" s="101" t="str">
        <f>IFERROR(INDEX(온라인_반찬!$D$2:$J$587,MATCH($D13,온라인_반찬!$C$2:$C$587,0),6),"")</f>
        <v>.1.5.</v>
      </c>
      <c r="I13" s="109" t="s">
        <v>2250</v>
      </c>
      <c r="J13" s="102">
        <v>72</v>
      </c>
      <c r="K13" s="101">
        <v>2960</v>
      </c>
      <c r="L13" s="129">
        <f>IFERROR(INDEX(온라인_반찬!$C$2:$J$587,MATCH($D13,온라인_반찬!$C$2:$C$587,0),8),"")</f>
        <v>0</v>
      </c>
      <c r="M13" s="120"/>
      <c r="N13" s="120"/>
      <c r="O13" s="120"/>
    </row>
    <row r="14" spans="2:23" ht="39.950000000000003" customHeight="1">
      <c r="B14" s="328"/>
      <c r="C14" s="160" t="s">
        <v>290</v>
      </c>
      <c r="D14" s="103" t="s">
        <v>800</v>
      </c>
      <c r="E14" s="123"/>
      <c r="F14" s="124">
        <v>1</v>
      </c>
      <c r="G14" s="113" t="str">
        <f>IFERROR(INDEX(온라인_반찬!$C$2:$H$594,MATCH($D14,온라인_반찬!$C$2:$C$594,0),6),"")</f>
        <v>김(국산), 카놀라유(원료:외국산), 참기름, 정제소금</v>
      </c>
      <c r="H14" s="101" t="str">
        <f>IFERROR(INDEX(온라인_반찬!$D$2:$J$587,MATCH($D14,온라인_반찬!$C$2:$C$587,0),6),"")</f>
        <v>.21.</v>
      </c>
      <c r="I14" s="109" t="s">
        <v>2250</v>
      </c>
      <c r="J14" s="102">
        <v>72</v>
      </c>
      <c r="K14" s="101">
        <v>79.2</v>
      </c>
      <c r="L14" s="129" t="str">
        <f>IFERROR(INDEX(온라인_반찬!$C$2:$J$587,MATCH($D14,온라인_반찬!$C$2:$C$587,0),8),"")</f>
        <v>양반김(동원)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103" t="s">
        <v>630</v>
      </c>
      <c r="E15" s="123">
        <v>35</v>
      </c>
      <c r="F15" s="123"/>
      <c r="G15" s="113" t="str">
        <f>IFERROR(INDEX(온라인_반찬!$C$2:$H$594,MATCH($D15,온라인_반찬!$C$2:$C$594,0),6),"")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IFERROR(INDEX(온라인_반찬!$D$2:$J$587,MATCH($D15,온라인_반찬!$C$2:$C$587,0),6),"")</f>
        <v>.9.12.</v>
      </c>
      <c r="I15" s="109" t="s">
        <v>2250</v>
      </c>
      <c r="J15" s="102">
        <v>72</v>
      </c>
      <c r="K15" s="101">
        <v>2590</v>
      </c>
      <c r="L15" s="129" t="str">
        <f>IFERROR(INDEX(온라인_반찬!$C$2:$J$587,MATCH($D15,온라인_반찬!$C$2:$C$587,0),8),"")</f>
        <v>토마토김치(종가집)</v>
      </c>
      <c r="M15" s="120"/>
      <c r="N15" s="120"/>
      <c r="O15" s="120"/>
    </row>
    <row r="16" spans="2:23" ht="39.950000000000003" customHeight="1">
      <c r="B16" s="328"/>
      <c r="C16" s="339" t="s">
        <v>1405</v>
      </c>
      <c r="D16" s="103" t="s">
        <v>770</v>
      </c>
      <c r="E16" s="123">
        <v>60</v>
      </c>
      <c r="F16" s="123"/>
      <c r="G16" s="113" t="str">
        <f>IFERROR(INDEX(온라인_반찬!$C$2:$H$594,MATCH($D16,온라인_반찬!$C$2:$C$594,0),6),"")</f>
        <v>새우[새우(베트남산) 37.33%, 밀(미국산)28.32%, 대두유]100%</v>
      </c>
      <c r="H16" s="101" t="str">
        <f>IFERROR(INDEX(온라인_반찬!$D$2:$J$587,MATCH($D16,온라인_반찬!$C$2:$C$587,0),6),"")</f>
        <v>.5.6.9.</v>
      </c>
      <c r="I16" s="109" t="s">
        <v>2250</v>
      </c>
      <c r="J16" s="102">
        <v>28</v>
      </c>
      <c r="K16" s="101">
        <v>1960</v>
      </c>
      <c r="L16" s="165" t="str">
        <f>IFERROR(INDEX(온라인_반찬!$C$2:$J$587,MATCH($D16,온라인_반찬!$C$2:$C$587,0),8),"")</f>
        <v>한입깐쇼새우(이츠웰)</v>
      </c>
      <c r="M16" s="120"/>
      <c r="N16" s="120"/>
      <c r="O16" s="120"/>
    </row>
    <row r="17" spans="2:15" ht="39.950000000000003" customHeight="1">
      <c r="B17" s="328"/>
      <c r="C17" s="340"/>
      <c r="D17" s="103" t="s">
        <v>1415</v>
      </c>
      <c r="E17" s="123">
        <v>20</v>
      </c>
      <c r="F17" s="123"/>
      <c r="G17" s="113" t="str">
        <f>IFERROR(INDEX(온라인_반찬!$C$2:$H$594,MATCH($D17,온라인_반찬!$C$2:$C$594,0),6),"")</f>
        <v>청피망(국내산), 양파, 당근, 마늘, 레몬즙, 생크림, 마요네즈</v>
      </c>
      <c r="H17" s="101" t="str">
        <f>IFERROR(INDEX(온라인_반찬!$D$2:$J$587,MATCH($D17,온라인_반찬!$C$2:$C$587,0),6),"")</f>
        <v>.1.2.5.6.9.</v>
      </c>
      <c r="I17" s="109" t="s">
        <v>2250</v>
      </c>
      <c r="J17" s="102">
        <v>28</v>
      </c>
      <c r="K17" s="101">
        <v>670</v>
      </c>
      <c r="L17" s="165" t="str">
        <f>IFERROR(INDEX(온라인_반찬!$C$2:$J$587,MATCH($D17,온라인_반찬!$C$2:$C$587,0),8),"")</f>
        <v>한입깐쇼새우(이츠웰)</v>
      </c>
      <c r="M17" s="120"/>
      <c r="N17" s="120"/>
      <c r="O17" s="120"/>
    </row>
    <row r="18" spans="2:15" ht="39.950000000000003" customHeight="1" thickBot="1">
      <c r="B18" s="329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5" ht="39.950000000000003" customHeight="1">
      <c r="B19" s="334" t="s">
        <v>1619</v>
      </c>
      <c r="C19" s="100" t="s">
        <v>620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2249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7" t="s">
        <v>622</v>
      </c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2249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338"/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2249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60" t="s">
        <v>623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2249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14" t="s">
        <v>820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2249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>
      <c r="B24" s="335"/>
      <c r="C24" s="160" t="s">
        <v>102</v>
      </c>
      <c r="D24" s="162"/>
      <c r="E24" s="123"/>
      <c r="F24" s="123"/>
      <c r="G24" s="113" t="str">
        <f>IFERROR(INDEX(온라인_반찬!$C$2:$H$594,MATCH($D24,온라인_반찬!$C$2:$C$594,0),6),"")</f>
        <v/>
      </c>
      <c r="H24" s="101" t="str">
        <f>IFERROR(INDEX(온라인_반찬!$D$2:$J$587,MATCH($D24,온라인_반찬!$C$2:$C$587,0),6),"")</f>
        <v/>
      </c>
      <c r="I24" s="109" t="s">
        <v>2249</v>
      </c>
      <c r="J24" s="158"/>
      <c r="K24" s="158"/>
      <c r="L24" s="129" t="str">
        <f>IFERROR(INDEX(온라인_반찬!$C$2:$J$587,MATCH($D24,온라인_반찬!$C$2:$C$587,0),8),"")</f>
        <v/>
      </c>
      <c r="M24" s="120"/>
    </row>
    <row r="25" spans="2:15" ht="39.950000000000003" customHeight="1" thickBot="1">
      <c r="B25" s="336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5">
      <c r="L26" s="32"/>
    </row>
    <row r="28" spans="2:15">
      <c r="E28"/>
      <c r="F28" s="121"/>
    </row>
  </sheetData>
  <mergeCells count="7">
    <mergeCell ref="B1:L1"/>
    <mergeCell ref="B3:B9"/>
    <mergeCell ref="S5:W5"/>
    <mergeCell ref="B10:B18"/>
    <mergeCell ref="B19:B25"/>
    <mergeCell ref="C20:C21"/>
    <mergeCell ref="C16:C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4B2E-ED9F-45CB-8155-8EC0BDD8AED7}">
  <sheetPr>
    <pageSetUpPr fitToPage="1"/>
  </sheetPr>
  <dimension ref="B1:W27"/>
  <sheetViews>
    <sheetView zoomScale="80" zoomScaleNormal="80" zoomScaleSheetLayoutView="75" workbookViewId="0">
      <selection activeCell="D3" sqref="D3:H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2253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1361</v>
      </c>
      <c r="E3" s="262">
        <v>140</v>
      </c>
      <c r="F3" s="262"/>
      <c r="G3" s="263" t="str">
        <f>IFERROR(INDEX(온라인_반찬!$C$2:$H$594,MATCH($D3,온라인_반찬!$C$2:$C$594,0),6),"")</f>
        <v>쌀(국산)90%, 현미(국산.친환경)5%, 정제수</v>
      </c>
      <c r="H3" s="264">
        <f>IFERROR(INDEX(온라인_반찬!$D$2:$J$587,MATCH($D3,온라인_반찬!$C$2:$C$587,0),6),"")</f>
        <v>0</v>
      </c>
      <c r="I3" s="265" t="s">
        <v>2254</v>
      </c>
      <c r="J3" s="266">
        <v>2893</v>
      </c>
      <c r="K3" s="264">
        <v>438565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686</v>
      </c>
      <c r="E4" s="123">
        <v>150</v>
      </c>
      <c r="F4" s="124"/>
      <c r="G4" s="113" t="str">
        <f>IFERROR(INDEX(온라인_반찬!$C$2:$H$594,MATCH($D4,온라인_반찬!$C$2:$C$594,0),6),"")</f>
        <v>콩나물(콩:수입산)20%, 두부(콩:수입산)8%, 양파, 파, 마늘, 정제수, 된장, 소금</v>
      </c>
      <c r="H4" s="101" t="str">
        <f>IFERROR(INDEX(온라인_반찬!$D$2:$J$587,MATCH($D4,온라인_반찬!$C$2:$C$587,0),6),"")</f>
        <v>.5.</v>
      </c>
      <c r="I4" s="109" t="s">
        <v>2254</v>
      </c>
      <c r="J4" s="102">
        <v>2893</v>
      </c>
      <c r="K4" s="101">
        <v>446215</v>
      </c>
      <c r="L4" s="129">
        <f>IFERROR(INDEX(온라인_반찬!$C$2:$J$587,MATCH($D4,온라인_반찬!$C$2:$C$587,0),8),"")</f>
        <v>0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2037</v>
      </c>
      <c r="E5" s="123">
        <v>110</v>
      </c>
      <c r="F5" s="124"/>
      <c r="G5" s="113" t="str">
        <f>IFERROR(INDEX(온라인_반찬!$C$2:$H$594,MATCH($D5,온라인_반찬!$C$2:$C$594,0),6),"")</f>
        <v>닭고기(국산)15%, 채소[당근, 양파, 감자]25%, 대두유, 카레분말[강황(인도산)]11.1%, 고형카레(일본산)1.5%, 정제수</v>
      </c>
      <c r="H5" s="101" t="str">
        <f>IFERROR(INDEX(온라인_반찬!$D$2:$J$587,MATCH($D5,온라인_반찬!$C$2:$C$587,0),6),"")</f>
        <v>.2.5.6.12.15.16.18.</v>
      </c>
      <c r="I5" s="109" t="s">
        <v>2254</v>
      </c>
      <c r="J5" s="102">
        <v>2893</v>
      </c>
      <c r="K5" s="101">
        <v>368390</v>
      </c>
      <c r="L5" s="129" t="str">
        <f>IFERROR(INDEX(온라인_반찬!$C$2:$J$587,MATCH($D5,온라인_반찬!$C$2:$C$587,0),8),"")</f>
        <v>카레분말(오뚜기), 고형카레(S&amp;B골든카레)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2058</v>
      </c>
      <c r="E6" s="123"/>
      <c r="F6" s="124">
        <v>2</v>
      </c>
      <c r="G6" s="113" t="str">
        <f>IFERROR(INDEX(온라인_반찬!$C$2:$H$594,MATCH($D6,온라인_반찬!$C$2:$C$594,0),6),"")</f>
        <v>새우튀김[흰다리새우30%, 빵가루(밀가루.쇼트닝.설탕.효모.옥수수전분.정제소금 등)베트남산</v>
      </c>
      <c r="H6" s="101" t="str">
        <f>IFERROR(INDEX(온라인_반찬!$D$2:$J$587,MATCH($D6,온라인_반찬!$C$2:$C$587,0),6),"")</f>
        <v>.1.5.6.9.</v>
      </c>
      <c r="I6" s="109" t="s">
        <v>2254</v>
      </c>
      <c r="J6" s="102">
        <v>2893</v>
      </c>
      <c r="K6" s="101">
        <v>6781.7000000000016</v>
      </c>
      <c r="L6" s="129" t="str">
        <f>IFERROR(INDEX(온라인_반찬!$C$2:$J$587,MATCH($D6,온라인_반찬!$C$2:$C$587,0),8),"")</f>
        <v>새우튀김(이츠웰)/개당20g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2207</v>
      </c>
      <c r="E7" s="123">
        <v>25</v>
      </c>
      <c r="F7" s="124"/>
      <c r="G7" s="113" t="str">
        <f>IFERROR(INDEX(온라인_반찬!$C$2:$H$594,MATCH($D7,온라인_반찬!$C$2:$C$594,0),6),"")</f>
        <v>무(국산)92%, 대파, 마늘, 대두유, 소금, 참기름, 참깨</v>
      </c>
      <c r="H7" s="101" t="str">
        <f>IFERROR(INDEX(온라인_반찬!$D$2:$J$587,MATCH($D7,온라인_반찬!$C$2:$C$587,0),6),"")</f>
        <v>.5.21.</v>
      </c>
      <c r="I7" s="109" t="s">
        <v>2254</v>
      </c>
      <c r="J7" s="102">
        <v>2893</v>
      </c>
      <c r="K7" s="101">
        <v>86842.5</v>
      </c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630</v>
      </c>
      <c r="E8" s="123">
        <v>25</v>
      </c>
      <c r="F8" s="123"/>
      <c r="G8" s="113" t="str">
        <f>IFERROR(INDEX(온라인_반찬!$C$2:$H$594,MATCH($D8,온라인_반찬!$C$2:$C$594,0),6),"")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IFERROR(INDEX(온라인_반찬!$D$2:$J$587,MATCH($D8,온라인_반찬!$C$2:$C$587,0),6),"")</f>
        <v>.9.12.</v>
      </c>
      <c r="I8" s="109" t="s">
        <v>2254</v>
      </c>
      <c r="J8" s="102">
        <v>2893</v>
      </c>
      <c r="K8" s="101">
        <v>79285</v>
      </c>
      <c r="L8" s="129" t="str">
        <f>IFERROR(INDEX(온라인_반찬!$C$2:$J$587,MATCH($D8,온라인_반찬!$C$2:$C$587,0),8),"")</f>
        <v>토마토김치(종가집)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 t="s">
        <v>2323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8" t="s">
        <v>2227</v>
      </c>
      <c r="C10" s="251" t="s">
        <v>620</v>
      </c>
      <c r="D10" s="261" t="s">
        <v>1361</v>
      </c>
      <c r="E10" s="225">
        <v>150</v>
      </c>
      <c r="F10" s="225"/>
      <c r="G10" s="226" t="str">
        <f>IFERROR(INDEX(온라인_반찬!$C$2:$H$594,MATCH($D10,온라인_반찬!$C$2:$C$594,0),6),"")</f>
        <v>쌀(국산)90%, 현미(국산.친환경)5%, 정제수</v>
      </c>
      <c r="H10" s="227">
        <f>IFERROR(INDEX(온라인_반찬!$D$2:$J$587,MATCH($D10,온라인_반찬!$C$2:$C$587,0),6),"")</f>
        <v>0</v>
      </c>
      <c r="I10" s="228" t="s">
        <v>2255</v>
      </c>
      <c r="J10" s="266">
        <v>72</v>
      </c>
      <c r="K10" s="264">
        <v>7800</v>
      </c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45" t="s">
        <v>624</v>
      </c>
      <c r="D11" s="103" t="s">
        <v>686</v>
      </c>
      <c r="E11" s="123">
        <v>160</v>
      </c>
      <c r="F11" s="124"/>
      <c r="G11" s="113" t="str">
        <f>IFERROR(INDEX(온라인_반찬!$C$2:$H$594,MATCH($D11,온라인_반찬!$C$2:$C$594,0),6),"")</f>
        <v>콩나물(콩:수입산)20%, 두부(콩:수입산)8%, 양파, 파, 마늘, 정제수, 된장, 소금</v>
      </c>
      <c r="H11" s="101" t="str">
        <f>IFERROR(INDEX(온라인_반찬!$D$2:$J$587,MATCH($D11,온라인_반찬!$C$2:$C$587,0),6),"")</f>
        <v>.5.</v>
      </c>
      <c r="I11" s="109" t="s">
        <v>2255</v>
      </c>
      <c r="J11" s="102">
        <v>72</v>
      </c>
      <c r="K11" s="101">
        <v>8160</v>
      </c>
      <c r="L11" s="129">
        <f>IFERROR(INDEX(온라인_반찬!$C$2:$J$587,MATCH($D11,온라인_반찬!$C$2:$C$587,0),8),"")</f>
        <v>0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45" t="s">
        <v>621</v>
      </c>
      <c r="D12" s="103" t="s">
        <v>2037</v>
      </c>
      <c r="E12" s="123">
        <v>120</v>
      </c>
      <c r="F12" s="124"/>
      <c r="G12" s="113" t="str">
        <f>IFERROR(INDEX(온라인_반찬!$C$2:$H$594,MATCH($D12,온라인_반찬!$C$2:$C$594,0),6),"")</f>
        <v>닭고기(국산)15%, 채소[당근, 양파, 감자]25%, 대두유, 카레분말[강황(인도산)]11.1%, 고형카레(일본산)1.5%, 정제수</v>
      </c>
      <c r="H12" s="101" t="str">
        <f>IFERROR(INDEX(온라인_반찬!$D$2:$J$587,MATCH($D12,온라인_반찬!$C$2:$C$587,0),6),"")</f>
        <v>.2.5.6.12.15.16.18.</v>
      </c>
      <c r="I12" s="109" t="s">
        <v>2255</v>
      </c>
      <c r="J12" s="102">
        <v>72</v>
      </c>
      <c r="K12" s="101">
        <v>9756</v>
      </c>
      <c r="L12" s="129" t="str">
        <f>IFERROR(INDEX(온라인_반찬!$C$2:$J$587,MATCH($D12,온라인_반찬!$C$2:$C$587,0),8),"")</f>
        <v>카레분말(오뚜기), 고형카레(S&amp;B골든카레)</v>
      </c>
      <c r="M12" s="120"/>
      <c r="N12" s="120"/>
    </row>
    <row r="13" spans="2:23" ht="39.950000000000003" customHeight="1">
      <c r="B13" s="328"/>
      <c r="C13" s="245" t="s">
        <v>622</v>
      </c>
      <c r="D13" s="103" t="s">
        <v>2058</v>
      </c>
      <c r="E13" s="123"/>
      <c r="F13" s="124">
        <v>3</v>
      </c>
      <c r="G13" s="113" t="str">
        <f>IFERROR(INDEX(온라인_반찬!$C$2:$H$594,MATCH($D13,온라인_반찬!$C$2:$C$594,0),6),"")</f>
        <v>새우튀김[흰다리새우30%, 빵가루(밀가루.쇼트닝.설탕.효모.옥수수전분.정제소금 등)베트남산</v>
      </c>
      <c r="H13" s="101" t="str">
        <f>IFERROR(INDEX(온라인_반찬!$D$2:$J$587,MATCH($D13,온라인_반찬!$C$2:$C$587,0),6),"")</f>
        <v>.1.5.6.9.</v>
      </c>
      <c r="I13" s="109" t="s">
        <v>2255</v>
      </c>
      <c r="J13" s="102">
        <v>72</v>
      </c>
      <c r="K13" s="101">
        <v>180</v>
      </c>
      <c r="L13" s="129" t="str">
        <f>IFERROR(INDEX(온라인_반찬!$C$2:$J$587,MATCH($D13,온라인_반찬!$C$2:$C$587,0),8),"")</f>
        <v>새우튀김(이츠웰)/개당20g</v>
      </c>
      <c r="M13" s="120"/>
      <c r="N13" s="120"/>
      <c r="O13" s="120"/>
    </row>
    <row r="14" spans="2:23" ht="39.950000000000003" customHeight="1">
      <c r="B14" s="328"/>
      <c r="C14" s="160" t="s">
        <v>290</v>
      </c>
      <c r="D14" s="103" t="s">
        <v>2207</v>
      </c>
      <c r="E14" s="123">
        <v>35</v>
      </c>
      <c r="F14" s="124"/>
      <c r="G14" s="113" t="str">
        <f>IFERROR(INDEX(온라인_반찬!$C$2:$H$594,MATCH($D14,온라인_반찬!$C$2:$C$594,0),6),"")</f>
        <v>무(국산)92%, 대파, 마늘, 대두유, 소금, 참기름, 참깨</v>
      </c>
      <c r="H14" s="101" t="str">
        <f>IFERROR(INDEX(온라인_반찬!$D$2:$J$587,MATCH($D14,온라인_반찬!$C$2:$C$587,0),6),"")</f>
        <v>.5.21.</v>
      </c>
      <c r="I14" s="109" t="s">
        <v>2255</v>
      </c>
      <c r="J14" s="102">
        <v>72</v>
      </c>
      <c r="K14" s="101">
        <v>2590</v>
      </c>
      <c r="L14" s="129">
        <f>IFERROR(INDEX(온라인_반찬!$C$2:$J$587,MATCH($D14,온라인_반찬!$C$2:$C$587,0),8),"")</f>
        <v>0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103" t="s">
        <v>630</v>
      </c>
      <c r="E15" s="123">
        <v>35</v>
      </c>
      <c r="F15" s="123"/>
      <c r="G15" s="113" t="str">
        <f>IFERROR(INDEX(온라인_반찬!$C$2:$H$594,MATCH($D15,온라인_반찬!$C$2:$C$594,0),6),"")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IFERROR(INDEX(온라인_반찬!$D$2:$J$587,MATCH($D15,온라인_반찬!$C$2:$C$587,0),6),"")</f>
        <v>.9.12.</v>
      </c>
      <c r="I15" s="109" t="s">
        <v>2255</v>
      </c>
      <c r="J15" s="102">
        <v>72</v>
      </c>
      <c r="K15" s="101">
        <v>2590</v>
      </c>
      <c r="L15" s="129" t="str">
        <f>IFERROR(INDEX(온라인_반찬!$C$2:$J$587,MATCH($D15,온라인_반찬!$C$2:$C$587,0),8),"")</f>
        <v>토마토김치(종가집)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103" t="s">
        <v>2012</v>
      </c>
      <c r="E16" s="123">
        <v>100</v>
      </c>
      <c r="F16" s="123"/>
      <c r="G16" s="113" t="str">
        <f>IFERROR(INDEX(온라인_반찬!$C$2:$H$594,MATCH($D16,온라인_반찬!$C$2:$C$594,0),6),"")</f>
        <v>우삼겹(미국산)5%, 밀떡(밀:외국산)50%, 어묵(연육:외국산), 메추리알(국산), 양파, 양배추, 파, 마늘, 정제수, 간장, 고추장, 설탕</v>
      </c>
      <c r="H16" s="101" t="str">
        <f>IFERROR(INDEX(온라인_반찬!$D$2:$J$587,MATCH($D16,온라인_반찬!$C$2:$C$587,0),6),"")</f>
        <v>.1.5.6.10.16.</v>
      </c>
      <c r="I16" s="109" t="s">
        <v>2255</v>
      </c>
      <c r="J16" s="102">
        <v>28</v>
      </c>
      <c r="K16" s="101">
        <v>3200</v>
      </c>
      <c r="L16" s="165">
        <f>IFERROR(INDEX(온라인_반찬!$C$2:$J$587,MATCH($D16,온라인_반찬!$C$2:$C$587,0),8),"")</f>
        <v>0</v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2254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2254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2254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2254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2254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2254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0C0D-346F-4835-BE73-6C601D3AB116}">
  <sheetPr>
    <pageSetUpPr fitToPage="1"/>
  </sheetPr>
  <dimension ref="B1:W2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2258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1787</v>
      </c>
      <c r="E3" s="262">
        <v>140</v>
      </c>
      <c r="F3" s="262"/>
      <c r="G3" s="263" t="str">
        <f>IFERROR(INDEX(온라인_반찬!$C$2:$H$594,MATCH($D3,온라인_반찬!$C$2:$C$594,0),6),"")</f>
        <v>쌀(국산)90%, 귀리(국산.친환경)5%, 정제수</v>
      </c>
      <c r="H3" s="264">
        <f>IFERROR(INDEX(온라인_반찬!$D$2:$J$587,MATCH($D3,온라인_반찬!$C$2:$C$587,0),6),"")</f>
        <v>0</v>
      </c>
      <c r="I3" s="265" t="s">
        <v>2256</v>
      </c>
      <c r="J3" s="266">
        <v>2913</v>
      </c>
      <c r="K3" s="264">
        <v>441945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1234</v>
      </c>
      <c r="E4" s="123">
        <v>150</v>
      </c>
      <c r="F4" s="124"/>
      <c r="G4" s="113" t="str">
        <f>IFERROR(INDEX(온라인_반찬!$C$2:$H$594,MATCH($D4,온라인_반찬!$C$2:$C$594,0),6),"")</f>
        <v>무(국산)15%, 모둠어묵(어육:수입산)10%, 파, 마늘, 국간장, 멸치육수농축액, 정제수, 소금</v>
      </c>
      <c r="H4" s="101" t="str">
        <f>IFERROR(INDEX(온라인_반찬!$D$2:$J$587,MATCH($D4,온라인_반찬!$C$2:$C$587,0),6),"")</f>
        <v>.5.6.</v>
      </c>
      <c r="I4" s="109" t="s">
        <v>2256</v>
      </c>
      <c r="J4" s="102">
        <v>2913</v>
      </c>
      <c r="K4" s="101">
        <v>449335</v>
      </c>
      <c r="L4" s="129" t="str">
        <f>IFERROR(INDEX(온라인_반찬!$C$2:$J$587,MATCH($D4,온라인_반찬!$C$2:$C$587,0),8),"")</f>
        <v>종합어묵(사조대림)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1931</v>
      </c>
      <c r="E5" s="123">
        <v>70</v>
      </c>
      <c r="F5" s="124"/>
      <c r="G5" s="113" t="str">
        <f>IFERROR(INDEX(온라인_반찬!$C$2:$H$594,MATCH($D5,온라인_반찬!$C$2:$C$594,0),6),"")</f>
        <v>닭정육(닭가슴살.닭다리살:국산)75%, 양배추, 양파, 당근, 부추, 대두유, 맛술, 후추, 춘장, 소금, 설탕, 파, 마늘, 참기름, 참깨</v>
      </c>
      <c r="H5" s="101" t="str">
        <f>IFERROR(INDEX(온라인_반찬!$D$2:$J$587,MATCH($D5,온라인_반찬!$C$2:$C$587,0),6),"")</f>
        <v>.5.15.21.</v>
      </c>
      <c r="I5" s="109" t="s">
        <v>2256</v>
      </c>
      <c r="J5" s="102">
        <v>2913</v>
      </c>
      <c r="K5" s="101">
        <v>241555</v>
      </c>
      <c r="L5" s="129">
        <f>IFERROR(INDEX(온라인_반찬!$C$2:$J$587,MATCH($D5,온라인_반찬!$C$2:$C$587,0),8),"")</f>
        <v>0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1983</v>
      </c>
      <c r="E6" s="123"/>
      <c r="F6" s="124">
        <v>1</v>
      </c>
      <c r="G6" s="113" t="str">
        <f>IFERROR(INDEX(온라인_반찬!$C$2:$H$594,MATCH($D6,온라인_반찬!$C$2:$C$594,0),6),"")</f>
        <v>수미감자(국산),밀가루(밀:외국산),베이컨(돼지고기:외국산),감자전분(외국산),후추, 대두유</v>
      </c>
      <c r="H6" s="101" t="str">
        <f>IFERROR(INDEX(온라인_반찬!$D$2:$J$587,MATCH($D6,온라인_반찬!$C$2:$C$587,0),6),"")</f>
        <v>.5.6.10.</v>
      </c>
      <c r="I6" s="109" t="s">
        <v>2256</v>
      </c>
      <c r="J6" s="102">
        <v>2913</v>
      </c>
      <c r="K6" s="101">
        <v>3744.9</v>
      </c>
      <c r="L6" s="129" t="str">
        <f>IFERROR(INDEX(온라인_반찬!$C$2:$J$587,MATCH($D6,온라인_반찬!$C$2:$C$587,0),8),"")</f>
        <v>더제대로만든베이컨감자전(사옹원)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2259</v>
      </c>
      <c r="E7" s="123">
        <v>20</v>
      </c>
      <c r="F7" s="124"/>
      <c r="G7" s="113" t="str">
        <f>IFERROR(INDEX(온라인_반찬!$C$2:$H$594,MATCH($D7,온라인_반찬!$C$2:$C$594,0),6),"")</f>
        <v>우엉채(중국산)72%, 대두유, 맛술, 정제수, 간장, 설탕, 물엿, 참기름, 참깨</v>
      </c>
      <c r="H7" s="101" t="str">
        <f>IFERROR(INDEX(온라인_반찬!$D$2:$J$587,MATCH($D7,온라인_반찬!$C$2:$C$587,0),6),"")</f>
        <v>.5.21.</v>
      </c>
      <c r="I7" s="109" t="s">
        <v>2256</v>
      </c>
      <c r="J7" s="102">
        <v>2913</v>
      </c>
      <c r="K7" s="101">
        <v>68675</v>
      </c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631</v>
      </c>
      <c r="E8" s="123">
        <v>25</v>
      </c>
      <c r="F8" s="123"/>
      <c r="G8" s="113" t="str">
        <f>IFERROR(INDEX(온라인_반찬!$C$2:$H$594,MATCH($D8,온라인_반찬!$C$2:$C$594,0),6),"")</f>
        <v>무(국산)85.2%, 고추가루(국산), 밀가루풀(국산), 파, 마늘, 새우젓 등 양념(국산)</v>
      </c>
      <c r="H8" s="101" t="str">
        <f>IFERROR(INDEX(온라인_반찬!$D$2:$J$587,MATCH($D8,온라인_반찬!$C$2:$C$587,0),6),"")</f>
        <v>.6.9.</v>
      </c>
      <c r="I8" s="109" t="s">
        <v>2256</v>
      </c>
      <c r="J8" s="102">
        <v>2913</v>
      </c>
      <c r="K8" s="101">
        <v>81802.5</v>
      </c>
      <c r="L8" s="129">
        <f>IFERROR(INDEX(온라인_반찬!$C$2:$J$587,MATCH($D8,온라인_반찬!$C$2:$C$587,0),8),"")</f>
        <v>0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>
      <c r="B9" s="328"/>
      <c r="C9" s="286" t="s">
        <v>622</v>
      </c>
      <c r="D9" s="281" t="s">
        <v>2317</v>
      </c>
      <c r="E9" s="282"/>
      <c r="F9" s="283">
        <v>2</v>
      </c>
      <c r="G9" s="284" t="str">
        <f>IFERROR(INDEX(온라인_반찬!$C$2:$H$594,MATCH($D9,온라인_반찬!$C$2:$C$594,0),6),"")</f>
        <v>부추(중국산)36.5%, 부침가루[밀가루(밀:호주산,미국산), 정제소금(국산), 찹쌀가루, 정제소금], 정제수, 양파(국산)11.3%, 오징어, 대두유, 정제소금</v>
      </c>
      <c r="H9" s="285" t="str">
        <f>IFERROR(INDEX(온라인_반찬!$D$2:$J$587,MATCH($D9,온라인_반찬!$C$2:$C$587,0),6),"")</f>
        <v>.5.6.17.</v>
      </c>
      <c r="I9" s="109" t="s">
        <v>2256</v>
      </c>
      <c r="J9" s="102">
        <v>6</v>
      </c>
      <c r="K9" s="101">
        <v>12</v>
      </c>
      <c r="L9" s="129" t="str">
        <f>IFERROR(INDEX(온라인_반찬!$C$2:$J$587,MATCH($D9,온라인_반찬!$C$2:$C$587,0),8),"")</f>
        <v>오징어부추전(영풍)</v>
      </c>
      <c r="M9" s="120"/>
      <c r="N9" s="120"/>
      <c r="O9" s="120"/>
      <c r="Q9" s="120"/>
      <c r="R9" s="120"/>
      <c r="S9" s="120"/>
    </row>
    <row r="10" spans="2:23" ht="39.950000000000003" customHeight="1" thickBot="1">
      <c r="B10" s="329"/>
      <c r="C10" s="161" t="s">
        <v>97</v>
      </c>
      <c r="D10" s="211"/>
      <c r="E10" s="131"/>
      <c r="F10" s="132"/>
      <c r="G10" s="277" t="s">
        <v>2320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8" t="s">
        <v>2227</v>
      </c>
      <c r="C11" s="251" t="s">
        <v>620</v>
      </c>
      <c r="D11" s="261" t="s">
        <v>1787</v>
      </c>
      <c r="E11" s="225">
        <v>150</v>
      </c>
      <c r="F11" s="225"/>
      <c r="G11" s="226" t="str">
        <f>IFERROR(INDEX(온라인_반찬!$C$2:$H$594,MATCH($D11,온라인_반찬!$C$2:$C$594,0),6),"")</f>
        <v>쌀(국산)90%, 귀리(국산.친환경)5%, 정제수</v>
      </c>
      <c r="H11" s="227">
        <f>IFERROR(INDEX(온라인_반찬!$D$2:$J$587,MATCH($D11,온라인_반찬!$C$2:$C$587,0),6),"")</f>
        <v>0</v>
      </c>
      <c r="I11" s="228" t="s">
        <v>2257</v>
      </c>
      <c r="J11" s="266">
        <v>72</v>
      </c>
      <c r="K11" s="264">
        <v>7800</v>
      </c>
      <c r="L11" s="229">
        <f>IFERROR(INDEX(온라인_반찬!$C$2:$J$587,MATCH($D11,온라인_반찬!$C$2:$C$587,0),8),"")</f>
        <v>0</v>
      </c>
      <c r="M11" s="120" t="s">
        <v>1408</v>
      </c>
      <c r="N11" s="120"/>
      <c r="O11" s="120"/>
      <c r="P11" s="120" t="s">
        <v>1467</v>
      </c>
      <c r="S11" s="120" t="s">
        <v>1667</v>
      </c>
    </row>
    <row r="12" spans="2:23" ht="39.950000000000003" customHeight="1">
      <c r="B12" s="328"/>
      <c r="C12" s="245" t="s">
        <v>624</v>
      </c>
      <c r="D12" s="103" t="s">
        <v>1234</v>
      </c>
      <c r="E12" s="123">
        <v>160</v>
      </c>
      <c r="F12" s="124"/>
      <c r="G12" s="113" t="str">
        <f>IFERROR(INDEX(온라인_반찬!$C$2:$H$594,MATCH($D12,온라인_반찬!$C$2:$C$594,0),6),"")</f>
        <v>무(국산)15%, 모둠어묵(어육:수입산)10%, 파, 마늘, 국간장, 멸치육수농축액, 정제수, 소금</v>
      </c>
      <c r="H12" s="101" t="str">
        <f>IFERROR(INDEX(온라인_반찬!$D$2:$J$587,MATCH($D12,온라인_반찬!$C$2:$C$587,0),6),"")</f>
        <v>.5.6.</v>
      </c>
      <c r="I12" s="109" t="s">
        <v>2257</v>
      </c>
      <c r="J12" s="102">
        <v>72</v>
      </c>
      <c r="K12" s="101">
        <v>8160</v>
      </c>
      <c r="L12" s="129" t="str">
        <f>IFERROR(INDEX(온라인_반찬!$C$2:$J$587,MATCH($D12,온라인_반찬!$C$2:$C$587,0),8),"")</f>
        <v>종합어묵(사조대림)</v>
      </c>
      <c r="M12" s="120" t="s">
        <v>1865</v>
      </c>
      <c r="N12" s="120"/>
      <c r="O12" s="120"/>
      <c r="P12" s="120" t="s">
        <v>1917</v>
      </c>
      <c r="S12" s="120" t="s">
        <v>1918</v>
      </c>
    </row>
    <row r="13" spans="2:23" ht="39.950000000000003" customHeight="1">
      <c r="B13" s="328"/>
      <c r="C13" s="245" t="s">
        <v>621</v>
      </c>
      <c r="D13" s="103" t="s">
        <v>1931</v>
      </c>
      <c r="E13" s="123">
        <v>90</v>
      </c>
      <c r="F13" s="124"/>
      <c r="G13" s="113" t="str">
        <f>IFERROR(INDEX(온라인_반찬!$C$2:$H$594,MATCH($D13,온라인_반찬!$C$2:$C$594,0),6),"")</f>
        <v>닭정육(닭가슴살.닭다리살:국산)75%, 양배추, 양파, 당근, 부추, 대두유, 맛술, 후추, 춘장, 소금, 설탕, 파, 마늘, 참기름, 참깨</v>
      </c>
      <c r="H13" s="101" t="str">
        <f>IFERROR(INDEX(온라인_반찬!$D$2:$J$587,MATCH($D13,온라인_반찬!$C$2:$C$587,0),6),"")</f>
        <v>.5.15.21.</v>
      </c>
      <c r="I13" s="109" t="s">
        <v>2257</v>
      </c>
      <c r="J13" s="102">
        <v>72</v>
      </c>
      <c r="K13" s="101">
        <v>7317</v>
      </c>
      <c r="L13" s="129">
        <f>IFERROR(INDEX(온라인_반찬!$C$2:$J$587,MATCH($D13,온라인_반찬!$C$2:$C$587,0),8),"")</f>
        <v>0</v>
      </c>
      <c r="M13" s="120"/>
      <c r="N13" s="120"/>
      <c r="O13" s="120"/>
    </row>
    <row r="14" spans="2:23" ht="39.950000000000003" customHeight="1">
      <c r="B14" s="328"/>
      <c r="C14" s="245" t="s">
        <v>622</v>
      </c>
      <c r="D14" s="103" t="s">
        <v>1983</v>
      </c>
      <c r="E14" s="123"/>
      <c r="F14" s="124">
        <v>1</v>
      </c>
      <c r="G14" s="113" t="str">
        <f>IFERROR(INDEX(온라인_반찬!$C$2:$H$594,MATCH($D14,온라인_반찬!$C$2:$C$594,0),6),"")</f>
        <v>수미감자(국산),밀가루(밀:외국산),베이컨(돼지고기:외국산),감자전분(외국산),후추, 대두유</v>
      </c>
      <c r="H14" s="101" t="str">
        <f>IFERROR(INDEX(온라인_반찬!$D$2:$J$587,MATCH($D14,온라인_반찬!$C$2:$C$587,0),6),"")</f>
        <v>.5.6.10.</v>
      </c>
      <c r="I14" s="109" t="s">
        <v>2257</v>
      </c>
      <c r="J14" s="102">
        <v>72</v>
      </c>
      <c r="K14" s="101">
        <v>93.6</v>
      </c>
      <c r="L14" s="129" t="str">
        <f>IFERROR(INDEX(온라인_반찬!$C$2:$J$587,MATCH($D14,온라인_반찬!$C$2:$C$587,0),8),"")</f>
        <v>더제대로만든베이컨감자전(사옹원)</v>
      </c>
      <c r="M14" s="120"/>
      <c r="N14" s="120"/>
      <c r="O14" s="120"/>
    </row>
    <row r="15" spans="2:23" ht="39.950000000000003" customHeight="1">
      <c r="B15" s="328"/>
      <c r="C15" s="160" t="s">
        <v>290</v>
      </c>
      <c r="D15" s="103" t="s">
        <v>2259</v>
      </c>
      <c r="E15" s="123">
        <v>23</v>
      </c>
      <c r="F15" s="124"/>
      <c r="G15" s="113" t="str">
        <f>IFERROR(INDEX(온라인_반찬!$C$2:$H$594,MATCH($D15,온라인_반찬!$C$2:$C$594,0),6),"")</f>
        <v>우엉채(중국산)72%, 대두유, 맛술, 정제수, 간장, 설탕, 물엿, 참기름, 참깨</v>
      </c>
      <c r="H15" s="101" t="str">
        <f>IFERROR(INDEX(온라인_반찬!$D$2:$J$587,MATCH($D15,온라인_반찬!$C$2:$C$587,0),6),"")</f>
        <v>.5.21.</v>
      </c>
      <c r="I15" s="109" t="s">
        <v>2257</v>
      </c>
      <c r="J15" s="102">
        <v>72</v>
      </c>
      <c r="K15" s="101">
        <v>1702</v>
      </c>
      <c r="L15" s="129">
        <f>IFERROR(INDEX(온라인_반찬!$C$2:$J$587,MATCH($D15,온라인_반찬!$C$2:$C$587,0),8),"")</f>
        <v>0</v>
      </c>
      <c r="M15" s="120"/>
      <c r="N15" s="120"/>
      <c r="O15" s="120"/>
    </row>
    <row r="16" spans="2:23" ht="39.950000000000003" customHeight="1">
      <c r="B16" s="328"/>
      <c r="C16" s="246" t="s">
        <v>820</v>
      </c>
      <c r="D16" s="103" t="s">
        <v>631</v>
      </c>
      <c r="E16" s="123">
        <v>35</v>
      </c>
      <c r="F16" s="123"/>
      <c r="G16" s="113" t="str">
        <f>IFERROR(INDEX(온라인_반찬!$C$2:$H$594,MATCH($D16,온라인_반찬!$C$2:$C$594,0),6),"")</f>
        <v>무(국산)85.2%, 고추가루(국산), 밀가루풀(국산), 파, 마늘, 새우젓 등 양념(국산)</v>
      </c>
      <c r="H16" s="101" t="str">
        <f>IFERROR(INDEX(온라인_반찬!$D$2:$J$587,MATCH($D16,온라인_반찬!$C$2:$C$587,0),6),"")</f>
        <v>.6.9.</v>
      </c>
      <c r="I16" s="109" t="s">
        <v>2257</v>
      </c>
      <c r="J16" s="102">
        <v>72</v>
      </c>
      <c r="K16" s="101">
        <v>2590</v>
      </c>
      <c r="L16" s="129">
        <f>IFERROR(INDEX(온라인_반찬!$C$2:$J$587,MATCH($D16,온라인_반찬!$C$2:$C$587,0),8),"")</f>
        <v>0</v>
      </c>
      <c r="M16" s="120"/>
      <c r="N16" s="120"/>
      <c r="O16" s="120"/>
    </row>
    <row r="17" spans="2:15" ht="39.950000000000003" customHeight="1">
      <c r="B17" s="328"/>
      <c r="C17" s="222" t="s">
        <v>1405</v>
      </c>
      <c r="D17" s="103" t="s">
        <v>2074</v>
      </c>
      <c r="E17" s="123"/>
      <c r="F17" s="123">
        <v>1</v>
      </c>
      <c r="G17" s="113" t="s">
        <v>2324</v>
      </c>
      <c r="H17" s="101" t="str">
        <f>IFERROR(INDEX(온라인_반찬!$D$2:$J$587,MATCH($D17,온라인_반찬!$C$2:$C$587,0),6),"")</f>
        <v/>
      </c>
      <c r="I17" s="109" t="s">
        <v>2257</v>
      </c>
      <c r="J17" s="102">
        <v>28</v>
      </c>
      <c r="K17" s="101">
        <v>30</v>
      </c>
      <c r="L17" s="165" t="str">
        <f>IFERROR(INDEX(온라인_반찬!$C$2:$J$587,MATCH($D17,온라인_반찬!$C$2:$C$587,0),8),"")</f>
        <v/>
      </c>
      <c r="M17" s="120"/>
      <c r="N17" s="120"/>
      <c r="O17" s="120"/>
    </row>
    <row r="18" spans="2:15" ht="39.950000000000003" customHeight="1" thickBot="1">
      <c r="B18" s="329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5" ht="39.950000000000003" customHeight="1">
      <c r="B19" s="334" t="s">
        <v>1619</v>
      </c>
      <c r="C19" s="100" t="s">
        <v>620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2256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7" t="s">
        <v>622</v>
      </c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2256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338"/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2256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60" t="s">
        <v>623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2256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14" t="s">
        <v>820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2256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>
      <c r="B24" s="335"/>
      <c r="C24" s="160" t="s">
        <v>102</v>
      </c>
      <c r="D24" s="162"/>
      <c r="E24" s="123"/>
      <c r="F24" s="123"/>
      <c r="G24" s="113" t="str">
        <f>IFERROR(INDEX(온라인_반찬!$C$2:$H$594,MATCH($D24,온라인_반찬!$C$2:$C$594,0),6),"")</f>
        <v/>
      </c>
      <c r="H24" s="101" t="str">
        <f>IFERROR(INDEX(온라인_반찬!$D$2:$J$587,MATCH($D24,온라인_반찬!$C$2:$C$587,0),6),"")</f>
        <v/>
      </c>
      <c r="I24" s="109" t="s">
        <v>2256</v>
      </c>
      <c r="J24" s="158"/>
      <c r="K24" s="158"/>
      <c r="L24" s="129" t="str">
        <f>IFERROR(INDEX(온라인_반찬!$C$2:$J$587,MATCH($D24,온라인_반찬!$C$2:$C$587,0),8),"")</f>
        <v/>
      </c>
      <c r="M24" s="120"/>
    </row>
    <row r="25" spans="2:15" ht="39.950000000000003" customHeight="1" thickBot="1">
      <c r="B25" s="336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5">
      <c r="L26" s="32"/>
    </row>
    <row r="28" spans="2:15">
      <c r="E28"/>
      <c r="F28" s="121"/>
    </row>
  </sheetData>
  <mergeCells count="6"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9CF3-3BD8-42AC-8FAA-BA08272EB931}">
  <sheetPr>
    <pageSetUpPr fitToPage="1"/>
  </sheetPr>
  <dimension ref="B1:W27"/>
  <sheetViews>
    <sheetView zoomScale="80" zoomScaleNormal="80" zoomScaleSheetLayoutView="75" workbookViewId="0">
      <selection activeCell="D3" sqref="D3:H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2262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1357</v>
      </c>
      <c r="E3" s="262">
        <v>140</v>
      </c>
      <c r="F3" s="262"/>
      <c r="G3" s="263" t="str">
        <f>IFERROR(INDEX(온라인_반찬!$C$2:$H$594,MATCH($D3,온라인_반찬!$C$2:$C$594,0),6),"")</f>
        <v>쌀(국산)90%, 찰흑미(국산.친환경)5%, 정제수</v>
      </c>
      <c r="H3" s="264">
        <f>IFERROR(INDEX(온라인_반찬!$D$2:$J$587,MATCH($D3,온라인_반찬!$C$2:$C$587,0),6),"")</f>
        <v>0</v>
      </c>
      <c r="I3" s="265" t="s">
        <v>2260</v>
      </c>
      <c r="J3" s="266">
        <v>3019</v>
      </c>
      <c r="K3" s="264">
        <v>456365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1676</v>
      </c>
      <c r="E4" s="123">
        <v>150</v>
      </c>
      <c r="F4" s="124"/>
      <c r="G4" s="113" t="str">
        <f>IFERROR(INDEX(온라인_반찬!$C$2:$H$594,MATCH($D4,온라인_반찬!$C$2:$C$594,0),6),"")</f>
        <v>시래기(무청시래기:국산)25%, 양파, 대파, 마늘, 정제수, 된장, 멸치육수농축액, 소금</v>
      </c>
      <c r="H4" s="101" t="str">
        <f>IFERROR(INDEX(온라인_반찬!$D$2:$J$587,MATCH($D4,온라인_반찬!$C$2:$C$587,0),6),"")</f>
        <v>.5.</v>
      </c>
      <c r="I4" s="109" t="s">
        <v>2260</v>
      </c>
      <c r="J4" s="102">
        <v>3019</v>
      </c>
      <c r="K4" s="101">
        <v>463695</v>
      </c>
      <c r="L4" s="129" t="str">
        <f>IFERROR(INDEX(온라인_반찬!$C$2:$J$587,MATCH($D4,온라인_반찬!$C$2:$C$587,0),8),"")</f>
        <v>30g/40g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690</v>
      </c>
      <c r="E5" s="123">
        <v>60</v>
      </c>
      <c r="F5" s="124"/>
      <c r="G5" s="113" t="str">
        <f>IFERROR(INDEX(온라인_반찬!$C$2:$H$594,MATCH($D5,온라인_반찬!$C$2:$C$594,0),6),"")</f>
        <v>소고기(호주산)70%, 양파(국산)7%, 아스파라거스(중국산), 파프리카, 피망, 마늘, 스테이크소스, 데미그라스소스, 생크림, 우유, 간장, 설탕, 소금, 후추, 참깨</v>
      </c>
      <c r="H5" s="101" t="str">
        <f>IFERROR(INDEX(온라인_반찬!$D$2:$J$587,MATCH($D5,온라인_반찬!$C$2:$C$587,0),6),"")</f>
        <v>.2.5.6.12.16.18.21.</v>
      </c>
      <c r="I5" s="109" t="s">
        <v>2260</v>
      </c>
      <c r="J5" s="102">
        <v>3019</v>
      </c>
      <c r="K5" s="101">
        <v>216790</v>
      </c>
      <c r="L5" s="129" t="str">
        <f>IFERROR(INDEX(온라인_반찬!$C$2:$J$587,MATCH($D5,온라인_반찬!$C$2:$C$587,0),8),"")</f>
        <v>스테이크소스(오뚜기), 데미그라스소스(오뚜기)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1889</v>
      </c>
      <c r="E6" s="123">
        <v>15</v>
      </c>
      <c r="F6" s="124"/>
      <c r="G6" s="113" t="str">
        <f>IFERROR(INDEX(온라인_반찬!$C$2:$H$594,MATCH($D6,온라인_반찬!$C$2:$C$594,0),6),"")</f>
        <v>진미채(페루산)85%, 간장, 물엿, 참기름, 마요네즈, 참깨</v>
      </c>
      <c r="H6" s="101" t="str">
        <f>IFERROR(INDEX(온라인_반찬!$D$2:$J$587,MATCH($D6,온라인_반찬!$C$2:$C$587,0),6),"")</f>
        <v>.1.5.21.</v>
      </c>
      <c r="I6" s="109" t="s">
        <v>2260</v>
      </c>
      <c r="J6" s="102">
        <v>3019</v>
      </c>
      <c r="K6" s="101">
        <v>53965.5</v>
      </c>
      <c r="L6" s="129">
        <f>IFERROR(INDEX(온라인_반찬!$C$2:$J$587,MATCH($D6,온라인_반찬!$C$2:$C$587,0),8),"")</f>
        <v>0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823</v>
      </c>
      <c r="E7" s="123">
        <v>25</v>
      </c>
      <c r="F7" s="124"/>
      <c r="G7" s="113" t="str">
        <f>IFERROR(INDEX(온라인_반찬!$C$2:$H$594,MATCH($D7,온라인_반찬!$C$2:$C$594,0),6),"")</f>
        <v>오이(국산)80%, 홍파프리카(국산), 깨소스(깨소금(참깨:외국산), 소금, 참기름, 설탕)</v>
      </c>
      <c r="H7" s="101" t="str">
        <f>IFERROR(INDEX(온라인_반찬!$D$2:$J$587,MATCH($D7,온라인_반찬!$C$2:$C$587,0),6),"")</f>
        <v>.21.</v>
      </c>
      <c r="I7" s="109" t="s">
        <v>2260</v>
      </c>
      <c r="J7" s="102">
        <v>3019</v>
      </c>
      <c r="K7" s="101">
        <v>90642.5</v>
      </c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1116</v>
      </c>
      <c r="E8" s="123">
        <v>25</v>
      </c>
      <c r="F8" s="123"/>
      <c r="G8" s="113" t="str">
        <f>IFERROR(INDEX(온라인_반찬!$C$2:$H$594,MATCH($D8,온라인_반찬!$C$2:$C$594,0),6),"")</f>
        <v>배추(국내산)64%, 무채(무:국내산)8%, 양파, 정제수, 생강, 마늘, 생강, 배, 쪽파, 정제염</v>
      </c>
      <c r="H8" s="101">
        <f>IFERROR(INDEX(온라인_반찬!$D$2:$J$587,MATCH($D8,온라인_반찬!$C$2:$C$587,0),6),"")</f>
        <v>0</v>
      </c>
      <c r="I8" s="109" t="s">
        <v>2260</v>
      </c>
      <c r="J8" s="102">
        <v>3019</v>
      </c>
      <c r="K8" s="101">
        <v>84757.5</v>
      </c>
      <c r="L8" s="129" t="str">
        <f>IFERROR(INDEX(온라인_반찬!$C$2:$J$587,MATCH($D8,온라인_반찬!$C$2:$C$587,0),8),"")</f>
        <v>백김치(정우식품)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/>
      <c r="H9" s="166"/>
      <c r="I9" s="137"/>
      <c r="J9" s="134">
        <v>1</v>
      </c>
      <c r="K9" s="134">
        <v>0.25</v>
      </c>
      <c r="L9" s="135"/>
      <c r="M9" s="120">
        <v>456365</v>
      </c>
      <c r="N9" s="120">
        <v>463695</v>
      </c>
      <c r="O9" s="120">
        <v>216790</v>
      </c>
      <c r="P9">
        <v>53965.5</v>
      </c>
      <c r="Q9" s="120">
        <v>90642.5</v>
      </c>
      <c r="R9" s="120">
        <v>84757.5</v>
      </c>
      <c r="S9" s="120">
        <v>84757.5</v>
      </c>
    </row>
    <row r="10" spans="2:23" ht="39.950000000000003" customHeight="1">
      <c r="B10" s="328" t="s">
        <v>2227</v>
      </c>
      <c r="C10" s="251" t="s">
        <v>620</v>
      </c>
      <c r="D10" s="261" t="s">
        <v>1357</v>
      </c>
      <c r="E10" s="225">
        <v>150</v>
      </c>
      <c r="F10" s="225"/>
      <c r="G10" s="226" t="str">
        <f>IFERROR(INDEX(온라인_반찬!$C$2:$H$594,MATCH($D10,온라인_반찬!$C$2:$C$594,0),6),"")</f>
        <v>쌀(국산)90%, 찰흑미(국산.친환경)5%, 정제수</v>
      </c>
      <c r="H10" s="227">
        <f>IFERROR(INDEX(온라인_반찬!$D$2:$J$587,MATCH($D10,온라인_반찬!$C$2:$C$587,0),6),"")</f>
        <v>0</v>
      </c>
      <c r="I10" s="228" t="s">
        <v>2261</v>
      </c>
      <c r="J10" s="266">
        <v>44</v>
      </c>
      <c r="K10" s="264">
        <v>7800</v>
      </c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45" t="s">
        <v>624</v>
      </c>
      <c r="D11" s="103" t="s">
        <v>1676</v>
      </c>
      <c r="E11" s="123">
        <v>160</v>
      </c>
      <c r="F11" s="124"/>
      <c r="G11" s="113" t="str">
        <f>IFERROR(INDEX(온라인_반찬!$C$2:$H$594,MATCH($D11,온라인_반찬!$C$2:$C$594,0),6),"")</f>
        <v>시래기(무청시래기:국산)25%, 양파, 대파, 마늘, 정제수, 된장, 멸치육수농축액, 소금</v>
      </c>
      <c r="H11" s="101" t="str">
        <f>IFERROR(INDEX(온라인_반찬!$D$2:$J$587,MATCH($D11,온라인_반찬!$C$2:$C$587,0),6),"")</f>
        <v>.5.</v>
      </c>
      <c r="I11" s="109" t="s">
        <v>2261</v>
      </c>
      <c r="J11" s="102">
        <v>44</v>
      </c>
      <c r="K11" s="101">
        <v>8160</v>
      </c>
      <c r="L11" s="129" t="str">
        <f>IFERROR(INDEX(온라인_반찬!$C$2:$J$587,MATCH($D11,온라인_반찬!$C$2:$C$587,0),8),"")</f>
        <v>30g/40g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45" t="s">
        <v>621</v>
      </c>
      <c r="D12" s="103" t="s">
        <v>690</v>
      </c>
      <c r="E12" s="123">
        <v>80</v>
      </c>
      <c r="F12" s="124"/>
      <c r="G12" s="113" t="str">
        <f>IFERROR(INDEX(온라인_반찬!$C$2:$H$594,MATCH($D12,온라인_반찬!$C$2:$C$594,0),6),"")</f>
        <v>소고기(호주산)70%, 양파(국산)7%, 아스파라거스(중국산), 파프리카, 피망, 마늘, 스테이크소스, 데미그라스소스, 생크림, 우유, 간장, 설탕, 소금, 후추, 참깨</v>
      </c>
      <c r="H12" s="101" t="str">
        <f>IFERROR(INDEX(온라인_반찬!$D$2:$J$587,MATCH($D12,온라인_반찬!$C$2:$C$587,0),6),"")</f>
        <v>.2.5.6.12.16.18.21.</v>
      </c>
      <c r="I12" s="109" t="s">
        <v>2261</v>
      </c>
      <c r="J12" s="102">
        <v>44</v>
      </c>
      <c r="K12" s="101">
        <v>7317</v>
      </c>
      <c r="L12" s="129" t="str">
        <f>IFERROR(INDEX(온라인_반찬!$C$2:$J$587,MATCH($D12,온라인_반찬!$C$2:$C$587,0),8),"")</f>
        <v>스테이크소스(오뚜기), 데미그라스소스(오뚜기)</v>
      </c>
      <c r="M12" s="120"/>
      <c r="N12" s="120"/>
    </row>
    <row r="13" spans="2:23" ht="39.950000000000003" customHeight="1">
      <c r="B13" s="328"/>
      <c r="C13" s="245" t="s">
        <v>622</v>
      </c>
      <c r="D13" s="281" t="s">
        <v>665</v>
      </c>
      <c r="E13" s="282">
        <v>20</v>
      </c>
      <c r="F13" s="283"/>
      <c r="G13" s="284" t="str">
        <f>IFERROR(INDEX(온라인_반찬!$C$2:$H$594,MATCH($D13,온라인_반찬!$C$2:$C$594,0),6),"")</f>
        <v>진미채(페루산)85%, 고추장, 마요네즈, 대두유, 간장, 물엿, 참기름, 참깨</v>
      </c>
      <c r="H13" s="285" t="str">
        <f>IFERROR(INDEX(온라인_반찬!$D$2:$J$587,MATCH($D13,온라인_반찬!$C$2:$C$587,0),6),"")</f>
        <v>.1.5.6.21.</v>
      </c>
      <c r="I13" s="109" t="s">
        <v>2261</v>
      </c>
      <c r="J13" s="102">
        <v>44</v>
      </c>
      <c r="K13" s="101">
        <v>93.6</v>
      </c>
      <c r="L13" s="129" t="str">
        <f>IFERROR(INDEX(온라인_반찬!$C$2:$J$587,MATCH($D13,온라인_반찬!$C$2:$C$587,0),8),"")</f>
        <v>.1.5.6.21.</v>
      </c>
      <c r="M13" s="120"/>
      <c r="N13" s="120"/>
      <c r="O13" s="120"/>
    </row>
    <row r="14" spans="2:23" ht="39.950000000000003" customHeight="1">
      <c r="B14" s="328"/>
      <c r="C14" s="160" t="s">
        <v>290</v>
      </c>
      <c r="D14" s="103" t="s">
        <v>823</v>
      </c>
      <c r="E14" s="123">
        <v>35</v>
      </c>
      <c r="F14" s="124"/>
      <c r="G14" s="113" t="str">
        <f>IFERROR(INDEX(온라인_반찬!$C$2:$H$594,MATCH($D14,온라인_반찬!$C$2:$C$594,0),6),"")</f>
        <v>오이(국산)80%, 홍파프리카(국산), 깨소스(깨소금(참깨:외국산), 소금, 참기름, 설탕)</v>
      </c>
      <c r="H14" s="101" t="str">
        <f>IFERROR(INDEX(온라인_반찬!$D$2:$J$587,MATCH($D14,온라인_반찬!$C$2:$C$587,0),6),"")</f>
        <v>.21.</v>
      </c>
      <c r="I14" s="109" t="s">
        <v>2261</v>
      </c>
      <c r="J14" s="102">
        <v>44</v>
      </c>
      <c r="K14" s="101">
        <v>1702</v>
      </c>
      <c r="L14" s="129">
        <f>IFERROR(INDEX(온라인_반찬!$C$2:$J$587,MATCH($D14,온라인_반찬!$C$2:$C$587,0),8),"")</f>
        <v>0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281" t="s">
        <v>1561</v>
      </c>
      <c r="E15" s="282">
        <v>35</v>
      </c>
      <c r="F15" s="282"/>
      <c r="G15" s="284" t="str">
        <f>IFERROR(INDEX(온라인_반찬!$C$2:$H$594,MATCH($D15,온라인_반찬!$C$2:$C$594,0),6),"")</f>
        <v>절임열무51%(열무,식염:고추구루, 양파, 대파, 전용풀. 마늘, 다시마농축액.새우액젓.생강:국산)</v>
      </c>
      <c r="H15" s="285" t="str">
        <f>IFERROR(INDEX(온라인_반찬!$D$2:$J$587,MATCH($D15,온라인_반찬!$C$2:$C$587,0),6),"")</f>
        <v>.9.</v>
      </c>
      <c r="I15" s="109" t="s">
        <v>2261</v>
      </c>
      <c r="J15" s="102">
        <v>44</v>
      </c>
      <c r="K15" s="101">
        <v>2590</v>
      </c>
      <c r="L15" s="129" t="str">
        <f>IFERROR(INDEX(온라인_반찬!$C$2:$J$587,MATCH($D15,온라인_반찬!$C$2:$C$587,0),8),"")</f>
        <v>열무김치(종가김치)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103" t="s">
        <v>1389</v>
      </c>
      <c r="E16" s="123"/>
      <c r="F16" s="123">
        <v>3</v>
      </c>
      <c r="G16" s="113" t="str">
        <f>IFERROR(INDEX(온라인_반찬!$C$2:$H$594,MATCH($D16,온라인_반찬!$C$2:$C$594,0),6),"")</f>
        <v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v>
      </c>
      <c r="H16" s="101" t="str">
        <f>IFERROR(INDEX(온라인_반찬!$D$2:$J$587,MATCH($D16,온라인_반찬!$C$2:$C$587,0),6),"")</f>
        <v>.2.5.6.</v>
      </c>
      <c r="I16" s="109" t="s">
        <v>2261</v>
      </c>
      <c r="J16" s="102">
        <v>0</v>
      </c>
      <c r="K16" s="101">
        <v>0</v>
      </c>
      <c r="L16" s="165" t="str">
        <f>IFERROR(INDEX(온라인_반찬!$C$2:$J$587,MATCH($D16,온라인_반찬!$C$2:$C$587,0),8),"")</f>
        <v>모짜렐라치즈볼(맘스터치)</v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2260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2260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2260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2260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2260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2260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2131-5CFD-4900-BB4D-F087E9451F1B}">
  <sheetPr>
    <tabColor rgb="FFFFFF00"/>
    <pageSetUpPr fitToPage="1"/>
  </sheetPr>
  <dimension ref="B1:W28"/>
  <sheetViews>
    <sheetView zoomScale="80" zoomScaleNormal="80" zoomScaleSheetLayoutView="75" workbookViewId="0">
      <selection activeCell="D4" sqref="D4:H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2265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2247</v>
      </c>
      <c r="E3" s="262">
        <v>140</v>
      </c>
      <c r="F3" s="262"/>
      <c r="G3" s="263" t="str">
        <f>IFERROR(INDEX(온라인_반찬!$C$2:$H$594,MATCH($D3,온라인_반찬!$C$2:$C$594,0),6),"")</f>
        <v>쌀(국산)95%, 정제수</v>
      </c>
      <c r="H3" s="264">
        <f>IFERROR(INDEX(온라인_반찬!$D$2:$J$587,MATCH($D3,온라인_반찬!$C$2:$C$587,0),6),"")</f>
        <v>0</v>
      </c>
      <c r="I3" s="265" t="s">
        <v>2263</v>
      </c>
      <c r="J3" s="266">
        <v>2946</v>
      </c>
      <c r="K3" s="264">
        <v>420985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1502</v>
      </c>
      <c r="E4" s="123">
        <v>150</v>
      </c>
      <c r="F4" s="124" t="s">
        <v>2268</v>
      </c>
      <c r="G4" s="113" t="str">
        <f>IFERROR(INDEX(온라인_반찬!$C$2:$H$594,MATCH($D4,온라인_반찬!$C$2:$C$594,0),6),"")</f>
        <v>닭봉(국산)36%, 무(국산)7%, 약재(황기, 대추, 당귀, 허개나무, 엄나무, 오가피 : 국산)3%, 정제수, 파, 마늘, 후추가루, 소금</v>
      </c>
      <c r="H4" s="101" t="str">
        <f>IFERROR(INDEX(온라인_반찬!$D$2:$J$587,MATCH($D4,온라인_반찬!$C$2:$C$587,0),6),"")</f>
        <v>.5.16.</v>
      </c>
      <c r="I4" s="109" t="s">
        <v>2263</v>
      </c>
      <c r="J4" s="102">
        <v>2565</v>
      </c>
      <c r="K4" s="101">
        <v>398495</v>
      </c>
      <c r="L4" s="129">
        <f>IFERROR(INDEX(온라인_반찬!$C$2:$J$587,MATCH($D4,온라인_반찬!$C$2:$C$587,0),8),"")</f>
        <v>0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1439</v>
      </c>
      <c r="E5" s="123">
        <v>60</v>
      </c>
      <c r="F5" s="124"/>
      <c r="G5" s="113" t="str">
        <f>IFERROR(INDEX(온라인_반찬!$C$2:$H$594,MATCH($D5,온라인_반찬!$C$2:$C$594,0),6),"")</f>
        <v>돼지고기(국산)57.5%, 양파(국산)10%, 시금치(국산)5%, 당근(국산)2.5%, 소스(마늘, 간장, 설탕, 후추, 대두유, 참기름, 참깨)25%</v>
      </c>
      <c r="H5" s="101" t="str">
        <f>IFERROR(INDEX(온라인_반찬!$D$2:$J$587,MATCH($D5,온라인_반찬!$C$2:$C$587,0),6),"")</f>
        <v>.5.10.21.</v>
      </c>
      <c r="I5" s="109" t="s">
        <v>2263</v>
      </c>
      <c r="J5" s="102">
        <v>2946</v>
      </c>
      <c r="K5" s="101">
        <v>57150</v>
      </c>
      <c r="L5" s="129">
        <f>IFERROR(INDEX(온라인_반찬!$C$2:$J$587,MATCH($D5,온라인_반찬!$C$2:$C$587,0),8),"")</f>
        <v>0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2266</v>
      </c>
      <c r="E6" s="123"/>
      <c r="F6" s="124">
        <v>2</v>
      </c>
      <c r="G6" s="113" t="str">
        <f>IFERROR(INDEX(온라인_반찬!$C$2:$H$594,MATCH($D6,온라인_반찬!$C$2:$C$594,0),6),"")</f>
        <v>전란액(국산)65.64%, 난백액(국산)23.44%, 대파, 당근, 옥수수유, 정제소금, 간장, 쇠고기다시, 전지분유, 카로틴 외</v>
      </c>
      <c r="H6" s="101" t="str">
        <f>IFERROR(INDEX(온라인_반찬!$D$2:$J$587,MATCH($D6,온라인_반찬!$C$2:$C$587,0),6),"")</f>
        <v>.1.2.5.6.16.18.</v>
      </c>
      <c r="I6" s="109" t="s">
        <v>2263</v>
      </c>
      <c r="J6" s="102">
        <v>2946</v>
      </c>
      <c r="K6" s="101">
        <v>212680</v>
      </c>
      <c r="L6" s="129" t="str">
        <f>IFERROR(INDEX(온라인_반찬!$C$2:$J$587,MATCH($D6,온라인_반찬!$C$2:$C$587,0),8),"")</f>
        <v>풍림푸드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1526</v>
      </c>
      <c r="E7" s="123">
        <v>8</v>
      </c>
      <c r="F7" s="124"/>
      <c r="G7" s="113" t="str">
        <f>IFERROR(INDEX(온라인_반찬!$C$2:$H$594,MATCH($D7,온라인_반찬!$C$2:$C$594,0),6),"")</f>
        <v>건파래김(국산)85.4%, 대두유, 들기름, 설탕, 맛소금, 참깨</v>
      </c>
      <c r="H7" s="101" t="str">
        <f>IFERROR(INDEX(온라인_반찬!$D$2:$J$587,MATCH($D7,온라인_반찬!$C$2:$C$587,0),6),"")</f>
        <v>.5.21.22.</v>
      </c>
      <c r="I7" s="109" t="s">
        <v>2263</v>
      </c>
      <c r="J7" s="102">
        <v>2946</v>
      </c>
      <c r="K7" s="101">
        <v>7140.6</v>
      </c>
      <c r="L7" s="129" t="str">
        <f>IFERROR(INDEX(온라인_반찬!$C$2:$J$587,MATCH($D7,온라인_반찬!$C$2:$C$587,0),8),"")</f>
        <v>유아8g / 중구청10g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631</v>
      </c>
      <c r="E8" s="123">
        <v>25</v>
      </c>
      <c r="F8" s="123"/>
      <c r="G8" s="113" t="str">
        <f>IFERROR(INDEX(온라인_반찬!$C$2:$H$594,MATCH($D8,온라인_반찬!$C$2:$C$594,0),6),"")</f>
        <v>무(국산)85.2%, 고추가루(국산), 밀가루풀(국산), 파, 마늘, 새우젓 등 양념(국산)</v>
      </c>
      <c r="H8" s="101" t="str">
        <f>IFERROR(INDEX(온라인_반찬!$D$2:$J$587,MATCH($D8,온라인_반찬!$C$2:$C$587,0),6),"")</f>
        <v>.6.9.</v>
      </c>
      <c r="I8" s="109" t="s">
        <v>2263</v>
      </c>
      <c r="J8" s="102">
        <v>2946</v>
      </c>
      <c r="K8" s="101">
        <v>28309</v>
      </c>
      <c r="L8" s="129">
        <f>IFERROR(INDEX(온라인_반찬!$C$2:$J$587,MATCH($D8,온라인_반찬!$C$2:$C$587,0),8),"")</f>
        <v>0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>
      <c r="B9" s="328"/>
      <c r="C9" s="245" t="s">
        <v>624</v>
      </c>
      <c r="D9" s="103" t="s">
        <v>2272</v>
      </c>
      <c r="E9" s="123">
        <v>150</v>
      </c>
      <c r="F9" s="123"/>
      <c r="G9" s="113" t="str">
        <f>IFERROR(INDEX(온라인_반찬!$C$2:$H$594,MATCH($D9,온라인_반찬!$C$2:$C$594,0),6),"")</f>
        <v>불린미역(미역:국산)18.3%, 소고기(호주산)5%, 마늘, 정제수, 밥새우, 멸치육수농축액, 소금, 국간장</v>
      </c>
      <c r="H9" s="101" t="str">
        <f>IFERROR(INDEX(온라인_반찬!$D$2:$J$587,MATCH($D9,온라인_반찬!$C$2:$C$587,0),6),"")</f>
        <v>.5.9.16.</v>
      </c>
      <c r="I9" s="109" t="s">
        <v>2263</v>
      </c>
      <c r="J9" s="102">
        <v>381</v>
      </c>
      <c r="K9" s="101">
        <v>82935</v>
      </c>
      <c r="L9" s="129" t="str">
        <f>IFERROR(INDEX(온라인_반찬!$C$2:$J$587,MATCH($D9,온라인_반찬!$C$2:$C$587,0),8),"")</f>
        <v>40g/50g 멸치육수농축액(면사랑)</v>
      </c>
      <c r="M9" s="120"/>
      <c r="N9" s="120"/>
      <c r="P9" s="120"/>
      <c r="R9" s="120"/>
      <c r="S9" s="120"/>
    </row>
    <row r="10" spans="2:23" ht="39.950000000000003" customHeight="1" thickBot="1">
      <c r="B10" s="329"/>
      <c r="C10" s="161" t="s">
        <v>97</v>
      </c>
      <c r="D10" s="211"/>
      <c r="E10" s="131"/>
      <c r="F10" s="132"/>
      <c r="G10" s="277"/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4" t="s">
        <v>2267</v>
      </c>
      <c r="C11" s="100" t="s">
        <v>620</v>
      </c>
      <c r="D11" s="162" t="s">
        <v>656</v>
      </c>
      <c r="E11" s="123"/>
      <c r="F11" s="123">
        <v>2</v>
      </c>
      <c r="G11" s="113" t="str">
        <f>IFERROR(INDEX(온라인_반찬!$C$2:$H$594,MATCH($D11,온라인_반찬!$C$2:$C$594,0),6),"")</f>
        <v>밥(쌀:국산)95%, 후리카케[볶은참깨(참깨:인도산), 밀소맥볼(밀:미국,호주산),조각김(김:국산), 양조간장], 맛소금, 참기름</v>
      </c>
      <c r="H11" s="101" t="str">
        <f>IFERROR(INDEX(온라인_반찬!$D$2:$J$587,MATCH($D11,온라인_반찬!$C$2:$C$587,0),6),"")</f>
        <v>.5.21.</v>
      </c>
      <c r="I11" s="109" t="s">
        <v>2263</v>
      </c>
      <c r="J11" s="158">
        <v>98</v>
      </c>
      <c r="K11" s="158">
        <v>11230</v>
      </c>
      <c r="L11" s="129" t="str">
        <f>IFERROR(INDEX(온라인_반찬!$C$2:$J$587,MATCH($D11,온라인_반찬!$C$2:$C$587,0),8),"")</f>
        <v>노리풍후리가케(이엔푸드)</v>
      </c>
      <c r="M11" s="120"/>
    </row>
    <row r="12" spans="2:23" ht="39.950000000000003" customHeight="1">
      <c r="B12" s="335"/>
      <c r="C12" s="337" t="s">
        <v>622</v>
      </c>
      <c r="D12" s="162" t="s">
        <v>1110</v>
      </c>
      <c r="E12" s="123">
        <v>100</v>
      </c>
      <c r="F12" s="123"/>
      <c r="G12" s="113" t="str">
        <f>IFERROR(INDEX(온라인_반찬!$C$2:$H$594,MATCH($D12,온라인_반찬!$C$2:$C$594,0),6),"")</f>
        <v>스파게티면(듀럼밀100%)97%, 올리브오일3%</v>
      </c>
      <c r="H12" s="101" t="str">
        <f>IFERROR(INDEX(온라인_반찬!$D$2:$J$587,MATCH($D12,온라인_반찬!$C$2:$C$587,0),6),"")</f>
        <v>.6.</v>
      </c>
      <c r="I12" s="109" t="s">
        <v>2263</v>
      </c>
      <c r="J12" s="158">
        <v>98</v>
      </c>
      <c r="K12" s="158">
        <v>13410</v>
      </c>
      <c r="L12" s="129">
        <f>IFERROR(INDEX(온라인_반찬!$C$2:$J$587,MATCH($D12,온라인_반찬!$C$2:$C$587,0),8),"")</f>
        <v>0</v>
      </c>
      <c r="M12" s="120"/>
    </row>
    <row r="13" spans="2:23" ht="39.950000000000003" customHeight="1">
      <c r="B13" s="335"/>
      <c r="C13" s="338"/>
      <c r="D13" s="162" t="s">
        <v>1187</v>
      </c>
      <c r="E13" s="123">
        <v>120</v>
      </c>
      <c r="F13" s="123"/>
      <c r="G13" s="113" t="str">
        <f>IFERROR(INDEX(온라인_반찬!$C$2:$H$594,MATCH($D13,온라인_반찬!$C$2:$C$594,0),6),"")</f>
        <v>양파, 피망, 토마토소스[과채가공품(토마토:이탈리아산),토마토페이스트(토마토:중국산)], 올리브오일, 후추, 파슬리가루</v>
      </c>
      <c r="H13" s="101" t="str">
        <f>IFERROR(INDEX(온라인_반찬!$D$2:$J$587,MATCH($D13,온라인_반찬!$C$2:$C$587,0),6),"")</f>
        <v>.5.12.</v>
      </c>
      <c r="I13" s="109" t="s">
        <v>2263</v>
      </c>
      <c r="J13" s="158">
        <v>98</v>
      </c>
      <c r="K13" s="158">
        <v>268.2</v>
      </c>
      <c r="L13" s="129" t="str">
        <f>IFERROR(INDEX(온라인_반찬!$C$2:$J$587,MATCH($D13,온라인_반찬!$C$2:$C$587,0),8),"")</f>
        <v xml:space="preserve">토마토소스(이츠웰) </v>
      </c>
      <c r="M13" s="120"/>
    </row>
    <row r="14" spans="2:23" ht="39.950000000000003" customHeight="1">
      <c r="B14" s="335"/>
      <c r="C14" s="160" t="s">
        <v>623</v>
      </c>
      <c r="D14" s="162" t="s">
        <v>2055</v>
      </c>
      <c r="E14" s="123"/>
      <c r="F14" s="123">
        <v>1</v>
      </c>
      <c r="G14" s="113" t="str">
        <f>IFERROR(INDEX(온라인_반찬!$C$2:$H$594,MATCH($D14,온라인_반찬!$C$2:$C$594,0),6),"")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14" s="101" t="str">
        <f>IFERROR(INDEX(온라인_반찬!$D$2:$J$587,MATCH($D14,온라인_반찬!$C$2:$C$587,0),6),"")</f>
        <v>.1.2.5.6.12.16.</v>
      </c>
      <c r="I14" s="109" t="s">
        <v>2263</v>
      </c>
      <c r="J14" s="158">
        <v>98</v>
      </c>
      <c r="K14" s="158">
        <v>99</v>
      </c>
      <c r="L14" s="129" t="str">
        <f>IFERROR(INDEX(온라인_반찬!$C$2:$J$587,MATCH($D14,온라인_반찬!$C$2:$C$587,0),8),"")</f>
        <v>과드라불고기피자(M&amp;F)</v>
      </c>
      <c r="M14" s="120"/>
    </row>
    <row r="15" spans="2:23" ht="39.950000000000003" customHeight="1">
      <c r="B15" s="335"/>
      <c r="C15" s="114" t="s">
        <v>820</v>
      </c>
      <c r="D15" s="162" t="s">
        <v>704</v>
      </c>
      <c r="E15" s="123">
        <v>35</v>
      </c>
      <c r="F15" s="123"/>
      <c r="G15" s="113" t="str">
        <f>IFERROR(INDEX(온라인_반찬!$C$2:$H$594,MATCH($D15,온라인_반찬!$C$2:$C$594,0),6),"")</f>
        <v>{동물복지닭고기(닭가슴살:국산)63.38%, 정제수, 정제소금, 치킨브레더[옥수수전분(옥수수:외국산), 밀가루(밀:미극산,호주산)], 마늘, 양파, 정제소금, 대두유}</v>
      </c>
      <c r="H15" s="101" t="str">
        <f>IFERROR(INDEX(온라인_반찬!$D$2:$J$587,MATCH($D15,온라인_반찬!$C$2:$C$587,0),6),"")</f>
        <v>.2.5.6.12.15.16.18.</v>
      </c>
      <c r="I15" s="109" t="s">
        <v>2263</v>
      </c>
      <c r="J15" s="158">
        <v>98</v>
      </c>
      <c r="K15" s="158">
        <v>4015</v>
      </c>
      <c r="L15" s="129">
        <f>IFERROR(INDEX(온라인_반찬!$C$2:$J$587,MATCH($D15,온라인_반찬!$C$2:$C$587,0),8),"")</f>
        <v>0</v>
      </c>
      <c r="M15" s="120"/>
    </row>
    <row r="16" spans="2:23" ht="39.950000000000003" customHeight="1">
      <c r="B16" s="335"/>
      <c r="C16" s="160" t="s">
        <v>102</v>
      </c>
      <c r="D16" s="162" t="s">
        <v>691</v>
      </c>
      <c r="E16" s="123">
        <v>25</v>
      </c>
      <c r="F16" s="123"/>
      <c r="G16" s="113" t="str">
        <f>IFERROR(INDEX(온라인_반찬!$C$2:$H$594,MATCH($D16,온라인_반찬!$C$2:$C$594,0),6),"")</f>
        <v>절임오이(오이:중국산, 정제염, 정제수, 화이트식초)</v>
      </c>
      <c r="H16" s="101">
        <f>IFERROR(INDEX(온라인_반찬!$D$2:$J$587,MATCH($D16,온라인_반찬!$C$2:$C$587,0),6),"")</f>
        <v>0</v>
      </c>
      <c r="I16" s="109" t="s">
        <v>2263</v>
      </c>
      <c r="J16" s="158">
        <v>98</v>
      </c>
      <c r="K16" s="158">
        <v>2825</v>
      </c>
      <c r="L16" s="129" t="str">
        <f>IFERROR(INDEX(온라인_반찬!$C$2:$J$587,MATCH($D16,온라인_반찬!$C$2:$C$587,0),8),"")</f>
        <v>오이피클(이츠웰)</v>
      </c>
      <c r="M16" s="120"/>
    </row>
    <row r="17" spans="2:19" ht="39.950000000000003" customHeight="1" thickBot="1">
      <c r="B17" s="336"/>
      <c r="C17" s="130" t="s">
        <v>97</v>
      </c>
      <c r="D17" s="131"/>
      <c r="E17" s="131"/>
      <c r="F17" s="132">
        <v>1</v>
      </c>
      <c r="G17" s="133"/>
      <c r="H17" s="166"/>
      <c r="I17" s="137"/>
      <c r="J17" s="134">
        <v>1</v>
      </c>
      <c r="K17" s="134">
        <v>0.25</v>
      </c>
      <c r="L17" s="135"/>
    </row>
    <row r="18" spans="2:19" ht="39.950000000000003" customHeight="1">
      <c r="B18" s="328" t="s">
        <v>2227</v>
      </c>
      <c r="C18" s="251" t="s">
        <v>620</v>
      </c>
      <c r="D18" s="261" t="s">
        <v>2247</v>
      </c>
      <c r="E18" s="225">
        <v>150</v>
      </c>
      <c r="F18" s="225"/>
      <c r="G18" s="226" t="str">
        <f>IFERROR(INDEX(온라인_반찬!$C$2:$H$594,MATCH($D18,온라인_반찬!$C$2:$C$594,0),6),"")</f>
        <v>쌀(국산)95%, 정제수</v>
      </c>
      <c r="H18" s="227">
        <f>IFERROR(INDEX(온라인_반찬!$D$2:$J$587,MATCH($D18,온라인_반찬!$C$2:$C$587,0),6),"")</f>
        <v>0</v>
      </c>
      <c r="I18" s="228" t="s">
        <v>2264</v>
      </c>
      <c r="J18" s="266">
        <v>72</v>
      </c>
      <c r="K18" s="264">
        <v>7800</v>
      </c>
      <c r="L18" s="229">
        <f>IFERROR(INDEX(온라인_반찬!$C$2:$J$587,MATCH($D18,온라인_반찬!$C$2:$C$587,0),8),"")</f>
        <v>0</v>
      </c>
      <c r="M18" s="120" t="s">
        <v>1408</v>
      </c>
      <c r="N18" s="120"/>
      <c r="O18" s="120"/>
      <c r="P18" s="120" t="s">
        <v>1467</v>
      </c>
      <c r="S18" s="120" t="s">
        <v>1667</v>
      </c>
    </row>
    <row r="19" spans="2:19" ht="39.950000000000003" customHeight="1">
      <c r="B19" s="328"/>
      <c r="C19" s="245" t="s">
        <v>624</v>
      </c>
      <c r="D19" s="103" t="s">
        <v>2272</v>
      </c>
      <c r="E19" s="123">
        <v>160</v>
      </c>
      <c r="F19" s="124"/>
      <c r="G19" s="113" t="str">
        <f>IFERROR(INDEX(온라인_반찬!$C$2:$H$594,MATCH($D19,온라인_반찬!$C$2:$C$594,0),6),"")</f>
        <v>불린미역(미역:국산)18.3%, 소고기(호주산)5%, 마늘, 정제수, 밥새우, 멸치육수농축액, 소금, 국간장</v>
      </c>
      <c r="H19" s="101" t="str">
        <f>IFERROR(INDEX(온라인_반찬!$D$2:$J$587,MATCH($D19,온라인_반찬!$C$2:$C$587,0),6),"")</f>
        <v>.5.9.16.</v>
      </c>
      <c r="I19" s="109" t="s">
        <v>2264</v>
      </c>
      <c r="J19" s="102">
        <v>72</v>
      </c>
      <c r="K19" s="101">
        <v>8010</v>
      </c>
      <c r="L19" s="129" t="str">
        <f>IFERROR(INDEX(온라인_반찬!$C$2:$J$587,MATCH($D19,온라인_반찬!$C$2:$C$587,0),8),"")</f>
        <v>40g/50g 멸치육수농축액(면사랑)</v>
      </c>
      <c r="M19" s="120" t="s">
        <v>1865</v>
      </c>
      <c r="N19" s="120"/>
      <c r="O19" s="120"/>
      <c r="P19" s="120" t="s">
        <v>1917</v>
      </c>
      <c r="S19" s="120" t="s">
        <v>1918</v>
      </c>
    </row>
    <row r="20" spans="2:19" ht="39.950000000000003" customHeight="1">
      <c r="B20" s="328"/>
      <c r="C20" s="245" t="s">
        <v>621</v>
      </c>
      <c r="D20" s="103" t="s">
        <v>1439</v>
      </c>
      <c r="E20" s="123">
        <v>80</v>
      </c>
      <c r="F20" s="124"/>
      <c r="G20" s="113" t="str">
        <f>IFERROR(INDEX(온라인_반찬!$C$2:$H$594,MATCH($D20,온라인_반찬!$C$2:$C$594,0),6),"")</f>
        <v>돼지고기(국산)57.5%, 양파(국산)10%, 시금치(국산)5%, 당근(국산)2.5%, 소스(마늘, 간장, 설탕, 후추, 대두유, 참기름, 참깨)25%</v>
      </c>
      <c r="H20" s="101" t="str">
        <f>IFERROR(INDEX(온라인_반찬!$D$2:$J$587,MATCH($D20,온라인_반찬!$C$2:$C$587,0),6),"")</f>
        <v>.5.10.21.</v>
      </c>
      <c r="I20" s="109" t="s">
        <v>2264</v>
      </c>
      <c r="J20" s="102">
        <v>72</v>
      </c>
      <c r="K20" s="101">
        <v>6504</v>
      </c>
      <c r="L20" s="129">
        <f>IFERROR(INDEX(온라인_반찬!$C$2:$J$587,MATCH($D20,온라인_반찬!$C$2:$C$587,0),8),"")</f>
        <v>0</v>
      </c>
      <c r="M20" s="120"/>
      <c r="N20" s="120"/>
    </row>
    <row r="21" spans="2:19" ht="39.950000000000003" customHeight="1">
      <c r="B21" s="328"/>
      <c r="C21" s="245" t="s">
        <v>622</v>
      </c>
      <c r="D21" s="103" t="s">
        <v>2266</v>
      </c>
      <c r="E21" s="123"/>
      <c r="F21" s="124">
        <v>3</v>
      </c>
      <c r="G21" s="113" t="str">
        <f>IFERROR(INDEX(온라인_반찬!$C$2:$H$594,MATCH($D21,온라인_반찬!$C$2:$C$594,0),6),"")</f>
        <v>전란액(국산)65.64%, 난백액(국산)23.44%, 대파, 당근, 옥수수유, 정제소금, 간장, 쇠고기다시, 전지분유, 카로틴 외</v>
      </c>
      <c r="H21" s="101" t="str">
        <f>IFERROR(INDEX(온라인_반찬!$D$2:$J$587,MATCH($D21,온라인_반찬!$C$2:$C$587,0),6),"")</f>
        <v>.1.2.5.6.16.18.</v>
      </c>
      <c r="I21" s="109" t="s">
        <v>2264</v>
      </c>
      <c r="J21" s="102">
        <v>72</v>
      </c>
      <c r="K21" s="101">
        <v>230.40000000000003</v>
      </c>
      <c r="L21" s="129" t="str">
        <f>IFERROR(INDEX(온라인_반찬!$C$2:$J$587,MATCH($D21,온라인_반찬!$C$2:$C$587,0),8),"")</f>
        <v>풍림푸드</v>
      </c>
      <c r="M21" s="120"/>
      <c r="N21" s="120"/>
      <c r="O21" s="120"/>
    </row>
    <row r="22" spans="2:19" ht="39.950000000000003" customHeight="1">
      <c r="B22" s="328"/>
      <c r="C22" s="160" t="s">
        <v>290</v>
      </c>
      <c r="D22" s="103" t="s">
        <v>1526</v>
      </c>
      <c r="E22" s="123">
        <v>10</v>
      </c>
      <c r="F22" s="124"/>
      <c r="G22" s="113" t="str">
        <f>IFERROR(INDEX(온라인_반찬!$C$2:$H$594,MATCH($D22,온라인_반찬!$C$2:$C$594,0),6),"")</f>
        <v>건파래김(국산)85.4%, 대두유, 들기름, 설탕, 맛소금, 참깨</v>
      </c>
      <c r="H22" s="101" t="str">
        <f>IFERROR(INDEX(온라인_반찬!$D$2:$J$587,MATCH($D22,온라인_반찬!$C$2:$C$587,0),6),"")</f>
        <v>.5.21.22.</v>
      </c>
      <c r="I22" s="109" t="s">
        <v>2264</v>
      </c>
      <c r="J22" s="102">
        <v>72</v>
      </c>
      <c r="K22" s="101">
        <v>740</v>
      </c>
      <c r="L22" s="129" t="str">
        <f>IFERROR(INDEX(온라인_반찬!$C$2:$J$587,MATCH($D22,온라인_반찬!$C$2:$C$587,0),8),"")</f>
        <v>유아8g / 중구청10g</v>
      </c>
      <c r="M22" s="120"/>
      <c r="N22" s="120"/>
      <c r="O22" s="120"/>
    </row>
    <row r="23" spans="2:19" ht="39.950000000000003" customHeight="1">
      <c r="B23" s="328"/>
      <c r="C23" s="246" t="s">
        <v>820</v>
      </c>
      <c r="D23" s="103" t="s">
        <v>631</v>
      </c>
      <c r="E23" s="123">
        <v>35</v>
      </c>
      <c r="F23" s="123"/>
      <c r="G23" s="113" t="str">
        <f>IFERROR(INDEX(온라인_반찬!$C$2:$H$594,MATCH($D23,온라인_반찬!$C$2:$C$594,0),6),"")</f>
        <v>무(국산)85.2%, 고추가루(국산), 밀가루풀(국산), 파, 마늘, 새우젓 등 양념(국산)</v>
      </c>
      <c r="H23" s="101" t="str">
        <f>IFERROR(INDEX(온라인_반찬!$D$2:$J$587,MATCH($D23,온라인_반찬!$C$2:$C$587,0),6),"")</f>
        <v>.6.9.</v>
      </c>
      <c r="I23" s="109" t="s">
        <v>2264</v>
      </c>
      <c r="J23" s="102">
        <v>72</v>
      </c>
      <c r="K23" s="101">
        <v>2590</v>
      </c>
      <c r="L23" s="129">
        <f>IFERROR(INDEX(온라인_반찬!$C$2:$J$587,MATCH($D23,온라인_반찬!$C$2:$C$587,0),8),"")</f>
        <v>0</v>
      </c>
      <c r="M23" s="120"/>
      <c r="N23" s="120"/>
      <c r="O23" s="120"/>
    </row>
    <row r="24" spans="2:19" ht="39.950000000000003" customHeight="1">
      <c r="B24" s="328"/>
      <c r="C24" s="222" t="s">
        <v>1405</v>
      </c>
      <c r="D24" s="103" t="s">
        <v>2074</v>
      </c>
      <c r="E24" s="123">
        <v>100</v>
      </c>
      <c r="F24" s="123"/>
      <c r="G24" s="113" t="s">
        <v>2230</v>
      </c>
      <c r="H24" s="101" t="str">
        <f>IFERROR(INDEX(온라인_반찬!$D$2:$J$587,MATCH($D24,온라인_반찬!$C$2:$C$587,0),6),"")</f>
        <v/>
      </c>
      <c r="I24" s="109" t="s">
        <v>2264</v>
      </c>
      <c r="J24" s="102">
        <v>28</v>
      </c>
      <c r="K24" s="101">
        <v>300</v>
      </c>
      <c r="L24" s="165" t="str">
        <f>IFERROR(INDEX(온라인_반찬!$C$2:$J$587,MATCH($D24,온라인_반찬!$C$2:$C$587,0),8),"")</f>
        <v/>
      </c>
      <c r="M24" s="120"/>
      <c r="N24" s="120"/>
      <c r="O24" s="120"/>
    </row>
    <row r="25" spans="2:19" ht="39.950000000000003" customHeight="1" thickBot="1">
      <c r="B25" s="329"/>
      <c r="C25" s="161" t="s">
        <v>97</v>
      </c>
      <c r="D25" s="211"/>
      <c r="E25" s="131"/>
      <c r="F25" s="132"/>
      <c r="G25" s="215"/>
      <c r="H25" s="166"/>
      <c r="I25" s="137"/>
      <c r="J25" s="134">
        <v>1</v>
      </c>
      <c r="K25" s="134">
        <v>0.25</v>
      </c>
      <c r="L25" s="135"/>
      <c r="M25" s="120"/>
      <c r="N25" s="120"/>
      <c r="O25" s="120"/>
    </row>
    <row r="26" spans="2:19">
      <c r="L26" s="32"/>
    </row>
    <row r="28" spans="2:19">
      <c r="E28"/>
      <c r="F28" s="121"/>
    </row>
  </sheetData>
  <mergeCells count="6">
    <mergeCell ref="B1:L1"/>
    <mergeCell ref="B3:B10"/>
    <mergeCell ref="S5:W5"/>
    <mergeCell ref="B18:B25"/>
    <mergeCell ref="B11:B17"/>
    <mergeCell ref="C12:C13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CAA5-AA25-489A-91A3-83F7BCA7F44E}">
  <sheetPr>
    <tabColor rgb="FFFFFF00"/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2271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1359</v>
      </c>
      <c r="E3" s="262">
        <v>140</v>
      </c>
      <c r="F3" s="262"/>
      <c r="G3" s="263" t="str">
        <f>IFERROR(INDEX(온라인_반찬!$C$2:$H$594,MATCH($D3,온라인_반찬!$C$2:$C$594,0),6),"")</f>
        <v>쌀(국산)90%, 찰보리(국산.친환경)5%, 정제수</v>
      </c>
      <c r="H3" s="264">
        <f>IFERROR(INDEX(온라인_반찬!$D$2:$J$587,MATCH($D3,온라인_반찬!$C$2:$C$587,0),6),"")</f>
        <v>0</v>
      </c>
      <c r="I3" s="265" t="s">
        <v>2269</v>
      </c>
      <c r="J3" s="266">
        <v>2977</v>
      </c>
      <c r="K3" s="264">
        <v>452735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2272</v>
      </c>
      <c r="E4" s="123">
        <v>150</v>
      </c>
      <c r="F4" s="124"/>
      <c r="G4" s="113" t="str">
        <f>IFERROR(INDEX(온라인_반찬!$C$2:$H$594,MATCH($D4,온라인_반찬!$C$2:$C$594,0),6),"")</f>
        <v>불린미역(미역:국산)18.3%, 소고기(호주산)5%, 마늘, 정제수, 밥새우, 멸치육수농축액, 소금, 국간장</v>
      </c>
      <c r="H4" s="101" t="str">
        <f>IFERROR(INDEX(온라인_반찬!$D$2:$J$587,MATCH($D4,온라인_반찬!$C$2:$C$587,0),6),"")</f>
        <v>.5.9.16.</v>
      </c>
      <c r="I4" s="109" t="s">
        <v>2269</v>
      </c>
      <c r="J4" s="102">
        <v>2977</v>
      </c>
      <c r="K4" s="101">
        <v>458395</v>
      </c>
      <c r="L4" s="129" t="str">
        <f>IFERROR(INDEX(온라인_반찬!$C$2:$J$587,MATCH($D4,온라인_반찬!$C$2:$C$587,0),8),"")</f>
        <v>40g/50g 멸치육수농축액(면사랑)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1251</v>
      </c>
      <c r="E5" s="123"/>
      <c r="F5" s="124">
        <v>2</v>
      </c>
      <c r="G5" s="113" t="str">
        <f>IFERROR(INDEX(온라인_반찬!$C$2:$H$594,MATCH($D5,온라인_반찬!$C$2:$C$594,0),6),"")</f>
        <v>닭고기(국내산)56.83%, 크루스토브레딩(캐나다산:밀가루,식물성유지,설탕소금). 버터믹스, 정제수, 양파, 마늘, 후추</v>
      </c>
      <c r="H5" s="101" t="str">
        <f>IFERROR(INDEX(온라인_반찬!$D$2:$J$587,MATCH($D5,온라인_반찬!$C$2:$C$587,0),6),"")</f>
        <v>.1.2.5.6.15.16.</v>
      </c>
      <c r="I5" s="109" t="s">
        <v>2269</v>
      </c>
      <c r="J5" s="102">
        <v>2977</v>
      </c>
      <c r="K5" s="101">
        <v>7918.2999999999947</v>
      </c>
      <c r="L5" s="129" t="str">
        <f>IFERROR(INDEX(온라인_반찬!$C$2:$J$587,MATCH($D5,온라인_반찬!$C$2:$C$587,0),8),"")</f>
        <v>용가리치킨(하림)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1886</v>
      </c>
      <c r="E6" s="123">
        <v>50</v>
      </c>
      <c r="F6" s="124"/>
      <c r="G6" s="113" t="str">
        <f>IFERROR(INDEX(온라인_반찬!$C$2:$H$594,MATCH($D6,온라인_반찬!$C$2:$C$594,0),6),"")</f>
        <v>{소시지[닭고기(국산)54.04%, 정제수, 돼지고기(국산)24.22%, 옥수수전분(러시아,헝가리,세르비아등).돈지방(국산),정제수, 정제소금)]45%, 떡(쌀:외국산)55%}90%, 소스(마늘,대두유,간장,케찹,물엿,참기름,참깨)10%</v>
      </c>
      <c r="H6" s="101" t="str">
        <f>IFERROR(INDEX(온라인_반찬!$D$2:$J$587,MATCH($D6,온라인_반찬!$C$2:$C$587,0),6),"")</f>
        <v>.5.6.10.12.15.16.21.</v>
      </c>
      <c r="I6" s="109" t="s">
        <v>2269</v>
      </c>
      <c r="J6" s="102">
        <v>2977</v>
      </c>
      <c r="K6" s="101">
        <v>172405</v>
      </c>
      <c r="L6" s="129" t="str">
        <f>IFERROR(INDEX(온라인_반찬!$C$2:$J$587,MATCH($D6,온라인_반찬!$C$2:$C$587,0),8),"")</f>
        <v>한입쌀떡볶이(동성식품), 문어모양비엔나(진주햄)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2210</v>
      </c>
      <c r="E7" s="123">
        <v>40</v>
      </c>
      <c r="F7" s="124"/>
      <c r="G7" s="113" t="str">
        <f>IFERROR(INDEX(온라인_반찬!$C$2:$H$594,MATCH($D7,온라인_반찬!$C$2:$C$594,0),6),"")</f>
        <v>방울토마토(국산)55%, 보코치니치즈(모짜렐라치즈:미국산)20%, 청포도(페루산), 파인애플청크(수입산), 샐러드채소(치커리, 어린잎채소:국산)12%, 오리엔탈드레싱13%</v>
      </c>
      <c r="H7" s="101" t="str">
        <f>IFERROR(INDEX(온라인_반찬!$D$2:$J$587,MATCH($D7,온라인_반찬!$C$2:$C$587,0),6),"")</f>
        <v>.2.5.6.12.</v>
      </c>
      <c r="I7" s="109" t="s">
        <v>2269</v>
      </c>
      <c r="J7" s="102">
        <v>2977</v>
      </c>
      <c r="K7" s="101">
        <v>135060</v>
      </c>
      <c r="L7" s="129" t="str">
        <f>IFERROR(INDEX(온라인_반찬!$C$2:$J$587,MATCH($D7,온라인_반찬!$C$2:$C$587,0),8),"")</f>
        <v>오리엔탈드레싱(쉐프솔루션)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630</v>
      </c>
      <c r="E8" s="123">
        <v>25</v>
      </c>
      <c r="F8" s="123"/>
      <c r="G8" s="113" t="str">
        <f>IFERROR(INDEX(온라인_반찬!$C$2:$H$594,MATCH($D8,온라인_반찬!$C$2:$C$594,0),6),"")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IFERROR(INDEX(온라인_반찬!$D$2:$J$587,MATCH($D8,온라인_반찬!$C$2:$C$587,0),6),"")</f>
        <v>.9.12.</v>
      </c>
      <c r="I8" s="109" t="s">
        <v>2269</v>
      </c>
      <c r="J8" s="102">
        <v>2977</v>
      </c>
      <c r="K8" s="101">
        <v>81550</v>
      </c>
      <c r="L8" s="129" t="str">
        <f>IFERROR(INDEX(온라인_반찬!$C$2:$J$587,MATCH($D8,온라인_반찬!$C$2:$C$587,0),8),"")</f>
        <v>토마토김치(종가집)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 t="s">
        <v>2325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8" t="s">
        <v>2227</v>
      </c>
      <c r="C10" s="251" t="s">
        <v>620</v>
      </c>
      <c r="D10" s="261" t="s">
        <v>1359</v>
      </c>
      <c r="E10" s="225">
        <v>150</v>
      </c>
      <c r="F10" s="225"/>
      <c r="G10" s="226" t="str">
        <f>IFERROR(INDEX(온라인_반찬!$C$2:$H$594,MATCH($D10,온라인_반찬!$C$2:$C$594,0),6),"")</f>
        <v>쌀(국산)90%, 찰보리(국산.친환경)5%, 정제수</v>
      </c>
      <c r="H10" s="227">
        <f>IFERROR(INDEX(온라인_반찬!$D$2:$J$587,MATCH($D10,온라인_반찬!$C$2:$C$587,0),6),"")</f>
        <v>0</v>
      </c>
      <c r="I10" s="228" t="s">
        <v>2270</v>
      </c>
      <c r="J10" s="266">
        <v>59</v>
      </c>
      <c r="K10" s="264">
        <v>5625</v>
      </c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45" t="s">
        <v>624</v>
      </c>
      <c r="D11" s="103" t="s">
        <v>2272</v>
      </c>
      <c r="E11" s="123">
        <v>160</v>
      </c>
      <c r="F11" s="124"/>
      <c r="G11" s="113" t="str">
        <f>IFERROR(INDEX(온라인_반찬!$C$2:$H$594,MATCH($D11,온라인_반찬!$C$2:$C$594,0),6),"")</f>
        <v>불린미역(미역:국산)18.3%, 소고기(호주산)5%, 마늘, 정제수, 밥새우, 멸치육수농축액, 소금, 국간장</v>
      </c>
      <c r="H11" s="101" t="str">
        <f>IFERROR(INDEX(온라인_반찬!$D$2:$J$587,MATCH($D11,온라인_반찬!$C$2:$C$587,0),6),"")</f>
        <v>.5.9.16.</v>
      </c>
      <c r="I11" s="109" t="s">
        <v>2270</v>
      </c>
      <c r="J11" s="102">
        <v>59</v>
      </c>
      <c r="K11" s="101">
        <v>5835</v>
      </c>
      <c r="L11" s="129" t="str">
        <f>IFERROR(INDEX(온라인_반찬!$C$2:$J$587,MATCH($D11,온라인_반찬!$C$2:$C$587,0),8),"")</f>
        <v>40g/50g 멸치육수농축액(면사랑)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45" t="s">
        <v>621</v>
      </c>
      <c r="D12" s="103" t="s">
        <v>1251</v>
      </c>
      <c r="E12" s="123"/>
      <c r="F12" s="124">
        <v>3</v>
      </c>
      <c r="G12" s="113" t="str">
        <f>IFERROR(INDEX(온라인_반찬!$C$2:$H$594,MATCH($D12,온라인_반찬!$C$2:$C$594,0),6),"")</f>
        <v>닭고기(국내산)56.83%, 크루스토브레딩(캐나다산:밀가루,식물성유지,설탕소금). 버터믹스, 정제수, 양파, 마늘, 후추</v>
      </c>
      <c r="H12" s="101" t="str">
        <f>IFERROR(INDEX(온라인_반찬!$D$2:$J$587,MATCH($D12,온라인_반찬!$C$2:$C$587,0),6),"")</f>
        <v>.1.2.5.6.15.16.</v>
      </c>
      <c r="I12" s="109" t="s">
        <v>2270</v>
      </c>
      <c r="J12" s="102">
        <v>59</v>
      </c>
      <c r="K12" s="101">
        <v>188.8</v>
      </c>
      <c r="L12" s="129" t="str">
        <f>IFERROR(INDEX(온라인_반찬!$C$2:$J$587,MATCH($D12,온라인_반찬!$C$2:$C$587,0),8),"")</f>
        <v>용가리치킨(하림)</v>
      </c>
      <c r="M12" s="120"/>
      <c r="N12" s="120"/>
    </row>
    <row r="13" spans="2:23" ht="39.950000000000003" customHeight="1">
      <c r="B13" s="328"/>
      <c r="C13" s="245" t="s">
        <v>622</v>
      </c>
      <c r="D13" s="103" t="s">
        <v>1886</v>
      </c>
      <c r="E13" s="123">
        <v>60</v>
      </c>
      <c r="F13" s="124"/>
      <c r="G13" s="113" t="str">
        <f>IFERROR(INDEX(온라인_반찬!$C$2:$H$594,MATCH($D13,온라인_반찬!$C$2:$C$594,0),6),"")</f>
        <v>{소시지[닭고기(국산)54.04%, 정제수, 돼지고기(국산)24.22%, 옥수수전분(러시아,헝가리,세르비아등).돈지방(국산),정제수, 정제소금)]45%, 떡(쌀:외국산)55%}90%, 소스(마늘,대두유,간장,케찹,물엿,참기름,참깨)10%</v>
      </c>
      <c r="H13" s="101" t="str">
        <f>IFERROR(INDEX(온라인_반찬!$D$2:$J$587,MATCH($D13,온라인_반찬!$C$2:$C$587,0),6),"")</f>
        <v>.5.6.10.12.15.16.21.</v>
      </c>
      <c r="I13" s="109" t="s">
        <v>2270</v>
      </c>
      <c r="J13" s="102">
        <v>59</v>
      </c>
      <c r="K13" s="101">
        <v>3660</v>
      </c>
      <c r="L13" s="129" t="str">
        <f>IFERROR(INDEX(온라인_반찬!$C$2:$J$587,MATCH($D13,온라인_반찬!$C$2:$C$587,0),8),"")</f>
        <v>한입쌀떡볶이(동성식품), 문어모양비엔나(진주햄)</v>
      </c>
      <c r="M13" s="120"/>
      <c r="N13" s="120"/>
      <c r="O13" s="120"/>
    </row>
    <row r="14" spans="2:23" ht="39.950000000000003" customHeight="1">
      <c r="B14" s="328"/>
      <c r="C14" s="160" t="s">
        <v>290</v>
      </c>
      <c r="D14" s="103" t="s">
        <v>2210</v>
      </c>
      <c r="E14" s="123">
        <v>45</v>
      </c>
      <c r="F14" s="124"/>
      <c r="G14" s="113" t="str">
        <f>IFERROR(INDEX(온라인_반찬!$C$2:$H$594,MATCH($D14,온라인_반찬!$C$2:$C$594,0),6),"")</f>
        <v>방울토마토(국산)55%, 보코치니치즈(모짜렐라치즈:미국산)20%, 청포도(페루산), 파인애플청크(수입산), 샐러드채소(치커리, 어린잎채소:국산)12%, 오리엔탈드레싱13%</v>
      </c>
      <c r="H14" s="101" t="str">
        <f>IFERROR(INDEX(온라인_반찬!$D$2:$J$587,MATCH($D14,온라인_반찬!$C$2:$C$587,0),6),"")</f>
        <v>.2.5.6.12.</v>
      </c>
      <c r="I14" s="109" t="s">
        <v>2270</v>
      </c>
      <c r="J14" s="102">
        <v>59</v>
      </c>
      <c r="K14" s="101">
        <v>2745</v>
      </c>
      <c r="L14" s="129" t="str">
        <f>IFERROR(INDEX(온라인_반찬!$C$2:$J$587,MATCH($D14,온라인_반찬!$C$2:$C$587,0),8),"")</f>
        <v>오리엔탈드레싱(쉐프솔루션)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103" t="s">
        <v>630</v>
      </c>
      <c r="E15" s="123">
        <v>35</v>
      </c>
      <c r="F15" s="123"/>
      <c r="G15" s="113" t="str">
        <f>IFERROR(INDEX(온라인_반찬!$C$2:$H$594,MATCH($D15,온라인_반찬!$C$2:$C$594,0),6),"")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IFERROR(INDEX(온라인_반찬!$D$2:$J$587,MATCH($D15,온라인_반찬!$C$2:$C$587,0),6),"")</f>
        <v>.9.12.</v>
      </c>
      <c r="I15" s="109" t="s">
        <v>2270</v>
      </c>
      <c r="J15" s="102">
        <v>59</v>
      </c>
      <c r="K15" s="101">
        <v>2135</v>
      </c>
      <c r="L15" s="129" t="str">
        <f>IFERROR(INDEX(온라인_반찬!$C$2:$J$587,MATCH($D15,온라인_반찬!$C$2:$C$587,0),8),"")</f>
        <v>토마토김치(종가집)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103" t="s">
        <v>1964</v>
      </c>
      <c r="E16" s="123">
        <v>70</v>
      </c>
      <c r="F16" s="123"/>
      <c r="G16" s="113" t="str">
        <f>IFERROR(INDEX(온라인_반찬!$C$2:$H$594,MATCH($D16,온라인_반찬!$C$2:$C$594,0),6),"")</f>
        <v>돼지고기(삼겹살:국산), 소금, 후추</v>
      </c>
      <c r="H16" s="101" t="str">
        <f>IFERROR(INDEX(온라인_반찬!$D$2:$J$587,MATCH($D16,온라인_반찬!$C$2:$C$587,0),6),"")</f>
        <v>.10.</v>
      </c>
      <c r="I16" s="109" t="s">
        <v>2270</v>
      </c>
      <c r="J16" s="102">
        <v>15</v>
      </c>
      <c r="K16" s="101">
        <v>1250</v>
      </c>
      <c r="L16" s="165">
        <f>IFERROR(INDEX(온라인_반찬!$C$2:$J$587,MATCH($D16,온라인_반찬!$C$2:$C$587,0),8),"")</f>
        <v>0</v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2269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2269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2269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2269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2269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2269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0D61-D2D0-4EA2-A4E4-B986B44BEB0D}">
  <sheetPr>
    <pageSetUpPr fitToPage="1"/>
  </sheetPr>
  <dimension ref="B1:W29"/>
  <sheetViews>
    <sheetView zoomScale="80" zoomScaleNormal="80" zoomScaleSheetLayoutView="75" workbookViewId="0">
      <selection activeCell="D3" sqref="D3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2276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1361</v>
      </c>
      <c r="E3" s="262">
        <v>140</v>
      </c>
      <c r="F3" s="262"/>
      <c r="G3" s="263" t="str">
        <f>IFERROR(INDEX(온라인_반찬!$C$2:$H$594,MATCH($D3,온라인_반찬!$C$2:$C$594,0),6),"")</f>
        <v>쌀(국산)90%, 현미(국산.친환경)5%, 정제수</v>
      </c>
      <c r="H3" s="264">
        <f>IFERROR(INDEX(온라인_반찬!$D$2:$J$587,MATCH($D3,온라인_반찬!$C$2:$C$587,0),6),"")</f>
        <v>0</v>
      </c>
      <c r="I3" s="265" t="s">
        <v>2277</v>
      </c>
      <c r="J3" s="266">
        <v>3117</v>
      </c>
      <c r="K3" s="264">
        <v>476795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1158</v>
      </c>
      <c r="E4" s="123">
        <v>150</v>
      </c>
      <c r="F4" s="124"/>
      <c r="G4" s="113" t="str">
        <f>IFERROR(INDEX(온라인_반찬!$C$2:$H$594,MATCH($D4,온라인_반찬!$C$2:$C$594,0),6),"")</f>
        <v>무(국산)20%, 오징어(미국산, 국산)5%, 양파, 대파, 마늘, 정제수, 멸치육수농축액, 국간장, 소금</v>
      </c>
      <c r="H4" s="101" t="str">
        <f>IFERROR(INDEX(온라인_반찬!$D$2:$J$587,MATCH($D4,온라인_반찬!$C$2:$C$587,0),6),"")</f>
        <v>.5.17.</v>
      </c>
      <c r="I4" s="109" t="s">
        <v>2277</v>
      </c>
      <c r="J4" s="102">
        <v>3117</v>
      </c>
      <c r="K4" s="101">
        <v>469555</v>
      </c>
      <c r="L4" s="129">
        <f>IFERROR(INDEX(온라인_반찬!$C$2:$J$587,MATCH($D4,온라인_반찬!$C$2:$C$587,0),8),"")</f>
        <v>0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337" t="s">
        <v>621</v>
      </c>
      <c r="D5" s="103" t="s">
        <v>1591</v>
      </c>
      <c r="E5" s="123">
        <v>40</v>
      </c>
      <c r="F5" s="124"/>
      <c r="G5" s="113" t="str">
        <f>IFERROR(INDEX(온라인_반찬!$C$2:$H$594,MATCH($D5,온라인_반찬!$C$2:$C$594,0),6),"")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5" s="101" t="str">
        <f>IFERROR(INDEX(온라인_반찬!$D$2:$J$587,MATCH($D5,온라인_반찬!$C$2:$C$587,0),6),"")</f>
        <v>.1.5.6.10.</v>
      </c>
      <c r="I5" s="109" t="s">
        <v>2277</v>
      </c>
      <c r="J5" s="102">
        <v>3117</v>
      </c>
      <c r="K5" s="101">
        <v>152202</v>
      </c>
      <c r="L5" s="129" t="str">
        <f>IFERROR(INDEX(온라인_반찬!$C$2:$J$587,MATCH($D5,온라인_반찬!$C$2:$C$587,0),8),"")</f>
        <v>맛있는 동글동글 목화솜 등심탕수육(이츠웰.하늘푸드)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338"/>
      <c r="D6" s="103" t="s">
        <v>1244</v>
      </c>
      <c r="E6" s="123">
        <v>20</v>
      </c>
      <c r="F6" s="124"/>
      <c r="G6" s="113" t="str">
        <f>IFERROR(INDEX(온라인_반찬!$C$2:$H$594,MATCH($D6,온라인_반찬!$C$2:$C$594,0),6),"")</f>
        <v>후르츠칵테일(과채가공품:필리핀산)11%, 식초, 간장, 설탕, 전분, 정제수</v>
      </c>
      <c r="H6" s="101" t="str">
        <f>IFERROR(INDEX(온라인_반찬!$D$2:$J$587,MATCH($D6,온라인_반찬!$C$2:$C$587,0),6),"")</f>
        <v>.5.</v>
      </c>
      <c r="I6" s="109" t="s">
        <v>2277</v>
      </c>
      <c r="J6" s="102">
        <v>3117</v>
      </c>
      <c r="K6" s="101">
        <v>67550</v>
      </c>
      <c r="L6" s="129" t="str">
        <f>IFERROR(INDEX(온라인_반찬!$C$2:$J$587,MATCH($D6,온라인_반찬!$C$2:$C$587,0),8),"")</f>
        <v>후르츠칵테일(리치스)</v>
      </c>
      <c r="M6" s="120"/>
      <c r="N6" s="120"/>
      <c r="R6" s="120"/>
      <c r="S6" s="280"/>
      <c r="T6" s="280"/>
      <c r="U6" s="280"/>
      <c r="V6" s="280"/>
      <c r="W6" s="280"/>
    </row>
    <row r="7" spans="2:23" ht="39.950000000000003" customHeight="1">
      <c r="B7" s="328"/>
      <c r="C7" s="245" t="s">
        <v>622</v>
      </c>
      <c r="D7" s="103" t="s">
        <v>2211</v>
      </c>
      <c r="E7" s="123">
        <v>40</v>
      </c>
      <c r="F7" s="124"/>
      <c r="G7" s="113" t="str">
        <f>IFERROR(INDEX(온라인_반찬!$C$2:$H$594,MATCH($D7,온라인_반찬!$C$2:$C$594,0),6),"")</f>
        <v>메추리알(국산)65%, 어묵(연육:베트남산.중국산)15%, 짜장분말, 춘장, 대두유, 설탕, 정제수, 물엿</v>
      </c>
      <c r="H7" s="101" t="str">
        <f>IFERROR(INDEX(온라인_반찬!$D$2:$J$587,MATCH($D7,온라인_반찬!$C$2:$C$587,0),6),"")</f>
        <v>.1.5.6.10.15.16.</v>
      </c>
      <c r="I7" s="109" t="s">
        <v>2277</v>
      </c>
      <c r="J7" s="102">
        <v>3117</v>
      </c>
      <c r="K7" s="101">
        <v>144295</v>
      </c>
      <c r="L7" s="129" t="str">
        <f>IFERROR(INDEX(온라인_반찬!$C$2:$J$587,MATCH($D7,온라인_반찬!$C$2:$C$587,0),8),"")</f>
        <v>깐메추리알(조인)</v>
      </c>
      <c r="M7" s="120" t="s">
        <v>811</v>
      </c>
      <c r="N7" s="120"/>
      <c r="P7" s="120" t="s">
        <v>1258</v>
      </c>
      <c r="R7" s="120"/>
      <c r="S7" s="120" t="s">
        <v>915</v>
      </c>
    </row>
    <row r="8" spans="2:23" ht="39.950000000000003" customHeight="1">
      <c r="B8" s="328"/>
      <c r="C8" s="160" t="s">
        <v>290</v>
      </c>
      <c r="D8" s="103" t="s">
        <v>627</v>
      </c>
      <c r="E8" s="123">
        <v>35</v>
      </c>
      <c r="F8" s="124"/>
      <c r="G8" s="113" t="str">
        <f>IFERROR(INDEX(온라인_반찬!$C$2:$H$594,MATCH($D8,온라인_반찬!$C$2:$C$594,0),6),"")</f>
        <v>감자(국산)90%, 당근(국산)3.5%, 대두유, 마늘, 소금, 후추, 참기름, 참깨</v>
      </c>
      <c r="H8" s="101" t="str">
        <f>IFERROR(INDEX(온라인_반찬!$D$2:$J$587,MATCH($D8,온라인_반찬!$C$2:$C$587,0),6),"")</f>
        <v>.5.21.</v>
      </c>
      <c r="I8" s="109" t="s">
        <v>2277</v>
      </c>
      <c r="J8" s="102">
        <v>3117</v>
      </c>
      <c r="K8" s="101">
        <v>124610</v>
      </c>
      <c r="L8" s="129">
        <f>IFERROR(INDEX(온라인_반찬!$C$2:$J$587,MATCH($D8,온라인_반찬!$C$2:$C$587,0),8),"")</f>
        <v>0</v>
      </c>
      <c r="M8" s="120" t="s">
        <v>688</v>
      </c>
      <c r="N8" s="120"/>
      <c r="P8" s="120" t="s">
        <v>1277</v>
      </c>
      <c r="R8" s="120"/>
      <c r="S8" s="120" t="s">
        <v>833</v>
      </c>
    </row>
    <row r="9" spans="2:23" ht="39.950000000000003" customHeight="1">
      <c r="B9" s="328"/>
      <c r="C9" s="246" t="s">
        <v>820</v>
      </c>
      <c r="D9" s="103" t="s">
        <v>630</v>
      </c>
      <c r="E9" s="123">
        <v>25</v>
      </c>
      <c r="F9" s="123"/>
      <c r="G9" s="113" t="str">
        <f>IFERROR(INDEX(온라인_반찬!$C$2:$H$594,MATCH($D9,온라인_반찬!$C$2:$C$594,0),6),"")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IFERROR(INDEX(온라인_반찬!$D$2:$J$587,MATCH($D9,온라인_반찬!$C$2:$C$587,0),6),"")</f>
        <v>.9.12.</v>
      </c>
      <c r="I9" s="109" t="s">
        <v>2277</v>
      </c>
      <c r="J9" s="102">
        <v>3117</v>
      </c>
      <c r="K9" s="101">
        <v>86985</v>
      </c>
      <c r="L9" s="129" t="str">
        <f>IFERROR(INDEX(온라인_반찬!$C$2:$J$587,MATCH($D9,온라인_반찬!$C$2:$C$587,0),8),"")</f>
        <v>토마토김치(종가집)</v>
      </c>
      <c r="M9" s="120" t="s">
        <v>1406</v>
      </c>
      <c r="N9" s="120"/>
      <c r="P9" s="120" t="s">
        <v>1417</v>
      </c>
      <c r="R9" s="120"/>
      <c r="S9" s="120" t="s">
        <v>1666</v>
      </c>
    </row>
    <row r="10" spans="2:23" ht="39.950000000000003" customHeight="1" thickBot="1">
      <c r="B10" s="329"/>
      <c r="C10" s="161" t="s">
        <v>97</v>
      </c>
      <c r="D10" s="211"/>
      <c r="E10" s="131"/>
      <c r="F10" s="132"/>
      <c r="G10" s="277" t="s">
        <v>2280</v>
      </c>
      <c r="H10" s="166"/>
      <c r="I10" s="137"/>
      <c r="J10" s="134">
        <v>1</v>
      </c>
      <c r="K10" s="134">
        <v>0.25</v>
      </c>
      <c r="L10" s="135"/>
      <c r="M10" s="120"/>
      <c r="N10" s="120"/>
      <c r="O10" s="120"/>
      <c r="Q10" s="120"/>
      <c r="R10" s="120"/>
    </row>
    <row r="11" spans="2:23" ht="39.950000000000003" customHeight="1">
      <c r="B11" s="328" t="s">
        <v>2227</v>
      </c>
      <c r="C11" s="251" t="s">
        <v>620</v>
      </c>
      <c r="D11" s="261" t="s">
        <v>1361</v>
      </c>
      <c r="E11" s="225">
        <v>150</v>
      </c>
      <c r="F11" s="225"/>
      <c r="G11" s="226" t="str">
        <f>IFERROR(INDEX(온라인_반찬!$C$2:$H$594,MATCH($D11,온라인_반찬!$C$2:$C$594,0),6),"")</f>
        <v>쌀(국산)90%, 현미(국산.친환경)5%, 정제수</v>
      </c>
      <c r="H11" s="227">
        <f>IFERROR(INDEX(온라인_반찬!$D$2:$J$587,MATCH($D11,온라인_반찬!$C$2:$C$587,0),6),"")</f>
        <v>0</v>
      </c>
      <c r="I11" s="228" t="s">
        <v>2278</v>
      </c>
      <c r="J11" s="266">
        <v>72</v>
      </c>
      <c r="K11" s="264">
        <v>7800</v>
      </c>
      <c r="L11" s="229">
        <f>IFERROR(INDEX(온라인_반찬!$C$2:$J$587,MATCH($D11,온라인_반찬!$C$2:$C$587,0),8),"")</f>
        <v>0</v>
      </c>
      <c r="M11" s="120" t="s">
        <v>1408</v>
      </c>
      <c r="N11" s="120"/>
      <c r="O11" s="120"/>
      <c r="P11" s="120" t="s">
        <v>1467</v>
      </c>
      <c r="S11" s="120" t="s">
        <v>1667</v>
      </c>
    </row>
    <row r="12" spans="2:23" ht="39.950000000000003" customHeight="1">
      <c r="B12" s="328"/>
      <c r="C12" s="286" t="s">
        <v>624</v>
      </c>
      <c r="D12" s="281" t="s">
        <v>1847</v>
      </c>
      <c r="E12" s="282">
        <v>160</v>
      </c>
      <c r="F12" s="283"/>
      <c r="G12" s="284" t="str">
        <f>IFERROR(INDEX(온라인_반찬!$C$2:$H$594,MATCH($D12,온라인_반찬!$C$2:$C$594,0),6),"")</f>
        <v>무(국산)20%, 오징어(미국산, 국산)5%, 양파, 대파, 마늘, 정제수, 멸치육수농축액, 국간장, 고춧가루, 소금</v>
      </c>
      <c r="H12" s="285" t="str">
        <f>IFERROR(INDEX(온라인_반찬!$D$2:$J$587,MATCH($D12,온라인_반찬!$C$2:$C$587,0),6),"")</f>
        <v>.5.17.</v>
      </c>
      <c r="I12" s="109" t="s">
        <v>2278</v>
      </c>
      <c r="J12" s="102">
        <v>72</v>
      </c>
      <c r="K12" s="101">
        <v>8010</v>
      </c>
      <c r="L12" s="129">
        <f>IFERROR(INDEX(온라인_반찬!$C$2:$J$587,MATCH($D12,온라인_반찬!$C$2:$C$587,0),8),"")</f>
        <v>0</v>
      </c>
      <c r="M12" s="120" t="s">
        <v>1865</v>
      </c>
      <c r="N12" s="120"/>
      <c r="O12" s="120"/>
      <c r="P12" s="120" t="s">
        <v>1917</v>
      </c>
      <c r="S12" s="120" t="s">
        <v>1918</v>
      </c>
    </row>
    <row r="13" spans="2:23" ht="39.950000000000003" customHeight="1">
      <c r="B13" s="328"/>
      <c r="C13" s="337" t="s">
        <v>621</v>
      </c>
      <c r="D13" s="103" t="s">
        <v>1591</v>
      </c>
      <c r="E13" s="123">
        <v>60</v>
      </c>
      <c r="F13" s="124"/>
      <c r="G13" s="113" t="str">
        <f>IFERROR(INDEX(온라인_반찬!$C$2:$H$594,MATCH($D13,온라인_반찬!$C$2:$C$594,0),6),"")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13" s="101" t="str">
        <f>IFERROR(INDEX(온라인_반찬!$D$2:$J$587,MATCH($D13,온라인_반찬!$C$2:$C$587,0),6),"")</f>
        <v>.1.5.6.10.</v>
      </c>
      <c r="I13" s="109" t="s">
        <v>2278</v>
      </c>
      <c r="J13" s="102">
        <v>72</v>
      </c>
      <c r="K13" s="101">
        <v>4878</v>
      </c>
      <c r="L13" s="129" t="str">
        <f>IFERROR(INDEX(온라인_반찬!$C$2:$J$587,MATCH($D13,온라인_반찬!$C$2:$C$587,0),8),"")</f>
        <v>맛있는 동글동글 목화솜 등심탕수육(이츠웰.하늘푸드)</v>
      </c>
      <c r="M13" s="120"/>
      <c r="N13" s="120"/>
    </row>
    <row r="14" spans="2:23" ht="39.950000000000003" customHeight="1">
      <c r="B14" s="328"/>
      <c r="C14" s="338"/>
      <c r="D14" s="103" t="s">
        <v>1244</v>
      </c>
      <c r="E14" s="123">
        <v>25</v>
      </c>
      <c r="F14" s="124"/>
      <c r="G14" s="113" t="str">
        <f>IFERROR(INDEX(온라인_반찬!$C$2:$H$594,MATCH($D14,온라인_반찬!$C$2:$C$594,0),6),"")</f>
        <v>후르츠칵테일(과채가공품:필리핀산)11%, 식초, 간장, 설탕, 전분, 정제수</v>
      </c>
      <c r="H14" s="101" t="str">
        <f>IFERROR(INDEX(온라인_반찬!$D$2:$J$587,MATCH($D14,온라인_반찬!$C$2:$C$587,0),6),"")</f>
        <v>.5.</v>
      </c>
      <c r="I14" s="109" t="s">
        <v>2278</v>
      </c>
      <c r="J14" s="102">
        <v>72</v>
      </c>
      <c r="K14" s="101">
        <v>2032.5</v>
      </c>
      <c r="L14" s="129" t="str">
        <f>IFERROR(INDEX(온라인_반찬!$C$2:$J$587,MATCH($D14,온라인_반찬!$C$2:$C$587,0),8),"")</f>
        <v>후르츠칵테일(리치스)</v>
      </c>
      <c r="M14" s="120"/>
      <c r="N14" s="120"/>
      <c r="O14" s="120"/>
    </row>
    <row r="15" spans="2:23" ht="39.950000000000003" customHeight="1">
      <c r="B15" s="328"/>
      <c r="C15" s="245" t="s">
        <v>622</v>
      </c>
      <c r="D15" s="103" t="s">
        <v>2211</v>
      </c>
      <c r="E15" s="123">
        <v>50</v>
      </c>
      <c r="F15" s="124"/>
      <c r="G15" s="113" t="str">
        <f>IFERROR(INDEX(온라인_반찬!$C$2:$H$594,MATCH($D15,온라인_반찬!$C$2:$C$594,0),6),"")</f>
        <v>메추리알(국산)65%, 어묵(연육:베트남산.중국산)15%, 짜장분말, 춘장, 대두유, 설탕, 정제수, 물엿</v>
      </c>
      <c r="H15" s="101" t="str">
        <f>IFERROR(INDEX(온라인_반찬!$D$2:$J$587,MATCH($D15,온라인_반찬!$C$2:$C$587,0),6),"")</f>
        <v>.1.5.6.10.15.16.</v>
      </c>
      <c r="I15" s="109" t="s">
        <v>2278</v>
      </c>
      <c r="J15" s="102">
        <v>72</v>
      </c>
      <c r="K15" s="101">
        <v>3700</v>
      </c>
      <c r="L15" s="129" t="str">
        <f>IFERROR(INDEX(온라인_반찬!$C$2:$J$587,MATCH($D15,온라인_반찬!$C$2:$C$587,0),8),"")</f>
        <v>깐메추리알(조인)</v>
      </c>
      <c r="M15" s="120"/>
      <c r="N15" s="120"/>
      <c r="O15" s="120"/>
    </row>
    <row r="16" spans="2:23" ht="39.950000000000003" customHeight="1">
      <c r="B16" s="328"/>
      <c r="C16" s="160" t="s">
        <v>290</v>
      </c>
      <c r="D16" s="103" t="s">
        <v>627</v>
      </c>
      <c r="E16" s="123">
        <v>40</v>
      </c>
      <c r="F16" s="124"/>
      <c r="G16" s="113" t="str">
        <f>IFERROR(INDEX(온라인_반찬!$C$2:$H$594,MATCH($D16,온라인_반찬!$C$2:$C$594,0),6),"")</f>
        <v>감자(국산)90%, 당근(국산)3.5%, 대두유, 마늘, 소금, 후추, 참기름, 참깨</v>
      </c>
      <c r="H16" s="101" t="str">
        <f>IFERROR(INDEX(온라인_반찬!$D$2:$J$587,MATCH($D16,온라인_반찬!$C$2:$C$587,0),6),"")</f>
        <v>.5.21.</v>
      </c>
      <c r="I16" s="109" t="s">
        <v>2278</v>
      </c>
      <c r="J16" s="102">
        <v>72</v>
      </c>
      <c r="K16" s="101">
        <v>2960</v>
      </c>
      <c r="L16" s="129">
        <f>IFERROR(INDEX(온라인_반찬!$C$2:$J$587,MATCH($D16,온라인_반찬!$C$2:$C$587,0),8),"")</f>
        <v>0</v>
      </c>
      <c r="M16" s="120"/>
      <c r="N16" s="120"/>
      <c r="O16" s="120"/>
    </row>
    <row r="17" spans="2:15" ht="39.950000000000003" customHeight="1">
      <c r="B17" s="328"/>
      <c r="C17" s="246" t="s">
        <v>820</v>
      </c>
      <c r="D17" s="103" t="s">
        <v>630</v>
      </c>
      <c r="E17" s="123">
        <v>35</v>
      </c>
      <c r="F17" s="123"/>
      <c r="G17" s="113" t="str">
        <f>IFERROR(INDEX(온라인_반찬!$C$2:$H$594,MATCH($D17,온라인_반찬!$C$2:$C$594,0),6),"")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101" t="str">
        <f>IFERROR(INDEX(온라인_반찬!$D$2:$J$587,MATCH($D17,온라인_반찬!$C$2:$C$587,0),6),"")</f>
        <v>.9.12.</v>
      </c>
      <c r="I17" s="109" t="s">
        <v>2278</v>
      </c>
      <c r="J17" s="102">
        <v>72</v>
      </c>
      <c r="K17" s="101">
        <v>2590</v>
      </c>
      <c r="L17" s="129" t="str">
        <f>IFERROR(INDEX(온라인_반찬!$C$2:$J$587,MATCH($D17,온라인_반찬!$C$2:$C$587,0),8),"")</f>
        <v>토마토김치(종가집)</v>
      </c>
      <c r="M17" s="120"/>
      <c r="N17" s="120"/>
      <c r="O17" s="120"/>
    </row>
    <row r="18" spans="2:15" ht="39.950000000000003" customHeight="1">
      <c r="B18" s="328"/>
      <c r="C18" s="222" t="s">
        <v>1405</v>
      </c>
      <c r="D18" s="103" t="s">
        <v>1469</v>
      </c>
      <c r="E18" s="123"/>
      <c r="F18" s="123">
        <v>1</v>
      </c>
      <c r="G18" s="113" t="str">
        <f>IFERROR(INDEX(온라인_반찬!$C$2:$H$594,MATCH($D18,온라인_반찬!$C$2:$C$594,0),6),"")</f>
        <v>닭다리(닭고기:국산), 맛술, 소금, 월계수잎, 대두유</v>
      </c>
      <c r="H18" s="101" t="str">
        <f>IFERROR(INDEX(온라인_반찬!$D$2:$J$587,MATCH($D18,온라인_반찬!$C$2:$C$587,0),6),"")</f>
        <v>.5.15.</v>
      </c>
      <c r="I18" s="109" t="s">
        <v>2278</v>
      </c>
      <c r="J18" s="102">
        <v>28</v>
      </c>
      <c r="K18" s="101">
        <v>30</v>
      </c>
      <c r="L18" s="165">
        <f>IFERROR(INDEX(온라인_반찬!$C$2:$J$587,MATCH($D18,온라인_반찬!$C$2:$C$587,0),8),"")</f>
        <v>0</v>
      </c>
      <c r="M18" s="120"/>
      <c r="N18" s="120"/>
      <c r="O18" s="120"/>
    </row>
    <row r="19" spans="2:15" ht="39.950000000000003" customHeight="1" thickBot="1">
      <c r="B19" s="329"/>
      <c r="C19" s="161" t="s">
        <v>97</v>
      </c>
      <c r="D19" s="211"/>
      <c r="E19" s="131"/>
      <c r="F19" s="132"/>
      <c r="G19" s="215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5" ht="39.950000000000003" customHeight="1">
      <c r="B20" s="334" t="s">
        <v>1619</v>
      </c>
      <c r="C20" s="100" t="s">
        <v>620</v>
      </c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2277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337" t="s">
        <v>622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2277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338"/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2277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623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2277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>
      <c r="B24" s="335"/>
      <c r="C24" s="114" t="s">
        <v>820</v>
      </c>
      <c r="D24" s="162"/>
      <c r="E24" s="123"/>
      <c r="F24" s="123"/>
      <c r="G24" s="113" t="str">
        <f>IFERROR(INDEX(온라인_반찬!$C$2:$H$594,MATCH($D24,온라인_반찬!$C$2:$C$594,0),6),"")</f>
        <v/>
      </c>
      <c r="H24" s="101" t="str">
        <f>IFERROR(INDEX(온라인_반찬!$D$2:$J$587,MATCH($D24,온라인_반찬!$C$2:$C$587,0),6),"")</f>
        <v/>
      </c>
      <c r="I24" s="109" t="s">
        <v>2277</v>
      </c>
      <c r="J24" s="158"/>
      <c r="K24" s="158"/>
      <c r="L24" s="129" t="str">
        <f>IFERROR(INDEX(온라인_반찬!$C$2:$J$587,MATCH($D24,온라인_반찬!$C$2:$C$587,0),8),"")</f>
        <v/>
      </c>
      <c r="M24" s="120"/>
    </row>
    <row r="25" spans="2:15" ht="39.950000000000003" customHeight="1">
      <c r="B25" s="335"/>
      <c r="C25" s="160" t="s">
        <v>102</v>
      </c>
      <c r="D25" s="162"/>
      <c r="E25" s="123"/>
      <c r="F25" s="123"/>
      <c r="G25" s="113" t="str">
        <f>IFERROR(INDEX(온라인_반찬!$C$2:$H$594,MATCH($D25,온라인_반찬!$C$2:$C$594,0),6),"")</f>
        <v/>
      </c>
      <c r="H25" s="101" t="str">
        <f>IFERROR(INDEX(온라인_반찬!$D$2:$J$587,MATCH($D25,온라인_반찬!$C$2:$C$587,0),6),"")</f>
        <v/>
      </c>
      <c r="I25" s="109" t="s">
        <v>2277</v>
      </c>
      <c r="J25" s="158"/>
      <c r="K25" s="158"/>
      <c r="L25" s="129" t="str">
        <f>IFERROR(INDEX(온라인_반찬!$C$2:$J$587,MATCH($D25,온라인_반찬!$C$2:$C$587,0),8),"")</f>
        <v/>
      </c>
      <c r="M25" s="120"/>
    </row>
    <row r="26" spans="2:15" ht="39.950000000000003" customHeight="1" thickBot="1">
      <c r="B26" s="336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5">
      <c r="L27" s="32"/>
    </row>
    <row r="29" spans="2:15">
      <c r="E29"/>
      <c r="F29" s="121"/>
    </row>
  </sheetData>
  <mergeCells count="8">
    <mergeCell ref="B1:L1"/>
    <mergeCell ref="B3:B10"/>
    <mergeCell ref="S5:W5"/>
    <mergeCell ref="B11:B19"/>
    <mergeCell ref="B20:B26"/>
    <mergeCell ref="C21:C22"/>
    <mergeCell ref="C5:C6"/>
    <mergeCell ref="C13:C14"/>
  </mergeCells>
  <phoneticPr fontId="12" type="noConversion"/>
  <pageMargins left="0" right="0" top="0.74791663885116577" bottom="0.74791663885116577" header="0.31486111879348755" footer="0.31486111879348755"/>
  <pageSetup paperSize="9" scale="64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9E2D-C6C0-405A-8EB9-413E0F4D3D00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2283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1787</v>
      </c>
      <c r="E3" s="262">
        <v>140</v>
      </c>
      <c r="F3" s="262"/>
      <c r="G3" s="263" t="str">
        <f>IFERROR(INDEX(온라인_반찬!$C$2:$H$594,MATCH($D3,온라인_반찬!$C$2:$C$594,0),6),"")</f>
        <v>쌀(국산)90%, 귀리(국산.친환경)5%, 정제수</v>
      </c>
      <c r="H3" s="264">
        <f>IFERROR(INDEX(온라인_반찬!$D$2:$J$587,MATCH($D3,온라인_반찬!$C$2:$C$587,0),6),"")</f>
        <v>0</v>
      </c>
      <c r="I3" s="265" t="s">
        <v>2281</v>
      </c>
      <c r="J3" s="266">
        <v>3187</v>
      </c>
      <c r="K3" s="264">
        <v>482675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1216</v>
      </c>
      <c r="E4" s="123">
        <v>150</v>
      </c>
      <c r="F4" s="124"/>
      <c r="G4" s="113" t="str">
        <f>IFERROR(INDEX(온라인_반찬!$C$2:$H$594,MATCH($D4,온라인_반찬!$C$2:$C$594,0),6),"")</f>
        <v>무(국산)15%, 소고기(호주산)8%, 두부(원료수입산)5%, 양파, 대파, 마늘, 정제수, 멸치육수농축액, 국간장, 소금</v>
      </c>
      <c r="H4" s="101" t="str">
        <f>IFERROR(INDEX(온라인_반찬!$D$2:$J$587,MATCH($D4,온라인_반찬!$C$2:$C$587,0),6),"")</f>
        <v>.5.16.</v>
      </c>
      <c r="I4" s="109" t="s">
        <v>2281</v>
      </c>
      <c r="J4" s="102">
        <v>3187</v>
      </c>
      <c r="K4" s="101">
        <v>494335</v>
      </c>
      <c r="L4" s="129" t="str">
        <f>IFERROR(INDEX(온라인_반찬!$C$2:$J$587,MATCH($D4,온라인_반찬!$C$2:$C$587,0),8),"")</f>
        <v>40g/60g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1508</v>
      </c>
      <c r="E5" s="123">
        <v>60</v>
      </c>
      <c r="F5" s="124"/>
      <c r="G5" s="113" t="str">
        <f>IFERROR(INDEX(온라인_반찬!$C$2:$H$594,MATCH($D5,온라인_반찬!$C$2:$C$594,0),6),"")</f>
        <v>닭(가슴살.다리살:국산)75%, 브로콜리(국산)5%, 당근, 파, 마늘, 맛술, 후추, 간장, 설탕, 참기름, 참깨</v>
      </c>
      <c r="H5" s="101" t="str">
        <f>IFERROR(INDEX(온라인_반찬!$D$2:$J$587,MATCH($D5,온라인_반찬!$C$2:$C$587,0),6),"")</f>
        <v>.5.15.21.</v>
      </c>
      <c r="I5" s="109" t="s">
        <v>2281</v>
      </c>
      <c r="J5" s="102">
        <v>3187</v>
      </c>
      <c r="K5" s="101">
        <v>232415</v>
      </c>
      <c r="L5" s="129">
        <f>IFERROR(INDEX(온라인_반찬!$C$2:$J$587,MATCH($D5,온라인_반찬!$C$2:$C$587,0),8),"")</f>
        <v>0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2010</v>
      </c>
      <c r="E6" s="123"/>
      <c r="F6" s="124">
        <v>2</v>
      </c>
      <c r="G6" s="113" t="str">
        <f>IFERROR(INDEX(온라인_반찬!$C$2:$H$594,MATCH($D6,온라인_반찬!$C$2:$C$594,0),6),"")</f>
        <v>돼지고기(국내산)25.06%,소고기(국내산)5%,양배추,양파(국내산),설탕,빵가루,표고버섯,옥수수전본,대파,당근,양조간장,마늘,참기름,생강,소금,후추</v>
      </c>
      <c r="H6" s="101" t="str">
        <f>IFERROR(INDEX(온라인_반찬!$D$2:$J$587,MATCH($D6,온라인_반찬!$C$2:$C$587,0),6),"")</f>
        <v>.5.6.10.16.</v>
      </c>
      <c r="I6" s="109" t="s">
        <v>2281</v>
      </c>
      <c r="J6" s="102">
        <v>3187</v>
      </c>
      <c r="K6" s="101">
        <v>7345.4000000000024</v>
      </c>
      <c r="L6" s="129" t="str">
        <f>IFERROR(INDEX(온라인_반찬!$C$2:$J$587,MATCH($D6,온라인_반찬!$C$2:$C$587,0),8),"")</f>
        <v>육즙가득미니떡갈비(아이누리)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2213</v>
      </c>
      <c r="E7" s="123">
        <v>25</v>
      </c>
      <c r="F7" s="124"/>
      <c r="G7" s="113" t="str">
        <f>IFERROR(INDEX(온라인_반찬!$C$2:$H$594,MATCH($D7,온라인_반찬!$C$2:$C$594,0),6),"")</f>
        <v>숙주(원료수입산)90%, 당근, 마늘, 대파, 참치액, 소금, 참기름, 참깨</v>
      </c>
      <c r="H7" s="101" t="str">
        <f>IFERROR(INDEX(온라인_반찬!$D$2:$J$587,MATCH($D7,온라인_반찬!$C$2:$C$587,0),6),"")</f>
        <v>.5.21.</v>
      </c>
      <c r="I7" s="109" t="s">
        <v>2281</v>
      </c>
      <c r="J7" s="102">
        <v>3187</v>
      </c>
      <c r="K7" s="101">
        <v>96817.5</v>
      </c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631</v>
      </c>
      <c r="E8" s="123">
        <v>25</v>
      </c>
      <c r="F8" s="123"/>
      <c r="G8" s="113" t="str">
        <f>IFERROR(INDEX(온라인_반찬!$C$2:$H$594,MATCH($D8,온라인_반찬!$C$2:$C$594,0),6),"")</f>
        <v>무(국산)85.2%, 고추가루(국산), 밀가루풀(국산), 파, 마늘, 새우젓 등 양념(국산)</v>
      </c>
      <c r="H8" s="101" t="str">
        <f>IFERROR(INDEX(온라인_반찬!$D$2:$J$587,MATCH($D8,온라인_반찬!$C$2:$C$587,0),6),"")</f>
        <v>.6.9.</v>
      </c>
      <c r="I8" s="109" t="s">
        <v>2281</v>
      </c>
      <c r="J8" s="102">
        <v>3187</v>
      </c>
      <c r="K8" s="101">
        <v>89912.5</v>
      </c>
      <c r="L8" s="129">
        <f>IFERROR(INDEX(온라인_반찬!$C$2:$J$587,MATCH($D8,온라인_반찬!$C$2:$C$587,0),8),"")</f>
        <v>0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 t="s">
        <v>2328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8" t="s">
        <v>2227</v>
      </c>
      <c r="C10" s="251" t="s">
        <v>620</v>
      </c>
      <c r="D10" s="261" t="s">
        <v>1787</v>
      </c>
      <c r="E10" s="225">
        <v>150</v>
      </c>
      <c r="F10" s="225"/>
      <c r="G10" s="226" t="str">
        <f>IFERROR(INDEX(온라인_반찬!$C$2:$H$594,MATCH($D10,온라인_반찬!$C$2:$C$594,0),6),"")</f>
        <v>쌀(국산)90%, 귀리(국산.친환경)5%, 정제수</v>
      </c>
      <c r="H10" s="227">
        <f>IFERROR(INDEX(온라인_반찬!$D$2:$J$587,MATCH($D10,온라인_반찬!$C$2:$C$587,0),6),"")</f>
        <v>0</v>
      </c>
      <c r="I10" s="228" t="s">
        <v>2282</v>
      </c>
      <c r="J10" s="266">
        <v>72</v>
      </c>
      <c r="K10" s="264">
        <v>7800</v>
      </c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45" t="s">
        <v>624</v>
      </c>
      <c r="D11" s="103" t="s">
        <v>1216</v>
      </c>
      <c r="E11" s="123">
        <v>160</v>
      </c>
      <c r="F11" s="124"/>
      <c r="G11" s="113" t="str">
        <f>IFERROR(INDEX(온라인_반찬!$C$2:$H$594,MATCH($D11,온라인_반찬!$C$2:$C$594,0),6),"")</f>
        <v>무(국산)15%, 소고기(호주산)8%, 두부(원료수입산)5%, 양파, 대파, 마늘, 정제수, 멸치육수농축액, 국간장, 소금</v>
      </c>
      <c r="H11" s="101" t="str">
        <f>IFERROR(INDEX(온라인_반찬!$D$2:$J$587,MATCH($D11,온라인_반찬!$C$2:$C$587,0),6),"")</f>
        <v>.5.16.</v>
      </c>
      <c r="I11" s="109" t="s">
        <v>2282</v>
      </c>
      <c r="J11" s="102">
        <v>72</v>
      </c>
      <c r="K11" s="101">
        <v>8160</v>
      </c>
      <c r="L11" s="129" t="str">
        <f>IFERROR(INDEX(온라인_반찬!$C$2:$J$587,MATCH($D11,온라인_반찬!$C$2:$C$587,0),8),"")</f>
        <v>40g/60g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45" t="s">
        <v>621</v>
      </c>
      <c r="D12" s="103" t="s">
        <v>1508</v>
      </c>
      <c r="E12" s="123">
        <v>80</v>
      </c>
      <c r="F12" s="124"/>
      <c r="G12" s="113" t="str">
        <f>IFERROR(INDEX(온라인_반찬!$C$2:$H$594,MATCH($D12,온라인_반찬!$C$2:$C$594,0),6),"")</f>
        <v>닭(가슴살.다리살:국산)75%, 브로콜리(국산)5%, 당근, 파, 마늘, 맛술, 후추, 간장, 설탕, 참기름, 참깨</v>
      </c>
      <c r="H12" s="101" t="str">
        <f>IFERROR(INDEX(온라인_반찬!$D$2:$J$587,MATCH($D12,온라인_반찬!$C$2:$C$587,0),6),"")</f>
        <v>.5.15.21.</v>
      </c>
      <c r="I12" s="109" t="s">
        <v>2282</v>
      </c>
      <c r="J12" s="102">
        <v>72</v>
      </c>
      <c r="K12" s="101">
        <v>6504</v>
      </c>
      <c r="L12" s="129">
        <f>IFERROR(INDEX(온라인_반찬!$C$2:$J$587,MATCH($D12,온라인_반찬!$C$2:$C$587,0),8),"")</f>
        <v>0</v>
      </c>
      <c r="M12" s="120"/>
      <c r="N12" s="120"/>
    </row>
    <row r="13" spans="2:23" ht="39.950000000000003" customHeight="1">
      <c r="B13" s="328"/>
      <c r="C13" s="245" t="s">
        <v>622</v>
      </c>
      <c r="D13" s="103" t="s">
        <v>2010</v>
      </c>
      <c r="E13" s="123"/>
      <c r="F13" s="124">
        <v>2</v>
      </c>
      <c r="G13" s="113" t="str">
        <f>IFERROR(INDEX(온라인_반찬!$C$2:$H$594,MATCH($D13,온라인_반찬!$C$2:$C$594,0),6),"")</f>
        <v>돼지고기(국내산)25.06%,소고기(국내산)5%,양배추,양파(국내산),설탕,빵가루,표고버섯,옥수수전본,대파,당근,양조간장,마늘,참기름,생강,소금,후추</v>
      </c>
      <c r="H13" s="101" t="str">
        <f>IFERROR(INDEX(온라인_반찬!$D$2:$J$587,MATCH($D13,온라인_반찬!$C$2:$C$587,0),6),"")</f>
        <v>.5.6.10.16.</v>
      </c>
      <c r="I13" s="109" t="s">
        <v>2282</v>
      </c>
      <c r="J13" s="102">
        <v>72</v>
      </c>
      <c r="K13" s="101">
        <v>180</v>
      </c>
      <c r="L13" s="129" t="str">
        <f>IFERROR(INDEX(온라인_반찬!$C$2:$J$587,MATCH($D13,온라인_반찬!$C$2:$C$587,0),8),"")</f>
        <v>육즙가득미니떡갈비(아이누리)</v>
      </c>
      <c r="M13" s="120"/>
      <c r="N13" s="120"/>
      <c r="O13" s="120"/>
    </row>
    <row r="14" spans="2:23" ht="39.950000000000003" customHeight="1">
      <c r="B14" s="328"/>
      <c r="C14" s="160" t="s">
        <v>290</v>
      </c>
      <c r="D14" s="103" t="s">
        <v>2213</v>
      </c>
      <c r="E14" s="123">
        <v>40</v>
      </c>
      <c r="F14" s="124"/>
      <c r="G14" s="113" t="str">
        <f>IFERROR(INDEX(온라인_반찬!$C$2:$H$594,MATCH($D14,온라인_반찬!$C$2:$C$594,0),6),"")</f>
        <v>숙주(원료수입산)90%, 당근, 마늘, 대파, 참치액, 소금, 참기름, 참깨</v>
      </c>
      <c r="H14" s="101" t="str">
        <f>IFERROR(INDEX(온라인_반찬!$D$2:$J$587,MATCH($D14,온라인_반찬!$C$2:$C$587,0),6),"")</f>
        <v>.5.21.</v>
      </c>
      <c r="I14" s="109" t="s">
        <v>2282</v>
      </c>
      <c r="J14" s="102">
        <v>72</v>
      </c>
      <c r="K14" s="101">
        <v>2960</v>
      </c>
      <c r="L14" s="129">
        <f>IFERROR(INDEX(온라인_반찬!$C$2:$J$587,MATCH($D14,온라인_반찬!$C$2:$C$587,0),8),"")</f>
        <v>0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103" t="s">
        <v>631</v>
      </c>
      <c r="E15" s="123">
        <v>35</v>
      </c>
      <c r="F15" s="123"/>
      <c r="G15" s="113" t="str">
        <f>IFERROR(INDEX(온라인_반찬!$C$2:$H$594,MATCH($D15,온라인_반찬!$C$2:$C$594,0),6),"")</f>
        <v>무(국산)85.2%, 고추가루(국산), 밀가루풀(국산), 파, 마늘, 새우젓 등 양념(국산)</v>
      </c>
      <c r="H15" s="101" t="str">
        <f>IFERROR(INDEX(온라인_반찬!$D$2:$J$587,MATCH($D15,온라인_반찬!$C$2:$C$587,0),6),"")</f>
        <v>.6.9.</v>
      </c>
      <c r="I15" s="109" t="s">
        <v>2282</v>
      </c>
      <c r="J15" s="102">
        <v>72</v>
      </c>
      <c r="K15" s="101">
        <v>2590</v>
      </c>
      <c r="L15" s="129">
        <f>IFERROR(INDEX(온라인_반찬!$C$2:$J$587,MATCH($D15,온라인_반찬!$C$2:$C$587,0),8),"")</f>
        <v>0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103" t="s">
        <v>2074</v>
      </c>
      <c r="E16" s="123"/>
      <c r="F16" s="123" t="s">
        <v>2327</v>
      </c>
      <c r="G16" s="113" t="s">
        <v>2326</v>
      </c>
      <c r="H16" s="101" t="str">
        <f>IFERROR(INDEX(온라인_반찬!$D$2:$J$587,MATCH($D16,온라인_반찬!$C$2:$C$587,0),6),"")</f>
        <v/>
      </c>
      <c r="I16" s="109" t="s">
        <v>2282</v>
      </c>
      <c r="J16" s="102">
        <v>28</v>
      </c>
      <c r="K16" s="101">
        <v>90</v>
      </c>
      <c r="L16" s="165" t="str">
        <f>IFERROR(INDEX(온라인_반찬!$C$2:$J$587,MATCH($D16,온라인_반찬!$C$2:$C$587,0),8),"")</f>
        <v/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2281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2281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2281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2281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2281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2281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EBBF-A109-47CD-B2E9-CAD9BD8F32F8}">
  <sheetPr>
    <pageSetUpPr fitToPage="1"/>
  </sheetPr>
  <dimension ref="B1:W30"/>
  <sheetViews>
    <sheetView zoomScale="80" zoomScaleNormal="80" zoomScaleSheetLayoutView="75" workbookViewId="0">
      <selection activeCell="D3" sqref="D3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2288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1357</v>
      </c>
      <c r="E3" s="262">
        <v>140</v>
      </c>
      <c r="F3" s="262"/>
      <c r="G3" s="263" t="str">
        <f>IFERROR(INDEX(온라인_반찬!$C$2:$H$594,MATCH($D3,온라인_반찬!$C$2:$C$594,0),6),"")</f>
        <v>쌀(국산)90%, 찰흑미(국산.친환경)5%, 정제수</v>
      </c>
      <c r="H3" s="264">
        <f>IFERROR(INDEX(온라인_반찬!$D$2:$J$587,MATCH($D3,온라인_반찬!$C$2:$C$587,0),6),"")</f>
        <v>0</v>
      </c>
      <c r="I3" s="265" t="s">
        <v>2286</v>
      </c>
      <c r="J3" s="266">
        <v>3112</v>
      </c>
      <c r="K3" s="264">
        <v>470245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2214</v>
      </c>
      <c r="E4" s="123">
        <v>150</v>
      </c>
      <c r="F4" s="124"/>
      <c r="G4" s="113" t="str">
        <f>IFERROR(INDEX(온라인_반찬!$C$2:$H$594,MATCH($D4,온라인_반찬!$C$2:$C$594,0),6),"")</f>
        <v>계란(국산)20%, 대파(국산)2%, 마늘, 멸치육수농축액, 정제수, 소금</v>
      </c>
      <c r="H4" s="101" t="str">
        <f>IFERROR(INDEX(온라인_반찬!$D$2:$J$587,MATCH($D4,온라인_반찬!$C$2:$C$587,0),6),"")</f>
        <v>.1.5.</v>
      </c>
      <c r="I4" s="109" t="s">
        <v>2286</v>
      </c>
      <c r="J4" s="102">
        <v>3112</v>
      </c>
      <c r="K4" s="101">
        <v>482145</v>
      </c>
      <c r="L4" s="129" t="str">
        <f>IFERROR(INDEX(온라인_반찬!$C$2:$J$587,MATCH($D4,온라인_반찬!$C$2:$C$587,0),8),"")</f>
        <v>멸치육수농축액(면사랑)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1283</v>
      </c>
      <c r="E5" s="123">
        <v>60</v>
      </c>
      <c r="F5" s="124"/>
      <c r="G5" s="113" t="str">
        <f>IFERROR(INDEX(온라인_반찬!$C$2:$H$594,MATCH($D5,온라인_반찬!$C$2:$C$594,0),6),"")</f>
        <v>소고기(호주산)75%, 떡국떡(쌀:외국산)12%, 파, 마늘, 간장, 설탕, 맛술, 후추, 참기름, 참깨</v>
      </c>
      <c r="H5" s="101" t="str">
        <f>IFERROR(INDEX(온라인_반찬!$D$2:$J$587,MATCH($D5,온라인_반찬!$C$2:$C$587,0),6),"")</f>
        <v>.5.16.21.</v>
      </c>
      <c r="I5" s="109" t="s">
        <v>2286</v>
      </c>
      <c r="J5" s="102">
        <v>3112</v>
      </c>
      <c r="K5" s="101">
        <v>227550</v>
      </c>
      <c r="L5" s="129">
        <f>IFERROR(INDEX(온라인_반찬!$C$2:$J$587,MATCH($D5,온라인_반찬!$C$2:$C$587,0),8),"")</f>
        <v>0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2031</v>
      </c>
      <c r="E6" s="123">
        <v>45</v>
      </c>
      <c r="F6" s="124"/>
      <c r="G6" s="113" t="str">
        <f>IFERROR(INDEX(온라인_반찬!$C$2:$H$594,MATCH($D6,온라인_반찬!$C$2:$C$594,0),6),"")</f>
        <v>캔햄[돼지고기(미국,스페인,프랑스 등)86.01%, 정제수, 정제소금(국산), 의성마늘(국산)]75%, 채소(양파, 당근, 피망:국산)12%, 대두유, 마늘, 케찹, 참기름, 참깨</v>
      </c>
      <c r="H6" s="101" t="str">
        <f>IFERROR(INDEX(온라인_반찬!$D$2:$J$587,MATCH($D6,온라인_반찬!$C$2:$C$587,0),6),"")</f>
        <v>.5.10.12.21.</v>
      </c>
      <c r="I6" s="109" t="s">
        <v>2286</v>
      </c>
      <c r="J6" s="102">
        <v>3112</v>
      </c>
      <c r="K6" s="101">
        <v>157860</v>
      </c>
      <c r="L6" s="129" t="str">
        <f>IFERROR(INDEX(온라인_반찬!$C$2:$J$587,MATCH($D6,온라인_반찬!$C$2:$C$587,0),8),"")</f>
        <v>햄캔(로스팜)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337" t="s">
        <v>290</v>
      </c>
      <c r="D7" s="103" t="s">
        <v>629</v>
      </c>
      <c r="E7" s="123"/>
      <c r="F7" s="124">
        <v>1</v>
      </c>
      <c r="G7" s="113" t="str">
        <f>IFERROR(INDEX(온라인_반찬!$C$2:$H$594,MATCH($D7,온라인_반찬!$C$2:$C$594,0),6),"")</f>
        <v>연두부 (대두:외국산)</v>
      </c>
      <c r="H7" s="101" t="str">
        <f>IFERROR(INDEX(온라인_반찬!$D$2:$J$587,MATCH($D7,온라인_반찬!$C$2:$C$587,0),6),"")</f>
        <v>.5.</v>
      </c>
      <c r="I7" s="109" t="s">
        <v>2286</v>
      </c>
      <c r="J7" s="102">
        <v>3112</v>
      </c>
      <c r="K7" s="101">
        <v>3155.1</v>
      </c>
      <c r="L7" s="129" t="str">
        <f>IFERROR(INDEX(온라인_반찬!$C$2:$J$587,MATCH($D7,온라인_반찬!$C$2:$C$587,0),8),"")</f>
        <v>이츠웰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338"/>
      <c r="D8" s="103" t="s">
        <v>1936</v>
      </c>
      <c r="E8" s="123">
        <v>10</v>
      </c>
      <c r="F8" s="124"/>
      <c r="G8" s="113" t="str">
        <f>IFERROR(INDEX(온라인_반찬!$C$2:$H$594,MATCH($D8,온라인_반찬!$C$2:$C$594,0),6),"")</f>
        <v>쪽파(국산)5%, 마늘, 정제수, 간장, 참기름, 참깨</v>
      </c>
      <c r="H8" s="101" t="str">
        <f>IFERROR(INDEX(온라인_반찬!$D$2:$J$587,MATCH($D8,온라인_반찬!$C$2:$C$587,0),6),"")</f>
        <v>.5.21.</v>
      </c>
      <c r="I8" s="109" t="s">
        <v>2286</v>
      </c>
      <c r="J8" s="102">
        <v>3112</v>
      </c>
      <c r="K8" s="101">
        <v>33420</v>
      </c>
      <c r="L8" s="129">
        <f>IFERROR(INDEX(온라인_반찬!$C$2:$J$587,MATCH($D8,온라인_반찬!$C$2:$C$587,0),8),"")</f>
        <v>0</v>
      </c>
      <c r="M8" s="120"/>
      <c r="N8" s="120"/>
      <c r="P8" s="120"/>
      <c r="R8" s="120"/>
      <c r="S8" s="120"/>
    </row>
    <row r="9" spans="2:23" ht="39.950000000000003" customHeight="1">
      <c r="B9" s="328"/>
      <c r="C9" s="246" t="s">
        <v>820</v>
      </c>
      <c r="D9" s="103" t="s">
        <v>1116</v>
      </c>
      <c r="E9" s="123">
        <v>25</v>
      </c>
      <c r="F9" s="123"/>
      <c r="G9" s="113" t="str">
        <f>IFERROR(INDEX(온라인_반찬!$C$2:$H$594,MATCH($D9,온라인_반찬!$C$2:$C$594,0),6),"")</f>
        <v>배추(국내산)64%, 무채(무:국내산)8%, 양파, 정제수, 생강, 마늘, 생강, 배, 쪽파, 정제염</v>
      </c>
      <c r="H9" s="101">
        <f>IFERROR(INDEX(온라인_반찬!$D$2:$J$587,MATCH($D9,온라인_반찬!$C$2:$C$587,0),6),"")</f>
        <v>0</v>
      </c>
      <c r="I9" s="109" t="s">
        <v>2286</v>
      </c>
      <c r="J9" s="102">
        <v>3047</v>
      </c>
      <c r="K9" s="101">
        <v>85070</v>
      </c>
      <c r="L9" s="129" t="str">
        <f>IFERROR(INDEX(온라인_반찬!$C$2:$J$587,MATCH($D9,온라인_반찬!$C$2:$C$587,0),8),"")</f>
        <v>백김치(정우식품)</v>
      </c>
      <c r="M9" s="120" t="s">
        <v>1406</v>
      </c>
      <c r="N9" s="120"/>
      <c r="P9" s="120" t="s">
        <v>1417</v>
      </c>
      <c r="R9" s="120"/>
      <c r="S9" s="120" t="s">
        <v>1666</v>
      </c>
    </row>
    <row r="10" spans="2:23" ht="39.950000000000003" customHeight="1" thickBot="1">
      <c r="B10" s="329"/>
      <c r="C10" s="161" t="s">
        <v>97</v>
      </c>
      <c r="D10" s="211"/>
      <c r="E10" s="131"/>
      <c r="F10" s="132"/>
      <c r="G10" s="277" t="s">
        <v>2329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8" t="s">
        <v>2227</v>
      </c>
      <c r="C11" s="260" t="s">
        <v>620</v>
      </c>
      <c r="D11" s="261" t="s">
        <v>1357</v>
      </c>
      <c r="E11" s="225">
        <v>150</v>
      </c>
      <c r="F11" s="225"/>
      <c r="G11" s="226" t="str">
        <f>IFERROR(INDEX(온라인_반찬!$C$2:$H$594,MATCH($D11,온라인_반찬!$C$2:$C$594,0),6),"")</f>
        <v>쌀(국산)90%, 찰흑미(국산.친환경)5%, 정제수</v>
      </c>
      <c r="H11" s="227">
        <f>IFERROR(INDEX(온라인_반찬!$D$2:$J$587,MATCH($D11,온라인_반찬!$C$2:$C$587,0),6),"")</f>
        <v>0</v>
      </c>
      <c r="I11" s="228" t="s">
        <v>2287</v>
      </c>
      <c r="J11" s="266">
        <v>72</v>
      </c>
      <c r="K11" s="264">
        <v>7800</v>
      </c>
      <c r="L11" s="229">
        <f>IFERROR(INDEX(온라인_반찬!$C$2:$J$587,MATCH($D11,온라인_반찬!$C$2:$C$587,0),8),"")</f>
        <v>0</v>
      </c>
      <c r="M11" s="120" t="s">
        <v>1408</v>
      </c>
      <c r="N11" s="120"/>
      <c r="O11" s="120"/>
      <c r="P11" s="120" t="s">
        <v>1467</v>
      </c>
      <c r="S11" s="120" t="s">
        <v>1667</v>
      </c>
    </row>
    <row r="12" spans="2:23" ht="39.950000000000003" customHeight="1">
      <c r="B12" s="328"/>
      <c r="C12" s="245" t="s">
        <v>624</v>
      </c>
      <c r="D12" s="103" t="s">
        <v>2214</v>
      </c>
      <c r="E12" s="123">
        <v>160</v>
      </c>
      <c r="F12" s="124"/>
      <c r="G12" s="113" t="str">
        <f>IFERROR(INDEX(온라인_반찬!$C$2:$H$594,MATCH($D12,온라인_반찬!$C$2:$C$594,0),6),"")</f>
        <v>계란(국산)20%, 대파(국산)2%, 마늘, 멸치육수농축액, 정제수, 소금</v>
      </c>
      <c r="H12" s="101" t="str">
        <f>IFERROR(INDEX(온라인_반찬!$D$2:$J$587,MATCH($D12,온라인_반찬!$C$2:$C$587,0),6),"")</f>
        <v>.1.5.</v>
      </c>
      <c r="I12" s="109" t="s">
        <v>2287</v>
      </c>
      <c r="J12" s="102">
        <v>72</v>
      </c>
      <c r="K12" s="101">
        <v>8010</v>
      </c>
      <c r="L12" s="129" t="str">
        <f>IFERROR(INDEX(온라인_반찬!$C$2:$J$587,MATCH($D12,온라인_반찬!$C$2:$C$587,0),8),"")</f>
        <v>멸치육수농축액(면사랑)</v>
      </c>
      <c r="M12" s="120" t="s">
        <v>1865</v>
      </c>
      <c r="N12" s="120"/>
      <c r="O12" s="120"/>
      <c r="P12" s="120" t="s">
        <v>1917</v>
      </c>
      <c r="S12" s="120" t="s">
        <v>1918</v>
      </c>
    </row>
    <row r="13" spans="2:23" ht="39.950000000000003" customHeight="1">
      <c r="B13" s="328"/>
      <c r="C13" s="245" t="s">
        <v>621</v>
      </c>
      <c r="D13" s="103" t="s">
        <v>1283</v>
      </c>
      <c r="E13" s="123">
        <v>80</v>
      </c>
      <c r="F13" s="124"/>
      <c r="G13" s="113" t="str">
        <f>IFERROR(INDEX(온라인_반찬!$C$2:$H$594,MATCH($D13,온라인_반찬!$C$2:$C$594,0),6),"")</f>
        <v>소고기(호주산)75%, 떡국떡(쌀:외국산)12%, 파, 마늘, 간장, 설탕, 맛술, 후추, 참기름, 참깨</v>
      </c>
      <c r="H13" s="101" t="str">
        <f>IFERROR(INDEX(온라인_반찬!$D$2:$J$587,MATCH($D13,온라인_반찬!$C$2:$C$587,0),6),"")</f>
        <v>.5.16.21.</v>
      </c>
      <c r="I13" s="109" t="s">
        <v>2287</v>
      </c>
      <c r="J13" s="102">
        <v>72</v>
      </c>
      <c r="K13" s="101">
        <v>6504</v>
      </c>
      <c r="L13" s="129">
        <f>IFERROR(INDEX(온라인_반찬!$C$2:$J$587,MATCH($D13,온라인_반찬!$C$2:$C$587,0),8),"")</f>
        <v>0</v>
      </c>
      <c r="M13" s="120"/>
      <c r="N13" s="120"/>
    </row>
    <row r="14" spans="2:23" ht="39.950000000000003" customHeight="1">
      <c r="B14" s="328"/>
      <c r="C14" s="245" t="s">
        <v>622</v>
      </c>
      <c r="D14" s="103" t="s">
        <v>2031</v>
      </c>
      <c r="E14" s="123">
        <v>55</v>
      </c>
      <c r="F14" s="124"/>
      <c r="G14" s="113" t="str">
        <f>IFERROR(INDEX(온라인_반찬!$C$2:$H$594,MATCH($D14,온라인_반찬!$C$2:$C$594,0),6),"")</f>
        <v>캔햄[돼지고기(미국,스페인,프랑스 등)86.01%, 정제수, 정제소금(국산), 의성마늘(국산)]75%, 채소(양파, 당근, 피망:국산)12%, 대두유, 마늘, 케찹, 참기름, 참깨</v>
      </c>
      <c r="H14" s="101" t="str">
        <f>IFERROR(INDEX(온라인_반찬!$D$2:$J$587,MATCH($D14,온라인_반찬!$C$2:$C$587,0),6),"")</f>
        <v>.5.10.12.21.</v>
      </c>
      <c r="I14" s="109" t="s">
        <v>2287</v>
      </c>
      <c r="J14" s="102">
        <v>72</v>
      </c>
      <c r="K14" s="101">
        <v>4070</v>
      </c>
      <c r="L14" s="129" t="str">
        <f>IFERROR(INDEX(온라인_반찬!$C$2:$J$587,MATCH($D14,온라인_반찬!$C$2:$C$587,0),8),"")</f>
        <v>햄캔(로스팜)</v>
      </c>
      <c r="M14" s="120"/>
      <c r="N14" s="120"/>
      <c r="O14" s="120"/>
    </row>
    <row r="15" spans="2:23" ht="39.950000000000003" customHeight="1">
      <c r="B15" s="328"/>
      <c r="C15" s="337" t="s">
        <v>290</v>
      </c>
      <c r="D15" s="103" t="s">
        <v>629</v>
      </c>
      <c r="E15" s="123"/>
      <c r="F15" s="124">
        <v>1</v>
      </c>
      <c r="G15" s="113" t="str">
        <f>IFERROR(INDEX(온라인_반찬!$C$2:$H$594,MATCH($D15,온라인_반찬!$C$2:$C$594,0),6),"")</f>
        <v>연두부 (대두:외국산)</v>
      </c>
      <c r="H15" s="101" t="str">
        <f>IFERROR(INDEX(온라인_반찬!$D$2:$J$587,MATCH($D15,온라인_반찬!$C$2:$C$587,0),6),"")</f>
        <v>.5.</v>
      </c>
      <c r="I15" s="109" t="s">
        <v>2287</v>
      </c>
      <c r="J15" s="102">
        <v>72</v>
      </c>
      <c r="K15" s="101">
        <v>72</v>
      </c>
      <c r="L15" s="129" t="str">
        <f>IFERROR(INDEX(온라인_반찬!$C$2:$J$587,MATCH($D15,온라인_반찬!$C$2:$C$587,0),8),"")</f>
        <v>이츠웰</v>
      </c>
      <c r="M15" s="120"/>
      <c r="N15" s="120"/>
      <c r="O15" s="120"/>
    </row>
    <row r="16" spans="2:23" ht="39.950000000000003" customHeight="1">
      <c r="B16" s="328"/>
      <c r="C16" s="338"/>
      <c r="D16" s="103" t="s">
        <v>1936</v>
      </c>
      <c r="E16" s="123">
        <v>10</v>
      </c>
      <c r="F16" s="124"/>
      <c r="G16" s="113" t="str">
        <f>IFERROR(INDEX(온라인_반찬!$C$2:$H$594,MATCH($D16,온라인_반찬!$C$2:$C$594,0),6),"")</f>
        <v>쪽파(국산)5%, 마늘, 정제수, 간장, 참기름, 참깨</v>
      </c>
      <c r="H16" s="101" t="str">
        <f>IFERROR(INDEX(온라인_반찬!$D$2:$J$587,MATCH($D16,온라인_반찬!$C$2:$C$587,0),6),"")</f>
        <v>.5.21.</v>
      </c>
      <c r="I16" s="109" t="s">
        <v>2287</v>
      </c>
      <c r="J16" s="102">
        <v>72</v>
      </c>
      <c r="K16" s="101">
        <v>740</v>
      </c>
      <c r="L16" s="129">
        <f>IFERROR(INDEX(온라인_반찬!$C$2:$J$587,MATCH($D16,온라인_반찬!$C$2:$C$587,0),8),"")</f>
        <v>0</v>
      </c>
      <c r="M16" s="120"/>
      <c r="N16" s="120"/>
      <c r="O16" s="120"/>
    </row>
    <row r="17" spans="2:15" ht="39.950000000000003" customHeight="1">
      <c r="B17" s="328"/>
      <c r="C17" s="287" t="s">
        <v>820</v>
      </c>
      <c r="D17" s="281" t="s">
        <v>1561</v>
      </c>
      <c r="E17" s="282">
        <v>35</v>
      </c>
      <c r="F17" s="282"/>
      <c r="G17" s="284" t="str">
        <f>IFERROR(INDEX(온라인_반찬!$C$2:$H$594,MATCH($D17,온라인_반찬!$C$2:$C$594,0),6),"")</f>
        <v>절임열무51%(열무,식염:고추구루, 양파, 대파, 전용풀. 마늘, 다시마농축액.새우액젓.생강:국산)</v>
      </c>
      <c r="H17" s="285" t="str">
        <f>IFERROR(INDEX(온라인_반찬!$D$2:$J$587,MATCH($D17,온라인_반찬!$C$2:$C$587,0),6),"")</f>
        <v>.9.</v>
      </c>
      <c r="I17" s="109" t="s">
        <v>2287</v>
      </c>
      <c r="J17" s="102">
        <v>137</v>
      </c>
      <c r="K17" s="101">
        <v>5840</v>
      </c>
      <c r="L17" s="129" t="str">
        <f>IFERROR(INDEX(온라인_반찬!$C$2:$J$587,MATCH($D17,온라인_반찬!$C$2:$C$587,0),8),"")</f>
        <v>열무김치(종가김치)</v>
      </c>
      <c r="M17" s="120"/>
      <c r="N17" s="120"/>
      <c r="O17" s="120"/>
    </row>
    <row r="18" spans="2:15" ht="39.950000000000003" customHeight="1">
      <c r="B18" s="328"/>
      <c r="C18" s="339" t="s">
        <v>1405</v>
      </c>
      <c r="D18" s="103" t="s">
        <v>1778</v>
      </c>
      <c r="E18" s="123">
        <v>80</v>
      </c>
      <c r="F18" s="123"/>
      <c r="G18" s="113" t="str">
        <f>IFERROR(INDEX(온라인_반찬!$C$2:$H$594,MATCH($D18,온라인_반찬!$C$2:$C$594,0),6),"")</f>
        <v>새우(베트남산)45%, 방울토마토(국내산)15.6%, 알리오올리오소스[올리브오일, 파슬리가루, 바질페스토(케슈넛미량함유), 소금, 레몬즙, 편마늘]39.4%</v>
      </c>
      <c r="H18" s="101" t="str">
        <f>IFERROR(INDEX(온라인_반찬!$D$2:$J$587,MATCH($D18,온라인_반찬!$C$2:$C$587,0),6),"")</f>
        <v>.4.5.9.12.</v>
      </c>
      <c r="I18" s="109" t="s">
        <v>2287</v>
      </c>
      <c r="J18" s="102">
        <v>28</v>
      </c>
      <c r="K18" s="101">
        <v>1960</v>
      </c>
      <c r="L18" s="165">
        <f>IFERROR(INDEX(온라인_반찬!$C$2:$J$587,MATCH($D18,온라인_반찬!$C$2:$C$587,0),8),"")</f>
        <v>0</v>
      </c>
      <c r="M18" s="120"/>
      <c r="N18" s="120"/>
      <c r="O18" s="120"/>
    </row>
    <row r="19" spans="2:15" ht="39.950000000000003" customHeight="1">
      <c r="B19" s="328"/>
      <c r="C19" s="340"/>
      <c r="D19" s="103" t="s">
        <v>1779</v>
      </c>
      <c r="E19" s="123"/>
      <c r="F19" s="123">
        <v>1</v>
      </c>
      <c r="G19" s="113" t="str">
        <f>IFERROR(INDEX(온라인_반찬!$C$2:$H$594,MATCH($D19,온라인_반찬!$C$2:$C$594,0),6),"")</f>
        <v>[밀가루(밀:미국산,호주산,캐나다산), 정제수, 호밀분말(호밀:독일산), 정제소금(국산), 효모]</v>
      </c>
      <c r="H19" s="101" t="str">
        <f>IFERROR(INDEX(온라인_반찬!$D$2:$J$587,MATCH($D19,온라인_반찬!$C$2:$C$587,0),6),"")</f>
        <v>.6.</v>
      </c>
      <c r="I19" s="109" t="s">
        <v>2287</v>
      </c>
      <c r="J19" s="102">
        <v>28</v>
      </c>
      <c r="K19" s="101">
        <v>30</v>
      </c>
      <c r="L19" s="165" t="str">
        <f>IFERROR(INDEX(온라인_반찬!$C$2:$J$587,MATCH($D19,온라인_반찬!$C$2:$C$587,0),8),"")</f>
        <v>모닝바게트(삼립)</v>
      </c>
      <c r="M19" s="120"/>
      <c r="N19" s="120"/>
      <c r="O19" s="120"/>
    </row>
    <row r="20" spans="2:15" ht="39.950000000000003" customHeight="1" thickBot="1">
      <c r="B20" s="329"/>
      <c r="C20" s="161" t="s">
        <v>97</v>
      </c>
      <c r="D20" s="211"/>
      <c r="E20" s="131"/>
      <c r="F20" s="132"/>
      <c r="G20" s="215"/>
      <c r="H20" s="166"/>
      <c r="I20" s="137"/>
      <c r="J20" s="134">
        <v>1</v>
      </c>
      <c r="K20" s="134">
        <v>0.25</v>
      </c>
      <c r="L20" s="135"/>
      <c r="M20" s="120"/>
      <c r="N20" s="120"/>
      <c r="O20" s="120"/>
    </row>
    <row r="21" spans="2:15" ht="39.950000000000003" customHeight="1">
      <c r="B21" s="334" t="s">
        <v>1619</v>
      </c>
      <c r="C21" s="100" t="s">
        <v>620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2286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337" t="s">
        <v>622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2286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338"/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2286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>
      <c r="B24" s="335"/>
      <c r="C24" s="160" t="s">
        <v>623</v>
      </c>
      <c r="D24" s="162"/>
      <c r="E24" s="123"/>
      <c r="F24" s="123"/>
      <c r="G24" s="113" t="str">
        <f>IFERROR(INDEX(온라인_반찬!$C$2:$H$594,MATCH($D24,온라인_반찬!$C$2:$C$594,0),6),"")</f>
        <v/>
      </c>
      <c r="H24" s="101" t="str">
        <f>IFERROR(INDEX(온라인_반찬!$D$2:$J$587,MATCH($D24,온라인_반찬!$C$2:$C$587,0),6),"")</f>
        <v/>
      </c>
      <c r="I24" s="109" t="s">
        <v>2286</v>
      </c>
      <c r="J24" s="158"/>
      <c r="K24" s="158"/>
      <c r="L24" s="129" t="str">
        <f>IFERROR(INDEX(온라인_반찬!$C$2:$J$587,MATCH($D24,온라인_반찬!$C$2:$C$587,0),8),"")</f>
        <v/>
      </c>
      <c r="M24" s="120"/>
    </row>
    <row r="25" spans="2:15" ht="39.950000000000003" customHeight="1">
      <c r="B25" s="335"/>
      <c r="C25" s="114" t="s">
        <v>820</v>
      </c>
      <c r="D25" s="162"/>
      <c r="E25" s="123"/>
      <c r="F25" s="123"/>
      <c r="G25" s="113" t="str">
        <f>IFERROR(INDEX(온라인_반찬!$C$2:$H$594,MATCH($D25,온라인_반찬!$C$2:$C$594,0),6),"")</f>
        <v/>
      </c>
      <c r="H25" s="101" t="str">
        <f>IFERROR(INDEX(온라인_반찬!$D$2:$J$587,MATCH($D25,온라인_반찬!$C$2:$C$587,0),6),"")</f>
        <v/>
      </c>
      <c r="I25" s="109" t="s">
        <v>2286</v>
      </c>
      <c r="J25" s="158"/>
      <c r="K25" s="158"/>
      <c r="L25" s="129" t="str">
        <f>IFERROR(INDEX(온라인_반찬!$C$2:$J$587,MATCH($D25,온라인_반찬!$C$2:$C$587,0),8),"")</f>
        <v/>
      </c>
      <c r="M25" s="120"/>
    </row>
    <row r="26" spans="2:15" ht="39.950000000000003" customHeight="1">
      <c r="B26" s="335"/>
      <c r="C26" s="160" t="s">
        <v>102</v>
      </c>
      <c r="D26" s="162"/>
      <c r="E26" s="123"/>
      <c r="F26" s="123"/>
      <c r="G26" s="113" t="str">
        <f>IFERROR(INDEX(온라인_반찬!$C$2:$H$594,MATCH($D26,온라인_반찬!$C$2:$C$594,0),6),"")</f>
        <v/>
      </c>
      <c r="H26" s="101" t="str">
        <f>IFERROR(INDEX(온라인_반찬!$D$2:$J$587,MATCH($D26,온라인_반찬!$C$2:$C$587,0),6),"")</f>
        <v/>
      </c>
      <c r="I26" s="109" t="s">
        <v>2286</v>
      </c>
      <c r="J26" s="158"/>
      <c r="K26" s="158"/>
      <c r="L26" s="129" t="str">
        <f>IFERROR(INDEX(온라인_반찬!$C$2:$J$587,MATCH($D26,온라인_반찬!$C$2:$C$587,0),8),"")</f>
        <v/>
      </c>
      <c r="M26" s="120"/>
    </row>
    <row r="27" spans="2:15" ht="39.950000000000003" customHeight="1" thickBot="1">
      <c r="B27" s="336"/>
      <c r="C27" s="130" t="s">
        <v>97</v>
      </c>
      <c r="D27" s="131"/>
      <c r="E27" s="131"/>
      <c r="F27" s="132">
        <v>1</v>
      </c>
      <c r="G27" s="133"/>
      <c r="H27" s="166"/>
      <c r="I27" s="137"/>
      <c r="J27" s="134">
        <v>1</v>
      </c>
      <c r="K27" s="134">
        <v>0.25</v>
      </c>
      <c r="L27" s="135"/>
    </row>
    <row r="28" spans="2:15">
      <c r="L28" s="32"/>
    </row>
    <row r="30" spans="2:15">
      <c r="E30"/>
      <c r="F30" s="121"/>
    </row>
  </sheetData>
  <mergeCells count="9">
    <mergeCell ref="B1:L1"/>
    <mergeCell ref="B3:B10"/>
    <mergeCell ref="S5:W5"/>
    <mergeCell ref="B11:B20"/>
    <mergeCell ref="B21:B27"/>
    <mergeCell ref="C22:C23"/>
    <mergeCell ref="C7:C8"/>
    <mergeCell ref="C15:C16"/>
    <mergeCell ref="C18:C19"/>
  </mergeCells>
  <phoneticPr fontId="12" type="noConversion"/>
  <pageMargins left="0" right="0" top="0.74791663885116577" bottom="0.74791663885116577" header="0.31486111879348755" footer="0.31486111879348755"/>
  <pageSetup paperSize="9" scale="61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4036-8637-4BD2-9D80-C75154D5BF26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2291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2247</v>
      </c>
      <c r="E3" s="262">
        <v>140</v>
      </c>
      <c r="F3" s="262"/>
      <c r="G3" s="263" t="str">
        <f>IFERROR(INDEX(온라인_반찬!$C$2:$H$594,MATCH($D3,온라인_반찬!$C$2:$C$594,0),6),"")</f>
        <v>쌀(국산)95%, 정제수</v>
      </c>
      <c r="H3" s="264">
        <f>IFERROR(INDEX(온라인_반찬!$D$2:$J$587,MATCH($D3,온라인_반찬!$C$2:$C$587,0),6),"")</f>
        <v>0</v>
      </c>
      <c r="I3" s="265" t="s">
        <v>2289</v>
      </c>
      <c r="J3" s="266">
        <v>3145</v>
      </c>
      <c r="K3" s="264">
        <v>475650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2026</v>
      </c>
      <c r="E4" s="123">
        <v>150</v>
      </c>
      <c r="F4" s="124"/>
      <c r="G4" s="113" t="str">
        <f>IFERROR(INDEX(온라인_반찬!$C$2:$H$594,MATCH($D4,온라인_반찬!$C$2:$C$594,0),6),"")</f>
        <v>닭고기(국내산)7%, 버섯 [느타리,새송이:국산)]5%, 무(국산), 양파, 정제수, 마늘, 대파, 치킨스톡, 국간장, 소금</v>
      </c>
      <c r="H4" s="101" t="str">
        <f>IFERROR(INDEX(온라인_반찬!$D$2:$J$587,MATCH($D4,온라인_반찬!$C$2:$C$587,0),6),"")</f>
        <v>.5.15.</v>
      </c>
      <c r="I4" s="109" t="s">
        <v>2289</v>
      </c>
      <c r="J4" s="102">
        <v>3145</v>
      </c>
      <c r="K4" s="101">
        <v>486790</v>
      </c>
      <c r="L4" s="129" t="str">
        <f>IFERROR(INDEX(온라인_반찬!$C$2:$J$587,MATCH($D4,온라인_반찬!$C$2:$C$587,0),8),"")</f>
        <v>40g / 50g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1785</v>
      </c>
      <c r="E5" s="123">
        <v>70</v>
      </c>
      <c r="F5" s="124"/>
      <c r="G5" s="113" t="str">
        <f>IFERROR(INDEX(온라인_반찬!$C$2:$H$594,MATCH($D5,온라인_반찬!$C$2:$C$594,0),6),"")</f>
        <v>돼지사태(국산)62%, 곤약, 양파, 표고버섯, 파인애플(전처리용), 당근, 대파, 마늘, 생강가루, 월계수잎, 정제수, 간장, 설탕, 맛술, 물엿, 참기름, 후추</v>
      </c>
      <c r="H5" s="101" t="str">
        <f>IFERROR(INDEX(온라인_반찬!$D$2:$J$587,MATCH($D5,온라인_반찬!$C$2:$C$587,0),6),"")</f>
        <v>.5.6.10.18.19.21.</v>
      </c>
      <c r="I5" s="109" t="s">
        <v>2289</v>
      </c>
      <c r="J5" s="102">
        <v>3080</v>
      </c>
      <c r="K5" s="101">
        <v>253240</v>
      </c>
      <c r="L5" s="129">
        <f>IFERROR(INDEX(온라인_반찬!$C$2:$J$587,MATCH($D5,온라인_반찬!$C$2:$C$587,0),8),"")</f>
        <v>0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835</v>
      </c>
      <c r="E6" s="123">
        <v>35</v>
      </c>
      <c r="F6" s="124"/>
      <c r="G6" s="113" t="str">
        <f>IFERROR(INDEX(온라인_반찬!$C$2:$H$594,MATCH($D6,온라인_반찬!$C$2:$C$594,0),6),"")</f>
        <v>어묵(원료수입산)85%, 채소(양파, 당근, 파:국산)10%, 마늘, 대두유, 간장, 참기름, 참깨</v>
      </c>
      <c r="H6" s="101" t="str">
        <f>IFERROR(INDEX(온라인_반찬!$D$2:$J$587,MATCH($D6,온라인_반찬!$C$2:$C$587,0),6),"")</f>
        <v>.5.6.18.21.</v>
      </c>
      <c r="I6" s="109" t="s">
        <v>2289</v>
      </c>
      <c r="J6" s="102">
        <v>3145</v>
      </c>
      <c r="K6" s="101">
        <v>125182.5</v>
      </c>
      <c r="L6" s="129">
        <f>IFERROR(INDEX(온라인_반찬!$C$2:$J$587,MATCH($D6,온라인_반찬!$C$2:$C$587,0),8),"")</f>
        <v>0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2215</v>
      </c>
      <c r="E7" s="123">
        <v>35</v>
      </c>
      <c r="F7" s="124"/>
      <c r="G7" s="113" t="str">
        <f>IFERROR(INDEX(온라인_반찬!$C$2:$H$594,MATCH($D7,온라인_반찬!$C$2:$C$594,0),6),"")</f>
        <v>양배추(국산)80%, 크래미[명태연육80.26%(미국산), 감자전분(폴란드산, 국내산), 난백액(국내산),게엑기스1.36%(국내산)]5%, 마요네즈, 케찹, 설탕, 소금, 레몬즙</v>
      </c>
      <c r="H7" s="101" t="str">
        <f>IFERROR(INDEX(온라인_반찬!$D$2:$J$587,MATCH($D7,온라인_반찬!$C$2:$C$587,0),6),"")</f>
        <v>.1.8.12.</v>
      </c>
      <c r="I7" s="109" t="s">
        <v>2289</v>
      </c>
      <c r="J7" s="102">
        <v>3145</v>
      </c>
      <c r="K7" s="101">
        <v>125162.5</v>
      </c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631</v>
      </c>
      <c r="E8" s="123">
        <v>25</v>
      </c>
      <c r="F8" s="123"/>
      <c r="G8" s="113" t="str">
        <f>IFERROR(INDEX(온라인_반찬!$C$2:$H$594,MATCH($D8,온라인_반찬!$C$2:$C$594,0),6),"")</f>
        <v>무(국산)85.2%, 고추가루(국산), 밀가루풀(국산), 파, 마늘, 새우젓 등 양념(국산)</v>
      </c>
      <c r="H8" s="101" t="str">
        <f>IFERROR(INDEX(온라인_반찬!$D$2:$J$587,MATCH($D8,온라인_반찬!$C$2:$C$587,0),6),"")</f>
        <v>.6.9.</v>
      </c>
      <c r="I8" s="109" t="s">
        <v>2289</v>
      </c>
      <c r="J8" s="102">
        <v>3145</v>
      </c>
      <c r="K8" s="101">
        <v>87857.5</v>
      </c>
      <c r="L8" s="129">
        <f>IFERROR(INDEX(온라인_반찬!$C$2:$J$587,MATCH($D8,온라인_반찬!$C$2:$C$587,0),8),"")</f>
        <v>0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 t="s">
        <v>2330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8" t="s">
        <v>2227</v>
      </c>
      <c r="C10" s="251" t="s">
        <v>620</v>
      </c>
      <c r="D10" s="261" t="s">
        <v>2247</v>
      </c>
      <c r="E10" s="225">
        <v>150</v>
      </c>
      <c r="F10" s="225"/>
      <c r="G10" s="226" t="str">
        <f>IFERROR(INDEX(온라인_반찬!$C$2:$H$594,MATCH($D10,온라인_반찬!$C$2:$C$594,0),6),"")</f>
        <v>쌀(국산)95%, 정제수</v>
      </c>
      <c r="H10" s="227">
        <f>IFERROR(INDEX(온라인_반찬!$D$2:$J$587,MATCH($D10,온라인_반찬!$C$2:$C$587,0),6),"")</f>
        <v>0</v>
      </c>
      <c r="I10" s="228" t="s">
        <v>2290</v>
      </c>
      <c r="J10" s="266">
        <v>72</v>
      </c>
      <c r="K10" s="264">
        <v>7800</v>
      </c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45" t="s">
        <v>624</v>
      </c>
      <c r="D11" s="103" t="s">
        <v>2026</v>
      </c>
      <c r="E11" s="123">
        <v>160</v>
      </c>
      <c r="F11" s="124"/>
      <c r="G11" s="113" t="str">
        <f>IFERROR(INDEX(온라인_반찬!$C$2:$H$594,MATCH($D11,온라인_반찬!$C$2:$C$594,0),6),"")</f>
        <v>닭고기(국내산)7%, 버섯 [느타리,새송이:국산)]5%, 무(국산), 양파, 정제수, 마늘, 대파, 치킨스톡, 국간장, 소금</v>
      </c>
      <c r="H11" s="101" t="str">
        <f>IFERROR(INDEX(온라인_반찬!$D$2:$J$587,MATCH($D11,온라인_반찬!$C$2:$C$587,0),6),"")</f>
        <v>.5.15.</v>
      </c>
      <c r="I11" s="109" t="s">
        <v>2290</v>
      </c>
      <c r="J11" s="102">
        <v>72</v>
      </c>
      <c r="K11" s="101">
        <v>8160</v>
      </c>
      <c r="L11" s="129" t="str">
        <f>IFERROR(INDEX(온라인_반찬!$C$2:$J$587,MATCH($D11,온라인_반찬!$C$2:$C$587,0),8),"")</f>
        <v>40g / 50g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86" t="s">
        <v>621</v>
      </c>
      <c r="D12" s="281" t="s">
        <v>2321</v>
      </c>
      <c r="E12" s="282">
        <v>90</v>
      </c>
      <c r="F12" s="283"/>
      <c r="G12" s="284" t="str">
        <f>IFERROR(INDEX(온라인_반찬!$C$2:$H$594,MATCH($D12,온라인_반찬!$C$2:$C$594,0),6),"")</f>
        <v>돼지고기(사태:국산)62%, 파인애플(전처리용), 채소(무, 양파, 당근:국산)18%, 대파, 마늘, 생강가루, 월계수잎, 정제수, 고춧가루, 간장, 설탕, 맛술, 물엿, 참기름, 후추</v>
      </c>
      <c r="H12" s="285" t="str">
        <f>IFERROR(INDEX(온라인_반찬!$D$2:$J$587,MATCH($D12,온라인_반찬!$C$2:$C$587,0),6),"")</f>
        <v>.5.10.19.21.</v>
      </c>
      <c r="I12" s="109" t="s">
        <v>2290</v>
      </c>
      <c r="J12" s="102">
        <v>137</v>
      </c>
      <c r="K12" s="101">
        <v>15604</v>
      </c>
      <c r="L12" s="129">
        <f>IFERROR(INDEX(온라인_반찬!$C$2:$J$587,MATCH($D12,온라인_반찬!$C$2:$C$587,0),8),"")</f>
        <v>0</v>
      </c>
      <c r="M12" s="120"/>
      <c r="N12" s="120"/>
      <c r="O12" s="120"/>
    </row>
    <row r="13" spans="2:23" ht="39.950000000000003" customHeight="1">
      <c r="B13" s="328"/>
      <c r="C13" s="245" t="s">
        <v>622</v>
      </c>
      <c r="D13" s="103" t="s">
        <v>835</v>
      </c>
      <c r="E13" s="123">
        <v>40</v>
      </c>
      <c r="F13" s="124"/>
      <c r="G13" s="113" t="str">
        <f>IFERROR(INDEX(온라인_반찬!$C$2:$H$594,MATCH($D13,온라인_반찬!$C$2:$C$594,0),6),"")</f>
        <v>어묵(원료수입산)85%, 채소(양파, 당근, 파:국산)10%, 마늘, 대두유, 간장, 참기름, 참깨</v>
      </c>
      <c r="H13" s="101" t="str">
        <f>IFERROR(INDEX(온라인_반찬!$D$2:$J$587,MATCH($D13,온라인_반찬!$C$2:$C$587,0),6),"")</f>
        <v>.5.6.18.21.</v>
      </c>
      <c r="I13" s="109" t="s">
        <v>2290</v>
      </c>
      <c r="J13" s="102">
        <v>72</v>
      </c>
      <c r="K13" s="101">
        <v>2960</v>
      </c>
      <c r="L13" s="129">
        <f>IFERROR(INDEX(온라인_반찬!$C$2:$J$587,MATCH($D13,온라인_반찬!$C$2:$C$587,0),8),"")</f>
        <v>0</v>
      </c>
      <c r="M13" s="120"/>
      <c r="N13" s="120"/>
    </row>
    <row r="14" spans="2:23" ht="39.950000000000003" customHeight="1">
      <c r="B14" s="328"/>
      <c r="C14" s="160" t="s">
        <v>290</v>
      </c>
      <c r="D14" s="103" t="s">
        <v>2215</v>
      </c>
      <c r="E14" s="123">
        <v>40</v>
      </c>
      <c r="F14" s="124"/>
      <c r="G14" s="113" t="str">
        <f>IFERROR(INDEX(온라인_반찬!$C$2:$H$594,MATCH($D14,온라인_반찬!$C$2:$C$594,0),6),"")</f>
        <v>양배추(국산)80%, 크래미[명태연육80.26%(미국산), 감자전분(폴란드산, 국내산), 난백액(국내산),게엑기스1.36%(국내산)]5%, 마요네즈, 케찹, 설탕, 소금, 레몬즙</v>
      </c>
      <c r="H14" s="101" t="str">
        <f>IFERROR(INDEX(온라인_반찬!$D$2:$J$587,MATCH($D14,온라인_반찬!$C$2:$C$587,0),6),"")</f>
        <v>.1.8.12.</v>
      </c>
      <c r="I14" s="109" t="s">
        <v>2290</v>
      </c>
      <c r="J14" s="102">
        <v>72</v>
      </c>
      <c r="K14" s="101">
        <v>2960</v>
      </c>
      <c r="L14" s="129">
        <f>IFERROR(INDEX(온라인_반찬!$C$2:$J$587,MATCH($D14,온라인_반찬!$C$2:$C$587,0),8),"")</f>
        <v>0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103" t="s">
        <v>631</v>
      </c>
      <c r="E15" s="123">
        <v>35</v>
      </c>
      <c r="F15" s="123"/>
      <c r="G15" s="113" t="str">
        <f>IFERROR(INDEX(온라인_반찬!$C$2:$H$594,MATCH($D15,온라인_반찬!$C$2:$C$594,0),6),"")</f>
        <v>무(국산)85.2%, 고추가루(국산), 밀가루풀(국산), 파, 마늘, 새우젓 등 양념(국산)</v>
      </c>
      <c r="H15" s="101" t="str">
        <f>IFERROR(INDEX(온라인_반찬!$D$2:$J$587,MATCH($D15,온라인_반찬!$C$2:$C$587,0),6),"")</f>
        <v>.6.9.</v>
      </c>
      <c r="I15" s="109" t="s">
        <v>2290</v>
      </c>
      <c r="J15" s="102">
        <v>72</v>
      </c>
      <c r="K15" s="101">
        <v>2590</v>
      </c>
      <c r="L15" s="129">
        <f>IFERROR(INDEX(온라인_반찬!$C$2:$J$587,MATCH($D15,온라인_반찬!$C$2:$C$587,0),8),"")</f>
        <v>0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103" t="s">
        <v>2074</v>
      </c>
      <c r="E16" s="123">
        <v>100</v>
      </c>
      <c r="F16" s="123"/>
      <c r="G16" s="113" t="s">
        <v>2284</v>
      </c>
      <c r="H16" s="101" t="str">
        <f>IFERROR(INDEX(온라인_반찬!$D$2:$J$587,MATCH($D16,온라인_반찬!$C$2:$C$587,0),6),"")</f>
        <v/>
      </c>
      <c r="I16" s="109" t="s">
        <v>2290</v>
      </c>
      <c r="J16" s="102">
        <v>28</v>
      </c>
      <c r="K16" s="101">
        <v>3000</v>
      </c>
      <c r="L16" s="165" t="str">
        <f>IFERROR(INDEX(온라인_반찬!$C$2:$J$587,MATCH($D16,온라인_반찬!$C$2:$C$587,0),8),"")</f>
        <v/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2289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2289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2289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2289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2289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2289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18B7-F6AB-4703-98F8-2860ADCFDC2F}">
  <sheetPr>
    <pageSetUpPr fitToPage="1"/>
  </sheetPr>
  <dimension ref="B1:W27"/>
  <sheetViews>
    <sheetView zoomScale="80" zoomScaleNormal="80" zoomScaleSheetLayoutView="75" workbookViewId="0">
      <selection activeCell="G10" sqref="G10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2295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1359</v>
      </c>
      <c r="E3" s="262">
        <v>140</v>
      </c>
      <c r="F3" s="262"/>
      <c r="G3" s="263" t="str">
        <f>IFERROR(INDEX(온라인_반찬!$C$2:$H$594,MATCH($D3,온라인_반찬!$C$2:$C$594,0),6),"")</f>
        <v>쌀(국산)90%, 찰보리(국산.친환경)5%, 정제수</v>
      </c>
      <c r="H3" s="264">
        <f>IFERROR(INDEX(온라인_반찬!$D$2:$J$587,MATCH($D3,온라인_반찬!$C$2:$C$587,0),6),"")</f>
        <v>0</v>
      </c>
      <c r="I3" s="265" t="s">
        <v>2293</v>
      </c>
      <c r="J3" s="266">
        <v>2904</v>
      </c>
      <c r="K3" s="264">
        <v>439855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970</v>
      </c>
      <c r="E4" s="123">
        <v>150</v>
      </c>
      <c r="F4" s="124"/>
      <c r="G4" s="113" t="str">
        <f>IFERROR(INDEX(온라인_반찬!$C$2:$H$594,MATCH($D4,온라인_반찬!$C$2:$C$594,0),6),"")</f>
        <v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v>
      </c>
      <c r="H4" s="101" t="str">
        <f>IFERROR(INDEX(온라인_반찬!$D$2:$J$587,MATCH($D4,온라인_반찬!$C$2:$C$587,0),6),"")</f>
        <v>.5.9.18.21.</v>
      </c>
      <c r="I4" s="109" t="s">
        <v>2293</v>
      </c>
      <c r="J4" s="102">
        <v>2904</v>
      </c>
      <c r="K4" s="101">
        <v>445355</v>
      </c>
      <c r="L4" s="129">
        <f>IFERROR(INDEX(온라인_반찬!$C$2:$J$587,MATCH($D4,온라인_반찬!$C$2:$C$587,0),8),"")</f>
        <v>0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838</v>
      </c>
      <c r="E5" s="123">
        <v>70</v>
      </c>
      <c r="F5" s="124"/>
      <c r="G5" s="113" t="str">
        <f>IFERROR(INDEX(온라인_반찬!$C$2:$H$594,MATCH($D5,온라인_반찬!$C$2:$C$594,0),6),"")</f>
        <v>닭(국산)60%, 감자(국산)13%, 양파, 당근, 파, 마늘, 정제수, 간장, 굴소스, 후추, 소금, 참깨</v>
      </c>
      <c r="H5" s="101" t="str">
        <f>IFERROR(INDEX(온라인_반찬!$D$2:$J$587,MATCH($D5,온라인_반찬!$C$2:$C$587,0),6),"")</f>
        <v>.5.15.18.21.</v>
      </c>
      <c r="I5" s="109" t="s">
        <v>2293</v>
      </c>
      <c r="J5" s="102">
        <v>2904</v>
      </c>
      <c r="K5" s="101">
        <v>239305</v>
      </c>
      <c r="L5" s="129">
        <f>IFERROR(INDEX(온라인_반찬!$C$2:$J$587,MATCH($D5,온라인_반찬!$C$2:$C$587,0),8),"")</f>
        <v>0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2217</v>
      </c>
      <c r="E6" s="123">
        <v>30</v>
      </c>
      <c r="F6" s="124"/>
      <c r="G6" s="113" t="str">
        <f>IFERROR(INDEX(온라인_반찬!$C$2:$H$594,MATCH($D6,온라인_반찬!$C$2:$C$594,0),6),"")</f>
        <v>표고탕수[표고버섯채(중국산:46.88%), 밀가루:미국산]78%, 강정소스(케찹, 설탕, 물엿, 참기름)</v>
      </c>
      <c r="H6" s="101" t="str">
        <f>IFERROR(INDEX(온라인_반찬!$D$2:$J$587,MATCH($D6,온라인_반찬!$C$2:$C$587,0),6),"")</f>
        <v>.1.5.6.18.21.</v>
      </c>
      <c r="I6" s="109" t="s">
        <v>2293</v>
      </c>
      <c r="J6" s="102">
        <v>2904</v>
      </c>
      <c r="K6" s="101">
        <v>99855</v>
      </c>
      <c r="L6" s="129">
        <f>IFERROR(INDEX(온라인_반찬!$C$2:$J$587,MATCH($D6,온라인_반찬!$C$2:$C$587,0),8),"")</f>
        <v>0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2218</v>
      </c>
      <c r="E7" s="123">
        <v>30</v>
      </c>
      <c r="F7" s="124"/>
      <c r="G7" s="113" t="str">
        <f>IFERROR(INDEX(온라인_반찬!$C$2:$H$594,MATCH($D7,온라인_반찬!$C$2:$C$594,0),6),"")</f>
        <v>가지(국내산)86%, 소고기(호주산)5%, 파, 마늘, 간장, 맛술, 후추, 소금, 참기름, 참깨</v>
      </c>
      <c r="H7" s="101" t="str">
        <f>IFERROR(INDEX(온라인_반찬!$D$2:$J$587,MATCH($D7,온라인_반찬!$C$2:$C$587,0),6),"")</f>
        <v>.5.16.21.</v>
      </c>
      <c r="I7" s="109" t="s">
        <v>2293</v>
      </c>
      <c r="J7" s="102">
        <v>2904</v>
      </c>
      <c r="K7" s="101">
        <v>99415</v>
      </c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630</v>
      </c>
      <c r="E8" s="123">
        <v>25</v>
      </c>
      <c r="F8" s="123"/>
      <c r="G8" s="113" t="str">
        <f>IFERROR(INDEX(온라인_반찬!$C$2:$H$594,MATCH($D8,온라인_반찬!$C$2:$C$594,0),6),"")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IFERROR(INDEX(온라인_반찬!$D$2:$J$587,MATCH($D8,온라인_반찬!$C$2:$C$587,0),6),"")</f>
        <v>.9.12.</v>
      </c>
      <c r="I8" s="109" t="s">
        <v>2293</v>
      </c>
      <c r="J8" s="102">
        <v>2904</v>
      </c>
      <c r="K8" s="101">
        <v>79817.5</v>
      </c>
      <c r="L8" s="129" t="str">
        <f>IFERROR(INDEX(온라인_반찬!$C$2:$J$587,MATCH($D8,온라인_반찬!$C$2:$C$587,0),8),"")</f>
        <v>토마토김치(종가집)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 t="s">
        <v>2333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8" t="s">
        <v>2227</v>
      </c>
      <c r="C10" s="251" t="s">
        <v>620</v>
      </c>
      <c r="D10" s="261" t="s">
        <v>1359</v>
      </c>
      <c r="E10" s="225">
        <v>150</v>
      </c>
      <c r="F10" s="225"/>
      <c r="G10" s="226" t="str">
        <f>IFERROR(INDEX(온라인_반찬!$C$2:$H$594,MATCH($D10,온라인_반찬!$C$2:$C$594,0),6),"")</f>
        <v>쌀(국산)90%, 찰보리(국산.친환경)5%, 정제수</v>
      </c>
      <c r="H10" s="227">
        <f>IFERROR(INDEX(온라인_반찬!$D$2:$J$587,MATCH($D10,온라인_반찬!$C$2:$C$587,0),6),"")</f>
        <v>0</v>
      </c>
      <c r="I10" s="228" t="s">
        <v>2294</v>
      </c>
      <c r="J10" s="266">
        <v>52</v>
      </c>
      <c r="K10" s="264">
        <v>4800</v>
      </c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45" t="s">
        <v>624</v>
      </c>
      <c r="D11" s="103" t="s">
        <v>970</v>
      </c>
      <c r="E11" s="123">
        <v>160</v>
      </c>
      <c r="F11" s="124"/>
      <c r="G11" s="113" t="str">
        <f>IFERROR(INDEX(온라인_반찬!$C$2:$H$594,MATCH($D11,온라인_반찬!$C$2:$C$594,0),6),"")</f>
        <v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v>
      </c>
      <c r="H11" s="101" t="str">
        <f>IFERROR(INDEX(온라인_반찬!$D$2:$J$587,MATCH($D11,온라인_반찬!$C$2:$C$587,0),6),"")</f>
        <v>.5.9.18.21.</v>
      </c>
      <c r="I11" s="109" t="s">
        <v>2294</v>
      </c>
      <c r="J11" s="102">
        <v>52</v>
      </c>
      <c r="K11" s="101">
        <v>4810</v>
      </c>
      <c r="L11" s="129">
        <f>IFERROR(INDEX(온라인_반찬!$C$2:$J$587,MATCH($D11,온라인_반찬!$C$2:$C$587,0),8),"")</f>
        <v>0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45" t="s">
        <v>621</v>
      </c>
      <c r="D12" s="103" t="s">
        <v>838</v>
      </c>
      <c r="E12" s="123">
        <v>90</v>
      </c>
      <c r="F12" s="124"/>
      <c r="G12" s="113" t="str">
        <f>IFERROR(INDEX(온라인_반찬!$C$2:$H$594,MATCH($D12,온라인_반찬!$C$2:$C$594,0),6),"")</f>
        <v>닭(국산)60%, 감자(국산)13%, 양파, 당근, 파, 마늘, 정제수, 간장, 굴소스, 후추, 소금, 참깨</v>
      </c>
      <c r="H12" s="101" t="str">
        <f>IFERROR(INDEX(온라인_반찬!$D$2:$J$587,MATCH($D12,온라인_반찬!$C$2:$C$587,0),6),"")</f>
        <v>.5.15.18.21.</v>
      </c>
      <c r="I12" s="109" t="s">
        <v>2294</v>
      </c>
      <c r="J12" s="102">
        <v>52</v>
      </c>
      <c r="K12" s="101">
        <v>5337</v>
      </c>
      <c r="L12" s="129">
        <f>IFERROR(INDEX(온라인_반찬!$C$2:$J$587,MATCH($D12,온라인_반찬!$C$2:$C$587,0),8),"")</f>
        <v>0</v>
      </c>
      <c r="M12" s="120"/>
      <c r="N12" s="120"/>
    </row>
    <row r="13" spans="2:23" ht="39.950000000000003" customHeight="1">
      <c r="B13" s="328"/>
      <c r="C13" s="245" t="s">
        <v>622</v>
      </c>
      <c r="D13" s="103" t="s">
        <v>2217</v>
      </c>
      <c r="E13" s="123">
        <v>40</v>
      </c>
      <c r="F13" s="124"/>
      <c r="G13" s="113" t="str">
        <f>IFERROR(INDEX(온라인_반찬!$C$2:$H$594,MATCH($D13,온라인_반찬!$C$2:$C$594,0),6),"")</f>
        <v>표고탕수[표고버섯채(중국산:46.88%), 밀가루:미국산]78%, 강정소스(케찹, 설탕, 물엿, 참기름)</v>
      </c>
      <c r="H13" s="101" t="str">
        <f>IFERROR(INDEX(온라인_반찬!$D$2:$J$587,MATCH($D13,온라인_반찬!$C$2:$C$587,0),6),"")</f>
        <v>.1.5.6.18.21.</v>
      </c>
      <c r="I13" s="109" t="s">
        <v>2294</v>
      </c>
      <c r="J13" s="102">
        <v>52</v>
      </c>
      <c r="K13" s="101">
        <v>2160</v>
      </c>
      <c r="L13" s="129">
        <f>IFERROR(INDEX(온라인_반찬!$C$2:$J$587,MATCH($D13,온라인_반찬!$C$2:$C$587,0),8),"")</f>
        <v>0</v>
      </c>
      <c r="M13" s="120"/>
      <c r="N13" s="120"/>
      <c r="O13" s="120"/>
    </row>
    <row r="14" spans="2:23" ht="39.950000000000003" customHeight="1">
      <c r="B14" s="328"/>
      <c r="C14" s="160" t="s">
        <v>290</v>
      </c>
      <c r="D14" s="103" t="s">
        <v>2218</v>
      </c>
      <c r="E14" s="123">
        <v>35</v>
      </c>
      <c r="F14" s="124"/>
      <c r="G14" s="113" t="str">
        <f>IFERROR(INDEX(온라인_반찬!$C$2:$H$594,MATCH($D14,온라인_반찬!$C$2:$C$594,0),6),"")</f>
        <v>가지(국내산)86%, 소고기(호주산)5%, 파, 마늘, 간장, 맛술, 후추, 소금, 참기름, 참깨</v>
      </c>
      <c r="H14" s="101" t="str">
        <f>IFERROR(INDEX(온라인_반찬!$D$2:$J$587,MATCH($D14,온라인_반찬!$C$2:$C$587,0),6),"")</f>
        <v>.5.16.21.</v>
      </c>
      <c r="I14" s="109" t="s">
        <v>2294</v>
      </c>
      <c r="J14" s="102">
        <v>52</v>
      </c>
      <c r="K14" s="101">
        <v>1890</v>
      </c>
      <c r="L14" s="129">
        <f>IFERROR(INDEX(온라인_반찬!$C$2:$J$587,MATCH($D14,온라인_반찬!$C$2:$C$587,0),8),"")</f>
        <v>0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103" t="s">
        <v>630</v>
      </c>
      <c r="E15" s="123">
        <v>35</v>
      </c>
      <c r="F15" s="123"/>
      <c r="G15" s="113" t="str">
        <f>IFERROR(INDEX(온라인_반찬!$C$2:$H$594,MATCH($D15,온라인_반찬!$C$2:$C$594,0),6),"")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IFERROR(INDEX(온라인_반찬!$D$2:$J$587,MATCH($D15,온라인_반찬!$C$2:$C$587,0),6),"")</f>
        <v>.9.12.</v>
      </c>
      <c r="I15" s="109" t="s">
        <v>2294</v>
      </c>
      <c r="J15" s="102">
        <v>52</v>
      </c>
      <c r="K15" s="101">
        <v>1890</v>
      </c>
      <c r="L15" s="129" t="str">
        <f>IFERROR(INDEX(온라인_반찬!$C$2:$J$587,MATCH($D15,온라인_반찬!$C$2:$C$587,0),8),"")</f>
        <v>토마토김치(종가집)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103" t="s">
        <v>1446</v>
      </c>
      <c r="E16" s="123">
        <v>70</v>
      </c>
      <c r="F16" s="123"/>
      <c r="G16" s="113" t="str">
        <f>IFERROR(INDEX(온라인_반찬!$C$2:$H$594,MATCH($D16,온라인_반찬!$C$2:$C$594,0),6),"")</f>
        <v>크로와상[(밀:미국.캐나다산), 마가린, 정제소금(국내산)], 슬라이스햄. 치즈. 미니로메인, 머스터드, 마요네즈</v>
      </c>
      <c r="H16" s="101" t="str">
        <f>IFERROR(INDEX(온라인_반찬!$D$2:$J$587,MATCH($D16,온라인_반찬!$C$2:$C$587,0),6),"")</f>
        <v>.1.2.5.6.10.12.16.</v>
      </c>
      <c r="I16" s="109" t="s">
        <v>2294</v>
      </c>
      <c r="J16" s="102">
        <v>28</v>
      </c>
      <c r="K16" s="101">
        <v>30</v>
      </c>
      <c r="L16" s="165" t="str">
        <f>IFERROR(INDEX(온라인_반찬!$C$2:$J$587,MATCH($D16,온라인_반찬!$C$2:$C$587,0),8),"")</f>
        <v>우리 슬라이스햄(이츠웰)</v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2293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2293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2293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2293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2293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2293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2B2D-9FC3-40C3-ABBE-6879D7B4867A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7.625" style="159" customWidth="1"/>
    <col min="6" max="6" width="10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2296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1361</v>
      </c>
      <c r="E3" s="262">
        <v>140</v>
      </c>
      <c r="F3" s="262"/>
      <c r="G3" s="263" t="str">
        <f>IFERROR(INDEX(온라인_반찬!$C$2:$H$594,MATCH($D3,온라인_반찬!$C$2:$C$594,0),6),"")</f>
        <v>쌀(국산)90%, 현미(국산.친환경)5%, 정제수</v>
      </c>
      <c r="H3" s="264">
        <f>IFERROR(INDEX(온라인_반찬!$D$2:$J$587,MATCH($D3,온라인_반찬!$C$2:$C$587,0),6),"")</f>
        <v>0</v>
      </c>
      <c r="I3" s="265" t="s">
        <v>2297</v>
      </c>
      <c r="J3" s="266">
        <v>2909</v>
      </c>
      <c r="K3" s="264">
        <v>444685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1131</v>
      </c>
      <c r="E4" s="123">
        <v>150</v>
      </c>
      <c r="F4" s="124" t="s">
        <v>2299</v>
      </c>
      <c r="G4" s="113" t="str">
        <f>IFERROR(INDEX(온라인_반찬!$C$2:$H$594,MATCH($D4,온라인_반찬!$C$2:$C$594,0),6),"")</f>
        <v>굴림만두(돼지고기:국산), 두부, 양배추, 양파, 부추, 대파, 난백, 밀가루, 참기름)35%, 계란(국산), 정제수, 멸치육수농축액, 마늘, 파, 소금</v>
      </c>
      <c r="H4" s="101" t="str">
        <f>IFERROR(INDEX(온라인_반찬!$D$2:$J$587,MATCH($D4,온라인_반찬!$C$2:$C$587,0),6),"")</f>
        <v>.1.2.5.6.10.16.21.</v>
      </c>
      <c r="I4" s="109" t="s">
        <v>2297</v>
      </c>
      <c r="J4" s="102">
        <v>2909</v>
      </c>
      <c r="K4" s="101">
        <v>451745</v>
      </c>
      <c r="L4" s="129">
        <f>IFERROR(INDEX(온라인_반찬!$C$2:$J$587,MATCH($D4,온라인_반찬!$C$2:$C$587,0),8),"")</f>
        <v>0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813</v>
      </c>
      <c r="E5" s="123">
        <v>75</v>
      </c>
      <c r="F5" s="124"/>
      <c r="G5" s="113" t="str">
        <f>IFERROR(INDEX(온라인_반찬!$C$2:$H$594,MATCH($D5,온라인_반찬!$C$2:$C$594,0),6),"")</f>
        <v xml:space="preserve">소고기(호주산)35%, 채소(감자,당근,양파:국산)25%, 정제수, 베이크드빈스, 토마토홀, 토마토소스, 맛술, 치킨스톡, 버터, 소금 </v>
      </c>
      <c r="H5" s="101" t="str">
        <f>IFERROR(INDEX(온라인_반찬!$D$2:$J$587,MATCH($D5,온라인_반찬!$C$2:$C$587,0),6),"")</f>
        <v>.2.5.6.12.18.</v>
      </c>
      <c r="I5" s="109" t="s">
        <v>2297</v>
      </c>
      <c r="J5" s="102">
        <v>2909</v>
      </c>
      <c r="K5" s="101">
        <v>257935</v>
      </c>
      <c r="L5" s="129" t="str">
        <f>IFERROR(INDEX(온라인_반찬!$C$2:$J$587,MATCH($D5,온라인_반찬!$C$2:$C$587,0),8),"")</f>
        <v>토마토소스(오쉐프)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1123</v>
      </c>
      <c r="E6" s="123">
        <v>25</v>
      </c>
      <c r="F6" s="124"/>
      <c r="G6" s="113" t="str">
        <f>IFERROR(INDEX(온라인_반찬!$C$2:$H$594,MATCH($D6,온라인_반찬!$C$2:$C$594,0),6),"")</f>
        <v>반달감자[감자96.855%, 식물성유지(대두유, 카놀라유, 면실유), 산성피로인산나트륨, 포도당, 무수아황산(산화방지제)]미국산</v>
      </c>
      <c r="H6" s="101">
        <f>IFERROR(INDEX(온라인_반찬!$D$2:$J$587,MATCH($D6,온라인_반찬!$C$2:$C$587,0),6),"")</f>
        <v>0</v>
      </c>
      <c r="I6" s="109" t="s">
        <v>2297</v>
      </c>
      <c r="J6" s="102">
        <v>2909</v>
      </c>
      <c r="K6" s="101">
        <v>84310</v>
      </c>
      <c r="L6" s="129" t="str">
        <f>IFERROR(INDEX(온라인_반찬!$C$2:$J$587,MATCH($D6,온라인_반찬!$C$2:$C$587,0),8),"")</f>
        <v>심플로트(렌치웨지컷),케찹(오뚜기/토마토페이스트43.8%)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1381</v>
      </c>
      <c r="E7" s="123">
        <v>35</v>
      </c>
      <c r="F7" s="124"/>
      <c r="G7" s="113" t="str">
        <f>IFERROR(INDEX(온라인_반찬!$C$2:$H$594,MATCH($D7,온라인_반찬!$C$2:$C$594,0),6),"")</f>
        <v>청포묵(원료수입산)90%, 계란지단(국산), 오이, 당근, 소금, 간장, 참기름, 참깨</v>
      </c>
      <c r="H7" s="101" t="str">
        <f>IFERROR(INDEX(온라인_반찬!$D$2:$J$587,MATCH($D7,온라인_반찬!$C$2:$C$587,0),6),"")</f>
        <v>.1.5.21.</v>
      </c>
      <c r="I7" s="109" t="s">
        <v>2297</v>
      </c>
      <c r="J7" s="102">
        <v>2909</v>
      </c>
      <c r="K7" s="101">
        <v>115755</v>
      </c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630</v>
      </c>
      <c r="E8" s="123">
        <v>25</v>
      </c>
      <c r="F8" s="123"/>
      <c r="G8" s="113" t="str">
        <f>IFERROR(INDEX(온라인_반찬!$C$2:$H$594,MATCH($D8,온라인_반찬!$C$2:$C$594,0),6),"")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IFERROR(INDEX(온라인_반찬!$D$2:$J$587,MATCH($D8,온라인_반찬!$C$2:$C$587,0),6),"")</f>
        <v>.9.12.</v>
      </c>
      <c r="I8" s="109" t="s">
        <v>2297</v>
      </c>
      <c r="J8" s="102">
        <v>2909</v>
      </c>
      <c r="K8" s="101">
        <v>80920</v>
      </c>
      <c r="L8" s="129" t="str">
        <f>IFERROR(INDEX(온라인_반찬!$C$2:$J$587,MATCH($D8,온라인_반찬!$C$2:$C$587,0),8),"")</f>
        <v>토마토김치(종가집)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 t="s">
        <v>2252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8" t="s">
        <v>2227</v>
      </c>
      <c r="C10" s="251" t="s">
        <v>620</v>
      </c>
      <c r="D10" s="261" t="s">
        <v>1361</v>
      </c>
      <c r="E10" s="225">
        <v>150</v>
      </c>
      <c r="F10" s="225"/>
      <c r="G10" s="226" t="str">
        <f>IFERROR(INDEX(온라인_반찬!$C$2:$H$594,MATCH($D10,온라인_반찬!$C$2:$C$594,0),6),"")</f>
        <v>쌀(국산)90%, 현미(국산.친환경)5%, 정제수</v>
      </c>
      <c r="H10" s="227">
        <f>IFERROR(INDEX(온라인_반찬!$D$2:$J$587,MATCH($D10,온라인_반찬!$C$2:$C$587,0),6),"")</f>
        <v>0</v>
      </c>
      <c r="I10" s="228" t="s">
        <v>2298</v>
      </c>
      <c r="J10" s="266">
        <v>92</v>
      </c>
      <c r="K10" s="264">
        <v>10950</v>
      </c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45" t="s">
        <v>624</v>
      </c>
      <c r="D11" s="103" t="s">
        <v>1131</v>
      </c>
      <c r="E11" s="123">
        <v>160</v>
      </c>
      <c r="F11" s="124" t="s">
        <v>2331</v>
      </c>
      <c r="G11" s="113" t="str">
        <f>IFERROR(INDEX(온라인_반찬!$C$2:$H$594,MATCH($D11,온라인_반찬!$C$2:$C$594,0),6),"")</f>
        <v>굴림만두(돼지고기:국산), 두부, 양배추, 양파, 부추, 대파, 난백, 밀가루, 참기름)35%, 계란(국산), 정제수, 멸치육수농축액, 마늘, 파, 소금</v>
      </c>
      <c r="H11" s="101" t="str">
        <f>IFERROR(INDEX(온라인_반찬!$D$2:$J$587,MATCH($D11,온라인_반찬!$C$2:$C$587,0),6),"")</f>
        <v>.1.2.5.6.10.16.21.</v>
      </c>
      <c r="I11" s="109" t="s">
        <v>2298</v>
      </c>
      <c r="J11" s="102">
        <v>92</v>
      </c>
      <c r="K11" s="101">
        <v>11210</v>
      </c>
      <c r="L11" s="129">
        <f>IFERROR(INDEX(온라인_반찬!$C$2:$J$587,MATCH($D11,온라인_반찬!$C$2:$C$587,0),8),"")</f>
        <v>0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45" t="s">
        <v>621</v>
      </c>
      <c r="D12" s="103" t="s">
        <v>813</v>
      </c>
      <c r="E12" s="123">
        <v>90</v>
      </c>
      <c r="F12" s="124"/>
      <c r="G12" s="113" t="str">
        <f>IFERROR(INDEX(온라인_반찬!$C$2:$H$594,MATCH($D12,온라인_반찬!$C$2:$C$594,0),6),"")</f>
        <v xml:space="preserve">소고기(호주산)35%, 채소(감자,당근,양파:국산)25%, 정제수, 베이크드빈스, 토마토홀, 토마토소스, 맛술, 치킨스톡, 버터, 소금 </v>
      </c>
      <c r="H12" s="101" t="str">
        <f>IFERROR(INDEX(온라인_반찬!$D$2:$J$587,MATCH($D12,온라인_반찬!$C$2:$C$587,0),6),"")</f>
        <v>.2.5.6.12.18.</v>
      </c>
      <c r="I12" s="109" t="s">
        <v>2298</v>
      </c>
      <c r="J12" s="102">
        <v>92</v>
      </c>
      <c r="K12" s="101">
        <v>8640</v>
      </c>
      <c r="L12" s="129" t="str">
        <f>IFERROR(INDEX(온라인_반찬!$C$2:$J$587,MATCH($D12,온라인_반찬!$C$2:$C$587,0),8),"")</f>
        <v>토마토소스(오쉐프)</v>
      </c>
      <c r="M12" s="120"/>
      <c r="N12" s="120"/>
    </row>
    <row r="13" spans="2:23" ht="39.950000000000003" customHeight="1">
      <c r="B13" s="328"/>
      <c r="C13" s="245" t="s">
        <v>622</v>
      </c>
      <c r="D13" s="103" t="s">
        <v>1123</v>
      </c>
      <c r="E13" s="123">
        <v>30</v>
      </c>
      <c r="F13" s="124"/>
      <c r="G13" s="113" t="str">
        <f>IFERROR(INDEX(온라인_반찬!$C$2:$H$594,MATCH($D13,온라인_반찬!$C$2:$C$594,0),6),"")</f>
        <v>반달감자[감자96.855%, 식물성유지(대두유, 카놀라유, 면실유), 산성피로인산나트륨, 포도당, 무수아황산(산화방지제)]미국산</v>
      </c>
      <c r="H13" s="101">
        <f>IFERROR(INDEX(온라인_반찬!$D$2:$J$587,MATCH($D13,온라인_반찬!$C$2:$C$587,0),6),"")</f>
        <v>0</v>
      </c>
      <c r="I13" s="109" t="s">
        <v>2298</v>
      </c>
      <c r="J13" s="102">
        <v>92</v>
      </c>
      <c r="K13" s="101">
        <v>2820</v>
      </c>
      <c r="L13" s="129" t="str">
        <f>IFERROR(INDEX(온라인_반찬!$C$2:$J$587,MATCH($D13,온라인_반찬!$C$2:$C$587,0),8),"")</f>
        <v>심플로트(렌치웨지컷),케찹(오뚜기/토마토페이스트43.8%)</v>
      </c>
      <c r="M13" s="120"/>
      <c r="N13" s="120"/>
      <c r="O13" s="120"/>
    </row>
    <row r="14" spans="2:23" ht="39.950000000000003" customHeight="1">
      <c r="B14" s="328"/>
      <c r="C14" s="160" t="s">
        <v>290</v>
      </c>
      <c r="D14" s="103" t="s">
        <v>1381</v>
      </c>
      <c r="E14" s="123">
        <v>40</v>
      </c>
      <c r="F14" s="124"/>
      <c r="G14" s="113" t="str">
        <f>IFERROR(INDEX(온라인_반찬!$C$2:$H$594,MATCH($D14,온라인_반찬!$C$2:$C$594,0),6),"")</f>
        <v>청포묵(원료수입산)90%, 계란지단(국산), 오이, 당근, 소금, 간장, 참기름, 참깨</v>
      </c>
      <c r="H14" s="101" t="str">
        <f>IFERROR(INDEX(온라인_반찬!$D$2:$J$587,MATCH($D14,온라인_반찬!$C$2:$C$587,0),6),"")</f>
        <v>.1.5.21.</v>
      </c>
      <c r="I14" s="109" t="s">
        <v>2298</v>
      </c>
      <c r="J14" s="102">
        <v>92</v>
      </c>
      <c r="K14" s="101">
        <v>3760</v>
      </c>
      <c r="L14" s="129">
        <f>IFERROR(INDEX(온라인_반찬!$C$2:$J$587,MATCH($D14,온라인_반찬!$C$2:$C$587,0),8),"")</f>
        <v>0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103" t="s">
        <v>630</v>
      </c>
      <c r="E15" s="123">
        <v>35</v>
      </c>
      <c r="F15" s="123"/>
      <c r="G15" s="113" t="str">
        <f>IFERROR(INDEX(온라인_반찬!$C$2:$H$594,MATCH($D15,온라인_반찬!$C$2:$C$594,0),6),"")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101" t="str">
        <f>IFERROR(INDEX(온라인_반찬!$D$2:$J$587,MATCH($D15,온라인_반찬!$C$2:$C$587,0),6),"")</f>
        <v>.9.12.</v>
      </c>
      <c r="I15" s="109" t="s">
        <v>2297</v>
      </c>
      <c r="J15" s="102">
        <v>92</v>
      </c>
      <c r="K15" s="101">
        <v>3290</v>
      </c>
      <c r="L15" s="129" t="str">
        <f>IFERROR(INDEX(온라인_반찬!$C$2:$J$587,MATCH($D15,온라인_반찬!$C$2:$C$587,0),8),"")</f>
        <v>토마토김치(종가집)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103" t="s">
        <v>1575</v>
      </c>
      <c r="E16" s="123">
        <v>70</v>
      </c>
      <c r="F16" s="123"/>
      <c r="G16" s="113" t="str">
        <f>IFERROR(INDEX(온라인_반찬!$C$2:$H$594,MATCH($D16,온라인_반찬!$C$2:$C$594,0),6),"")</f>
        <v>돈수육[돼지고기(앞다리살, 뒷다리살 : 국산), 된장,한방재료(황기,대추,당귀,헛개나무, 엄나무,오가피:국산), 월계수잎, 맛술, 마늘, 양파, 대파, 통후추, 생강가루, 정제소금, 정제수]99%</v>
      </c>
      <c r="H16" s="101" t="str">
        <f>IFERROR(INDEX(온라인_반찬!$D$2:$J$587,MATCH($D16,온라인_반찬!$C$2:$C$587,0),6),"")</f>
        <v>.5.10.</v>
      </c>
      <c r="I16" s="109" t="s">
        <v>2297</v>
      </c>
      <c r="J16" s="102">
        <v>28</v>
      </c>
      <c r="K16" s="101">
        <v>2270</v>
      </c>
      <c r="L16" s="165">
        <f>IFERROR(INDEX(온라인_반찬!$C$2:$J$587,MATCH($D16,온라인_반찬!$C$2:$C$587,0),8),"")</f>
        <v>0</v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2297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2297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2297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2297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2297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2297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2DED-9039-4169-850C-D884FF989DD8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2302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1787</v>
      </c>
      <c r="E3" s="262">
        <v>140</v>
      </c>
      <c r="F3" s="262"/>
      <c r="G3" s="263" t="str">
        <f>IFERROR(INDEX(온라인_반찬!$C$2:$H$594,MATCH($D3,온라인_반찬!$C$2:$C$594,0),6),"")</f>
        <v>쌀(국산)90%, 귀리(국산.친환경)5%, 정제수</v>
      </c>
      <c r="H3" s="264">
        <f>IFERROR(INDEX(온라인_반찬!$D$2:$J$587,MATCH($D3,온라인_반찬!$C$2:$C$587,0),6),"")</f>
        <v>0</v>
      </c>
      <c r="I3" s="265" t="s">
        <v>2300</v>
      </c>
      <c r="J3" s="266">
        <v>2919</v>
      </c>
      <c r="K3" s="264">
        <v>441215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1379</v>
      </c>
      <c r="E4" s="123">
        <v>150</v>
      </c>
      <c r="F4" s="124"/>
      <c r="G4" s="113" t="str">
        <f>IFERROR(INDEX(온라인_반찬!$C$2:$H$594,MATCH($D4,온라인_반찬!$C$2:$C$594,0),6),"")</f>
        <v>소고기(호주산)12%, 알배추(국산)7%, 느타리(국산), 청경채(국산), 대파, 마늘, 간장, 정제수, 소금</v>
      </c>
      <c r="H4" s="101" t="str">
        <f>IFERROR(INDEX(온라인_반찬!$D$2:$J$587,MATCH($D4,온라인_반찬!$C$2:$C$587,0),6),"")</f>
        <v>.5.16.</v>
      </c>
      <c r="I4" s="109" t="s">
        <v>2300</v>
      </c>
      <c r="J4" s="102">
        <v>2919</v>
      </c>
      <c r="K4" s="101">
        <v>452425</v>
      </c>
      <c r="L4" s="129">
        <f>IFERROR(INDEX(온라인_반찬!$C$2:$J$587,MATCH($D4,온라인_반찬!$C$2:$C$587,0),8),"")</f>
        <v>0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2219</v>
      </c>
      <c r="E5" s="123">
        <v>60</v>
      </c>
      <c r="F5" s="124"/>
      <c r="G5" s="113" t="str">
        <f>IFERROR(INDEX(온라인_반찬!$C$2:$H$594,MATCH($D5,온라인_반찬!$C$2:$C$594,0),6),"")</f>
        <v>닭고기(닭안심:국산)82%, 채소(양파, 청피망, 홍피망 : 국산)10%, 대두유, 맛술, 후추, 굴소스, 간장, 설탕, 파, 마늘, 참기름, 참깨</v>
      </c>
      <c r="H5" s="101" t="str">
        <f>IFERROR(INDEX(온라인_반찬!$D$2:$J$587,MATCH($D5,온라인_반찬!$C$2:$C$587,0),6),"")</f>
        <v>.5.15.18.21.</v>
      </c>
      <c r="I5" s="109" t="s">
        <v>2300</v>
      </c>
      <c r="J5" s="102">
        <v>2919</v>
      </c>
      <c r="K5" s="101">
        <v>212020</v>
      </c>
      <c r="L5" s="129">
        <f>IFERROR(INDEX(온라인_반찬!$C$2:$J$587,MATCH($D5,온라인_반찬!$C$2:$C$587,0),8),"")</f>
        <v>0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1612</v>
      </c>
      <c r="E6" s="123">
        <v>15</v>
      </c>
      <c r="F6" s="124"/>
      <c r="G6" s="113" t="str">
        <f>IFERROR(INDEX(온라인_반찬!$C$2:$H$594,MATCH($D6,온라인_반찬!$C$2:$C$594,0),6),"")</f>
        <v>건맛살채(원료수입산)85%, 대두유, 간장, 물엿, 마요네즈, 참기름, 참깨</v>
      </c>
      <c r="H6" s="101" t="str">
        <f>IFERROR(INDEX(온라인_반찬!$D$2:$J$587,MATCH($D6,온라인_반찬!$C$2:$C$587,0),6),"")</f>
        <v>.1.5.8.21.</v>
      </c>
      <c r="I6" s="109" t="s">
        <v>2300</v>
      </c>
      <c r="J6" s="102">
        <v>2919</v>
      </c>
      <c r="K6" s="101">
        <v>51130</v>
      </c>
      <c r="L6" s="129">
        <f>IFERROR(INDEX(온라인_반찬!$C$2:$J$587,MATCH($D6,온라인_반찬!$C$2:$C$587,0),8),"")</f>
        <v>0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1963</v>
      </c>
      <c r="E7" s="123">
        <v>20</v>
      </c>
      <c r="F7" s="124"/>
      <c r="G7" s="113" t="str">
        <f>IFERROR(INDEX(온라인_반찬!$C$2:$H$594,MATCH($D7,온라인_반찬!$C$2:$C$594,0),6),"")</f>
        <v>검은콩(중국산)77%, 해바라기씨(중국산)5%, 간장, 물엿, 설탕, 참기름, 참깨</v>
      </c>
      <c r="H7" s="101" t="str">
        <f>IFERROR(INDEX(온라인_반찬!$D$2:$J$587,MATCH($D7,온라인_반찬!$C$2:$C$587,0),6),"")</f>
        <v>.5.21.</v>
      </c>
      <c r="I7" s="109" t="s">
        <v>2300</v>
      </c>
      <c r="J7" s="102">
        <v>2919</v>
      </c>
      <c r="K7" s="101">
        <v>67759</v>
      </c>
      <c r="L7" s="129" t="str">
        <f>IFERROR(INDEX(온라인_반찬!$C$2:$J$587,MATCH($D7,온라인_반찬!$C$2:$C$587,0),8),"")</f>
        <v>콩자반(반찬단지)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631</v>
      </c>
      <c r="E8" s="123">
        <v>25</v>
      </c>
      <c r="F8" s="123"/>
      <c r="G8" s="113" t="str">
        <f>IFERROR(INDEX(온라인_반찬!$C$2:$H$594,MATCH($D8,온라인_반찬!$C$2:$C$594,0),6),"")</f>
        <v>무(국산)85.2%, 고추가루(국산), 밀가루풀(국산), 파, 마늘, 새우젓 등 양념(국산)</v>
      </c>
      <c r="H8" s="101" t="str">
        <f>IFERROR(INDEX(온라인_반찬!$D$2:$J$587,MATCH($D8,온라인_반찬!$C$2:$C$587,0),6),"")</f>
        <v>.6.9.</v>
      </c>
      <c r="I8" s="109" t="s">
        <v>2300</v>
      </c>
      <c r="J8" s="102">
        <v>2919</v>
      </c>
      <c r="K8" s="101">
        <v>81447.5</v>
      </c>
      <c r="L8" s="129">
        <f>IFERROR(INDEX(온라인_반찬!$C$2:$J$587,MATCH($D8,온라인_반찬!$C$2:$C$587,0),8),"")</f>
        <v>0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8" t="s">
        <v>2227</v>
      </c>
      <c r="C10" s="251" t="s">
        <v>620</v>
      </c>
      <c r="D10" s="261" t="s">
        <v>1787</v>
      </c>
      <c r="E10" s="225">
        <v>150</v>
      </c>
      <c r="F10" s="225"/>
      <c r="G10" s="226" t="str">
        <f>IFERROR(INDEX(온라인_반찬!$C$2:$H$594,MATCH($D10,온라인_반찬!$C$2:$C$594,0),6),"")</f>
        <v>쌀(국산)90%, 귀리(국산.친환경)5%, 정제수</v>
      </c>
      <c r="H10" s="227">
        <f>IFERROR(INDEX(온라인_반찬!$D$2:$J$587,MATCH($D10,온라인_반찬!$C$2:$C$587,0),6),"")</f>
        <v>0</v>
      </c>
      <c r="I10" s="228" t="s">
        <v>2301</v>
      </c>
      <c r="J10" s="266">
        <v>92</v>
      </c>
      <c r="K10" s="264">
        <v>10800</v>
      </c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45" t="s">
        <v>624</v>
      </c>
      <c r="D11" s="103" t="s">
        <v>1379</v>
      </c>
      <c r="E11" s="123">
        <v>160</v>
      </c>
      <c r="F11" s="124"/>
      <c r="G11" s="113" t="str">
        <f>IFERROR(INDEX(온라인_반찬!$C$2:$H$594,MATCH($D11,온라인_반찬!$C$2:$C$594,0),6),"")</f>
        <v>소고기(호주산)12%, 알배추(국산)7%, 느타리(국산), 청경채(국산), 대파, 마늘, 간장, 정제수, 소금</v>
      </c>
      <c r="H11" s="101" t="str">
        <f>IFERROR(INDEX(온라인_반찬!$D$2:$J$587,MATCH($D11,온라인_반찬!$C$2:$C$587,0),6),"")</f>
        <v>.5.16.</v>
      </c>
      <c r="I11" s="109" t="s">
        <v>2301</v>
      </c>
      <c r="J11" s="102">
        <v>92</v>
      </c>
      <c r="K11" s="101">
        <v>11210</v>
      </c>
      <c r="L11" s="129">
        <f>IFERROR(INDEX(온라인_반찬!$C$2:$J$587,MATCH($D11,온라인_반찬!$C$2:$C$587,0),8),"")</f>
        <v>0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45" t="s">
        <v>621</v>
      </c>
      <c r="D12" s="103" t="s">
        <v>2219</v>
      </c>
      <c r="E12" s="123">
        <v>80</v>
      </c>
      <c r="F12" s="124"/>
      <c r="G12" s="113" t="str">
        <f>IFERROR(INDEX(온라인_반찬!$C$2:$H$594,MATCH($D12,온라인_반찬!$C$2:$C$594,0),6),"")</f>
        <v>닭고기(닭안심:국산)82%, 채소(양파, 청피망, 홍피망 : 국산)10%, 대두유, 맛술, 후추, 굴소스, 간장, 설탕, 파, 마늘, 참기름, 참깨</v>
      </c>
      <c r="H12" s="101" t="str">
        <f>IFERROR(INDEX(온라인_반찬!$D$2:$J$587,MATCH($D12,온라인_반찬!$C$2:$C$587,0),6),"")</f>
        <v>.5.15.18.21.</v>
      </c>
      <c r="I12" s="109" t="s">
        <v>2301</v>
      </c>
      <c r="J12" s="102">
        <v>92</v>
      </c>
      <c r="K12" s="101">
        <v>8264</v>
      </c>
      <c r="L12" s="129">
        <f>IFERROR(INDEX(온라인_반찬!$C$2:$J$587,MATCH($D12,온라인_반찬!$C$2:$C$587,0),8),"")</f>
        <v>0</v>
      </c>
      <c r="M12" s="120"/>
      <c r="N12" s="120"/>
    </row>
    <row r="13" spans="2:23" ht="39.950000000000003" customHeight="1">
      <c r="B13" s="328"/>
      <c r="C13" s="245" t="s">
        <v>622</v>
      </c>
      <c r="D13" s="103" t="s">
        <v>1612</v>
      </c>
      <c r="E13" s="123">
        <v>18</v>
      </c>
      <c r="F13" s="124"/>
      <c r="G13" s="113" t="str">
        <f>IFERROR(INDEX(온라인_반찬!$C$2:$H$594,MATCH($D13,온라인_반찬!$C$2:$C$594,0),6),"")</f>
        <v>건맛살채(원료수입산)85%, 대두유, 간장, 물엿, 마요네즈, 참기름, 참깨</v>
      </c>
      <c r="H13" s="101" t="str">
        <f>IFERROR(INDEX(온라인_반찬!$D$2:$J$587,MATCH($D13,온라인_반찬!$C$2:$C$587,0),6),"")</f>
        <v>.1.5.8.21.</v>
      </c>
      <c r="I13" s="109" t="s">
        <v>2301</v>
      </c>
      <c r="J13" s="102">
        <v>92</v>
      </c>
      <c r="K13" s="101">
        <v>1880</v>
      </c>
      <c r="L13" s="129">
        <f>IFERROR(INDEX(온라인_반찬!$C$2:$J$587,MATCH($D13,온라인_반찬!$C$2:$C$587,0),8),"")</f>
        <v>0</v>
      </c>
      <c r="M13" s="120"/>
      <c r="N13" s="120"/>
      <c r="O13" s="120"/>
    </row>
    <row r="14" spans="2:23" ht="39.950000000000003" customHeight="1">
      <c r="B14" s="328"/>
      <c r="C14" s="160" t="s">
        <v>290</v>
      </c>
      <c r="D14" s="103" t="s">
        <v>1963</v>
      </c>
      <c r="E14" s="123">
        <v>23</v>
      </c>
      <c r="F14" s="124"/>
      <c r="G14" s="113" t="str">
        <f>IFERROR(INDEX(온라인_반찬!$C$2:$H$594,MATCH($D14,온라인_반찬!$C$2:$C$594,0),6),"")</f>
        <v>검은콩(중국산)77%, 해바라기씨(중국산)5%, 간장, 물엿, 설탕, 참기름, 참깨</v>
      </c>
      <c r="H14" s="101" t="str">
        <f>IFERROR(INDEX(온라인_반찬!$D$2:$J$587,MATCH($D14,온라인_반찬!$C$2:$C$587,0),6),"")</f>
        <v>.5.21.</v>
      </c>
      <c r="I14" s="109" t="s">
        <v>2301</v>
      </c>
      <c r="J14" s="102">
        <v>92</v>
      </c>
      <c r="K14" s="101">
        <v>2162</v>
      </c>
      <c r="L14" s="129" t="str">
        <f>IFERROR(INDEX(온라인_반찬!$C$2:$J$587,MATCH($D14,온라인_반찬!$C$2:$C$587,0),8),"")</f>
        <v>콩자반(반찬단지)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103" t="s">
        <v>631</v>
      </c>
      <c r="E15" s="123">
        <v>35</v>
      </c>
      <c r="F15" s="123"/>
      <c r="G15" s="113" t="str">
        <f>IFERROR(INDEX(온라인_반찬!$C$2:$H$594,MATCH($D15,온라인_반찬!$C$2:$C$594,0),6),"")</f>
        <v>무(국산)85.2%, 고추가루(국산), 밀가루풀(국산), 파, 마늘, 새우젓 등 양념(국산)</v>
      </c>
      <c r="H15" s="101" t="str">
        <f>IFERROR(INDEX(온라인_반찬!$D$2:$J$587,MATCH($D15,온라인_반찬!$C$2:$C$587,0),6),"")</f>
        <v>.6.9.</v>
      </c>
      <c r="I15" s="109" t="s">
        <v>2301</v>
      </c>
      <c r="J15" s="102">
        <v>92</v>
      </c>
      <c r="K15" s="101">
        <v>3290</v>
      </c>
      <c r="L15" s="129">
        <f>IFERROR(INDEX(온라인_반찬!$C$2:$J$587,MATCH($D15,온라인_반찬!$C$2:$C$587,0),8),"")</f>
        <v>0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103" t="s">
        <v>2074</v>
      </c>
      <c r="E16" s="123"/>
      <c r="F16" s="123">
        <v>1</v>
      </c>
      <c r="G16" s="113" t="s">
        <v>2334</v>
      </c>
      <c r="H16" s="101" t="str">
        <f>IFERROR(INDEX(온라인_반찬!$D$2:$J$587,MATCH($D16,온라인_반찬!$C$2:$C$587,0),6),"")</f>
        <v/>
      </c>
      <c r="I16" s="109" t="s">
        <v>2301</v>
      </c>
      <c r="J16" s="102">
        <v>28</v>
      </c>
      <c r="K16" s="101">
        <v>30</v>
      </c>
      <c r="L16" s="165" t="str">
        <f>IFERROR(INDEX(온라인_반찬!$C$2:$J$587,MATCH($D16,온라인_반찬!$C$2:$C$587,0),8),"")</f>
        <v/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2300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2300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2300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2300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2300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2300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7F0F-A86B-4C7C-BBC0-086942C339F5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2305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1357</v>
      </c>
      <c r="E3" s="262">
        <v>140</v>
      </c>
      <c r="F3" s="262"/>
      <c r="G3" s="263" t="str">
        <f>IFERROR(INDEX(온라인_반찬!$C$2:$H$594,MATCH($D3,온라인_반찬!$C$2:$C$594,0),6),"")</f>
        <v>쌀(국산)90%, 찰흑미(국산.친환경)5%, 정제수</v>
      </c>
      <c r="H3" s="264">
        <f>IFERROR(INDEX(온라인_반찬!$D$2:$J$587,MATCH($D3,온라인_반찬!$C$2:$C$587,0),6),"")</f>
        <v>0</v>
      </c>
      <c r="I3" s="265" t="s">
        <v>2303</v>
      </c>
      <c r="J3" s="266">
        <v>2882</v>
      </c>
      <c r="K3" s="264">
        <v>434455</v>
      </c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2306</v>
      </c>
      <c r="E4" s="123">
        <v>150</v>
      </c>
      <c r="F4" s="124"/>
      <c r="G4" s="113" t="str">
        <f>IFERROR(INDEX(온라인_반찬!$C$2:$H$594,MATCH($D4,온라인_반찬!$C$2:$C$594,0),6),"")</f>
        <v>북어채(러시아산)5%, 두부(원료수입산)12%, 무8%, 양파, 정제수, 대파, 마늘, 참기름, 국간장, 소금</v>
      </c>
      <c r="H4" s="101" t="str">
        <f>IFERROR(INDEX(온라인_반찬!$D$2:$J$587,MATCH($D4,온라인_반찬!$C$2:$C$587,0),6),"")</f>
        <v>.5.21.</v>
      </c>
      <c r="I4" s="109" t="s">
        <v>2303</v>
      </c>
      <c r="J4" s="102">
        <v>2882</v>
      </c>
      <c r="K4" s="101">
        <v>445495</v>
      </c>
      <c r="L4" s="129">
        <f>IFERROR(INDEX(온라인_반찬!$C$2:$J$587,MATCH($D4,온라인_반찬!$C$2:$C$587,0),8),"")</f>
        <v>0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834</v>
      </c>
      <c r="E5" s="123">
        <v>60</v>
      </c>
      <c r="F5" s="124"/>
      <c r="G5" s="113" t="str">
        <f>IFERROR(INDEX(온라인_반찬!$C$2:$H$594,MATCH($D5,온라인_반찬!$C$2:$C$594,0),6),"")</f>
        <v xml:space="preserve"> 소고기채(호주산)75%,고사리(중국산)15%, 대파, 마늘, 국간장, 간장, 소금, 맛술, 후추, 들기름, 참깨</v>
      </c>
      <c r="H5" s="101" t="str">
        <f>IFERROR(INDEX(온라인_반찬!$D$2:$J$587,MATCH($D5,온라인_반찬!$C$2:$C$587,0),6),"")</f>
        <v>.5.16.21.22.</v>
      </c>
      <c r="I5" s="109" t="s">
        <v>2303</v>
      </c>
      <c r="J5" s="102">
        <v>2882</v>
      </c>
      <c r="K5" s="101">
        <v>208950</v>
      </c>
      <c r="L5" s="129">
        <f>IFERROR(INDEX(온라인_반찬!$C$2:$J$587,MATCH($D5,온라인_반찬!$C$2:$C$587,0),8),"")</f>
        <v>0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1600</v>
      </c>
      <c r="E6" s="123"/>
      <c r="F6" s="124">
        <v>1</v>
      </c>
      <c r="G6" s="113" t="str">
        <f>IFERROR(INDEX(온라인_반찬!$C$2:$H$594,MATCH($D6,온라인_반찬!$C$2:$C$594,0),6),"")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6" s="101" t="str">
        <f>IFERROR(INDEX(온라인_반찬!$D$2:$J$587,MATCH($D6,온라인_반찬!$C$2:$C$587,0),6),"")</f>
        <v>.1.2.5.6.10.12.16.</v>
      </c>
      <c r="I6" s="109" t="s">
        <v>2303</v>
      </c>
      <c r="J6" s="102">
        <v>2882</v>
      </c>
      <c r="K6" s="101">
        <v>4482.9999999999982</v>
      </c>
      <c r="L6" s="129" t="str">
        <f>IFERROR(INDEX(온라인_반찬!$C$2:$J$587,MATCH($D6,온라인_반찬!$C$2:$C$587,0),8),"")</f>
        <v>계란옷 입은 고기완자(사옹원)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2307</v>
      </c>
      <c r="E7" s="123">
        <v>25</v>
      </c>
      <c r="F7" s="124"/>
      <c r="G7" s="113" t="str">
        <f>IFERROR(INDEX(온라인_반찬!$C$2:$H$594,MATCH($D7,온라인_반찬!$C$2:$C$594,0),6),"")</f>
        <v>미역줄기(국산)90.1%, 당근, 마늘, 대두유, 간장, 소금, 참기름, 참깨</v>
      </c>
      <c r="H7" s="101" t="str">
        <f>IFERROR(INDEX(온라인_반찬!$D$2:$J$587,MATCH($D7,온라인_반찬!$C$2:$C$587,0),6),"")</f>
        <v>.5.21.</v>
      </c>
      <c r="I7" s="109" t="s">
        <v>2303</v>
      </c>
      <c r="J7" s="102">
        <v>2882</v>
      </c>
      <c r="K7" s="101">
        <v>87042.5</v>
      </c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1116</v>
      </c>
      <c r="E8" s="123">
        <v>25</v>
      </c>
      <c r="F8" s="123"/>
      <c r="G8" s="113" t="str">
        <f>IFERROR(INDEX(온라인_반찬!$C$2:$H$594,MATCH($D8,온라인_반찬!$C$2:$C$594,0),6),"")</f>
        <v>배추(국내산)64%, 무채(무:국내산)8%, 양파, 정제수, 생강, 마늘, 생강, 배, 쪽파, 정제염</v>
      </c>
      <c r="H8" s="101">
        <f>IFERROR(INDEX(온라인_반찬!$D$2:$J$587,MATCH($D8,온라인_반찬!$C$2:$C$587,0),6),"")</f>
        <v>0</v>
      </c>
      <c r="I8" s="109" t="s">
        <v>2303</v>
      </c>
      <c r="J8" s="102">
        <v>2882</v>
      </c>
      <c r="K8" s="101">
        <v>78485</v>
      </c>
      <c r="L8" s="129" t="str">
        <f>IFERROR(INDEX(온라인_반찬!$C$2:$J$587,MATCH($D8,온라인_반찬!$C$2:$C$587,0),8),"")</f>
        <v>백김치(정우식품)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28" t="s">
        <v>2227</v>
      </c>
      <c r="C10" s="251" t="s">
        <v>620</v>
      </c>
      <c r="D10" s="261" t="s">
        <v>1357</v>
      </c>
      <c r="E10" s="225">
        <v>150</v>
      </c>
      <c r="F10" s="225"/>
      <c r="G10" s="226" t="str">
        <f>IFERROR(INDEX(온라인_반찬!$C$2:$H$594,MATCH($D10,온라인_반찬!$C$2:$C$594,0),6),"")</f>
        <v>쌀(국산)90%, 찰흑미(국산.친환경)5%, 정제수</v>
      </c>
      <c r="H10" s="227">
        <f>IFERROR(INDEX(온라인_반찬!$D$2:$J$587,MATCH($D10,온라인_반찬!$C$2:$C$587,0),6),"")</f>
        <v>0</v>
      </c>
      <c r="I10" s="228" t="s">
        <v>2304</v>
      </c>
      <c r="J10" s="266"/>
      <c r="K10" s="264">
        <v>6300</v>
      </c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45" t="s">
        <v>624</v>
      </c>
      <c r="D11" s="103" t="s">
        <v>2306</v>
      </c>
      <c r="E11" s="123">
        <v>160</v>
      </c>
      <c r="F11" s="124"/>
      <c r="G11" s="113" t="str">
        <f>IFERROR(INDEX(온라인_반찬!$C$2:$H$594,MATCH($D11,온라인_반찬!$C$2:$C$594,0),6),"")</f>
        <v>북어채(러시아산)5%, 두부(원료수입산)12%, 무8%, 양파, 정제수, 대파, 마늘, 참기름, 국간장, 소금</v>
      </c>
      <c r="H11" s="101" t="str">
        <f>IFERROR(INDEX(온라인_반찬!$D$2:$J$587,MATCH($D11,온라인_반찬!$C$2:$C$587,0),6),"")</f>
        <v>.5.21.</v>
      </c>
      <c r="I11" s="109" t="s">
        <v>2304</v>
      </c>
      <c r="J11" s="102"/>
      <c r="K11" s="101">
        <v>6560</v>
      </c>
      <c r="L11" s="129">
        <f>IFERROR(INDEX(온라인_반찬!$C$2:$J$587,MATCH($D11,온라인_반찬!$C$2:$C$587,0),8),"")</f>
        <v>0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45" t="s">
        <v>621</v>
      </c>
      <c r="D12" s="103" t="s">
        <v>834</v>
      </c>
      <c r="E12" s="123">
        <v>80</v>
      </c>
      <c r="F12" s="124"/>
      <c r="G12" s="113" t="str">
        <f>IFERROR(INDEX(온라인_반찬!$C$2:$H$594,MATCH($D12,온라인_반찬!$C$2:$C$594,0),6),"")</f>
        <v xml:space="preserve"> 소고기채(호주산)75%,고사리(중국산)15%, 대파, 마늘, 국간장, 간장, 소금, 맛술, 후추, 들기름, 참깨</v>
      </c>
      <c r="H12" s="101" t="str">
        <f>IFERROR(INDEX(온라인_반찬!$D$2:$J$587,MATCH($D12,온라인_반찬!$C$2:$C$587,0),6),"")</f>
        <v>.5.16.21.22.</v>
      </c>
      <c r="I12" s="109" t="s">
        <v>2304</v>
      </c>
      <c r="J12" s="102"/>
      <c r="K12" s="101">
        <v>5800</v>
      </c>
      <c r="L12" s="129">
        <f>IFERROR(INDEX(온라인_반찬!$C$2:$J$587,MATCH($D12,온라인_반찬!$C$2:$C$587,0),8),"")</f>
        <v>0</v>
      </c>
      <c r="M12" s="120"/>
      <c r="N12" s="120"/>
    </row>
    <row r="13" spans="2:23" ht="39.950000000000003" customHeight="1">
      <c r="B13" s="328"/>
      <c r="C13" s="245" t="s">
        <v>622</v>
      </c>
      <c r="D13" s="103" t="s">
        <v>1600</v>
      </c>
      <c r="E13" s="123"/>
      <c r="F13" s="124">
        <v>2</v>
      </c>
      <c r="G13" s="113" t="str">
        <f>IFERROR(INDEX(온라인_반찬!$C$2:$H$594,MATCH($D13,온라인_반찬!$C$2:$C$594,0),6),"")</f>
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</c>
      <c r="H13" s="101" t="str">
        <f>IFERROR(INDEX(온라인_반찬!$D$2:$J$587,MATCH($D13,온라인_반찬!$C$2:$C$587,0),6),"")</f>
        <v>.1.2.5.6.10.12.16.</v>
      </c>
      <c r="I13" s="109" t="s">
        <v>2304</v>
      </c>
      <c r="J13" s="102"/>
      <c r="K13" s="101">
        <v>128</v>
      </c>
      <c r="L13" s="129" t="str">
        <f>IFERROR(INDEX(온라인_반찬!$C$2:$J$587,MATCH($D13,온라인_반찬!$C$2:$C$587,0),8),"")</f>
        <v>계란옷 입은 고기완자(사옹원)</v>
      </c>
      <c r="M13" s="120"/>
      <c r="N13" s="120"/>
      <c r="O13" s="120"/>
    </row>
    <row r="14" spans="2:23" ht="39.950000000000003" customHeight="1">
      <c r="B14" s="328"/>
      <c r="C14" s="160" t="s">
        <v>290</v>
      </c>
      <c r="D14" s="103" t="s">
        <v>2307</v>
      </c>
      <c r="E14" s="123">
        <v>35</v>
      </c>
      <c r="F14" s="124"/>
      <c r="G14" s="113" t="str">
        <f>IFERROR(INDEX(온라인_반찬!$C$2:$H$594,MATCH($D14,온라인_반찬!$C$2:$C$594,0),6),"")</f>
        <v>미역줄기(국산)90.1%, 당근, 마늘, 대두유, 간장, 소금, 참기름, 참깨</v>
      </c>
      <c r="H14" s="101" t="str">
        <f>IFERROR(INDEX(온라인_반찬!$D$2:$J$587,MATCH($D14,온라인_반찬!$C$2:$C$587,0),6),"")</f>
        <v>.5.21.</v>
      </c>
      <c r="I14" s="109" t="s">
        <v>2304</v>
      </c>
      <c r="J14" s="102"/>
      <c r="K14" s="101">
        <v>2310</v>
      </c>
      <c r="L14" s="129">
        <f>IFERROR(INDEX(온라인_반찬!$C$2:$J$587,MATCH($D14,온라인_반찬!$C$2:$C$587,0),8),"")</f>
        <v>0</v>
      </c>
      <c r="M14" s="120"/>
      <c r="N14" s="120"/>
      <c r="O14" s="120"/>
    </row>
    <row r="15" spans="2:23" ht="39.950000000000003" customHeight="1">
      <c r="B15" s="328"/>
      <c r="C15" s="287" t="s">
        <v>820</v>
      </c>
      <c r="D15" s="281" t="s">
        <v>1561</v>
      </c>
      <c r="E15" s="282">
        <v>35</v>
      </c>
      <c r="F15" s="282"/>
      <c r="G15" s="284" t="str">
        <f>IFERROR(INDEX(온라인_반찬!$C$2:$H$594,MATCH($D15,온라인_반찬!$C$2:$C$594,0),6),"")</f>
        <v>절임열무51%(열무,식염:고추구루, 양파, 대파, 전용풀. 마늘, 다시마농축액.새우액젓.생강:국산)</v>
      </c>
      <c r="H15" s="285" t="str">
        <f>IFERROR(INDEX(온라인_반찬!$D$2:$J$587,MATCH($D15,온라인_반찬!$C$2:$C$587,0),6),"")</f>
        <v>.9.</v>
      </c>
      <c r="I15" s="109" t="s">
        <v>2304</v>
      </c>
      <c r="J15" s="102"/>
      <c r="K15" s="101">
        <v>2310</v>
      </c>
      <c r="L15" s="129" t="str">
        <f>IFERROR(INDEX(온라인_반찬!$C$2:$J$587,MATCH($D15,온라인_반찬!$C$2:$C$587,0),8),"")</f>
        <v>열무김치(종가김치)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103"/>
      <c r="E16" s="123"/>
      <c r="F16" s="123"/>
      <c r="G16" s="113" t="str">
        <f>IFERROR(INDEX(온라인_반찬!$C$2:$H$594,MATCH($D16,온라인_반찬!$C$2:$C$594,0),6),"")</f>
        <v/>
      </c>
      <c r="H16" s="101" t="str">
        <f>IFERROR(INDEX(온라인_반찬!$D$2:$J$587,MATCH($D16,온라인_반찬!$C$2:$C$587,0),6),"")</f>
        <v/>
      </c>
      <c r="I16" s="109" t="s">
        <v>2304</v>
      </c>
      <c r="J16" s="102"/>
      <c r="K16" s="101"/>
      <c r="L16" s="165" t="str">
        <f>IFERROR(INDEX(온라인_반찬!$C$2:$J$587,MATCH($D16,온라인_반찬!$C$2:$C$587,0),8),"")</f>
        <v/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2303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2303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2303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2303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2303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2303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B56E-C0E2-45FE-BC52-BA71B91AFE2B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2310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2247</v>
      </c>
      <c r="E3" s="262">
        <v>140</v>
      </c>
      <c r="F3" s="262"/>
      <c r="G3" s="263" t="str">
        <f>IFERROR(INDEX(온라인_반찬!$C$2:$H$594,MATCH($D3,온라인_반찬!$C$2:$C$594,0),6),"")</f>
        <v>쌀(국산)95%, 정제수</v>
      </c>
      <c r="H3" s="264">
        <f>IFERROR(INDEX(온라인_반찬!$D$2:$J$587,MATCH($D3,온라인_반찬!$C$2:$C$587,0),6),"")</f>
        <v>0</v>
      </c>
      <c r="I3" s="265" t="s">
        <v>2308</v>
      </c>
      <c r="J3" s="266"/>
      <c r="K3" s="264"/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1426</v>
      </c>
      <c r="E4" s="123">
        <v>150</v>
      </c>
      <c r="F4" s="124"/>
      <c r="G4" s="113" t="str">
        <f>IFERROR(INDEX(온라인_반찬!$C$2:$H$594,MATCH($D4,온라인_반찬!$C$2:$C$594,0),6),"")</f>
        <v>열무(국산)18%, 두부(대두:수입산), 양파, 파, 마늘, 된장, 멸치육수농축액, 국간장, 정제수, 소금</v>
      </c>
      <c r="H4" s="101" t="str">
        <f>IFERROR(INDEX(온라인_반찬!$D$2:$J$587,MATCH($D4,온라인_반찬!$C$2:$C$587,0),6),"")</f>
        <v>.5.</v>
      </c>
      <c r="I4" s="109" t="s">
        <v>2308</v>
      </c>
      <c r="J4" s="102"/>
      <c r="K4" s="101"/>
      <c r="L4" s="129" t="str">
        <f>IFERROR(INDEX(온라인_반찬!$C$2:$J$587,MATCH($D4,온라인_반찬!$C$2:$C$587,0),8),"")</f>
        <v>40g / 50g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1522</v>
      </c>
      <c r="E5" s="123">
        <v>60</v>
      </c>
      <c r="F5" s="124"/>
      <c r="G5" s="113" t="str">
        <f>IFERROR(INDEX(온라인_반찬!$C$2:$H$594,MATCH($D5,온라인_반찬!$C$2:$C$594,0),6),"")</f>
        <v>돼지고기(국산)83%, 양파, 홍피망, 청경채, 간장, 노두유, 설탕, 치킨스톡, 마늘, 정제수, 전분, 후추, 소금, 참기름</v>
      </c>
      <c r="H5" s="101" t="str">
        <f>IFERROR(INDEX(온라인_반찬!$D$2:$J$587,MATCH($D5,온라인_반찬!$C$2:$C$587,0),6),"")</f>
        <v>.5.6.10.21.</v>
      </c>
      <c r="I5" s="109" t="s">
        <v>2308</v>
      </c>
      <c r="J5" s="102"/>
      <c r="K5" s="101"/>
      <c r="L5" s="129">
        <f>IFERROR(INDEX(온라인_반찬!$C$2:$J$587,MATCH($D5,온라인_반찬!$C$2:$C$587,0),8),"")</f>
        <v>0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647</v>
      </c>
      <c r="E6" s="123">
        <v>40</v>
      </c>
      <c r="F6" s="124"/>
      <c r="G6" s="113" t="s">
        <v>2332</v>
      </c>
      <c r="H6" s="101" t="str">
        <f>IFERROR(INDEX(온라인_반찬!$D$2:$J$587,MATCH($D6,온라인_반찬!$C$2:$C$587,0),6),"")</f>
        <v>.5.16.21.</v>
      </c>
      <c r="I6" s="109" t="s">
        <v>2308</v>
      </c>
      <c r="J6" s="102"/>
      <c r="K6" s="101"/>
      <c r="L6" s="129">
        <f>IFERROR(INDEX(온라인_반찬!$C$2:$J$587,MATCH($D6,온라인_반찬!$C$2:$C$587,0),8),"")</f>
        <v>0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2311</v>
      </c>
      <c r="E7" s="123">
        <v>25</v>
      </c>
      <c r="F7" s="124"/>
      <c r="G7" s="113" t="str">
        <f>IFERROR(INDEX(온라인_반찬!$C$2:$H$594,MATCH($D7,온라인_반찬!$C$2:$C$594,0),6),"")</f>
        <v>콩나물(원료수입산)92%, 당근, 마늘, 대파, 참치액, 소금, 참기름, 참깨</v>
      </c>
      <c r="H7" s="101" t="str">
        <f>IFERROR(INDEX(온라인_반찬!$D$2:$J$587,MATCH($D7,온라인_반찬!$C$2:$C$587,0),6),"")</f>
        <v>.5.21.</v>
      </c>
      <c r="I7" s="109" t="s">
        <v>2308</v>
      </c>
      <c r="J7" s="102"/>
      <c r="K7" s="101"/>
      <c r="L7" s="129">
        <f>IFERROR(INDEX(온라인_반찬!$C$2:$J$587,MATCH($D7,온라인_반찬!$C$2:$C$587,0),8),"")</f>
        <v>0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631</v>
      </c>
      <c r="E8" s="123">
        <v>25</v>
      </c>
      <c r="F8" s="123"/>
      <c r="G8" s="113" t="str">
        <f>IFERROR(INDEX(온라인_반찬!$C$2:$H$594,MATCH($D8,온라인_반찬!$C$2:$C$594,0),6),"")</f>
        <v>무(국산)85.2%, 고추가루(국산), 밀가루풀(국산), 파, 마늘, 새우젓 등 양념(국산)</v>
      </c>
      <c r="H8" s="101" t="str">
        <f>IFERROR(INDEX(온라인_반찬!$D$2:$J$587,MATCH($D8,온라인_반찬!$C$2:$C$587,0),6),"")</f>
        <v>.6.9.</v>
      </c>
      <c r="I8" s="109" t="s">
        <v>2308</v>
      </c>
      <c r="J8" s="102"/>
      <c r="K8" s="101"/>
      <c r="L8" s="129">
        <f>IFERROR(INDEX(온라인_반찬!$C$2:$J$587,MATCH($D8,온라인_반찬!$C$2:$C$587,0),8),"")</f>
        <v>0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/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8" t="s">
        <v>2227</v>
      </c>
      <c r="C10" s="251" t="s">
        <v>620</v>
      </c>
      <c r="D10" s="261" t="s">
        <v>2247</v>
      </c>
      <c r="E10" s="225">
        <v>150</v>
      </c>
      <c r="F10" s="225"/>
      <c r="G10" s="226" t="str">
        <f>IFERROR(INDEX(온라인_반찬!$C$2:$H$594,MATCH($D10,온라인_반찬!$C$2:$C$594,0),6),"")</f>
        <v>쌀(국산)95%, 정제수</v>
      </c>
      <c r="H10" s="227">
        <f>IFERROR(INDEX(온라인_반찬!$D$2:$J$587,MATCH($D10,온라인_반찬!$C$2:$C$587,0),6),"")</f>
        <v>0</v>
      </c>
      <c r="I10" s="228" t="s">
        <v>2309</v>
      </c>
      <c r="J10" s="266"/>
      <c r="K10" s="264"/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45" t="s">
        <v>624</v>
      </c>
      <c r="D11" s="103" t="s">
        <v>1426</v>
      </c>
      <c r="E11" s="123">
        <v>160</v>
      </c>
      <c r="F11" s="124"/>
      <c r="G11" s="113" t="str">
        <f>IFERROR(INDEX(온라인_반찬!$C$2:$H$594,MATCH($D11,온라인_반찬!$C$2:$C$594,0),6),"")</f>
        <v>열무(국산)18%, 두부(대두:수입산), 양파, 파, 마늘, 된장, 멸치육수농축액, 국간장, 정제수, 소금</v>
      </c>
      <c r="H11" s="101" t="str">
        <f>IFERROR(INDEX(온라인_반찬!$D$2:$J$587,MATCH($D11,온라인_반찬!$C$2:$C$587,0),6),"")</f>
        <v>.5.</v>
      </c>
      <c r="I11" s="109" t="s">
        <v>2309</v>
      </c>
      <c r="J11" s="102"/>
      <c r="K11" s="101"/>
      <c r="L11" s="129" t="str">
        <f>IFERROR(INDEX(온라인_반찬!$C$2:$J$587,MATCH($D11,온라인_반찬!$C$2:$C$587,0),8),"")</f>
        <v>40g / 50g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45" t="s">
        <v>621</v>
      </c>
      <c r="D12" s="103" t="s">
        <v>1522</v>
      </c>
      <c r="E12" s="123">
        <v>80</v>
      </c>
      <c r="F12" s="124"/>
      <c r="G12" s="113" t="str">
        <f>IFERROR(INDEX(온라인_반찬!$C$2:$H$594,MATCH($D12,온라인_반찬!$C$2:$C$594,0),6),"")</f>
        <v>돼지고기(국산)83%, 양파, 홍피망, 청경채, 간장, 노두유, 설탕, 치킨스톡, 마늘, 정제수, 전분, 후추, 소금, 참기름</v>
      </c>
      <c r="H12" s="101" t="str">
        <f>IFERROR(INDEX(온라인_반찬!$D$2:$J$587,MATCH($D12,온라인_반찬!$C$2:$C$587,0),6),"")</f>
        <v>.5.6.10.21.</v>
      </c>
      <c r="I12" s="109" t="s">
        <v>2309</v>
      </c>
      <c r="J12" s="102"/>
      <c r="K12" s="101"/>
      <c r="L12" s="129">
        <f>IFERROR(INDEX(온라인_반찬!$C$2:$J$587,MATCH($D12,온라인_반찬!$C$2:$C$587,0),8),"")</f>
        <v>0</v>
      </c>
      <c r="M12" s="120"/>
      <c r="N12" s="120"/>
      <c r="O12" s="120"/>
    </row>
    <row r="13" spans="2:23" ht="39.950000000000003" customHeight="1">
      <c r="B13" s="328"/>
      <c r="C13" s="245" t="s">
        <v>622</v>
      </c>
      <c r="D13" s="103" t="s">
        <v>647</v>
      </c>
      <c r="E13" s="123">
        <v>45</v>
      </c>
      <c r="F13" s="124"/>
      <c r="G13" s="113" t="s">
        <v>2332</v>
      </c>
      <c r="H13" s="101" t="str">
        <f>IFERROR(INDEX(온라인_반찬!$D$2:$J$587,MATCH($D13,온라인_반찬!$C$2:$C$587,0),6),"")</f>
        <v>.5.16.21.</v>
      </c>
      <c r="I13" s="109" t="s">
        <v>2309</v>
      </c>
      <c r="J13" s="102"/>
      <c r="K13" s="101"/>
      <c r="L13" s="129">
        <f>IFERROR(INDEX(온라인_반찬!$C$2:$J$587,MATCH($D13,온라인_반찬!$C$2:$C$587,0),8),"")</f>
        <v>0</v>
      </c>
      <c r="M13" s="120"/>
      <c r="N13" s="120"/>
      <c r="O13" s="120"/>
    </row>
    <row r="14" spans="2:23" ht="39.950000000000003" customHeight="1">
      <c r="B14" s="328"/>
      <c r="C14" s="288" t="s">
        <v>290</v>
      </c>
      <c r="D14" s="281" t="s">
        <v>669</v>
      </c>
      <c r="E14" s="282">
        <v>40</v>
      </c>
      <c r="F14" s="283"/>
      <c r="G14" s="284" t="str">
        <f>IFERROR(INDEX(온라인_반찬!$C$2:$H$594,MATCH($D14,온라인_반찬!$C$2:$C$594,0),6),"")</f>
        <v>콩나물(원료수입산)92%, 당근, 마늘, 대파, 고추가루, 참치액, 소금, 참기름, 참깨</v>
      </c>
      <c r="H14" s="285" t="str">
        <f>IFERROR(INDEX(온라인_반찬!$D$2:$J$587,MATCH($D14,온라인_반찬!$C$2:$C$587,0),6),"")</f>
        <v>.5.21.</v>
      </c>
      <c r="I14" s="109" t="s">
        <v>2309</v>
      </c>
      <c r="J14" s="102"/>
      <c r="K14" s="101"/>
      <c r="L14" s="129">
        <f>IFERROR(INDEX(온라인_반찬!$C$2:$J$587,MATCH($D14,온라인_반찬!$C$2:$C$587,0),8),"")</f>
        <v>0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103" t="s">
        <v>631</v>
      </c>
      <c r="E15" s="123">
        <v>35</v>
      </c>
      <c r="F15" s="123"/>
      <c r="G15" s="113" t="str">
        <f>IFERROR(INDEX(온라인_반찬!$C$2:$H$594,MATCH($D15,온라인_반찬!$C$2:$C$594,0),6),"")</f>
        <v>무(국산)85.2%, 고추가루(국산), 밀가루풀(국산), 파, 마늘, 새우젓 등 양념(국산)</v>
      </c>
      <c r="H15" s="101" t="str">
        <f>IFERROR(INDEX(온라인_반찬!$D$2:$J$587,MATCH($D15,온라인_반찬!$C$2:$C$587,0),6),"")</f>
        <v>.6.9.</v>
      </c>
      <c r="I15" s="109" t="s">
        <v>2309</v>
      </c>
      <c r="J15" s="102"/>
      <c r="K15" s="101"/>
      <c r="L15" s="129">
        <f>IFERROR(INDEX(온라인_반찬!$C$2:$J$587,MATCH($D15,온라인_반찬!$C$2:$C$587,0),8),"")</f>
        <v>0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103" t="s">
        <v>2074</v>
      </c>
      <c r="E16" s="123"/>
      <c r="F16" s="123">
        <v>1</v>
      </c>
      <c r="G16" s="113" t="s">
        <v>2335</v>
      </c>
      <c r="H16" s="101" t="str">
        <f>IFERROR(INDEX(온라인_반찬!$D$2:$J$587,MATCH($D16,온라인_반찬!$C$2:$C$587,0),6),"")</f>
        <v/>
      </c>
      <c r="I16" s="109" t="s">
        <v>2309</v>
      </c>
      <c r="J16" s="102"/>
      <c r="K16" s="101"/>
      <c r="L16" s="165" t="str">
        <f>IFERROR(INDEX(온라인_반찬!$C$2:$J$587,MATCH($D16,온라인_반찬!$C$2:$C$587,0),8),"")</f>
        <v/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2308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2308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2308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2308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2308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2308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235A-D746-40C0-A3A5-FF2A062DF459}">
  <sheetPr>
    <pageSetUpPr fitToPage="1"/>
  </sheetPr>
  <dimension ref="B1:W27"/>
  <sheetViews>
    <sheetView tabSelected="1" zoomScale="80" zoomScaleNormal="80" zoomScaleSheetLayoutView="75" workbookViewId="0">
      <selection activeCell="D16" sqref="D16:H1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2314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 t="s">
        <v>1359</v>
      </c>
      <c r="E3" s="262">
        <v>140</v>
      </c>
      <c r="F3" s="262"/>
      <c r="G3" s="263" t="str">
        <f>IFERROR(INDEX(온라인_반찬!$C$2:$H$594,MATCH($D3,온라인_반찬!$C$2:$C$594,0),6),"")</f>
        <v>쌀(국산)90%, 찰보리(국산.친환경)5%, 정제수</v>
      </c>
      <c r="H3" s="264">
        <f>IFERROR(INDEX(온라인_반찬!$D$2:$J$587,MATCH($D3,온라인_반찬!$C$2:$C$587,0),6),"")</f>
        <v>0</v>
      </c>
      <c r="I3" s="265" t="s">
        <v>2312</v>
      </c>
      <c r="J3" s="266"/>
      <c r="K3" s="264"/>
      <c r="L3" s="267">
        <f>IFERROR(INDEX(온라인_반찬!$C$2:$J$587,MATCH($D3,온라인_반찬!$C$2:$C$587,0),8),"")</f>
        <v>0</v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 t="s">
        <v>849</v>
      </c>
      <c r="E4" s="123">
        <v>150</v>
      </c>
      <c r="F4" s="124"/>
      <c r="G4" s="113" t="str">
        <f>IFERROR(INDEX(온라인_반찬!$C$2:$H$594,MATCH($D4,온라인_반찬!$C$2:$C$594,0),6),"")</f>
        <v>조랭이떡(쌀:수입산)25%, 소고기(호주산)3.5%, 계란지단(국산)1%,  양파, 대파, 마늘, 국간장, 정제수, 소금</v>
      </c>
      <c r="H4" s="101" t="str">
        <f>IFERROR(INDEX(온라인_반찬!$D$2:$J$587,MATCH($D4,온라인_반찬!$C$2:$C$587,0),6),"")</f>
        <v>.1.5.16.</v>
      </c>
      <c r="I4" s="109" t="s">
        <v>2312</v>
      </c>
      <c r="J4" s="102"/>
      <c r="K4" s="101"/>
      <c r="L4" s="129">
        <f>IFERROR(INDEX(온라인_반찬!$C$2:$J$587,MATCH($D4,온라인_반찬!$C$2:$C$587,0),8),"")</f>
        <v>0</v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 t="s">
        <v>2220</v>
      </c>
      <c r="E5" s="123">
        <v>60</v>
      </c>
      <c r="F5" s="124"/>
      <c r="G5" s="113" t="str">
        <f>IFERROR(INDEX(온라인_반찬!$C$2:$H$594,MATCH($D5,온라인_반찬!$C$2:$C$594,0),6),"")</f>
        <v>당면(원료수입)45%, 어묵채(연육:베트남산.중국산)35%, 훈제오리(국산)7%, 양파, 청피망, 당근, 표고버섯, 대두유, 간장, 설탕, 참기름, 참깨</v>
      </c>
      <c r="H5" s="101" t="str">
        <f>IFERROR(INDEX(온라인_반찬!$D$2:$J$587,MATCH($D5,온라인_반찬!$C$2:$C$587,0),6),"")</f>
        <v>.5.6.21.</v>
      </c>
      <c r="I5" s="109" t="s">
        <v>2312</v>
      </c>
      <c r="J5" s="102"/>
      <c r="K5" s="101"/>
      <c r="L5" s="129">
        <f>IFERROR(INDEX(온라인_반찬!$C$2:$J$587,MATCH($D5,온라인_반찬!$C$2:$C$587,0),8),"")</f>
        <v>0</v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 t="s">
        <v>2315</v>
      </c>
      <c r="E6" s="123">
        <v>30</v>
      </c>
      <c r="F6" s="124"/>
      <c r="G6" s="113" t="str">
        <f>IFERROR(INDEX(온라인_반찬!$C$2:$H$594,MATCH($D6,온라인_반찬!$C$2:$C$594,0),6),"")</f>
        <v>메추리알(국산)77.3%, 표고버섯(원료수입)5%, 정제수, 통후추, 월계수잎, 간장, 설탕, 물엿, 참기름</v>
      </c>
      <c r="H6" s="101" t="str">
        <f>IFERROR(INDEX(온라인_반찬!$D$2:$J$587,MATCH($D6,온라인_반찬!$C$2:$C$587,0),6),"")</f>
        <v>.1.5.21.</v>
      </c>
      <c r="I6" s="109" t="s">
        <v>2312</v>
      </c>
      <c r="J6" s="102"/>
      <c r="K6" s="101"/>
      <c r="L6" s="129">
        <f>IFERROR(INDEX(온라인_반찬!$C$2:$J$587,MATCH($D6,온라인_반찬!$C$2:$C$587,0),8),"")</f>
        <v>0</v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 t="s">
        <v>800</v>
      </c>
      <c r="E7" s="123"/>
      <c r="F7" s="124">
        <v>1</v>
      </c>
      <c r="G7" s="113" t="str">
        <f>IFERROR(INDEX(온라인_반찬!$C$2:$H$594,MATCH($D7,온라인_반찬!$C$2:$C$594,0),6),"")</f>
        <v>김(국산), 카놀라유(원료:외국산), 참기름, 정제소금</v>
      </c>
      <c r="H7" s="101" t="str">
        <f>IFERROR(INDEX(온라인_반찬!$D$2:$J$587,MATCH($D7,온라인_반찬!$C$2:$C$587,0),6),"")</f>
        <v>.21.</v>
      </c>
      <c r="I7" s="109" t="s">
        <v>2312</v>
      </c>
      <c r="J7" s="102"/>
      <c r="K7" s="101"/>
      <c r="L7" s="129" t="str">
        <f>IFERROR(INDEX(온라인_반찬!$C$2:$J$587,MATCH($D7,온라인_반찬!$C$2:$C$587,0),8),"")</f>
        <v>양반김(동원)</v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 t="s">
        <v>630</v>
      </c>
      <c r="E8" s="123">
        <v>25</v>
      </c>
      <c r="F8" s="123"/>
      <c r="G8" s="113" t="str">
        <f>IFERROR(INDEX(온라인_반찬!$C$2:$H$594,MATCH($D8,온라인_반찬!$C$2:$C$594,0),6),"")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IFERROR(INDEX(온라인_반찬!$D$2:$J$587,MATCH($D8,온라인_반찬!$C$2:$C$587,0),6),"")</f>
        <v>.9.12.</v>
      </c>
      <c r="I8" s="109" t="s">
        <v>2312</v>
      </c>
      <c r="J8" s="102"/>
      <c r="K8" s="101"/>
      <c r="L8" s="129" t="str">
        <f>IFERROR(INDEX(온라인_반찬!$C$2:$J$587,MATCH($D8,온라인_반찬!$C$2:$C$587,0),8),"")</f>
        <v>토마토김치(종가집)</v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 thickBot="1">
      <c r="B9" s="329"/>
      <c r="C9" s="161" t="s">
        <v>97</v>
      </c>
      <c r="D9" s="211"/>
      <c r="E9" s="131"/>
      <c r="F9" s="132"/>
      <c r="G9" s="277" t="s">
        <v>2252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28" t="s">
        <v>2227</v>
      </c>
      <c r="C10" s="251" t="s">
        <v>620</v>
      </c>
      <c r="D10" s="261" t="s">
        <v>1359</v>
      </c>
      <c r="E10" s="225">
        <v>150</v>
      </c>
      <c r="F10" s="225"/>
      <c r="G10" s="226" t="str">
        <f>IFERROR(INDEX(온라인_반찬!$C$2:$H$594,MATCH($D10,온라인_반찬!$C$2:$C$594,0),6),"")</f>
        <v>쌀(국산)90%, 찰보리(국산.친환경)5%, 정제수</v>
      </c>
      <c r="H10" s="227">
        <f>IFERROR(INDEX(온라인_반찬!$D$2:$J$587,MATCH($D10,온라인_반찬!$C$2:$C$587,0),6),"")</f>
        <v>0</v>
      </c>
      <c r="I10" s="228" t="s">
        <v>2313</v>
      </c>
      <c r="J10" s="266"/>
      <c r="K10" s="264"/>
      <c r="L10" s="229">
        <f>IFERROR(INDEX(온라인_반찬!$C$2:$J$587,MATCH($D10,온라인_반찬!$C$2:$C$587,0),8),"")</f>
        <v>0</v>
      </c>
      <c r="M10" s="120" t="s">
        <v>1408</v>
      </c>
      <c r="N10" s="120"/>
      <c r="O10" s="120"/>
      <c r="P10" s="120" t="s">
        <v>1467</v>
      </c>
      <c r="S10" s="120" t="s">
        <v>1667</v>
      </c>
    </row>
    <row r="11" spans="2:23" ht="39.950000000000003" customHeight="1">
      <c r="B11" s="328"/>
      <c r="C11" s="286" t="s">
        <v>624</v>
      </c>
      <c r="D11" s="281" t="s">
        <v>2316</v>
      </c>
      <c r="E11" s="282">
        <v>160</v>
      </c>
      <c r="F11" s="283"/>
      <c r="G11" s="284" t="str">
        <f>IFERROR(INDEX(온라인_반찬!$C$2:$H$594,MATCH($D11,온라인_반찬!$C$2:$C$594,0),6),"")</f>
        <v>김치(고추가루, 배추:국산)18%, 돼지고기(목살:국산)25%, 두부(원료수입산), 양파, 대파, 마늘, 정제수, 국간장, 소금</v>
      </c>
      <c r="H11" s="285" t="str">
        <f>IFERROR(INDEX(온라인_반찬!$D$2:$J$587,MATCH($D11,온라인_반찬!$C$2:$C$587,0),6),"")</f>
        <v>.5.10.</v>
      </c>
      <c r="I11" s="109" t="s">
        <v>2313</v>
      </c>
      <c r="J11" s="102"/>
      <c r="K11" s="101"/>
      <c r="L11" s="129">
        <f>IFERROR(INDEX(온라인_반찬!$C$2:$J$587,MATCH($D11,온라인_반찬!$C$2:$C$587,0),8),"")</f>
        <v>0</v>
      </c>
      <c r="M11" s="120" t="s">
        <v>1865</v>
      </c>
      <c r="N11" s="120"/>
      <c r="O11" s="120"/>
      <c r="P11" s="120" t="s">
        <v>1917</v>
      </c>
      <c r="S11" s="120" t="s">
        <v>1918</v>
      </c>
    </row>
    <row r="12" spans="2:23" ht="39.950000000000003" customHeight="1">
      <c r="B12" s="328"/>
      <c r="C12" s="245" t="s">
        <v>621</v>
      </c>
      <c r="D12" s="103" t="s">
        <v>2220</v>
      </c>
      <c r="E12" s="123">
        <v>80</v>
      </c>
      <c r="F12" s="124"/>
      <c r="G12" s="113" t="str">
        <f>IFERROR(INDEX(온라인_반찬!$C$2:$H$594,MATCH($D12,온라인_반찬!$C$2:$C$594,0),6),"")</f>
        <v>당면(원료수입)45%, 어묵채(연육:베트남산.중국산)35%, 훈제오리(국산)7%, 양파, 청피망, 당근, 표고버섯, 대두유, 간장, 설탕, 참기름, 참깨</v>
      </c>
      <c r="H12" s="101" t="str">
        <f>IFERROR(INDEX(온라인_반찬!$D$2:$J$587,MATCH($D12,온라인_반찬!$C$2:$C$587,0),6),"")</f>
        <v>.5.6.21.</v>
      </c>
      <c r="I12" s="109" t="s">
        <v>2313</v>
      </c>
      <c r="J12" s="102"/>
      <c r="K12" s="101"/>
      <c r="L12" s="129">
        <f>IFERROR(INDEX(온라인_반찬!$C$2:$J$587,MATCH($D12,온라인_반찬!$C$2:$C$587,0),8),"")</f>
        <v>0</v>
      </c>
      <c r="M12" s="120"/>
      <c r="N12" s="120"/>
      <c r="O12" s="120"/>
    </row>
    <row r="13" spans="2:23" ht="39.950000000000003" customHeight="1">
      <c r="B13" s="328"/>
      <c r="C13" s="245" t="s">
        <v>622</v>
      </c>
      <c r="D13" s="103" t="s">
        <v>2315</v>
      </c>
      <c r="E13" s="123">
        <v>40</v>
      </c>
      <c r="F13" s="124"/>
      <c r="G13" s="113" t="str">
        <f>IFERROR(INDEX(온라인_반찬!$C$2:$H$594,MATCH($D13,온라인_반찬!$C$2:$C$594,0),6),"")</f>
        <v>메추리알(국산)77.3%, 표고버섯(원료수입)5%, 정제수, 통후추, 월계수잎, 간장, 설탕, 물엿, 참기름</v>
      </c>
      <c r="H13" s="101" t="str">
        <f>IFERROR(INDEX(온라인_반찬!$D$2:$J$587,MATCH($D13,온라인_반찬!$C$2:$C$587,0),6),"")</f>
        <v>.1.5.21.</v>
      </c>
      <c r="I13" s="109" t="s">
        <v>2313</v>
      </c>
      <c r="J13" s="102"/>
      <c r="K13" s="101"/>
      <c r="L13" s="129">
        <f>IFERROR(INDEX(온라인_반찬!$C$2:$J$587,MATCH($D13,온라인_반찬!$C$2:$C$587,0),8),"")</f>
        <v>0</v>
      </c>
      <c r="M13" s="120"/>
      <c r="N13" s="120"/>
      <c r="O13" s="120"/>
    </row>
    <row r="14" spans="2:23" ht="39.950000000000003" customHeight="1">
      <c r="B14" s="328"/>
      <c r="C14" s="160" t="s">
        <v>290</v>
      </c>
      <c r="D14" s="103" t="s">
        <v>800</v>
      </c>
      <c r="E14" s="123"/>
      <c r="F14" s="124">
        <v>1</v>
      </c>
      <c r="G14" s="113" t="str">
        <f>IFERROR(INDEX(온라인_반찬!$C$2:$H$594,MATCH($D14,온라인_반찬!$C$2:$C$594,0),6),"")</f>
        <v>김(국산), 카놀라유(원료:외국산), 참기름, 정제소금</v>
      </c>
      <c r="H14" s="101" t="str">
        <f>IFERROR(INDEX(온라인_반찬!$D$2:$J$587,MATCH($D14,온라인_반찬!$C$2:$C$587,0),6),"")</f>
        <v>.21.</v>
      </c>
      <c r="I14" s="109" t="s">
        <v>2313</v>
      </c>
      <c r="J14" s="102"/>
      <c r="K14" s="101"/>
      <c r="L14" s="129" t="str">
        <f>IFERROR(INDEX(온라인_반찬!$C$2:$J$587,MATCH($D14,온라인_반찬!$C$2:$C$587,0),8),"")</f>
        <v>양반김(동원)</v>
      </c>
      <c r="M14" s="120"/>
      <c r="N14" s="120"/>
      <c r="O14" s="120"/>
    </row>
    <row r="15" spans="2:23" ht="39.950000000000003" customHeight="1">
      <c r="B15" s="328"/>
      <c r="C15" s="246" t="s">
        <v>820</v>
      </c>
      <c r="D15" s="103" t="s">
        <v>1561</v>
      </c>
      <c r="E15" s="123">
        <v>35</v>
      </c>
      <c r="F15" s="123"/>
      <c r="G15" s="113" t="str">
        <f>IFERROR(INDEX(온라인_반찬!$C$2:$H$594,MATCH($D15,온라인_반찬!$C$2:$C$594,0),6),"")</f>
        <v>절임열무51%(열무,식염:고추구루, 양파, 대파, 전용풀. 마늘, 다시마농축액.새우액젓.생강:국산)</v>
      </c>
      <c r="H15" s="101" t="str">
        <f>IFERROR(INDEX(온라인_반찬!$D$2:$J$587,MATCH($D15,온라인_반찬!$C$2:$C$587,0),6),"")</f>
        <v>.9.</v>
      </c>
      <c r="I15" s="109" t="s">
        <v>2313</v>
      </c>
      <c r="J15" s="102"/>
      <c r="K15" s="101"/>
      <c r="L15" s="129" t="str">
        <f>IFERROR(INDEX(온라인_반찬!$C$2:$J$587,MATCH($D15,온라인_반찬!$C$2:$C$587,0),8),"")</f>
        <v>열무김치(종가김치)</v>
      </c>
      <c r="M15" s="120"/>
      <c r="N15" s="120"/>
      <c r="O15" s="120"/>
    </row>
    <row r="16" spans="2:23" ht="39.950000000000003" customHeight="1">
      <c r="B16" s="328"/>
      <c r="C16" s="222" t="s">
        <v>1405</v>
      </c>
      <c r="D16" s="289" t="s">
        <v>1464</v>
      </c>
      <c r="E16" s="290">
        <v>80</v>
      </c>
      <c r="F16" s="290"/>
      <c r="G16" s="291" t="str">
        <f>IFERROR(INDEX(온라인_반찬!$C$2:$H$594,MATCH($D16,온라인_반찬!$C$2:$C$594,0),6),"")</f>
        <v>차돌(소고기:미국산)35%, 숙주(원료수입산)40%, 양파, 대파, 마늘, 대두유, 소금, 굴소스, 간장, 맛술, 참기름, 참깨</v>
      </c>
      <c r="H16" s="292" t="str">
        <f>IFERROR(INDEX(온라인_반찬!$D$2:$J$587,MATCH($D16,온라인_반찬!$C$2:$C$587,0),6),"")</f>
        <v>.5.6.16.18.21.</v>
      </c>
      <c r="I16" s="109" t="s">
        <v>2313</v>
      </c>
      <c r="J16" s="102"/>
      <c r="K16" s="101"/>
      <c r="L16" s="165">
        <f>IFERROR(INDEX(온라인_반찬!$C$2:$J$587,MATCH($D16,온라인_반찬!$C$2:$C$587,0),8),"")</f>
        <v>0</v>
      </c>
      <c r="M16" s="120"/>
      <c r="N16" s="120"/>
      <c r="O16" s="120"/>
    </row>
    <row r="17" spans="2:15" ht="39.950000000000003" customHeight="1" thickBot="1">
      <c r="B17" s="329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5" ht="39.950000000000003" customHeight="1">
      <c r="B18" s="334" t="s">
        <v>1619</v>
      </c>
      <c r="C18" s="100" t="s">
        <v>620</v>
      </c>
      <c r="D18" s="162"/>
      <c r="E18" s="123"/>
      <c r="F18" s="123"/>
      <c r="G18" s="113" t="str">
        <f>IFERROR(INDEX(온라인_반찬!$C$2:$H$594,MATCH($D18,온라인_반찬!$C$2:$C$594,0),6),"")</f>
        <v/>
      </c>
      <c r="H18" s="101" t="str">
        <f>IFERROR(INDEX(온라인_반찬!$D$2:$J$587,MATCH($D18,온라인_반찬!$C$2:$C$587,0),6),"")</f>
        <v/>
      </c>
      <c r="I18" s="109" t="s">
        <v>2312</v>
      </c>
      <c r="J18" s="158"/>
      <c r="K18" s="158"/>
      <c r="L18" s="129" t="str">
        <f>IFERROR(INDEX(온라인_반찬!$C$2:$J$587,MATCH($D18,온라인_반찬!$C$2:$C$587,0),8),"")</f>
        <v/>
      </c>
      <c r="M18" s="120"/>
    </row>
    <row r="19" spans="2:15" ht="39.950000000000003" customHeight="1">
      <c r="B19" s="335"/>
      <c r="C19" s="337" t="s">
        <v>622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2312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8"/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2312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160" t="s">
        <v>623</v>
      </c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2312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14" t="s">
        <v>820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2312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60" t="s">
        <v>102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2312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 thickBot="1">
      <c r="B24" s="336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5">
      <c r="L25" s="32"/>
    </row>
    <row r="27" spans="2:15">
      <c r="E27"/>
      <c r="F27" s="121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9DA6-8504-42FF-A9C4-42D95ABBC567}">
  <sheetPr>
    <pageSetUpPr fitToPage="1"/>
  </sheetPr>
  <dimension ref="B1:W28"/>
  <sheetViews>
    <sheetView zoomScale="80" zoomScaleNormal="80" zoomScaleSheetLayoutView="75" workbookViewId="0">
      <selection activeCell="I16" sqref="I16:I1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26" t="s">
        <v>2127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120" t="s">
        <v>1628</v>
      </c>
      <c r="P1" s="249" t="s">
        <v>1683</v>
      </c>
      <c r="S1" s="214" t="s">
        <v>1863</v>
      </c>
    </row>
    <row r="2" spans="2:23" ht="24.95" customHeight="1" thickBot="1">
      <c r="B2" s="252" t="s">
        <v>640</v>
      </c>
      <c r="C2" s="253" t="s">
        <v>293</v>
      </c>
      <c r="D2" s="136" t="s">
        <v>1050</v>
      </c>
      <c r="E2" s="254" t="s">
        <v>374</v>
      </c>
      <c r="F2" s="254" t="s">
        <v>361</v>
      </c>
      <c r="G2" s="136" t="s">
        <v>646</v>
      </c>
      <c r="H2" s="255" t="s">
        <v>981</v>
      </c>
      <c r="I2" s="256" t="s">
        <v>358</v>
      </c>
      <c r="J2" s="257" t="s">
        <v>2120</v>
      </c>
      <c r="K2" s="258" t="s">
        <v>313</v>
      </c>
      <c r="L2" s="259" t="s">
        <v>88</v>
      </c>
      <c r="M2" s="214" t="s">
        <v>1682</v>
      </c>
      <c r="N2" s="120"/>
      <c r="P2" s="249" t="s">
        <v>1684</v>
      </c>
      <c r="R2" s="120"/>
      <c r="S2" s="120" t="s">
        <v>918</v>
      </c>
    </row>
    <row r="3" spans="2:23" ht="39.950000000000003" customHeight="1">
      <c r="B3" s="327" t="s">
        <v>685</v>
      </c>
      <c r="C3" s="260" t="s">
        <v>620</v>
      </c>
      <c r="D3" s="261"/>
      <c r="E3" s="262"/>
      <c r="F3" s="262"/>
      <c r="G3" s="263" t="str">
        <f>IFERROR(INDEX(온라인_반찬!$C$2:$H$594,MATCH($D3,온라인_반찬!$C$2:$C$594,0),6),"")</f>
        <v/>
      </c>
      <c r="H3" s="264" t="str">
        <f>IFERROR(INDEX(온라인_반찬!$D$2:$J$587,MATCH($D3,온라인_반찬!$C$2:$C$587,0),6),"")</f>
        <v/>
      </c>
      <c r="I3" s="265" t="s">
        <v>2128</v>
      </c>
      <c r="J3" s="266"/>
      <c r="K3" s="264"/>
      <c r="L3" s="267" t="str">
        <f>IFERROR(INDEX(온라인_반찬!$C$2:$J$587,MATCH($D3,온라인_반찬!$C$2:$C$587,0),8),"")</f>
        <v/>
      </c>
      <c r="M3" s="120" t="s">
        <v>839</v>
      </c>
      <c r="N3" s="120"/>
      <c r="O3" s="120" t="s">
        <v>1096</v>
      </c>
      <c r="R3" s="120"/>
      <c r="S3" s="120" t="s">
        <v>1249</v>
      </c>
    </row>
    <row r="4" spans="2:23" ht="39.950000000000003" customHeight="1">
      <c r="B4" s="328"/>
      <c r="C4" s="245" t="s">
        <v>624</v>
      </c>
      <c r="D4" s="103"/>
      <c r="E4" s="123"/>
      <c r="F4" s="124"/>
      <c r="G4" s="113" t="str">
        <f>IFERROR(INDEX(온라인_반찬!$C$2:$H$594,MATCH($D4,온라인_반찬!$C$2:$C$594,0),6),"")</f>
        <v/>
      </c>
      <c r="H4" s="101" t="str">
        <f>IFERROR(INDEX(온라인_반찬!$D$2:$J$587,MATCH($D4,온라인_반찬!$C$2:$C$587,0),6),"")</f>
        <v/>
      </c>
      <c r="I4" s="109" t="s">
        <v>2128</v>
      </c>
      <c r="J4" s="102"/>
      <c r="K4" s="101"/>
      <c r="L4" s="129" t="str">
        <f>IFERROR(INDEX(온라인_반찬!$C$2:$J$587,MATCH($D4,온라인_반찬!$C$2:$C$587,0),8),"")</f>
        <v/>
      </c>
      <c r="M4" s="214" t="s">
        <v>1864</v>
      </c>
      <c r="N4" s="120"/>
      <c r="P4" s="120" t="s">
        <v>1257</v>
      </c>
      <c r="R4" s="120"/>
      <c r="S4" s="120" t="s">
        <v>756</v>
      </c>
    </row>
    <row r="5" spans="2:23" ht="39.950000000000003" customHeight="1">
      <c r="B5" s="328"/>
      <c r="C5" s="245" t="s">
        <v>621</v>
      </c>
      <c r="D5" s="103"/>
      <c r="E5" s="123"/>
      <c r="F5" s="124"/>
      <c r="G5" s="113" t="str">
        <f>IFERROR(INDEX(온라인_반찬!$C$2:$H$594,MATCH($D5,온라인_반찬!$C$2:$C$594,0),6),"")</f>
        <v/>
      </c>
      <c r="H5" s="101" t="str">
        <f>IFERROR(INDEX(온라인_반찬!$D$2:$J$587,MATCH($D5,온라인_반찬!$C$2:$C$587,0),6),"")</f>
        <v/>
      </c>
      <c r="I5" s="109" t="s">
        <v>2128</v>
      </c>
      <c r="J5" s="102"/>
      <c r="K5" s="101"/>
      <c r="L5" s="129" t="str">
        <f>IFERROR(INDEX(온라인_반찬!$C$2:$J$587,MATCH($D5,온라인_반찬!$C$2:$C$587,0),8),"")</f>
        <v/>
      </c>
      <c r="M5" s="120" t="s">
        <v>917</v>
      </c>
      <c r="N5" s="120"/>
      <c r="R5" s="120"/>
      <c r="S5" s="330" t="s">
        <v>1827</v>
      </c>
      <c r="T5" s="330"/>
      <c r="U5" s="330"/>
      <c r="V5" s="330"/>
      <c r="W5" s="330"/>
    </row>
    <row r="6" spans="2:23" ht="39.950000000000003" customHeight="1">
      <c r="B6" s="328"/>
      <c r="C6" s="245" t="s">
        <v>622</v>
      </c>
      <c r="D6" s="103"/>
      <c r="E6" s="123"/>
      <c r="F6" s="124"/>
      <c r="G6" s="113" t="str">
        <f>IFERROR(INDEX(온라인_반찬!$C$2:$H$594,MATCH($D6,온라인_반찬!$C$2:$C$594,0),6),"")</f>
        <v/>
      </c>
      <c r="H6" s="101" t="str">
        <f>IFERROR(INDEX(온라인_반찬!$D$2:$J$587,MATCH($D6,온라인_반찬!$C$2:$C$587,0),6),"")</f>
        <v/>
      </c>
      <c r="I6" s="109" t="s">
        <v>2128</v>
      </c>
      <c r="J6" s="102"/>
      <c r="K6" s="101"/>
      <c r="L6" s="129" t="str">
        <f>IFERROR(INDEX(온라인_반찬!$C$2:$J$587,MATCH($D6,온라인_반찬!$C$2:$C$587,0),8),"")</f>
        <v/>
      </c>
      <c r="M6" s="120" t="s">
        <v>811</v>
      </c>
      <c r="N6" s="120"/>
      <c r="P6" s="120" t="s">
        <v>1258</v>
      </c>
      <c r="R6" s="120"/>
      <c r="S6" s="120" t="s">
        <v>915</v>
      </c>
    </row>
    <row r="7" spans="2:23" ht="39.950000000000003" customHeight="1">
      <c r="B7" s="328"/>
      <c r="C7" s="160" t="s">
        <v>290</v>
      </c>
      <c r="D7" s="103"/>
      <c r="E7" s="123"/>
      <c r="F7" s="124"/>
      <c r="G7" s="113" t="str">
        <f>IFERROR(INDEX(온라인_반찬!$C$2:$H$594,MATCH($D7,온라인_반찬!$C$2:$C$594,0),6),"")</f>
        <v/>
      </c>
      <c r="H7" s="101" t="str">
        <f>IFERROR(INDEX(온라인_반찬!$D$2:$J$587,MATCH($D7,온라인_반찬!$C$2:$C$587,0),6),"")</f>
        <v/>
      </c>
      <c r="I7" s="109" t="s">
        <v>2128</v>
      </c>
      <c r="J7" s="102"/>
      <c r="K7" s="101"/>
      <c r="L7" s="129" t="str">
        <f>IFERROR(INDEX(온라인_반찬!$C$2:$J$587,MATCH($D7,온라인_반찬!$C$2:$C$587,0),8),"")</f>
        <v/>
      </c>
      <c r="M7" s="120" t="s">
        <v>688</v>
      </c>
      <c r="N7" s="120"/>
      <c r="P7" s="120" t="s">
        <v>1277</v>
      </c>
      <c r="R7" s="120"/>
      <c r="S7" s="120" t="s">
        <v>833</v>
      </c>
    </row>
    <row r="8" spans="2:23" ht="39.950000000000003" customHeight="1">
      <c r="B8" s="328"/>
      <c r="C8" s="246" t="s">
        <v>820</v>
      </c>
      <c r="D8" s="103"/>
      <c r="E8" s="123"/>
      <c r="F8" s="123"/>
      <c r="G8" s="113" t="str">
        <f>IFERROR(INDEX(온라인_반찬!$C$2:$H$594,MATCH($D8,온라인_반찬!$C$2:$C$594,0),6),"")</f>
        <v/>
      </c>
      <c r="H8" s="101" t="str">
        <f>IFERROR(INDEX(온라인_반찬!$D$2:$J$587,MATCH($D8,온라인_반찬!$C$2:$C$587,0),6),"")</f>
        <v/>
      </c>
      <c r="I8" s="109" t="s">
        <v>2128</v>
      </c>
      <c r="J8" s="102"/>
      <c r="K8" s="101"/>
      <c r="L8" s="129" t="str">
        <f>IFERROR(INDEX(온라인_반찬!$C$2:$J$587,MATCH($D8,온라인_반찬!$C$2:$C$587,0),8),"")</f>
        <v/>
      </c>
      <c r="M8" s="120" t="s">
        <v>1406</v>
      </c>
      <c r="N8" s="120"/>
      <c r="P8" s="120" t="s">
        <v>1417</v>
      </c>
      <c r="R8" s="120"/>
      <c r="S8" s="120" t="s">
        <v>1666</v>
      </c>
    </row>
    <row r="9" spans="2:23" ht="39.950000000000003" customHeight="1">
      <c r="B9" s="328"/>
      <c r="C9" s="246" t="s">
        <v>820</v>
      </c>
      <c r="D9" s="103"/>
      <c r="E9" s="123"/>
      <c r="F9" s="123"/>
      <c r="G9" s="113" t="str">
        <f>IFERROR(INDEX(온라인_반찬!$C$2:$H$594,MATCH($D9,온라인_반찬!$C$2:$C$594,0),6),"")</f>
        <v/>
      </c>
      <c r="H9" s="101" t="str">
        <f>IFERROR(INDEX(온라인_반찬!$D$2:$J$587,MATCH($D9,온라인_반찬!$C$2:$C$587,0),6),"")</f>
        <v/>
      </c>
      <c r="I9" s="109" t="s">
        <v>2128</v>
      </c>
      <c r="J9" s="102"/>
      <c r="K9" s="101"/>
      <c r="L9" s="129" t="str">
        <f>IFERROR(INDEX(온라인_반찬!$C$2:$J$587,MATCH($D9,온라인_반찬!$C$2:$C$587,0),8),"")</f>
        <v/>
      </c>
      <c r="M9" s="120"/>
      <c r="N9" s="120"/>
      <c r="P9" s="120"/>
      <c r="R9" s="120"/>
      <c r="S9" s="120"/>
    </row>
    <row r="10" spans="2:23" ht="39.950000000000003" customHeight="1" thickBot="1">
      <c r="B10" s="329"/>
      <c r="C10" s="161" t="s">
        <v>97</v>
      </c>
      <c r="D10" s="211"/>
      <c r="E10" s="131"/>
      <c r="F10" s="132"/>
      <c r="G10" s="277"/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28" t="s">
        <v>2227</v>
      </c>
      <c r="C11" s="251" t="s">
        <v>620</v>
      </c>
      <c r="D11" s="261"/>
      <c r="E11" s="225"/>
      <c r="F11" s="225"/>
      <c r="G11" s="226" t="str">
        <f>IFERROR(INDEX(온라인_반찬!$C$2:$H$594,MATCH($D11,온라인_반찬!$C$2:$C$594,0),6),"")</f>
        <v/>
      </c>
      <c r="H11" s="227" t="str">
        <f>IFERROR(INDEX(온라인_반찬!$D$2:$J$587,MATCH($D11,온라인_반찬!$C$2:$C$587,0),6),"")</f>
        <v/>
      </c>
      <c r="I11" s="228" t="s">
        <v>2129</v>
      </c>
      <c r="J11" s="266"/>
      <c r="K11" s="264"/>
      <c r="L11" s="229" t="str">
        <f>IFERROR(INDEX(온라인_반찬!$C$2:$J$587,MATCH($D11,온라인_반찬!$C$2:$C$587,0),8),"")</f>
        <v/>
      </c>
      <c r="M11" s="120" t="s">
        <v>1408</v>
      </c>
      <c r="N11" s="120"/>
      <c r="O11" s="120"/>
      <c r="P11" s="120" t="s">
        <v>1467</v>
      </c>
      <c r="S11" s="120" t="s">
        <v>1667</v>
      </c>
    </row>
    <row r="12" spans="2:23" ht="39.950000000000003" customHeight="1">
      <c r="B12" s="328"/>
      <c r="C12" s="245" t="s">
        <v>624</v>
      </c>
      <c r="D12" s="103"/>
      <c r="E12" s="123"/>
      <c r="F12" s="124"/>
      <c r="G12" s="113" t="str">
        <f>IFERROR(INDEX(온라인_반찬!$C$2:$H$594,MATCH($D12,온라인_반찬!$C$2:$C$594,0),6),"")</f>
        <v/>
      </c>
      <c r="H12" s="101" t="str">
        <f>IFERROR(INDEX(온라인_반찬!$D$2:$J$587,MATCH($D12,온라인_반찬!$C$2:$C$587,0),6),"")</f>
        <v/>
      </c>
      <c r="I12" s="109" t="s">
        <v>2129</v>
      </c>
      <c r="J12" s="102"/>
      <c r="K12" s="101"/>
      <c r="L12" s="129" t="str">
        <f>IFERROR(INDEX(온라인_반찬!$C$2:$J$587,MATCH($D12,온라인_반찬!$C$2:$C$587,0),8),"")</f>
        <v/>
      </c>
      <c r="M12" s="120" t="s">
        <v>1865</v>
      </c>
      <c r="N12" s="120"/>
      <c r="O12" s="120"/>
      <c r="P12" s="120" t="s">
        <v>1917</v>
      </c>
      <c r="S12" s="120" t="s">
        <v>1918</v>
      </c>
    </row>
    <row r="13" spans="2:23" ht="39.950000000000003" customHeight="1">
      <c r="B13" s="328"/>
      <c r="C13" s="245" t="s">
        <v>621</v>
      </c>
      <c r="D13" s="103"/>
      <c r="E13" s="123"/>
      <c r="F13" s="124"/>
      <c r="G13" s="113" t="str">
        <f>IFERROR(INDEX(온라인_반찬!$C$2:$H$594,MATCH($D13,온라인_반찬!$C$2:$C$594,0),6),"")</f>
        <v/>
      </c>
      <c r="H13" s="101" t="str">
        <f>IFERROR(INDEX(온라인_반찬!$D$2:$J$587,MATCH($D13,온라인_반찬!$C$2:$C$587,0),6),"")</f>
        <v/>
      </c>
      <c r="I13" s="109" t="s">
        <v>2129</v>
      </c>
      <c r="J13" s="102"/>
      <c r="K13" s="101"/>
      <c r="L13" s="129" t="str">
        <f>IFERROR(INDEX(온라인_반찬!$C$2:$J$587,MATCH($D13,온라인_반찬!$C$2:$C$587,0),8),"")</f>
        <v/>
      </c>
      <c r="M13" s="120"/>
      <c r="N13" s="120"/>
      <c r="O13" s="120"/>
    </row>
    <row r="14" spans="2:23" ht="39.950000000000003" customHeight="1">
      <c r="B14" s="328"/>
      <c r="C14" s="245" t="s">
        <v>622</v>
      </c>
      <c r="D14" s="103"/>
      <c r="E14" s="123"/>
      <c r="F14" s="124"/>
      <c r="G14" s="113" t="str">
        <f>IFERROR(INDEX(온라인_반찬!$C$2:$H$594,MATCH($D14,온라인_반찬!$C$2:$C$594,0),6),"")</f>
        <v/>
      </c>
      <c r="H14" s="101" t="str">
        <f>IFERROR(INDEX(온라인_반찬!$D$2:$J$587,MATCH($D14,온라인_반찬!$C$2:$C$587,0),6),"")</f>
        <v/>
      </c>
      <c r="I14" s="109" t="s">
        <v>2129</v>
      </c>
      <c r="J14" s="102"/>
      <c r="K14" s="101"/>
      <c r="L14" s="129" t="str">
        <f>IFERROR(INDEX(온라인_반찬!$C$2:$J$587,MATCH($D14,온라인_반찬!$C$2:$C$587,0),8),"")</f>
        <v/>
      </c>
      <c r="M14" s="120"/>
      <c r="N14" s="120"/>
      <c r="O14" s="120"/>
    </row>
    <row r="15" spans="2:23" ht="39.950000000000003" customHeight="1">
      <c r="B15" s="328"/>
      <c r="C15" s="160" t="s">
        <v>290</v>
      </c>
      <c r="D15" s="103"/>
      <c r="E15" s="123"/>
      <c r="F15" s="124"/>
      <c r="G15" s="113" t="str">
        <f>IFERROR(INDEX(온라인_반찬!$C$2:$H$594,MATCH($D15,온라인_반찬!$C$2:$C$594,0),6),"")</f>
        <v/>
      </c>
      <c r="H15" s="101" t="str">
        <f>IFERROR(INDEX(온라인_반찬!$D$2:$J$587,MATCH($D15,온라인_반찬!$C$2:$C$587,0),6),"")</f>
        <v/>
      </c>
      <c r="I15" s="109" t="s">
        <v>2129</v>
      </c>
      <c r="J15" s="102"/>
      <c r="K15" s="101"/>
      <c r="L15" s="129" t="str">
        <f>IFERROR(INDEX(온라인_반찬!$C$2:$J$587,MATCH($D15,온라인_반찬!$C$2:$C$587,0),8),"")</f>
        <v/>
      </c>
      <c r="M15" s="120"/>
      <c r="N15" s="120"/>
      <c r="O15" s="120"/>
    </row>
    <row r="16" spans="2:23" ht="39.950000000000003" customHeight="1">
      <c r="B16" s="328"/>
      <c r="C16" s="246" t="s">
        <v>820</v>
      </c>
      <c r="D16" s="103"/>
      <c r="E16" s="123"/>
      <c r="F16" s="123"/>
      <c r="G16" s="113" t="str">
        <f>IFERROR(INDEX(온라인_반찬!$C$2:$H$594,MATCH($D16,온라인_반찬!$C$2:$C$594,0),6),"")</f>
        <v/>
      </c>
      <c r="H16" s="101" t="str">
        <f>IFERROR(INDEX(온라인_반찬!$D$2:$J$587,MATCH($D16,온라인_반찬!$C$2:$C$587,0),6),"")</f>
        <v/>
      </c>
      <c r="I16" s="109" t="s">
        <v>2129</v>
      </c>
      <c r="J16" s="102"/>
      <c r="K16" s="101"/>
      <c r="L16" s="129" t="str">
        <f>IFERROR(INDEX(온라인_반찬!$C$2:$J$587,MATCH($D16,온라인_반찬!$C$2:$C$587,0),8),"")</f>
        <v/>
      </c>
      <c r="M16" s="120"/>
      <c r="N16" s="120"/>
      <c r="O16" s="120"/>
    </row>
    <row r="17" spans="2:15" ht="39.950000000000003" customHeight="1">
      <c r="B17" s="328"/>
      <c r="C17" s="222" t="s">
        <v>1405</v>
      </c>
      <c r="D17" s="103"/>
      <c r="E17" s="123"/>
      <c r="F17" s="123"/>
      <c r="G17" s="113" t="str">
        <f>IFERROR(INDEX(온라인_반찬!$C$2:$H$594,MATCH($D17,온라인_반찬!$C$2:$C$594,0),6),"")</f>
        <v/>
      </c>
      <c r="H17" s="101" t="str">
        <f>IFERROR(INDEX(온라인_반찬!$D$2:$J$587,MATCH($D17,온라인_반찬!$C$2:$C$587,0),6),"")</f>
        <v/>
      </c>
      <c r="I17" s="109" t="s">
        <v>2129</v>
      </c>
      <c r="J17" s="102"/>
      <c r="K17" s="101"/>
      <c r="L17" s="165" t="str">
        <f>IFERROR(INDEX(온라인_반찬!$C$2:$J$587,MATCH($D17,온라인_반찬!$C$2:$C$587,0),8),"")</f>
        <v/>
      </c>
      <c r="M17" s="120"/>
      <c r="N17" s="120"/>
      <c r="O17" s="120"/>
    </row>
    <row r="18" spans="2:15" ht="39.950000000000003" customHeight="1" thickBot="1">
      <c r="B18" s="329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5" ht="39.950000000000003" customHeight="1">
      <c r="B19" s="334" t="s">
        <v>1619</v>
      </c>
      <c r="C19" s="100" t="s">
        <v>620</v>
      </c>
      <c r="D19" s="162"/>
      <c r="E19" s="123"/>
      <c r="F19" s="123"/>
      <c r="G19" s="113" t="str">
        <f>IFERROR(INDEX(온라인_반찬!$C$2:$H$594,MATCH($D19,온라인_반찬!$C$2:$C$594,0),6),"")</f>
        <v/>
      </c>
      <c r="H19" s="101" t="str">
        <f>IFERROR(INDEX(온라인_반찬!$D$2:$J$587,MATCH($D19,온라인_반찬!$C$2:$C$587,0),6),"")</f>
        <v/>
      </c>
      <c r="I19" s="109" t="s">
        <v>2128</v>
      </c>
      <c r="J19" s="158"/>
      <c r="K19" s="158"/>
      <c r="L19" s="129" t="str">
        <f>IFERROR(INDEX(온라인_반찬!$C$2:$J$587,MATCH($D19,온라인_반찬!$C$2:$C$587,0),8),"")</f>
        <v/>
      </c>
      <c r="M19" s="120"/>
    </row>
    <row r="20" spans="2:15" ht="39.950000000000003" customHeight="1">
      <c r="B20" s="335"/>
      <c r="C20" s="337" t="s">
        <v>622</v>
      </c>
      <c r="D20" s="162"/>
      <c r="E20" s="123"/>
      <c r="F20" s="123"/>
      <c r="G20" s="113" t="str">
        <f>IFERROR(INDEX(온라인_반찬!$C$2:$H$594,MATCH($D20,온라인_반찬!$C$2:$C$594,0),6),"")</f>
        <v/>
      </c>
      <c r="H20" s="101" t="str">
        <f>IFERROR(INDEX(온라인_반찬!$D$2:$J$587,MATCH($D20,온라인_반찬!$C$2:$C$587,0),6),"")</f>
        <v/>
      </c>
      <c r="I20" s="109" t="s">
        <v>2128</v>
      </c>
      <c r="J20" s="158"/>
      <c r="K20" s="158"/>
      <c r="L20" s="129" t="str">
        <f>IFERROR(INDEX(온라인_반찬!$C$2:$J$587,MATCH($D20,온라인_반찬!$C$2:$C$587,0),8),"")</f>
        <v/>
      </c>
      <c r="M20" s="120"/>
    </row>
    <row r="21" spans="2:15" ht="39.950000000000003" customHeight="1">
      <c r="B21" s="335"/>
      <c r="C21" s="338"/>
      <c r="D21" s="162"/>
      <c r="E21" s="123"/>
      <c r="F21" s="123"/>
      <c r="G21" s="113" t="str">
        <f>IFERROR(INDEX(온라인_반찬!$C$2:$H$594,MATCH($D21,온라인_반찬!$C$2:$C$594,0),6),"")</f>
        <v/>
      </c>
      <c r="H21" s="101" t="str">
        <f>IFERROR(INDEX(온라인_반찬!$D$2:$J$587,MATCH($D21,온라인_반찬!$C$2:$C$587,0),6),"")</f>
        <v/>
      </c>
      <c r="I21" s="109" t="s">
        <v>2128</v>
      </c>
      <c r="J21" s="158"/>
      <c r="K21" s="158"/>
      <c r="L21" s="129" t="str">
        <f>IFERROR(INDEX(온라인_반찬!$C$2:$J$587,MATCH($D21,온라인_반찬!$C$2:$C$587,0),8),"")</f>
        <v/>
      </c>
      <c r="M21" s="120"/>
    </row>
    <row r="22" spans="2:15" ht="39.950000000000003" customHeight="1">
      <c r="B22" s="335"/>
      <c r="C22" s="160" t="s">
        <v>623</v>
      </c>
      <c r="D22" s="162"/>
      <c r="E22" s="123"/>
      <c r="F22" s="123"/>
      <c r="G22" s="113" t="str">
        <f>IFERROR(INDEX(온라인_반찬!$C$2:$H$594,MATCH($D22,온라인_반찬!$C$2:$C$594,0),6),"")</f>
        <v/>
      </c>
      <c r="H22" s="101" t="str">
        <f>IFERROR(INDEX(온라인_반찬!$D$2:$J$587,MATCH($D22,온라인_반찬!$C$2:$C$587,0),6),"")</f>
        <v/>
      </c>
      <c r="I22" s="109" t="s">
        <v>2128</v>
      </c>
      <c r="J22" s="158"/>
      <c r="K22" s="158"/>
      <c r="L22" s="129" t="str">
        <f>IFERROR(INDEX(온라인_반찬!$C$2:$J$587,MATCH($D22,온라인_반찬!$C$2:$C$587,0),8),"")</f>
        <v/>
      </c>
      <c r="M22" s="120"/>
    </row>
    <row r="23" spans="2:15" ht="39.950000000000003" customHeight="1">
      <c r="B23" s="335"/>
      <c r="C23" s="114" t="s">
        <v>820</v>
      </c>
      <c r="D23" s="162"/>
      <c r="E23" s="123"/>
      <c r="F23" s="123"/>
      <c r="G23" s="113" t="str">
        <f>IFERROR(INDEX(온라인_반찬!$C$2:$H$594,MATCH($D23,온라인_반찬!$C$2:$C$594,0),6),"")</f>
        <v/>
      </c>
      <c r="H23" s="101" t="str">
        <f>IFERROR(INDEX(온라인_반찬!$D$2:$J$587,MATCH($D23,온라인_반찬!$C$2:$C$587,0),6),"")</f>
        <v/>
      </c>
      <c r="I23" s="109" t="s">
        <v>2128</v>
      </c>
      <c r="J23" s="158"/>
      <c r="K23" s="158"/>
      <c r="L23" s="129" t="str">
        <f>IFERROR(INDEX(온라인_반찬!$C$2:$J$587,MATCH($D23,온라인_반찬!$C$2:$C$587,0),8),"")</f>
        <v/>
      </c>
      <c r="M23" s="120"/>
    </row>
    <row r="24" spans="2:15" ht="39.950000000000003" customHeight="1">
      <c r="B24" s="335"/>
      <c r="C24" s="160" t="s">
        <v>102</v>
      </c>
      <c r="D24" s="162"/>
      <c r="E24" s="123"/>
      <c r="F24" s="123"/>
      <c r="G24" s="113" t="str">
        <f>IFERROR(INDEX(온라인_반찬!$C$2:$H$594,MATCH($D24,온라인_반찬!$C$2:$C$594,0),6),"")</f>
        <v/>
      </c>
      <c r="H24" s="101" t="str">
        <f>IFERROR(INDEX(온라인_반찬!$D$2:$J$587,MATCH($D24,온라인_반찬!$C$2:$C$587,0),6),"")</f>
        <v/>
      </c>
      <c r="I24" s="109" t="s">
        <v>2128</v>
      </c>
      <c r="J24" s="158"/>
      <c r="K24" s="158"/>
      <c r="L24" s="129" t="str">
        <f>IFERROR(INDEX(온라인_반찬!$C$2:$J$587,MATCH($D24,온라인_반찬!$C$2:$C$587,0),8),"")</f>
        <v/>
      </c>
      <c r="M24" s="120"/>
    </row>
    <row r="25" spans="2:15" ht="39.950000000000003" customHeight="1" thickBot="1">
      <c r="B25" s="336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5">
      <c r="L26" s="32"/>
    </row>
    <row r="28" spans="2:15">
      <c r="E28"/>
      <c r="F28" s="121"/>
    </row>
  </sheetData>
  <mergeCells count="6"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69" activePane="bottomLeft" state="frozen"/>
      <selection activeCell="G13" sqref="G13"/>
      <selection pane="bottomLeft" activeCell="E90" sqref="E90:E91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24" customWidth="1"/>
    <col min="7" max="7" width="26.875" customWidth="1"/>
    <col min="8" max="11" width="15.625" style="8" customWidth="1"/>
  </cols>
  <sheetData>
    <row r="1" spans="1:11" ht="33">
      <c r="A1" s="1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345</v>
      </c>
      <c r="G1" s="1" t="s">
        <v>311</v>
      </c>
      <c r="H1" s="3" t="s">
        <v>329</v>
      </c>
      <c r="I1" s="2" t="s">
        <v>324</v>
      </c>
      <c r="J1" s="2" t="s">
        <v>312</v>
      </c>
      <c r="K1" s="2" t="s">
        <v>326</v>
      </c>
    </row>
    <row r="2" spans="1:11">
      <c r="A2" s="4">
        <f>SUBTOTAL(3,$C$2:C2)</f>
        <v>1</v>
      </c>
      <c r="B2" s="4"/>
      <c r="C2" s="5" t="s">
        <v>480</v>
      </c>
      <c r="D2" s="6">
        <v>45</v>
      </c>
      <c r="E2" s="5" t="s">
        <v>192</v>
      </c>
      <c r="F2" s="23"/>
      <c r="G2" s="5" t="s">
        <v>130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540</v>
      </c>
      <c r="D3" s="6">
        <v>30</v>
      </c>
      <c r="E3" s="5" t="s">
        <v>390</v>
      </c>
      <c r="F3" s="23"/>
      <c r="G3" s="5" t="s">
        <v>151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536</v>
      </c>
      <c r="D4" s="6">
        <v>30</v>
      </c>
      <c r="E4" s="25" t="s">
        <v>599</v>
      </c>
      <c r="F4" s="23">
        <v>43403</v>
      </c>
      <c r="G4" s="5" t="s">
        <v>151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418</v>
      </c>
      <c r="D5" s="6">
        <v>60</v>
      </c>
      <c r="E5" s="5" t="s">
        <v>105</v>
      </c>
      <c r="F5" s="23"/>
      <c r="G5" s="5" t="s">
        <v>128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527</v>
      </c>
      <c r="D6" s="6">
        <v>40</v>
      </c>
      <c r="E6" s="5" t="s">
        <v>246</v>
      </c>
      <c r="F6" s="23">
        <v>43406</v>
      </c>
      <c r="G6" s="5" t="s">
        <v>153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529</v>
      </c>
      <c r="D7" s="6">
        <v>40</v>
      </c>
      <c r="E7" s="5" t="s">
        <v>247</v>
      </c>
      <c r="F7" s="23"/>
      <c r="G7" s="5" t="s">
        <v>159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445</v>
      </c>
      <c r="D8" s="6">
        <v>40</v>
      </c>
      <c r="E8" s="5" t="s">
        <v>51</v>
      </c>
      <c r="F8" s="23"/>
      <c r="G8" s="5" t="s">
        <v>148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462</v>
      </c>
      <c r="D9" s="6">
        <v>40</v>
      </c>
      <c r="E9" s="5" t="s">
        <v>403</v>
      </c>
      <c r="F9" s="23">
        <v>43406</v>
      </c>
      <c r="G9" s="5" t="s">
        <v>134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544</v>
      </c>
      <c r="D10" s="6">
        <v>40</v>
      </c>
      <c r="E10" s="25" t="s">
        <v>189</v>
      </c>
      <c r="F10" s="23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464</v>
      </c>
      <c r="D11" s="6">
        <v>45</v>
      </c>
      <c r="E11" s="5" t="s">
        <v>248</v>
      </c>
      <c r="F11" s="23">
        <v>43403</v>
      </c>
      <c r="G11" s="11"/>
      <c r="H11" s="17"/>
      <c r="I11" s="17"/>
      <c r="J11" s="17"/>
      <c r="K11" s="17"/>
    </row>
    <row r="12" spans="1:11">
      <c r="A12" s="4">
        <f>SUBTOTAL(3,$C$2:C12)</f>
        <v>11</v>
      </c>
      <c r="B12" s="4"/>
      <c r="C12" s="5" t="s">
        <v>450</v>
      </c>
      <c r="D12" s="6">
        <v>50</v>
      </c>
      <c r="E12" s="5" t="s">
        <v>191</v>
      </c>
      <c r="F12" s="23"/>
      <c r="G12" s="5" t="s">
        <v>169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190</v>
      </c>
      <c r="D13" s="6">
        <v>40</v>
      </c>
      <c r="E13" s="5" t="s">
        <v>107</v>
      </c>
      <c r="F13" s="23"/>
      <c r="G13" s="5" t="s">
        <v>155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465</v>
      </c>
      <c r="D14" s="6">
        <v>50</v>
      </c>
      <c r="E14" s="5" t="s">
        <v>109</v>
      </c>
      <c r="F14" s="23"/>
      <c r="G14" s="5" t="s">
        <v>154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481</v>
      </c>
      <c r="D15" s="6">
        <v>33</v>
      </c>
      <c r="E15" s="26" t="s">
        <v>404</v>
      </c>
      <c r="F15" s="23">
        <v>43403</v>
      </c>
      <c r="G15" s="11"/>
      <c r="H15" s="17"/>
      <c r="I15" s="17"/>
      <c r="J15" s="17"/>
      <c r="K15" s="17"/>
    </row>
    <row r="16" spans="1:11">
      <c r="A16" s="4">
        <f>SUBTOTAL(3,$C$2:C16)</f>
        <v>15</v>
      </c>
      <c r="B16" s="4"/>
      <c r="C16" s="5" t="s">
        <v>484</v>
      </c>
      <c r="D16" s="6">
        <v>40</v>
      </c>
      <c r="E16" s="25" t="s">
        <v>189</v>
      </c>
      <c r="F16" s="23">
        <v>43404</v>
      </c>
      <c r="G16" s="11"/>
      <c r="H16" s="17"/>
      <c r="I16" s="17"/>
      <c r="J16" s="17"/>
      <c r="K16" s="17"/>
    </row>
    <row r="17" spans="1:11">
      <c r="A17" s="4">
        <f>SUBTOTAL(3,$C$2:C17)</f>
        <v>16</v>
      </c>
      <c r="B17" s="4"/>
      <c r="C17" s="5" t="s">
        <v>526</v>
      </c>
      <c r="D17" s="6">
        <v>35</v>
      </c>
      <c r="E17" s="5" t="s">
        <v>598</v>
      </c>
      <c r="F17" s="23">
        <v>43406</v>
      </c>
      <c r="G17" s="5" t="s">
        <v>164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483</v>
      </c>
      <c r="D18" s="6">
        <v>33</v>
      </c>
      <c r="E18" s="5" t="s">
        <v>239</v>
      </c>
      <c r="F18" s="23"/>
      <c r="G18" s="5" t="s">
        <v>155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545</v>
      </c>
      <c r="D19" s="6">
        <v>5</v>
      </c>
      <c r="E19" s="5" t="s">
        <v>199</v>
      </c>
      <c r="F19" s="23">
        <v>43406</v>
      </c>
      <c r="G19" s="5" t="s">
        <v>133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531</v>
      </c>
      <c r="D20" s="6">
        <v>50</v>
      </c>
      <c r="E20" s="5" t="s">
        <v>375</v>
      </c>
      <c r="F20" s="23">
        <v>43392</v>
      </c>
      <c r="G20" s="11"/>
      <c r="H20" s="17"/>
      <c r="I20" s="17"/>
      <c r="J20" s="17"/>
      <c r="K20" s="17"/>
    </row>
    <row r="21" spans="1:11">
      <c r="A21" s="4">
        <f>SUBTOTAL(3,$C$2:C21)</f>
        <v>20</v>
      </c>
      <c r="B21" s="4"/>
      <c r="C21" s="5" t="s">
        <v>528</v>
      </c>
      <c r="D21" s="6">
        <v>16</v>
      </c>
      <c r="E21" s="5" t="s">
        <v>193</v>
      </c>
      <c r="F21" s="23">
        <v>43405</v>
      </c>
      <c r="G21" s="11"/>
      <c r="H21" s="17"/>
      <c r="I21" s="17"/>
      <c r="J21" s="17"/>
      <c r="K21" s="17"/>
    </row>
    <row r="22" spans="1:11">
      <c r="A22" s="4">
        <f>SUBTOTAL(3,$C$2:C22)</f>
        <v>21</v>
      </c>
      <c r="B22" s="4"/>
      <c r="C22" s="5" t="s">
        <v>435</v>
      </c>
      <c r="D22" s="6">
        <v>30</v>
      </c>
      <c r="E22" s="5" t="s">
        <v>385</v>
      </c>
      <c r="F22" s="23"/>
      <c r="G22" s="5" t="s">
        <v>145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437</v>
      </c>
      <c r="D23" s="6">
        <v>50</v>
      </c>
      <c r="E23" s="5" t="s">
        <v>30</v>
      </c>
      <c r="F23" s="23">
        <v>43405</v>
      </c>
      <c r="G23" s="5" t="s">
        <v>168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438</v>
      </c>
      <c r="D24" s="6">
        <v>50</v>
      </c>
      <c r="E24" s="5" t="s">
        <v>304</v>
      </c>
      <c r="F24" s="23">
        <v>43406</v>
      </c>
      <c r="G24" s="5" t="s">
        <v>134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541</v>
      </c>
      <c r="D25" s="6">
        <v>10</v>
      </c>
      <c r="E25" s="25" t="s">
        <v>189</v>
      </c>
      <c r="F25" s="23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319</v>
      </c>
      <c r="D26" s="6">
        <v>50</v>
      </c>
      <c r="E26" s="5" t="s">
        <v>252</v>
      </c>
      <c r="F26" s="23">
        <v>43406</v>
      </c>
      <c r="G26" s="5" t="s">
        <v>607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100</v>
      </c>
      <c r="C27" s="5" t="s">
        <v>229</v>
      </c>
      <c r="D27" s="6">
        <v>30</v>
      </c>
      <c r="E27" s="5" t="s">
        <v>55</v>
      </c>
      <c r="F27" s="23">
        <v>43535</v>
      </c>
      <c r="G27" s="5" t="s">
        <v>131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100</v>
      </c>
      <c r="C28" s="5" t="s">
        <v>373</v>
      </c>
      <c r="D28" s="6">
        <v>30</v>
      </c>
      <c r="E28" s="5" t="s">
        <v>402</v>
      </c>
      <c r="F28" s="23">
        <v>43535</v>
      </c>
      <c r="G28" s="5" t="s">
        <v>601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291</v>
      </c>
      <c r="C29" s="5" t="s">
        <v>323</v>
      </c>
      <c r="D29" s="6">
        <v>60</v>
      </c>
      <c r="E29" s="11" t="s">
        <v>300</v>
      </c>
      <c r="F29" s="23">
        <v>43469</v>
      </c>
      <c r="G29" s="5" t="s">
        <v>606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530</v>
      </c>
      <c r="D30" s="6">
        <v>40</v>
      </c>
      <c r="E30" s="5" t="s">
        <v>194</v>
      </c>
      <c r="F30" s="23">
        <v>43406</v>
      </c>
      <c r="G30" s="5" t="s">
        <v>156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230</v>
      </c>
      <c r="D31" s="6">
        <v>40</v>
      </c>
      <c r="E31" s="5" t="s">
        <v>106</v>
      </c>
      <c r="F31" s="23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236</v>
      </c>
      <c r="D32" s="6">
        <v>45</v>
      </c>
      <c r="E32" s="5" t="s">
        <v>62</v>
      </c>
      <c r="F32" s="23"/>
      <c r="G32" s="5" t="s">
        <v>163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525</v>
      </c>
      <c r="D33" s="6">
        <v>50</v>
      </c>
      <c r="E33" s="5" t="s">
        <v>301</v>
      </c>
      <c r="F33" s="23"/>
      <c r="G33" s="5" t="s">
        <v>158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538</v>
      </c>
      <c r="D34" s="6">
        <v>60</v>
      </c>
      <c r="E34" s="5" t="s">
        <v>46</v>
      </c>
      <c r="F34" s="23"/>
      <c r="G34" s="5" t="s">
        <v>605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421</v>
      </c>
      <c r="D35" s="6">
        <v>70</v>
      </c>
      <c r="E35" s="5" t="s">
        <v>25</v>
      </c>
      <c r="F35" s="23"/>
      <c r="G35" s="5" t="s">
        <v>129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542</v>
      </c>
      <c r="D36" s="6">
        <v>45</v>
      </c>
      <c r="E36" s="5" t="s">
        <v>65</v>
      </c>
      <c r="F36" s="23">
        <v>43406</v>
      </c>
      <c r="G36" s="5" t="s">
        <v>151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237</v>
      </c>
      <c r="D37" s="6">
        <v>45</v>
      </c>
      <c r="E37" s="5" t="s">
        <v>70</v>
      </c>
      <c r="F37" s="23">
        <v>43406</v>
      </c>
      <c r="G37" s="5" t="s">
        <v>158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543</v>
      </c>
      <c r="D38" s="6">
        <v>45</v>
      </c>
      <c r="E38" s="5" t="s">
        <v>384</v>
      </c>
      <c r="F38" s="23">
        <v>43406</v>
      </c>
      <c r="G38" s="5" t="s">
        <v>128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546</v>
      </c>
      <c r="D39" s="6">
        <v>40</v>
      </c>
      <c r="E39" s="5" t="s">
        <v>66</v>
      </c>
      <c r="F39" s="23">
        <v>43406</v>
      </c>
      <c r="G39" s="5" t="s">
        <v>152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234</v>
      </c>
      <c r="D40" s="6">
        <v>50</v>
      </c>
      <c r="E40" s="5" t="s">
        <v>399</v>
      </c>
      <c r="F40" s="23"/>
      <c r="G40" s="5" t="s">
        <v>142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439</v>
      </c>
      <c r="D41" s="6">
        <v>45</v>
      </c>
      <c r="E41" s="5" t="s">
        <v>108</v>
      </c>
      <c r="F41" s="23"/>
      <c r="G41" s="5" t="s">
        <v>602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231</v>
      </c>
      <c r="D42" s="6">
        <v>60</v>
      </c>
      <c r="E42" s="5" t="s">
        <v>6</v>
      </c>
      <c r="F42" s="23"/>
      <c r="G42" s="5" t="s">
        <v>130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490</v>
      </c>
      <c r="D43" s="6">
        <v>50</v>
      </c>
      <c r="E43" s="5" t="s">
        <v>249</v>
      </c>
      <c r="F43" s="23">
        <v>43403</v>
      </c>
      <c r="G43" s="11"/>
      <c r="H43" s="17"/>
      <c r="I43" s="17"/>
      <c r="J43" s="17"/>
      <c r="K43" s="17"/>
    </row>
    <row r="44" spans="1:11">
      <c r="A44" s="4">
        <f>SUBTOTAL(3,$C$2:C44)</f>
        <v>43</v>
      </c>
      <c r="B44" s="4"/>
      <c r="C44" s="5" t="s">
        <v>547</v>
      </c>
      <c r="D44" s="6">
        <v>50</v>
      </c>
      <c r="E44" s="5" t="s">
        <v>250</v>
      </c>
      <c r="F44" s="23">
        <v>43406</v>
      </c>
      <c r="G44" s="5" t="s">
        <v>158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415</v>
      </c>
      <c r="D45" s="6">
        <v>60</v>
      </c>
      <c r="E45" s="5" t="s">
        <v>251</v>
      </c>
      <c r="F45" s="23"/>
      <c r="G45" s="5" t="s">
        <v>131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291</v>
      </c>
      <c r="C46" s="5" t="s">
        <v>417</v>
      </c>
      <c r="D46" s="6">
        <v>60</v>
      </c>
      <c r="E46" s="11" t="s">
        <v>104</v>
      </c>
      <c r="F46" s="23">
        <v>43469</v>
      </c>
      <c r="G46" s="5" t="s">
        <v>601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419</v>
      </c>
      <c r="D47" s="6">
        <v>70</v>
      </c>
      <c r="E47" s="5" t="s">
        <v>240</v>
      </c>
      <c r="F47" s="23"/>
      <c r="G47" s="5" t="s">
        <v>132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532</v>
      </c>
      <c r="D48" s="6">
        <v>60</v>
      </c>
      <c r="E48" s="5" t="s">
        <v>200</v>
      </c>
      <c r="F48" s="23"/>
      <c r="G48" s="5" t="s">
        <v>165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217</v>
      </c>
      <c r="D49" s="6">
        <v>60</v>
      </c>
      <c r="E49" s="5" t="s">
        <v>196</v>
      </c>
      <c r="F49" s="23"/>
      <c r="G49" s="5" t="s">
        <v>133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533</v>
      </c>
      <c r="D50" s="6">
        <v>33</v>
      </c>
      <c r="E50" s="5" t="s">
        <v>195</v>
      </c>
      <c r="F50" s="23"/>
      <c r="G50" s="5" t="s">
        <v>169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534</v>
      </c>
      <c r="D51" s="6">
        <v>40</v>
      </c>
      <c r="E51" s="5" t="s">
        <v>12</v>
      </c>
      <c r="F51" s="23">
        <v>43406</v>
      </c>
      <c r="G51" s="5" t="s">
        <v>125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522</v>
      </c>
      <c r="D52" s="6">
        <v>50</v>
      </c>
      <c r="E52" s="5" t="s">
        <v>116</v>
      </c>
      <c r="F52" s="23">
        <v>43406</v>
      </c>
      <c r="G52" s="5" t="s">
        <v>608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548</v>
      </c>
      <c r="D53" s="6">
        <v>60</v>
      </c>
      <c r="E53" s="27" t="s">
        <v>52</v>
      </c>
      <c r="F53" s="23">
        <v>43406</v>
      </c>
      <c r="G53" s="11"/>
      <c r="H53" s="17"/>
      <c r="I53" s="17"/>
      <c r="J53" s="17"/>
      <c r="K53" s="17"/>
    </row>
    <row r="54" spans="1:11">
      <c r="A54" s="4">
        <f>SUBTOTAL(3,$C$2:C54)</f>
        <v>53</v>
      </c>
      <c r="B54" s="4" t="s">
        <v>291</v>
      </c>
      <c r="C54" s="5" t="s">
        <v>429</v>
      </c>
      <c r="D54" s="6">
        <v>60</v>
      </c>
      <c r="E54" s="11" t="s">
        <v>595</v>
      </c>
      <c r="F54" s="23">
        <v>43469</v>
      </c>
      <c r="G54" s="11"/>
      <c r="H54" s="17"/>
      <c r="I54" s="17"/>
      <c r="J54" s="17"/>
      <c r="K54" s="17"/>
    </row>
    <row r="55" spans="1:11">
      <c r="A55" s="4">
        <f>SUBTOTAL(3,$C$2:C55)</f>
        <v>54</v>
      </c>
      <c r="B55" s="4"/>
      <c r="C55" s="5" t="s">
        <v>456</v>
      </c>
      <c r="D55" s="6">
        <v>50</v>
      </c>
      <c r="E55" s="5" t="s">
        <v>119</v>
      </c>
      <c r="F55" s="23">
        <v>43406</v>
      </c>
      <c r="G55" s="5" t="s">
        <v>131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549</v>
      </c>
      <c r="D56" s="6">
        <v>70</v>
      </c>
      <c r="E56" s="5" t="s">
        <v>260</v>
      </c>
      <c r="F56" s="23"/>
      <c r="G56" s="5" t="s">
        <v>604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291</v>
      </c>
      <c r="C57" s="5" t="s">
        <v>420</v>
      </c>
      <c r="D57" s="6">
        <v>70</v>
      </c>
      <c r="E57" s="11" t="s">
        <v>85</v>
      </c>
      <c r="F57" s="23">
        <v>43469</v>
      </c>
      <c r="G57" s="5" t="s">
        <v>602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491</v>
      </c>
      <c r="D58" s="6">
        <v>40</v>
      </c>
      <c r="E58" s="5" t="s">
        <v>197</v>
      </c>
      <c r="F58" s="23">
        <v>43406</v>
      </c>
      <c r="G58" s="5" t="s">
        <v>607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458</v>
      </c>
      <c r="D59" s="6">
        <v>50</v>
      </c>
      <c r="E59" s="5" t="s">
        <v>47</v>
      </c>
      <c r="F59" s="23">
        <v>43405</v>
      </c>
      <c r="G59" s="5" t="s">
        <v>132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477</v>
      </c>
      <c r="D60" s="6">
        <v>50</v>
      </c>
      <c r="E60" s="5" t="s">
        <v>13</v>
      </c>
      <c r="F60" s="23">
        <v>43405</v>
      </c>
      <c r="G60" s="5" t="s">
        <v>129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550</v>
      </c>
      <c r="D61" s="6">
        <v>50</v>
      </c>
      <c r="E61" s="5" t="s">
        <v>123</v>
      </c>
      <c r="F61" s="23">
        <v>43406</v>
      </c>
      <c r="G61" s="5" t="s">
        <v>148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551</v>
      </c>
      <c r="D62" s="6">
        <v>65</v>
      </c>
      <c r="E62" s="5" t="s">
        <v>198</v>
      </c>
      <c r="F62" s="23">
        <v>43404</v>
      </c>
      <c r="G62" s="7" t="s">
        <v>149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535</v>
      </c>
      <c r="D63" s="6">
        <v>50</v>
      </c>
      <c r="E63" s="5" t="s">
        <v>262</v>
      </c>
      <c r="F63" s="23">
        <v>43406</v>
      </c>
      <c r="G63" s="5" t="s">
        <v>130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539</v>
      </c>
      <c r="D64" s="6">
        <v>30</v>
      </c>
      <c r="E64" s="5" t="s">
        <v>87</v>
      </c>
      <c r="F64" s="23"/>
      <c r="G64" s="5" t="s">
        <v>135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523</v>
      </c>
      <c r="D65" s="6">
        <v>50</v>
      </c>
      <c r="E65" s="5" t="s">
        <v>36</v>
      </c>
      <c r="F65" s="11"/>
      <c r="G65" s="5" t="s">
        <v>156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552</v>
      </c>
      <c r="D66" s="6">
        <v>50</v>
      </c>
      <c r="E66" s="5" t="s">
        <v>241</v>
      </c>
      <c r="F66" s="23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291</v>
      </c>
      <c r="C67" s="5" t="s">
        <v>430</v>
      </c>
      <c r="D67" s="6">
        <v>60</v>
      </c>
      <c r="E67" s="11" t="s">
        <v>596</v>
      </c>
      <c r="F67" s="23">
        <v>43469</v>
      </c>
      <c r="G67" s="5" t="s">
        <v>134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466</v>
      </c>
      <c r="D68" s="6">
        <v>20</v>
      </c>
      <c r="E68" s="5" t="s">
        <v>118</v>
      </c>
      <c r="F68" s="23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8" t="s">
        <v>102</v>
      </c>
      <c r="C69" s="5" t="s">
        <v>524</v>
      </c>
      <c r="D69" s="6">
        <v>40</v>
      </c>
      <c r="E69" s="11" t="s">
        <v>35</v>
      </c>
      <c r="F69" s="23">
        <v>43431</v>
      </c>
      <c r="G69" s="11" t="s">
        <v>180</v>
      </c>
      <c r="H69" s="17"/>
      <c r="I69" s="17"/>
      <c r="J69" s="17"/>
      <c r="K69" s="17"/>
    </row>
    <row r="70" spans="1:11">
      <c r="A70" s="4">
        <f>SUBTOTAL(3,$C$2:C70)</f>
        <v>69</v>
      </c>
      <c r="B70" s="4"/>
      <c r="C70" s="5" t="s">
        <v>493</v>
      </c>
      <c r="D70" s="6">
        <v>40</v>
      </c>
      <c r="E70" s="5" t="s">
        <v>257</v>
      </c>
      <c r="F70" s="23">
        <v>43406</v>
      </c>
      <c r="G70" s="5" t="s">
        <v>125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485</v>
      </c>
      <c r="D71" s="6">
        <v>40</v>
      </c>
      <c r="E71" s="5" t="s">
        <v>63</v>
      </c>
      <c r="F71" s="11"/>
      <c r="G71" s="5" t="s">
        <v>132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422</v>
      </c>
      <c r="D72" s="6">
        <v>80</v>
      </c>
      <c r="E72" s="5" t="s">
        <v>400</v>
      </c>
      <c r="F72" s="11"/>
      <c r="G72" s="5" t="s">
        <v>169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537</v>
      </c>
      <c r="D73" s="6">
        <v>15</v>
      </c>
      <c r="E73" s="5" t="s">
        <v>201</v>
      </c>
      <c r="F73" s="23">
        <v>43406</v>
      </c>
      <c r="G73" s="5" t="s">
        <v>141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556</v>
      </c>
      <c r="D74" s="6">
        <v>15</v>
      </c>
      <c r="E74" s="5" t="s">
        <v>201</v>
      </c>
      <c r="F74" s="23">
        <v>43406</v>
      </c>
      <c r="G74" s="5" t="s">
        <v>141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492</v>
      </c>
      <c r="D75" s="6">
        <v>35</v>
      </c>
      <c r="E75" s="5" t="s">
        <v>114</v>
      </c>
      <c r="F75" s="23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572</v>
      </c>
      <c r="D76" s="6">
        <v>35</v>
      </c>
      <c r="E76" s="5" t="s">
        <v>113</v>
      </c>
      <c r="F76" s="23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579</v>
      </c>
      <c r="D77" s="6">
        <v>20</v>
      </c>
      <c r="E77" s="5" t="s">
        <v>118</v>
      </c>
      <c r="F77" s="23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558</v>
      </c>
      <c r="D78" s="6">
        <v>20</v>
      </c>
      <c r="E78" s="5" t="s">
        <v>206</v>
      </c>
      <c r="F78" s="23">
        <v>43406</v>
      </c>
      <c r="G78" s="5" t="s">
        <v>610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576</v>
      </c>
      <c r="D79" s="6">
        <v>30</v>
      </c>
      <c r="E79" s="5" t="s">
        <v>376</v>
      </c>
      <c r="F79" s="23">
        <v>43406</v>
      </c>
      <c r="G79" s="5" t="s">
        <v>166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102</v>
      </c>
      <c r="C80" s="5" t="s">
        <v>227</v>
      </c>
      <c r="D80" s="6">
        <v>30</v>
      </c>
      <c r="E80" s="11" t="s">
        <v>117</v>
      </c>
      <c r="F80" s="23">
        <v>43468</v>
      </c>
      <c r="G80" s="5" t="s">
        <v>132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565</v>
      </c>
      <c r="D81" s="6">
        <v>40</v>
      </c>
      <c r="E81" s="5" t="s">
        <v>389</v>
      </c>
      <c r="F81" s="23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369</v>
      </c>
      <c r="D82" s="6">
        <v>40</v>
      </c>
      <c r="E82" s="5" t="s">
        <v>205</v>
      </c>
      <c r="F82" s="23">
        <v>43404</v>
      </c>
      <c r="G82" s="7" t="s">
        <v>149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510</v>
      </c>
      <c r="D83" s="6">
        <v>40</v>
      </c>
      <c r="E83" s="5" t="s">
        <v>53</v>
      </c>
      <c r="F83" s="11"/>
      <c r="G83" s="5" t="s">
        <v>154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508</v>
      </c>
      <c r="D84" s="6">
        <v>40</v>
      </c>
      <c r="E84" s="5" t="s">
        <v>207</v>
      </c>
      <c r="F84" s="11"/>
      <c r="G84" s="5" t="s">
        <v>166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580</v>
      </c>
      <c r="D85" s="6">
        <v>50</v>
      </c>
      <c r="E85" s="5" t="s">
        <v>302</v>
      </c>
      <c r="F85" s="23">
        <v>43406</v>
      </c>
      <c r="G85" s="5" t="s">
        <v>133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489</v>
      </c>
      <c r="D86" s="6">
        <v>50</v>
      </c>
      <c r="E86" s="5" t="s">
        <v>302</v>
      </c>
      <c r="F86" s="23">
        <v>43403</v>
      </c>
      <c r="G86" s="5" t="s">
        <v>133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218</v>
      </c>
      <c r="D87" s="6">
        <v>60</v>
      </c>
      <c r="E87" s="5" t="s">
        <v>2</v>
      </c>
      <c r="F87" s="23">
        <v>43404</v>
      </c>
      <c r="G87" s="5" t="s">
        <v>157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557</v>
      </c>
      <c r="D88" s="6">
        <v>50</v>
      </c>
      <c r="E88" s="5" t="s">
        <v>394</v>
      </c>
      <c r="F88" s="23">
        <v>43406</v>
      </c>
      <c r="G88" s="5" t="s">
        <v>607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512</v>
      </c>
      <c r="D89" s="6">
        <v>50</v>
      </c>
      <c r="E89" s="5" t="s">
        <v>268</v>
      </c>
      <c r="F89" s="23">
        <v>43405</v>
      </c>
      <c r="G89" s="5" t="s">
        <v>129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463</v>
      </c>
      <c r="D90" s="6">
        <v>15</v>
      </c>
      <c r="E90" s="25" t="s">
        <v>189</v>
      </c>
      <c r="F90" s="23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487</v>
      </c>
      <c r="D91" s="6">
        <v>40</v>
      </c>
      <c r="E91" s="5" t="s">
        <v>377</v>
      </c>
      <c r="F91" s="11"/>
      <c r="G91" s="7" t="s">
        <v>149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467</v>
      </c>
      <c r="D92" s="6">
        <v>45</v>
      </c>
      <c r="E92" s="5" t="s">
        <v>57</v>
      </c>
      <c r="F92" s="23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559</v>
      </c>
      <c r="D93" s="6">
        <v>50</v>
      </c>
      <c r="E93" s="5" t="s">
        <v>115</v>
      </c>
      <c r="F93" s="23">
        <v>43405</v>
      </c>
      <c r="G93" s="5" t="s">
        <v>129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573</v>
      </c>
      <c r="D94" s="6">
        <v>50</v>
      </c>
      <c r="E94" s="5" t="s">
        <v>386</v>
      </c>
      <c r="F94" s="11"/>
      <c r="G94" s="5" t="s">
        <v>147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513</v>
      </c>
      <c r="D95" s="6">
        <v>40</v>
      </c>
      <c r="E95" s="5" t="s">
        <v>121</v>
      </c>
      <c r="F95" s="23">
        <v>43406</v>
      </c>
      <c r="G95" s="5" t="s">
        <v>134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235</v>
      </c>
      <c r="D96" s="6">
        <v>50</v>
      </c>
      <c r="E96" s="5" t="s">
        <v>597</v>
      </c>
      <c r="F96" s="11"/>
      <c r="G96" s="5" t="s">
        <v>128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291</v>
      </c>
      <c r="C97" s="5" t="s">
        <v>581</v>
      </c>
      <c r="D97" s="6">
        <v>60</v>
      </c>
      <c r="E97" s="11" t="s">
        <v>391</v>
      </c>
      <c r="F97" s="23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555</v>
      </c>
      <c r="D98" s="6">
        <v>60</v>
      </c>
      <c r="E98" s="5" t="s">
        <v>120</v>
      </c>
      <c r="F98" s="11"/>
      <c r="G98" s="5" t="s">
        <v>136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582</v>
      </c>
      <c r="D99" s="6">
        <v>40</v>
      </c>
      <c r="E99" s="5" t="s">
        <v>397</v>
      </c>
      <c r="F99" s="23">
        <v>43406</v>
      </c>
      <c r="G99" s="5" t="s">
        <v>602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291</v>
      </c>
      <c r="C100" s="5" t="s">
        <v>423</v>
      </c>
      <c r="D100" s="6">
        <v>60</v>
      </c>
      <c r="E100" s="11" t="s">
        <v>37</v>
      </c>
      <c r="F100" s="23">
        <v>43469</v>
      </c>
      <c r="G100" s="11"/>
      <c r="H100" s="17"/>
      <c r="I100" s="17"/>
      <c r="J100" s="17"/>
      <c r="K100" s="17"/>
    </row>
    <row r="101" spans="1:11">
      <c r="A101" s="4">
        <f>SUBTOTAL(3,$C$2:C101)</f>
        <v>100</v>
      </c>
      <c r="B101" s="4"/>
      <c r="C101" s="5" t="s">
        <v>514</v>
      </c>
      <c r="D101" s="6">
        <v>40</v>
      </c>
      <c r="E101" s="5" t="s">
        <v>378</v>
      </c>
      <c r="F101" s="11"/>
      <c r="G101" s="5" t="s">
        <v>157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291</v>
      </c>
      <c r="C102" s="5" t="s">
        <v>434</v>
      </c>
      <c r="D102" s="6">
        <v>60</v>
      </c>
      <c r="E102" s="29" t="s">
        <v>253</v>
      </c>
      <c r="F102" s="23">
        <v>43469</v>
      </c>
      <c r="G102" s="11" t="s">
        <v>155</v>
      </c>
      <c r="H102" s="17">
        <v>120</v>
      </c>
      <c r="I102" s="17">
        <v>21600</v>
      </c>
      <c r="J102" s="17">
        <v>1080</v>
      </c>
      <c r="K102" s="17">
        <v>22680</v>
      </c>
    </row>
    <row r="103" spans="1:11">
      <c r="A103" s="4">
        <f>SUBTOTAL(3,$C$2:C103)</f>
        <v>102</v>
      </c>
      <c r="B103" s="4" t="s">
        <v>291</v>
      </c>
      <c r="C103" s="5" t="s">
        <v>447</v>
      </c>
      <c r="D103" s="6">
        <v>60</v>
      </c>
      <c r="E103" s="11" t="s">
        <v>398</v>
      </c>
      <c r="F103" s="23">
        <v>43469</v>
      </c>
      <c r="G103" s="5" t="s">
        <v>146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291</v>
      </c>
      <c r="C104" s="5" t="s">
        <v>441</v>
      </c>
      <c r="D104" s="6">
        <v>60</v>
      </c>
      <c r="E104" s="31" t="s">
        <v>26</v>
      </c>
      <c r="F104" s="23">
        <v>43469</v>
      </c>
      <c r="G104" s="7" t="s">
        <v>138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494</v>
      </c>
      <c r="D105" s="6">
        <v>45</v>
      </c>
      <c r="E105" s="5" t="s">
        <v>67</v>
      </c>
      <c r="F105" s="11"/>
      <c r="G105" s="5" t="s">
        <v>152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291</v>
      </c>
      <c r="C106" s="5" t="s">
        <v>216</v>
      </c>
      <c r="D106" s="6">
        <v>120</v>
      </c>
      <c r="E106" s="11" t="s">
        <v>303</v>
      </c>
      <c r="F106" s="23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461</v>
      </c>
      <c r="D107" s="6">
        <v>45</v>
      </c>
      <c r="E107" s="25" t="s">
        <v>3</v>
      </c>
      <c r="F107" s="23">
        <v>43404</v>
      </c>
      <c r="G107" s="5" t="s">
        <v>128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291</v>
      </c>
      <c r="C108" s="5" t="s">
        <v>442</v>
      </c>
      <c r="D108" s="6">
        <v>60</v>
      </c>
      <c r="E108" s="11" t="s">
        <v>86</v>
      </c>
      <c r="F108" s="23">
        <v>43469</v>
      </c>
      <c r="G108" s="5" t="s">
        <v>125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568</v>
      </c>
      <c r="D109" s="6">
        <v>40</v>
      </c>
      <c r="E109" s="5" t="s">
        <v>48</v>
      </c>
      <c r="F109" s="23">
        <v>43406</v>
      </c>
      <c r="G109" s="5" t="s">
        <v>134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468</v>
      </c>
      <c r="D110" s="6">
        <v>40</v>
      </c>
      <c r="E110" s="25" t="s">
        <v>189</v>
      </c>
      <c r="F110" s="23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521</v>
      </c>
      <c r="D111" s="6">
        <v>30</v>
      </c>
      <c r="E111" s="5" t="s">
        <v>60</v>
      </c>
      <c r="F111" s="23">
        <v>43406</v>
      </c>
      <c r="G111" s="5" t="s">
        <v>610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454</v>
      </c>
      <c r="D112" s="6">
        <v>60</v>
      </c>
      <c r="E112" s="5" t="s">
        <v>242</v>
      </c>
      <c r="F112" s="11"/>
      <c r="G112" s="5" t="s">
        <v>126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451</v>
      </c>
      <c r="D113" s="6">
        <v>60</v>
      </c>
      <c r="E113" s="5" t="s">
        <v>299</v>
      </c>
      <c r="F113" s="23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478</v>
      </c>
      <c r="D114" s="6">
        <v>40</v>
      </c>
      <c r="E114" s="5" t="s">
        <v>54</v>
      </c>
      <c r="F114" s="23">
        <v>43403</v>
      </c>
      <c r="G114" s="5" t="s">
        <v>142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460</v>
      </c>
      <c r="D115" s="6">
        <v>40</v>
      </c>
      <c r="E115" s="5" t="s">
        <v>7</v>
      </c>
      <c r="F115" s="11"/>
      <c r="G115" s="5" t="s">
        <v>142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583</v>
      </c>
      <c r="D116" s="6">
        <v>30</v>
      </c>
      <c r="E116" s="5" t="s">
        <v>68</v>
      </c>
      <c r="F116" s="23">
        <v>43406</v>
      </c>
      <c r="G116" s="5" t="s">
        <v>135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560</v>
      </c>
      <c r="D117" s="6">
        <v>30</v>
      </c>
      <c r="E117" s="5" t="s">
        <v>203</v>
      </c>
      <c r="F117" s="23">
        <v>43406</v>
      </c>
      <c r="G117" s="5" t="s">
        <v>139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506</v>
      </c>
      <c r="D118" s="6">
        <v>30</v>
      </c>
      <c r="E118" s="5" t="s">
        <v>258</v>
      </c>
      <c r="F118" s="11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574</v>
      </c>
      <c r="D119" s="6">
        <v>30</v>
      </c>
      <c r="E119" s="5" t="s">
        <v>64</v>
      </c>
      <c r="F119" s="23">
        <v>43406</v>
      </c>
      <c r="G119" s="5" t="s">
        <v>135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515</v>
      </c>
      <c r="D120" s="6">
        <v>35</v>
      </c>
      <c r="E120" s="5" t="s">
        <v>259</v>
      </c>
      <c r="F120" s="11"/>
      <c r="G120" s="5" t="s">
        <v>145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561</v>
      </c>
      <c r="D121" s="6">
        <v>50</v>
      </c>
      <c r="E121" s="5" t="s">
        <v>270</v>
      </c>
      <c r="F121" s="11"/>
      <c r="G121" s="5" t="s">
        <v>168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290</v>
      </c>
      <c r="C122" s="5" t="s">
        <v>459</v>
      </c>
      <c r="D122" s="6">
        <v>10</v>
      </c>
      <c r="E122" s="11" t="s">
        <v>266</v>
      </c>
      <c r="F122" s="23">
        <v>43406</v>
      </c>
      <c r="G122" s="5" t="s">
        <v>125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291</v>
      </c>
      <c r="C123" s="5" t="s">
        <v>452</v>
      </c>
      <c r="D123" s="6">
        <v>70</v>
      </c>
      <c r="E123" s="11" t="s">
        <v>396</v>
      </c>
      <c r="F123" s="23">
        <v>43469</v>
      </c>
      <c r="G123" s="5" t="s">
        <v>160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577</v>
      </c>
      <c r="D124" s="6">
        <v>50</v>
      </c>
      <c r="E124" s="5" t="s">
        <v>379</v>
      </c>
      <c r="F124" s="11"/>
      <c r="G124" s="5" t="s">
        <v>156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470</v>
      </c>
      <c r="D125" s="6">
        <v>50</v>
      </c>
      <c r="E125" s="5" t="s">
        <v>395</v>
      </c>
      <c r="F125" s="23">
        <v>43406</v>
      </c>
      <c r="G125" s="5" t="s">
        <v>126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495</v>
      </c>
      <c r="D126" s="6">
        <v>40</v>
      </c>
      <c r="E126" s="5" t="s">
        <v>28</v>
      </c>
      <c r="F126" s="11"/>
      <c r="G126" s="5" t="s">
        <v>159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562</v>
      </c>
      <c r="D127" s="6">
        <v>60</v>
      </c>
      <c r="E127" s="5" t="s">
        <v>243</v>
      </c>
      <c r="F127" s="11"/>
      <c r="G127" s="5" t="s">
        <v>141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570</v>
      </c>
      <c r="D128" s="6">
        <v>50</v>
      </c>
      <c r="E128" s="5" t="s">
        <v>110</v>
      </c>
      <c r="F128" s="23">
        <v>43406</v>
      </c>
      <c r="G128" s="5" t="s">
        <v>126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563</v>
      </c>
      <c r="D129" s="6">
        <v>40</v>
      </c>
      <c r="E129" s="5" t="s">
        <v>61</v>
      </c>
      <c r="F129" s="23">
        <v>43403</v>
      </c>
      <c r="G129" s="11" t="s">
        <v>180</v>
      </c>
      <c r="H129" s="17"/>
      <c r="I129" s="17"/>
      <c r="J129" s="17"/>
      <c r="K129" s="17"/>
    </row>
    <row r="130" spans="1:11">
      <c r="A130" s="4">
        <f>SUBTOTAL(3,$C$2:C130)</f>
        <v>129</v>
      </c>
      <c r="B130" s="4"/>
      <c r="C130" s="5" t="s">
        <v>497</v>
      </c>
      <c r="D130" s="6">
        <v>30</v>
      </c>
      <c r="E130" s="5" t="s">
        <v>112</v>
      </c>
      <c r="F130" s="11"/>
      <c r="G130" s="5" t="s">
        <v>159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564</v>
      </c>
      <c r="D131" s="6">
        <v>40</v>
      </c>
      <c r="E131" s="5" t="s">
        <v>244</v>
      </c>
      <c r="F131" s="23">
        <v>43406</v>
      </c>
      <c r="G131" s="5" t="s">
        <v>135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553</v>
      </c>
      <c r="D132" s="6">
        <v>100</v>
      </c>
      <c r="E132" s="5" t="s">
        <v>267</v>
      </c>
      <c r="F132" s="11"/>
      <c r="G132" s="5" t="s">
        <v>150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516</v>
      </c>
      <c r="D133" s="6">
        <v>50</v>
      </c>
      <c r="E133" s="5" t="s">
        <v>267</v>
      </c>
      <c r="F133" s="23"/>
      <c r="G133" s="11" t="s">
        <v>150</v>
      </c>
      <c r="H133" s="17">
        <v>519</v>
      </c>
      <c r="I133" s="17">
        <v>51900</v>
      </c>
      <c r="J133" s="17">
        <v>2595</v>
      </c>
      <c r="K133" s="17">
        <v>54495</v>
      </c>
    </row>
    <row r="134" spans="1:11">
      <c r="A134" s="4">
        <f>SUBTOTAL(3,$C$2:C134)</f>
        <v>133</v>
      </c>
      <c r="B134" s="4"/>
      <c r="C134" s="5" t="s">
        <v>566</v>
      </c>
      <c r="D134" s="6">
        <v>45</v>
      </c>
      <c r="E134" s="5" t="s">
        <v>43</v>
      </c>
      <c r="F134" s="23">
        <v>43406</v>
      </c>
      <c r="G134" s="5" t="s">
        <v>130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567</v>
      </c>
      <c r="D135" s="6">
        <v>40</v>
      </c>
      <c r="E135" s="5" t="s">
        <v>49</v>
      </c>
      <c r="F135" s="11"/>
      <c r="G135" s="5" t="s">
        <v>140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517</v>
      </c>
      <c r="D136" s="6">
        <v>45</v>
      </c>
      <c r="E136" s="5" t="s">
        <v>263</v>
      </c>
      <c r="F136" s="11"/>
      <c r="G136" s="7" t="s">
        <v>149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473</v>
      </c>
      <c r="D137" s="6">
        <v>50</v>
      </c>
      <c r="E137" s="5" t="s">
        <v>24</v>
      </c>
      <c r="F137" s="23">
        <v>43406</v>
      </c>
      <c r="G137" s="5" t="s">
        <v>167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318</v>
      </c>
      <c r="D138" s="6">
        <v>50</v>
      </c>
      <c r="E138" s="5" t="s">
        <v>380</v>
      </c>
      <c r="F138" s="23">
        <v>43402</v>
      </c>
      <c r="G138" s="11"/>
      <c r="H138" s="17"/>
      <c r="I138" s="17"/>
      <c r="J138" s="17"/>
      <c r="K138" s="17"/>
    </row>
    <row r="139" spans="1:11">
      <c r="A139" s="4">
        <f>SUBTOTAL(3,$C$2:C139)</f>
        <v>138</v>
      </c>
      <c r="B139" s="4"/>
      <c r="C139" s="5" t="s">
        <v>554</v>
      </c>
      <c r="D139" s="6">
        <v>40</v>
      </c>
      <c r="E139" s="5" t="s">
        <v>69</v>
      </c>
      <c r="F139" s="23">
        <v>43409</v>
      </c>
      <c r="G139" s="11"/>
      <c r="H139" s="17"/>
      <c r="I139" s="17"/>
      <c r="J139" s="17"/>
      <c r="K139" s="17"/>
    </row>
    <row r="140" spans="1:11">
      <c r="A140" s="4">
        <f>SUBTOTAL(3,$C$2:C140)</f>
        <v>139</v>
      </c>
      <c r="B140" s="4"/>
      <c r="C140" s="5" t="s">
        <v>578</v>
      </c>
      <c r="D140" s="6">
        <v>40</v>
      </c>
      <c r="E140" s="5" t="s">
        <v>50</v>
      </c>
      <c r="F140" s="23">
        <v>43406</v>
      </c>
      <c r="G140" s="5" t="s">
        <v>161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575</v>
      </c>
      <c r="D141" s="6">
        <v>40</v>
      </c>
      <c r="E141" s="5" t="s">
        <v>261</v>
      </c>
      <c r="F141" s="23">
        <v>43406</v>
      </c>
      <c r="G141" s="5" t="s">
        <v>143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507</v>
      </c>
      <c r="D142" s="6">
        <v>35</v>
      </c>
      <c r="E142" s="5" t="s">
        <v>261</v>
      </c>
      <c r="F142" s="11"/>
      <c r="G142" s="5" t="s">
        <v>131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569</v>
      </c>
      <c r="D143" s="6">
        <v>60</v>
      </c>
      <c r="E143" s="5" t="s">
        <v>392</v>
      </c>
      <c r="F143" s="11"/>
      <c r="G143" s="7" t="s">
        <v>609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571</v>
      </c>
      <c r="D144" s="6">
        <v>30</v>
      </c>
      <c r="E144" s="5" t="s">
        <v>265</v>
      </c>
      <c r="F144" s="11"/>
      <c r="G144" s="5" t="s">
        <v>129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482</v>
      </c>
      <c r="D145" s="6">
        <v>30</v>
      </c>
      <c r="E145" s="5" t="s">
        <v>381</v>
      </c>
      <c r="F145" s="23">
        <v>43405</v>
      </c>
      <c r="G145" s="5" t="s">
        <v>151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502</v>
      </c>
      <c r="D146" s="6">
        <v>30</v>
      </c>
      <c r="E146" s="5" t="s">
        <v>64</v>
      </c>
      <c r="F146" s="11"/>
      <c r="G146" s="5" t="s">
        <v>135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590</v>
      </c>
      <c r="D147" s="6">
        <v>200</v>
      </c>
      <c r="E147" s="5" t="s">
        <v>255</v>
      </c>
      <c r="F147" s="11"/>
      <c r="G147" s="5" t="s">
        <v>170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211</v>
      </c>
      <c r="D148" s="6">
        <v>12</v>
      </c>
      <c r="E148" s="5" t="s">
        <v>269</v>
      </c>
      <c r="F148" s="23">
        <v>43406</v>
      </c>
      <c r="G148" s="5" t="s">
        <v>169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589</v>
      </c>
      <c r="D149" s="6">
        <v>50</v>
      </c>
      <c r="E149" s="5" t="s">
        <v>56</v>
      </c>
      <c r="F149" s="11"/>
      <c r="G149" s="5" t="s">
        <v>167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519</v>
      </c>
      <c r="D150" s="6">
        <v>5</v>
      </c>
      <c r="E150" s="25" t="s">
        <v>199</v>
      </c>
      <c r="F150" s="23">
        <v>43406</v>
      </c>
      <c r="G150" s="5" t="s">
        <v>133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591</v>
      </c>
      <c r="D151" s="6">
        <v>16</v>
      </c>
      <c r="E151" s="5" t="s">
        <v>193</v>
      </c>
      <c r="F151" s="23">
        <v>43406</v>
      </c>
      <c r="G151" s="7" t="s">
        <v>149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585</v>
      </c>
      <c r="D152" s="6">
        <v>20</v>
      </c>
      <c r="E152" s="5" t="s">
        <v>245</v>
      </c>
      <c r="F152" s="11"/>
      <c r="G152" s="5" t="s">
        <v>152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488</v>
      </c>
      <c r="D153" s="6">
        <v>20</v>
      </c>
      <c r="E153" s="5" t="s">
        <v>245</v>
      </c>
      <c r="F153" s="23">
        <v>43403</v>
      </c>
      <c r="G153" s="5" t="s">
        <v>152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291</v>
      </c>
      <c r="C154" s="5" t="s">
        <v>436</v>
      </c>
      <c r="D154" s="6">
        <v>120</v>
      </c>
      <c r="E154" s="11" t="s">
        <v>32</v>
      </c>
      <c r="F154" s="23">
        <v>43469</v>
      </c>
      <c r="G154" s="5" t="s">
        <v>183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455</v>
      </c>
      <c r="D155" s="6">
        <v>60</v>
      </c>
      <c r="E155" s="5" t="s">
        <v>14</v>
      </c>
      <c r="F155" s="11"/>
      <c r="G155" s="5" t="s">
        <v>152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213</v>
      </c>
      <c r="D156" s="6">
        <v>45</v>
      </c>
      <c r="E156" s="5" t="s">
        <v>58</v>
      </c>
      <c r="F156" s="23">
        <v>43406</v>
      </c>
      <c r="G156" s="5" t="s">
        <v>133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291</v>
      </c>
      <c r="C157" s="5" t="s">
        <v>212</v>
      </c>
      <c r="D157" s="6">
        <v>120</v>
      </c>
      <c r="E157" s="11" t="s">
        <v>27</v>
      </c>
      <c r="F157" s="23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471</v>
      </c>
      <c r="D158" s="6">
        <v>45</v>
      </c>
      <c r="E158" s="5" t="s">
        <v>111</v>
      </c>
      <c r="F158" s="23">
        <v>43406</v>
      </c>
      <c r="G158" s="5" t="s">
        <v>131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472</v>
      </c>
      <c r="D159" s="6">
        <v>45</v>
      </c>
      <c r="E159" s="11" t="s">
        <v>254</v>
      </c>
      <c r="F159" s="23">
        <v>43403</v>
      </c>
      <c r="G159" s="5" t="s">
        <v>131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214</v>
      </c>
      <c r="D160" s="6">
        <v>40</v>
      </c>
      <c r="E160" s="5" t="s">
        <v>8</v>
      </c>
      <c r="F160" s="23">
        <v>43406</v>
      </c>
      <c r="G160" s="5" t="s">
        <v>174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440</v>
      </c>
      <c r="D161" s="6">
        <v>40</v>
      </c>
      <c r="E161" s="5" t="s">
        <v>45</v>
      </c>
      <c r="F161" s="23">
        <v>43403</v>
      </c>
      <c r="G161" s="11"/>
      <c r="H161" s="17"/>
      <c r="I161" s="17"/>
      <c r="J161" s="17"/>
      <c r="K161" s="17"/>
    </row>
    <row r="162" spans="1:11">
      <c r="A162" s="4">
        <f>SUBTOTAL(3,$C$2:C162)</f>
        <v>161</v>
      </c>
      <c r="B162" s="4"/>
      <c r="C162" s="5" t="s">
        <v>588</v>
      </c>
      <c r="D162" s="6">
        <v>50</v>
      </c>
      <c r="E162" s="5" t="s">
        <v>38</v>
      </c>
      <c r="F162" s="23">
        <v>43406</v>
      </c>
      <c r="G162" s="5" t="s">
        <v>604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592</v>
      </c>
      <c r="D163" s="6">
        <v>60</v>
      </c>
      <c r="E163" s="5" t="s">
        <v>4</v>
      </c>
      <c r="F163" s="11"/>
      <c r="G163" s="5" t="s">
        <v>172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291</v>
      </c>
      <c r="C164" s="5" t="s">
        <v>449</v>
      </c>
      <c r="D164" s="6">
        <v>120</v>
      </c>
      <c r="E164" s="11" t="s">
        <v>31</v>
      </c>
      <c r="F164" s="23">
        <v>43469</v>
      </c>
      <c r="G164" s="5" t="s">
        <v>178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474</v>
      </c>
      <c r="D165" s="6">
        <v>40</v>
      </c>
      <c r="E165" s="5" t="s">
        <v>33</v>
      </c>
      <c r="F165" s="11"/>
      <c r="G165" s="5" t="s">
        <v>166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509</v>
      </c>
      <c r="D166" s="6">
        <v>40</v>
      </c>
      <c r="E166" s="5" t="s">
        <v>9</v>
      </c>
      <c r="F166" s="11"/>
      <c r="G166" s="5" t="s">
        <v>142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593</v>
      </c>
      <c r="D167" s="6">
        <v>60</v>
      </c>
      <c r="E167" s="5" t="s">
        <v>202</v>
      </c>
      <c r="F167" s="11"/>
      <c r="G167" s="5" t="s">
        <v>168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226</v>
      </c>
      <c r="D168" s="6">
        <v>50</v>
      </c>
      <c r="E168" s="5" t="s">
        <v>59</v>
      </c>
      <c r="F168" s="11"/>
      <c r="G168" s="5" t="s">
        <v>601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370</v>
      </c>
      <c r="D169" s="6">
        <v>50</v>
      </c>
      <c r="E169" s="5" t="s">
        <v>122</v>
      </c>
      <c r="F169" s="11"/>
      <c r="G169" s="5" t="s">
        <v>163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504</v>
      </c>
      <c r="D170" s="6">
        <v>30</v>
      </c>
      <c r="E170" s="5" t="s">
        <v>256</v>
      </c>
      <c r="F170" s="11"/>
      <c r="G170" s="5" t="s">
        <v>168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232</v>
      </c>
      <c r="D171" s="6">
        <v>60</v>
      </c>
      <c r="E171" s="5" t="s">
        <v>2</v>
      </c>
      <c r="F171" s="23">
        <v>43404</v>
      </c>
      <c r="G171" s="5" t="s">
        <v>157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587</v>
      </c>
      <c r="D172" s="6">
        <v>80</v>
      </c>
      <c r="E172" s="5" t="s">
        <v>388</v>
      </c>
      <c r="F172" s="23">
        <v>43406</v>
      </c>
      <c r="G172" s="5" t="s">
        <v>170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443</v>
      </c>
      <c r="D173" s="6">
        <v>65</v>
      </c>
      <c r="E173" s="5" t="s">
        <v>205</v>
      </c>
      <c r="F173" s="11"/>
      <c r="G173" s="7" t="s">
        <v>149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475</v>
      </c>
      <c r="D174" s="6">
        <v>30</v>
      </c>
      <c r="E174" s="5" t="s">
        <v>204</v>
      </c>
      <c r="F174" s="23">
        <v>43406</v>
      </c>
      <c r="G174" s="5" t="s">
        <v>610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476</v>
      </c>
      <c r="D175" s="6">
        <v>12</v>
      </c>
      <c r="E175" s="5" t="s">
        <v>208</v>
      </c>
      <c r="F175" s="11"/>
      <c r="G175" s="5" t="s">
        <v>602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446</v>
      </c>
      <c r="D176" s="6">
        <v>60</v>
      </c>
      <c r="E176" s="5" t="s">
        <v>401</v>
      </c>
      <c r="F176" s="11"/>
      <c r="G176" s="5" t="s">
        <v>142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209</v>
      </c>
      <c r="D177" s="6">
        <v>45</v>
      </c>
      <c r="E177" s="5" t="s">
        <v>44</v>
      </c>
      <c r="F177" s="11"/>
      <c r="G177" s="5" t="s">
        <v>128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586</v>
      </c>
      <c r="D178" s="6">
        <v>40</v>
      </c>
      <c r="E178" s="5" t="s">
        <v>5</v>
      </c>
      <c r="F178" s="23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479</v>
      </c>
      <c r="D179" s="6">
        <v>40</v>
      </c>
      <c r="E179" s="5" t="s">
        <v>10</v>
      </c>
      <c r="F179" s="11"/>
      <c r="G179" s="5" t="s">
        <v>157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520</v>
      </c>
      <c r="D180" s="6">
        <v>40</v>
      </c>
      <c r="E180" s="5" t="s">
        <v>1</v>
      </c>
      <c r="F180" s="11"/>
      <c r="G180" s="5" t="s">
        <v>154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594</v>
      </c>
      <c r="D181" s="6">
        <v>50</v>
      </c>
      <c r="E181" s="5" t="s">
        <v>382</v>
      </c>
      <c r="F181" s="23">
        <v>43406</v>
      </c>
      <c r="G181" s="5" t="s">
        <v>155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210</v>
      </c>
      <c r="D182" s="6">
        <v>50</v>
      </c>
      <c r="E182" s="5" t="s">
        <v>383</v>
      </c>
      <c r="F182" s="23">
        <v>43398</v>
      </c>
      <c r="G182" s="5" t="s">
        <v>155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233</v>
      </c>
      <c r="D183" s="6">
        <v>50</v>
      </c>
      <c r="E183" s="5" t="s">
        <v>383</v>
      </c>
      <c r="F183" s="23">
        <v>43431</v>
      </c>
      <c r="G183" s="5" t="s">
        <v>155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371</v>
      </c>
      <c r="D184" s="6">
        <v>120</v>
      </c>
      <c r="E184" s="5" t="s">
        <v>387</v>
      </c>
      <c r="F184" s="11"/>
      <c r="G184" s="5" t="s">
        <v>163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291</v>
      </c>
      <c r="C185" s="5" t="s">
        <v>453</v>
      </c>
      <c r="D185" s="6">
        <v>60</v>
      </c>
      <c r="E185" s="11" t="s">
        <v>34</v>
      </c>
      <c r="F185" s="23">
        <v>43469</v>
      </c>
      <c r="G185" s="5" t="s">
        <v>159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291</v>
      </c>
      <c r="C186" s="5" t="s">
        <v>448</v>
      </c>
      <c r="D186" s="6">
        <v>60</v>
      </c>
      <c r="E186" s="11" t="s">
        <v>29</v>
      </c>
      <c r="F186" s="23">
        <v>43469</v>
      </c>
      <c r="G186" s="5" t="s">
        <v>185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457</v>
      </c>
      <c r="D187" s="6">
        <v>50</v>
      </c>
      <c r="E187" s="5" t="s">
        <v>15</v>
      </c>
      <c r="F187" s="11"/>
      <c r="G187" s="5" t="s">
        <v>163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498</v>
      </c>
      <c r="D188" s="6">
        <v>40</v>
      </c>
      <c r="E188" s="5" t="s">
        <v>124</v>
      </c>
      <c r="F188" s="23">
        <v>43406</v>
      </c>
      <c r="G188" s="5" t="s">
        <v>126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228</v>
      </c>
      <c r="D189" s="6">
        <v>40</v>
      </c>
      <c r="E189" s="5" t="s">
        <v>264</v>
      </c>
      <c r="F189" s="23">
        <v>43406</v>
      </c>
      <c r="G189" s="5" t="s">
        <v>148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584</v>
      </c>
      <c r="D190" s="6">
        <v>40</v>
      </c>
      <c r="E190" s="25" t="s">
        <v>189</v>
      </c>
      <c r="F190" s="23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444</v>
      </c>
      <c r="D191" s="6">
        <v>55</v>
      </c>
      <c r="E191" s="5" t="s">
        <v>225</v>
      </c>
      <c r="F191" s="23">
        <v>43468</v>
      </c>
      <c r="G191" s="5" t="s">
        <v>135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186</v>
      </c>
      <c r="D192" s="6">
        <v>55</v>
      </c>
      <c r="E192" s="5" t="s">
        <v>224</v>
      </c>
      <c r="F192" s="23">
        <v>43468</v>
      </c>
      <c r="G192" s="5" t="s">
        <v>144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50" priority="19"/>
  </conditionalFormatting>
  <conditionalFormatting sqref="C9:C10">
    <cfRule type="duplicateValues" dxfId="49" priority="38"/>
  </conditionalFormatting>
  <conditionalFormatting sqref="C11">
    <cfRule type="duplicateValues" dxfId="48" priority="20"/>
  </conditionalFormatting>
  <conditionalFormatting sqref="C15:C16">
    <cfRule type="duplicateValues" dxfId="47" priority="24"/>
  </conditionalFormatting>
  <conditionalFormatting sqref="C20">
    <cfRule type="duplicateValues" dxfId="46" priority="36"/>
  </conditionalFormatting>
  <conditionalFormatting sqref="C21">
    <cfRule type="duplicateValues" dxfId="45" priority="25"/>
  </conditionalFormatting>
  <conditionalFormatting sqref="C43">
    <cfRule type="duplicateValues" dxfId="44" priority="26"/>
  </conditionalFormatting>
  <conditionalFormatting sqref="C53">
    <cfRule type="duplicateValues" dxfId="43" priority="5"/>
  </conditionalFormatting>
  <conditionalFormatting sqref="C54">
    <cfRule type="duplicateValues" dxfId="42" priority="23"/>
  </conditionalFormatting>
  <conditionalFormatting sqref="C62">
    <cfRule type="duplicateValues" dxfId="41" priority="33"/>
  </conditionalFormatting>
  <conditionalFormatting sqref="C68">
    <cfRule type="duplicateValues" dxfId="40" priority="11"/>
  </conditionalFormatting>
  <conditionalFormatting sqref="C69">
    <cfRule type="duplicateValues" dxfId="39" priority="2"/>
  </conditionalFormatting>
  <conditionalFormatting sqref="C73">
    <cfRule type="duplicateValues" dxfId="38" priority="6"/>
  </conditionalFormatting>
  <conditionalFormatting sqref="C76">
    <cfRule type="duplicateValues" dxfId="37" priority="28"/>
  </conditionalFormatting>
  <conditionalFormatting sqref="C81">
    <cfRule type="duplicateValues" dxfId="36" priority="13"/>
  </conditionalFormatting>
  <conditionalFormatting sqref="C82">
    <cfRule type="duplicateValues" dxfId="35" priority="9"/>
  </conditionalFormatting>
  <conditionalFormatting sqref="C86">
    <cfRule type="duplicateValues" dxfId="34" priority="12"/>
  </conditionalFormatting>
  <conditionalFormatting sqref="C87">
    <cfRule type="duplicateValues" dxfId="33" priority="8"/>
  </conditionalFormatting>
  <conditionalFormatting sqref="C89">
    <cfRule type="duplicateValues" dxfId="32" priority="7"/>
  </conditionalFormatting>
  <conditionalFormatting sqref="C92">
    <cfRule type="duplicateValues" dxfId="31" priority="22"/>
  </conditionalFormatting>
  <conditionalFormatting sqref="C97">
    <cfRule type="duplicateValues" dxfId="30" priority="21"/>
  </conditionalFormatting>
  <conditionalFormatting sqref="C100">
    <cfRule type="duplicateValues" dxfId="29" priority="34"/>
  </conditionalFormatting>
  <conditionalFormatting sqref="C102">
    <cfRule type="duplicateValues" dxfId="28" priority="29"/>
  </conditionalFormatting>
  <conditionalFormatting sqref="C106">
    <cfRule type="duplicateValues" dxfId="27" priority="30"/>
  </conditionalFormatting>
  <conditionalFormatting sqref="C107">
    <cfRule type="duplicateValues" dxfId="26" priority="10"/>
  </conditionalFormatting>
  <conditionalFormatting sqref="C114">
    <cfRule type="duplicateValues" dxfId="25" priority="18"/>
  </conditionalFormatting>
  <conditionalFormatting sqref="C119">
    <cfRule type="duplicateValues" dxfId="24" priority="16"/>
  </conditionalFormatting>
  <conditionalFormatting sqref="C129">
    <cfRule type="duplicateValues" dxfId="23" priority="27"/>
  </conditionalFormatting>
  <conditionalFormatting sqref="C133">
    <cfRule type="duplicateValues" dxfId="22" priority="37"/>
  </conditionalFormatting>
  <conditionalFormatting sqref="C138:C139">
    <cfRule type="duplicateValues" dxfId="21" priority="35"/>
  </conditionalFormatting>
  <conditionalFormatting sqref="C146">
    <cfRule type="duplicateValues" dxfId="20" priority="15"/>
  </conditionalFormatting>
  <conditionalFormatting sqref="C150">
    <cfRule type="duplicateValues" dxfId="19" priority="4"/>
  </conditionalFormatting>
  <conditionalFormatting sqref="C153">
    <cfRule type="duplicateValues" dxfId="18" priority="14"/>
  </conditionalFormatting>
  <conditionalFormatting sqref="C159">
    <cfRule type="duplicateValues" dxfId="17" priority="17"/>
  </conditionalFormatting>
  <conditionalFormatting sqref="C161">
    <cfRule type="duplicateValues" dxfId="16" priority="31"/>
  </conditionalFormatting>
  <conditionalFormatting sqref="C181">
    <cfRule type="duplicateValues" dxfId="15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4" priority="39"/>
  </conditionalFormatting>
  <conditionalFormatting sqref="C183">
    <cfRule type="duplicateValues" dxfId="13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>
    <tabColor rgb="FFFF0000"/>
    <pageSetUpPr fitToPage="1"/>
  </sheetPr>
  <dimension ref="A1:J4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2" max="2" width="7.75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  <col min="11" max="11" width="16.375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750</v>
      </c>
      <c r="E2" s="5" t="s">
        <v>306</v>
      </c>
      <c r="F2" s="11" t="s">
        <v>175</v>
      </c>
      <c r="G2" s="6">
        <v>45</v>
      </c>
      <c r="H2" s="6">
        <v>33750</v>
      </c>
      <c r="I2" s="6">
        <v>1687.5</v>
      </c>
      <c r="J2" s="6">
        <v>35437.5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750</v>
      </c>
      <c r="E3" s="5" t="s">
        <v>307</v>
      </c>
      <c r="F3" s="11" t="s">
        <v>168</v>
      </c>
      <c r="G3" s="6">
        <v>53</v>
      </c>
      <c r="H3" s="6">
        <v>39750</v>
      </c>
      <c r="I3" s="6">
        <v>1987.5</v>
      </c>
      <c r="J3" s="6">
        <v>41737.5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750</v>
      </c>
      <c r="E4" s="5" t="s">
        <v>39</v>
      </c>
      <c r="F4" s="11" t="s">
        <v>181</v>
      </c>
      <c r="G4" s="6">
        <v>24</v>
      </c>
      <c r="H4" s="6">
        <v>18000</v>
      </c>
      <c r="I4" s="6">
        <v>900</v>
      </c>
      <c r="J4" s="6">
        <v>18900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750</v>
      </c>
      <c r="E5" s="5" t="s">
        <v>276</v>
      </c>
      <c r="F5" s="11" t="s">
        <v>132</v>
      </c>
      <c r="G5" s="6">
        <v>74</v>
      </c>
      <c r="H5" s="6">
        <v>55500</v>
      </c>
      <c r="I5" s="6">
        <v>2775</v>
      </c>
      <c r="J5" s="6">
        <v>58275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750</v>
      </c>
      <c r="E6" s="5" t="s">
        <v>289</v>
      </c>
      <c r="F6" s="12" t="s">
        <v>171</v>
      </c>
      <c r="G6" s="6">
        <v>45</v>
      </c>
      <c r="H6" s="6">
        <v>33750</v>
      </c>
      <c r="I6" s="6">
        <v>1687.5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750</v>
      </c>
      <c r="E7" s="5" t="s">
        <v>283</v>
      </c>
      <c r="F7" s="11" t="s">
        <v>177</v>
      </c>
      <c r="G7" s="6">
        <v>29</v>
      </c>
      <c r="H7" s="6">
        <v>21750</v>
      </c>
      <c r="I7" s="6">
        <v>1087.5</v>
      </c>
      <c r="J7" s="6">
        <v>22837.5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250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750</v>
      </c>
      <c r="E9" s="5" t="s">
        <v>275</v>
      </c>
      <c r="F9" s="11" t="s">
        <v>152</v>
      </c>
      <c r="G9" s="6">
        <v>41</v>
      </c>
      <c r="H9" s="6">
        <v>30750</v>
      </c>
      <c r="I9" s="6">
        <v>1537.5</v>
      </c>
      <c r="J9" s="6">
        <v>32287.5</v>
      </c>
    </row>
    <row r="10" spans="1:10">
      <c r="A10" s="4">
        <f>SUBTOTAL(3,$B$2:B10)</f>
        <v>9</v>
      </c>
      <c r="B10" s="10" t="s">
        <v>297</v>
      </c>
      <c r="C10" s="5" t="s">
        <v>328</v>
      </c>
      <c r="D10" s="6">
        <v>750</v>
      </c>
      <c r="E10" s="5" t="s">
        <v>272</v>
      </c>
      <c r="F10" s="11" t="s">
        <v>612</v>
      </c>
      <c r="G10" s="6">
        <v>25</v>
      </c>
      <c r="H10" s="6">
        <v>18750</v>
      </c>
      <c r="I10" s="6">
        <v>937.5</v>
      </c>
      <c r="J10" s="6">
        <v>19687.5</v>
      </c>
    </row>
    <row r="11" spans="1:10">
      <c r="A11" s="4">
        <f>SUBTOTAL(3,$B$2:B11)</f>
        <v>10</v>
      </c>
      <c r="B11" s="10" t="s">
        <v>297</v>
      </c>
      <c r="C11" s="5" t="s">
        <v>334</v>
      </c>
      <c r="D11" s="6">
        <v>750</v>
      </c>
      <c r="E11" s="5" t="s">
        <v>285</v>
      </c>
      <c r="F11" s="11" t="s">
        <v>159</v>
      </c>
      <c r="G11" s="6">
        <v>49</v>
      </c>
      <c r="H11" s="6">
        <v>36750</v>
      </c>
      <c r="I11" s="6">
        <v>1837.5</v>
      </c>
      <c r="J11" s="6">
        <v>38587.5</v>
      </c>
    </row>
    <row r="12" spans="1:10">
      <c r="A12" s="4">
        <f>SUBTOTAL(3,$B$2:B12)</f>
        <v>11</v>
      </c>
      <c r="B12" s="10" t="s">
        <v>297</v>
      </c>
      <c r="C12" s="5" t="s">
        <v>412</v>
      </c>
      <c r="D12" s="6">
        <v>750</v>
      </c>
      <c r="E12" s="5" t="s">
        <v>613</v>
      </c>
      <c r="F12" s="11" t="s">
        <v>128</v>
      </c>
      <c r="G12" s="6">
        <v>72</v>
      </c>
      <c r="H12" s="6">
        <v>54000</v>
      </c>
      <c r="I12" s="6">
        <v>2700</v>
      </c>
      <c r="J12" s="6">
        <v>56700</v>
      </c>
    </row>
    <row r="13" spans="1:10">
      <c r="A13" s="4">
        <f>SUBTOTAL(3,$B$2:B13)</f>
        <v>12</v>
      </c>
      <c r="B13" s="10" t="s">
        <v>297</v>
      </c>
      <c r="C13" s="5" t="s">
        <v>413</v>
      </c>
      <c r="D13" s="6">
        <v>750</v>
      </c>
      <c r="E13" s="5" t="s">
        <v>282</v>
      </c>
      <c r="F13" s="11"/>
      <c r="G13" s="6"/>
      <c r="H13" s="6"/>
      <c r="I13" s="6"/>
      <c r="J13" s="6"/>
    </row>
    <row r="14" spans="1:10">
      <c r="A14" s="4">
        <f>SUBTOTAL(3,$B$2:B14)</f>
        <v>13</v>
      </c>
      <c r="B14" s="10" t="s">
        <v>297</v>
      </c>
      <c r="C14" s="5" t="s">
        <v>414</v>
      </c>
      <c r="D14" s="6">
        <v>750</v>
      </c>
      <c r="E14" s="5" t="s">
        <v>82</v>
      </c>
      <c r="F14" s="11" t="s">
        <v>131</v>
      </c>
      <c r="G14" s="6">
        <v>63</v>
      </c>
      <c r="H14" s="6">
        <v>47250</v>
      </c>
      <c r="I14" s="6">
        <v>2362.5</v>
      </c>
      <c r="J14" s="6">
        <v>49612.5</v>
      </c>
    </row>
    <row r="15" spans="1:10">
      <c r="A15" s="4">
        <f>SUBTOTAL(3,$B$2:B15)</f>
        <v>14</v>
      </c>
      <c r="B15" s="10" t="s">
        <v>297</v>
      </c>
      <c r="C15" s="5" t="s">
        <v>411</v>
      </c>
      <c r="D15" s="6">
        <v>750</v>
      </c>
      <c r="E15" s="5" t="s">
        <v>20</v>
      </c>
      <c r="F15" s="11" t="s">
        <v>184</v>
      </c>
      <c r="G15" s="6">
        <v>24</v>
      </c>
      <c r="H15" s="6">
        <v>18000</v>
      </c>
      <c r="I15" s="6">
        <v>900</v>
      </c>
      <c r="J15" s="6">
        <v>18900</v>
      </c>
    </row>
    <row r="16" spans="1:10">
      <c r="A16" s="4">
        <f>SUBTOTAL(3,$B$2:B16)</f>
        <v>15</v>
      </c>
      <c r="B16" s="10" t="s">
        <v>297</v>
      </c>
      <c r="C16" s="5" t="s">
        <v>338</v>
      </c>
      <c r="D16" s="6">
        <v>750</v>
      </c>
      <c r="E16" s="5" t="s">
        <v>281</v>
      </c>
      <c r="F16" s="11"/>
      <c r="G16" s="6"/>
      <c r="H16" s="6"/>
      <c r="I16" s="6"/>
      <c r="J16" s="6"/>
    </row>
    <row r="17" spans="1:10">
      <c r="A17" s="4">
        <f>SUBTOTAL(3,$B$2:B17)</f>
        <v>16</v>
      </c>
      <c r="B17" s="10" t="s">
        <v>297</v>
      </c>
      <c r="C17" s="5" t="s">
        <v>406</v>
      </c>
      <c r="D17" s="6">
        <v>750</v>
      </c>
      <c r="E17" s="5" t="s">
        <v>393</v>
      </c>
      <c r="F17" s="11" t="s">
        <v>127</v>
      </c>
      <c r="G17" s="6">
        <v>50</v>
      </c>
      <c r="H17" s="6">
        <v>37500</v>
      </c>
      <c r="I17" s="6">
        <v>1875</v>
      </c>
      <c r="J17" s="6">
        <v>39375</v>
      </c>
    </row>
    <row r="18" spans="1:10">
      <c r="A18" s="4">
        <f>SUBTOTAL(3,$B$2:B18)</f>
        <v>17</v>
      </c>
      <c r="B18" s="10" t="s">
        <v>297</v>
      </c>
      <c r="C18" s="5" t="s">
        <v>321</v>
      </c>
      <c r="D18" s="6">
        <v>750</v>
      </c>
      <c r="E18" s="5" t="s">
        <v>40</v>
      </c>
      <c r="F18" s="11" t="s">
        <v>134</v>
      </c>
      <c r="G18" s="6">
        <v>50</v>
      </c>
      <c r="H18" s="6">
        <v>37500</v>
      </c>
      <c r="I18" s="6">
        <v>1875</v>
      </c>
      <c r="J18" s="6">
        <v>39375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750</v>
      </c>
      <c r="E19" s="5" t="s">
        <v>22</v>
      </c>
      <c r="F19" s="11" t="s">
        <v>129</v>
      </c>
      <c r="G19" s="6">
        <v>60</v>
      </c>
      <c r="H19" s="6">
        <v>45000</v>
      </c>
      <c r="I19" s="6">
        <v>2250</v>
      </c>
      <c r="J19" s="6">
        <v>47250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750</v>
      </c>
      <c r="E20" s="5" t="s">
        <v>284</v>
      </c>
      <c r="F20" s="11" t="s">
        <v>155</v>
      </c>
      <c r="G20" s="6">
        <v>55</v>
      </c>
      <c r="H20" s="6">
        <v>41250</v>
      </c>
      <c r="I20" s="6">
        <v>2062.5</v>
      </c>
      <c r="J20" s="6">
        <v>43312.5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750</v>
      </c>
      <c r="E21" s="5" t="s">
        <v>277</v>
      </c>
      <c r="F21" s="11" t="s">
        <v>600</v>
      </c>
      <c r="G21" s="6">
        <v>64</v>
      </c>
      <c r="H21" s="6">
        <v>48000</v>
      </c>
      <c r="I21" s="6">
        <v>2400</v>
      </c>
      <c r="J21" s="6">
        <v>50400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750</v>
      </c>
      <c r="E22" s="5" t="s">
        <v>16</v>
      </c>
      <c r="F22" s="11" t="s">
        <v>126</v>
      </c>
      <c r="G22" s="6">
        <v>71</v>
      </c>
      <c r="H22" s="6">
        <v>53250</v>
      </c>
      <c r="I22" s="6">
        <v>2662.5</v>
      </c>
      <c r="J22" s="6">
        <v>55912.5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750</v>
      </c>
      <c r="E23" s="5" t="s">
        <v>81</v>
      </c>
      <c r="F23" s="11" t="s">
        <v>133</v>
      </c>
      <c r="G23" s="6">
        <v>39</v>
      </c>
      <c r="H23" s="6">
        <v>29250</v>
      </c>
      <c r="I23" s="6">
        <v>1462.5</v>
      </c>
      <c r="J23" s="6">
        <v>30712.5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750</v>
      </c>
      <c r="E24" s="5" t="s">
        <v>308</v>
      </c>
      <c r="F24" s="11" t="s">
        <v>148</v>
      </c>
      <c r="G24" s="6">
        <v>15</v>
      </c>
      <c r="H24" s="6">
        <v>11250</v>
      </c>
      <c r="I24" s="6">
        <v>562.5</v>
      </c>
      <c r="J24" s="6">
        <v>11812.5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750</v>
      </c>
      <c r="E25" s="5" t="s">
        <v>279</v>
      </c>
      <c r="F25" s="11" t="s">
        <v>137</v>
      </c>
      <c r="G25" s="6">
        <v>50</v>
      </c>
      <c r="H25" s="6">
        <v>37500</v>
      </c>
      <c r="I25" s="6">
        <v>1875</v>
      </c>
      <c r="J25" s="6">
        <v>39375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750</v>
      </c>
      <c r="E26" s="5" t="s">
        <v>611</v>
      </c>
      <c r="F26" s="11" t="s">
        <v>174</v>
      </c>
      <c r="G26" s="6">
        <v>20</v>
      </c>
      <c r="H26" s="6">
        <v>15000</v>
      </c>
      <c r="I26" s="6">
        <v>750</v>
      </c>
      <c r="J26" s="6">
        <v>15750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750</v>
      </c>
      <c r="E27" s="5" t="s">
        <v>614</v>
      </c>
      <c r="F27" s="11" t="s">
        <v>173</v>
      </c>
      <c r="G27" s="6">
        <v>21</v>
      </c>
      <c r="H27" s="6">
        <v>15750</v>
      </c>
      <c r="I27" s="6">
        <v>787.5</v>
      </c>
      <c r="J27" s="6">
        <v>16537.5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750</v>
      </c>
      <c r="E28" s="5" t="s">
        <v>21</v>
      </c>
      <c r="F28" s="11" t="s">
        <v>603</v>
      </c>
      <c r="G28" s="6">
        <v>60</v>
      </c>
      <c r="H28" s="6">
        <v>45000</v>
      </c>
      <c r="I28" s="6">
        <v>2250</v>
      </c>
      <c r="J28" s="6">
        <v>47250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750</v>
      </c>
      <c r="E29" s="5" t="s">
        <v>287</v>
      </c>
      <c r="F29" s="11" t="s">
        <v>157</v>
      </c>
      <c r="G29" s="6">
        <v>53</v>
      </c>
      <c r="H29" s="6">
        <v>39750</v>
      </c>
      <c r="I29" s="6">
        <v>1987.5</v>
      </c>
      <c r="J29" s="6">
        <v>41737.5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750</v>
      </c>
      <c r="E30" s="5" t="s">
        <v>309</v>
      </c>
      <c r="F30" s="11" t="s">
        <v>145</v>
      </c>
      <c r="G30" s="6">
        <v>22</v>
      </c>
      <c r="H30" s="6">
        <v>16500</v>
      </c>
      <c r="I30" s="6">
        <v>825</v>
      </c>
      <c r="J30" s="6">
        <v>17325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750</v>
      </c>
      <c r="E31" s="5" t="s">
        <v>219</v>
      </c>
      <c r="F31" s="11" t="s">
        <v>163</v>
      </c>
      <c r="G31" s="6">
        <v>41</v>
      </c>
      <c r="H31" s="6">
        <v>30750</v>
      </c>
      <c r="I31" s="6">
        <v>1537.5</v>
      </c>
      <c r="J31" s="6">
        <v>32287.5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750</v>
      </c>
      <c r="E32" s="5" t="s">
        <v>286</v>
      </c>
      <c r="F32" s="11" t="s">
        <v>138</v>
      </c>
      <c r="G32" s="6">
        <v>40</v>
      </c>
      <c r="H32" s="6">
        <v>30000</v>
      </c>
      <c r="I32" s="6">
        <v>1500</v>
      </c>
      <c r="J32" s="6">
        <v>31500</v>
      </c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750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750</v>
      </c>
      <c r="E34" s="5" t="s">
        <v>280</v>
      </c>
      <c r="F34" s="11" t="s">
        <v>162</v>
      </c>
      <c r="G34" s="6">
        <v>25</v>
      </c>
      <c r="H34" s="6">
        <v>18750</v>
      </c>
      <c r="I34" s="6">
        <v>937.5</v>
      </c>
      <c r="J34" s="6">
        <v>19687.5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750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750</v>
      </c>
      <c r="E36" s="5" t="s">
        <v>615</v>
      </c>
      <c r="F36" s="11" t="s">
        <v>176</v>
      </c>
      <c r="G36" s="6">
        <v>0</v>
      </c>
      <c r="H36" s="6">
        <v>0</v>
      </c>
      <c r="I36" s="6">
        <v>0</v>
      </c>
      <c r="J36" s="6">
        <v>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750</v>
      </c>
      <c r="E37" s="5" t="s">
        <v>272</v>
      </c>
      <c r="F37" s="11" t="s">
        <v>130</v>
      </c>
      <c r="G37" s="6">
        <v>39</v>
      </c>
      <c r="H37" s="6">
        <v>29250</v>
      </c>
      <c r="I37" s="6">
        <v>1462.5</v>
      </c>
      <c r="J37" s="6">
        <v>30712.5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750</v>
      </c>
      <c r="E38" s="5" t="s">
        <v>273</v>
      </c>
      <c r="F38" s="12" t="s">
        <v>149</v>
      </c>
      <c r="G38" s="6">
        <v>59</v>
      </c>
      <c r="H38" s="6">
        <v>44250</v>
      </c>
      <c r="I38" s="6">
        <v>2212.5</v>
      </c>
      <c r="J38" s="5"/>
    </row>
    <row r="39" spans="1:10">
      <c r="C39" s="36" t="s">
        <v>90</v>
      </c>
      <c r="D39" s="8">
        <f>COUNTIF($C$2:$C$38,"*두부*")</f>
        <v>6</v>
      </c>
    </row>
    <row r="40" spans="1:10">
      <c r="C40" s="36" t="s">
        <v>96</v>
      </c>
      <c r="D40" s="8">
        <f>COUNTIF($C$2:$C$38,"*된장*")</f>
        <v>7</v>
      </c>
    </row>
    <row r="41" spans="1:10">
      <c r="C41" s="36" t="s">
        <v>101</v>
      </c>
      <c r="D41" s="8">
        <f>COUNTIF($C$2:$C$38,"*미역*")</f>
        <v>4</v>
      </c>
    </row>
    <row r="42" spans="1:10">
      <c r="C42" s="36" t="s">
        <v>95</v>
      </c>
      <c r="D42" s="8">
        <f>COUNTIF($C$2:$C$38,"*어묵*")</f>
        <v>2</v>
      </c>
    </row>
    <row r="43" spans="1:10">
      <c r="C43" s="36" t="s">
        <v>99</v>
      </c>
      <c r="D43" s="8">
        <f>COUNTIF($C$2:$C$38,"*배추*")</f>
        <v>4</v>
      </c>
    </row>
  </sheetData>
  <phoneticPr fontId="12" type="noConversion"/>
  <conditionalFormatting sqref="C1:C1048576">
    <cfRule type="containsText" dxfId="12" priority="1" operator="containsText" text="된장">
      <formula>NOT(ISERROR(SEARCH("된장",C1)))</formula>
    </cfRule>
    <cfRule type="containsText" dxfId="11" priority="2" operator="containsText" text="미역">
      <formula>NOT(ISERROR(SEARCH("미역",C1)))</formula>
    </cfRule>
    <cfRule type="containsText" dxfId="10" priority="3" operator="containsText" text="두부">
      <formula>NOT(ISERROR(SEARCH("두부",C1)))</formula>
    </cfRule>
  </conditionalFormatting>
  <conditionalFormatting sqref="C16">
    <cfRule type="duplicateValues" dxfId="9" priority="5"/>
  </conditionalFormatting>
  <conditionalFormatting sqref="C17:C34 C1:C15 C36:C1048576">
    <cfRule type="duplicateValues" dxfId="8" priority="6"/>
  </conditionalFormatting>
  <conditionalFormatting sqref="C35">
    <cfRule type="duplicateValues" dxfId="7" priority="4"/>
  </conditionalFormatting>
  <pageMargins left="0.67000001668930054" right="0.69999998807907104" top="0.30000001192092896" bottom="0.27000001072883606" header="0.20000000298023224" footer="0.20000000298023224"/>
  <pageSetup paperSize="9" scale="85" orientation="landscape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tabColor rgb="FF00B0F0"/>
  </sheetPr>
  <dimension ref="A1:J38"/>
  <sheetViews>
    <sheetView zoomScaleNormal="100" zoomScaleSheetLayoutView="75" workbookViewId="0">
      <pane ySplit="1" topLeftCell="A14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150</v>
      </c>
      <c r="E2" s="5" t="s">
        <v>306</v>
      </c>
      <c r="F2" s="11" t="s">
        <v>178</v>
      </c>
      <c r="G2" s="6">
        <v>459</v>
      </c>
      <c r="H2" s="6">
        <v>68850</v>
      </c>
      <c r="I2" s="6">
        <v>3442.5</v>
      </c>
      <c r="J2" s="6">
        <v>72292.5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150</v>
      </c>
      <c r="E3" s="5" t="s">
        <v>305</v>
      </c>
      <c r="F3" s="11" t="s">
        <v>168</v>
      </c>
      <c r="G3" s="6">
        <v>499</v>
      </c>
      <c r="H3" s="6">
        <v>74850</v>
      </c>
      <c r="I3" s="6">
        <v>3742.5</v>
      </c>
      <c r="J3" s="6">
        <v>78592.5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150</v>
      </c>
      <c r="E4" s="5" t="s">
        <v>39</v>
      </c>
      <c r="F4" s="11" t="s">
        <v>181</v>
      </c>
      <c r="G4" s="6">
        <v>1694</v>
      </c>
      <c r="H4" s="6">
        <v>423500</v>
      </c>
      <c r="I4" s="6">
        <v>21175</v>
      </c>
      <c r="J4" s="6">
        <v>444675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150</v>
      </c>
      <c r="E5" s="5" t="s">
        <v>274</v>
      </c>
      <c r="F5" s="11" t="s">
        <v>132</v>
      </c>
      <c r="G5" s="6">
        <v>513</v>
      </c>
      <c r="H5" s="6">
        <v>76950</v>
      </c>
      <c r="I5" s="6">
        <v>3847.5</v>
      </c>
      <c r="J5" s="6">
        <v>80797.5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150</v>
      </c>
      <c r="E6" s="5" t="s">
        <v>278</v>
      </c>
      <c r="F6" s="12" t="s">
        <v>609</v>
      </c>
      <c r="G6" s="6">
        <v>478</v>
      </c>
      <c r="H6" s="6">
        <v>71700</v>
      </c>
      <c r="I6" s="6">
        <v>3585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150</v>
      </c>
      <c r="E7" s="5" t="s">
        <v>283</v>
      </c>
      <c r="F7" s="11" t="s">
        <v>177</v>
      </c>
      <c r="G7" s="6">
        <v>532</v>
      </c>
      <c r="H7" s="6">
        <v>79800</v>
      </c>
      <c r="I7" s="6">
        <v>3990</v>
      </c>
      <c r="J7" s="6">
        <v>83790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150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150</v>
      </c>
      <c r="E9" s="5" t="s">
        <v>275</v>
      </c>
      <c r="F9" s="11" t="s">
        <v>152</v>
      </c>
      <c r="G9" s="6">
        <v>505</v>
      </c>
      <c r="H9" s="6">
        <v>75750</v>
      </c>
      <c r="I9" s="6">
        <v>3787.5</v>
      </c>
      <c r="J9" s="6">
        <v>79537.5</v>
      </c>
    </row>
    <row r="10" spans="1:10">
      <c r="A10" s="4">
        <f>SUBTOTAL(3,$B$2:B10)</f>
        <v>9</v>
      </c>
      <c r="B10" s="10" t="s">
        <v>297</v>
      </c>
      <c r="C10" s="5" t="s">
        <v>334</v>
      </c>
      <c r="D10" s="6">
        <v>150</v>
      </c>
      <c r="E10" s="5" t="s">
        <v>285</v>
      </c>
      <c r="F10" s="11" t="s">
        <v>159</v>
      </c>
      <c r="G10" s="6">
        <v>498</v>
      </c>
      <c r="H10" s="6">
        <v>74700</v>
      </c>
      <c r="I10" s="6">
        <v>3735</v>
      </c>
      <c r="J10" s="6">
        <v>78435</v>
      </c>
    </row>
    <row r="11" spans="1:10">
      <c r="A11" s="4">
        <f>SUBTOTAL(3,$B$2:B11)</f>
        <v>10</v>
      </c>
      <c r="B11" s="10" t="s">
        <v>297</v>
      </c>
      <c r="C11" s="5" t="s">
        <v>412</v>
      </c>
      <c r="D11" s="6">
        <v>150</v>
      </c>
      <c r="E11" s="5" t="s">
        <v>613</v>
      </c>
      <c r="F11" s="11" t="s">
        <v>128</v>
      </c>
      <c r="G11" s="6">
        <v>509</v>
      </c>
      <c r="H11" s="6">
        <v>76350</v>
      </c>
      <c r="I11" s="6">
        <v>3817.5</v>
      </c>
      <c r="J11" s="6">
        <v>80167.5</v>
      </c>
    </row>
    <row r="12" spans="1:10">
      <c r="A12" s="4">
        <f>SUBTOTAL(3,$B$2:B12)</f>
        <v>11</v>
      </c>
      <c r="B12" s="10" t="s">
        <v>297</v>
      </c>
      <c r="C12" s="5" t="s">
        <v>413</v>
      </c>
      <c r="D12" s="6">
        <v>150</v>
      </c>
      <c r="E12" s="5" t="s">
        <v>282</v>
      </c>
      <c r="F12" s="11"/>
      <c r="G12" s="6"/>
      <c r="H12" s="6"/>
      <c r="I12" s="6"/>
      <c r="J12" s="6"/>
    </row>
    <row r="13" spans="1:10">
      <c r="A13" s="4">
        <f>SUBTOTAL(3,$B$2:B13)</f>
        <v>12</v>
      </c>
      <c r="B13" s="10" t="s">
        <v>297</v>
      </c>
      <c r="C13" s="5" t="s">
        <v>414</v>
      </c>
      <c r="D13" s="6">
        <v>150</v>
      </c>
      <c r="E13" s="5" t="s">
        <v>83</v>
      </c>
      <c r="F13" s="11" t="s">
        <v>131</v>
      </c>
      <c r="G13" s="6">
        <v>482</v>
      </c>
      <c r="H13" s="6">
        <v>72300</v>
      </c>
      <c r="I13" s="6">
        <v>3615</v>
      </c>
      <c r="J13" s="6">
        <v>75915</v>
      </c>
    </row>
    <row r="14" spans="1:10">
      <c r="A14" s="4">
        <f>SUBTOTAL(3,$B$2:B14)</f>
        <v>13</v>
      </c>
      <c r="B14" s="10" t="s">
        <v>297</v>
      </c>
      <c r="C14" s="5" t="s">
        <v>411</v>
      </c>
      <c r="D14" s="6">
        <v>150</v>
      </c>
      <c r="E14" s="5" t="s">
        <v>19</v>
      </c>
      <c r="F14" s="11" t="s">
        <v>602</v>
      </c>
      <c r="G14" s="6">
        <v>64</v>
      </c>
      <c r="H14" s="6">
        <v>12800</v>
      </c>
      <c r="I14" s="6">
        <v>640</v>
      </c>
      <c r="J14" s="6">
        <v>13440</v>
      </c>
    </row>
    <row r="15" spans="1:10">
      <c r="A15" s="4">
        <f>SUBTOTAL(3,$B$2:B15)</f>
        <v>14</v>
      </c>
      <c r="B15" s="10" t="s">
        <v>297</v>
      </c>
      <c r="C15" s="5" t="s">
        <v>338</v>
      </c>
      <c r="D15" s="6">
        <v>150</v>
      </c>
      <c r="E15" s="5" t="s">
        <v>281</v>
      </c>
      <c r="F15" s="11"/>
      <c r="G15" s="6"/>
      <c r="H15" s="6"/>
      <c r="I15" s="6"/>
      <c r="J15" s="6"/>
    </row>
    <row r="16" spans="1:10">
      <c r="A16" s="4">
        <f>SUBTOTAL(3,$B$2:B16)</f>
        <v>15</v>
      </c>
      <c r="B16" s="10" t="s">
        <v>297</v>
      </c>
      <c r="C16" s="5" t="s">
        <v>406</v>
      </c>
      <c r="D16" s="6">
        <v>150</v>
      </c>
      <c r="E16" s="5" t="s">
        <v>393</v>
      </c>
      <c r="F16" s="11" t="s">
        <v>160</v>
      </c>
      <c r="G16" s="6">
        <v>491</v>
      </c>
      <c r="H16" s="6">
        <v>73650</v>
      </c>
      <c r="I16" s="6">
        <v>3682.5</v>
      </c>
      <c r="J16" s="6">
        <v>77332.5</v>
      </c>
    </row>
    <row r="17" spans="1:10">
      <c r="A17" s="4">
        <f>SUBTOTAL(3,$B$2:B17)</f>
        <v>16</v>
      </c>
      <c r="B17" s="10" t="s">
        <v>297</v>
      </c>
      <c r="C17" s="5" t="s">
        <v>321</v>
      </c>
      <c r="D17" s="6">
        <v>150</v>
      </c>
      <c r="E17" s="5" t="s">
        <v>40</v>
      </c>
      <c r="F17" s="11" t="s">
        <v>134</v>
      </c>
      <c r="G17" s="6">
        <v>469</v>
      </c>
      <c r="H17" s="6">
        <v>70350</v>
      </c>
      <c r="I17" s="6">
        <v>3517.5</v>
      </c>
      <c r="J17" s="6">
        <v>73867.5</v>
      </c>
    </row>
    <row r="18" spans="1:10">
      <c r="A18" s="4">
        <f>SUBTOTAL(3,$B$2:B18)</f>
        <v>17</v>
      </c>
      <c r="B18" s="10" t="s">
        <v>297</v>
      </c>
      <c r="C18" s="5" t="s">
        <v>98</v>
      </c>
      <c r="D18" s="6">
        <v>150</v>
      </c>
      <c r="E18" s="5" t="s">
        <v>40</v>
      </c>
      <c r="F18" s="11" t="s">
        <v>134</v>
      </c>
      <c r="G18" s="6">
        <v>469</v>
      </c>
      <c r="H18" s="6">
        <v>70350</v>
      </c>
      <c r="I18" s="6">
        <v>3517.5</v>
      </c>
      <c r="J18" s="6">
        <v>73867.5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150</v>
      </c>
      <c r="E19" s="5" t="s">
        <v>22</v>
      </c>
      <c r="F19" s="11" t="s">
        <v>129</v>
      </c>
      <c r="G19" s="6">
        <v>508</v>
      </c>
      <c r="H19" s="6">
        <v>76200</v>
      </c>
      <c r="I19" s="6">
        <v>3810</v>
      </c>
      <c r="J19" s="6">
        <v>80010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150</v>
      </c>
      <c r="E20" s="5" t="s">
        <v>284</v>
      </c>
      <c r="F20" s="11" t="s">
        <v>172</v>
      </c>
      <c r="G20" s="6">
        <v>496</v>
      </c>
      <c r="H20" s="6">
        <v>74400</v>
      </c>
      <c r="I20" s="6">
        <v>3720</v>
      </c>
      <c r="J20" s="6">
        <v>78120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150</v>
      </c>
      <c r="E21" s="122" t="s">
        <v>667</v>
      </c>
      <c r="F21" s="11" t="s">
        <v>606</v>
      </c>
      <c r="G21" s="6">
        <v>508</v>
      </c>
      <c r="H21" s="6">
        <v>76200</v>
      </c>
      <c r="I21" s="6">
        <v>3810</v>
      </c>
      <c r="J21" s="6">
        <v>80010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150</v>
      </c>
      <c r="E22" s="5" t="s">
        <v>16</v>
      </c>
      <c r="F22" s="11" t="s">
        <v>135</v>
      </c>
      <c r="G22" s="6">
        <v>55</v>
      </c>
      <c r="H22" s="6">
        <v>8250</v>
      </c>
      <c r="I22" s="6">
        <v>412.5</v>
      </c>
      <c r="J22" s="6">
        <v>8662.5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150</v>
      </c>
      <c r="E23" s="5" t="s">
        <v>81</v>
      </c>
      <c r="F23" s="11" t="s">
        <v>133</v>
      </c>
      <c r="G23" s="6">
        <v>507</v>
      </c>
      <c r="H23" s="6">
        <v>76050</v>
      </c>
      <c r="I23" s="6">
        <v>3802.5</v>
      </c>
      <c r="J23" s="6">
        <v>79852.5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150</v>
      </c>
      <c r="E24" s="5" t="s">
        <v>308</v>
      </c>
      <c r="F24" s="11" t="s">
        <v>183</v>
      </c>
      <c r="G24" s="6">
        <v>508</v>
      </c>
      <c r="H24" s="6">
        <v>76200</v>
      </c>
      <c r="I24" s="6">
        <v>3810</v>
      </c>
      <c r="J24" s="6">
        <v>80010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150</v>
      </c>
      <c r="E25" s="5" t="s">
        <v>279</v>
      </c>
      <c r="F25" s="11" t="s">
        <v>146</v>
      </c>
      <c r="G25" s="6">
        <v>389</v>
      </c>
      <c r="H25" s="6">
        <v>58350</v>
      </c>
      <c r="I25" s="6">
        <v>2917.5</v>
      </c>
      <c r="J25" s="6">
        <v>61267.5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150</v>
      </c>
      <c r="E26" s="5" t="s">
        <v>611</v>
      </c>
      <c r="F26" s="11" t="s">
        <v>174</v>
      </c>
      <c r="G26" s="6">
        <v>455</v>
      </c>
      <c r="H26" s="6">
        <v>113750</v>
      </c>
      <c r="I26" s="6">
        <v>5687.5</v>
      </c>
      <c r="J26" s="6">
        <v>119437.5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150</v>
      </c>
      <c r="E27" s="5" t="s">
        <v>614</v>
      </c>
      <c r="F27" s="11" t="s">
        <v>135</v>
      </c>
      <c r="G27" s="6">
        <v>34</v>
      </c>
      <c r="H27" s="6">
        <v>5100</v>
      </c>
      <c r="I27" s="6">
        <v>255</v>
      </c>
      <c r="J27" s="6">
        <v>5355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150</v>
      </c>
      <c r="E28" s="5" t="s">
        <v>21</v>
      </c>
      <c r="F28" s="11" t="s">
        <v>165</v>
      </c>
      <c r="G28" s="6">
        <v>466</v>
      </c>
      <c r="H28" s="6">
        <v>69900</v>
      </c>
      <c r="I28" s="6">
        <v>3495</v>
      </c>
      <c r="J28" s="6">
        <v>73395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150</v>
      </c>
      <c r="E29" s="5" t="s">
        <v>287</v>
      </c>
      <c r="F29" s="11" t="s">
        <v>157</v>
      </c>
      <c r="G29" s="6">
        <v>479</v>
      </c>
      <c r="H29" s="6">
        <v>71850</v>
      </c>
      <c r="I29" s="6">
        <v>3592.5</v>
      </c>
      <c r="J29" s="6">
        <v>75442.5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150</v>
      </c>
      <c r="E30" s="5" t="s">
        <v>309</v>
      </c>
      <c r="F30" s="11" t="s">
        <v>601</v>
      </c>
      <c r="G30" s="6">
        <v>480</v>
      </c>
      <c r="H30" s="6">
        <v>72000</v>
      </c>
      <c r="I30" s="6">
        <v>3600</v>
      </c>
      <c r="J30" s="6">
        <v>75600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150</v>
      </c>
      <c r="E31" s="5" t="s">
        <v>219</v>
      </c>
      <c r="F31" s="11" t="s">
        <v>163</v>
      </c>
      <c r="G31" s="6">
        <v>511</v>
      </c>
      <c r="H31" s="6">
        <v>76650</v>
      </c>
      <c r="I31" s="6">
        <v>3832.5</v>
      </c>
      <c r="J31" s="6">
        <v>80482.5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150</v>
      </c>
      <c r="E32" s="5" t="s">
        <v>286</v>
      </c>
      <c r="F32" s="12" t="s">
        <v>138</v>
      </c>
      <c r="G32" s="6">
        <v>482</v>
      </c>
      <c r="H32" s="6">
        <v>72300</v>
      </c>
      <c r="I32" s="5"/>
      <c r="J32" s="5"/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150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150</v>
      </c>
      <c r="E34" s="5" t="s">
        <v>280</v>
      </c>
      <c r="F34" s="11" t="s">
        <v>185</v>
      </c>
      <c r="G34" s="6">
        <v>536</v>
      </c>
      <c r="H34" s="6">
        <v>134000</v>
      </c>
      <c r="I34" s="6">
        <v>6700</v>
      </c>
      <c r="J34" s="6">
        <v>140700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150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150</v>
      </c>
      <c r="E36" s="5" t="s">
        <v>615</v>
      </c>
      <c r="F36" s="11" t="s">
        <v>125</v>
      </c>
      <c r="G36" s="6">
        <v>468</v>
      </c>
      <c r="H36" s="6">
        <v>70200</v>
      </c>
      <c r="I36" s="6">
        <v>3510</v>
      </c>
      <c r="J36" s="6">
        <v>73710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150</v>
      </c>
      <c r="E37" s="5" t="s">
        <v>272</v>
      </c>
      <c r="F37" s="11" t="s">
        <v>130</v>
      </c>
      <c r="G37" s="6">
        <v>57</v>
      </c>
      <c r="H37" s="6">
        <v>8550</v>
      </c>
      <c r="I37" s="6">
        <v>427.5</v>
      </c>
      <c r="J37" s="6">
        <v>8977.5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150</v>
      </c>
      <c r="E38" s="5" t="s">
        <v>273</v>
      </c>
      <c r="F38" s="12" t="s">
        <v>149</v>
      </c>
      <c r="G38" s="6">
        <v>509</v>
      </c>
      <c r="H38" s="6">
        <v>76350</v>
      </c>
      <c r="I38" s="6">
        <v>3817.5</v>
      </c>
      <c r="J38" s="5"/>
    </row>
  </sheetData>
  <sortState xmlns:xlrd2="http://schemas.microsoft.com/office/spreadsheetml/2017/richdata2" ref="A2:J35">
    <sortCondition ref="C2:C35"/>
    <sortCondition descending="1" ref="D2:D35"/>
  </sortState>
  <phoneticPr fontId="12" type="noConversion"/>
  <conditionalFormatting sqref="C12">
    <cfRule type="duplicateValues" dxfId="6" priority="3"/>
  </conditionalFormatting>
  <conditionalFormatting sqref="C18">
    <cfRule type="duplicateValues" dxfId="5" priority="2"/>
  </conditionalFormatting>
  <conditionalFormatting sqref="C33">
    <cfRule type="duplicateValues" dxfId="4" priority="4"/>
  </conditionalFormatting>
  <conditionalFormatting sqref="C34 C1:C11 C13:C17 C19:C32 C36:C1048576">
    <cfRule type="duplicateValues" dxfId="3" priority="5"/>
  </conditionalFormatting>
  <conditionalFormatting sqref="C35">
    <cfRule type="duplicateValues" dxfId="2" priority="1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rgb="FFFFC000"/>
  </sheetPr>
  <dimension ref="A1:J1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7.25" style="13" customWidth="1"/>
    <col min="3" max="3" width="15.5" customWidth="1"/>
    <col min="4" max="4" width="10.625" style="8" customWidth="1"/>
    <col min="5" max="5" width="66.37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4" t="s">
        <v>295</v>
      </c>
      <c r="D1" s="15" t="s">
        <v>327</v>
      </c>
      <c r="E1" s="14" t="s">
        <v>372</v>
      </c>
      <c r="F1" s="14" t="s">
        <v>311</v>
      </c>
      <c r="G1" s="16" t="s">
        <v>329</v>
      </c>
      <c r="H1" s="15" t="s">
        <v>324</v>
      </c>
      <c r="I1" s="15" t="s">
        <v>312</v>
      </c>
      <c r="J1" s="15" t="s">
        <v>326</v>
      </c>
    </row>
    <row r="2" spans="1:10">
      <c r="A2" s="4">
        <f>SUBTOTAL(3,$B$2:B2)</f>
        <v>1</v>
      </c>
      <c r="B2" s="10" t="s">
        <v>296</v>
      </c>
      <c r="C2" s="5" t="s">
        <v>499</v>
      </c>
      <c r="D2" s="6">
        <v>140</v>
      </c>
      <c r="E2" s="5" t="s">
        <v>72</v>
      </c>
      <c r="F2" s="12" t="s">
        <v>149</v>
      </c>
      <c r="G2" s="6">
        <v>509</v>
      </c>
      <c r="H2" s="6">
        <v>71260</v>
      </c>
      <c r="I2" s="6">
        <v>3563</v>
      </c>
      <c r="J2" s="5"/>
    </row>
    <row r="3" spans="1:10">
      <c r="A3" s="4">
        <f>SUBTOTAL(3,$B$2:B3)</f>
        <v>2</v>
      </c>
      <c r="B3" s="10" t="s">
        <v>296</v>
      </c>
      <c r="C3" s="5" t="s">
        <v>505</v>
      </c>
      <c r="D3" s="6">
        <v>140</v>
      </c>
      <c r="E3" s="5" t="s">
        <v>73</v>
      </c>
      <c r="F3" s="11" t="s">
        <v>163</v>
      </c>
      <c r="G3" s="6">
        <v>511</v>
      </c>
      <c r="H3" s="6">
        <v>71540</v>
      </c>
      <c r="I3" s="6">
        <v>3577</v>
      </c>
      <c r="J3" s="6">
        <v>75117</v>
      </c>
    </row>
    <row r="4" spans="1:10">
      <c r="A4" s="4">
        <f>SUBTOTAL(3,$B$2:B4)</f>
        <v>3</v>
      </c>
      <c r="B4" s="10" t="s">
        <v>296</v>
      </c>
      <c r="C4" s="5" t="s">
        <v>356</v>
      </c>
      <c r="D4" s="6">
        <v>120</v>
      </c>
      <c r="E4" s="5" t="s">
        <v>71</v>
      </c>
      <c r="F4" s="11" t="s">
        <v>135</v>
      </c>
      <c r="G4" s="6">
        <v>513</v>
      </c>
      <c r="H4" s="6">
        <v>61560</v>
      </c>
      <c r="I4" s="6">
        <v>3078</v>
      </c>
      <c r="J4" s="6">
        <v>64638</v>
      </c>
    </row>
    <row r="5" spans="1:10">
      <c r="A5" s="4">
        <f>SUBTOTAL(3,$B$2:B5)</f>
        <v>4</v>
      </c>
      <c r="B5" s="10" t="s">
        <v>296</v>
      </c>
      <c r="C5" s="5" t="s">
        <v>344</v>
      </c>
      <c r="D5" s="6">
        <v>250</v>
      </c>
      <c r="E5" s="5" t="s">
        <v>17</v>
      </c>
      <c r="F5" s="11" t="s">
        <v>179</v>
      </c>
      <c r="G5" s="6">
        <v>50</v>
      </c>
      <c r="H5" s="6">
        <v>12500</v>
      </c>
      <c r="I5" s="6">
        <v>625</v>
      </c>
      <c r="J5" s="6">
        <v>13125</v>
      </c>
    </row>
    <row r="6" spans="1:10">
      <c r="A6" s="4">
        <f>SUBTOTAL(3,$B$2:B6)</f>
        <v>5</v>
      </c>
      <c r="B6" s="10" t="s">
        <v>296</v>
      </c>
      <c r="C6" s="5" t="s">
        <v>500</v>
      </c>
      <c r="D6" s="6">
        <v>140</v>
      </c>
      <c r="E6" s="5" t="s">
        <v>77</v>
      </c>
      <c r="F6" s="11" t="s">
        <v>131</v>
      </c>
      <c r="G6" s="6">
        <v>482</v>
      </c>
      <c r="H6" s="6">
        <v>67480</v>
      </c>
      <c r="I6" s="6">
        <v>3374</v>
      </c>
      <c r="J6" s="6">
        <v>70854</v>
      </c>
    </row>
    <row r="7" spans="1:10">
      <c r="A7" s="4">
        <f>SUBTOTAL(3,$B$2:B7)</f>
        <v>6</v>
      </c>
      <c r="B7" s="10" t="s">
        <v>296</v>
      </c>
      <c r="C7" s="5" t="s">
        <v>573</v>
      </c>
      <c r="D7" s="6">
        <v>50</v>
      </c>
      <c r="E7" s="5" t="s">
        <v>386</v>
      </c>
      <c r="F7" s="11" t="s">
        <v>147</v>
      </c>
      <c r="G7" s="6">
        <v>0</v>
      </c>
      <c r="H7" s="6">
        <v>0</v>
      </c>
      <c r="I7" s="6">
        <v>0</v>
      </c>
      <c r="J7" s="6">
        <v>0</v>
      </c>
    </row>
    <row r="8" spans="1:10">
      <c r="A8" s="4">
        <f>SUBTOTAL(3,$B$2:B8)</f>
        <v>7</v>
      </c>
      <c r="B8" s="10" t="s">
        <v>296</v>
      </c>
      <c r="C8" s="5" t="s">
        <v>496</v>
      </c>
      <c r="D8" s="6">
        <v>140</v>
      </c>
      <c r="E8" s="5" t="s">
        <v>74</v>
      </c>
      <c r="F8" s="11" t="s">
        <v>142</v>
      </c>
      <c r="G8" s="6">
        <v>513</v>
      </c>
      <c r="H8" s="6">
        <v>71820</v>
      </c>
      <c r="I8" s="6">
        <v>3591</v>
      </c>
      <c r="J8" s="6">
        <v>75411</v>
      </c>
    </row>
    <row r="9" spans="1:10">
      <c r="A9" s="4">
        <f>SUBTOTAL(3,$B$2:B9)</f>
        <v>8</v>
      </c>
      <c r="B9" s="10" t="s">
        <v>296</v>
      </c>
      <c r="C9" s="5" t="s">
        <v>590</v>
      </c>
      <c r="D9" s="6">
        <v>200</v>
      </c>
      <c r="E9" s="5" t="s">
        <v>255</v>
      </c>
      <c r="F9" s="11" t="s">
        <v>170</v>
      </c>
      <c r="G9" s="6">
        <v>62</v>
      </c>
      <c r="H9" s="6">
        <v>12400</v>
      </c>
      <c r="I9" s="6">
        <v>620</v>
      </c>
      <c r="J9" s="6">
        <v>13020</v>
      </c>
    </row>
    <row r="10" spans="1:10">
      <c r="A10" s="4">
        <f>SUBTOTAL(3,$B$2:B10)</f>
        <v>9</v>
      </c>
      <c r="B10" s="10" t="s">
        <v>296</v>
      </c>
      <c r="C10" s="5" t="s">
        <v>503</v>
      </c>
      <c r="D10" s="6">
        <v>120</v>
      </c>
      <c r="E10" s="5" t="s">
        <v>78</v>
      </c>
      <c r="F10" s="11" t="s">
        <v>155</v>
      </c>
      <c r="G10" s="6">
        <v>500</v>
      </c>
      <c r="H10" s="6">
        <v>60000</v>
      </c>
      <c r="I10" s="6">
        <v>3000</v>
      </c>
      <c r="J10" s="6">
        <v>63000</v>
      </c>
    </row>
    <row r="11" spans="1:10">
      <c r="A11" s="4">
        <f>SUBTOTAL(3,$B$2:B11)</f>
        <v>10</v>
      </c>
      <c r="B11" s="10" t="s">
        <v>296</v>
      </c>
      <c r="C11" s="5" t="s">
        <v>511</v>
      </c>
      <c r="D11" s="6">
        <v>140</v>
      </c>
      <c r="E11" s="5" t="s">
        <v>75</v>
      </c>
      <c r="F11" s="11"/>
      <c r="G11" s="6"/>
      <c r="H11" s="6"/>
      <c r="I11" s="6"/>
      <c r="J11" s="6"/>
    </row>
    <row r="12" spans="1:10">
      <c r="A12" s="4">
        <f>SUBTOTAL(3,$B$2:B12)</f>
        <v>11</v>
      </c>
      <c r="B12" s="10" t="s">
        <v>296</v>
      </c>
      <c r="C12" s="5" t="s">
        <v>501</v>
      </c>
      <c r="D12" s="6">
        <v>140</v>
      </c>
      <c r="E12" s="5" t="s">
        <v>76</v>
      </c>
      <c r="F12" s="11" t="s">
        <v>159</v>
      </c>
      <c r="G12" s="6">
        <v>498</v>
      </c>
      <c r="H12" s="6">
        <v>69720</v>
      </c>
      <c r="I12" s="6">
        <v>3486</v>
      </c>
      <c r="J12" s="6">
        <v>73206</v>
      </c>
    </row>
    <row r="13" spans="1:10">
      <c r="A13" s="4">
        <f>SUBTOTAL(3,$B$2:B13)</f>
        <v>12</v>
      </c>
      <c r="B13" s="10" t="s">
        <v>296</v>
      </c>
      <c r="C13" s="5" t="s">
        <v>292</v>
      </c>
      <c r="D13" s="6">
        <v>140</v>
      </c>
      <c r="E13" s="5" t="s">
        <v>325</v>
      </c>
      <c r="F13" s="11" t="s">
        <v>169</v>
      </c>
      <c r="G13" s="6">
        <v>513</v>
      </c>
      <c r="H13" s="6">
        <v>71820</v>
      </c>
      <c r="I13" s="6">
        <v>3591</v>
      </c>
      <c r="J13" s="6">
        <v>75411</v>
      </c>
    </row>
  </sheetData>
  <phoneticPr fontId="12" type="noConversion"/>
  <conditionalFormatting sqref="C4">
    <cfRule type="duplicateValues" dxfId="1" priority="1"/>
  </conditionalFormatting>
  <conditionalFormatting sqref="C5:C1048576 C1:C3">
    <cfRule type="duplicateValues" dxfId="0" priority="2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3">
    <tabColor rgb="FF92D050"/>
  </sheetPr>
  <dimension ref="A1:D12"/>
  <sheetViews>
    <sheetView zoomScaleNormal="100" zoomScaleSheetLayoutView="75" workbookViewId="0">
      <selection activeCell="G13" sqref="G13"/>
    </sheetView>
  </sheetViews>
  <sheetFormatPr defaultColWidth="9" defaultRowHeight="16.5"/>
  <cols>
    <col min="1" max="1" width="4.875" style="13" customWidth="1"/>
    <col min="2" max="2" width="159.625" customWidth="1"/>
    <col min="4" max="4" width="13.125" customWidth="1"/>
  </cols>
  <sheetData>
    <row r="1" spans="1:4" ht="19.5" customHeight="1">
      <c r="A1" s="20"/>
      <c r="B1" s="21" t="s">
        <v>187</v>
      </c>
      <c r="C1" s="22" t="s">
        <v>336</v>
      </c>
      <c r="D1" s="18">
        <v>43384</v>
      </c>
    </row>
    <row r="2" spans="1:4">
      <c r="A2" s="19">
        <f>SUBTOTAL(3,$B$2:B2)</f>
        <v>1</v>
      </c>
      <c r="B2" t="s">
        <v>84</v>
      </c>
      <c r="C2" s="22" t="s">
        <v>353</v>
      </c>
      <c r="D2" s="18">
        <v>43550</v>
      </c>
    </row>
    <row r="3" spans="1:4">
      <c r="A3" s="19">
        <f>SUBTOTAL(3,$B$2:B3)</f>
        <v>2</v>
      </c>
      <c r="B3" t="s">
        <v>80</v>
      </c>
    </row>
    <row r="4" spans="1:4">
      <c r="A4" s="19">
        <f>SUBTOTAL(3,$B$2:B4)</f>
        <v>3</v>
      </c>
      <c r="B4" t="s">
        <v>221</v>
      </c>
    </row>
    <row r="5" spans="1:4">
      <c r="A5" s="19">
        <f>SUBTOTAL(3,$B$2:B5)</f>
        <v>4</v>
      </c>
      <c r="B5" t="s">
        <v>238</v>
      </c>
    </row>
    <row r="6" spans="1:4">
      <c r="A6" s="19">
        <f>SUBTOTAL(3,$B$2:B6)</f>
        <v>5</v>
      </c>
      <c r="B6" t="s">
        <v>220</v>
      </c>
    </row>
    <row r="7" spans="1:4">
      <c r="A7" s="19">
        <f>SUBTOTAL(3,$B$2:B7)</f>
        <v>6</v>
      </c>
      <c r="B7" t="s">
        <v>222</v>
      </c>
    </row>
    <row r="8" spans="1:4">
      <c r="A8" s="19">
        <f>SUBTOTAL(3,$B$2:B8)</f>
        <v>7</v>
      </c>
      <c r="B8" t="s">
        <v>310</v>
      </c>
    </row>
    <row r="9" spans="1:4">
      <c r="A9" s="19">
        <f>SUBTOTAL(3,$B$2:B9)</f>
        <v>8</v>
      </c>
      <c r="B9" t="s">
        <v>215</v>
      </c>
    </row>
    <row r="10" spans="1:4">
      <c r="A10" s="19">
        <f>SUBTOTAL(3,$B$2:B10)</f>
        <v>9</v>
      </c>
      <c r="B10" t="s">
        <v>223</v>
      </c>
    </row>
    <row r="11" spans="1:4">
      <c r="A11" s="19">
        <f>SUBTOTAL(3,$B$2:B11)</f>
        <v>10</v>
      </c>
      <c r="B11" t="s">
        <v>298</v>
      </c>
    </row>
    <row r="12" spans="1:4">
      <c r="A12" s="19">
        <f>SUBTOTAL(3,$B$2:B12)</f>
        <v>11</v>
      </c>
      <c r="B12" t="s">
        <v>188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30</vt:i4>
      </vt:variant>
      <vt:variant>
        <vt:lpstr>이름 지정된 범위</vt:lpstr>
      </vt:variant>
      <vt:variant>
        <vt:i4>36</vt:i4>
      </vt:variant>
    </vt:vector>
  </HeadingPairs>
  <TitlesOfParts>
    <vt:vector size="66" baseType="lpstr">
      <vt:lpstr>식단표 (알레르기표기) (2)</vt:lpstr>
      <vt:lpstr>식단표 (알레르기표기)</vt:lpstr>
      <vt:lpstr>온라인_반찬</vt:lpstr>
      <vt:lpstr>01-02</vt:lpstr>
      <vt:lpstr>01-05</vt:lpstr>
      <vt:lpstr>01-06</vt:lpstr>
      <vt:lpstr>01-07</vt:lpstr>
      <vt:lpstr>01-08</vt:lpstr>
      <vt:lpstr>01-09</vt:lpstr>
      <vt:lpstr>01-12</vt:lpstr>
      <vt:lpstr>01-13</vt:lpstr>
      <vt:lpstr>01-14</vt:lpstr>
      <vt:lpstr>01-15</vt:lpstr>
      <vt:lpstr>01-16</vt:lpstr>
      <vt:lpstr>01-19</vt:lpstr>
      <vt:lpstr>01-20</vt:lpstr>
      <vt:lpstr>01-21</vt:lpstr>
      <vt:lpstr>01-22</vt:lpstr>
      <vt:lpstr>01-23</vt:lpstr>
      <vt:lpstr>01-26</vt:lpstr>
      <vt:lpstr>01-27</vt:lpstr>
      <vt:lpstr>01-28</vt:lpstr>
      <vt:lpstr>01-29</vt:lpstr>
      <vt:lpstr>01-30</vt:lpstr>
      <vt:lpstr>01-02 (2)</vt:lpstr>
      <vt:lpstr>급식_반찬</vt:lpstr>
      <vt:lpstr>온라인_국</vt:lpstr>
      <vt:lpstr>급식_국</vt:lpstr>
      <vt:lpstr>급식_밥</vt:lpstr>
      <vt:lpstr>HowToUse</vt:lpstr>
      <vt:lpstr>'01-02'!Print_Area</vt:lpstr>
      <vt:lpstr>'01-02 (2)'!Print_Area</vt:lpstr>
      <vt:lpstr>'01-05'!Print_Area</vt:lpstr>
      <vt:lpstr>'01-06'!Print_Area</vt:lpstr>
      <vt:lpstr>'01-07'!Print_Area</vt:lpstr>
      <vt:lpstr>'01-08'!Print_Area</vt:lpstr>
      <vt:lpstr>'01-09'!Print_Area</vt:lpstr>
      <vt:lpstr>'01-12'!Print_Area</vt:lpstr>
      <vt:lpstr>'01-13'!Print_Area</vt:lpstr>
      <vt:lpstr>'01-14'!Print_Area</vt:lpstr>
      <vt:lpstr>'01-15'!Print_Area</vt:lpstr>
      <vt:lpstr>'01-16'!Print_Area</vt:lpstr>
      <vt:lpstr>'01-19'!Print_Area</vt:lpstr>
      <vt:lpstr>'01-20'!Print_Area</vt:lpstr>
      <vt:lpstr>'01-21'!Print_Area</vt:lpstr>
      <vt:lpstr>'01-22'!Print_Area</vt:lpstr>
      <vt:lpstr>'01-23'!Print_Area</vt:lpstr>
      <vt:lpstr>'01-26'!Print_Area</vt:lpstr>
      <vt:lpstr>'01-27'!Print_Area</vt:lpstr>
      <vt:lpstr>'01-28'!Print_Area</vt:lpstr>
      <vt:lpstr>'01-29'!Print_Area</vt:lpstr>
      <vt:lpstr>'01-30'!Print_Area</vt:lpstr>
      <vt:lpstr>급식_반찬!Print_Area</vt:lpstr>
      <vt:lpstr>'식단표 (알레르기표기)'!Print_Area</vt:lpstr>
      <vt:lpstr>'식단표 (알레르기표기) (2)'!Print_Area</vt:lpstr>
      <vt:lpstr>온라인_국!Print_Area</vt:lpstr>
      <vt:lpstr>온라인_반찬!Print_Area</vt:lpstr>
      <vt:lpstr>온라인_반찬!Print_Titles</vt:lpstr>
      <vt:lpstr>급식국</vt:lpstr>
      <vt:lpstr>급식밥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2026-01-27T23:41:28Z</cp:lastPrinted>
  <dcterms:created xsi:type="dcterms:W3CDTF">2018-09-21T05:42:35Z</dcterms:created>
  <dcterms:modified xsi:type="dcterms:W3CDTF">2026-01-28T07:07:18Z</dcterms:modified>
  <cp:version>0906.0200.01</cp:version>
</cp:coreProperties>
</file>