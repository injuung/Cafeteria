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63A1DDAD-CA96-48A6-BFDC-CD3D6DCA84F2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03-03" sheetId="1288" r:id="rId4"/>
    <sheet name="03-04" sheetId="1324" r:id="rId5"/>
    <sheet name="03-05" sheetId="1323" r:id="rId6"/>
    <sheet name="03-06" sheetId="1322" r:id="rId7"/>
    <sheet name="03-09" sheetId="1321" r:id="rId8"/>
    <sheet name="03-10" sheetId="1320" r:id="rId9"/>
    <sheet name="03-11" sheetId="1319" r:id="rId10"/>
    <sheet name="03-12" sheetId="1318" r:id="rId11"/>
    <sheet name="03-13" sheetId="1317" r:id="rId12"/>
    <sheet name="03-16" sheetId="1316" r:id="rId13"/>
    <sheet name="03-17" sheetId="1315" r:id="rId14"/>
    <sheet name="03-18" sheetId="1314" r:id="rId15"/>
    <sheet name="03-19" sheetId="1313" r:id="rId16"/>
    <sheet name="03-20" sheetId="1312" r:id="rId17"/>
    <sheet name="03-23" sheetId="1311" r:id="rId18"/>
    <sheet name="03-24" sheetId="1310" r:id="rId19"/>
    <sheet name="03-25" sheetId="1309" r:id="rId20"/>
    <sheet name="03-26" sheetId="1308" r:id="rId21"/>
    <sheet name="03-27" sheetId="1307" r:id="rId22"/>
    <sheet name="03-30" sheetId="1306" r:id="rId23"/>
    <sheet name="03-31" sheetId="1305" r:id="rId24"/>
    <sheet name="급식_반찬" sheetId="22" r:id="rId25"/>
    <sheet name="온라인_국" sheetId="23" r:id="rId26"/>
    <sheet name="급식_국" sheetId="24" r:id="rId27"/>
    <sheet name="급식_밥" sheetId="25" r:id="rId28"/>
    <sheet name="HowToUse" sheetId="26" r:id="rId29"/>
  </sheets>
  <externalReferences>
    <externalReference r:id="rId30"/>
  </externalReferences>
  <definedNames>
    <definedName name="_xlnm.Print_Area" localSheetId="3">'03-03'!$A$1:$L$19</definedName>
    <definedName name="_xlnm.Print_Area" localSheetId="4">'03-04'!$A$1:$L$17</definedName>
    <definedName name="_xlnm.Print_Area" localSheetId="5">'03-05'!$A$1:$L$17</definedName>
    <definedName name="_xlnm.Print_Area" localSheetId="6">'03-06'!$A$1:$L$17</definedName>
    <definedName name="_xlnm.Print_Area" localSheetId="7">'03-09'!$A$1:$L$17</definedName>
    <definedName name="_xlnm.Print_Area" localSheetId="8">'03-10'!$A$1:$L$17</definedName>
    <definedName name="_xlnm.Print_Area" localSheetId="9">'03-11'!$A$1:$L$17</definedName>
    <definedName name="_xlnm.Print_Area" localSheetId="10">'03-12'!$A$1:$L$16</definedName>
    <definedName name="_xlnm.Print_Area" localSheetId="11">'03-13'!$A$1:$L$16</definedName>
    <definedName name="_xlnm.Print_Area" localSheetId="12">'03-16'!$A$1:$L$19</definedName>
    <definedName name="_xlnm.Print_Area" localSheetId="13">'03-17'!$A$1:$L$17</definedName>
    <definedName name="_xlnm.Print_Area" localSheetId="14">'03-18'!$A$1:$L$18</definedName>
    <definedName name="_xlnm.Print_Area" localSheetId="15">'03-19'!$A$1:$L$17</definedName>
    <definedName name="_xlnm.Print_Area" localSheetId="16">'03-20'!$A$1:$L$19</definedName>
    <definedName name="_xlnm.Print_Area" localSheetId="17">'03-23'!$A$1:$L$17</definedName>
    <definedName name="_xlnm.Print_Area" localSheetId="18">'03-24'!$A$1:$L$19</definedName>
    <definedName name="_xlnm.Print_Area" localSheetId="19">'03-25'!$A$1:$L$17</definedName>
    <definedName name="_xlnm.Print_Area" localSheetId="20">'03-26'!$A$1:$L$19</definedName>
    <definedName name="_xlnm.Print_Area" localSheetId="21">'03-27'!$A$1:$L$17</definedName>
    <definedName name="_xlnm.Print_Area" localSheetId="22">'03-30'!$A$1:$L$17</definedName>
    <definedName name="_xlnm.Print_Area" localSheetId="23">'03-31'!$A$1:$L$17</definedName>
    <definedName name="_xlnm.Print_Area" localSheetId="24">급식_반찬!$A$1:$E$192</definedName>
    <definedName name="_xlnm.Print_Area" localSheetId="0">'식단표 (알레르기표기) (석식)'!$A$1:$K$52</definedName>
    <definedName name="_xlnm.Print_Area" localSheetId="1">'식단표 (알레르기표기)(유아식)'!$A$1:$K$52</definedName>
    <definedName name="_xlnm.Print_Area" localSheetId="25">온라인_국!$A$1:$E$38</definedName>
    <definedName name="_xlnm.Print_Area" localSheetId="2">온라인_반찬!$A$1:$H$89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온라인_반찬!$C$125:$C$287</definedName>
    <definedName name="반찬2">온라인_반찬!$C$288:$C$385</definedName>
    <definedName name="반찬3">온라인_반찬!$C$370:$C$419</definedName>
    <definedName name="반찬4">온라인_반찬!$C$337:$C$483</definedName>
    <definedName name="온라인국">온라인_반찬!$C$2:$C$89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308" l="1"/>
  <c r="H14" i="1308"/>
  <c r="G14" i="1308"/>
  <c r="L6" i="1308"/>
  <c r="H6" i="1308"/>
  <c r="G6" i="1308"/>
  <c r="L15" i="1310"/>
  <c r="H15" i="1310"/>
  <c r="G15" i="1310"/>
  <c r="L13" i="1312" l="1"/>
  <c r="H13" i="1312"/>
  <c r="G13" i="1312"/>
  <c r="L16" i="1314" l="1"/>
  <c r="H16" i="1314"/>
  <c r="G16" i="1314"/>
  <c r="G9" i="1316" l="1"/>
  <c r="G16" i="1316"/>
  <c r="G17" i="1316"/>
  <c r="G18" i="1316"/>
  <c r="G20" i="1316"/>
  <c r="G21" i="1316"/>
  <c r="G22" i="1316"/>
  <c r="L14" i="1316"/>
  <c r="H14" i="1316"/>
  <c r="G14" i="1316"/>
  <c r="L6" i="1316"/>
  <c r="H6" i="1316"/>
  <c r="G6" i="1316"/>
  <c r="G7" i="1322" l="1"/>
  <c r="L5" i="1324" l="1"/>
  <c r="L7" i="1317" l="1"/>
  <c r="H7" i="1317"/>
  <c r="G7" i="1317"/>
  <c r="G12" i="1318"/>
  <c r="H12" i="1318"/>
  <c r="L12" i="1318"/>
  <c r="L14" i="1288" l="1"/>
  <c r="H14" i="1288"/>
  <c r="G14" i="1288"/>
  <c r="L6" i="1288"/>
  <c r="H6" i="1288"/>
  <c r="G6" i="1288"/>
  <c r="L23" i="1324"/>
  <c r="H23" i="1324"/>
  <c r="G23" i="1324"/>
  <c r="L22" i="1324"/>
  <c r="H22" i="1324"/>
  <c r="G22" i="1324"/>
  <c r="L21" i="1324"/>
  <c r="H21" i="1324"/>
  <c r="G21" i="1324"/>
  <c r="L20" i="1324"/>
  <c r="H20" i="1324"/>
  <c r="G20" i="1324"/>
  <c r="L19" i="1324"/>
  <c r="H19" i="1324"/>
  <c r="G19" i="1324"/>
  <c r="L18" i="1324"/>
  <c r="H18" i="1324"/>
  <c r="G18" i="1324"/>
  <c r="L16" i="1324"/>
  <c r="H16" i="1324"/>
  <c r="G16" i="1324"/>
  <c r="L15" i="1324"/>
  <c r="H15" i="1324"/>
  <c r="G15" i="1324"/>
  <c r="L14" i="1324"/>
  <c r="H14" i="1324"/>
  <c r="G14" i="1324"/>
  <c r="L13" i="1324"/>
  <c r="H13" i="1324"/>
  <c r="G13" i="1324"/>
  <c r="L12" i="1324"/>
  <c r="H12" i="1324"/>
  <c r="G12" i="1324"/>
  <c r="L11" i="1324"/>
  <c r="L10" i="1324"/>
  <c r="H10" i="1324"/>
  <c r="G10" i="1324"/>
  <c r="L8" i="1324"/>
  <c r="H8" i="1324"/>
  <c r="G8" i="1324"/>
  <c r="L7" i="1324"/>
  <c r="H7" i="1324"/>
  <c r="G7" i="1324"/>
  <c r="L6" i="1324"/>
  <c r="H6" i="1324"/>
  <c r="G6" i="1324"/>
  <c r="H5" i="1324"/>
  <c r="G5" i="1324"/>
  <c r="L4" i="1324"/>
  <c r="H4" i="1324"/>
  <c r="G4" i="1324"/>
  <c r="L3" i="1324"/>
  <c r="H3" i="1324"/>
  <c r="G3" i="1324"/>
  <c r="L23" i="1323"/>
  <c r="H23" i="1323"/>
  <c r="G23" i="1323"/>
  <c r="L22" i="1323"/>
  <c r="H22" i="1323"/>
  <c r="G22" i="1323"/>
  <c r="L21" i="1323"/>
  <c r="H21" i="1323"/>
  <c r="G21" i="1323"/>
  <c r="L20" i="1323"/>
  <c r="H20" i="1323"/>
  <c r="G20" i="1323"/>
  <c r="L19" i="1323"/>
  <c r="H19" i="1323"/>
  <c r="G19" i="1323"/>
  <c r="L18" i="1323"/>
  <c r="H18" i="1323"/>
  <c r="G18" i="1323"/>
  <c r="L16" i="1323"/>
  <c r="H16" i="1323"/>
  <c r="L15" i="1323"/>
  <c r="H15" i="1323"/>
  <c r="G15" i="1323"/>
  <c r="L14" i="1323"/>
  <c r="H14" i="1323"/>
  <c r="G14" i="1323"/>
  <c r="L13" i="1323"/>
  <c r="H13" i="1323"/>
  <c r="G13" i="1323"/>
  <c r="L12" i="1323"/>
  <c r="H12" i="1323"/>
  <c r="G12" i="1323"/>
  <c r="L11" i="1323"/>
  <c r="H11" i="1323"/>
  <c r="G11" i="1323"/>
  <c r="L10" i="1323"/>
  <c r="H10" i="1323"/>
  <c r="G10" i="1323"/>
  <c r="L8" i="1323"/>
  <c r="H8" i="1323"/>
  <c r="G8" i="1323"/>
  <c r="L7" i="1323"/>
  <c r="H7" i="1323"/>
  <c r="G7" i="1323"/>
  <c r="L6" i="1323"/>
  <c r="H6" i="1323"/>
  <c r="G6" i="1323"/>
  <c r="L5" i="1323"/>
  <c r="H5" i="1323"/>
  <c r="G5" i="1323"/>
  <c r="L4" i="1323"/>
  <c r="H4" i="1323"/>
  <c r="G4" i="1323"/>
  <c r="L3" i="1323"/>
  <c r="H3" i="1323"/>
  <c r="G3" i="1323"/>
  <c r="L23" i="1322"/>
  <c r="H23" i="1322"/>
  <c r="G23" i="1322"/>
  <c r="L22" i="1322"/>
  <c r="H22" i="1322"/>
  <c r="G22" i="1322"/>
  <c r="L21" i="1322"/>
  <c r="H21" i="1322"/>
  <c r="G21" i="1322"/>
  <c r="L20" i="1322"/>
  <c r="H20" i="1322"/>
  <c r="G20" i="1322"/>
  <c r="L19" i="1322"/>
  <c r="H19" i="1322"/>
  <c r="G19" i="1322"/>
  <c r="L18" i="1322"/>
  <c r="H18" i="1322"/>
  <c r="G18" i="1322"/>
  <c r="L16" i="1322"/>
  <c r="H16" i="1322"/>
  <c r="G16" i="1322"/>
  <c r="L15" i="1322"/>
  <c r="H15" i="1322"/>
  <c r="G15" i="1322"/>
  <c r="L14" i="1322"/>
  <c r="H14" i="1322"/>
  <c r="G14" i="1322"/>
  <c r="L13" i="1322"/>
  <c r="H13" i="1322"/>
  <c r="G13" i="1322"/>
  <c r="L12" i="1322"/>
  <c r="H12" i="1322"/>
  <c r="G12" i="1322"/>
  <c r="L11" i="1322"/>
  <c r="L10" i="1322"/>
  <c r="H10" i="1322"/>
  <c r="G10" i="1322"/>
  <c r="L8" i="1322"/>
  <c r="H8" i="1322"/>
  <c r="G8" i="1322"/>
  <c r="L7" i="1322"/>
  <c r="H7" i="1322"/>
  <c r="L6" i="1322"/>
  <c r="H6" i="1322"/>
  <c r="G6" i="1322"/>
  <c r="L5" i="1322"/>
  <c r="H5" i="1322"/>
  <c r="G5" i="1322"/>
  <c r="L4" i="1322"/>
  <c r="H4" i="1322"/>
  <c r="G4" i="1322"/>
  <c r="L3" i="1322"/>
  <c r="H3" i="1322"/>
  <c r="G3" i="1322"/>
  <c r="L23" i="1321"/>
  <c r="H23" i="1321"/>
  <c r="G23" i="1321"/>
  <c r="L22" i="1321"/>
  <c r="H22" i="1321"/>
  <c r="G22" i="1321"/>
  <c r="L21" i="1321"/>
  <c r="H21" i="1321"/>
  <c r="G21" i="1321"/>
  <c r="L20" i="1321"/>
  <c r="H20" i="1321"/>
  <c r="G20" i="1321"/>
  <c r="L19" i="1321"/>
  <c r="H19" i="1321"/>
  <c r="G19" i="1321"/>
  <c r="L18" i="1321"/>
  <c r="H18" i="1321"/>
  <c r="G18" i="1321"/>
  <c r="L16" i="1321"/>
  <c r="H16" i="1321"/>
  <c r="G16" i="1321"/>
  <c r="L15" i="1321"/>
  <c r="H15" i="1321"/>
  <c r="G15" i="1321"/>
  <c r="L14" i="1321"/>
  <c r="H14" i="1321"/>
  <c r="G14" i="1321"/>
  <c r="L13" i="1321"/>
  <c r="H13" i="1321"/>
  <c r="G13" i="1321"/>
  <c r="L12" i="1321"/>
  <c r="H12" i="1321"/>
  <c r="G12" i="1321"/>
  <c r="L11" i="1321"/>
  <c r="H11" i="1321"/>
  <c r="G11" i="1321"/>
  <c r="L10" i="1321"/>
  <c r="H10" i="1321"/>
  <c r="G10" i="1321"/>
  <c r="L8" i="1321"/>
  <c r="H8" i="1321"/>
  <c r="G8" i="1321"/>
  <c r="L7" i="1321"/>
  <c r="H7" i="1321"/>
  <c r="G7" i="1321"/>
  <c r="L6" i="1321"/>
  <c r="H6" i="1321"/>
  <c r="G6" i="1321"/>
  <c r="L5" i="1321"/>
  <c r="H5" i="1321"/>
  <c r="G5" i="1321"/>
  <c r="L4" i="1321"/>
  <c r="H4" i="1321"/>
  <c r="G4" i="1321"/>
  <c r="L3" i="1321"/>
  <c r="H3" i="1321"/>
  <c r="G3" i="1321"/>
  <c r="L23" i="1320"/>
  <c r="H23" i="1320"/>
  <c r="G23" i="1320"/>
  <c r="L22" i="1320"/>
  <c r="H22" i="1320"/>
  <c r="G22" i="1320"/>
  <c r="L21" i="1320"/>
  <c r="H21" i="1320"/>
  <c r="G21" i="1320"/>
  <c r="L20" i="1320"/>
  <c r="H20" i="1320"/>
  <c r="G20" i="1320"/>
  <c r="L19" i="1320"/>
  <c r="H19" i="1320"/>
  <c r="G19" i="1320"/>
  <c r="L18" i="1320"/>
  <c r="H18" i="1320"/>
  <c r="G18" i="1320"/>
  <c r="L16" i="1320"/>
  <c r="H16" i="1320"/>
  <c r="L15" i="1320"/>
  <c r="H15" i="1320"/>
  <c r="G15" i="1320"/>
  <c r="L14" i="1320"/>
  <c r="H14" i="1320"/>
  <c r="G14" i="1320"/>
  <c r="L13" i="1320"/>
  <c r="H13" i="1320"/>
  <c r="G13" i="1320"/>
  <c r="L12" i="1320"/>
  <c r="H12" i="1320"/>
  <c r="L11" i="1320"/>
  <c r="H11" i="1320"/>
  <c r="G11" i="1320"/>
  <c r="L10" i="1320"/>
  <c r="H10" i="1320"/>
  <c r="G10" i="1320"/>
  <c r="L8" i="1320"/>
  <c r="H8" i="1320"/>
  <c r="G8" i="1320"/>
  <c r="L7" i="1320"/>
  <c r="H7" i="1320"/>
  <c r="G7" i="1320"/>
  <c r="L6" i="1320"/>
  <c r="H6" i="1320"/>
  <c r="G6" i="1320"/>
  <c r="L5" i="1320"/>
  <c r="H5" i="1320"/>
  <c r="G5" i="1320"/>
  <c r="L4" i="1320"/>
  <c r="H4" i="1320"/>
  <c r="G4" i="1320"/>
  <c r="L3" i="1320"/>
  <c r="H3" i="1320"/>
  <c r="G3" i="1320"/>
  <c r="L23" i="1319"/>
  <c r="H23" i="1319"/>
  <c r="G23" i="1319"/>
  <c r="L22" i="1319"/>
  <c r="H22" i="1319"/>
  <c r="G22" i="1319"/>
  <c r="L21" i="1319"/>
  <c r="H21" i="1319"/>
  <c r="G21" i="1319"/>
  <c r="L20" i="1319"/>
  <c r="H20" i="1319"/>
  <c r="G20" i="1319"/>
  <c r="L19" i="1319"/>
  <c r="H19" i="1319"/>
  <c r="G19" i="1319"/>
  <c r="L18" i="1319"/>
  <c r="H18" i="1319"/>
  <c r="G18" i="1319"/>
  <c r="L16" i="1319"/>
  <c r="H16" i="1319"/>
  <c r="G16" i="1319"/>
  <c r="L15" i="1319"/>
  <c r="H15" i="1319"/>
  <c r="G15" i="1319"/>
  <c r="L14" i="1319"/>
  <c r="H14" i="1319"/>
  <c r="G14" i="1319"/>
  <c r="L13" i="1319"/>
  <c r="H13" i="1319"/>
  <c r="G13" i="1319"/>
  <c r="L12" i="1319"/>
  <c r="H12" i="1319"/>
  <c r="G12" i="1319"/>
  <c r="L11" i="1319"/>
  <c r="H11" i="1319"/>
  <c r="G11" i="1319"/>
  <c r="L10" i="1319"/>
  <c r="H10" i="1319"/>
  <c r="G10" i="1319"/>
  <c r="L8" i="1319"/>
  <c r="H8" i="1319"/>
  <c r="G8" i="1319"/>
  <c r="L7" i="1319"/>
  <c r="H7" i="1319"/>
  <c r="G7" i="1319"/>
  <c r="L6" i="1319"/>
  <c r="H6" i="1319"/>
  <c r="G6" i="1319"/>
  <c r="L5" i="1319"/>
  <c r="H5" i="1319"/>
  <c r="G5" i="1319"/>
  <c r="L4" i="1319"/>
  <c r="H4" i="1319"/>
  <c r="G4" i="1319"/>
  <c r="L3" i="1319"/>
  <c r="H3" i="1319"/>
  <c r="G3" i="1319"/>
  <c r="L15" i="1318"/>
  <c r="H15" i="1318"/>
  <c r="G15" i="1318"/>
  <c r="L14" i="1318"/>
  <c r="H14" i="1318"/>
  <c r="G14" i="1318"/>
  <c r="L13" i="1318"/>
  <c r="H13" i="1318"/>
  <c r="G13" i="1318"/>
  <c r="L11" i="1318"/>
  <c r="H11" i="1318"/>
  <c r="G11" i="1318"/>
  <c r="L10" i="1318"/>
  <c r="H10" i="1318"/>
  <c r="G10" i="1318"/>
  <c r="L23" i="1318"/>
  <c r="H23" i="1318"/>
  <c r="L22" i="1318"/>
  <c r="H22" i="1318"/>
  <c r="G22" i="1318"/>
  <c r="L21" i="1318"/>
  <c r="H21" i="1318"/>
  <c r="G21" i="1318"/>
  <c r="L20" i="1318"/>
  <c r="H20" i="1318"/>
  <c r="G20" i="1318"/>
  <c r="L19" i="1318"/>
  <c r="H19" i="1318"/>
  <c r="L18" i="1318"/>
  <c r="H18" i="1318"/>
  <c r="G18" i="1318"/>
  <c r="L17" i="1318"/>
  <c r="H17" i="1318"/>
  <c r="G17" i="1318"/>
  <c r="L8" i="1318"/>
  <c r="H8" i="1318"/>
  <c r="G8" i="1318"/>
  <c r="L7" i="1318"/>
  <c r="H7" i="1318"/>
  <c r="G7" i="1318"/>
  <c r="L6" i="1318"/>
  <c r="H6" i="1318"/>
  <c r="G6" i="1318"/>
  <c r="L5" i="1318"/>
  <c r="H5" i="1318"/>
  <c r="G5" i="1318"/>
  <c r="L4" i="1318"/>
  <c r="H4" i="1318"/>
  <c r="G4" i="1318"/>
  <c r="L3" i="1318"/>
  <c r="H3" i="1318"/>
  <c r="G3" i="1318"/>
  <c r="L15" i="1317"/>
  <c r="H15" i="1317"/>
  <c r="L14" i="1317"/>
  <c r="H14" i="1317"/>
  <c r="G14" i="1317"/>
  <c r="L13" i="1317"/>
  <c r="H13" i="1317"/>
  <c r="G13" i="1317"/>
  <c r="L12" i="1317"/>
  <c r="H12" i="1317"/>
  <c r="G12" i="1317"/>
  <c r="L11" i="1317"/>
  <c r="H11" i="1317"/>
  <c r="G11" i="1317"/>
  <c r="L23" i="1317"/>
  <c r="H23" i="1317"/>
  <c r="G23" i="1317"/>
  <c r="L22" i="1317"/>
  <c r="H22" i="1317"/>
  <c r="G22" i="1317"/>
  <c r="L21" i="1317"/>
  <c r="H21" i="1317"/>
  <c r="G21" i="1317"/>
  <c r="L20" i="1317"/>
  <c r="H20" i="1317"/>
  <c r="G20" i="1317"/>
  <c r="L19" i="1317"/>
  <c r="H19" i="1317"/>
  <c r="G19" i="1317"/>
  <c r="L18" i="1317"/>
  <c r="H18" i="1317"/>
  <c r="G18" i="1317"/>
  <c r="L17" i="1317"/>
  <c r="H17" i="1317"/>
  <c r="G17" i="1317"/>
  <c r="L9" i="1317"/>
  <c r="H9" i="1317"/>
  <c r="G9" i="1317"/>
  <c r="L8" i="1317"/>
  <c r="H8" i="1317"/>
  <c r="G8" i="1317"/>
  <c r="L6" i="1317"/>
  <c r="H6" i="1317"/>
  <c r="G6" i="1317"/>
  <c r="L5" i="1317"/>
  <c r="H5" i="1317"/>
  <c r="G5" i="1317"/>
  <c r="L4" i="1317"/>
  <c r="H4" i="1317"/>
  <c r="G4" i="1317"/>
  <c r="L3" i="1317"/>
  <c r="H3" i="1317"/>
  <c r="G3" i="1317"/>
  <c r="L25" i="1316"/>
  <c r="H25" i="1316"/>
  <c r="G25" i="1316"/>
  <c r="L24" i="1316"/>
  <c r="H24" i="1316"/>
  <c r="G24" i="1316"/>
  <c r="L23" i="1316"/>
  <c r="H23" i="1316"/>
  <c r="G23" i="1316"/>
  <c r="L22" i="1316"/>
  <c r="H22" i="1316"/>
  <c r="L21" i="1316"/>
  <c r="H21" i="1316"/>
  <c r="L20" i="1316"/>
  <c r="H20" i="1316"/>
  <c r="L18" i="1316"/>
  <c r="H18" i="1316"/>
  <c r="L17" i="1316"/>
  <c r="H17" i="1316"/>
  <c r="L16" i="1316"/>
  <c r="H16" i="1316"/>
  <c r="L15" i="1316"/>
  <c r="H15" i="1316"/>
  <c r="G15" i="1316"/>
  <c r="L13" i="1316"/>
  <c r="H13" i="1316"/>
  <c r="G13" i="1316"/>
  <c r="L12" i="1316"/>
  <c r="H12" i="1316"/>
  <c r="G12" i="1316"/>
  <c r="L11" i="1316"/>
  <c r="H11" i="1316"/>
  <c r="G11" i="1316"/>
  <c r="L9" i="1316"/>
  <c r="H9" i="1316"/>
  <c r="L8" i="1316"/>
  <c r="H8" i="1316"/>
  <c r="G8" i="1316"/>
  <c r="L7" i="1316"/>
  <c r="H7" i="1316"/>
  <c r="G7" i="1316"/>
  <c r="L5" i="1316"/>
  <c r="H5" i="1316"/>
  <c r="G5" i="1316"/>
  <c r="L4" i="1316"/>
  <c r="H4" i="1316"/>
  <c r="G4" i="1316"/>
  <c r="L3" i="1316"/>
  <c r="H3" i="1316"/>
  <c r="G3" i="1316"/>
  <c r="L23" i="1315"/>
  <c r="H23" i="1315"/>
  <c r="G23" i="1315"/>
  <c r="L22" i="1315"/>
  <c r="H22" i="1315"/>
  <c r="G22" i="1315"/>
  <c r="L21" i="1315"/>
  <c r="H21" i="1315"/>
  <c r="G21" i="1315"/>
  <c r="L20" i="1315"/>
  <c r="H20" i="1315"/>
  <c r="G20" i="1315"/>
  <c r="L19" i="1315"/>
  <c r="H19" i="1315"/>
  <c r="G19" i="1315"/>
  <c r="L18" i="1315"/>
  <c r="H18" i="1315"/>
  <c r="G18" i="1315"/>
  <c r="L16" i="1315"/>
  <c r="H16" i="1315"/>
  <c r="G16" i="1315"/>
  <c r="L15" i="1315"/>
  <c r="H15" i="1315"/>
  <c r="G15" i="1315"/>
  <c r="L14" i="1315"/>
  <c r="H14" i="1315"/>
  <c r="G14" i="1315"/>
  <c r="L13" i="1315"/>
  <c r="H13" i="1315"/>
  <c r="L12" i="1315"/>
  <c r="H12" i="1315"/>
  <c r="G12" i="1315"/>
  <c r="L11" i="1315"/>
  <c r="H11" i="1315"/>
  <c r="L10" i="1315"/>
  <c r="H10" i="1315"/>
  <c r="G10" i="1315"/>
  <c r="L8" i="1315"/>
  <c r="H8" i="1315"/>
  <c r="G8" i="1315"/>
  <c r="L7" i="1315"/>
  <c r="H7" i="1315"/>
  <c r="G7" i="1315"/>
  <c r="L6" i="1315"/>
  <c r="H6" i="1315"/>
  <c r="G6" i="1315"/>
  <c r="L5" i="1315"/>
  <c r="H5" i="1315"/>
  <c r="G5" i="1315"/>
  <c r="L4" i="1315"/>
  <c r="H4" i="1315"/>
  <c r="G4" i="1315"/>
  <c r="L3" i="1315"/>
  <c r="H3" i="1315"/>
  <c r="G3" i="1315"/>
  <c r="L24" i="1314"/>
  <c r="H24" i="1314"/>
  <c r="G24" i="1314"/>
  <c r="L23" i="1314"/>
  <c r="H23" i="1314"/>
  <c r="G23" i="1314"/>
  <c r="L22" i="1314"/>
  <c r="H22" i="1314"/>
  <c r="G22" i="1314"/>
  <c r="L21" i="1314"/>
  <c r="H21" i="1314"/>
  <c r="G21" i="1314"/>
  <c r="L20" i="1314"/>
  <c r="H20" i="1314"/>
  <c r="G20" i="1314"/>
  <c r="L19" i="1314"/>
  <c r="H19" i="1314"/>
  <c r="G19" i="1314"/>
  <c r="L17" i="1314"/>
  <c r="H17" i="1314"/>
  <c r="G17" i="1314"/>
  <c r="L15" i="1314"/>
  <c r="H15" i="1314"/>
  <c r="G15" i="1314"/>
  <c r="L14" i="1314"/>
  <c r="H14" i="1314"/>
  <c r="G14" i="1314"/>
  <c r="L13" i="1314"/>
  <c r="H13" i="1314"/>
  <c r="G13" i="1314"/>
  <c r="L12" i="1314"/>
  <c r="H12" i="1314"/>
  <c r="G12" i="1314"/>
  <c r="L11" i="1314"/>
  <c r="H11" i="1314"/>
  <c r="L10" i="1314"/>
  <c r="H10" i="1314"/>
  <c r="G10" i="1314"/>
  <c r="L8" i="1314"/>
  <c r="H8" i="1314"/>
  <c r="G8" i="1314"/>
  <c r="L7" i="1314"/>
  <c r="H7" i="1314"/>
  <c r="G7" i="1314"/>
  <c r="L6" i="1314"/>
  <c r="H6" i="1314"/>
  <c r="G6" i="1314"/>
  <c r="L5" i="1314"/>
  <c r="H5" i="1314"/>
  <c r="G5" i="1314"/>
  <c r="L4" i="1314"/>
  <c r="H4" i="1314"/>
  <c r="G4" i="1314"/>
  <c r="L3" i="1314"/>
  <c r="H3" i="1314"/>
  <c r="G3" i="1314"/>
  <c r="L23" i="1313"/>
  <c r="H23" i="1313"/>
  <c r="G23" i="1313"/>
  <c r="L22" i="1313"/>
  <c r="H22" i="1313"/>
  <c r="G22" i="1313"/>
  <c r="L21" i="1313"/>
  <c r="H21" i="1313"/>
  <c r="G21" i="1313"/>
  <c r="L20" i="1313"/>
  <c r="H20" i="1313"/>
  <c r="G20" i="1313"/>
  <c r="L19" i="1313"/>
  <c r="H19" i="1313"/>
  <c r="G19" i="1313"/>
  <c r="L18" i="1313"/>
  <c r="H18" i="1313"/>
  <c r="G18" i="1313"/>
  <c r="L16" i="1313"/>
  <c r="H16" i="1313"/>
  <c r="G16" i="1313"/>
  <c r="L15" i="1313"/>
  <c r="H15" i="1313"/>
  <c r="G15" i="1313"/>
  <c r="L14" i="1313"/>
  <c r="H14" i="1313"/>
  <c r="G14" i="1313"/>
  <c r="L13" i="1313"/>
  <c r="H13" i="1313"/>
  <c r="G13" i="1313"/>
  <c r="L12" i="1313"/>
  <c r="H12" i="1313"/>
  <c r="G12" i="1313"/>
  <c r="L11" i="1313"/>
  <c r="H11" i="1313"/>
  <c r="G11" i="1313"/>
  <c r="L10" i="1313"/>
  <c r="H10" i="1313"/>
  <c r="G10" i="1313"/>
  <c r="L8" i="1313"/>
  <c r="H8" i="1313"/>
  <c r="G8" i="1313"/>
  <c r="L7" i="1313"/>
  <c r="H7" i="1313"/>
  <c r="G7" i="1313"/>
  <c r="L6" i="1313"/>
  <c r="H6" i="1313"/>
  <c r="G6" i="1313"/>
  <c r="L5" i="1313"/>
  <c r="H5" i="1313"/>
  <c r="G5" i="1313"/>
  <c r="L4" i="1313"/>
  <c r="H4" i="1313"/>
  <c r="G4" i="1313"/>
  <c r="L3" i="1313"/>
  <c r="H3" i="1313"/>
  <c r="G3" i="1313"/>
  <c r="L25" i="1312"/>
  <c r="H25" i="1312"/>
  <c r="G25" i="1312"/>
  <c r="L24" i="1312"/>
  <c r="H24" i="1312"/>
  <c r="G24" i="1312"/>
  <c r="L23" i="1312"/>
  <c r="H23" i="1312"/>
  <c r="G23" i="1312"/>
  <c r="L22" i="1312"/>
  <c r="H22" i="1312"/>
  <c r="G22" i="1312"/>
  <c r="L21" i="1312"/>
  <c r="H21" i="1312"/>
  <c r="G21" i="1312"/>
  <c r="L20" i="1312"/>
  <c r="H20" i="1312"/>
  <c r="G20" i="1312"/>
  <c r="L18" i="1312"/>
  <c r="H18" i="1312"/>
  <c r="G18" i="1312"/>
  <c r="L17" i="1312"/>
  <c r="H17" i="1312"/>
  <c r="G17" i="1312"/>
  <c r="L16" i="1312"/>
  <c r="H16" i="1312"/>
  <c r="G16" i="1312"/>
  <c r="L15" i="1312"/>
  <c r="H15" i="1312"/>
  <c r="G15" i="1312"/>
  <c r="L14" i="1312"/>
  <c r="H14" i="1312"/>
  <c r="G14" i="1312"/>
  <c r="L12" i="1312"/>
  <c r="H12" i="1312"/>
  <c r="G12" i="1312"/>
  <c r="L11" i="1312"/>
  <c r="H11" i="1312"/>
  <c r="G11" i="1312"/>
  <c r="L9" i="1312"/>
  <c r="H9" i="1312"/>
  <c r="G9" i="1312"/>
  <c r="L8" i="1312"/>
  <c r="H8" i="1312"/>
  <c r="G8" i="1312"/>
  <c r="L7" i="1312"/>
  <c r="H7" i="1312"/>
  <c r="G7" i="1312"/>
  <c r="L6" i="1312"/>
  <c r="H6" i="1312"/>
  <c r="G6" i="1312"/>
  <c r="L5" i="1312"/>
  <c r="H5" i="1312"/>
  <c r="G5" i="1312"/>
  <c r="L4" i="1312"/>
  <c r="H4" i="1312"/>
  <c r="G4" i="1312"/>
  <c r="L3" i="1312"/>
  <c r="H3" i="1312"/>
  <c r="G3" i="1312"/>
  <c r="L23" i="1311"/>
  <c r="H23" i="1311"/>
  <c r="G23" i="1311"/>
  <c r="L22" i="1311"/>
  <c r="H22" i="1311"/>
  <c r="G22" i="1311"/>
  <c r="L21" i="1311"/>
  <c r="H21" i="1311"/>
  <c r="G21" i="1311"/>
  <c r="L20" i="1311"/>
  <c r="H20" i="1311"/>
  <c r="G20" i="1311"/>
  <c r="L19" i="1311"/>
  <c r="H19" i="1311"/>
  <c r="G19" i="1311"/>
  <c r="L18" i="1311"/>
  <c r="H18" i="1311"/>
  <c r="G18" i="1311"/>
  <c r="L16" i="1311"/>
  <c r="H16" i="1311"/>
  <c r="G16" i="1311"/>
  <c r="L15" i="1311"/>
  <c r="H15" i="1311"/>
  <c r="G15" i="1311"/>
  <c r="L14" i="1311"/>
  <c r="H14" i="1311"/>
  <c r="G14" i="1311"/>
  <c r="L13" i="1311"/>
  <c r="H13" i="1311"/>
  <c r="G13" i="1311"/>
  <c r="L12" i="1311"/>
  <c r="H12" i="1311"/>
  <c r="G12" i="1311"/>
  <c r="L11" i="1311"/>
  <c r="H11" i="1311"/>
  <c r="G11" i="1311"/>
  <c r="L10" i="1311"/>
  <c r="H10" i="1311"/>
  <c r="G10" i="1311"/>
  <c r="L8" i="1311"/>
  <c r="H8" i="1311"/>
  <c r="G8" i="1311"/>
  <c r="L7" i="1311"/>
  <c r="H7" i="1311"/>
  <c r="G7" i="1311"/>
  <c r="L6" i="1311"/>
  <c r="H6" i="1311"/>
  <c r="G6" i="1311"/>
  <c r="L5" i="1311"/>
  <c r="H5" i="1311"/>
  <c r="G5" i="1311"/>
  <c r="L4" i="1311"/>
  <c r="H4" i="1311"/>
  <c r="G4" i="1311"/>
  <c r="L3" i="1311"/>
  <c r="H3" i="1311"/>
  <c r="G3" i="1311"/>
  <c r="L25" i="1310"/>
  <c r="H25" i="1310"/>
  <c r="G25" i="1310"/>
  <c r="L24" i="1310"/>
  <c r="H24" i="1310"/>
  <c r="G24" i="1310"/>
  <c r="L23" i="1310"/>
  <c r="H23" i="1310"/>
  <c r="G23" i="1310"/>
  <c r="L22" i="1310"/>
  <c r="H22" i="1310"/>
  <c r="G22" i="1310"/>
  <c r="L21" i="1310"/>
  <c r="H21" i="1310"/>
  <c r="G21" i="1310"/>
  <c r="L20" i="1310"/>
  <c r="H20" i="1310"/>
  <c r="G20" i="1310"/>
  <c r="L18" i="1310"/>
  <c r="H18" i="1310"/>
  <c r="G18" i="1310"/>
  <c r="L17" i="1310"/>
  <c r="H17" i="1310"/>
  <c r="G17" i="1310"/>
  <c r="L16" i="1310"/>
  <c r="H16" i="1310"/>
  <c r="G16" i="1310"/>
  <c r="L14" i="1310"/>
  <c r="H14" i="1310"/>
  <c r="G14" i="1310"/>
  <c r="L13" i="1310"/>
  <c r="H13" i="1310"/>
  <c r="L12" i="1310"/>
  <c r="H12" i="1310"/>
  <c r="G12" i="1310"/>
  <c r="L11" i="1310"/>
  <c r="H11" i="1310"/>
  <c r="G11" i="1310"/>
  <c r="L9" i="1310"/>
  <c r="H9" i="1310"/>
  <c r="G9" i="1310"/>
  <c r="L8" i="1310"/>
  <c r="H8" i="1310"/>
  <c r="G8" i="1310"/>
  <c r="L7" i="1310"/>
  <c r="H7" i="1310"/>
  <c r="G7" i="1310"/>
  <c r="L6" i="1310"/>
  <c r="H6" i="1310"/>
  <c r="G6" i="1310"/>
  <c r="L5" i="1310"/>
  <c r="H5" i="1310"/>
  <c r="G5" i="1310"/>
  <c r="L4" i="1310"/>
  <c r="H4" i="1310"/>
  <c r="G4" i="1310"/>
  <c r="L3" i="1310"/>
  <c r="H3" i="1310"/>
  <c r="G3" i="1310"/>
  <c r="L23" i="1309"/>
  <c r="H23" i="1309"/>
  <c r="G23" i="1309"/>
  <c r="L22" i="1309"/>
  <c r="H22" i="1309"/>
  <c r="G22" i="1309"/>
  <c r="L21" i="1309"/>
  <c r="H21" i="1309"/>
  <c r="G21" i="1309"/>
  <c r="L20" i="1309"/>
  <c r="H20" i="1309"/>
  <c r="G20" i="1309"/>
  <c r="L19" i="1309"/>
  <c r="H19" i="1309"/>
  <c r="G19" i="1309"/>
  <c r="L18" i="1309"/>
  <c r="H18" i="1309"/>
  <c r="G18" i="1309"/>
  <c r="L16" i="1309"/>
  <c r="H16" i="1309"/>
  <c r="G16" i="1309"/>
  <c r="L15" i="1309"/>
  <c r="H15" i="1309"/>
  <c r="G15" i="1309"/>
  <c r="L14" i="1309"/>
  <c r="H14" i="1309"/>
  <c r="G14" i="1309"/>
  <c r="L13" i="1309"/>
  <c r="H13" i="1309"/>
  <c r="G13" i="1309"/>
  <c r="L12" i="1309"/>
  <c r="H12" i="1309"/>
  <c r="L11" i="1309"/>
  <c r="H11" i="1309"/>
  <c r="G11" i="1309"/>
  <c r="L10" i="1309"/>
  <c r="H10" i="1309"/>
  <c r="G10" i="1309"/>
  <c r="L8" i="1309"/>
  <c r="H8" i="1309"/>
  <c r="G8" i="1309"/>
  <c r="L7" i="1309"/>
  <c r="H7" i="1309"/>
  <c r="G7" i="1309"/>
  <c r="L6" i="1309"/>
  <c r="H6" i="1309"/>
  <c r="G6" i="1309"/>
  <c r="L5" i="1309"/>
  <c r="H5" i="1309"/>
  <c r="G5" i="1309"/>
  <c r="L4" i="1309"/>
  <c r="H4" i="1309"/>
  <c r="G4" i="1309"/>
  <c r="L3" i="1309"/>
  <c r="H3" i="1309"/>
  <c r="G3" i="1309"/>
  <c r="L25" i="1308"/>
  <c r="H25" i="1308"/>
  <c r="G25" i="1308"/>
  <c r="L24" i="1308"/>
  <c r="H24" i="1308"/>
  <c r="G24" i="1308"/>
  <c r="L23" i="1308"/>
  <c r="H23" i="1308"/>
  <c r="G23" i="1308"/>
  <c r="L22" i="1308"/>
  <c r="H22" i="1308"/>
  <c r="G22" i="1308"/>
  <c r="L21" i="1308"/>
  <c r="H21" i="1308"/>
  <c r="G21" i="1308"/>
  <c r="L20" i="1308"/>
  <c r="H20" i="1308"/>
  <c r="G20" i="1308"/>
  <c r="L18" i="1308"/>
  <c r="H18" i="1308"/>
  <c r="G18" i="1308"/>
  <c r="L17" i="1308"/>
  <c r="H17" i="1308"/>
  <c r="G17" i="1308"/>
  <c r="L16" i="1308"/>
  <c r="H16" i="1308"/>
  <c r="G16" i="1308"/>
  <c r="L15" i="1308"/>
  <c r="H15" i="1308"/>
  <c r="G15" i="1308"/>
  <c r="L13" i="1308"/>
  <c r="H13" i="1308"/>
  <c r="G13" i="1308"/>
  <c r="L12" i="1308"/>
  <c r="H12" i="1308"/>
  <c r="G12" i="1308"/>
  <c r="L11" i="1308"/>
  <c r="H11" i="1308"/>
  <c r="G11" i="1308"/>
  <c r="L9" i="1308"/>
  <c r="H9" i="1308"/>
  <c r="G9" i="1308"/>
  <c r="L8" i="1308"/>
  <c r="H8" i="1308"/>
  <c r="G8" i="1308"/>
  <c r="L7" i="1308"/>
  <c r="H7" i="1308"/>
  <c r="G7" i="1308"/>
  <c r="L5" i="1308"/>
  <c r="H5" i="1308"/>
  <c r="G5" i="1308"/>
  <c r="L4" i="1308"/>
  <c r="H4" i="1308"/>
  <c r="G4" i="1308"/>
  <c r="L3" i="1308"/>
  <c r="H3" i="1308"/>
  <c r="G3" i="1308"/>
  <c r="L23" i="1307"/>
  <c r="H23" i="1307"/>
  <c r="G23" i="1307"/>
  <c r="L22" i="1307"/>
  <c r="H22" i="1307"/>
  <c r="G22" i="1307"/>
  <c r="L21" i="1307"/>
  <c r="H21" i="1307"/>
  <c r="G21" i="1307"/>
  <c r="L20" i="1307"/>
  <c r="H20" i="1307"/>
  <c r="G20" i="1307"/>
  <c r="L19" i="1307"/>
  <c r="H19" i="1307"/>
  <c r="G19" i="1307"/>
  <c r="L18" i="1307"/>
  <c r="H18" i="1307"/>
  <c r="G18" i="1307"/>
  <c r="L16" i="1307"/>
  <c r="H16" i="1307"/>
  <c r="G16" i="1307"/>
  <c r="L15" i="1307"/>
  <c r="H15" i="1307"/>
  <c r="G15" i="1307"/>
  <c r="L14" i="1307"/>
  <c r="H14" i="1307"/>
  <c r="G14" i="1307"/>
  <c r="L13" i="1307"/>
  <c r="H13" i="1307"/>
  <c r="G13" i="1307"/>
  <c r="L12" i="1307"/>
  <c r="H12" i="1307"/>
  <c r="G12" i="1307"/>
  <c r="L11" i="1307"/>
  <c r="H11" i="1307"/>
  <c r="G11" i="1307"/>
  <c r="L10" i="1307"/>
  <c r="H10" i="1307"/>
  <c r="G10" i="1307"/>
  <c r="L8" i="1307"/>
  <c r="H8" i="1307"/>
  <c r="G8" i="1307"/>
  <c r="L7" i="1307"/>
  <c r="H7" i="1307"/>
  <c r="G7" i="1307"/>
  <c r="L6" i="1307"/>
  <c r="H6" i="1307"/>
  <c r="G6" i="1307"/>
  <c r="L5" i="1307"/>
  <c r="H5" i="1307"/>
  <c r="G5" i="1307"/>
  <c r="L4" i="1307"/>
  <c r="H4" i="1307"/>
  <c r="G4" i="1307"/>
  <c r="L3" i="1307"/>
  <c r="H3" i="1307"/>
  <c r="G3" i="1307"/>
  <c r="L23" i="1306"/>
  <c r="H23" i="1306"/>
  <c r="G23" i="1306"/>
  <c r="L22" i="1306"/>
  <c r="H22" i="1306"/>
  <c r="G22" i="1306"/>
  <c r="L21" i="1306"/>
  <c r="H21" i="1306"/>
  <c r="G21" i="1306"/>
  <c r="L20" i="1306"/>
  <c r="H20" i="1306"/>
  <c r="G20" i="1306"/>
  <c r="L19" i="1306"/>
  <c r="H19" i="1306"/>
  <c r="G19" i="1306"/>
  <c r="L18" i="1306"/>
  <c r="H18" i="1306"/>
  <c r="G18" i="1306"/>
  <c r="L16" i="1306"/>
  <c r="H16" i="1306"/>
  <c r="G16" i="1306"/>
  <c r="L15" i="1306"/>
  <c r="H15" i="1306"/>
  <c r="G15" i="1306"/>
  <c r="L14" i="1306"/>
  <c r="H14" i="1306"/>
  <c r="G14" i="1306"/>
  <c r="L13" i="1306"/>
  <c r="H13" i="1306"/>
  <c r="G13" i="1306"/>
  <c r="L12" i="1306"/>
  <c r="H12" i="1306"/>
  <c r="G12" i="1306"/>
  <c r="L11" i="1306"/>
  <c r="H11" i="1306"/>
  <c r="G11" i="1306"/>
  <c r="L10" i="1306"/>
  <c r="H10" i="1306"/>
  <c r="G10" i="1306"/>
  <c r="L8" i="1306"/>
  <c r="H8" i="1306"/>
  <c r="G8" i="1306"/>
  <c r="L7" i="1306"/>
  <c r="H7" i="1306"/>
  <c r="G7" i="1306"/>
  <c r="L6" i="1306"/>
  <c r="H6" i="1306"/>
  <c r="G6" i="1306"/>
  <c r="L5" i="1306"/>
  <c r="H5" i="1306"/>
  <c r="G5" i="1306"/>
  <c r="L4" i="1306"/>
  <c r="H4" i="1306"/>
  <c r="G4" i="1306"/>
  <c r="L3" i="1306"/>
  <c r="H3" i="1306"/>
  <c r="G3" i="1306"/>
  <c r="L23" i="1305"/>
  <c r="H23" i="1305"/>
  <c r="G23" i="1305"/>
  <c r="L22" i="1305"/>
  <c r="H22" i="1305"/>
  <c r="G22" i="1305"/>
  <c r="L21" i="1305"/>
  <c r="H21" i="1305"/>
  <c r="G21" i="1305"/>
  <c r="L20" i="1305"/>
  <c r="H20" i="1305"/>
  <c r="G20" i="1305"/>
  <c r="L19" i="1305"/>
  <c r="H19" i="1305"/>
  <c r="G19" i="1305"/>
  <c r="L18" i="1305"/>
  <c r="H18" i="1305"/>
  <c r="G18" i="1305"/>
  <c r="L16" i="1305"/>
  <c r="H16" i="1305"/>
  <c r="G16" i="1305"/>
  <c r="L15" i="1305"/>
  <c r="H15" i="1305"/>
  <c r="G15" i="1305"/>
  <c r="L14" i="1305"/>
  <c r="H14" i="1305"/>
  <c r="G14" i="1305"/>
  <c r="L13" i="1305"/>
  <c r="H13" i="1305"/>
  <c r="G13" i="1305"/>
  <c r="L12" i="1305"/>
  <c r="H12" i="1305"/>
  <c r="G12" i="1305"/>
  <c r="L11" i="1305"/>
  <c r="L10" i="1305"/>
  <c r="H10" i="1305"/>
  <c r="G10" i="1305"/>
  <c r="L8" i="1305"/>
  <c r="H8" i="1305"/>
  <c r="G8" i="1305"/>
  <c r="L7" i="1305"/>
  <c r="H7" i="1305"/>
  <c r="G7" i="1305"/>
  <c r="L6" i="1305"/>
  <c r="H6" i="1305"/>
  <c r="G6" i="1305"/>
  <c r="L5" i="1305"/>
  <c r="H5" i="1305"/>
  <c r="G5" i="1305"/>
  <c r="L4" i="1305"/>
  <c r="H4" i="1305"/>
  <c r="G4" i="1305"/>
  <c r="L3" i="1305"/>
  <c r="H3" i="1305"/>
  <c r="G3" i="1305"/>
  <c r="G29" i="1252"/>
  <c r="K52" i="1252"/>
  <c r="G52" i="1252"/>
  <c r="K51" i="1252"/>
  <c r="I51" i="1252"/>
  <c r="G51" i="1252"/>
  <c r="E51" i="1252"/>
  <c r="C51" i="1252"/>
  <c r="K50" i="1252"/>
  <c r="I50" i="1252"/>
  <c r="G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E45" i="1252"/>
  <c r="C45" i="1252"/>
  <c r="K41" i="1252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E35" i="1252"/>
  <c r="C35" i="1252"/>
  <c r="I31" i="1252"/>
  <c r="G31" i="1252"/>
  <c r="E31" i="1252"/>
  <c r="C31" i="1252"/>
  <c r="K30" i="1252"/>
  <c r="I30" i="1252"/>
  <c r="G30" i="1252"/>
  <c r="E30" i="1252"/>
  <c r="C30" i="1252"/>
  <c r="K29" i="1252"/>
  <c r="I29" i="1252"/>
  <c r="E29" i="1252"/>
  <c r="C29" i="1252"/>
  <c r="K28" i="1252"/>
  <c r="I28" i="1252"/>
  <c r="G28" i="1252"/>
  <c r="E28" i="1252"/>
  <c r="C28" i="1252"/>
  <c r="K27" i="1252"/>
  <c r="I27" i="1252"/>
  <c r="G27" i="1252"/>
  <c r="E27" i="1252"/>
  <c r="C27" i="1252"/>
  <c r="K26" i="1252"/>
  <c r="I26" i="1252"/>
  <c r="G26" i="1252"/>
  <c r="E26" i="1252"/>
  <c r="C26" i="1252"/>
  <c r="K25" i="1252"/>
  <c r="I25" i="1252"/>
  <c r="G25" i="1252"/>
  <c r="E25" i="1252"/>
  <c r="C25" i="1252"/>
  <c r="K21" i="1252"/>
  <c r="I21" i="1252"/>
  <c r="G21" i="1252"/>
  <c r="E21" i="1252"/>
  <c r="C21" i="1252"/>
  <c r="K20" i="1252"/>
  <c r="I20" i="1252"/>
  <c r="G20" i="1252"/>
  <c r="E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E15" i="1252"/>
  <c r="C15" i="1252"/>
  <c r="K11" i="1252"/>
  <c r="I11" i="1252"/>
  <c r="G11" i="1252"/>
  <c r="E11" i="1252"/>
  <c r="I10" i="1252"/>
  <c r="E10" i="1252"/>
  <c r="K9" i="1252"/>
  <c r="I9" i="1252"/>
  <c r="G9" i="1252"/>
  <c r="E9" i="1252"/>
  <c r="K8" i="1252"/>
  <c r="I8" i="1252"/>
  <c r="G8" i="1252"/>
  <c r="E8" i="1252"/>
  <c r="K7" i="1252"/>
  <c r="I7" i="1252"/>
  <c r="G7" i="1252"/>
  <c r="E7" i="1252"/>
  <c r="K6" i="1252"/>
  <c r="I6" i="1252"/>
  <c r="G6" i="1252"/>
  <c r="E6" i="1252"/>
  <c r="K5" i="1252"/>
  <c r="I5" i="1252"/>
  <c r="G5" i="1252"/>
  <c r="E5" i="1252"/>
  <c r="C26" i="760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K25" i="760"/>
  <c r="I25" i="760"/>
  <c r="G25" i="760"/>
  <c r="E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L25" i="1288" l="1"/>
  <c r="H25" i="1288"/>
  <c r="G25" i="1288"/>
  <c r="L24" i="1288"/>
  <c r="H24" i="1288"/>
  <c r="G24" i="1288"/>
  <c r="L23" i="1288"/>
  <c r="H23" i="1288"/>
  <c r="G23" i="1288"/>
  <c r="L22" i="1288"/>
  <c r="H22" i="1288"/>
  <c r="G22" i="1288"/>
  <c r="L21" i="1288"/>
  <c r="H21" i="1288"/>
  <c r="G21" i="1288"/>
  <c r="L20" i="1288"/>
  <c r="H20" i="1288"/>
  <c r="G20" i="1288"/>
  <c r="L18" i="1288"/>
  <c r="H18" i="1288"/>
  <c r="L17" i="1288"/>
  <c r="H17" i="1288"/>
  <c r="G17" i="1288"/>
  <c r="L16" i="1288"/>
  <c r="H16" i="1288"/>
  <c r="G16" i="1288"/>
  <c r="L15" i="1288"/>
  <c r="H15" i="1288"/>
  <c r="G15" i="1288"/>
  <c r="L13" i="1288"/>
  <c r="H13" i="1288"/>
  <c r="G13" i="1288"/>
  <c r="L12" i="1288"/>
  <c r="H12" i="1288"/>
  <c r="G12" i="1288"/>
  <c r="L11" i="1288"/>
  <c r="H11" i="1288"/>
  <c r="G11" i="1288"/>
  <c r="L9" i="1288"/>
  <c r="H9" i="1288"/>
  <c r="G9" i="1288"/>
  <c r="L8" i="1288"/>
  <c r="H8" i="1288"/>
  <c r="G8" i="1288"/>
  <c r="L7" i="1288"/>
  <c r="H7" i="1288"/>
  <c r="G7" i="1288"/>
  <c r="L5" i="1288"/>
  <c r="H5" i="1288"/>
  <c r="G5" i="1288"/>
  <c r="L4" i="1288"/>
  <c r="H4" i="1288"/>
  <c r="G4" i="1288"/>
  <c r="L3" i="1288"/>
  <c r="H3" i="1288"/>
  <c r="G3" i="1288"/>
  <c r="I11" i="760" l="1"/>
  <c r="I10" i="760"/>
  <c r="I9" i="760"/>
  <c r="I8" i="760"/>
  <c r="I7" i="760"/>
  <c r="I6" i="760"/>
  <c r="I5" i="760"/>
  <c r="E5" i="760" l="1"/>
  <c r="G5" i="760" l="1"/>
  <c r="K5" i="760"/>
  <c r="E6" i="760"/>
  <c r="G6" i="760"/>
  <c r="K6" i="760"/>
  <c r="E7" i="760"/>
  <c r="G7" i="760"/>
  <c r="K7" i="760"/>
  <c r="E8" i="760"/>
  <c r="G8" i="760"/>
  <c r="K8" i="760"/>
  <c r="E9" i="760"/>
  <c r="G9" i="760"/>
  <c r="K9" i="760"/>
  <c r="E10" i="760"/>
  <c r="G10" i="760"/>
  <c r="K10" i="760"/>
  <c r="E11" i="760"/>
  <c r="G11" i="760"/>
  <c r="K11" i="760"/>
  <c r="G12" i="760"/>
  <c r="K12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4" i="21"/>
  <c r="AO54" i="21" s="1"/>
  <c r="AL54" i="21"/>
  <c r="AJ54" i="21"/>
  <c r="AI54" i="21" s="1"/>
  <c r="AF54" i="21"/>
  <c r="AD54" i="21"/>
  <c r="AC54" i="21" s="1"/>
  <c r="X54" i="21"/>
  <c r="O54" i="21"/>
  <c r="AP42" i="21"/>
  <c r="AO42" i="21" s="1"/>
  <c r="AL42" i="21"/>
  <c r="AJ42" i="21"/>
  <c r="AI42" i="21" s="1"/>
  <c r="AF42" i="21"/>
  <c r="AC42" i="21"/>
  <c r="AB42" i="21"/>
  <c r="X42" i="21"/>
  <c r="O42" i="21"/>
  <c r="AP53" i="21"/>
  <c r="AN53" i="21" s="1"/>
  <c r="AL53" i="21"/>
  <c r="AJ53" i="21"/>
  <c r="AH53" i="21" s="1"/>
  <c r="AF53" i="21"/>
  <c r="AD53" i="21"/>
  <c r="AB53" i="21" s="1"/>
  <c r="X53" i="21"/>
  <c r="O53" i="21"/>
  <c r="AP136" i="21"/>
  <c r="AN136" i="21" s="1"/>
  <c r="AL136" i="21"/>
  <c r="AJ136" i="21"/>
  <c r="AH136" i="21" s="1"/>
  <c r="AF136" i="21"/>
  <c r="AD136" i="21"/>
  <c r="AB136" i="21" s="1"/>
  <c r="X136" i="21"/>
  <c r="O136" i="21"/>
  <c r="AP158" i="21"/>
  <c r="AO158" i="21" s="1"/>
  <c r="AL158" i="21"/>
  <c r="AJ158" i="21"/>
  <c r="AI158" i="21" s="1"/>
  <c r="AF158" i="21"/>
  <c r="AD158" i="21"/>
  <c r="AC158" i="21" s="1"/>
  <c r="X158" i="21"/>
  <c r="O158" i="21"/>
  <c r="AP131" i="21"/>
  <c r="AO131" i="21" s="1"/>
  <c r="AL131" i="21"/>
  <c r="AJ131" i="21"/>
  <c r="AI131" i="21" s="1"/>
  <c r="AF131" i="21"/>
  <c r="AD131" i="21"/>
  <c r="X131" i="21"/>
  <c r="O131" i="21"/>
  <c r="AP201" i="21"/>
  <c r="AL201" i="21"/>
  <c r="AJ201" i="21"/>
  <c r="AH201" i="21" s="1"/>
  <c r="AF201" i="21"/>
  <c r="X201" i="21"/>
  <c r="O201" i="21"/>
  <c r="AP146" i="21"/>
  <c r="AO146" i="21" s="1"/>
  <c r="AL146" i="21"/>
  <c r="AJ146" i="21"/>
  <c r="AI146" i="21" s="1"/>
  <c r="AD146" i="21"/>
  <c r="AB146" i="21" s="1"/>
  <c r="O146" i="21"/>
  <c r="AP197" i="21"/>
  <c r="AN197" i="21" s="1"/>
  <c r="AL197" i="21"/>
  <c r="AJ197" i="21"/>
  <c r="AD197" i="21"/>
  <c r="AC197" i="21" s="1"/>
  <c r="O197" i="21"/>
  <c r="AP138" i="21"/>
  <c r="AO138" i="21" s="1"/>
  <c r="AL138" i="21"/>
  <c r="AJ138" i="21"/>
  <c r="AI138" i="21" s="1"/>
  <c r="AF138" i="21"/>
  <c r="AD138" i="21"/>
  <c r="AC138" i="21" s="1"/>
  <c r="X138" i="21"/>
  <c r="O138" i="21"/>
  <c r="AP205" i="21"/>
  <c r="AJ205" i="21"/>
  <c r="O205" i="21"/>
  <c r="AP207" i="21"/>
  <c r="AJ207" i="21"/>
  <c r="O207" i="21"/>
  <c r="AP191" i="21"/>
  <c r="AO191" i="21" s="1"/>
  <c r="AL191" i="21"/>
  <c r="AJ191" i="21"/>
  <c r="AI191" i="21" s="1"/>
  <c r="AF191" i="21"/>
  <c r="AD191" i="21"/>
  <c r="AC191" i="21" s="1"/>
  <c r="X191" i="21"/>
  <c r="O19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5" i="21"/>
  <c r="AN125" i="21" s="1"/>
  <c r="AL125" i="21"/>
  <c r="AJ125" i="21"/>
  <c r="AH125" i="21" s="1"/>
  <c r="AF125" i="21"/>
  <c r="AD125" i="21"/>
  <c r="AB125" i="21" s="1"/>
  <c r="X125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1" i="21"/>
  <c r="AJ91" i="21"/>
  <c r="AF91" i="21"/>
  <c r="AD91" i="21"/>
  <c r="X91" i="21"/>
  <c r="U91" i="21"/>
  <c r="T91" i="21"/>
  <c r="S91" i="21"/>
  <c r="Q91" i="21"/>
  <c r="P91" i="21"/>
  <c r="O91" i="21"/>
  <c r="AL67" i="21"/>
  <c r="AJ67" i="21"/>
  <c r="AF67" i="21"/>
  <c r="AD67" i="21"/>
  <c r="X67" i="21"/>
  <c r="U67" i="21"/>
  <c r="T67" i="21"/>
  <c r="S67" i="21"/>
  <c r="Q67" i="21"/>
  <c r="P67" i="21"/>
  <c r="O67" i="21"/>
  <c r="AL61" i="21"/>
  <c r="AJ61" i="21"/>
  <c r="AF61" i="21"/>
  <c r="AD61" i="21"/>
  <c r="X61" i="21"/>
  <c r="U61" i="21"/>
  <c r="T61" i="21"/>
  <c r="S61" i="21"/>
  <c r="Q61" i="21"/>
  <c r="P61" i="21"/>
  <c r="O61" i="21"/>
  <c r="AL10" i="21"/>
  <c r="AJ10" i="21"/>
  <c r="AF10" i="21"/>
  <c r="AD10" i="21"/>
  <c r="X10" i="21"/>
  <c r="U10" i="21"/>
  <c r="T10" i="21"/>
  <c r="S10" i="21"/>
  <c r="Q10" i="21"/>
  <c r="P10" i="21"/>
  <c r="O10" i="21"/>
  <c r="AL87" i="21"/>
  <c r="AJ87" i="21"/>
  <c r="AF87" i="21"/>
  <c r="AD87" i="21"/>
  <c r="X87" i="21"/>
  <c r="U87" i="21"/>
  <c r="T87" i="21"/>
  <c r="S87" i="21"/>
  <c r="Q87" i="21"/>
  <c r="P87" i="21"/>
  <c r="AH87" i="21" s="1"/>
  <c r="O87" i="21"/>
  <c r="AL86" i="21"/>
  <c r="AJ86" i="21"/>
  <c r="AF86" i="21"/>
  <c r="AD86" i="21"/>
  <c r="X86" i="21"/>
  <c r="U86" i="21"/>
  <c r="T86" i="21"/>
  <c r="S86" i="21"/>
  <c r="Q86" i="21"/>
  <c r="P86" i="21"/>
  <c r="O86" i="21"/>
  <c r="AL88" i="21"/>
  <c r="AJ88" i="21"/>
  <c r="AF88" i="21"/>
  <c r="AD88" i="21"/>
  <c r="X88" i="21"/>
  <c r="U88" i="21"/>
  <c r="T88" i="21"/>
  <c r="S88" i="21"/>
  <c r="Q88" i="21"/>
  <c r="P88" i="21"/>
  <c r="O88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2" i="21"/>
  <c r="AJ122" i="21"/>
  <c r="AF122" i="21"/>
  <c r="AD122" i="21"/>
  <c r="X122" i="21"/>
  <c r="U122" i="21"/>
  <c r="T122" i="21"/>
  <c r="S122" i="21"/>
  <c r="Q122" i="21"/>
  <c r="P122" i="21"/>
  <c r="O122" i="21"/>
  <c r="AL68" i="21"/>
  <c r="AJ68" i="21"/>
  <c r="AF68" i="21"/>
  <c r="AD68" i="21"/>
  <c r="X68" i="21"/>
  <c r="U68" i="21"/>
  <c r="T68" i="21"/>
  <c r="S68" i="21"/>
  <c r="Q68" i="21"/>
  <c r="P68" i="21"/>
  <c r="O68" i="21"/>
  <c r="AL75" i="21"/>
  <c r="AJ75" i="21"/>
  <c r="AF75" i="21"/>
  <c r="AD75" i="21"/>
  <c r="X75" i="21"/>
  <c r="U75" i="21"/>
  <c r="T75" i="21"/>
  <c r="S75" i="21"/>
  <c r="Q75" i="21"/>
  <c r="P75" i="21"/>
  <c r="O75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8" i="21"/>
  <c r="AJ108" i="21"/>
  <c r="AF108" i="21"/>
  <c r="AD108" i="21"/>
  <c r="X108" i="21"/>
  <c r="U108" i="21"/>
  <c r="T108" i="21"/>
  <c r="S108" i="21"/>
  <c r="Q108" i="21"/>
  <c r="P108" i="21"/>
  <c r="AH108" i="21" s="1"/>
  <c r="O108" i="21"/>
  <c r="AL30" i="21"/>
  <c r="AJ30" i="21"/>
  <c r="AF30" i="21"/>
  <c r="AD30" i="21"/>
  <c r="X30" i="21"/>
  <c r="U30" i="21"/>
  <c r="T30" i="21"/>
  <c r="S30" i="21"/>
  <c r="Q30" i="21"/>
  <c r="P30" i="21"/>
  <c r="O30" i="21"/>
  <c r="AL107" i="21"/>
  <c r="AJ107" i="21"/>
  <c r="AF107" i="21"/>
  <c r="AD107" i="21"/>
  <c r="X107" i="21"/>
  <c r="U107" i="21"/>
  <c r="T107" i="21"/>
  <c r="S107" i="21"/>
  <c r="Q107" i="21"/>
  <c r="P107" i="21"/>
  <c r="O107" i="21"/>
  <c r="AL65" i="21"/>
  <c r="AJ65" i="21"/>
  <c r="AF65" i="21"/>
  <c r="AD65" i="21"/>
  <c r="X65" i="21"/>
  <c r="U65" i="21"/>
  <c r="T65" i="21"/>
  <c r="S65" i="21"/>
  <c r="Q65" i="21"/>
  <c r="P65" i="21"/>
  <c r="O65" i="21"/>
  <c r="AL73" i="21"/>
  <c r="AJ73" i="21"/>
  <c r="AF73" i="21"/>
  <c r="AD73" i="21"/>
  <c r="X73" i="21"/>
  <c r="U73" i="21"/>
  <c r="T73" i="21"/>
  <c r="S73" i="21"/>
  <c r="Q73" i="21"/>
  <c r="P73" i="21"/>
  <c r="O73" i="21"/>
  <c r="AL6" i="21"/>
  <c r="AJ6" i="21"/>
  <c r="AF6" i="21"/>
  <c r="AD6" i="21"/>
  <c r="X6" i="21"/>
  <c r="U6" i="21"/>
  <c r="T6" i="21"/>
  <c r="S6" i="21"/>
  <c r="Q6" i="21"/>
  <c r="P6" i="21"/>
  <c r="O6" i="21"/>
  <c r="AL74" i="21"/>
  <c r="AJ74" i="21"/>
  <c r="AF74" i="21"/>
  <c r="AD74" i="21"/>
  <c r="X74" i="21"/>
  <c r="U74" i="21"/>
  <c r="T74" i="21"/>
  <c r="S74" i="21"/>
  <c r="Q74" i="21"/>
  <c r="P74" i="21"/>
  <c r="O74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9" i="21"/>
  <c r="AJ79" i="21"/>
  <c r="AF79" i="21"/>
  <c r="AD79" i="21"/>
  <c r="X79" i="21"/>
  <c r="U79" i="21"/>
  <c r="T79" i="21"/>
  <c r="S79" i="21"/>
  <c r="Q79" i="21"/>
  <c r="P79" i="21"/>
  <c r="O79" i="21"/>
  <c r="AL46" i="21"/>
  <c r="AJ46" i="21"/>
  <c r="AF46" i="21"/>
  <c r="AD46" i="21"/>
  <c r="X46" i="21"/>
  <c r="U46" i="21"/>
  <c r="T46" i="21"/>
  <c r="S46" i="21"/>
  <c r="Q46" i="21"/>
  <c r="P46" i="21"/>
  <c r="O46" i="21"/>
  <c r="AH86" i="21" l="1"/>
  <c r="AH22" i="21"/>
  <c r="AH10" i="21"/>
  <c r="AH73" i="21"/>
  <c r="AH30" i="21"/>
  <c r="AH75" i="21"/>
  <c r="AH6" i="21"/>
  <c r="AH67" i="21"/>
  <c r="AH19" i="21"/>
  <c r="AH91" i="21"/>
  <c r="AH79" i="21"/>
  <c r="AH43" i="21"/>
  <c r="AH25" i="21"/>
  <c r="AH88" i="21"/>
  <c r="AB46" i="21"/>
  <c r="AB65" i="21"/>
  <c r="AC30" i="21"/>
  <c r="AB68" i="21"/>
  <c r="AC61" i="21"/>
  <c r="AC87" i="21"/>
  <c r="AH65" i="21"/>
  <c r="AB74" i="21"/>
  <c r="AC53" i="21"/>
  <c r="AI61" i="21"/>
  <c r="AC91" i="21"/>
  <c r="AB54" i="21"/>
  <c r="AB61" i="21"/>
  <c r="AI201" i="21"/>
  <c r="AH131" i="21"/>
  <c r="AH158" i="21"/>
  <c r="AI136" i="21"/>
  <c r="AN54" i="21"/>
  <c r="AI75" i="21"/>
  <c r="AI88" i="21"/>
  <c r="AB91" i="21"/>
  <c r="AC65" i="21"/>
  <c r="AH152" i="21"/>
  <c r="AN138" i="21"/>
  <c r="AO136" i="21"/>
  <c r="AB108" i="21"/>
  <c r="AC73" i="21"/>
  <c r="AH68" i="21"/>
  <c r="AC46" i="21"/>
  <c r="AC19" i="21"/>
  <c r="AI73" i="21"/>
  <c r="AC68" i="21"/>
  <c r="AC28" i="21"/>
  <c r="AB88" i="21"/>
  <c r="AC86" i="21"/>
  <c r="AB4" i="21"/>
  <c r="AI19" i="21"/>
  <c r="AB86" i="21"/>
  <c r="AC79" i="21"/>
  <c r="AB11" i="21"/>
  <c r="AH74" i="21"/>
  <c r="AI30" i="21"/>
  <c r="AC75" i="21"/>
  <c r="AB43" i="21"/>
  <c r="AB22" i="21"/>
  <c r="AC4" i="21"/>
  <c r="AB138" i="21"/>
  <c r="AB197" i="21"/>
  <c r="AO197" i="21"/>
  <c r="AC136" i="21"/>
  <c r="AO53" i="21"/>
  <c r="AH54" i="21"/>
  <c r="AB19" i="21"/>
  <c r="AN4" i="21"/>
  <c r="AB31" i="21"/>
  <c r="AI53" i="21"/>
  <c r="AB6" i="21"/>
  <c r="AI65" i="21"/>
  <c r="AI107" i="21"/>
  <c r="AB30" i="21"/>
  <c r="AB25" i="21"/>
  <c r="AI68" i="21"/>
  <c r="AI122" i="21"/>
  <c r="AB28" i="21"/>
  <c r="AI87" i="21"/>
  <c r="AC107" i="21"/>
  <c r="AC122" i="21"/>
  <c r="AI86" i="21"/>
  <c r="AC67" i="21"/>
  <c r="AI4" i="21"/>
  <c r="AN31" i="21"/>
  <c r="AC31" i="21"/>
  <c r="AH31" i="21"/>
  <c r="AB191" i="21"/>
  <c r="AH191" i="21"/>
  <c r="AN191" i="21"/>
  <c r="AI46" i="21"/>
  <c r="AI79" i="21"/>
  <c r="AC74" i="21"/>
  <c r="AC6" i="21"/>
  <c r="AC108" i="21"/>
  <c r="AC25" i="21"/>
  <c r="AB10" i="21"/>
  <c r="AB79" i="21"/>
  <c r="AC11" i="21"/>
  <c r="AI74" i="21"/>
  <c r="AI6" i="21"/>
  <c r="AB73" i="21"/>
  <c r="AB107" i="21"/>
  <c r="AI108" i="21"/>
  <c r="AI25" i="21"/>
  <c r="AB14" i="21"/>
  <c r="AB75" i="21"/>
  <c r="AB122" i="21"/>
  <c r="AC43" i="21"/>
  <c r="AI28" i="21"/>
  <c r="AC10" i="21"/>
  <c r="AI67" i="21"/>
  <c r="AO4" i="21"/>
  <c r="AO31" i="21"/>
  <c r="AI125" i="21"/>
  <c r="AN158" i="21"/>
  <c r="AI11" i="21"/>
  <c r="AI43" i="21"/>
  <c r="AI10" i="21"/>
  <c r="AB67" i="21"/>
  <c r="AI22" i="21"/>
  <c r="AC125" i="21"/>
  <c r="AN152" i="21"/>
  <c r="AH138" i="21"/>
  <c r="AC14" i="21"/>
  <c r="AH61" i="21"/>
  <c r="AH197" i="21"/>
  <c r="AI197" i="21"/>
  <c r="AH146" i="21"/>
  <c r="AN146" i="21"/>
  <c r="AC131" i="21"/>
  <c r="AB131" i="21"/>
  <c r="AH11" i="21"/>
  <c r="AH46" i="21"/>
  <c r="AH107" i="21"/>
  <c r="AI14" i="21"/>
  <c r="AH122" i="21"/>
  <c r="AH28" i="21"/>
  <c r="AC88" i="21"/>
  <c r="AB87" i="21"/>
  <c r="AI91" i="21"/>
  <c r="AC22" i="21"/>
  <c r="AO125" i="21"/>
  <c r="AB152" i="21"/>
  <c r="AN201" i="21"/>
  <c r="AO201" i="21"/>
  <c r="AN131" i="21"/>
  <c r="AB158" i="21"/>
  <c r="AN42" i="21"/>
  <c r="AH42" i="21"/>
  <c r="AH4" i="21"/>
  <c r="AC146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8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8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6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7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7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8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2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3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3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18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0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72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11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54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83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90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<sst xmlns="http://schemas.openxmlformats.org/spreadsheetml/2006/main" count="5491" uniqueCount="2371">
  <si>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</si>
  <si>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</si>
  <si>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</si>
  <si>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</si>
  <si>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</si>
  <si>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</si>
  <si>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</si>
  <si>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</si>
  <si>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</si>
  <si>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</si>
  <si>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</si>
  <si>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</si>
  <si>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</si>
  <si>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</si>
  <si>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</si>
  <si>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</si>
  <si>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</si>
  <si>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</si>
  <si>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</si>
  <si>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</si>
  <si>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</si>
  <si>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</si>
  <si>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</si>
  <si>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</si>
  <si>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</si>
  <si>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</si>
  <si>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</si>
  <si>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</si>
  <si>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</si>
  <si>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</si>
  <si>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</si>
  <si>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</si>
  <si>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</si>
  <si>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</si>
  <si>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</si>
  <si>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</si>
  <si>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</si>
  <si>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</si>
  <si>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</si>
  <si>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</si>
  <si>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</si>
  <si>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</si>
  <si>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</si>
  <si>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</si>
  <si>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</si>
  <si>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</si>
  <si>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</si>
  <si>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</si>
  <si>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</si>
  <si>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</si>
  <si>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</si>
  <si>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</si>
  <si>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</si>
  <si>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</si>
  <si>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</si>
  <si>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</si>
  <si>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</si>
  <si>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</si>
  <si>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</si>
  <si>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</si>
  <si>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</si>
  <si>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</si>
  <si>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</si>
  <si>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</si>
  <si>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</si>
  <si>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</si>
  <si>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</si>
  <si>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</si>
  <si>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</si>
  <si>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</si>
  <si>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</si>
  <si>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</si>
  <si>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</si>
  <si>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</si>
  <si>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</si>
  <si>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</si>
  <si>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</si>
  <si>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</si>
  <si>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</si>
  <si>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</si>
  <si>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</si>
  <si>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</si>
  <si>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</si>
  <si>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</si>
  <si>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</si>
  <si>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</si>
  <si>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</si>
  <si>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</si>
  <si>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</si>
  <si>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</si>
  <si>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</si>
  <si>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</si>
  <si>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</si>
  <si>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</si>
  <si>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</si>
  <si>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</si>
  <si>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</si>
  <si>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</si>
  <si>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</si>
  <si>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</si>
  <si>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</si>
  <si>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</si>
  <si>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</si>
  <si>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</si>
  <si>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</si>
  <si>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</si>
  <si>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</si>
  <si>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</si>
  <si>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</si>
  <si>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</si>
  <si>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</si>
  <si>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</si>
  <si>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</si>
  <si>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</si>
  <si>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</si>
  <si>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</si>
  <si>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</si>
  <si>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</si>
  <si>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</si>
  <si>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</si>
  <si>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</si>
  <si>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</si>
  <si>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</si>
  <si>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</si>
  <si>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</si>
  <si>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</si>
  <si>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</si>
  <si>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</si>
  <si>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</si>
  <si>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</si>
  <si>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</si>
  <si>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</si>
  <si>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</si>
  <si>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</si>
  <si>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</si>
  <si>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</si>
  <si>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</si>
  <si>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</si>
  <si>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</si>
  <si>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</si>
  <si>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</si>
  <si>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</si>
  <si>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</si>
  <si>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</si>
  <si>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</si>
  <si>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</si>
  <si>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</si>
  <si>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</si>
  <si>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</si>
  <si>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</si>
  <si>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</si>
  <si>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</si>
  <si>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</si>
  <si>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</si>
  <si>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</si>
  <si>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</si>
  <si>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</si>
  <si>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</si>
  <si>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</si>
  <si>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</si>
  <si>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</si>
  <si>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</si>
  <si>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</si>
  <si>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</si>
  <si>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</si>
  <si>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</si>
  <si>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</si>
  <si>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</si>
  <si>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</si>
  <si>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</si>
  <si>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</si>
  <si>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</si>
  <si>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</si>
  <si>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</si>
  <si>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</si>
  <si>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</si>
  <si>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</si>
  <si>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</si>
  <si>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</si>
  <si>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</si>
  <si>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</si>
  <si>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</si>
  <si>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</si>
  <si>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</si>
  <si>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</si>
  <si>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</si>
  <si>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</si>
  <si>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</si>
  <si>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</si>
  <si>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</si>
  <si>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</si>
  <si>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</si>
  <si>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</si>
  <si>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</si>
  <si>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</si>
  <si>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</si>
  <si>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</si>
  <si>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</si>
  <si>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</si>
  <si>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</si>
  <si>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</si>
  <si>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</si>
  <si>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</si>
  <si>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</si>
  <si>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</si>
  <si>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</si>
  <si>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</si>
  <si>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</si>
  <si>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</si>
  <si>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</si>
  <si>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</si>
  <si>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</si>
  <si>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</si>
  <si>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</si>
  <si>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</si>
  <si>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</si>
  <si>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</si>
  <si>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</si>
  <si>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</si>
  <si>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</si>
  <si>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</si>
  <si>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</si>
  <si>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</si>
  <si>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</si>
  <si>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</si>
  <si>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</si>
  <si>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</si>
  <si>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</si>
  <si>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</si>
  <si>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</si>
  <si>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</si>
  <si>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</si>
  <si>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</si>
  <si>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</si>
  <si>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</si>
  <si>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</si>
  <si>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</si>
  <si>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</si>
  <si>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</si>
  <si>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</si>
  <si>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</si>
  <si>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</si>
  <si>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</si>
  <si>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</si>
  <si>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</si>
  <si>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</si>
  <si>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</si>
  <si>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</si>
  <si>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</si>
  <si>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</si>
  <si>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</si>
  <si>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</si>
  <si>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</si>
  <si>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</si>
  <si>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</si>
  <si>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</si>
  <si>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</si>
  <si>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</si>
  <si>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</si>
  <si>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</si>
  <si>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</si>
  <si>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</si>
  <si>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</si>
  <si>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</si>
  <si>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</si>
  <si>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</si>
  <si>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</si>
  <si>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</si>
  <si>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</si>
  <si>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</si>
  <si>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</si>
  <si>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</si>
  <si>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</si>
  <si>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</si>
  <si>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</si>
  <si>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</si>
  <si>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</si>
  <si>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</si>
  <si>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</si>
  <si>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</si>
  <si>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</si>
  <si>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</si>
  <si>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</si>
  <si>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</si>
  <si>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</si>
  <si>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</si>
  <si>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</si>
  <si>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</si>
  <si>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</si>
  <si>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</si>
  <si>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</si>
  <si>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</si>
  <si>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</si>
  <si>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</si>
  <si>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</si>
  <si>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</si>
  <si>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</si>
  <si>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</si>
  <si>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</si>
  <si>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</si>
  <si>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</si>
  <si>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</si>
  <si>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</si>
  <si>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</si>
  <si>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</si>
  <si>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</si>
  <si>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</si>
  <si>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</si>
  <si>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</si>
  <si>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</si>
  <si>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</si>
  <si>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</si>
  <si>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</si>
  <si>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</si>
  <si>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</si>
  <si>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</si>
  <si>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</si>
  <si>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</si>
  <si>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</si>
  <si>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</si>
  <si>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</si>
  <si>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</si>
  <si>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</si>
  <si>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</si>
  <si>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</si>
  <si>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</si>
  <si>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</si>
  <si>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</si>
  <si>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</si>
  <si>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</si>
  <si>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</si>
  <si>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</si>
  <si>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</si>
  <si>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</si>
  <si>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</si>
  <si>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</si>
  <si>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</si>
  <si>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</si>
  <si>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</si>
  <si>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</si>
  <si>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</si>
  <si>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</si>
  <si>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</si>
  <si>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</si>
  <si>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</si>
  <si>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</si>
  <si>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</si>
  <si>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</si>
  <si>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</si>
  <si>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</si>
  <si>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</si>
  <si>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</si>
  <si>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</si>
  <si>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</si>
  <si>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</si>
  <si>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</si>
  <si>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</si>
  <si>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</si>
  <si>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</si>
  <si>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</si>
  <si>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</si>
  <si>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</si>
  <si>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</si>
  <si>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</si>
  <si>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</si>
  <si>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</si>
  <si>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</si>
  <si>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</si>
  <si>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</si>
  <si>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</si>
  <si>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</si>
  <si>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</si>
  <si>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</si>
  <si>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</si>
  <si>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</si>
  <si>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</si>
  <si>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</si>
  <si>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</si>
  <si>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</si>
  <si>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</si>
  <si>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</si>
  <si>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</si>
  <si>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</si>
  <si>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</si>
  <si>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</si>
  <si>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</si>
  <si>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</si>
  <si>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</si>
  <si>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</si>
  <si>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</si>
  <si>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</si>
  <si>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</si>
  <si>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</si>
  <si>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</si>
  <si>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</si>
  <si>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</si>
  <si>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</si>
  <si>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</si>
  <si>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</si>
  <si>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</si>
  <si>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</si>
  <si>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</si>
  <si>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</si>
  <si>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</si>
  <si>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</si>
  <si>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</si>
  <si>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</si>
  <si>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</si>
  <si>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</si>
  <si>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</si>
  <si>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</si>
  <si>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</si>
  <si>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</si>
  <si>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</si>
  <si>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</si>
  <si>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</si>
  <si>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</si>
  <si>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</si>
  <si>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</si>
  <si>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</si>
  <si>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</si>
  <si>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</si>
  <si>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</si>
  <si>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</si>
  <si>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</si>
  <si>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</si>
  <si>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</si>
  <si>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</si>
  <si>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</si>
  <si>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</si>
  <si>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</si>
  <si>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</si>
  <si>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</si>
  <si>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</si>
  <si>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</si>
  <si>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</si>
  <si>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</si>
  <si>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</si>
  <si>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</si>
  <si>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</si>
  <si>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</si>
  <si>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</si>
  <si>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</si>
  <si>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</si>
  <si>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</si>
  <si>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</si>
  <si>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</si>
  <si>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</si>
  <si>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</si>
  <si>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</si>
  <si>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</si>
  <si>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</si>
  <si>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</si>
  <si>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</si>
  <si>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</si>
  <si>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</si>
  <si>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</si>
  <si>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</si>
  <si>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</si>
  <si>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</si>
  <si>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</si>
  <si>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</si>
  <si>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</si>
  <si>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</si>
  <si>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</si>
  <si>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</si>
  <si>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</si>
  <si>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</si>
  <si>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</si>
  <si>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</si>
  <si>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</si>
  <si>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</si>
  <si>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</si>
  <si>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</si>
  <si>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</si>
  <si>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</si>
  <si>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</si>
  <si>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</si>
  <si>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</si>
  <si>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</si>
  <si>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</si>
  <si>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</si>
  <si>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</si>
  <si>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</si>
  <si>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</si>
  <si>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</si>
  <si>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</si>
  <si>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</si>
  <si>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</si>
  <si>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</si>
  <si>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</si>
  <si>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</si>
  <si>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</si>
  <si>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</si>
  <si>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</si>
  <si>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</si>
  <si>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</si>
  <si>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</si>
  <si>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</si>
  <si>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</si>
  <si>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</si>
  <si>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</si>
  <si>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</si>
  <si>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</si>
  <si>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</si>
  <si>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</si>
  <si>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</si>
  <si>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</si>
  <si>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</si>
  <si>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</si>
  <si>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</si>
  <si>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</si>
  <si>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</si>
  <si>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</si>
  <si>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</si>
  <si>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</si>
  <si>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</si>
  <si>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</si>
  <si>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</si>
  <si>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</si>
  <si>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</si>
  <si>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</si>
  <si>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</si>
  <si>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</si>
  <si>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</si>
  <si>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</si>
  <si>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</si>
  <si>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</si>
  <si>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</si>
  <si>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</si>
  <si>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</si>
  <si>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</si>
  <si>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</si>
  <si>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</si>
  <si>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</si>
  <si>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</si>
  <si>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</si>
  <si>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</si>
  <si>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</si>
  <si>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</si>
  <si>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</si>
  <si>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</si>
  <si>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</si>
  <si>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</si>
  <si>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</si>
  <si>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</si>
  <si>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</si>
  <si>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</si>
  <si>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</si>
  <si>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</si>
  <si>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</si>
  <si>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</si>
  <si>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</si>
  <si>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</si>
  <si>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</si>
  <si>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</si>
  <si>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</si>
  <si>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</si>
  <si>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</si>
  <si>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</si>
  <si>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</si>
  <si>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</si>
  <si>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</si>
  <si>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</si>
  <si>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</si>
  <si>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</si>
  <si>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</si>
  <si>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</si>
  <si>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</si>
  <si>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</si>
  <si>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</si>
  <si>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</si>
  <si>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</si>
  <si>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</si>
  <si>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</si>
  <si>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</si>
  <si>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</si>
  <si>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</si>
  <si>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</si>
  <si>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</si>
  <si>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</si>
  <si>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</si>
  <si>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</si>
  <si>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</si>
  <si>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</si>
  <si>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</si>
  <si>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</si>
  <si>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</si>
  <si>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</si>
  <si>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</si>
  <si>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</si>
  <si>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</si>
  <si>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</si>
  <si>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</si>
  <si>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</si>
  <si>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</si>
  <si>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</si>
  <si>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</si>
  <si>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</si>
  <si>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</si>
  <si>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</si>
  <si>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</si>
  <si>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</si>
  <si>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</si>
  <si>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</si>
  <si>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</si>
  <si>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</si>
  <si>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</si>
  <si>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</si>
  <si>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</si>
  <si>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</si>
  <si>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</si>
  <si>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</si>
  <si>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</si>
  <si>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</si>
  <si>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</si>
  <si>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</si>
  <si>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</si>
  <si>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</si>
  <si>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</si>
  <si>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</si>
  <si>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</si>
  <si>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</si>
  <si>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</si>
  <si>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</si>
  <si>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</si>
  <si>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</si>
  <si>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</si>
  <si>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</si>
  <si>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</si>
  <si>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</si>
  <si>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</si>
  <si>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</si>
  <si>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</si>
  <si>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</si>
  <si>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</si>
  <si>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</si>
  <si>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</si>
  <si>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</si>
  <si>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</si>
  <si>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</si>
  <si>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</si>
  <si>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</si>
  <si>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</si>
  <si>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</si>
  <si>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</si>
  <si>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</si>
  <si>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</si>
  <si>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</si>
  <si>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</si>
  <si>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</si>
  <si>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</si>
  <si>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</si>
  <si>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</si>
  <si>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</si>
  <si>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</si>
  <si>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</si>
  <si>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</si>
  <si>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</si>
  <si>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</si>
  <si>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</si>
  <si>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</si>
  <si>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</si>
  <si>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</si>
  <si>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</si>
  <si>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</si>
  <si>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</si>
  <si>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</si>
  <si>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</si>
  <si>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</si>
  <si>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</si>
  <si>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</si>
  <si>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</si>
  <si>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</si>
  <si>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</si>
  <si>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</si>
  <si>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</si>
  <si>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</si>
  <si>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</si>
  <si>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</si>
  <si>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</si>
  <si>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</si>
  <si>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</si>
  <si>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</si>
  <si>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</si>
  <si>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</si>
  <si>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</si>
  <si>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</si>
  <si>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</si>
  <si>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</si>
  <si>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</si>
  <si>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</si>
  <si>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</si>
  <si>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</si>
  <si>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</si>
  <si>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</si>
  <si>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</si>
  <si>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</si>
  <si>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</si>
  <si>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</si>
  <si>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</si>
  <si>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</si>
  <si>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</si>
  <si>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</si>
  <si>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</si>
  <si>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</si>
  <si>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</si>
  <si>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</si>
  <si>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</si>
  <si>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</si>
  <si>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</si>
  <si>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</si>
  <si>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</si>
  <si>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</si>
  <si>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</si>
  <si>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</si>
  <si>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</si>
  <si>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</si>
  <si>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</si>
  <si>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</si>
  <si>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</si>
  <si>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</si>
  <si>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</si>
  <si>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</si>
  <si>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</si>
  <si>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</si>
  <si>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</si>
  <si>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</si>
  <si>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</si>
  <si>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</si>
  <si>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</si>
  <si>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</si>
  <si>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</si>
  <si>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</si>
  <si>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</si>
  <si>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</si>
  <si>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</si>
  <si>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</si>
  <si>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</si>
  <si>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</si>
  <si>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</si>
  <si>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</si>
  <si>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</si>
  <si>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</si>
  <si>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</si>
  <si>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</si>
  <si>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</si>
  <si>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</si>
  <si>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</si>
  <si>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</si>
  <si>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</si>
  <si>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</si>
  <si>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</si>
  <si>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</si>
  <si>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</si>
  <si>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</si>
  <si>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</si>
  <si>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</si>
  <si>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</si>
  <si>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</si>
  <si>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</si>
  <si>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</si>
  <si>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</si>
  <si>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</si>
  <si>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</si>
  <si>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</si>
  <si>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</si>
  <si>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</si>
  <si>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</si>
  <si>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</si>
  <si>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</si>
  <si>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</si>
  <si>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</si>
  <si>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</si>
  <si>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</si>
  <si>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</si>
  <si>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</si>
  <si>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</si>
  <si>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</si>
  <si>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</si>
  <si>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</si>
  <si>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</si>
  <si>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</si>
  <si>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</si>
  <si>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</si>
  <si>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</si>
  <si>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</si>
  <si>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</si>
  <si>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</si>
  <si>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</si>
  <si>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</si>
  <si>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</si>
  <si>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</si>
  <si>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</si>
  <si>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</si>
  <si>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</si>
  <si>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</si>
  <si>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</si>
  <si>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</si>
  <si>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</si>
  <si>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</si>
  <si>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</si>
  <si>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</si>
  <si>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</si>
  <si>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</si>
  <si>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</si>
  <si>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</si>
  <si>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</si>
  <si>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</si>
  <si>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</si>
  <si>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</si>
  <si>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</si>
  <si>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</si>
  <si>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</si>
  <si>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</si>
  <si>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</si>
  <si>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</si>
  <si>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</si>
  <si>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</si>
  <si>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</si>
  <si>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</si>
  <si>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</si>
  <si>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</si>
  <si>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</si>
  <si>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</si>
  <si>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</si>
  <si>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</si>
  <si>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</si>
  <si>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</si>
  <si>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</si>
  <si>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</si>
  <si>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</si>
  <si>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</si>
  <si>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</si>
  <si>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</si>
  <si>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</si>
  <si>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</si>
  <si>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</si>
  <si>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</si>
  <si>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</si>
  <si>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</si>
  <si>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</si>
  <si>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</si>
  <si>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</si>
  <si>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</si>
  <si>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</si>
  <si>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</si>
  <si>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</si>
  <si>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</si>
  <si>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</si>
  <si>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</si>
  <si>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</si>
  <si>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</si>
  <si>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</si>
  <si>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</si>
  <si>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</si>
  <si>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</si>
  <si>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</si>
  <si>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</si>
  <si>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</si>
  <si>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</si>
  <si>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</si>
  <si>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</si>
  <si>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</si>
  <si>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</si>
  <si>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</si>
  <si>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</si>
  <si>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</si>
  <si>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</si>
  <si>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</si>
  <si>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</si>
  <si>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</si>
  <si>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</si>
  <si>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</si>
  <si>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</si>
  <si>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</si>
  <si>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</si>
  <si>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</si>
  <si>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</si>
  <si>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</si>
  <si>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</si>
  <si>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</si>
  <si>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</si>
  <si>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</si>
  <si>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</si>
  <si>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</si>
  <si>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</si>
  <si>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</si>
  <si>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</si>
  <si>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</si>
  <si>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</si>
  <si>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</si>
  <si>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</si>
  <si>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</si>
  <si>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</si>
  <si>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</si>
  <si>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</si>
  <si>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</si>
  <si>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</si>
  <si>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</si>
  <si>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</si>
  <si>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</si>
  <si>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</si>
  <si>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</si>
  <si>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</si>
  <si>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</si>
  <si>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</si>
  <si>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</si>
  <si>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</si>
  <si>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</si>
  <si>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</si>
  <si>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</si>
  <si>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</si>
  <si>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</si>
  <si>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</si>
  <si>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</si>
  <si>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</si>
  <si>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</si>
  <si>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</si>
  <si>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</si>
  <si>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</si>
  <si>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</si>
  <si>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</si>
  <si>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</si>
  <si>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</si>
  <si>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</si>
  <si>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</si>
  <si>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</si>
  <si>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</si>
  <si>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</si>
  <si>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</si>
  <si>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</si>
  <si>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</si>
  <si>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</si>
  <si>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</si>
  <si>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</si>
  <si>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</si>
  <si>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</si>
  <si>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</si>
  <si>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</si>
  <si>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</si>
  <si>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</si>
  <si>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</si>
  <si>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</si>
  <si>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</si>
  <si>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</si>
  <si>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</si>
  <si>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</si>
  <si>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</si>
  <si>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</si>
  <si>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</si>
  <si>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</si>
  <si>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</si>
  <si>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</si>
  <si>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</si>
  <si>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</si>
  <si>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</si>
  <si>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</si>
  <si>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</si>
  <si>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</si>
  <si>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</si>
  <si>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</si>
  <si>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</si>
  <si>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</si>
  <si>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</si>
  <si>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</si>
  <si>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</si>
  <si>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</si>
  <si>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</si>
  <si>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</si>
  <si>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</si>
  <si>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</si>
  <si>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</si>
  <si>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</si>
  <si>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</si>
  <si>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</si>
  <si>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</si>
  <si>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</si>
  <si>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</si>
  <si>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</si>
  <si>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</si>
  <si>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</si>
  <si>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</si>
  <si>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</si>
  <si>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</si>
  <si>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</si>
  <si>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</si>
  <si>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</si>
  <si>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</si>
  <si>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</si>
  <si>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</si>
  <si>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</si>
  <si>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</si>
  <si>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</si>
  <si>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</si>
  <si>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</si>
  <si>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</si>
  <si>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</si>
  <si>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</si>
  <si>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</si>
  <si>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</si>
  <si>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</si>
  <si>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</si>
  <si>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</si>
  <si>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</si>
  <si>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</si>
  <si>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</si>
  <si>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</si>
  <si>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</si>
  <si>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</si>
  <si>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</si>
  <si>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</si>
  <si>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</si>
  <si>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</si>
  <si>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</si>
  <si>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</si>
  <si>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</si>
  <si>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</si>
  <si>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</si>
  <si>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</si>
  <si>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</si>
  <si>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</si>
  <si>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</si>
  <si>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</si>
  <si>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</si>
  <si>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</si>
  <si>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</si>
  <si>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</si>
  <si>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</si>
  <si>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</si>
  <si>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</si>
  <si>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</si>
  <si>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</si>
  <si>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</si>
  <si>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</si>
  <si>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</si>
  <si>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</si>
  <si>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</si>
  <si>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</si>
  <si>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</si>
  <si>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</si>
  <si>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</si>
  <si>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</si>
  <si>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</si>
  <si>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</si>
  <si>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</si>
  <si>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</si>
  <si>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</si>
  <si>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</si>
  <si>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</si>
  <si>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</si>
  <si>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</si>
  <si>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</si>
  <si>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</si>
  <si>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</si>
  <si>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</si>
  <si>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</si>
  <si>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</si>
  <si>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</si>
  <si>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</si>
  <si>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</si>
  <si>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</si>
  <si>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</si>
  <si>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</si>
  <si>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</si>
  <si>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</si>
  <si>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</si>
  <si>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</si>
  <si>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</si>
  <si>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</si>
  <si>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</si>
  <si>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</si>
  <si>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</si>
  <si>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</si>
  <si>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</si>
  <si>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</si>
  <si>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</si>
  <si>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</si>
  <si>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</si>
  <si>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</si>
  <si>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</si>
  <si>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</si>
  <si>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</si>
  <si>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</si>
  <si>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</si>
  <si>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</si>
  <si>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</si>
  <si>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</si>
  <si>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</si>
  <si>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</si>
  <si>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</si>
  <si>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</si>
  <si>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</si>
  <si>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</si>
  <si>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</si>
  <si>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</si>
  <si>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</si>
  <si>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</si>
  <si>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</si>
  <si>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</si>
  <si>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</si>
  <si>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</si>
  <si>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</si>
  <si>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</si>
  <si>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</si>
  <si>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</si>
  <si>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</si>
  <si>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</si>
  <si>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</si>
  <si>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</si>
  <si>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</si>
  <si>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</si>
  <si>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</si>
  <si>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</si>
  <si>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</si>
  <si>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</si>
  <si>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</si>
  <si>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</si>
  <si>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</si>
  <si>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</si>
  <si>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</si>
  <si>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</si>
  <si>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</si>
  <si>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</si>
  <si>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</si>
  <si>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</si>
  <si>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</si>
  <si>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</si>
  <si>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</si>
  <si>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</si>
  <si>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</si>
  <si>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</si>
  <si>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</si>
  <si>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</si>
  <si>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</si>
  <si>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</si>
  <si>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</si>
  <si>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</si>
  <si>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</si>
  <si>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</si>
  <si>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</si>
  <si>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</si>
  <si>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</si>
  <si>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</si>
  <si>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</si>
  <si>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</si>
  <si>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</si>
  <si>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</si>
  <si>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</si>
  <si>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</si>
  <si>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</si>
  <si>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</si>
  <si>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</si>
  <si>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</si>
  <si>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</si>
  <si>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</si>
  <si>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</si>
  <si>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</si>
  <si>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</si>
  <si>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</si>
  <si>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</si>
  <si>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</si>
  <si>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</si>
  <si>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</si>
  <si>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</si>
  <si>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</si>
  <si>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</si>
  <si>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</si>
  <si>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</si>
  <si>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</si>
  <si>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</si>
  <si>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</si>
  <si>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</si>
  <si>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</si>
  <si>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</si>
  <si>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</si>
  <si>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</si>
  <si>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</si>
  <si>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</si>
  <si>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</si>
  <si>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</si>
  <si>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</si>
  <si>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</si>
  <si>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</si>
  <si>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</si>
  <si>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</si>
  <si>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</si>
  <si>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</si>
  <si>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</si>
  <si>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</si>
  <si>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</si>
  <si>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</si>
  <si>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</si>
  <si>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</si>
  <si>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</si>
  <si>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</si>
  <si>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</si>
  <si>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</si>
  <si>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</si>
  <si>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</si>
  <si>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</si>
  <si>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</si>
  <si>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</si>
  <si>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</si>
  <si>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</si>
  <si>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</si>
  <si>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</si>
  <si>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</si>
  <si>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</si>
  <si>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</si>
  <si>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</si>
  <si>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</si>
  <si>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</si>
  <si>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</si>
  <si>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</si>
  <si>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</si>
  <si>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</si>
  <si>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</si>
  <si>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</si>
  <si>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</si>
  <si>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</si>
  <si>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</si>
  <si>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</si>
  <si>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</si>
  <si>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</si>
  <si>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</si>
  <si>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</si>
  <si>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</si>
  <si>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</si>
  <si>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</si>
  <si>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</si>
  <si>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</si>
  <si>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</si>
  <si>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</si>
  <si>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</si>
  <si>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</si>
  <si>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</si>
  <si>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</si>
  <si>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</si>
  <si>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</si>
  <si>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</si>
  <si>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</si>
  <si>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</si>
  <si>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</si>
  <si>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</si>
  <si>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</si>
  <si>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</si>
  <si>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</si>
  <si>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</si>
  <si>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</si>
  <si>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</si>
  <si>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</si>
  <si>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</si>
  <si>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</si>
  <si>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</si>
  <si>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</si>
  <si>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</si>
  <si>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</si>
  <si>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</si>
  <si>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</si>
  <si>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</si>
  <si>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</si>
  <si>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</si>
  <si>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</si>
  <si>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</si>
  <si>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</si>
  <si>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</si>
  <si>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</si>
  <si>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</si>
  <si>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</si>
  <si>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</si>
  <si>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</si>
  <si>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</si>
  <si>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</si>
  <si>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</si>
  <si>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</si>
  <si>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</si>
  <si>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</si>
  <si>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</si>
  <si>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</si>
  <si>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</si>
  <si>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</si>
  <si>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</si>
  <si>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</si>
  <si>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</si>
  <si>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</si>
  <si>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</si>
  <si>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</si>
  <si>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</si>
  <si>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</si>
  <si>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</si>
  <si>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</si>
  <si>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</si>
  <si>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</si>
  <si>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</si>
  <si>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</si>
  <si>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</si>
  <si>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</si>
  <si>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</si>
  <si>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</si>
  <si>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</si>
  <si>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</si>
  <si>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</si>
  <si>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</si>
  <si>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</si>
  <si>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</si>
  <si>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</si>
  <si>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</si>
  <si>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</si>
  <si>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</si>
  <si>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</si>
  <si>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</si>
  <si>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</si>
  <si>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</si>
  <si>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</si>
  <si>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</si>
  <si>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</si>
  <si>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</si>
  <si>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</si>
  <si>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</si>
  <si>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</si>
  <si>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</si>
  <si>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</si>
  <si>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</si>
  <si>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</si>
  <si>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</si>
  <si>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</si>
  <si>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</si>
  <si>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</si>
  <si>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</si>
  <si>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</si>
  <si>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</si>
  <si>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</si>
  <si>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</si>
  <si>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</si>
  <si>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</si>
  <si>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</si>
  <si>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</si>
  <si>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</si>
  <si>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</si>
  <si>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</si>
  <si>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</si>
  <si>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</si>
  <si>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</si>
  <si>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</si>
  <si>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</si>
  <si>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</si>
  <si>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</si>
  <si>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</si>
  <si>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</si>
  <si>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</si>
  <si>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</si>
  <si>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</si>
  <si>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</si>
  <si>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</si>
  <si>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</si>
  <si>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</si>
  <si>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</si>
  <si>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</si>
  <si>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</si>
  <si>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</si>
  <si>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</si>
  <si>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</si>
  <si>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</si>
  <si>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</si>
  <si>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</si>
  <si>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</si>
  <si>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</si>
  <si>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</si>
  <si>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</si>
  <si>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</si>
  <si>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</si>
  <si>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</si>
  <si>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</si>
  <si>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</si>
  <si>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</si>
  <si>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</si>
  <si>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</si>
  <si>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</si>
  <si>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</si>
  <si>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</si>
  <si>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</si>
  <si>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</si>
  <si>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</si>
  <si>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</si>
  <si>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</si>
  <si>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</si>
  <si>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</si>
  <si>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</si>
  <si>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</si>
  <si>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</si>
  <si>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</si>
  <si>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</si>
  <si>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</si>
  <si>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</si>
  <si>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</si>
  <si>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</si>
  <si>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</si>
  <si>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</si>
  <si>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</si>
  <si>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</si>
  <si>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</si>
  <si>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</si>
  <si>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</si>
  <si>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</si>
  <si>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</si>
  <si>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</si>
  <si>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</si>
  <si>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</si>
  <si>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</si>
  <si>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</si>
  <si>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</si>
  <si>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</si>
  <si>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</si>
  <si>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</si>
  <si>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</si>
  <si>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</si>
  <si>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</si>
  <si>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</si>
  <si>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</si>
  <si>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</si>
  <si>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</si>
  <si>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</si>
  <si>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</si>
  <si>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</si>
  <si>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</si>
  <si>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</si>
  <si>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</si>
  <si>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</si>
  <si>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</si>
  <si>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</si>
  <si>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</si>
  <si>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</si>
  <si>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</si>
  <si>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</si>
  <si>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</si>
  <si>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</si>
  <si>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</si>
  <si>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</si>
  <si>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</si>
  <si>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</si>
  <si>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</si>
  <si>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</si>
  <si>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</si>
  <si>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</si>
  <si>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</si>
  <si>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</si>
  <si>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</si>
  <si>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</si>
  <si>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</si>
  <si>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</si>
  <si>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</si>
  <si>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</si>
  <si>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</si>
  <si>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</si>
  <si>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</si>
  <si>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</si>
  <si>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</si>
  <si>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</si>
  <si>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</si>
  <si>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</si>
  <si>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</si>
  <si>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</si>
  <si>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</si>
  <si>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</si>
  <si>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</si>
  <si>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</si>
  <si>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</si>
  <si>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</si>
  <si>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</si>
  <si>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</si>
  <si>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</si>
  <si>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</si>
  <si>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</si>
  <si>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</si>
  <si>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</si>
  <si>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</si>
  <si>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</si>
  <si>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</si>
  <si>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</si>
  <si>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</si>
  <si>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</si>
  <si>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</si>
  <si>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</si>
  <si>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</si>
  <si>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</si>
  <si>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</si>
  <si>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</si>
  <si>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</si>
  <si>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</si>
  <si>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</si>
  <si>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</si>
  <si>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</si>
  <si>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</si>
  <si>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</si>
  <si>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</si>
  <si>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</si>
  <si>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</si>
  <si>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</si>
  <si>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</si>
  <si>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</si>
  <si>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</si>
  <si>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</si>
  <si>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</si>
  <si>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</si>
  <si>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</si>
  <si>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</si>
  <si>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</si>
  <si>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</si>
  <si>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</si>
  <si>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</si>
  <si>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</si>
  <si>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</si>
  <si>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</si>
  <si>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</si>
  <si>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</si>
  <si>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</si>
  <si>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</si>
  <si>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</si>
  <si>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</si>
  <si>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</si>
  <si>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</si>
  <si>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</si>
  <si>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</si>
  <si>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</si>
  <si>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</si>
  <si>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</si>
  <si>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</si>
  <si>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</si>
  <si>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</si>
  <si>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</si>
  <si>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</si>
  <si>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</si>
  <si>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</si>
  <si>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</si>
  <si>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</si>
  <si>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</si>
  <si>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</si>
  <si>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</si>
  <si>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</si>
  <si>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</si>
  <si>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</si>
  <si>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</si>
  <si>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</si>
  <si>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</si>
  <si>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</si>
  <si>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</si>
  <si>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</si>
  <si>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</si>
  <si>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</si>
  <si>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</si>
  <si>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</si>
  <si>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</si>
  <si>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</si>
  <si>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</si>
  <si>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</si>
  <si>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</si>
  <si>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</si>
  <si>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</si>
  <si>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</si>
  <si>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</si>
  <si>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</si>
  <si>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</si>
  <si>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</si>
  <si>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</si>
  <si>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</si>
  <si>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</si>
  <si>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</si>
  <si>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</si>
  <si>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</si>
  <si>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</si>
  <si>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</si>
  <si>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</si>
  <si>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</si>
  <si>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</si>
  <si>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</si>
  <si>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</si>
  <si>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</si>
  <si>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</si>
  <si>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</si>
  <si>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</si>
  <si>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</si>
  <si>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</si>
  <si>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</si>
  <si>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</si>
  <si>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</si>
  <si>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</si>
  <si>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</si>
  <si>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</si>
  <si>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</si>
  <si>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</si>
  <si>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</si>
  <si>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</si>
  <si>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</si>
  <si>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</si>
  <si>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</si>
  <si>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</si>
  <si>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</si>
  <si>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</si>
  <si>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</si>
  <si>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</si>
  <si>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</si>
  <si>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</si>
  <si>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</si>
  <si>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</si>
  <si>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</si>
  <si>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</si>
  <si>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</si>
  <si>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</si>
  <si>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</si>
  <si>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</si>
  <si>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</si>
  <si>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</si>
  <si>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</si>
  <si>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</si>
  <si>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</si>
  <si>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</si>
  <si>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</si>
  <si>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</si>
  <si>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</si>
  <si>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</si>
  <si>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</si>
  <si>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</si>
  <si>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</si>
  <si>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</si>
  <si>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</si>
  <si>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</si>
  <si>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</si>
  <si>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</si>
  <si>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</si>
  <si>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</si>
  <si>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</si>
  <si>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</si>
  <si>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</si>
  <si>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</si>
  <si>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</si>
  <si>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</si>
  <si>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</si>
  <si>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</si>
  <si>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</si>
  <si>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</si>
  <si>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</si>
  <si>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</si>
  <si>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</si>
  <si>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</si>
  <si>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</si>
  <si>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</si>
  <si>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</si>
  <si>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</si>
  <si>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</si>
  <si>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</si>
  <si>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</si>
  <si>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</si>
  <si>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</si>
  <si>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</si>
  <si>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</si>
  <si>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</si>
  <si>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</si>
  <si>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</si>
  <si>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</si>
  <si>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</si>
  <si>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</si>
  <si>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</si>
  <si>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</si>
  <si>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</si>
  <si>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</si>
  <si>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</si>
  <si>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</si>
  <si>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</si>
  <si>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</si>
  <si>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</si>
  <si>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</si>
  <si>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</si>
  <si>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</si>
  <si>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</si>
  <si>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</si>
  <si>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</si>
  <si>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</si>
  <si>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</si>
  <si>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</si>
  <si>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</si>
  <si>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</si>
  <si>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</si>
  <si>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</si>
  <si>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</si>
  <si>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</si>
  <si>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</si>
  <si>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</si>
  <si>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</si>
  <si>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</si>
  <si>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</si>
  <si>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</si>
  <si>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</si>
  <si>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</si>
  <si>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</si>
  <si>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</si>
  <si>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</si>
  <si>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</si>
  <si>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</si>
  <si>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</si>
  <si>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</si>
  <si>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</si>
  <si>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</si>
  <si>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</si>
  <si>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</si>
  <si>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</si>
  <si>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</si>
  <si>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</si>
  <si>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</si>
  <si>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</si>
  <si>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</si>
  <si>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</si>
  <si>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</si>
  <si>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</si>
  <si>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</si>
  <si>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</si>
  <si>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</si>
  <si>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</si>
  <si>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</si>
  <si>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</si>
  <si>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</si>
  <si>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</si>
  <si>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</si>
  <si>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</si>
  <si>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</si>
  <si>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</si>
  <si>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</si>
  <si>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</si>
  <si>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</si>
  <si>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</si>
  <si>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</si>
  <si>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</si>
  <si>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</si>
  <si>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</si>
  <si>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</si>
  <si>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</si>
  <si>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</si>
  <si>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</si>
  <si>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</si>
  <si>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</si>
  <si>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</si>
  <si>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</si>
  <si>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</si>
  <si>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</si>
  <si>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</si>
  <si>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</si>
  <si>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</si>
  <si>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</si>
  <si>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</si>
  <si>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</si>
  <si>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</si>
  <si>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</si>
  <si>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</si>
  <si>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</si>
  <si>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</si>
  <si>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</si>
  <si>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</si>
  <si>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</si>
  <si>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</si>
  <si>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</si>
  <si>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</si>
  <si>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</si>
  <si>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</si>
  <si>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</si>
  <si>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</si>
  <si>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</si>
  <si>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</si>
  <si>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</si>
  <si>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</si>
  <si>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</si>
  <si>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</si>
  <si>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</si>
  <si>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</si>
  <si>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</si>
  <si>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</si>
  <si>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</si>
  <si>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</si>
  <si>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</si>
  <si>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</si>
  <si>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</si>
  <si>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</si>
  <si>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</si>
  <si>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</si>
  <si>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</si>
  <si>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</si>
  <si>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</si>
  <si>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</si>
  <si>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</si>
  <si>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</si>
  <si>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</si>
  <si>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</si>
  <si>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</si>
  <si>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</si>
  <si>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</si>
  <si>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</si>
  <si>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</si>
  <si>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</si>
  <si>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</si>
  <si>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</si>
  <si>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</si>
  <si>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</si>
  <si>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</si>
  <si>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</si>
  <si>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</si>
  <si>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</si>
  <si>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</si>
  <si>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</si>
  <si>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</si>
  <si>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</si>
  <si>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</si>
  <si>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</si>
  <si>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</si>
  <si>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</si>
  <si>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</si>
  <si>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</si>
  <si>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</si>
  <si>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</si>
  <si>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</si>
  <si>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</si>
  <si>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</si>
  <si>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</si>
  <si>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</si>
  <si>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</si>
  <si>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</si>
  <si>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</si>
  <si>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</si>
  <si>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</si>
  <si>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</si>
  <si>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</si>
  <si>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</si>
  <si>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</si>
  <si>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</si>
  <si>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</si>
  <si>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</si>
  <si>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</si>
  <si>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</si>
  <si>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</si>
  <si>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</si>
  <si>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</si>
  <si>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</si>
  <si>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</si>
  <si>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</si>
  <si>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</si>
  <si>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</si>
  <si>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</si>
  <si>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</si>
  <si>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</si>
  <si>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</si>
  <si>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</si>
  <si>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</si>
  <si>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</si>
  <si>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</si>
  <si>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</si>
  <si>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</si>
  <si>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</si>
  <si>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</si>
  <si>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</si>
  <si>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</si>
  <si>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</si>
  <si>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</si>
  <si>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</si>
  <si>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</si>
  <si>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</si>
  <si>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</si>
  <si>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</si>
  <si>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</si>
  <si>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</si>
  <si>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</si>
  <si>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</si>
  <si>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</si>
  <si>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</si>
  <si>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</si>
  <si>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</si>
  <si>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</si>
  <si>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</si>
  <si>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</si>
  <si>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</si>
  <si>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</si>
  <si>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</si>
  <si>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</si>
  <si>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</si>
  <si>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</si>
  <si>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</si>
  <si>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</si>
  <si>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</si>
  <si>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</si>
  <si>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</si>
  <si>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</si>
  <si>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</si>
  <si>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</si>
  <si>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</si>
  <si>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</si>
  <si>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</si>
  <si>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</si>
  <si>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</si>
  <si>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</si>
  <si>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</si>
  <si>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</si>
  <si>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</si>
  <si>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</si>
  <si>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</si>
  <si>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</si>
  <si>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</si>
  <si>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샌드어묵볶음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</si>
  <si>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</si>
  <si>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</si>
  <si>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</si>
  <si>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</si>
  <si>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</si>
  <si>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</si>
  <si>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</si>
  <si>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</si>
  <si>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</si>
  <si>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</si>
  <si>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</si>
  <si>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</si>
  <si>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</si>
  <si>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</si>
  <si>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</si>
  <si>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</si>
  <si>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</si>
  <si>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</si>
  <si>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</si>
  <si>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</si>
  <si>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</si>
  <si>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</si>
  <si>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</si>
  <si>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</si>
  <si>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</si>
  <si>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</si>
  <si>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</si>
  <si>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</si>
  <si>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</si>
  <si>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</si>
  <si>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</si>
  <si>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</si>
  <si>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</si>
  <si>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</si>
  <si>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</si>
  <si>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</si>
  <si>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</si>
  <si>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</si>
  <si>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</si>
  <si>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</si>
  <si>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</si>
  <si>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대파계란국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</si>
  <si>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</si>
  <si>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</si>
  <si>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</si>
  <si>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</si>
  <si>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</si>
  <si>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</si>
  <si>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</si>
  <si>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</si>
  <si>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</si>
  <si>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</si>
  <si>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</si>
  <si>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</si>
  <si>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</si>
  <si>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</si>
  <si>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</si>
  <si>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</si>
  <si>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</si>
  <si>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</si>
  <si>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</si>
  <si>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</si>
  <si>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</si>
  <si>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</si>
  <si>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</si>
  <si>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</si>
  <si>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</si>
  <si>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</si>
  <si>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</si>
  <si>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</si>
  <si>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</si>
  <si>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</si>
  <si>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</si>
  <si>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</si>
  <si>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</si>
  <si>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</si>
  <si>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</si>
  <si>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</si>
  <si>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</si>
  <si>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</si>
  <si>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</si>
  <si>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</si>
  <si>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</si>
  <si>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</si>
  <si>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</si>
  <si>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</si>
  <si>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</si>
  <si>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</si>
  <si>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</si>
  <si>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</si>
  <si>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</si>
  <si>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</si>
  <si>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</si>
  <si>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</si>
  <si>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</si>
  <si>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</si>
  <si>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</si>
  <si>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</si>
  <si>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</si>
  <si>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</si>
  <si>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</si>
  <si>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</si>
  <si>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</si>
  <si>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</si>
  <si>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</si>
  <si>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</si>
  <si>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</si>
  <si>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</si>
  <si>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</si>
  <si>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</si>
  <si>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</si>
  <si>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</si>
  <si>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</si>
  <si>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</si>
  <si>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</si>
  <si>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</si>
  <si>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</si>
  <si>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</si>
  <si>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</si>
  <si>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</si>
  <si>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</si>
  <si>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</si>
  <si>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</si>
  <si>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</si>
  <si>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</si>
  <si>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</si>
  <si>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</si>
  <si>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</si>
  <si>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</si>
  <si>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</si>
  <si>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</si>
  <si>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</si>
  <si>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</si>
  <si>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</si>
  <si>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</si>
  <si>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</si>
  <si>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</si>
  <si>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</si>
  <si>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</si>
  <si>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</si>
  <si>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</si>
  <si>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</si>
  <si>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</si>
  <si>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</si>
  <si>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돼지고기(국산)80%, 느타리버섯(국내산)5%, 양파, 당근, 마늘, 간장, 굴소스, 대두유, , 후추, 참기름, 참깨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</si>
  <si>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</si>
  <si>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</si>
  <si>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</si>
  <si>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숙주나물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</si>
  <si>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</si>
  <si>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</si>
  <si>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</si>
  <si>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</si>
  <si>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</si>
  <si>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</si>
  <si>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</si>
  <si>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</si>
  <si>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</si>
  <si>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</si>
  <si>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김치찌개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</si>
  <si>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</si>
  <si>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</si>
  <si>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</si>
  <si>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</si>
  <si>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</si>
  <si>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</si>
  <si>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</si>
  <si>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</si>
  <si>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</si>
  <si>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</si>
  <si>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</si>
  <si>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</si>
  <si>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</si>
  <si>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</si>
  <si>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</si>
  <si>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>친환경현미쌀밥</t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</si>
  <si>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</si>
  <si>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</si>
  <si>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</si>
  <si>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</si>
  <si>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</si>
  <si>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</si>
  <si>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</si>
  <si>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</si>
  <si>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무나물</t>
    <phoneticPr fontId="12" type="noConversion"/>
  </si>
  <si>
    <t>무(국산)92%, 대파, 마늘, 대두유, 소금, 참기름,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</si>
  <si>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</si>
  <si>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</si>
  <si>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</si>
  <si>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흑임자연근SD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</si>
  <si>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</si>
  <si>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</si>
  <si>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</si>
  <si>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</si>
  <si>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</si>
  <si>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</si>
  <si>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</si>
  <si>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</si>
  <si>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비엔나케찹조림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</si>
  <si>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</si>
  <si>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</si>
  <si>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</si>
  <si>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</si>
  <si>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</si>
  <si>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</si>
  <si>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</si>
  <si>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</si>
  <si>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순살아귀콩나물국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</si>
  <si>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</si>
  <si>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</si>
  <si>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</si>
  <si>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</si>
  <si>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</si>
  <si>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</si>
  <si>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30g / 40g</t>
    <phoneticPr fontId="12" type="noConversion"/>
  </si>
  <si>
    <t>25g / 35g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</si>
  <si>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</si>
  <si>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</si>
  <si>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</si>
  <si>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</si>
  <si>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</si>
  <si>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</si>
  <si>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</si>
  <si>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</si>
  <si>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</si>
  <si>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</si>
  <si>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흰쌀밥</t>
    <phoneticPr fontId="12" type="noConversion"/>
  </si>
  <si>
    <t>매콤찜닭</t>
    <phoneticPr fontId="12" type="noConversion"/>
  </si>
  <si>
    <t>양념멸치볶음</t>
    <phoneticPr fontId="12" type="noConversion"/>
  </si>
  <si>
    <t>매콤돼지갈비찜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</si>
  <si>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</si>
  <si>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</si>
  <si>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</si>
  <si>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</si>
  <si>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데미그라스소스(시판용). 갈릭소스[다진마늘(마늘:중국산), 소맥(밀:미국산), 올리브오일(이탈리아), 참깨(중국산), 소금(국산)], 양파(국산)3%, 양송이버섯(국내산), 생크림, 우유</t>
    <phoneticPr fontId="12" type="noConversion"/>
  </si>
  <si>
    <t>30g / 35g</t>
    <phoneticPr fontId="12" type="noConversion"/>
  </si>
  <si>
    <t>40g / 45g</t>
    <phoneticPr fontId="12" type="noConversion"/>
  </si>
  <si>
    <t>조랭이떡(쌀:수입산)25%, 소고기(호주산)3.5%, 계란(국내산)1%, 대파, 마늘, 국간장, 정제수, 소금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</si>
  <si>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</si>
  <si>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</si>
  <si>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</si>
  <si>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40g / 45g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</si>
  <si>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</si>
  <si>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</si>
  <si>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</si>
  <si>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구운어묵(원료수입)75%,  양파(국산) , 당근, 파, 마늘, 대두유, 간장, 참기름, 참깨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</si>
  <si>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</si>
  <si>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</si>
  <si>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</si>
  <si>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소고기(호주산)8.3%, 무(국산)10%, 고사리(중국산), 숙주(원료수입산), 느타리버섯, 파, 마늘, 정제수, 국간장, 소금, 후추</t>
    <phoneticPr fontId="12" type="noConversion"/>
  </si>
  <si>
    <t>50g/60g</t>
    <phoneticPr fontId="12" type="noConversion"/>
  </si>
  <si>
    <t xml:space="preserve">                  03월 식단표</t>
    <phoneticPr fontId="12" type="noConversion"/>
  </si>
  <si>
    <t>♣대체공휴일♣</t>
    <phoneticPr fontId="12" type="noConversion"/>
  </si>
  <si>
    <t>불고기떡볶이</t>
  </si>
  <si>
    <t>양배추당근라페</t>
  </si>
  <si>
    <t>팽이미소국</t>
  </si>
  <si>
    <t>통등심돈까스</t>
    <phoneticPr fontId="12" type="noConversion"/>
  </si>
  <si>
    <t>닭살데리야끼조림</t>
  </si>
  <si>
    <t>어묵채구이</t>
  </si>
  <si>
    <t>참치깍두기볶음</t>
  </si>
  <si>
    <t>소고기장국</t>
  </si>
  <si>
    <t>돈채춘장볶음</t>
  </si>
  <si>
    <t>보코치니샐러드</t>
  </si>
  <si>
    <t>순살동태국</t>
  </si>
  <si>
    <t>소고기낙지전골</t>
  </si>
  <si>
    <t>메추리알조림</t>
  </si>
  <si>
    <t>두부된장국</t>
  </si>
  <si>
    <t>코코넛커리소스</t>
  </si>
  <si>
    <t>새우튀김</t>
  </si>
  <si>
    <t>돈갈비양념구이</t>
  </si>
  <si>
    <t>검은콩멸치조림</t>
  </si>
  <si>
    <t>맑은미역국</t>
  </si>
  <si>
    <t>소고기소보로</t>
  </si>
  <si>
    <t>소세지채소볶음</t>
  </si>
  <si>
    <t>크래미미역초무침</t>
  </si>
  <si>
    <t>냉이된장국</t>
  </si>
  <si>
    <t>토마토닭볶음탕</t>
  </si>
  <si>
    <t>표고씨앗강정</t>
  </si>
  <si>
    <t>삼색콩나물무침</t>
  </si>
  <si>
    <t>조랭이떡국</t>
  </si>
  <si>
    <t>불고기잡채</t>
  </si>
  <si>
    <t>황태콩나물국</t>
  </si>
  <si>
    <t>&amp; 달래양념장</t>
    <phoneticPr fontId="12" type="noConversion"/>
  </si>
  <si>
    <t>달래(국산)5%, 마늘, 정제수, 간장, 참기름, 참깨</t>
    <phoneticPr fontId="12" type="noConversion"/>
  </si>
  <si>
    <t>햄감자채볶음</t>
  </si>
  <si>
    <t>참나물오이무침</t>
  </si>
  <si>
    <t>돈채피망볶음</t>
  </si>
  <si>
    <t>구운어묵볶음</t>
  </si>
  <si>
    <t>논우렁살된장찌개</t>
  </si>
  <si>
    <t>닭안심카레조림</t>
  </si>
  <si>
    <t>베이컨스크램블에그</t>
  </si>
  <si>
    <t>애호박버섯볶음</t>
  </si>
  <si>
    <t>미소불고기</t>
  </si>
  <si>
    <t>건새우마늘쫑볶음</t>
  </si>
  <si>
    <t>채소계란국</t>
  </si>
  <si>
    <t>소고기볶음밥</t>
  </si>
  <si>
    <t>눈꽃치즈치킨</t>
  </si>
  <si>
    <t>캐릭터찐빵</t>
  </si>
  <si>
    <t>수제피클</t>
  </si>
  <si>
    <t>짜먹는요거트</t>
  </si>
  <si>
    <t>소고기장조림</t>
  </si>
  <si>
    <t>유부무국</t>
  </si>
  <si>
    <t>오삼불고기</t>
  </si>
  <si>
    <t>들깨미역국</t>
  </si>
  <si>
    <t>깻잎닭갈비</t>
  </si>
  <si>
    <t>오곡멸치볶음</t>
  </si>
  <si>
    <t>감자된장국</t>
  </si>
  <si>
    <t>누들케찹떡볶이</t>
  </si>
  <si>
    <t>하와이안폭찹</t>
  </si>
  <si>
    <t>명란크림숏파스타</t>
  </si>
  <si>
    <t>순두부탕</t>
  </si>
  <si>
    <t>유니짜장덮밥소스</t>
  </si>
  <si>
    <t>채소계란전</t>
  </si>
  <si>
    <t>콩나물냉채</t>
  </si>
  <si>
    <t>소고기샤브국</t>
  </si>
  <si>
    <t>소고기표고볶음</t>
  </si>
  <si>
    <t>꼬마돈까스</t>
  </si>
  <si>
    <t>숙주닭곰탕</t>
  </si>
  <si>
    <t>참치깍두기볶음</t>
    <phoneticPr fontId="12" type="noConversion"/>
  </si>
  <si>
    <t>참치캔(가다랑어:베트산)7%, 깍두기[무(국내산),고춧가루(국내산)],대두유, 소금,참기름,참깨</t>
    <phoneticPr fontId="12" type="noConversion"/>
  </si>
  <si>
    <t>.5.6.9.21.</t>
    <phoneticPr fontId="12" type="noConversion"/>
  </si>
  <si>
    <t>돈채춘장볶음</t>
    <phoneticPr fontId="12" type="noConversion"/>
  </si>
  <si>
    <t>메추리알조림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</si>
  <si>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</si>
  <si>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</si>
  <si>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</si>
  <si>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돼지고기(국산)80%, 피망(국내산)5%, 양파, 당근, 마늘, 간장, 굴소스, 대두유, , 후추, 참기름, 참깨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</si>
  <si>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</si>
  <si>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</si>
  <si>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</si>
  <si>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</si>
  <si>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</si>
  <si>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</si>
  <si>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</si>
  <si>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</si>
  <si>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</si>
  <si>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</si>
  <si>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</si>
  <si>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</si>
  <si>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얼큰소고기장국</t>
    <phoneticPr fontId="12" type="noConversion"/>
  </si>
  <si>
    <t>.5.16.</t>
  </si>
  <si>
    <t>.5.</t>
  </si>
  <si>
    <t>두부된장찌개</t>
    <phoneticPr fontId="12" type="noConversion"/>
  </si>
  <si>
    <t>매콤양념불백</t>
    <phoneticPr fontId="12" type="noConversion"/>
  </si>
  <si>
    <t>양념두부조림</t>
    <phoneticPr fontId="12" type="noConversion"/>
  </si>
  <si>
    <t>누들떡(밀:원료수입산), 어묵(연육(베트남산.중국산),소시지(돼지고기.닭고기:국내산), 대파, 정제수, 마라로제소스[우유(국산).고춧가루(중국산.베트남산)]</t>
    <phoneticPr fontId="12" type="noConversion"/>
  </si>
  <si>
    <t>누들마라떡볶이</t>
    <phoneticPr fontId="12" type="noConversion"/>
  </si>
  <si>
    <t>얼큰숙주닭곰탕</t>
    <phoneticPr fontId="12" type="noConversion"/>
  </si>
  <si>
    <t>2026-03-03 09:30~</t>
  </si>
  <si>
    <t>2026-03-03 14:30~</t>
  </si>
  <si>
    <t>2026-03-03(화)</t>
    <phoneticPr fontId="12" type="noConversion"/>
  </si>
  <si>
    <t>2026-03-04 09:30~</t>
  </si>
  <si>
    <t>2026-03-04 14:30~</t>
  </si>
  <si>
    <t>2026-03-04(수)</t>
    <phoneticPr fontId="12" type="noConversion"/>
  </si>
  <si>
    <t>열갈이(국산)10%, 소고기(호주산)7%, 무(국산)5%, 콩나물(원료수입산)5%, 정제수, 된장, 고춧가루(국내산), 대파, 마늘, 국간장, 멸치육수농축액, 소금</t>
    <phoneticPr fontId="12" type="noConversion"/>
  </si>
  <si>
    <t>멸치육수농축액(면사랑) 40g / 45g )</t>
    <phoneticPr fontId="12" type="noConversion"/>
  </si>
  <si>
    <t>2026-03-05 09:30~</t>
  </si>
  <si>
    <t>2026-03-05 14:30~</t>
  </si>
  <si>
    <t>2026-03-05(목)</t>
    <phoneticPr fontId="12" type="noConversion"/>
  </si>
  <si>
    <t>꼬물이만두</t>
    <phoneticPr fontId="12" type="noConversion"/>
  </si>
  <si>
    <t>2026-03-06 09:30~</t>
  </si>
  <si>
    <t>2026-03-06 14:30~</t>
  </si>
  <si>
    <t>2026-03-06(금)</t>
    <phoneticPr fontId="12" type="noConversion"/>
  </si>
  <si>
    <t>모둠채소(호박, 양파, 감자:국산)20%, 두부(콩:미국,호주,캐나다등)12%, 파, 마늘, 된장, 멸치육수농축액, 정제수, 소금</t>
  </si>
  <si>
    <t>2026-03-09 09:30~</t>
  </si>
  <si>
    <t>2026-03-09 14:30~</t>
  </si>
  <si>
    <t>소고기무국</t>
    <phoneticPr fontId="12" type="noConversion"/>
  </si>
  <si>
    <t>2026-03-09(월)</t>
    <phoneticPr fontId="12" type="noConversion"/>
  </si>
  <si>
    <t>2026-03-10 09:30~</t>
  </si>
  <si>
    <t>2026-03-10 14:30~</t>
  </si>
  <si>
    <t>돈후지(국산)85%, 갈비양념, 간장, 설탕, 양파, 파, 마늘, 후추, 참기름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</si>
  <si>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</si>
  <si>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2026-03-11 09:30~</t>
  </si>
  <si>
    <t>2026-03-11 14:30~</t>
  </si>
  <si>
    <t>2026-03-11(수)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</si>
  <si>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</si>
  <si>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2026-03-12 09:30~</t>
  </si>
  <si>
    <t>2026-03-12 14:30~</t>
  </si>
  <si>
    <t>2026-03-12(목)</t>
    <phoneticPr fontId="12" type="noConversion"/>
  </si>
  <si>
    <t>위니위니
생파</t>
    <phoneticPr fontId="12" type="noConversion"/>
  </si>
  <si>
    <t>2026-03-13 09:30~</t>
  </si>
  <si>
    <t>2026-03-13 14:30~</t>
  </si>
  <si>
    <t>2026-03-13(금)</t>
    <phoneticPr fontId="12" type="noConversion"/>
  </si>
  <si>
    <t>글로벌리더스 : 매콤토마토닭볶음탕</t>
    <phoneticPr fontId="12" type="noConversion"/>
  </si>
  <si>
    <t>도라에몽만쥬</t>
    <phoneticPr fontId="12" type="noConversion"/>
  </si>
  <si>
    <t>배(국내산)</t>
    <phoneticPr fontId="12" type="noConversion"/>
  </si>
  <si>
    <t>글로벌리더스 : 얼큰소고기장국</t>
    <phoneticPr fontId="12" type="noConversion"/>
  </si>
  <si>
    <t>오렌지(미국산)</t>
    <phoneticPr fontId="12" type="noConversion"/>
  </si>
  <si>
    <t>시금치(국산)90%, 홍파프리카, 마늘, 파, 소금, 국간장, 참기름, 참깨</t>
    <phoneticPr fontId="12" type="noConversion"/>
  </si>
  <si>
    <t>포도클럽 : 백김치 ( 58명 / 1,588g )
글로벌리더스 : 두부된장찌개</t>
    <phoneticPr fontId="12" type="noConversion"/>
  </si>
  <si>
    <t>포도클럽 : 백김치 ( 57명 / 1,567g )
글로벌리더스 : 얼큰소고기무국</t>
    <phoneticPr fontId="12" type="noConversion"/>
  </si>
  <si>
    <t>딸기(국내산)</t>
    <phoneticPr fontId="12" type="noConversion"/>
  </si>
  <si>
    <t>30g / 35g</t>
    <phoneticPr fontId="12" type="noConversion"/>
  </si>
  <si>
    <t>2026-03-16 09:30~</t>
  </si>
  <si>
    <t>2026-03-16 14:30~</t>
  </si>
  <si>
    <t>2026-03-16(월)</t>
    <phoneticPr fontId="12" type="noConversion"/>
  </si>
  <si>
    <t>소고기미역국</t>
    <phoneticPr fontId="12" type="noConversion"/>
  </si>
  <si>
    <t>2026-03-17(화)</t>
  </si>
  <si>
    <t>2026-03-17 09:30~</t>
  </si>
  <si>
    <t>2026-03-17 14:30~</t>
  </si>
  <si>
    <t>콘샐러드</t>
    <phoneticPr fontId="12" type="noConversion"/>
  </si>
  <si>
    <t>구운어묵(원료수입)75%,  양파(국산) , 당근, 파, 마늘, 대두유, 고춧가루(국내산), 간장, 참기름, 참깨</t>
    <phoneticPr fontId="12" type="noConversion"/>
  </si>
  <si>
    <t>논우렁살(우렁:베트남산), 모둠채소(호박, 양파, 감자:국산)25%, 두부(콩:미국,호주,캐나다등)8%, 파, 마늘, 된장, 고춧가루(국내산), 멸치육수농축액, 정제수, 소금</t>
    <phoneticPr fontId="12" type="noConversion"/>
  </si>
  <si>
    <t>2026-03-18 09:30~</t>
  </si>
  <si>
    <t>2026-03-18 14:30~</t>
  </si>
  <si>
    <t>2026-03-18(수)</t>
    <phoneticPr fontId="12" type="noConversion"/>
  </si>
  <si>
    <t>글로벌리더스 : 열무김치
                  어묵양배추국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</si>
  <si>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</si>
  <si>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어묵(원료수입산)15%, 양배추(국산)10%,  양파, 대파, 마늘, 정제수, 국간장, 소금</t>
  </si>
  <si>
    <t>2026-03-19 09:30~</t>
  </si>
  <si>
    <t>2026-03-19 14:30~</t>
  </si>
  <si>
    <t>2026-03-19(목)</t>
    <phoneticPr fontId="12" type="noConversion"/>
  </si>
  <si>
    <t>채소계란국</t>
    <phoneticPr fontId="12" type="noConversion"/>
  </si>
  <si>
    <t>김말이</t>
    <phoneticPr fontId="12" type="noConversion"/>
  </si>
  <si>
    <t>글로벌리더스 : 고추장제육</t>
    <phoneticPr fontId="12" type="noConversion"/>
  </si>
  <si>
    <t>2026-03-20 09:30~</t>
  </si>
  <si>
    <t>2026-03-20 14:30~</t>
  </si>
  <si>
    <t>2026-03-20(금)</t>
    <phoneticPr fontId="12" type="noConversion"/>
  </si>
  <si>
    <t>메뉴1</t>
    <phoneticPr fontId="12" type="noConversion"/>
  </si>
  <si>
    <t>메뉴2</t>
    <phoneticPr fontId="12" type="noConversion"/>
  </si>
  <si>
    <t>메뉴3</t>
    <phoneticPr fontId="12" type="noConversion"/>
  </si>
  <si>
    <t>메뉴4</t>
  </si>
  <si>
    <t>메뉴5</t>
  </si>
  <si>
    <t>폴리셋팅 : 치킨.캐릭터찐빵.바나나.짜먹는요거트</t>
    <phoneticPr fontId="12" type="noConversion"/>
  </si>
  <si>
    <t>2026-03-10(화)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</si>
  <si>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</si>
  <si>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</si>
  <si>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</si>
  <si>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</si>
  <si>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50g / 60g</t>
    <phoneticPr fontId="12" type="noConversion"/>
  </si>
  <si>
    <t>닭정육(국내산)78%, 감자(국내산), 토마토(국내산), 양파, 토마토홀, 대두유, 치킨스톡, 고추장(미량), 마늘, 정제수, 소금, 후추</t>
    <phoneticPr fontId="12" type="noConversion"/>
  </si>
  <si>
    <t>닭정육(국내산)78%, 감자, 당근, 양파, 토마토홀, 치킨스톡, 고춧가루(국내산), 마늘, 정제수, 소금, 후추</t>
    <phoneticPr fontId="12" type="noConversion"/>
  </si>
  <si>
    <t>2026-03-23 09:30~</t>
  </si>
  <si>
    <t>2026-03-23 14:30~</t>
  </si>
  <si>
    <t>포도클럽 : 백김치</t>
    <phoneticPr fontId="12" type="noConversion"/>
  </si>
  <si>
    <t>2026-03-24(화)</t>
  </si>
  <si>
    <t>2026-03-24 09:30~</t>
  </si>
  <si>
    <t>2026-03-24 14:30~</t>
  </si>
  <si>
    <t>2026-03-23(월)</t>
    <phoneticPr fontId="12" type="noConversion"/>
  </si>
  <si>
    <t>돼지고기(국산)55%, 오징어(원양산)10%, 양파, 당근, 대파, 마늘, 고춧가루(국내산), 간장, 맛술, 후추, 설탕, 참기름, 참깨</t>
    <phoneticPr fontId="12" type="noConversion"/>
  </si>
  <si>
    <t>글로벌리더스 : 매콤오삼불고기</t>
    <phoneticPr fontId="12" type="noConversion"/>
  </si>
  <si>
    <t>2026-03-25 09:30~</t>
  </si>
  <si>
    <t>2026-03-25 14:30~</t>
  </si>
  <si>
    <t>2026-03-25(수)</t>
    <phoneticPr fontId="12" type="noConversion"/>
  </si>
  <si>
    <t>소고기무조림</t>
    <phoneticPr fontId="12" type="noConversion"/>
  </si>
  <si>
    <t>닭정육(닭가슴살, 닭다리살 : 국산)54%, 양배추(국산)10%, 밀떡(밀:수입산)5%, 깻잎(국산)2%, 양파, 당근, 대파, 마늘, 생강가루, 고춧가루(국내산), 간장, 간장, 후추, 참기름, 참깨</t>
    <phoneticPr fontId="12" type="noConversion"/>
  </si>
  <si>
    <t>2026-03-26 09:30~</t>
  </si>
  <si>
    <t>2026-03-26 14:30~</t>
  </si>
  <si>
    <t>2026-03-26(목)</t>
    <phoneticPr fontId="12" type="noConversion"/>
  </si>
  <si>
    <t>설렁탕</t>
    <phoneticPr fontId="12" type="noConversion"/>
  </si>
  <si>
    <t>코울슬로</t>
    <phoneticPr fontId="12" type="noConversion"/>
  </si>
  <si>
    <t>글로벌리더스 : 누들마라떡볶이</t>
    <phoneticPr fontId="12" type="noConversion"/>
  </si>
  <si>
    <t>2026-03-27 09:30~</t>
  </si>
  <si>
    <t>2026-03-27 14:30~</t>
  </si>
  <si>
    <t>2026-03-27(금)</t>
    <phoneticPr fontId="12" type="noConversion"/>
  </si>
  <si>
    <t>2026-03-30 09:30~</t>
  </si>
  <si>
    <t>2026-03-30 14:30~</t>
  </si>
  <si>
    <t>2026-03-30(월)</t>
    <phoneticPr fontId="12" type="noConversion"/>
  </si>
  <si>
    <t>2026-03-31(화)</t>
  </si>
  <si>
    <t>2026-03-31 09:30~</t>
  </si>
  <si>
    <t>2026-03-31 14:30~</t>
  </si>
  <si>
    <t>닭고기(국내산)12%, 숙주(녹두:외국산), 파, 마늘, 고춧가루(국내산), 소금, 치킨스톡</t>
    <phoneticPr fontId="12" type="noConversion"/>
  </si>
  <si>
    <t>볼어묵(이츠웰)40g  / 45g</t>
    <phoneticPr fontId="12" type="noConversion"/>
  </si>
  <si>
    <t>골드키위(뉴질랜드산)</t>
    <phoneticPr fontId="12" type="noConversion"/>
  </si>
  <si>
    <t>청포도(칠레산)</t>
    <phoneticPr fontId="12" type="noConversion"/>
  </si>
  <si>
    <t>포도클럽 : 백김치 ( 57명 / 1,463g )
BIS수내교사,JCS,위니위니 : 도수릭감 ( 180명 / 181ea )</t>
    <phoneticPr fontId="12" type="noConversion"/>
  </si>
  <si>
    <t>포도클럽 : 백김치 (57aud / 1,538ㅎ )
리비어 : 양송이떡갈비 ( 1명 / 10ea 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</si>
</sst>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2F688"/>
        <bgColor indexed="64"/>
      </patternFill>
    </fill>
    <fill>
      <patternFill patternType="solid">
        <fgColor rgb="FF88F0BA"/>
        <bgColor indexed="64"/>
      </patternFill>
    </fill>
    <fill>
      <patternFill patternType="solid">
        <fgColor theme="3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40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43" fillId="23" borderId="25" xfId="0" applyFont="1" applyFill="1" applyBorder="1" applyAlignment="1">
      <alignment horizontal="center" vertical="center"/>
    </xf>
    <xf numFmtId="0" fontId="20" fillId="24" borderId="57" xfId="0" applyFont="1" applyFill="1" applyBorder="1" applyAlignment="1">
      <alignment horizontal="center" vertical="center"/>
    </xf>
    <xf numFmtId="0" fontId="20" fillId="24" borderId="58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0" fontId="40" fillId="27" borderId="15" xfId="1" applyFont="1" applyFill="1" applyBorder="1" applyAlignment="1">
      <alignment horizontal="left" vertical="center" wrapText="1"/>
    </xf>
    <xf numFmtId="3" fontId="11" fillId="27" borderId="0" xfId="0" applyNumberFormat="1" applyFont="1" applyFill="1">
      <alignment vertical="center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0" fontId="43" fillId="22" borderId="0" xfId="0" applyFont="1" applyFill="1" applyAlignment="1">
      <alignment horizontal="center" vertical="center"/>
    </xf>
    <xf numFmtId="179" fontId="46" fillId="22" borderId="26" xfId="2" applyNumberFormat="1" applyFont="1" applyFill="1" applyBorder="1" applyAlignment="1">
      <alignment horizontal="left" vertical="center" wrapText="1"/>
    </xf>
    <xf numFmtId="0" fontId="43" fillId="23" borderId="0" xfId="0" applyFont="1" applyFill="1" applyAlignment="1">
      <alignment horizontal="center" vertical="center"/>
    </xf>
    <xf numFmtId="3" fontId="11" fillId="28" borderId="0" xfId="0" applyNumberFormat="1" applyFont="1" applyFill="1">
      <alignment vertical="center"/>
    </xf>
    <xf numFmtId="0" fontId="11" fillId="28" borderId="0" xfId="0" applyFont="1" applyFill="1">
      <alignment vertical="center"/>
    </xf>
    <xf numFmtId="0" fontId="11" fillId="27" borderId="0" xfId="0" applyFont="1" applyFill="1">
      <alignment vertical="center"/>
    </xf>
    <xf numFmtId="0" fontId="11" fillId="0" borderId="0" xfId="0" applyFont="1" applyAlignment="1">
      <alignment horizontal="center" vertical="center" wrapText="1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0" fontId="45" fillId="23" borderId="27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center" vertical="center"/>
    </xf>
    <xf numFmtId="0" fontId="45" fillId="23" borderId="25" xfId="0" applyFont="1" applyFill="1" applyBorder="1" applyAlignment="1">
      <alignment horizontal="center" vertical="center"/>
    </xf>
    <xf numFmtId="0" fontId="45" fillId="23" borderId="26" xfId="0" applyFont="1" applyFill="1" applyBorder="1" applyAlignment="1">
      <alignment horizontal="center" vertical="center"/>
    </xf>
    <xf numFmtId="0" fontId="45" fillId="23" borderId="29" xfId="0" applyFont="1" applyFill="1" applyBorder="1" applyAlignment="1">
      <alignment horizontal="center" vertical="center"/>
    </xf>
    <xf numFmtId="0" fontId="45" fillId="23" borderId="3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194" fontId="44" fillId="20" borderId="24" xfId="0" applyNumberFormat="1" applyFont="1" applyFill="1" applyBorder="1" applyAlignment="1">
      <alignment horizontal="center" vertical="center"/>
    </xf>
    <xf numFmtId="194" fontId="44" fillId="20" borderId="37" xfId="0" applyNumberFormat="1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0" fontId="31" fillId="22" borderId="27" xfId="0" applyFont="1" applyFill="1" applyBorder="1" applyAlignment="1">
      <alignment horizontal="center" vertical="center"/>
    </xf>
    <xf numFmtId="0" fontId="31" fillId="22" borderId="25" xfId="0" applyFont="1" applyFill="1" applyBorder="1" applyAlignment="1">
      <alignment horizontal="center" vertical="center"/>
    </xf>
    <xf numFmtId="0" fontId="31" fillId="22" borderId="29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6" borderId="18" xfId="1" applyNumberFormat="1" applyFont="1" applyFill="1" applyBorder="1" applyAlignment="1">
      <alignment horizontal="center" vertical="center" wrapText="1"/>
    </xf>
    <xf numFmtId="176" fontId="2" fillId="26" borderId="20" xfId="1" applyNumberFormat="1" applyFont="1" applyFill="1" applyBorder="1" applyAlignment="1">
      <alignment horizontal="center" vertical="center" wrapText="1"/>
    </xf>
    <xf numFmtId="176" fontId="2" fillId="30" borderId="18" xfId="1" applyNumberFormat="1" applyFont="1" applyFill="1" applyBorder="1" applyAlignment="1">
      <alignment horizontal="center" vertical="center" wrapText="1"/>
    </xf>
    <xf numFmtId="176" fontId="2" fillId="30" borderId="20" xfId="1" applyNumberFormat="1" applyFont="1" applyFill="1" applyBorder="1" applyAlignment="1">
      <alignment horizontal="center" vertical="center" wrapText="1"/>
    </xf>
    <xf numFmtId="176" fontId="2" fillId="29" borderId="19" xfId="1" applyNumberFormat="1" applyFont="1" applyFill="1" applyBorder="1" applyAlignment="1">
      <alignment horizontal="center" vertical="center" wrapText="1"/>
    </xf>
    <xf numFmtId="176" fontId="2" fillId="29" borderId="18" xfId="1" applyNumberFormat="1" applyFont="1" applyFill="1" applyBorder="1" applyAlignment="1">
      <alignment horizontal="center" vertical="center" wrapText="1"/>
    </xf>
    <xf numFmtId="176" fontId="2" fillId="29" borderId="20" xfId="1" applyNumberFormat="1" applyFont="1" applyFill="1" applyBorder="1" applyAlignment="1">
      <alignment horizontal="center" vertical="center" wrapText="1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9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00FFFF"/>
      <color rgb="FFFFFF99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tabSelected="1" topLeftCell="A17" zoomScale="60" zoomScaleNormal="60" workbookViewId="0">
      <selection activeCell="S49" sqref="S49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2"/>
    </row>
    <row r="2" spans="1:18" ht="24.95" customHeight="1" thickBot="1">
      <c r="A2" s="229" t="s">
        <v>1069</v>
      </c>
      <c r="B2" s="293" t="s">
        <v>1070</v>
      </c>
      <c r="C2" s="294"/>
      <c r="D2" s="295" t="s">
        <v>1071</v>
      </c>
      <c r="E2" s="296"/>
      <c r="F2" s="294" t="s">
        <v>1072</v>
      </c>
      <c r="G2" s="297"/>
      <c r="H2" s="293" t="s">
        <v>1073</v>
      </c>
      <c r="I2" s="297"/>
      <c r="J2" s="293" t="s">
        <v>1074</v>
      </c>
      <c r="K2" s="296"/>
      <c r="P2" s="275" t="s">
        <v>1433</v>
      </c>
    </row>
    <row r="3" spans="1:18" ht="24.95" customHeight="1">
      <c r="A3" s="232" t="s">
        <v>1075</v>
      </c>
      <c r="B3" s="288"/>
      <c r="C3" s="289"/>
      <c r="D3" s="288"/>
      <c r="E3" s="289"/>
      <c r="F3" s="288"/>
      <c r="G3" s="289"/>
      <c r="H3" s="288"/>
      <c r="I3" s="289"/>
      <c r="J3" s="288"/>
      <c r="K3" s="289"/>
      <c r="L3" s="288"/>
      <c r="M3" s="289"/>
      <c r="P3" s="275" t="s">
        <v>808</v>
      </c>
    </row>
    <row r="4" spans="1:18" ht="20.100000000000001" customHeight="1" thickBot="1">
      <c r="A4" s="233" t="s">
        <v>1077</v>
      </c>
      <c r="B4" s="271" t="s">
        <v>1078</v>
      </c>
      <c r="C4" s="272" t="s">
        <v>1079</v>
      </c>
      <c r="D4" s="218" t="s">
        <v>1078</v>
      </c>
      <c r="E4" s="217" t="s">
        <v>1079</v>
      </c>
      <c r="F4" s="218" t="s">
        <v>1078</v>
      </c>
      <c r="G4" s="219" t="s">
        <v>1079</v>
      </c>
      <c r="H4" s="215" t="s">
        <v>1078</v>
      </c>
      <c r="I4" s="220" t="s">
        <v>1079</v>
      </c>
      <c r="J4" s="215" t="s">
        <v>1078</v>
      </c>
      <c r="K4" s="220" t="s">
        <v>1079</v>
      </c>
      <c r="L4" s="215" t="s">
        <v>1078</v>
      </c>
      <c r="M4" s="220" t="s">
        <v>1079</v>
      </c>
      <c r="P4" s="275" t="s">
        <v>689</v>
      </c>
    </row>
    <row r="5" spans="1:18" ht="20.100000000000001" customHeight="1">
      <c r="A5" s="298" t="s">
        <v>1874</v>
      </c>
      <c r="B5" s="301" t="s">
        <v>2156</v>
      </c>
      <c r="C5" s="302"/>
      <c r="D5" s="183" t="s">
        <v>2080</v>
      </c>
      <c r="E5" s="202">
        <f>IFERROR(INDEX(온라인_반찬!$C$2:$I$597,MATCH($D5,온라인_반찬!$C$2:$C$597,0),7),"")</f>
        <v>0</v>
      </c>
      <c r="F5" s="183" t="s">
        <v>2081</v>
      </c>
      <c r="G5" s="202">
        <f>IFERROR(INDEX(온라인_반찬!$C$2:$I$597,MATCH($F5,온라인_반찬!$C$2:$C$597,0),7),"")</f>
        <v>0</v>
      </c>
      <c r="H5" s="177" t="s">
        <v>292</v>
      </c>
      <c r="I5" s="202">
        <f>IFERROR(INDEX(온라인_반찬!$C$2:$I$597,MATCH($H5,온라인_반찬!$C$2:$C$597,0),7),"")</f>
        <v>0</v>
      </c>
      <c r="J5" s="177" t="s">
        <v>2083</v>
      </c>
      <c r="K5" s="202">
        <f>IFERROR(INDEX(온라인_반찬!$C$2:$I$597,MATCH($J5,온라인_반찬!$C$2:$C$597,0),7),"")</f>
        <v>0</v>
      </c>
      <c r="L5" s="241"/>
      <c r="M5" s="240"/>
      <c r="P5" s="275" t="s">
        <v>1626</v>
      </c>
    </row>
    <row r="6" spans="1:18" ht="20.100000000000001" customHeight="1">
      <c r="A6" s="299"/>
      <c r="B6" s="303"/>
      <c r="C6" s="304"/>
      <c r="D6" s="177" t="s">
        <v>2160</v>
      </c>
      <c r="E6" s="202" t="str">
        <f>IFERROR(INDEX(온라인_반찬!$C$2:$I$597,MATCH($D6,온라인_반찬!$C$2:$C$597,0),7),"")</f>
        <v>1.2.5.6.10.</v>
      </c>
      <c r="F6" s="178" t="s">
        <v>2161</v>
      </c>
      <c r="G6" s="202" t="str">
        <f>IFERROR(INDEX(온라인_반찬!$C$2:$I$597,MATCH($F6,온라인_반찬!$C$2:$C$597,0),7),"")</f>
        <v>.1.2.5.6.15.21.</v>
      </c>
      <c r="H6" s="179" t="s">
        <v>2165</v>
      </c>
      <c r="I6" s="202" t="str">
        <f>IFERROR(INDEX(온라인_반찬!$C$2:$I$597,MATCH($H6,온라인_반찬!$C$2:$C$597,0),7),"")</f>
        <v>.1.2.5.6.10.15.16.21.</v>
      </c>
      <c r="J6" s="179" t="s">
        <v>2168</v>
      </c>
      <c r="K6" s="202" t="str">
        <f>IFERROR(INDEX(온라인_반찬!$C$2:$I$597,MATCH($J6,온라인_반찬!$C$2:$C$597,0),7),"")</f>
        <v>.5.16.21.</v>
      </c>
      <c r="L6" s="242"/>
      <c r="M6" s="240"/>
      <c r="P6" s="275" t="s">
        <v>2011</v>
      </c>
    </row>
    <row r="7" spans="1:18" ht="20.100000000000001" customHeight="1">
      <c r="A7" s="299"/>
      <c r="B7" s="303"/>
      <c r="C7" s="304"/>
      <c r="D7" s="179" t="s">
        <v>1206</v>
      </c>
      <c r="E7" s="202" t="str">
        <f>IFERROR(INDEX(온라인_반찬!$C$2:$I$597,MATCH($D7,온라인_반찬!$C$2:$C$597,0),7),"")</f>
        <v>.5.6.12.16.18.</v>
      </c>
      <c r="F7" s="178" t="s">
        <v>2162</v>
      </c>
      <c r="G7" s="202" t="str">
        <f>IFERROR(INDEX(온라인_반찬!$C$2:$I$597,MATCH($F7,온라인_반찬!$C$2:$C$597,0),7),"")</f>
        <v>.5.6.21.</v>
      </c>
      <c r="H7" s="179" t="s">
        <v>518</v>
      </c>
      <c r="I7" s="202" t="str">
        <f>IFERROR(INDEX(온라인_반찬!$C$2:$I$597,MATCH($H7,온라인_반찬!$C$2:$C$597,0),7),"")</f>
        <v>.1.2.5.6.10.16.18.21.</v>
      </c>
      <c r="J7" s="179" t="s">
        <v>2169</v>
      </c>
      <c r="K7" s="202" t="str">
        <f>IFERROR(INDEX(온라인_반찬!$C$2:$I$597,MATCH($J7,온라인_반찬!$C$2:$C$597,0),7),"")</f>
        <v>.1.5.21.</v>
      </c>
      <c r="L7" s="242"/>
      <c r="M7" s="240"/>
      <c r="P7" s="286" t="s">
        <v>1976</v>
      </c>
    </row>
    <row r="8" spans="1:18" ht="20.100000000000001" customHeight="1">
      <c r="A8" s="299"/>
      <c r="B8" s="303"/>
      <c r="C8" s="304"/>
      <c r="D8" s="179" t="s">
        <v>2157</v>
      </c>
      <c r="E8" s="202" t="str">
        <f>IFERROR(INDEX(온라인_반찬!$C$2:$I$597,MATCH($D8,온라인_반찬!$C$2:$C$597,0),7),"")</f>
        <v>.5.6.16.21.</v>
      </c>
      <c r="F8" s="178" t="s">
        <v>2163</v>
      </c>
      <c r="G8" s="202" t="str">
        <f>IFERROR(INDEX(온라인_반찬!$C$2:$I$597,MATCH($F8,온라인_반찬!$C$2:$C$597,0),7),"")</f>
        <v>.5.6.9.21.</v>
      </c>
      <c r="H8" s="179" t="s">
        <v>2166</v>
      </c>
      <c r="I8" s="202" t="str">
        <f>IFERROR(INDEX(온라인_반찬!$C$2:$I$597,MATCH($H8,온라인_반찬!$C$2:$C$597,0),7),"")</f>
        <v>.2.4.12.</v>
      </c>
      <c r="J8" s="179" t="s">
        <v>560</v>
      </c>
      <c r="K8" s="202" t="str">
        <f>IFERROR(INDEX(온라인_반찬!$C$2:$I$597,MATCH($J8,온라인_반찬!$C$2:$C$597,0),7),"")</f>
        <v>.5.21.</v>
      </c>
      <c r="L8" s="242"/>
      <c r="M8" s="240"/>
      <c r="P8" s="275" t="s">
        <v>1458</v>
      </c>
    </row>
    <row r="9" spans="1:18" ht="20.100000000000001" customHeight="1">
      <c r="A9" s="299"/>
      <c r="B9" s="303"/>
      <c r="C9" s="304"/>
      <c r="D9" s="179" t="s">
        <v>2158</v>
      </c>
      <c r="E9" s="202">
        <f>IFERROR(INDEX(온라인_반찬!$C$2:$I$597,MATCH($D9,온라인_반찬!$C$2:$C$597,0),7),"")</f>
        <v>0</v>
      </c>
      <c r="F9" s="178" t="s">
        <v>2082</v>
      </c>
      <c r="G9" s="202">
        <f>IFERROR(INDEX(온라인_반찬!$C$2:$I$597,MATCH($F9,온라인_반찬!$C$2:$C$597,0),7),"")</f>
        <v>0</v>
      </c>
      <c r="H9" s="179" t="s">
        <v>229</v>
      </c>
      <c r="I9" s="202" t="str">
        <f>IFERROR(INDEX(온라인_반찬!$C$2:$I$597,MATCH($H9,온라인_반찬!$C$2:$C$597,0),7),"")</f>
        <v>.6.9.</v>
      </c>
      <c r="J9" s="179" t="s">
        <v>373</v>
      </c>
      <c r="K9" s="202" t="str">
        <f>IFERROR(INDEX(온라인_반찬!$C$2:$I$597,MATCH($J9,온라인_반찬!$C$2:$C$597,0),7),"")</f>
        <v>.9.12.</v>
      </c>
      <c r="L9" s="242"/>
      <c r="M9" s="240"/>
      <c r="P9" s="275" t="s">
        <v>2019</v>
      </c>
    </row>
    <row r="10" spans="1:18" ht="20.100000000000001" customHeight="1">
      <c r="A10" s="299"/>
      <c r="B10" s="303"/>
      <c r="C10" s="304"/>
      <c r="D10" s="179" t="s">
        <v>229</v>
      </c>
      <c r="E10" s="202" t="str">
        <f>IFERROR(INDEX(온라인_반찬!$C$2:$I$597,MATCH($D10,온라인_반찬!$C$2:$C$597,0),7),"")</f>
        <v>.6.9.</v>
      </c>
      <c r="F10" s="281" t="s">
        <v>2243</v>
      </c>
      <c r="G10" s="282" t="s">
        <v>2244</v>
      </c>
      <c r="H10" s="179" t="s">
        <v>2167</v>
      </c>
      <c r="I10" s="202" t="str">
        <f>IFERROR(INDEX(온라인_반찬!$C$2:$I$597,MATCH($H10,온라인_반찬!$C$2:$C$597,0),7),"")</f>
        <v>.5.9.10.</v>
      </c>
      <c r="J10" s="283" t="s">
        <v>2246</v>
      </c>
      <c r="K10" s="282" t="s">
        <v>2245</v>
      </c>
      <c r="L10" s="184"/>
      <c r="M10" s="202"/>
      <c r="N10" s="120"/>
      <c r="P10" s="275" t="s">
        <v>1929</v>
      </c>
    </row>
    <row r="11" spans="1:18" ht="20.100000000000001" customHeight="1">
      <c r="A11" s="299"/>
      <c r="B11" s="303"/>
      <c r="C11" s="304"/>
      <c r="D11" s="181" t="s">
        <v>2159</v>
      </c>
      <c r="E11" s="202" t="str">
        <f>IFERROR(INDEX(온라인_반찬!$C$2:$I$597,MATCH($D11,온라인_반찬!$C$2:$C$597,0),7),"")</f>
        <v>.5.</v>
      </c>
      <c r="F11" s="180"/>
      <c r="G11" s="202" t="str">
        <f>IFERROR(INDEX(온라인_반찬!$C$2:$I$597,MATCH($F11,온라인_반찬!$C$2:$C$597,0),7),"")</f>
        <v/>
      </c>
      <c r="H11" s="177"/>
      <c r="I11" s="202" t="str">
        <f>IFERROR(INDEX(온라인_반찬!$C$2:$I$597,MATCH($H11,온라인_반찬!$C$2:$C$597,0),7),"")</f>
        <v/>
      </c>
      <c r="J11" s="179"/>
      <c r="K11" s="202" t="str">
        <f>IFERROR(INDEX(온라인_반찬!$C$2:$I$597,MATCH($J11,온라인_반찬!$C$2:$C$597,0),7),"")</f>
        <v/>
      </c>
      <c r="L11" s="182"/>
      <c r="M11" s="202"/>
      <c r="P11" s="275" t="s">
        <v>1453</v>
      </c>
    </row>
    <row r="12" spans="1:18" ht="19.5" customHeight="1" thickBot="1">
      <c r="A12" s="300"/>
      <c r="B12" s="305"/>
      <c r="C12" s="306"/>
      <c r="D12" s="179"/>
      <c r="E12" s="203"/>
      <c r="F12" s="212"/>
      <c r="G12" s="202"/>
      <c r="H12" s="179"/>
      <c r="I12" s="203"/>
      <c r="J12" s="177"/>
      <c r="K12" s="202"/>
      <c r="L12" s="212"/>
      <c r="M12" s="203"/>
      <c r="P12" s="275" t="s">
        <v>2005</v>
      </c>
    </row>
    <row r="13" spans="1:18" ht="24.95" customHeight="1">
      <c r="A13" s="175" t="s">
        <v>1075</v>
      </c>
      <c r="B13" s="288"/>
      <c r="C13" s="289"/>
      <c r="D13" s="288"/>
      <c r="E13" s="289"/>
      <c r="F13" s="288"/>
      <c r="G13" s="289"/>
      <c r="H13" s="288"/>
      <c r="I13" s="289"/>
      <c r="J13" s="288"/>
      <c r="K13" s="289"/>
      <c r="L13" s="307"/>
      <c r="M13" s="308"/>
      <c r="N13" s="309"/>
      <c r="O13" s="310"/>
      <c r="P13" s="275" t="s">
        <v>1471</v>
      </c>
    </row>
    <row r="14" spans="1:18" ht="20.100000000000001" customHeight="1" thickBot="1">
      <c r="A14" s="230" t="s">
        <v>1077</v>
      </c>
      <c r="B14" s="216" t="s">
        <v>1078</v>
      </c>
      <c r="C14" s="219" t="s">
        <v>1079</v>
      </c>
      <c r="D14" s="216" t="s">
        <v>1078</v>
      </c>
      <c r="E14" s="219" t="s">
        <v>1079</v>
      </c>
      <c r="F14" s="216" t="s">
        <v>1078</v>
      </c>
      <c r="G14" s="219" t="s">
        <v>1079</v>
      </c>
      <c r="H14" s="216" t="s">
        <v>1078</v>
      </c>
      <c r="I14" s="219" t="s">
        <v>1079</v>
      </c>
      <c r="J14" s="216" t="s">
        <v>1078</v>
      </c>
      <c r="K14" s="217" t="s">
        <v>1079</v>
      </c>
      <c r="L14" s="215" t="s">
        <v>1078</v>
      </c>
      <c r="M14" s="220" t="s">
        <v>1079</v>
      </c>
      <c r="N14" s="215" t="s">
        <v>1078</v>
      </c>
      <c r="O14" s="220" t="s">
        <v>1079</v>
      </c>
      <c r="P14" s="275" t="s">
        <v>964</v>
      </c>
    </row>
    <row r="15" spans="1:18" ht="20.100000000000001" customHeight="1">
      <c r="A15" s="298" t="s">
        <v>1080</v>
      </c>
      <c r="B15" s="243" t="s">
        <v>2079</v>
      </c>
      <c r="C15" s="273">
        <f>IFERROR(INDEX(온라인_반찬!$C$2:$I$597,MATCH($B15,온라인_반찬!$C$2:$C$597,0),7),"")</f>
        <v>0</v>
      </c>
      <c r="D15" s="183" t="s">
        <v>2080</v>
      </c>
      <c r="E15" s="202">
        <f>IFERROR(INDEX(온라인_반찬!$C$2:$I$597,MATCH($D15,온라인_반찬!$C$2:$C$597,0),7),"")</f>
        <v>0</v>
      </c>
      <c r="F15" s="183" t="s">
        <v>2081</v>
      </c>
      <c r="G15" s="202">
        <f>IFERROR(INDEX(온라인_반찬!$C$2:$I$597,MATCH($F15,온라인_반찬!$C$2:$C$597,0),7),"")</f>
        <v>0</v>
      </c>
      <c r="H15" s="177" t="s">
        <v>292</v>
      </c>
      <c r="I15" s="202">
        <f>IFERROR(INDEX(온라인_반찬!$C$2:$I$597,MATCH($H15,온라인_반찬!$C$2:$C$597,0),7),"")</f>
        <v>0</v>
      </c>
      <c r="J15" s="177" t="s">
        <v>2083</v>
      </c>
      <c r="K15" s="202">
        <f>IFERROR(INDEX(온라인_반찬!$C$2:$I$597,MATCH($J15,온라인_반찬!$C$2:$C$597,0),7),"")</f>
        <v>0</v>
      </c>
      <c r="L15" s="177"/>
      <c r="M15" s="202"/>
      <c r="N15" s="241"/>
      <c r="O15" s="240"/>
      <c r="P15" s="275" t="s">
        <v>1623</v>
      </c>
      <c r="R15" s="247"/>
    </row>
    <row r="16" spans="1:18" ht="20.100000000000001" customHeight="1">
      <c r="A16" s="299"/>
      <c r="B16" s="183" t="s">
        <v>2171</v>
      </c>
      <c r="C16" s="202" t="str">
        <f>IFERROR(INDEX(온라인_반찬!$C$2:$I$597,MATCH($B16,온라인_반찬!$C$2:$C$597,0),7),"")</f>
        <v>.2.5.6.12.15.16.18.</v>
      </c>
      <c r="D16" s="283" t="s">
        <v>2247</v>
      </c>
      <c r="E16" s="282" t="str">
        <f>IFERROR(INDEX(온라인_반찬!$C$2:$I$597,MATCH($D16,온라인_반찬!$C$2:$C$597,0),7),"")</f>
        <v>.5.6.10.19.21.</v>
      </c>
      <c r="F16" s="281" t="s">
        <v>2075</v>
      </c>
      <c r="G16" s="282" t="str">
        <f>IFERROR(INDEX(온라인_반찬!$C$2:$I$597,MATCH($F16,온라인_반찬!$C$2:$C$597,0),7),"")</f>
        <v>.5.16.21.</v>
      </c>
      <c r="H16" s="283" t="s">
        <v>2180</v>
      </c>
      <c r="I16" s="282" t="str">
        <f>IFERROR(INDEX(온라인_반찬!$C$2:$I$597,MATCH($H16,온라인_반찬!$C$2:$C$597,0),7),"")</f>
        <v>.5.6.12.15.</v>
      </c>
      <c r="J16" s="179" t="s">
        <v>2184</v>
      </c>
      <c r="K16" s="202" t="str">
        <f>IFERROR(INDEX(온라인_반찬!$C$2:$I$597,MATCH($J16,온라인_반찬!$C$2:$C$597,0),7),"")</f>
        <v>.5.6.21.</v>
      </c>
      <c r="L16" s="179"/>
      <c r="M16" s="202"/>
      <c r="N16" s="242"/>
      <c r="O16" s="240"/>
      <c r="P16" s="275" t="s">
        <v>1864</v>
      </c>
      <c r="R16" s="247"/>
    </row>
    <row r="17" spans="1:18" ht="20.100000000000001" customHeight="1">
      <c r="A17" s="299"/>
      <c r="B17" s="182" t="s">
        <v>2172</v>
      </c>
      <c r="C17" s="202" t="str">
        <f>IFERROR(INDEX(온라인_반찬!$C$2:$I$597,MATCH($B17,온라인_반찬!$C$2:$C$597,0),7),"")</f>
        <v>.1.5.6.9.</v>
      </c>
      <c r="D17" s="179" t="s">
        <v>471</v>
      </c>
      <c r="E17" s="202" t="str">
        <f>IFERROR(INDEX(온라인_반찬!$C$2:$I$597,MATCH($D17,온라인_반찬!$C$2:$C$597,0),7),"")</f>
        <v>.1.2.</v>
      </c>
      <c r="F17" s="178" t="s">
        <v>2177</v>
      </c>
      <c r="G17" s="202" t="str">
        <f>IFERROR(INDEX(온라인_반찬!$C$2:$I$597,MATCH($F17,온라인_반찬!$C$2:$C$597,0),7),"")</f>
        <v>.5.6.10.12.15.16.21.</v>
      </c>
      <c r="H17" s="179" t="s">
        <v>2181</v>
      </c>
      <c r="I17" s="202" t="str">
        <f>IFERROR(INDEX(온라인_반찬!$C$2:$I$597,MATCH($H17,온라인_반찬!$C$2:$C$597,0),7),"")</f>
        <v>.1.5.6.18.21.</v>
      </c>
      <c r="J17" s="283" t="s">
        <v>2248</v>
      </c>
      <c r="K17" s="282" t="str">
        <f>IFERROR(INDEX(온라인_반찬!$C$2:$I$597,MATCH($J17,온라인_반찬!$C$2:$C$597,0),7),"")</f>
        <v>.5.21.22.</v>
      </c>
      <c r="L17" s="179"/>
      <c r="M17" s="202"/>
      <c r="N17" s="242"/>
      <c r="O17" s="240"/>
      <c r="P17" s="275" t="s">
        <v>1864</v>
      </c>
      <c r="R17" s="247"/>
    </row>
    <row r="18" spans="1:18" ht="20.100000000000001" customHeight="1">
      <c r="A18" s="299"/>
      <c r="B18" s="182" t="s">
        <v>440</v>
      </c>
      <c r="C18" s="202" t="str">
        <f>IFERROR(INDEX(온라인_반찬!$C$2:$I$597,MATCH($B18,온라인_반찬!$C$2:$C$597,0),7),"")</f>
        <v>.1.5.21.</v>
      </c>
      <c r="D18" s="179" t="s">
        <v>2174</v>
      </c>
      <c r="E18" s="202" t="str">
        <f>IFERROR(INDEX(온라인_반찬!$C$2:$I$597,MATCH($D18,온라인_반찬!$C$2:$C$597,0),7),"")</f>
        <v>.5.21.</v>
      </c>
      <c r="F18" s="178" t="s">
        <v>2178</v>
      </c>
      <c r="G18" s="202" t="str">
        <f>IFERROR(INDEX(온라인_반찬!$C$2:$I$597,MATCH($F18,온라인_반찬!$C$2:$C$597,0),7),"")</f>
        <v>.1.2.5.6.8.12.21.</v>
      </c>
      <c r="H18" s="179" t="s">
        <v>2182</v>
      </c>
      <c r="I18" s="202" t="str">
        <f>IFERROR(INDEX(온라인_반찬!$C$2:$I$597,MATCH($H18,온라인_반찬!$C$2:$C$597,0),7),"")</f>
        <v>.5.21.</v>
      </c>
      <c r="J18" s="179" t="s">
        <v>2084</v>
      </c>
      <c r="K18" s="202" t="str">
        <f>IFERROR(INDEX(온라인_반찬!$C$2:$I$597,MATCH($J18,온라인_반찬!$C$2:$C$597,0),7),"")</f>
        <v>.21.</v>
      </c>
      <c r="L18" s="179"/>
      <c r="M18" s="202"/>
      <c r="N18" s="242"/>
      <c r="O18" s="240"/>
      <c r="P18" s="275" t="s">
        <v>1783</v>
      </c>
    </row>
    <row r="19" spans="1:18" ht="20.100000000000001" customHeight="1">
      <c r="A19" s="299"/>
      <c r="B19" s="182" t="s">
        <v>373</v>
      </c>
      <c r="C19" s="202" t="str">
        <f>IFERROR(INDEX(온라인_반찬!$C$2:$I$597,MATCH($B19,온라인_반찬!$C$2:$C$597,0),7),"")</f>
        <v>.9.12.</v>
      </c>
      <c r="D19" s="179" t="s">
        <v>229</v>
      </c>
      <c r="E19" s="202" t="str">
        <f>IFERROR(INDEX(온라인_반찬!$C$2:$I$597,MATCH($D19,온라인_반찬!$C$2:$C$597,0),7),"")</f>
        <v>.6.9.</v>
      </c>
      <c r="F19" s="281" t="s">
        <v>1549</v>
      </c>
      <c r="G19" s="282" t="str">
        <f>IFERROR(INDEX(온라인_반찬!$C$2:$I$597,MATCH($F19,온라인_반찬!$C$2:$C$597,0),7),"")</f>
        <v>.9.</v>
      </c>
      <c r="H19" s="179" t="s">
        <v>229</v>
      </c>
      <c r="I19" s="202" t="str">
        <f>IFERROR(INDEX(온라인_반찬!$C$2:$I$597,MATCH($H19,온라인_반찬!$C$2:$C$597,0),7),"")</f>
        <v>.6.9.</v>
      </c>
      <c r="J19" s="179" t="s">
        <v>373</v>
      </c>
      <c r="K19" s="202" t="str">
        <f>IFERROR(INDEX(온라인_반찬!$C$2:$I$597,MATCH($J19,온라인_반찬!$C$2:$C$597,0),7),"")</f>
        <v>.9.12.</v>
      </c>
      <c r="L19" s="179"/>
      <c r="M19" s="202"/>
      <c r="N19" s="242"/>
      <c r="O19" s="240"/>
      <c r="P19" s="275" t="s">
        <v>2017</v>
      </c>
    </row>
    <row r="20" spans="1:18" ht="20.100000000000001" customHeight="1">
      <c r="A20" s="299"/>
      <c r="B20" s="270" t="s">
        <v>1826</v>
      </c>
      <c r="C20" s="282" t="s">
        <v>2244</v>
      </c>
      <c r="D20" s="179" t="s">
        <v>2175</v>
      </c>
      <c r="E20" s="202" t="str">
        <f>IFERROR(INDEX(온라인_반찬!$C$2:$I$597,MATCH($D20,온라인_반찬!$C$2:$C$597,0),7),"")</f>
        <v>.5.9.</v>
      </c>
      <c r="F20" s="180" t="s">
        <v>2179</v>
      </c>
      <c r="G20" s="202" t="str">
        <f>IFERROR(INDEX(온라인_반찬!$C$2:$I$597,MATCH($F20,온라인_반찬!$C$2:$C$597,0),7),"")</f>
        <v>.5.18.</v>
      </c>
      <c r="H20" s="179" t="s">
        <v>2183</v>
      </c>
      <c r="I20" s="202" t="str">
        <f>IFERROR(INDEX(온라인_반찬!$C$2:$I$597,MATCH($H20,온라인_반찬!$C$2:$C$597,0),7),"")</f>
        <v>.1.5.16.</v>
      </c>
      <c r="J20" s="179" t="s">
        <v>2185</v>
      </c>
      <c r="K20" s="202" t="str">
        <f>IFERROR(INDEX(온라인_반찬!$C$2:$I$597,MATCH($J20,온라인_반찬!$C$2:$C$597,0),7),"")</f>
        <v>.5.21.</v>
      </c>
      <c r="L20" s="179"/>
      <c r="M20" s="202"/>
      <c r="N20" s="242"/>
      <c r="O20" s="240"/>
      <c r="P20" s="275" t="s">
        <v>1869</v>
      </c>
    </row>
    <row r="21" spans="1:18" ht="20.100000000000001" customHeight="1">
      <c r="A21" s="299"/>
      <c r="B21" s="182"/>
      <c r="C21" s="202" t="str">
        <f>IFERROR(INDEX(온라인_반찬!$C$2:$I$597,MATCH($B21,온라인_반찬!$C$2:$C$597,0),7),"")</f>
        <v/>
      </c>
      <c r="D21" s="181"/>
      <c r="E21" s="202" t="str">
        <f>IFERROR(INDEX(온라인_반찬!$C$2:$I$597,MATCH($D21,온라인_반찬!$C$2:$C$597,0),7),"")</f>
        <v/>
      </c>
      <c r="F21" s="180"/>
      <c r="G21" s="202" t="str">
        <f>IFERROR(INDEX(온라인_반찬!$C$2:$I$597,MATCH($F21,온라인_반찬!$C$2:$C$597,0),7),"")</f>
        <v/>
      </c>
      <c r="H21" s="177"/>
      <c r="I21" s="202" t="str">
        <f>IFERROR(INDEX(온라인_반찬!$C$2:$I$597,MATCH($H21,온라인_반찬!$C$2:$C$597,0),7),"")</f>
        <v/>
      </c>
      <c r="J21" s="179"/>
      <c r="K21" s="202" t="str">
        <f>IFERROR(INDEX(온라인_반찬!$C$2:$I$597,MATCH($J21,온라인_반찬!$C$2:$C$597,0),7),"")</f>
        <v/>
      </c>
      <c r="L21" s="182"/>
      <c r="M21" s="202"/>
      <c r="N21" s="182"/>
      <c r="O21" s="202"/>
      <c r="P21" s="275" t="s">
        <v>1471</v>
      </c>
    </row>
    <row r="22" spans="1:18" ht="20.100000000000001" customHeight="1" thickBot="1">
      <c r="A22" s="300"/>
      <c r="B22" s="212"/>
      <c r="C22" s="203"/>
      <c r="D22" s="179"/>
      <c r="E22" s="203"/>
      <c r="F22" s="212"/>
      <c r="G22" s="202"/>
      <c r="H22" s="179"/>
      <c r="I22" s="203"/>
      <c r="J22" s="177"/>
      <c r="K22" s="202"/>
      <c r="L22" s="212"/>
      <c r="M22" s="203"/>
      <c r="N22" s="212"/>
      <c r="O22" s="203"/>
      <c r="P22" s="275" t="s">
        <v>1757</v>
      </c>
    </row>
    <row r="23" spans="1:18" ht="24.95" customHeight="1">
      <c r="A23" s="175" t="s">
        <v>1075</v>
      </c>
      <c r="B23" s="307"/>
      <c r="C23" s="308"/>
      <c r="D23" s="307"/>
      <c r="E23" s="308"/>
      <c r="F23" s="307"/>
      <c r="G23" s="308"/>
      <c r="H23" s="307"/>
      <c r="I23" s="308"/>
      <c r="J23" s="307"/>
      <c r="K23" s="308"/>
      <c r="L23" s="311"/>
      <c r="M23" s="312"/>
      <c r="N23" s="309"/>
      <c r="O23" s="310"/>
      <c r="P23" s="275" t="s">
        <v>1868</v>
      </c>
    </row>
    <row r="24" spans="1:18" ht="20.100000000000001" customHeight="1" thickBot="1">
      <c r="A24" s="230" t="s">
        <v>1077</v>
      </c>
      <c r="B24" s="216" t="s">
        <v>1078</v>
      </c>
      <c r="C24" s="219" t="s">
        <v>1079</v>
      </c>
      <c r="D24" s="216" t="s">
        <v>1078</v>
      </c>
      <c r="E24" s="219" t="s">
        <v>1079</v>
      </c>
      <c r="F24" s="216" t="s">
        <v>1078</v>
      </c>
      <c r="G24" s="219" t="s">
        <v>1079</v>
      </c>
      <c r="H24" s="216" t="s">
        <v>1078</v>
      </c>
      <c r="I24" s="219" t="s">
        <v>1079</v>
      </c>
      <c r="J24" s="216" t="s">
        <v>1078</v>
      </c>
      <c r="K24" s="217" t="s">
        <v>1079</v>
      </c>
      <c r="L24" s="216"/>
      <c r="M24" s="217"/>
      <c r="N24" s="215"/>
      <c r="O24" s="220"/>
      <c r="P24" s="284" t="s">
        <v>1446</v>
      </c>
    </row>
    <row r="25" spans="1:18" ht="20.100000000000001" customHeight="1">
      <c r="A25" s="298" t="s">
        <v>1081</v>
      </c>
      <c r="B25" s="243" t="s">
        <v>2079</v>
      </c>
      <c r="C25" s="273">
        <f>IFERROR(INDEX(온라인_반찬!$C$2:$I$597,MATCH($B25,온라인_반찬!$C$2:$C$597,0),7),"")</f>
        <v>0</v>
      </c>
      <c r="D25" s="183" t="s">
        <v>2080</v>
      </c>
      <c r="E25" s="202">
        <f>IFERROR(INDEX(온라인_반찬!$C$2:$I$597,MATCH($D25,온라인_반찬!$C$2:$C$597,0),7),"")</f>
        <v>0</v>
      </c>
      <c r="F25" s="183" t="s">
        <v>2081</v>
      </c>
      <c r="G25" s="202">
        <f>IFERROR(INDEX(온라인_반찬!$C$2:$I$597,MATCH($F25,온라인_반찬!$C$2:$C$597,0),7),"")</f>
        <v>0</v>
      </c>
      <c r="H25" s="177" t="s">
        <v>292</v>
      </c>
      <c r="I25" s="202">
        <f>IFERROR(INDEX(온라인_반찬!$C$2:$I$597,MATCH($H25,온라인_반찬!$C$2:$C$597,0),7),"")</f>
        <v>0</v>
      </c>
      <c r="J25" s="177" t="s">
        <v>2199</v>
      </c>
      <c r="K25" s="202" t="str">
        <f>IFERROR(INDEX(온라인_반찬!$C$2:$I$597,MATCH($J25,온라인_반찬!$C$2:$C$597,0),7),"")</f>
        <v>.1.5.16.18.21.</v>
      </c>
      <c r="L25" s="241"/>
      <c r="M25" s="240"/>
      <c r="N25" s="183"/>
      <c r="O25" s="202"/>
      <c r="P25" s="284" t="s">
        <v>1565</v>
      </c>
    </row>
    <row r="26" spans="1:18" ht="20.100000000000001" customHeight="1">
      <c r="A26" s="299"/>
      <c r="B26" s="183" t="s">
        <v>1223</v>
      </c>
      <c r="C26" s="202" t="str">
        <f>IFERROR(INDEX(온라인_반찬!$C$2:$I$597,MATCH($B26,온라인_반찬!$C$2:$C$597,0),7),"")</f>
        <v>.1.5.6.9.11.12.</v>
      </c>
      <c r="D26" s="177" t="s">
        <v>2190</v>
      </c>
      <c r="E26" s="202" t="str">
        <f>IFERROR(INDEX(온라인_반찬!$C$2:$I$597,MATCH($D26,온라인_반찬!$C$2:$C$597,0),7),"")</f>
        <v>.5.10.18.21.</v>
      </c>
      <c r="F26" s="178" t="s">
        <v>2193</v>
      </c>
      <c r="G26" s="202" t="str">
        <f>IFERROR(INDEX(온라인_반찬!$C$2:$I$597,MATCH($F26,온라인_반찬!$C$2:$C$597,0),7),"")</f>
        <v>.2.5.6.12.15.16.18.</v>
      </c>
      <c r="H26" s="283" t="s">
        <v>1774</v>
      </c>
      <c r="I26" s="282" t="str">
        <f>IFERROR(INDEX(온라인_반찬!$C$2:$I$597,MATCH($H26,온라인_반찬!$C$2:$C$597,0),7),"")</f>
        <v>.5.6.10.21.</v>
      </c>
      <c r="J26" s="179" t="s">
        <v>1107</v>
      </c>
      <c r="K26" s="202" t="str">
        <f>IFERROR(INDEX(온라인_반찬!$C$2:$I$597,MATCH($J26,온라인_반찬!$C$2:$C$597,0),7),"")</f>
        <v>.6.</v>
      </c>
      <c r="L26" s="242"/>
      <c r="M26" s="240"/>
      <c r="N26" s="182"/>
      <c r="O26" s="202"/>
      <c r="P26" s="284" t="s">
        <v>1870</v>
      </c>
    </row>
    <row r="27" spans="1:18" ht="20.100000000000001" customHeight="1">
      <c r="A27" s="299"/>
      <c r="B27" s="182" t="s">
        <v>1236</v>
      </c>
      <c r="C27" s="202" t="str">
        <f>IFERROR(INDEX(온라인_반찬!$C$2:$I$597,MATCH($B27,온라인_반찬!$C$2:$C$597,0),7),"")</f>
        <v>.5.</v>
      </c>
      <c r="D27" s="283" t="s">
        <v>2191</v>
      </c>
      <c r="E27" s="282" t="str">
        <f>IFERROR(INDEX(온라인_반찬!$C$2:$I$597,MATCH($D27,온라인_반찬!$C$2:$C$597,0),7),"")</f>
        <v>.2.5.6.10.12.16.21.</v>
      </c>
      <c r="F27" s="178" t="s">
        <v>2194</v>
      </c>
      <c r="G27" s="202" t="str">
        <f>IFERROR(INDEX(온라인_반찬!$C$2:$I$597,MATCH($F27,온라인_반찬!$C$2:$C$597,0),7),"")</f>
        <v>.1.2.5.10.</v>
      </c>
      <c r="H27" s="179" t="s">
        <v>320</v>
      </c>
      <c r="I27" s="202" t="str">
        <f>IFERROR(INDEX(온라인_반찬!$C$2:$I$597,MATCH($H27,온라인_반찬!$C$2:$C$597,0),7),"")</f>
        <v>.5.6.16.</v>
      </c>
      <c r="J27" s="179" t="s">
        <v>1770</v>
      </c>
      <c r="K27" s="202" t="str">
        <f>IFERROR(INDEX(온라인_반찬!$C$2:$I$597,MATCH($J27,온라인_반찬!$C$2:$C$597,0),7),"")</f>
        <v>.1.5.6.10.12.15.</v>
      </c>
      <c r="L27" s="242"/>
      <c r="M27" s="240"/>
      <c r="N27" s="182"/>
      <c r="O27" s="202"/>
      <c r="P27" s="284" t="s">
        <v>1608</v>
      </c>
    </row>
    <row r="28" spans="1:18" ht="20.100000000000001" customHeight="1">
      <c r="A28" s="299"/>
      <c r="B28" s="182" t="s">
        <v>2188</v>
      </c>
      <c r="C28" s="202" t="str">
        <f>IFERROR(INDEX(온라인_반찬!$C$2:$I$597,MATCH($B28,온라인_반찬!$C$2:$C$597,0),7),"")</f>
        <v>.2.5.10.21.</v>
      </c>
      <c r="D28" s="179" t="s">
        <v>370</v>
      </c>
      <c r="E28" s="202" t="str">
        <f>IFERROR(INDEX(온라인_반찬!$C$2:$I$597,MATCH($D28,온라인_반찬!$C$2:$C$597,0),7),"")</f>
        <v>.1.5.16.</v>
      </c>
      <c r="F28" s="178" t="s">
        <v>2195</v>
      </c>
      <c r="G28" s="202" t="str">
        <f>IFERROR(INDEX(온라인_반찬!$C$2:$I$597,MATCH($F28,온라인_반찬!$C$2:$C$597,0),7),"")</f>
        <v>.5.21.</v>
      </c>
      <c r="H28" s="179" t="s">
        <v>2197</v>
      </c>
      <c r="I28" s="202" t="str">
        <f>IFERROR(INDEX(온라인_반찬!$C$2:$I$597,MATCH($H28,온라인_반찬!$C$2:$C$597,0),7),"")</f>
        <v>.5.9.21.</v>
      </c>
      <c r="J28" s="179" t="s">
        <v>2200</v>
      </c>
      <c r="K28" s="202" t="str">
        <f>IFERROR(INDEX(온라인_반찬!$C$2:$I$597,MATCH($J28,온라인_반찬!$C$2:$C$597,0),7),"")</f>
        <v>.1.2.5.6.15.16.</v>
      </c>
      <c r="L28" s="242"/>
      <c r="M28" s="240"/>
      <c r="N28" s="182"/>
      <c r="O28" s="202"/>
      <c r="P28" s="285" t="s">
        <v>1376</v>
      </c>
    </row>
    <row r="29" spans="1:18" ht="20.100000000000001" customHeight="1">
      <c r="A29" s="299"/>
      <c r="B29" s="270" t="s">
        <v>2189</v>
      </c>
      <c r="C29" s="282" t="str">
        <f>IFERROR(INDEX(온라인_반찬!$C$2:$I$597,MATCH($B29,온라인_반찬!$C$2:$C$597,0),7),"")</f>
        <v>.5.21.</v>
      </c>
      <c r="D29" s="179" t="s">
        <v>229</v>
      </c>
      <c r="E29" s="202" t="str">
        <f>IFERROR(INDEX(온라인_반찬!$C$2:$I$597,MATCH($D29,온라인_반찬!$C$2:$C$597,0),7),"")</f>
        <v>.6.9.</v>
      </c>
      <c r="F29" s="281" t="s">
        <v>1549</v>
      </c>
      <c r="G29" s="282" t="str">
        <f>IFERROR(INDEX(온라인_반찬!$C$2:$I$597,MATCH($F29,온라인_반찬!$C$2:$C$597,0),7),"")</f>
        <v>.9.</v>
      </c>
      <c r="H29" s="179" t="s">
        <v>229</v>
      </c>
      <c r="I29" s="202" t="str">
        <f>IFERROR(INDEX(온라인_반찬!$C$2:$I$597,MATCH($H29,온라인_반찬!$C$2:$C$597,0),7),"")</f>
        <v>.6.9.</v>
      </c>
      <c r="J29" s="179" t="s">
        <v>2201</v>
      </c>
      <c r="K29" s="202" t="str">
        <f>IFERROR(INDEX(온라인_반찬!$C$2:$I$597,MATCH($J29,온라인_반찬!$C$2:$C$597,0),7),"")</f>
        <v>.5.17.</v>
      </c>
      <c r="L29" s="242"/>
      <c r="M29" s="240"/>
      <c r="N29" s="182"/>
      <c r="O29" s="202"/>
      <c r="P29" s="284" t="s">
        <v>1196</v>
      </c>
    </row>
    <row r="30" spans="1:18" ht="20.100000000000001" customHeight="1">
      <c r="A30" s="299"/>
      <c r="B30" s="182" t="s">
        <v>373</v>
      </c>
      <c r="C30" s="202" t="str">
        <f>IFERROR(INDEX(온라인_반찬!$C$2:$I$597,MATCH($B30,온라인_반찬!$C$2:$C$597,0),7),"")</f>
        <v>.9.12.</v>
      </c>
      <c r="D30" s="283" t="s">
        <v>2192</v>
      </c>
      <c r="E30" s="282" t="str">
        <f>IFERROR(INDEX(온라인_반찬!$C$2:$I$597,MATCH($D30,온라인_반찬!$C$2:$C$597,0),7),"")</f>
        <v>.5.</v>
      </c>
      <c r="F30" s="281" t="s">
        <v>425</v>
      </c>
      <c r="G30" s="282" t="str">
        <f>IFERROR(INDEX(온라인_반찬!$C$2:$I$597,MATCH($F30,온라인_반찬!$C$2:$C$597,0),7),"")</f>
        <v>.5.</v>
      </c>
      <c r="H30" s="179" t="s">
        <v>2198</v>
      </c>
      <c r="I30" s="202" t="str">
        <f>IFERROR(INDEX(온라인_반찬!$C$2:$I$597,MATCH($H30,온라인_반찬!$C$2:$C$597,0),7),"")</f>
        <v>.1.5.</v>
      </c>
      <c r="J30" s="179" t="s">
        <v>2202</v>
      </c>
      <c r="K30" s="202">
        <f>IFERROR(INDEX(온라인_반찬!$C$2:$I$597,MATCH($J30,온라인_반찬!$C$2:$C$597,0),7),"")</f>
        <v>0</v>
      </c>
      <c r="L30" s="184"/>
      <c r="M30" s="202">
        <v>0</v>
      </c>
      <c r="N30" s="184"/>
      <c r="O30" s="202"/>
      <c r="P30" s="284" t="s">
        <v>692</v>
      </c>
    </row>
    <row r="31" spans="1:18" ht="20.100000000000001" customHeight="1">
      <c r="A31" s="299"/>
      <c r="B31" s="182" t="s">
        <v>427</v>
      </c>
      <c r="C31" s="202" t="str">
        <f>IFERROR(INDEX(온라인_반찬!$C$2:$I$597,MATCH($B31,온라인_반찬!$C$2:$C$597,0),7),"")</f>
        <v>.5.9.16.</v>
      </c>
      <c r="D31" s="181"/>
      <c r="E31" s="202" t="str">
        <f>IFERROR(INDEX(온라인_반찬!$C$2:$I$597,MATCH($D31,온라인_반찬!$C$2:$C$597,0),7),"")</f>
        <v/>
      </c>
      <c r="F31" s="180"/>
      <c r="G31" s="202" t="str">
        <f>IFERROR(INDEX(온라인_반찬!$C$2:$I$597,MATCH($F31,온라인_반찬!$C$2:$C$597,0),7),"")</f>
        <v/>
      </c>
      <c r="H31" s="177"/>
      <c r="I31" s="202" t="str">
        <f>IFERROR(INDEX(온라인_반찬!$C$2:$I$597,MATCH($H31,온라인_반찬!$C$2:$C$597,0),7),"")</f>
        <v/>
      </c>
      <c r="J31" s="179" t="s">
        <v>2203</v>
      </c>
      <c r="K31" s="202" t="s">
        <v>993</v>
      </c>
      <c r="L31" s="182"/>
      <c r="M31" s="202"/>
      <c r="N31" s="182"/>
      <c r="O31" s="202"/>
      <c r="P31" s="284" t="s">
        <v>1475</v>
      </c>
    </row>
    <row r="32" spans="1:18" ht="20.100000000000001" customHeight="1" thickBot="1">
      <c r="A32" s="300"/>
      <c r="B32" s="212"/>
      <c r="C32" s="203"/>
      <c r="D32" s="179"/>
      <c r="E32" s="203"/>
      <c r="F32" s="212"/>
      <c r="G32" s="202"/>
      <c r="H32" s="179"/>
      <c r="I32" s="203"/>
      <c r="J32" s="177"/>
      <c r="K32" s="202"/>
      <c r="L32" s="212"/>
      <c r="M32" s="203"/>
      <c r="N32" s="212"/>
      <c r="O32" s="203"/>
      <c r="P32" s="284" t="s">
        <v>2018</v>
      </c>
    </row>
    <row r="33" spans="1:16" ht="24.95" customHeight="1">
      <c r="A33" s="175" t="s">
        <v>1075</v>
      </c>
      <c r="B33" s="307"/>
      <c r="C33" s="308"/>
      <c r="D33" s="307"/>
      <c r="E33" s="308"/>
      <c r="F33" s="307"/>
      <c r="G33" s="308"/>
      <c r="H33" s="313"/>
      <c r="I33" s="314"/>
      <c r="J33" s="307"/>
      <c r="K33" s="308"/>
      <c r="L33" s="311"/>
      <c r="M33" s="312"/>
      <c r="P33" s="284" t="s">
        <v>1562</v>
      </c>
    </row>
    <row r="34" spans="1:16" ht="20.100000000000001" customHeight="1" thickBot="1">
      <c r="A34" s="230" t="s">
        <v>1077</v>
      </c>
      <c r="B34" s="216" t="s">
        <v>1078</v>
      </c>
      <c r="C34" s="219" t="s">
        <v>1079</v>
      </c>
      <c r="D34" s="216" t="s">
        <v>1078</v>
      </c>
      <c r="E34" s="219" t="s">
        <v>1079</v>
      </c>
      <c r="F34" s="216" t="s">
        <v>1078</v>
      </c>
      <c r="G34" s="219" t="s">
        <v>1079</v>
      </c>
      <c r="H34" s="216" t="s">
        <v>1078</v>
      </c>
      <c r="I34" s="219" t="s">
        <v>1079</v>
      </c>
      <c r="J34" s="216" t="s">
        <v>1078</v>
      </c>
      <c r="K34" s="217" t="s">
        <v>1079</v>
      </c>
      <c r="L34" s="216"/>
      <c r="M34" s="217"/>
      <c r="P34" s="284" t="s">
        <v>1476</v>
      </c>
    </row>
    <row r="35" spans="1:16" ht="20.100000000000001" customHeight="1">
      <c r="A35" s="298" t="s">
        <v>1082</v>
      </c>
      <c r="B35" s="243" t="s">
        <v>2079</v>
      </c>
      <c r="C35" s="273">
        <f>IFERROR(INDEX(온라인_반찬!$C$2:$I$597,MATCH($B35,온라인_반찬!$C$2:$C$597,0),7),"")</f>
        <v>0</v>
      </c>
      <c r="D35" s="183" t="s">
        <v>2080</v>
      </c>
      <c r="E35" s="202">
        <f>IFERROR(INDEX(온라인_반찬!$C$2:$I$597,MATCH($D35,온라인_반찬!$C$2:$C$597,0),7),"")</f>
        <v>0</v>
      </c>
      <c r="F35" s="183" t="s">
        <v>2081</v>
      </c>
      <c r="G35" s="202">
        <f>IFERROR(INDEX(온라인_반찬!$C$2:$I$597,MATCH($F35,온라인_반찬!$C$2:$C$597,0),7),"")</f>
        <v>0</v>
      </c>
      <c r="H35" s="177" t="s">
        <v>292</v>
      </c>
      <c r="I35" s="202">
        <f>IFERROR(INDEX(온라인_반찬!$C$2:$I$597,MATCH($H35,온라인_반찬!$C$2:$C$597,0),7),"")</f>
        <v>0</v>
      </c>
      <c r="J35" s="177" t="s">
        <v>2083</v>
      </c>
      <c r="K35" s="202">
        <f>IFERROR(INDEX(온라인_반찬!$C$2:$I$597,MATCH($J35,온라인_반찬!$C$2:$C$597,0),7),"")</f>
        <v>0</v>
      </c>
      <c r="L35" s="241"/>
      <c r="M35" s="240"/>
      <c r="P35" s="284" t="s">
        <v>1715</v>
      </c>
    </row>
    <row r="36" spans="1:16" ht="20.100000000000001" customHeight="1">
      <c r="A36" s="299"/>
      <c r="B36" s="183" t="s">
        <v>2204</v>
      </c>
      <c r="C36" s="202" t="str">
        <f>IFERROR(INDEX(온라인_반찬!$C$2:$I$597,MATCH($B36,온라인_반찬!$C$2:$C$597,0),7),"")</f>
        <v>.1.5.16.21.</v>
      </c>
      <c r="D36" s="283" t="s">
        <v>2206</v>
      </c>
      <c r="E36" s="282" t="str">
        <f>IFERROR(INDEX(온라인_반찬!$C$2:$I$597,MATCH($D36,온라인_반찬!$C$2:$C$597,0),7),"")</f>
        <v>.5.6.10.17.21.</v>
      </c>
      <c r="F36" s="281" t="s">
        <v>2208</v>
      </c>
      <c r="G36" s="282" t="str">
        <f>IFERROR(INDEX(온라인_반찬!$C$2:$I$597,MATCH($F36,온라인_반찬!$C$2:$C$597,0),7),"")</f>
        <v>.5.6.15.21.</v>
      </c>
      <c r="H36" s="179" t="s">
        <v>770</v>
      </c>
      <c r="I36" s="202" t="str">
        <f>IFERROR(INDEX(온라인_반찬!$C$2:$I$597,MATCH($H36,온라인_반찬!$C$2:$C$597,0),7),"")</f>
        <v>.5.6.9.</v>
      </c>
      <c r="J36" s="179" t="s">
        <v>2212</v>
      </c>
      <c r="K36" s="202" t="str">
        <f>IFERROR(INDEX(온라인_반찬!$C$2:$I$597,MATCH($J36,온라인_반찬!$C$2:$C$597,0),7),"")</f>
        <v>.5.10.12.13.18.19.21.</v>
      </c>
      <c r="L36" s="242"/>
      <c r="M36" s="240"/>
    </row>
    <row r="37" spans="1:16" ht="20.100000000000001" customHeight="1">
      <c r="A37" s="299"/>
      <c r="B37" s="182" t="s">
        <v>456</v>
      </c>
      <c r="C37" s="202" t="str">
        <f>IFERROR(INDEX(온라인_반찬!$C$2:$I$597,MATCH($B37,온라인_반찬!$C$2:$C$597,0),7),"")</f>
        <v>.1.2.5.6.10.12.16.</v>
      </c>
      <c r="D37" s="179" t="s">
        <v>484</v>
      </c>
      <c r="E37" s="202" t="str">
        <f>IFERROR(INDEX(온라인_반찬!$C$2:$I$597,MATCH($D37,온라인_반찬!$C$2:$C$597,0),7),"")</f>
        <v>.1.6.</v>
      </c>
      <c r="F37" s="178" t="s">
        <v>2209</v>
      </c>
      <c r="G37" s="202" t="str">
        <f>IFERROR(INDEX(온라인_반찬!$C$2:$I$597,MATCH($F37,온라인_반찬!$C$2:$C$597,0),7),"")</f>
        <v>.5.6.21.</v>
      </c>
      <c r="H37" s="179" t="s">
        <v>1402</v>
      </c>
      <c r="I37" s="202" t="str">
        <f>IFERROR(INDEX(온라인_반찬!$C$2:$I$597,MATCH($H37,온라인_반찬!$C$2:$C$597,0),7),"")</f>
        <v>.1.2.5.6.9.</v>
      </c>
      <c r="J37" s="179" t="s">
        <v>2213</v>
      </c>
      <c r="K37" s="202" t="str">
        <f>IFERROR(INDEX(온라인_반찬!$C$2:$I$597,MATCH($J37,온라인_반찬!$C$2:$C$597,0),7),"")</f>
        <v>.1.2.5.6.15.16.</v>
      </c>
      <c r="L37" s="242"/>
      <c r="M37" s="240"/>
    </row>
    <row r="38" spans="1:16" ht="20.100000000000001" customHeight="1">
      <c r="A38" s="299"/>
      <c r="B38" s="182" t="s">
        <v>521</v>
      </c>
      <c r="C38" s="202" t="str">
        <f>IFERROR(INDEX(온라인_반찬!$C$2:$I$597,MATCH($B38,온라인_반찬!$C$2:$C$597,0),7),"")</f>
        <v>.5.21.</v>
      </c>
      <c r="D38" s="179" t="s">
        <v>671</v>
      </c>
      <c r="E38" s="202">
        <f>IFERROR(INDEX(온라인_반찬!$C$2:$I$597,MATCH($D38,온라인_반찬!$C$2:$C$597,0),7),"")</f>
        <v>0</v>
      </c>
      <c r="F38" s="178" t="s">
        <v>461</v>
      </c>
      <c r="G38" s="202" t="str">
        <f>IFERROR(INDEX(온라인_반찬!$C$2:$I$597,MATCH($F38,온라인_반찬!$C$2:$C$597,0),7),"")</f>
        <v>.5.16.21.</v>
      </c>
      <c r="H38" s="283" t="s">
        <v>2211</v>
      </c>
      <c r="I38" s="282" t="str">
        <f>IFERROR(INDEX(온라인_반찬!$C$2:$I$597,MATCH($H38,온라인_반찬!$C$2:$C$597,0),7),"")</f>
        <v>.1.5.6.12.</v>
      </c>
      <c r="J38" s="179" t="s">
        <v>2084</v>
      </c>
      <c r="K38" s="202" t="str">
        <f>IFERROR(INDEX(온라인_반찬!$C$2:$I$597,MATCH($J38,온라인_반찬!$C$2:$C$597,0),7),"")</f>
        <v>.21.</v>
      </c>
      <c r="L38" s="242"/>
      <c r="M38" s="240"/>
    </row>
    <row r="39" spans="1:16" ht="20.100000000000001" customHeight="1">
      <c r="A39" s="299"/>
      <c r="B39" s="182" t="s">
        <v>373</v>
      </c>
      <c r="C39" s="202" t="str">
        <f>IFERROR(INDEX(온라인_반찬!$C$2:$I$597,MATCH($B39,온라인_반찬!$C$2:$C$597,0),7),"")</f>
        <v>.9.12.</v>
      </c>
      <c r="D39" s="179" t="s">
        <v>1211</v>
      </c>
      <c r="E39" s="202" t="str">
        <f>IFERROR(INDEX(온라인_반찬!$C$2:$I$597,MATCH($D39,온라인_반찬!$C$2:$C$597,0),7),"")</f>
        <v>.1.5.6.21.</v>
      </c>
      <c r="F39" s="178" t="s">
        <v>2082</v>
      </c>
      <c r="G39" s="202">
        <f>IFERROR(INDEX(온라인_반찬!$C$2:$I$597,MATCH($F39,온라인_반찬!$C$2:$C$597,0),7),"")</f>
        <v>0</v>
      </c>
      <c r="H39" s="179" t="s">
        <v>509</v>
      </c>
      <c r="I39" s="202" t="str">
        <f>IFERROR(INDEX(온라인_반찬!$C$2:$I$597,MATCH($H39,온라인_반찬!$C$2:$C$597,0),7),"")</f>
        <v>.1.5.16.</v>
      </c>
      <c r="J39" s="179" t="s">
        <v>373</v>
      </c>
      <c r="K39" s="202" t="str">
        <f>IFERROR(INDEX(온라인_반찬!$C$2:$I$597,MATCH($J39,온라인_반찬!$C$2:$C$597,0),7),"")</f>
        <v>.9.12.</v>
      </c>
      <c r="L39" s="242"/>
      <c r="M39" s="240"/>
    </row>
    <row r="40" spans="1:16" ht="20.100000000000001" customHeight="1">
      <c r="A40" s="299"/>
      <c r="B40" s="182" t="s">
        <v>2205</v>
      </c>
      <c r="C40" s="202" t="str">
        <f>IFERROR(INDEX(온라인_반찬!$C$2:$I$597,MATCH($B40,온라인_반찬!$C$2:$C$597,0),7),"")</f>
        <v>.5.</v>
      </c>
      <c r="D40" s="179" t="s">
        <v>229</v>
      </c>
      <c r="E40" s="202" t="str">
        <f>IFERROR(INDEX(온라인_반찬!$C$2:$I$597,MATCH($D40,온라인_반찬!$C$2:$C$597,0),7),"")</f>
        <v>.6.9.</v>
      </c>
      <c r="F40" s="180" t="s">
        <v>2210</v>
      </c>
      <c r="G40" s="202" t="str">
        <f>IFERROR(INDEX(온라인_반찬!$C$2:$I$597,MATCH($F40,온라인_반찬!$C$2:$C$597,0),7),"")</f>
        <v>.5.6.9.</v>
      </c>
      <c r="H40" s="179" t="s">
        <v>229</v>
      </c>
      <c r="I40" s="202" t="str">
        <f>IFERROR(INDEX(온라인_반찬!$C$2:$I$597,MATCH($H40,온라인_반찬!$C$2:$C$597,0),7),"")</f>
        <v>.6.9.</v>
      </c>
      <c r="J40" s="179" t="s">
        <v>2214</v>
      </c>
      <c r="K40" s="202" t="str">
        <f>IFERROR(INDEX(온라인_반찬!$C$2:$I$597,MATCH($J40,온라인_반찬!$C$2:$C$597,0),7),"")</f>
        <v>.5.</v>
      </c>
      <c r="L40" s="184"/>
      <c r="M40" s="202"/>
    </row>
    <row r="41" spans="1:16" ht="20.100000000000001" customHeight="1">
      <c r="A41" s="299"/>
      <c r="B41" s="182"/>
      <c r="C41" s="202" t="str">
        <f>IFERROR(INDEX(온라인_반찬!$C$2:$I$597,MATCH($B41,온라인_반찬!$C$2:$C$597,0),7),"")</f>
        <v/>
      </c>
      <c r="D41" s="179" t="s">
        <v>2207</v>
      </c>
      <c r="E41" s="202" t="str">
        <f>IFERROR(INDEX(온라인_반찬!$C$2:$I$597,MATCH($D41,온라인_반찬!$C$2:$C$597,0),7),"")</f>
        <v>.5.9.21.22.</v>
      </c>
      <c r="F41" s="180"/>
      <c r="G41" s="202" t="str">
        <f>IFERROR(INDEX(온라인_반찬!$C$2:$I$597,MATCH($F41,온라인_반찬!$C$2:$C$597,0),7),"")</f>
        <v/>
      </c>
      <c r="H41" s="179" t="s">
        <v>322</v>
      </c>
      <c r="I41" s="202" t="str">
        <f>IFERROR(INDEX(온라인_반찬!$C$2:$I$597,MATCH($H41,온라인_반찬!$C$2:$C$597,0),7),"")</f>
        <v>.5.16.</v>
      </c>
      <c r="J41" s="179"/>
      <c r="K41" s="202" t="str">
        <f>IFERROR(INDEX(온라인_반찬!$C$2:$I$597,MATCH($J41,온라인_반찬!$C$2:$C$597,0),7),"")</f>
        <v/>
      </c>
      <c r="L41" s="182"/>
      <c r="M41" s="202"/>
    </row>
    <row r="42" spans="1:16" ht="20.100000000000001" customHeight="1" thickBot="1">
      <c r="A42" s="300"/>
      <c r="B42" s="212"/>
      <c r="C42" s="203"/>
      <c r="D42" s="179"/>
      <c r="E42" s="203"/>
      <c r="F42" s="212"/>
      <c r="G42" s="202"/>
      <c r="H42" s="179"/>
      <c r="I42" s="203"/>
      <c r="J42" s="177"/>
      <c r="K42" s="202"/>
      <c r="L42" s="212"/>
      <c r="M42" s="203"/>
    </row>
    <row r="43" spans="1:16" ht="24.95" customHeight="1">
      <c r="A43" s="175" t="s">
        <v>1075</v>
      </c>
      <c r="B43" s="311"/>
      <c r="C43" s="312"/>
      <c r="D43" s="311"/>
      <c r="E43" s="312"/>
      <c r="F43" s="311"/>
      <c r="G43" s="312"/>
      <c r="H43" s="311"/>
      <c r="I43" s="312"/>
      <c r="J43" s="311"/>
      <c r="K43" s="312"/>
      <c r="L43" s="311"/>
      <c r="M43" s="312"/>
    </row>
    <row r="44" spans="1:16" ht="20.100000000000001" customHeight="1" thickBot="1">
      <c r="A44" s="230" t="s">
        <v>1077</v>
      </c>
      <c r="B44" s="216" t="s">
        <v>1078</v>
      </c>
      <c r="C44" s="231" t="s">
        <v>1079</v>
      </c>
      <c r="D44" s="216" t="s">
        <v>1078</v>
      </c>
      <c r="E44" s="219" t="s">
        <v>1079</v>
      </c>
      <c r="F44" s="216" t="s">
        <v>1078</v>
      </c>
      <c r="G44" s="219" t="s">
        <v>1079</v>
      </c>
      <c r="H44" s="216" t="s">
        <v>1078</v>
      </c>
      <c r="I44" s="219" t="s">
        <v>1079</v>
      </c>
      <c r="J44" s="216" t="s">
        <v>1078</v>
      </c>
      <c r="K44" s="217" t="s">
        <v>1079</v>
      </c>
      <c r="L44" s="216"/>
      <c r="M44" s="217"/>
    </row>
    <row r="45" spans="1:16" ht="20.100000000000001" customHeight="1">
      <c r="A45" s="299" t="s">
        <v>1083</v>
      </c>
      <c r="B45" s="243" t="s">
        <v>2079</v>
      </c>
      <c r="C45" s="273">
        <f>IFERROR(INDEX(온라인_반찬!$C$2:$I$597,MATCH($B45,온라인_반찬!$C$2:$C$597,0),7),"")</f>
        <v>0</v>
      </c>
      <c r="D45" s="183" t="s">
        <v>2080</v>
      </c>
      <c r="E45" s="202">
        <f>IFERROR(INDEX(온라인_반찬!$C$2:$I$597,MATCH($D45,온라인_반찬!$C$2:$C$597,0),7),"")</f>
        <v>0</v>
      </c>
      <c r="F45" s="183"/>
      <c r="G45" s="202" t="str">
        <f>IFERROR(INDEX(온라인_반찬!$C$2:$I$597,MATCH($F45,온라인_반찬!$C$2:$C$597,0),7),"")</f>
        <v/>
      </c>
      <c r="H45" s="177"/>
      <c r="I45" s="202" t="str">
        <f>IFERROR(INDEX(온라인_반찬!$C$2:$I$597,MATCH($H45,온라인_반찬!$C$2:$C$597,0),7),"")</f>
        <v/>
      </c>
      <c r="J45" s="177"/>
      <c r="K45" s="202" t="str">
        <f>IFERROR(INDEX(온라인_반찬!$C$2:$I$597,MATCH($J45,온라인_반찬!$C$2:$C$597,0),7),"")</f>
        <v/>
      </c>
      <c r="L45" s="241"/>
      <c r="M45" s="240"/>
    </row>
    <row r="46" spans="1:16" ht="20.100000000000001" customHeight="1">
      <c r="A46" s="299"/>
      <c r="B46" s="183" t="s">
        <v>2215</v>
      </c>
      <c r="C46" s="202" t="str">
        <f>IFERROR(INDEX(온라인_반찬!$C$2:$I$597,MATCH($B46,온라인_반찬!$C$2:$C$597,0),7),"")</f>
        <v>.2.5.6.10.15.16.</v>
      </c>
      <c r="D46" s="177" t="s">
        <v>2219</v>
      </c>
      <c r="E46" s="202" t="str">
        <f>IFERROR(INDEX(온라인_반찬!$C$2:$I$597,MATCH($D46,온라인_반찬!$C$2:$C$597,0),7),"")</f>
        <v>.5.16.21.</v>
      </c>
      <c r="F46" s="178"/>
      <c r="G46" s="202" t="str">
        <f>IFERROR(INDEX(온라인_반찬!$C$2:$I$597,MATCH($F46,온라인_반찬!$C$2:$C$597,0),7),"")</f>
        <v/>
      </c>
      <c r="H46" s="179"/>
      <c r="I46" s="202" t="str">
        <f>IFERROR(INDEX(온라인_반찬!$C$2:$I$597,MATCH($H46,온라인_반찬!$C$2:$C$597,0),7),"")</f>
        <v/>
      </c>
      <c r="J46" s="179"/>
      <c r="K46" s="202" t="str">
        <f>IFERROR(INDEX(온라인_반찬!$C$2:$I$597,MATCH($J46,온라인_반찬!$C$2:$C$597,0),7),"")</f>
        <v/>
      </c>
      <c r="L46" s="242"/>
      <c r="M46" s="240"/>
    </row>
    <row r="47" spans="1:16" ht="20.100000000000001" customHeight="1">
      <c r="A47" s="299"/>
      <c r="B47" s="182" t="s">
        <v>2216</v>
      </c>
      <c r="C47" s="202" t="str">
        <f>IFERROR(INDEX(온라인_반찬!$C$2:$I$597,MATCH($B47,온라인_반찬!$C$2:$C$597,0),7),"")</f>
        <v>1.5.6.</v>
      </c>
      <c r="D47" s="179" t="s">
        <v>2220</v>
      </c>
      <c r="E47" s="202" t="str">
        <f>IFERROR(INDEX(온라인_반찬!$C$2:$I$597,MATCH($D47,온라인_반찬!$C$2:$C$597,0),7),"")</f>
        <v>.1.5.6.10.15.</v>
      </c>
      <c r="F47" s="178"/>
      <c r="G47" s="202" t="str">
        <f>IFERROR(INDEX(온라인_반찬!$C$2:$I$597,MATCH($F47,온라인_반찬!$C$2:$C$597,0),7),"")</f>
        <v/>
      </c>
      <c r="H47" s="179"/>
      <c r="I47" s="202" t="str">
        <f>IFERROR(INDEX(온라인_반찬!$C$2:$I$597,MATCH($H47,온라인_반찬!$C$2:$C$597,0),7),"")</f>
        <v/>
      </c>
      <c r="J47" s="179"/>
      <c r="K47" s="202" t="str">
        <f>IFERROR(INDEX(온라인_반찬!$C$2:$I$597,MATCH($J47,온라인_반찬!$C$2:$C$597,0),7),"")</f>
        <v/>
      </c>
      <c r="L47" s="242"/>
      <c r="M47" s="240"/>
    </row>
    <row r="48" spans="1:16" ht="20.100000000000001" customHeight="1">
      <c r="A48" s="299"/>
      <c r="B48" s="182" t="s">
        <v>2217</v>
      </c>
      <c r="C48" s="202" t="str">
        <f>IFERROR(INDEX(온라인_반찬!$C$2:$I$597,MATCH($B48,온라인_반찬!$C$2:$C$597,0),7),"")</f>
        <v>.1.2.5.6.8.12.21.</v>
      </c>
      <c r="D48" s="179" t="s">
        <v>2085</v>
      </c>
      <c r="E48" s="202" t="str">
        <f>IFERROR(INDEX(온라인_반찬!$C$2:$I$597,MATCH($D48,온라인_반찬!$C$2:$C$597,0),7),"")</f>
        <v>.5.21.22.</v>
      </c>
      <c r="F48" s="178"/>
      <c r="G48" s="202" t="str">
        <f>IFERROR(INDEX(온라인_반찬!$C$2:$I$597,MATCH($F48,온라인_반찬!$C$2:$C$597,0),7),"")</f>
        <v/>
      </c>
      <c r="H48" s="179"/>
      <c r="I48" s="202" t="str">
        <f>IFERROR(INDEX(온라인_반찬!$C$2:$I$597,MATCH($H48,온라인_반찬!$C$2:$C$597,0),7),"")</f>
        <v/>
      </c>
      <c r="J48" s="179"/>
      <c r="K48" s="202" t="str">
        <f>IFERROR(INDEX(온라인_반찬!$C$2:$I$597,MATCH($J48,온라인_반찬!$C$2:$C$597,0),7),"")</f>
        <v/>
      </c>
      <c r="L48" s="242"/>
      <c r="M48" s="240"/>
    </row>
    <row r="49" spans="1:13" ht="20.100000000000001" customHeight="1">
      <c r="A49" s="299"/>
      <c r="B49" s="182" t="s">
        <v>373</v>
      </c>
      <c r="C49" s="202" t="str">
        <f>IFERROR(INDEX(온라인_반찬!$C$2:$I$597,MATCH($B49,온라인_반찬!$C$2:$C$597,0),7),"")</f>
        <v>.9.12.</v>
      </c>
      <c r="D49" s="179" t="s">
        <v>229</v>
      </c>
      <c r="E49" s="202" t="str">
        <f>IFERROR(INDEX(온라인_반찬!$C$2:$I$597,MATCH($D49,온라인_반찬!$C$2:$C$597,0),7),"")</f>
        <v>.6.9.</v>
      </c>
      <c r="F49" s="178"/>
      <c r="G49" s="202" t="str">
        <f>IFERROR(INDEX(온라인_반찬!$C$2:$I$597,MATCH($F49,온라인_반찬!$C$2:$C$597,0),7),"")</f>
        <v/>
      </c>
      <c r="H49" s="179"/>
      <c r="I49" s="202" t="str">
        <f>IFERROR(INDEX(온라인_반찬!$C$2:$I$597,MATCH($H49,온라인_반찬!$C$2:$C$597,0),7),"")</f>
        <v/>
      </c>
      <c r="J49" s="179"/>
      <c r="K49" s="202" t="str">
        <f>IFERROR(INDEX(온라인_반찬!$C$2:$I$597,MATCH($J49,온라인_반찬!$C$2:$C$597,0),7),"")</f>
        <v/>
      </c>
      <c r="L49" s="242"/>
      <c r="M49" s="240"/>
    </row>
    <row r="50" spans="1:13" ht="20.100000000000001" customHeight="1">
      <c r="A50" s="299"/>
      <c r="B50" s="182" t="s">
        <v>2218</v>
      </c>
      <c r="C50" s="202" t="str">
        <f>IFERROR(INDEX(온라인_반찬!$C$2:$I$597,MATCH($B50,온라인_반찬!$C$2:$C$597,0),7),"")</f>
        <v>.5.16.</v>
      </c>
      <c r="D50" s="283" t="s">
        <v>2251</v>
      </c>
      <c r="E50" s="282" t="s">
        <v>2244</v>
      </c>
      <c r="F50" s="180"/>
      <c r="G50" s="202" t="str">
        <f>IFERROR(INDEX(온라인_반찬!$C$2:$I$597,MATCH($F50,온라인_반찬!$C$2:$C$597,0),7),"")</f>
        <v/>
      </c>
      <c r="H50" s="179"/>
      <c r="I50" s="202" t="str">
        <f>IFERROR(INDEX(온라인_반찬!$C$2:$I$597,MATCH($H50,온라인_반찬!$C$2:$C$597,0),7),"")</f>
        <v/>
      </c>
      <c r="J50" s="179"/>
      <c r="K50" s="202" t="str">
        <f>IFERROR(INDEX(온라인_반찬!$C$2:$I$597,MATCH($J50,온라인_반찬!$C$2:$C$597,0),7),"")</f>
        <v/>
      </c>
      <c r="L50" s="184"/>
      <c r="M50" s="202"/>
    </row>
    <row r="51" spans="1:13" ht="20.100000000000001" customHeight="1">
      <c r="A51" s="299"/>
      <c r="B51" s="182"/>
      <c r="C51" s="202" t="str">
        <f>IFERROR(INDEX(온라인_반찬!$C$2:$I$597,MATCH($B51,온라인_반찬!$C$2:$C$597,0),7),"")</f>
        <v/>
      </c>
      <c r="D51" s="181"/>
      <c r="E51" s="202" t="str">
        <f>IFERROR(INDEX(온라인_반찬!$C$2:$I$597,MATCH($D51,온라인_반찬!$C$2:$C$597,0),7),"")</f>
        <v/>
      </c>
      <c r="F51" s="180"/>
      <c r="G51" s="202" t="str">
        <f>IFERROR(INDEX(온라인_반찬!$C$2:$I$597,MATCH($F51,온라인_반찬!$C$2:$C$597,0),7),"")</f>
        <v/>
      </c>
      <c r="H51" s="177"/>
      <c r="I51" s="202" t="str">
        <f>IFERROR(INDEX(온라인_반찬!$C$2:$I$597,MATCH($H51,온라인_반찬!$C$2:$C$597,0),7),"")</f>
        <v/>
      </c>
      <c r="J51" s="179"/>
      <c r="K51" s="202" t="str">
        <f>IFERROR(INDEX(온라인_반찬!$C$2:$I$597,MATCH($J51,온라인_반찬!$C$2:$C$597,0),7),"")</f>
        <v/>
      </c>
      <c r="L51" s="182"/>
      <c r="M51" s="202"/>
    </row>
    <row r="52" spans="1:13" ht="19.5" customHeight="1" thickBot="1">
      <c r="A52" s="299"/>
      <c r="B52" s="212"/>
      <c r="C52" s="203"/>
      <c r="D52" s="179"/>
      <c r="E52" s="203"/>
      <c r="F52" s="212"/>
      <c r="G52" s="202" t="str">
        <f>IFERROR(INDEX(온라인_반찬!$C$2:$I$597,MATCH($F52,온라인_반찬!$C$2:$C$597,0),7),"")</f>
        <v/>
      </c>
      <c r="H52" s="179"/>
      <c r="I52" s="203"/>
      <c r="J52" s="177"/>
      <c r="K52" s="202" t="str">
        <f>IFERROR(INDEX(온라인_반찬!$C$2:$I$597,MATCH($J52,온라인_반찬!$C$2:$C$597,0),7),"")</f>
        <v/>
      </c>
      <c r="L52" s="212"/>
      <c r="M52" s="203"/>
    </row>
    <row r="53" spans="1:13" ht="150" customHeight="1" thickBot="1">
      <c r="A53" s="315" t="s">
        <v>1405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7"/>
    </row>
  </sheetData>
  <mergeCells count="45"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  <mergeCell ref="A25:A32"/>
    <mergeCell ref="B33:C33"/>
    <mergeCell ref="D33:E33"/>
    <mergeCell ref="F33:G33"/>
    <mergeCell ref="H33:I3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5:A12"/>
    <mergeCell ref="B13:C13"/>
    <mergeCell ref="D13:E13"/>
    <mergeCell ref="F13:G13"/>
    <mergeCell ref="H13:I13"/>
    <mergeCell ref="B5:C12"/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zoomScale="60" zoomScaleNormal="60" workbookViewId="0">
      <selection sqref="A1:K1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90" t="s">
        <v>2155</v>
      </c>
      <c r="B1" s="291"/>
      <c r="C1" s="291"/>
      <c r="D1" s="291"/>
      <c r="E1" s="291"/>
      <c r="F1" s="291"/>
      <c r="G1" s="291"/>
      <c r="H1" s="291"/>
      <c r="I1" s="291"/>
      <c r="J1" s="291"/>
      <c r="K1" s="292"/>
    </row>
    <row r="2" spans="1:18" ht="24.95" customHeight="1" thickBot="1">
      <c r="A2" s="229" t="s">
        <v>1069</v>
      </c>
      <c r="B2" s="293" t="s">
        <v>1070</v>
      </c>
      <c r="C2" s="294"/>
      <c r="D2" s="295" t="s">
        <v>1071</v>
      </c>
      <c r="E2" s="296"/>
      <c r="F2" s="294" t="s">
        <v>1072</v>
      </c>
      <c r="G2" s="297"/>
      <c r="H2" s="293" t="s">
        <v>1073</v>
      </c>
      <c r="I2" s="297"/>
      <c r="J2" s="293" t="s">
        <v>1074</v>
      </c>
      <c r="K2" s="296"/>
    </row>
    <row r="3" spans="1:18" ht="24.95" customHeight="1">
      <c r="A3" s="232" t="s">
        <v>1075</v>
      </c>
      <c r="B3" s="288"/>
      <c r="C3" s="289"/>
      <c r="D3" s="288"/>
      <c r="E3" s="289"/>
      <c r="F3" s="288"/>
      <c r="G3" s="289"/>
      <c r="H3" s="288"/>
      <c r="I3" s="289"/>
      <c r="J3" s="288"/>
      <c r="K3" s="289"/>
      <c r="L3" s="288"/>
      <c r="M3" s="289"/>
    </row>
    <row r="4" spans="1:18" ht="20.100000000000001" customHeight="1" thickBot="1">
      <c r="A4" s="233" t="s">
        <v>1077</v>
      </c>
      <c r="B4" s="271" t="s">
        <v>1078</v>
      </c>
      <c r="C4" s="272" t="s">
        <v>1079</v>
      </c>
      <c r="D4" s="218" t="s">
        <v>1078</v>
      </c>
      <c r="E4" s="217" t="s">
        <v>1079</v>
      </c>
      <c r="F4" s="218" t="s">
        <v>1078</v>
      </c>
      <c r="G4" s="219" t="s">
        <v>1079</v>
      </c>
      <c r="H4" s="215" t="s">
        <v>1078</v>
      </c>
      <c r="I4" s="220" t="s">
        <v>1079</v>
      </c>
      <c r="J4" s="215" t="s">
        <v>1078</v>
      </c>
      <c r="K4" s="220" t="s">
        <v>1079</v>
      </c>
      <c r="L4" s="215" t="s">
        <v>1078</v>
      </c>
      <c r="M4" s="220" t="s">
        <v>1079</v>
      </c>
    </row>
    <row r="5" spans="1:18" ht="20.100000000000001" customHeight="1">
      <c r="A5" s="318" t="s">
        <v>1874</v>
      </c>
      <c r="B5" s="301" t="s">
        <v>2156</v>
      </c>
      <c r="C5" s="302"/>
      <c r="D5" s="183" t="s">
        <v>2080</v>
      </c>
      <c r="E5" s="202">
        <f>IFERROR(INDEX(온라인_반찬!$C$2:$I$597,MATCH($D5,온라인_반찬!$C$2:$C$597,0),7),"")</f>
        <v>0</v>
      </c>
      <c r="F5" s="183" t="s">
        <v>2081</v>
      </c>
      <c r="G5" s="202">
        <f>IFERROR(INDEX(온라인_반찬!$C$2:$I$597,MATCH($F5,온라인_반찬!$C$2:$C$597,0),7),"")</f>
        <v>0</v>
      </c>
      <c r="H5" s="177" t="s">
        <v>292</v>
      </c>
      <c r="I5" s="202">
        <f>IFERROR(INDEX(온라인_반찬!$C$2:$I$597,MATCH($H5,온라인_반찬!$C$2:$C$597,0),7),"")</f>
        <v>0</v>
      </c>
      <c r="J5" s="177" t="s">
        <v>2083</v>
      </c>
      <c r="K5" s="202">
        <f>IFERROR(INDEX(온라인_반찬!$C$2:$I$597,MATCH($J5,온라인_반찬!$C$2:$C$597,0),7),"")</f>
        <v>0</v>
      </c>
      <c r="L5" s="241"/>
      <c r="M5" s="240"/>
    </row>
    <row r="6" spans="1:18" ht="20.100000000000001" customHeight="1">
      <c r="A6" s="319"/>
      <c r="B6" s="303"/>
      <c r="C6" s="304"/>
      <c r="D6" s="177" t="s">
        <v>2160</v>
      </c>
      <c r="E6" s="202" t="str">
        <f>IFERROR(INDEX(온라인_반찬!$C$2:$I$597,MATCH($D6,온라인_반찬!$C$2:$C$597,0),7),"")</f>
        <v>1.2.5.6.10.</v>
      </c>
      <c r="F6" s="178" t="s">
        <v>2161</v>
      </c>
      <c r="G6" s="202" t="str">
        <f>IFERROR(INDEX(온라인_반찬!$C$2:$I$597,MATCH($F6,온라인_반찬!$C$2:$C$597,0),7),"")</f>
        <v>.1.2.5.6.15.21.</v>
      </c>
      <c r="H6" s="179" t="s">
        <v>2165</v>
      </c>
      <c r="I6" s="202" t="str">
        <f>IFERROR(INDEX(온라인_반찬!$C$2:$I$597,MATCH($H6,온라인_반찬!$C$2:$C$597,0),7),"")</f>
        <v>.1.2.5.6.10.15.16.21.</v>
      </c>
      <c r="J6" s="179" t="s">
        <v>2168</v>
      </c>
      <c r="K6" s="202" t="str">
        <f>IFERROR(INDEX(온라인_반찬!$C$2:$I$597,MATCH($J6,온라인_반찬!$C$2:$C$597,0),7),"")</f>
        <v>.5.16.21.</v>
      </c>
      <c r="L6" s="242"/>
      <c r="M6" s="240"/>
    </row>
    <row r="7" spans="1:18" ht="20.100000000000001" customHeight="1">
      <c r="A7" s="319"/>
      <c r="B7" s="303"/>
      <c r="C7" s="304"/>
      <c r="D7" s="179" t="s">
        <v>1206</v>
      </c>
      <c r="E7" s="202" t="str">
        <f>IFERROR(INDEX(온라인_반찬!$C$2:$I$597,MATCH($D7,온라인_반찬!$C$2:$C$597,0),7),"")</f>
        <v>.5.6.12.16.18.</v>
      </c>
      <c r="F7" s="178" t="s">
        <v>2162</v>
      </c>
      <c r="G7" s="202" t="str">
        <f>IFERROR(INDEX(온라인_반찬!$C$2:$I$597,MATCH($F7,온라인_반찬!$C$2:$C$597,0),7),"")</f>
        <v>.5.6.21.</v>
      </c>
      <c r="H7" s="179" t="s">
        <v>518</v>
      </c>
      <c r="I7" s="202" t="str">
        <f>IFERROR(INDEX(온라인_반찬!$C$2:$I$597,MATCH($H7,온라인_반찬!$C$2:$C$597,0),7),"")</f>
        <v>.1.2.5.6.10.16.18.21.</v>
      </c>
      <c r="J7" s="179" t="s">
        <v>2169</v>
      </c>
      <c r="K7" s="202" t="str">
        <f>IFERROR(INDEX(온라인_반찬!$C$2:$I$597,MATCH($J7,온라인_반찬!$C$2:$C$597,0),7),"")</f>
        <v>.1.5.21.</v>
      </c>
      <c r="L7" s="242"/>
      <c r="M7" s="240"/>
      <c r="P7" s="247"/>
      <c r="R7" s="247"/>
    </row>
    <row r="8" spans="1:18" ht="20.100000000000001" customHeight="1">
      <c r="A8" s="319"/>
      <c r="B8" s="303"/>
      <c r="C8" s="304"/>
      <c r="D8" s="179" t="s">
        <v>2157</v>
      </c>
      <c r="E8" s="202" t="str">
        <f>IFERROR(INDEX(온라인_반찬!$C$2:$I$597,MATCH($D8,온라인_반찬!$C$2:$C$597,0),7),"")</f>
        <v>.5.6.16.21.</v>
      </c>
      <c r="F8" s="178" t="s">
        <v>2163</v>
      </c>
      <c r="G8" s="202" t="str">
        <f>IFERROR(INDEX(온라인_반찬!$C$2:$I$597,MATCH($F8,온라인_반찬!$C$2:$C$597,0),7),"")</f>
        <v>.5.6.9.21.</v>
      </c>
      <c r="H8" s="179" t="s">
        <v>2166</v>
      </c>
      <c r="I8" s="202" t="str">
        <f>IFERROR(INDEX(온라인_반찬!$C$2:$I$597,MATCH($H8,온라인_반찬!$C$2:$C$597,0),7),"")</f>
        <v>.2.4.12.</v>
      </c>
      <c r="J8" s="179" t="s">
        <v>560</v>
      </c>
      <c r="K8" s="202" t="str">
        <f>IFERROR(INDEX(온라인_반찬!$C$2:$I$597,MATCH($J8,온라인_반찬!$C$2:$C$597,0),7),"")</f>
        <v>.5.21.</v>
      </c>
      <c r="L8" s="242"/>
      <c r="M8" s="240"/>
      <c r="P8" s="247"/>
      <c r="R8" s="247"/>
    </row>
    <row r="9" spans="1:18" ht="20.100000000000001" customHeight="1">
      <c r="A9" s="319"/>
      <c r="B9" s="303"/>
      <c r="C9" s="304"/>
      <c r="D9" s="179" t="s">
        <v>2158</v>
      </c>
      <c r="E9" s="202">
        <f>IFERROR(INDEX(온라인_반찬!$C$2:$I$597,MATCH($D9,온라인_반찬!$C$2:$C$597,0),7),"")</f>
        <v>0</v>
      </c>
      <c r="F9" s="178" t="s">
        <v>2082</v>
      </c>
      <c r="G9" s="202">
        <f>IFERROR(INDEX(온라인_반찬!$C$2:$I$597,MATCH($F9,온라인_반찬!$C$2:$C$597,0),7),"")</f>
        <v>0</v>
      </c>
      <c r="H9" s="179" t="s">
        <v>229</v>
      </c>
      <c r="I9" s="202" t="str">
        <f>IFERROR(INDEX(온라인_반찬!$C$2:$I$597,MATCH($H9,온라인_반찬!$C$2:$C$597,0),7),"")</f>
        <v>.6.9.</v>
      </c>
      <c r="J9" s="179" t="s">
        <v>373</v>
      </c>
      <c r="K9" s="202" t="str">
        <f>IFERROR(INDEX(온라인_반찬!$C$2:$I$597,MATCH($J9,온라인_반찬!$C$2:$C$597,0),7),"")</f>
        <v>.9.12.</v>
      </c>
      <c r="L9" s="242"/>
      <c r="M9" s="240"/>
      <c r="P9" s="247"/>
      <c r="R9" s="247"/>
    </row>
    <row r="10" spans="1:18" ht="20.100000000000001" customHeight="1">
      <c r="A10" s="319"/>
      <c r="B10" s="303"/>
      <c r="C10" s="304"/>
      <c r="D10" s="179" t="s">
        <v>229</v>
      </c>
      <c r="E10" s="202" t="str">
        <f>IFERROR(INDEX(온라인_반찬!$C$2:$I$597,MATCH($D10,온라인_반찬!$C$2:$C$597,0),7),"")</f>
        <v>.6.9.</v>
      </c>
      <c r="F10" s="180" t="s">
        <v>2164</v>
      </c>
      <c r="G10" s="202" t="str">
        <f>IFERROR(INDEX(온라인_반찬!$C$2:$I$597,MATCH($F10,온라인_반찬!$C$2:$C$597,0),7),"")</f>
        <v>.5.16.</v>
      </c>
      <c r="H10" s="179" t="s">
        <v>2167</v>
      </c>
      <c r="I10" s="202" t="str">
        <f>IFERROR(INDEX(온라인_반찬!$C$2:$I$597,MATCH($H10,온라인_반찬!$C$2:$C$597,0),7),"")</f>
        <v>.5.9.10.</v>
      </c>
      <c r="J10" s="179" t="s">
        <v>2170</v>
      </c>
      <c r="K10" s="202" t="str">
        <f>IFERROR(INDEX(온라인_반찬!$C$2:$I$597,MATCH($J10,온라인_반찬!$C$2:$C$597,0),7),"")</f>
        <v>.5.</v>
      </c>
      <c r="L10" s="184"/>
      <c r="M10" s="202"/>
      <c r="N10" s="120"/>
      <c r="P10" s="247"/>
      <c r="R10" s="247"/>
    </row>
    <row r="11" spans="1:18" ht="20.100000000000001" customHeight="1">
      <c r="A11" s="319"/>
      <c r="B11" s="303"/>
      <c r="C11" s="304"/>
      <c r="D11" s="181" t="s">
        <v>2159</v>
      </c>
      <c r="E11" s="202" t="str">
        <f>IFERROR(INDEX(온라인_반찬!$C$2:$I$597,MATCH($D11,온라인_반찬!$C$2:$C$597,0),7),"")</f>
        <v>.5.</v>
      </c>
      <c r="F11" s="180"/>
      <c r="G11" s="202" t="str">
        <f>IFERROR(INDEX(온라인_반찬!$C$2:$I$597,MATCH($F11,온라인_반찬!$C$2:$C$597,0),7),"")</f>
        <v/>
      </c>
      <c r="H11" s="177"/>
      <c r="I11" s="202" t="str">
        <f>IFERROR(INDEX(온라인_반찬!$C$2:$I$597,MATCH($H11,온라인_반찬!$C$2:$C$597,0),7),"")</f>
        <v/>
      </c>
      <c r="J11" s="179"/>
      <c r="K11" s="202" t="str">
        <f>IFERROR(INDEX(온라인_반찬!$C$2:$I$597,MATCH($J11,온라인_반찬!$C$2:$C$597,0),7),"")</f>
        <v/>
      </c>
      <c r="L11" s="182"/>
      <c r="M11" s="202"/>
      <c r="P11" s="247"/>
      <c r="R11" s="247"/>
    </row>
    <row r="12" spans="1:18" ht="19.5" customHeight="1" thickBot="1">
      <c r="A12" s="320"/>
      <c r="B12" s="305"/>
      <c r="C12" s="306"/>
      <c r="D12" s="179"/>
      <c r="E12" s="203"/>
      <c r="F12" s="212"/>
      <c r="G12" s="202" t="str">
        <f>IFERROR(INDEX(온라인_반찬!$C$2:$I$597,MATCH($F12,온라인_반찬!$C$2:$C$597,0),7),"")</f>
        <v/>
      </c>
      <c r="H12" s="179"/>
      <c r="I12" s="203"/>
      <c r="J12" s="177"/>
      <c r="K12" s="202" t="str">
        <f>IFERROR(INDEX(온라인_반찬!$C$2:$I$597,MATCH($J12,온라인_반찬!$C$2:$C$597,0),7),"")</f>
        <v/>
      </c>
      <c r="L12" s="212"/>
      <c r="M12" s="203"/>
      <c r="P12" s="247"/>
      <c r="R12" s="247"/>
    </row>
    <row r="13" spans="1:18" ht="24.95" customHeight="1">
      <c r="A13" s="175" t="s">
        <v>1075</v>
      </c>
      <c r="B13" s="288"/>
      <c r="C13" s="289"/>
      <c r="D13" s="288"/>
      <c r="E13" s="289"/>
      <c r="F13" s="288"/>
      <c r="G13" s="289"/>
      <c r="H13" s="288"/>
      <c r="I13" s="289"/>
      <c r="J13" s="288"/>
      <c r="K13" s="289"/>
      <c r="L13" s="307"/>
      <c r="M13" s="308"/>
      <c r="N13" s="309"/>
      <c r="O13" s="310"/>
      <c r="R13" s="247"/>
    </row>
    <row r="14" spans="1:18" ht="20.100000000000001" customHeight="1" thickBot="1">
      <c r="A14" s="230" t="s">
        <v>1077</v>
      </c>
      <c r="B14" s="216" t="s">
        <v>1078</v>
      </c>
      <c r="C14" s="219" t="s">
        <v>1079</v>
      </c>
      <c r="D14" s="216" t="s">
        <v>1078</v>
      </c>
      <c r="E14" s="219" t="s">
        <v>1079</v>
      </c>
      <c r="F14" s="216" t="s">
        <v>1078</v>
      </c>
      <c r="G14" s="219" t="s">
        <v>1079</v>
      </c>
      <c r="H14" s="216" t="s">
        <v>1078</v>
      </c>
      <c r="I14" s="219" t="s">
        <v>1079</v>
      </c>
      <c r="J14" s="216" t="s">
        <v>1078</v>
      </c>
      <c r="K14" s="217" t="s">
        <v>1079</v>
      </c>
      <c r="L14" s="215" t="s">
        <v>1078</v>
      </c>
      <c r="M14" s="220" t="s">
        <v>1079</v>
      </c>
      <c r="N14" s="215" t="s">
        <v>1078</v>
      </c>
      <c r="O14" s="220" t="s">
        <v>1079</v>
      </c>
      <c r="R14" s="247"/>
    </row>
    <row r="15" spans="1:18" ht="20.100000000000001" customHeight="1">
      <c r="A15" s="298" t="s">
        <v>1080</v>
      </c>
      <c r="B15" s="243" t="s">
        <v>2079</v>
      </c>
      <c r="C15" s="273">
        <f>IFERROR(INDEX(온라인_반찬!$C$2:$I$597,MATCH($B15,온라인_반찬!$C$2:$C$597,0),7),"")</f>
        <v>0</v>
      </c>
      <c r="D15" s="183" t="s">
        <v>2080</v>
      </c>
      <c r="E15" s="202">
        <f>IFERROR(INDEX(온라인_반찬!$C$2:$I$597,MATCH($D15,온라인_반찬!$C$2:$C$597,0),7),"")</f>
        <v>0</v>
      </c>
      <c r="F15" s="183" t="s">
        <v>2081</v>
      </c>
      <c r="G15" s="202">
        <f>IFERROR(INDEX(온라인_반찬!$C$2:$I$597,MATCH($F15,온라인_반찬!$C$2:$C$597,0),7),"")</f>
        <v>0</v>
      </c>
      <c r="H15" s="177" t="s">
        <v>292</v>
      </c>
      <c r="I15" s="202">
        <f>IFERROR(INDEX(온라인_반찬!$C$2:$I$597,MATCH($H15,온라인_반찬!$C$2:$C$597,0),7),"")</f>
        <v>0</v>
      </c>
      <c r="J15" s="177" t="s">
        <v>2083</v>
      </c>
      <c r="K15" s="202">
        <f>IFERROR(INDEX(온라인_반찬!$C$2:$I$597,MATCH($J15,온라인_반찬!$C$2:$C$597,0),7),"")</f>
        <v>0</v>
      </c>
      <c r="L15" s="241"/>
      <c r="M15" s="240"/>
      <c r="N15" s="241"/>
      <c r="O15" s="240"/>
      <c r="R15" s="247"/>
    </row>
    <row r="16" spans="1:18" ht="20.100000000000001" customHeight="1">
      <c r="A16" s="299"/>
      <c r="B16" s="183" t="s">
        <v>2171</v>
      </c>
      <c r="C16" s="202" t="str">
        <f>IFERROR(INDEX(온라인_반찬!$C$2:$I$597,MATCH($B16,온라인_반찬!$C$2:$C$597,0),7),"")</f>
        <v>.2.5.6.12.15.16.18.</v>
      </c>
      <c r="D16" s="177" t="s">
        <v>2173</v>
      </c>
      <c r="E16" s="202" t="str">
        <f>IFERROR(INDEX(온라인_반찬!$C$2:$I$597,MATCH($D16,온라인_반찬!$C$2:$C$597,0),7),"")</f>
        <v>.5.6.10.21.</v>
      </c>
      <c r="F16" s="178" t="s">
        <v>2176</v>
      </c>
      <c r="G16" s="202" t="str">
        <f>IFERROR(INDEX(온라인_반찬!$C$2:$I$597,MATCH($F16,온라인_반찬!$C$2:$C$597,0),7),"")</f>
        <v>.1.2.5.16.21.</v>
      </c>
      <c r="H16" s="179" t="s">
        <v>2180</v>
      </c>
      <c r="I16" s="202" t="str">
        <f>IFERROR(INDEX(온라인_반찬!$C$2:$I$597,MATCH($H16,온라인_반찬!$C$2:$C$597,0),7),"")</f>
        <v>.5.6.12.15.</v>
      </c>
      <c r="J16" s="179" t="s">
        <v>2184</v>
      </c>
      <c r="K16" s="202" t="str">
        <f>IFERROR(INDEX(온라인_반찬!$C$2:$I$597,MATCH($J16,온라인_반찬!$C$2:$C$597,0),7),"")</f>
        <v>.5.6.21.</v>
      </c>
      <c r="L16" s="242"/>
      <c r="M16" s="240"/>
      <c r="N16" s="242"/>
      <c r="O16" s="240"/>
      <c r="R16" s="247"/>
    </row>
    <row r="17" spans="1:18" ht="20.100000000000001" customHeight="1">
      <c r="A17" s="299"/>
      <c r="B17" s="182" t="s">
        <v>2172</v>
      </c>
      <c r="C17" s="202" t="str">
        <f>IFERROR(INDEX(온라인_반찬!$C$2:$I$597,MATCH($B17,온라인_반찬!$C$2:$C$597,0),7),"")</f>
        <v>.1.5.6.9.</v>
      </c>
      <c r="D17" s="179" t="s">
        <v>471</v>
      </c>
      <c r="E17" s="202" t="str">
        <f>IFERROR(INDEX(온라인_반찬!$C$2:$I$597,MATCH($D17,온라인_반찬!$C$2:$C$597,0),7),"")</f>
        <v>.1.2.</v>
      </c>
      <c r="F17" s="178" t="s">
        <v>2177</v>
      </c>
      <c r="G17" s="202" t="str">
        <f>IFERROR(INDEX(온라인_반찬!$C$2:$I$597,MATCH($F17,온라인_반찬!$C$2:$C$597,0),7),"")</f>
        <v>.5.6.10.12.15.16.21.</v>
      </c>
      <c r="H17" s="179" t="s">
        <v>2181</v>
      </c>
      <c r="I17" s="202" t="str">
        <f>IFERROR(INDEX(온라인_반찬!$C$2:$I$597,MATCH($H17,온라인_반찬!$C$2:$C$597,0),7),"")</f>
        <v>.1.5.6.18.21.</v>
      </c>
      <c r="J17" s="179" t="s">
        <v>1254</v>
      </c>
      <c r="K17" s="202" t="str">
        <f>IFERROR(INDEX(온라인_반찬!$C$2:$I$597,MATCH($J17,온라인_반찬!$C$2:$C$597,0),7),"")</f>
        <v>.5.</v>
      </c>
      <c r="L17" s="242"/>
      <c r="M17" s="240"/>
      <c r="N17" s="242"/>
      <c r="O17" s="240"/>
      <c r="R17" s="247"/>
    </row>
    <row r="18" spans="1:18" ht="20.100000000000001" customHeight="1">
      <c r="A18" s="299"/>
      <c r="B18" s="182" t="s">
        <v>440</v>
      </c>
      <c r="C18" s="202" t="str">
        <f>IFERROR(INDEX(온라인_반찬!$C$2:$I$597,MATCH($B18,온라인_반찬!$C$2:$C$597,0),7),"")</f>
        <v>.1.5.21.</v>
      </c>
      <c r="D18" s="179" t="s">
        <v>2174</v>
      </c>
      <c r="E18" s="202" t="str">
        <f>IFERROR(INDEX(온라인_반찬!$C$2:$I$597,MATCH($D18,온라인_반찬!$C$2:$C$597,0),7),"")</f>
        <v>.5.21.</v>
      </c>
      <c r="F18" s="178" t="s">
        <v>2178</v>
      </c>
      <c r="G18" s="202" t="str">
        <f>IFERROR(INDEX(온라인_반찬!$C$2:$I$597,MATCH($F18,온라인_반찬!$C$2:$C$597,0),7),"")</f>
        <v>.1.2.5.6.8.12.21.</v>
      </c>
      <c r="H18" s="179" t="s">
        <v>2182</v>
      </c>
      <c r="I18" s="202" t="str">
        <f>IFERROR(INDEX(온라인_반찬!$C$2:$I$597,MATCH($H18,온라인_반찬!$C$2:$C$597,0),7),"")</f>
        <v>.5.21.</v>
      </c>
      <c r="J18" s="179" t="s">
        <v>2186</v>
      </c>
      <c r="K18" s="202" t="str">
        <f>IFERROR(INDEX(온라인_반찬!$C$2:$I$597,MATCH($J18,온라인_반찬!$C$2:$C$597,0),7),"")</f>
        <v>.5.21.</v>
      </c>
      <c r="L18" s="242"/>
      <c r="M18" s="240"/>
      <c r="N18" s="242"/>
      <c r="O18" s="240"/>
    </row>
    <row r="19" spans="1:18" ht="20.100000000000001" customHeight="1">
      <c r="A19" s="299"/>
      <c r="B19" s="182" t="s">
        <v>373</v>
      </c>
      <c r="C19" s="202" t="str">
        <f>IFERROR(INDEX(온라인_반찬!$C$2:$I$597,MATCH($B19,온라인_반찬!$C$2:$C$597,0),7),"")</f>
        <v>.9.12.</v>
      </c>
      <c r="D19" s="179" t="s">
        <v>229</v>
      </c>
      <c r="E19" s="202" t="str">
        <f>IFERROR(INDEX(온라인_반찬!$C$2:$I$597,MATCH($D19,온라인_반찬!$C$2:$C$597,0),7),"")</f>
        <v>.6.9.</v>
      </c>
      <c r="F19" s="178" t="s">
        <v>2082</v>
      </c>
      <c r="G19" s="202">
        <f>IFERROR(INDEX(온라인_반찬!$C$2:$I$597,MATCH($F19,온라인_반찬!$C$2:$C$597,0),7),"")</f>
        <v>0</v>
      </c>
      <c r="H19" s="179" t="s">
        <v>229</v>
      </c>
      <c r="I19" s="202" t="str">
        <f>IFERROR(INDEX(온라인_반찬!$C$2:$I$597,MATCH($H19,온라인_반찬!$C$2:$C$597,0),7),"")</f>
        <v>.6.9.</v>
      </c>
      <c r="J19" s="179" t="s">
        <v>2084</v>
      </c>
      <c r="K19" s="202" t="str">
        <f>IFERROR(INDEX(온라인_반찬!$C$2:$I$597,MATCH($J19,온라인_반찬!$C$2:$C$597,0),7),"")</f>
        <v>.21.</v>
      </c>
      <c r="L19" s="242"/>
      <c r="M19" s="240"/>
      <c r="N19" s="242"/>
      <c r="O19" s="240"/>
    </row>
    <row r="20" spans="1:18" ht="20.100000000000001" customHeight="1">
      <c r="A20" s="299"/>
      <c r="B20" s="182" t="s">
        <v>407</v>
      </c>
      <c r="C20" s="202" t="str">
        <f>IFERROR(INDEX(온라인_반찬!$C$2:$I$597,MATCH($B20,온라인_반찬!$C$2:$C$597,0),7),"")</f>
        <v>.5.16.</v>
      </c>
      <c r="D20" s="179" t="s">
        <v>2175</v>
      </c>
      <c r="E20" s="202" t="str">
        <f>IFERROR(INDEX(온라인_반찬!$C$2:$I$597,MATCH($D20,온라인_반찬!$C$2:$C$597,0),7),"")</f>
        <v>.5.9.</v>
      </c>
      <c r="F20" s="180" t="s">
        <v>2179</v>
      </c>
      <c r="G20" s="202" t="str">
        <f>IFERROR(INDEX(온라인_반찬!$C$2:$I$597,MATCH($F20,온라인_반찬!$C$2:$C$597,0),7),"")</f>
        <v>.5.18.</v>
      </c>
      <c r="H20" s="179" t="s">
        <v>2183</v>
      </c>
      <c r="I20" s="202" t="str">
        <f>IFERROR(INDEX(온라인_반찬!$C$2:$I$597,MATCH($H20,온라인_반찬!$C$2:$C$597,0),7),"")</f>
        <v>.1.5.16.</v>
      </c>
      <c r="J20" s="179" t="s">
        <v>373</v>
      </c>
      <c r="K20" s="202" t="str">
        <f>IFERROR(INDEX(온라인_반찬!$C$2:$I$597,MATCH($J20,온라인_반찬!$C$2:$C$597,0),7),"")</f>
        <v>.9.12.</v>
      </c>
      <c r="L20" s="184"/>
      <c r="M20" s="202"/>
      <c r="N20" s="242"/>
      <c r="O20" s="240"/>
    </row>
    <row r="21" spans="1:18" ht="20.100000000000001" customHeight="1">
      <c r="A21" s="299"/>
      <c r="B21" s="182"/>
      <c r="C21" s="202" t="str">
        <f>IFERROR(INDEX(온라인_반찬!$C$2:$I$597,MATCH($B21,온라인_반찬!$C$2:$C$597,0),7),"")</f>
        <v/>
      </c>
      <c r="D21" s="181"/>
      <c r="E21" s="202" t="str">
        <f>IFERROR(INDEX(온라인_반찬!$C$2:$I$597,MATCH($D21,온라인_반찬!$C$2:$C$597,0),7),"")</f>
        <v/>
      </c>
      <c r="F21" s="180"/>
      <c r="G21" s="202" t="str">
        <f>IFERROR(INDEX(온라인_반찬!$C$2:$I$597,MATCH($F21,온라인_반찬!$C$2:$C$597,0),7),"")</f>
        <v/>
      </c>
      <c r="H21" s="177"/>
      <c r="I21" s="202" t="str">
        <f>IFERROR(INDEX(온라인_반찬!$C$2:$I$597,MATCH($H21,온라인_반찬!$C$2:$C$597,0),7),"")</f>
        <v/>
      </c>
      <c r="J21" s="179" t="s">
        <v>2185</v>
      </c>
      <c r="K21" s="202" t="str">
        <f>IFERROR(INDEX(온라인_반찬!$C$2:$I$597,MATCH($J21,온라인_반찬!$C$2:$C$597,0),7),"")</f>
        <v>.5.21.</v>
      </c>
      <c r="L21" s="182"/>
      <c r="M21" s="202"/>
      <c r="N21" s="182"/>
      <c r="O21" s="202"/>
    </row>
    <row r="22" spans="1:18" ht="20.100000000000001" customHeight="1" thickBot="1">
      <c r="A22" s="300"/>
      <c r="B22" s="212"/>
      <c r="C22" s="203" t="str">
        <f>IFERROR(INDEX(온라인_반찬!$C$2:$I$597,MATCH($B22,온라인_반찬!$C$2:$C$597,0),7),"")</f>
        <v/>
      </c>
      <c r="D22" s="179"/>
      <c r="E22" s="203"/>
      <c r="F22" s="212"/>
      <c r="G22" s="202" t="str">
        <f>IFERROR(INDEX(온라인_반찬!$C$2:$I$597,MATCH($F22,온라인_반찬!$C$2:$C$597,0),7),"")</f>
        <v/>
      </c>
      <c r="H22" s="179"/>
      <c r="I22" s="203"/>
      <c r="J22" s="177"/>
      <c r="K22" s="202" t="str">
        <f>IFERROR(INDEX(온라인_반찬!$C$2:$I$597,MATCH($J22,온라인_반찬!$C$2:$C$597,0),7),"")</f>
        <v/>
      </c>
      <c r="L22" s="212"/>
      <c r="M22" s="203"/>
      <c r="N22" s="212"/>
      <c r="O22" s="203"/>
    </row>
    <row r="23" spans="1:18" ht="24.95" customHeight="1">
      <c r="A23" s="175" t="s">
        <v>1075</v>
      </c>
      <c r="B23" s="307"/>
      <c r="C23" s="308"/>
      <c r="D23" s="307"/>
      <c r="E23" s="308"/>
      <c r="F23" s="307"/>
      <c r="G23" s="308"/>
      <c r="H23" s="307"/>
      <c r="I23" s="308"/>
      <c r="J23" s="307"/>
      <c r="K23" s="308"/>
      <c r="L23" s="311"/>
      <c r="M23" s="312"/>
      <c r="N23" s="309"/>
      <c r="O23" s="310"/>
    </row>
    <row r="24" spans="1:18" ht="20.100000000000001" customHeight="1" thickBot="1">
      <c r="A24" s="230" t="s">
        <v>1077</v>
      </c>
      <c r="B24" s="216" t="s">
        <v>1078</v>
      </c>
      <c r="C24" s="219" t="s">
        <v>1079</v>
      </c>
      <c r="D24" s="216" t="s">
        <v>1078</v>
      </c>
      <c r="E24" s="219" t="s">
        <v>1079</v>
      </c>
      <c r="F24" s="216" t="s">
        <v>1078</v>
      </c>
      <c r="G24" s="219" t="s">
        <v>1079</v>
      </c>
      <c r="H24" s="216" t="s">
        <v>1078</v>
      </c>
      <c r="I24" s="219" t="s">
        <v>1079</v>
      </c>
      <c r="J24" s="216" t="s">
        <v>1078</v>
      </c>
      <c r="K24" s="217" t="s">
        <v>1079</v>
      </c>
      <c r="L24" s="216"/>
      <c r="M24" s="217"/>
      <c r="N24" s="215"/>
      <c r="O24" s="220"/>
    </row>
    <row r="25" spans="1:18" ht="20.100000000000001" customHeight="1">
      <c r="A25" s="298" t="s">
        <v>1081</v>
      </c>
      <c r="B25" s="243" t="s">
        <v>2079</v>
      </c>
      <c r="C25" s="273">
        <f>IFERROR(INDEX(온라인_반찬!$C$2:$I$597,MATCH($B25,온라인_반찬!$C$2:$C$597,0),7),"")</f>
        <v>0</v>
      </c>
      <c r="D25" s="183" t="s">
        <v>2080</v>
      </c>
      <c r="E25" s="202">
        <f>IFERROR(INDEX(온라인_반찬!$C$2:$I$597,MATCH($D25,온라인_반찬!$C$2:$C$597,0),7),"")</f>
        <v>0</v>
      </c>
      <c r="F25" s="183" t="s">
        <v>2081</v>
      </c>
      <c r="G25" s="202">
        <f>IFERROR(INDEX(온라인_반찬!$C$2:$I$597,MATCH($F25,온라인_반찬!$C$2:$C$597,0),7),"")</f>
        <v>0</v>
      </c>
      <c r="H25" s="177" t="s">
        <v>292</v>
      </c>
      <c r="I25" s="202">
        <f>IFERROR(INDEX(온라인_반찬!$C$2:$I$597,MATCH($H25,온라인_반찬!$C$2:$C$597,0),7),"")</f>
        <v>0</v>
      </c>
      <c r="J25" s="177" t="s">
        <v>2199</v>
      </c>
      <c r="K25" s="202" t="str">
        <f>IFERROR(INDEX(온라인_반찬!$C$2:$I$597,MATCH($J25,온라인_반찬!$C$2:$C$597,0),7),"")</f>
        <v>.1.5.16.18.21.</v>
      </c>
      <c r="L25" s="241"/>
      <c r="M25" s="240"/>
      <c r="N25" s="183"/>
      <c r="O25" s="202"/>
    </row>
    <row r="26" spans="1:18" ht="20.100000000000001" customHeight="1">
      <c r="A26" s="299"/>
      <c r="B26" s="183" t="s">
        <v>1223</v>
      </c>
      <c r="C26" s="202" t="str">
        <f>IFERROR(INDEX(온라인_반찬!$C$2:$I$597,MATCH($B26,온라인_반찬!$C$2:$C$597,0),7),"")</f>
        <v>.1.5.6.9.11.12.</v>
      </c>
      <c r="D26" s="177" t="s">
        <v>2190</v>
      </c>
      <c r="E26" s="202" t="str">
        <f>IFERROR(INDEX(온라인_반찬!$C$2:$I$597,MATCH($D26,온라인_반찬!$C$2:$C$597,0),7),"")</f>
        <v>.5.10.18.21.</v>
      </c>
      <c r="F26" s="178" t="s">
        <v>2193</v>
      </c>
      <c r="G26" s="202" t="str">
        <f>IFERROR(INDEX(온라인_반찬!$C$2:$I$597,MATCH($F26,온라인_반찬!$C$2:$C$597,0),7),"")</f>
        <v>.2.5.6.12.15.16.18.</v>
      </c>
      <c r="H26" s="179" t="s">
        <v>2196</v>
      </c>
      <c r="I26" s="202" t="str">
        <f>IFERROR(INDEX(온라인_반찬!$C$2:$I$597,MATCH($H26,온라인_반찬!$C$2:$C$597,0),7),"")</f>
        <v>.5.16.21.</v>
      </c>
      <c r="J26" s="179" t="s">
        <v>1107</v>
      </c>
      <c r="K26" s="202" t="str">
        <f>IFERROR(INDEX(온라인_반찬!$C$2:$I$597,MATCH($J26,온라인_반찬!$C$2:$C$597,0),7),"")</f>
        <v>.6.</v>
      </c>
      <c r="L26" s="242"/>
      <c r="M26" s="240"/>
      <c r="N26" s="182"/>
      <c r="O26" s="202"/>
    </row>
    <row r="27" spans="1:18" ht="20.100000000000001" customHeight="1">
      <c r="A27" s="299"/>
      <c r="B27" s="182" t="s">
        <v>1236</v>
      </c>
      <c r="C27" s="202" t="str">
        <f>IFERROR(INDEX(온라인_반찬!$C$2:$I$597,MATCH($B27,온라인_반찬!$C$2:$C$597,0),7),"")</f>
        <v>.5.</v>
      </c>
      <c r="D27" s="179" t="s">
        <v>2191</v>
      </c>
      <c r="E27" s="202" t="str">
        <f>IFERROR(INDEX(온라인_반찬!$C$2:$I$597,MATCH($D27,온라인_반찬!$C$2:$C$597,0),7),"")</f>
        <v>.2.5.6.10.12.16.21.</v>
      </c>
      <c r="F27" s="178" t="s">
        <v>2194</v>
      </c>
      <c r="G27" s="202" t="str">
        <f>IFERROR(INDEX(온라인_반찬!$C$2:$I$597,MATCH($F27,온라인_반찬!$C$2:$C$597,0),7),"")</f>
        <v>.1.2.5.10.</v>
      </c>
      <c r="H27" s="179" t="s">
        <v>320</v>
      </c>
      <c r="I27" s="202" t="str">
        <f>IFERROR(INDEX(온라인_반찬!$C$2:$I$597,MATCH($H27,온라인_반찬!$C$2:$C$597,0),7),"")</f>
        <v>.5.6.16.</v>
      </c>
      <c r="J27" s="179" t="s">
        <v>1770</v>
      </c>
      <c r="K27" s="202" t="str">
        <f>IFERROR(INDEX(온라인_반찬!$C$2:$I$597,MATCH($J27,온라인_반찬!$C$2:$C$597,0),7),"")</f>
        <v>.1.5.6.10.12.15.</v>
      </c>
      <c r="L27" s="242"/>
      <c r="M27" s="240"/>
      <c r="N27" s="182"/>
      <c r="O27" s="202"/>
    </row>
    <row r="28" spans="1:18" ht="20.100000000000001" customHeight="1">
      <c r="A28" s="299"/>
      <c r="B28" s="182" t="s">
        <v>2188</v>
      </c>
      <c r="C28" s="202" t="str">
        <f>IFERROR(INDEX(온라인_반찬!$C$2:$I$597,MATCH($B28,온라인_반찬!$C$2:$C$597,0),7),"")</f>
        <v>.2.5.10.21.</v>
      </c>
      <c r="D28" s="179" t="s">
        <v>370</v>
      </c>
      <c r="E28" s="202" t="str">
        <f>IFERROR(INDEX(온라인_반찬!$C$2:$I$597,MATCH($D28,온라인_반찬!$C$2:$C$597,0),7),"")</f>
        <v>.1.5.16.</v>
      </c>
      <c r="F28" s="178" t="s">
        <v>2195</v>
      </c>
      <c r="G28" s="202" t="str">
        <f>IFERROR(INDEX(온라인_반찬!$C$2:$I$597,MATCH($F28,온라인_반찬!$C$2:$C$597,0),7),"")</f>
        <v>.5.21.</v>
      </c>
      <c r="H28" s="179" t="s">
        <v>2197</v>
      </c>
      <c r="I28" s="202" t="str">
        <f>IFERROR(INDEX(온라인_반찬!$C$2:$I$597,MATCH($H28,온라인_반찬!$C$2:$C$597,0),7),"")</f>
        <v>.5.9.21.</v>
      </c>
      <c r="J28" s="179" t="s">
        <v>2200</v>
      </c>
      <c r="K28" s="202" t="str">
        <f>IFERROR(INDEX(온라인_반찬!$C$2:$I$597,MATCH($J28,온라인_반찬!$C$2:$C$597,0),7),"")</f>
        <v>.1.2.5.6.15.16.</v>
      </c>
      <c r="L28" s="242"/>
      <c r="M28" s="240"/>
      <c r="N28" s="182"/>
      <c r="O28" s="202"/>
    </row>
    <row r="29" spans="1:18" ht="20.100000000000001" customHeight="1">
      <c r="A29" s="299"/>
      <c r="B29" s="182" t="s">
        <v>2189</v>
      </c>
      <c r="C29" s="202" t="str">
        <f>IFERROR(INDEX(온라인_반찬!$C$2:$I$597,MATCH($B29,온라인_반찬!$C$2:$C$597,0),7),"")</f>
        <v>.5.21.</v>
      </c>
      <c r="D29" s="179" t="s">
        <v>229</v>
      </c>
      <c r="E29" s="202" t="str">
        <f>IFERROR(INDEX(온라인_반찬!$C$2:$I$597,MATCH($D29,온라인_반찬!$C$2:$C$597,0),7),"")</f>
        <v>.6.9.</v>
      </c>
      <c r="F29" s="178" t="s">
        <v>2082</v>
      </c>
      <c r="G29" s="202">
        <f>IFERROR(INDEX(온라인_반찬!$C$2:$I$597,MATCH($F29,온라인_반찬!$C$2:$C$597,0),7),"")</f>
        <v>0</v>
      </c>
      <c r="H29" s="179" t="s">
        <v>229</v>
      </c>
      <c r="I29" s="202" t="str">
        <f>IFERROR(INDEX(온라인_반찬!$C$2:$I$597,MATCH($H29,온라인_반찬!$C$2:$C$597,0),7),"")</f>
        <v>.6.9.</v>
      </c>
      <c r="J29" s="179" t="s">
        <v>2201</v>
      </c>
      <c r="K29" s="202" t="str">
        <f>IFERROR(INDEX(온라인_반찬!$C$2:$I$597,MATCH($J29,온라인_반찬!$C$2:$C$597,0),7),"")</f>
        <v>.5.17.</v>
      </c>
      <c r="L29" s="242"/>
      <c r="M29" s="240"/>
      <c r="N29" s="182"/>
      <c r="O29" s="202"/>
    </row>
    <row r="30" spans="1:18" ht="20.100000000000001" customHeight="1">
      <c r="A30" s="299"/>
      <c r="B30" s="182" t="s">
        <v>373</v>
      </c>
      <c r="C30" s="202" t="str">
        <f>IFERROR(INDEX(온라인_반찬!$C$2:$I$597,MATCH($B30,온라인_반찬!$C$2:$C$597,0),7),"")</f>
        <v>.9.12.</v>
      </c>
      <c r="D30" s="179" t="s">
        <v>2192</v>
      </c>
      <c r="E30" s="202" t="str">
        <f>IFERROR(INDEX(온라인_반찬!$C$2:$I$597,MATCH($D30,온라인_반찬!$C$2:$C$597,0),7),"")</f>
        <v>.5.</v>
      </c>
      <c r="F30" s="180" t="s">
        <v>425</v>
      </c>
      <c r="G30" s="202" t="str">
        <f>IFERROR(INDEX(온라인_반찬!$C$2:$I$597,MATCH($F30,온라인_반찬!$C$2:$C$597,0),7),"")</f>
        <v>.5.</v>
      </c>
      <c r="H30" s="179" t="s">
        <v>2198</v>
      </c>
      <c r="I30" s="202" t="str">
        <f>IFERROR(INDEX(온라인_반찬!$C$2:$I$597,MATCH($H30,온라인_반찬!$C$2:$C$597,0),7),"")</f>
        <v>.1.5.</v>
      </c>
      <c r="J30" s="179" t="s">
        <v>2202</v>
      </c>
      <c r="K30" s="202">
        <f>IFERROR(INDEX(온라인_반찬!$C$2:$I$597,MATCH($J30,온라인_반찬!$C$2:$C$597,0),7),"")</f>
        <v>0</v>
      </c>
      <c r="L30" s="184"/>
      <c r="M30" s="202">
        <v>0</v>
      </c>
      <c r="N30" s="184"/>
      <c r="O30" s="202"/>
    </row>
    <row r="31" spans="1:18" ht="20.100000000000001" customHeight="1">
      <c r="A31" s="299"/>
      <c r="B31" s="182" t="s">
        <v>427</v>
      </c>
      <c r="C31" s="202" t="str">
        <f>IFERROR(INDEX(온라인_반찬!$C$2:$I$597,MATCH($B31,온라인_반찬!$C$2:$C$597,0),7),"")</f>
        <v>.5.9.16.</v>
      </c>
      <c r="D31" s="181"/>
      <c r="E31" s="202" t="str">
        <f>IFERROR(INDEX(온라인_반찬!$C$2:$I$597,MATCH($D31,온라인_반찬!$C$2:$C$597,0),7),"")</f>
        <v/>
      </c>
      <c r="F31" s="180"/>
      <c r="G31" s="202" t="str">
        <f>IFERROR(INDEX(온라인_반찬!$C$2:$I$597,MATCH($F31,온라인_반찬!$C$2:$C$597,0),7),"")</f>
        <v/>
      </c>
      <c r="H31" s="177"/>
      <c r="I31" s="202" t="str">
        <f>IFERROR(INDEX(온라인_반찬!$C$2:$I$597,MATCH($H31,온라인_반찬!$C$2:$C$597,0),7),"")</f>
        <v/>
      </c>
      <c r="J31" s="179" t="s">
        <v>2203</v>
      </c>
      <c r="K31" s="202" t="s">
        <v>993</v>
      </c>
      <c r="L31" s="182"/>
      <c r="M31" s="202"/>
      <c r="N31" s="182"/>
      <c r="O31" s="202"/>
    </row>
    <row r="32" spans="1:18" ht="20.100000000000001" customHeight="1" thickBot="1">
      <c r="A32" s="300"/>
      <c r="B32" s="212"/>
      <c r="C32" s="203" t="str">
        <f>IFERROR(INDEX(온라인_반찬!$C$2:$I$597,MATCH($B32,온라인_반찬!$C$2:$C$597,0),7),"")</f>
        <v/>
      </c>
      <c r="D32" s="179"/>
      <c r="E32" s="203"/>
      <c r="F32" s="212"/>
      <c r="G32" s="202" t="str">
        <f>IFERROR(INDEX(온라인_반찬!$C$2:$I$597,MATCH($F32,온라인_반찬!$C$2:$C$597,0),7),"")</f>
        <v/>
      </c>
      <c r="H32" s="179"/>
      <c r="I32" s="203"/>
      <c r="J32" s="177"/>
      <c r="K32" s="202" t="str">
        <f>IFERROR(INDEX(온라인_반찬!$C$2:$I$597,MATCH($J32,온라인_반찬!$C$2:$C$597,0),7),"")</f>
        <v/>
      </c>
      <c r="L32" s="212"/>
      <c r="M32" s="203"/>
      <c r="N32" s="212"/>
      <c r="O32" s="203"/>
    </row>
    <row r="33" spans="1:13" ht="24.95" customHeight="1">
      <c r="A33" s="175" t="s">
        <v>1075</v>
      </c>
      <c r="B33" s="307"/>
      <c r="C33" s="308"/>
      <c r="D33" s="307"/>
      <c r="E33" s="308"/>
      <c r="F33" s="307"/>
      <c r="G33" s="308"/>
      <c r="H33" s="313"/>
      <c r="I33" s="314"/>
      <c r="J33" s="307"/>
      <c r="K33" s="308"/>
      <c r="L33" s="311"/>
      <c r="M33" s="312"/>
    </row>
    <row r="34" spans="1:13" ht="20.100000000000001" customHeight="1" thickBot="1">
      <c r="A34" s="230" t="s">
        <v>1077</v>
      </c>
      <c r="B34" s="216" t="s">
        <v>1078</v>
      </c>
      <c r="C34" s="219" t="s">
        <v>1079</v>
      </c>
      <c r="D34" s="216" t="s">
        <v>1078</v>
      </c>
      <c r="E34" s="219" t="s">
        <v>1079</v>
      </c>
      <c r="F34" s="216" t="s">
        <v>1078</v>
      </c>
      <c r="G34" s="219" t="s">
        <v>1079</v>
      </c>
      <c r="H34" s="216" t="s">
        <v>1078</v>
      </c>
      <c r="I34" s="219" t="s">
        <v>1079</v>
      </c>
      <c r="J34" s="216" t="s">
        <v>1078</v>
      </c>
      <c r="K34" s="217" t="s">
        <v>1079</v>
      </c>
      <c r="L34" s="216"/>
      <c r="M34" s="217"/>
    </row>
    <row r="35" spans="1:13" ht="20.100000000000001" customHeight="1">
      <c r="A35" s="298" t="s">
        <v>1082</v>
      </c>
      <c r="B35" s="243" t="s">
        <v>2079</v>
      </c>
      <c r="C35" s="273">
        <f>IFERROR(INDEX(온라인_반찬!$C$2:$I$597,MATCH($B35,온라인_반찬!$C$2:$C$597,0),7),"")</f>
        <v>0</v>
      </c>
      <c r="D35" s="183" t="s">
        <v>2080</v>
      </c>
      <c r="E35" s="202">
        <f>IFERROR(INDEX(온라인_반찬!$C$2:$I$597,MATCH($D35,온라인_반찬!$C$2:$C$597,0),7),"")</f>
        <v>0</v>
      </c>
      <c r="F35" s="183" t="s">
        <v>2081</v>
      </c>
      <c r="G35" s="202">
        <f>IFERROR(INDEX(온라인_반찬!$C$2:$I$597,MATCH($F35,온라인_반찬!$C$2:$C$597,0),7),"")</f>
        <v>0</v>
      </c>
      <c r="H35" s="177" t="s">
        <v>292</v>
      </c>
      <c r="I35" s="202">
        <f>IFERROR(INDEX(온라인_반찬!$C$2:$I$597,MATCH($H35,온라인_반찬!$C$2:$C$597,0),7),"")</f>
        <v>0</v>
      </c>
      <c r="J35" s="177" t="s">
        <v>2083</v>
      </c>
      <c r="K35" s="202">
        <f>IFERROR(INDEX(온라인_반찬!$C$2:$I$597,MATCH($J35,온라인_반찬!$C$2:$C$597,0),7),"")</f>
        <v>0</v>
      </c>
      <c r="L35" s="241"/>
      <c r="M35" s="240"/>
    </row>
    <row r="36" spans="1:13" ht="20.100000000000001" customHeight="1">
      <c r="A36" s="299"/>
      <c r="B36" s="183" t="s">
        <v>2204</v>
      </c>
      <c r="C36" s="202" t="str">
        <f>IFERROR(INDEX(온라인_반찬!$C$2:$I$597,MATCH($B36,온라인_반찬!$C$2:$C$597,0),7),"")</f>
        <v>.1.5.16.21.</v>
      </c>
      <c r="D36" s="177" t="s">
        <v>2206</v>
      </c>
      <c r="E36" s="202" t="str">
        <f>IFERROR(INDEX(온라인_반찬!$C$2:$I$597,MATCH($D36,온라인_반찬!$C$2:$C$597,0),7),"")</f>
        <v>.5.6.10.17.21.</v>
      </c>
      <c r="F36" s="178" t="s">
        <v>2208</v>
      </c>
      <c r="G36" s="202" t="str">
        <f>IFERROR(INDEX(온라인_반찬!$C$2:$I$597,MATCH($F36,온라인_반찬!$C$2:$C$597,0),7),"")</f>
        <v>.5.6.15.21.</v>
      </c>
      <c r="H36" s="179" t="s">
        <v>770</v>
      </c>
      <c r="I36" s="202" t="str">
        <f>IFERROR(INDEX(온라인_반찬!$C$2:$I$597,MATCH($H36,온라인_반찬!$C$2:$C$597,0),7),"")</f>
        <v>.5.6.9.</v>
      </c>
      <c r="J36" s="179" t="s">
        <v>2212</v>
      </c>
      <c r="K36" s="202" t="str">
        <f>IFERROR(INDEX(온라인_반찬!$C$2:$I$597,MATCH($J36,온라인_반찬!$C$2:$C$597,0),7),"")</f>
        <v>.5.10.12.13.18.19.21.</v>
      </c>
      <c r="L36" s="242"/>
      <c r="M36" s="240"/>
    </row>
    <row r="37" spans="1:13" ht="20.100000000000001" customHeight="1">
      <c r="A37" s="299"/>
      <c r="B37" s="182" t="s">
        <v>456</v>
      </c>
      <c r="C37" s="202" t="str">
        <f>IFERROR(INDEX(온라인_반찬!$C$2:$I$597,MATCH($B37,온라인_반찬!$C$2:$C$597,0),7),"")</f>
        <v>.1.2.5.6.10.12.16.</v>
      </c>
      <c r="D37" s="179" t="s">
        <v>484</v>
      </c>
      <c r="E37" s="202" t="str">
        <f>IFERROR(INDEX(온라인_반찬!$C$2:$I$597,MATCH($D37,온라인_반찬!$C$2:$C$597,0),7),"")</f>
        <v>.1.6.</v>
      </c>
      <c r="F37" s="178" t="s">
        <v>2209</v>
      </c>
      <c r="G37" s="202" t="str">
        <f>IFERROR(INDEX(온라인_반찬!$C$2:$I$597,MATCH($F37,온라인_반찬!$C$2:$C$597,0),7),"")</f>
        <v>.5.6.21.</v>
      </c>
      <c r="H37" s="179" t="s">
        <v>1402</v>
      </c>
      <c r="I37" s="202" t="str">
        <f>IFERROR(INDEX(온라인_반찬!$C$2:$I$597,MATCH($H37,온라인_반찬!$C$2:$C$597,0),7),"")</f>
        <v>.1.2.5.6.9.</v>
      </c>
      <c r="J37" s="179" t="s">
        <v>2213</v>
      </c>
      <c r="K37" s="202" t="str">
        <f>IFERROR(INDEX(온라인_반찬!$C$2:$I$597,MATCH($J37,온라인_반찬!$C$2:$C$597,0),7),"")</f>
        <v>.1.2.5.6.15.16.</v>
      </c>
      <c r="L37" s="242"/>
      <c r="M37" s="240"/>
    </row>
    <row r="38" spans="1:13" ht="20.100000000000001" customHeight="1">
      <c r="A38" s="299"/>
      <c r="B38" s="182" t="s">
        <v>521</v>
      </c>
      <c r="C38" s="202" t="str">
        <f>IFERROR(INDEX(온라인_반찬!$C$2:$I$597,MATCH($B38,온라인_반찬!$C$2:$C$597,0),7),"")</f>
        <v>.5.21.</v>
      </c>
      <c r="D38" s="179" t="s">
        <v>671</v>
      </c>
      <c r="E38" s="202">
        <f>IFERROR(INDEX(온라인_반찬!$C$2:$I$597,MATCH($D38,온라인_반찬!$C$2:$C$597,0),7),"")</f>
        <v>0</v>
      </c>
      <c r="F38" s="178" t="s">
        <v>461</v>
      </c>
      <c r="G38" s="202" t="str">
        <f>IFERROR(INDEX(온라인_반찬!$C$2:$I$597,MATCH($F38,온라인_반찬!$C$2:$C$597,0),7),"")</f>
        <v>.5.16.21.</v>
      </c>
      <c r="H38" s="179" t="s">
        <v>2211</v>
      </c>
      <c r="I38" s="202" t="str">
        <f>IFERROR(INDEX(온라인_반찬!$C$2:$I$597,MATCH($H38,온라인_반찬!$C$2:$C$597,0),7),"")</f>
        <v>.1.5.6.12.</v>
      </c>
      <c r="J38" s="179" t="s">
        <v>2084</v>
      </c>
      <c r="K38" s="202" t="str">
        <f>IFERROR(INDEX(온라인_반찬!$C$2:$I$597,MATCH($J38,온라인_반찬!$C$2:$C$597,0),7),"")</f>
        <v>.21.</v>
      </c>
      <c r="L38" s="242"/>
      <c r="M38" s="240"/>
    </row>
    <row r="39" spans="1:13" ht="20.100000000000001" customHeight="1">
      <c r="A39" s="299"/>
      <c r="B39" s="182" t="s">
        <v>373</v>
      </c>
      <c r="C39" s="202" t="str">
        <f>IFERROR(INDEX(온라인_반찬!$C$2:$I$597,MATCH($B39,온라인_반찬!$C$2:$C$597,0),7),"")</f>
        <v>.9.12.</v>
      </c>
      <c r="D39" s="179" t="s">
        <v>1211</v>
      </c>
      <c r="E39" s="202" t="str">
        <f>IFERROR(INDEX(온라인_반찬!$C$2:$I$597,MATCH($D39,온라인_반찬!$C$2:$C$597,0),7),"")</f>
        <v>.1.5.6.21.</v>
      </c>
      <c r="F39" s="178" t="s">
        <v>2082</v>
      </c>
      <c r="G39" s="202">
        <f>IFERROR(INDEX(온라인_반찬!$C$2:$I$597,MATCH($F39,온라인_반찬!$C$2:$C$597,0),7),"")</f>
        <v>0</v>
      </c>
      <c r="H39" s="179" t="s">
        <v>509</v>
      </c>
      <c r="I39" s="202" t="str">
        <f>IFERROR(INDEX(온라인_반찬!$C$2:$I$597,MATCH($H39,온라인_반찬!$C$2:$C$597,0),7),"")</f>
        <v>.1.5.16.</v>
      </c>
      <c r="J39" s="179" t="s">
        <v>373</v>
      </c>
      <c r="K39" s="202" t="str">
        <f>IFERROR(INDEX(온라인_반찬!$C$2:$I$597,MATCH($J39,온라인_반찬!$C$2:$C$597,0),7),"")</f>
        <v>.9.12.</v>
      </c>
      <c r="L39" s="242"/>
      <c r="M39" s="240"/>
    </row>
    <row r="40" spans="1:13" ht="20.100000000000001" customHeight="1">
      <c r="A40" s="299"/>
      <c r="B40" s="182" t="s">
        <v>2205</v>
      </c>
      <c r="C40" s="202" t="str">
        <f>IFERROR(INDEX(온라인_반찬!$C$2:$I$597,MATCH($B40,온라인_반찬!$C$2:$C$597,0),7),"")</f>
        <v>.5.</v>
      </c>
      <c r="D40" s="179" t="s">
        <v>229</v>
      </c>
      <c r="E40" s="202" t="str">
        <f>IFERROR(INDEX(온라인_반찬!$C$2:$I$597,MATCH($D40,온라인_반찬!$C$2:$C$597,0),7),"")</f>
        <v>.6.9.</v>
      </c>
      <c r="F40" s="180" t="s">
        <v>2210</v>
      </c>
      <c r="G40" s="202" t="str">
        <f>IFERROR(INDEX(온라인_반찬!$C$2:$I$597,MATCH($F40,온라인_반찬!$C$2:$C$597,0),7),"")</f>
        <v>.5.6.9.</v>
      </c>
      <c r="H40" s="179" t="s">
        <v>229</v>
      </c>
      <c r="I40" s="202" t="str">
        <f>IFERROR(INDEX(온라인_반찬!$C$2:$I$597,MATCH($H40,온라인_반찬!$C$2:$C$597,0),7),"")</f>
        <v>.6.9.</v>
      </c>
      <c r="J40" s="179" t="s">
        <v>2214</v>
      </c>
      <c r="K40" s="202" t="str">
        <f>IFERROR(INDEX(온라인_반찬!$C$2:$I$597,MATCH($J40,온라인_반찬!$C$2:$C$597,0),7),"")</f>
        <v>.5.</v>
      </c>
      <c r="L40" s="184"/>
      <c r="M40" s="202"/>
    </row>
    <row r="41" spans="1:13" ht="20.100000000000001" customHeight="1">
      <c r="A41" s="299"/>
      <c r="B41" s="182"/>
      <c r="C41" s="202" t="str">
        <f>IFERROR(INDEX(온라인_반찬!$C$2:$I$597,MATCH($B41,온라인_반찬!$C$2:$C$597,0),7),"")</f>
        <v/>
      </c>
      <c r="D41" s="179" t="s">
        <v>2207</v>
      </c>
      <c r="E41" s="202" t="str">
        <f>IFERROR(INDEX(온라인_반찬!$C$2:$I$597,MATCH($D41,온라인_반찬!$C$2:$C$597,0),7),"")</f>
        <v>.5.9.21.22.</v>
      </c>
      <c r="F41" s="180"/>
      <c r="G41" s="202" t="str">
        <f>IFERROR(INDEX(온라인_반찬!$C$2:$I$597,MATCH($F41,온라인_반찬!$C$2:$C$597,0),7),"")</f>
        <v/>
      </c>
      <c r="H41" s="179" t="s">
        <v>322</v>
      </c>
      <c r="I41" s="202" t="str">
        <f>IFERROR(INDEX(온라인_반찬!$C$2:$I$597,MATCH($H41,온라인_반찬!$C$2:$C$597,0),7),"")</f>
        <v>.5.16.</v>
      </c>
      <c r="J41" s="179"/>
      <c r="K41" s="202" t="str">
        <f>IFERROR(INDEX(온라인_반찬!$C$2:$I$597,MATCH($J41,온라인_반찬!$C$2:$C$597,0),7),"")</f>
        <v/>
      </c>
      <c r="L41" s="182"/>
      <c r="M41" s="202"/>
    </row>
    <row r="42" spans="1:13" ht="20.100000000000001" customHeight="1" thickBot="1">
      <c r="A42" s="300"/>
      <c r="B42" s="212"/>
      <c r="C42" s="203" t="str">
        <f>IFERROR(INDEX(온라인_반찬!$C$2:$I$597,MATCH($B42,온라인_반찬!$C$2:$C$597,0),7),"")</f>
        <v/>
      </c>
      <c r="D42" s="179"/>
      <c r="E42" s="203"/>
      <c r="F42" s="212"/>
      <c r="G42" s="202" t="str">
        <f>IFERROR(INDEX(온라인_반찬!$C$2:$I$597,MATCH($F42,온라인_반찬!$C$2:$C$597,0),7),"")</f>
        <v/>
      </c>
      <c r="H42" s="179"/>
      <c r="I42" s="203"/>
      <c r="J42" s="177"/>
      <c r="K42" s="202" t="str">
        <f>IFERROR(INDEX(온라인_반찬!$C$2:$I$597,MATCH($J42,온라인_반찬!$C$2:$C$597,0),7),"")</f>
        <v/>
      </c>
      <c r="L42" s="212"/>
      <c r="M42" s="203"/>
    </row>
    <row r="43" spans="1:13" ht="24.95" customHeight="1">
      <c r="A43" s="175" t="s">
        <v>1075</v>
      </c>
      <c r="B43" s="311"/>
      <c r="C43" s="312"/>
      <c r="D43" s="311"/>
      <c r="E43" s="312"/>
      <c r="F43" s="311"/>
      <c r="G43" s="312"/>
      <c r="H43" s="311"/>
      <c r="I43" s="312"/>
      <c r="J43" s="311"/>
      <c r="K43" s="312"/>
      <c r="L43" s="311"/>
      <c r="M43" s="312"/>
    </row>
    <row r="44" spans="1:13" ht="20.100000000000001" customHeight="1" thickBot="1">
      <c r="A44" s="230" t="s">
        <v>1077</v>
      </c>
      <c r="B44" s="216" t="s">
        <v>1078</v>
      </c>
      <c r="C44" s="231" t="s">
        <v>1079</v>
      </c>
      <c r="D44" s="216" t="s">
        <v>1078</v>
      </c>
      <c r="E44" s="219" t="s">
        <v>1079</v>
      </c>
      <c r="F44" s="216" t="s">
        <v>1078</v>
      </c>
      <c r="G44" s="219" t="s">
        <v>1079</v>
      </c>
      <c r="H44" s="216" t="s">
        <v>1078</v>
      </c>
      <c r="I44" s="219" t="s">
        <v>1079</v>
      </c>
      <c r="J44" s="216" t="s">
        <v>1078</v>
      </c>
      <c r="K44" s="217" t="s">
        <v>1079</v>
      </c>
      <c r="L44" s="216"/>
      <c r="M44" s="217"/>
    </row>
    <row r="45" spans="1:13" ht="20.100000000000001" customHeight="1">
      <c r="A45" s="299" t="s">
        <v>1083</v>
      </c>
      <c r="B45" s="243" t="s">
        <v>2079</v>
      </c>
      <c r="C45" s="273">
        <f>IFERROR(INDEX(온라인_반찬!$C$2:$I$597,MATCH($B45,온라인_반찬!$C$2:$C$597,0),7),"")</f>
        <v>0</v>
      </c>
      <c r="D45" s="183" t="s">
        <v>2080</v>
      </c>
      <c r="E45" s="202">
        <f>IFERROR(INDEX(온라인_반찬!$C$2:$I$597,MATCH($D45,온라인_반찬!$C$2:$C$597,0),7),"")</f>
        <v>0</v>
      </c>
      <c r="F45" s="183"/>
      <c r="G45" s="202" t="str">
        <f>IFERROR(INDEX(온라인_반찬!$C$2:$I$597,MATCH($F45,온라인_반찬!$C$2:$C$597,0),7),"")</f>
        <v/>
      </c>
      <c r="H45" s="177"/>
      <c r="I45" s="202" t="str">
        <f>IFERROR(INDEX(온라인_반찬!$C$2:$I$597,MATCH($H45,온라인_반찬!$C$2:$C$597,0),7),"")</f>
        <v/>
      </c>
      <c r="J45" s="177"/>
      <c r="K45" s="202" t="str">
        <f>IFERROR(INDEX(온라인_반찬!$C$2:$I$597,MATCH($J45,온라인_반찬!$C$2:$C$597,0),7),"")</f>
        <v/>
      </c>
      <c r="L45" s="241"/>
      <c r="M45" s="240"/>
    </row>
    <row r="46" spans="1:13" ht="20.100000000000001" customHeight="1">
      <c r="A46" s="299"/>
      <c r="B46" s="183" t="s">
        <v>2215</v>
      </c>
      <c r="C46" s="202" t="str">
        <f>IFERROR(INDEX(온라인_반찬!$C$2:$I$597,MATCH($B46,온라인_반찬!$C$2:$C$597,0),7),"")</f>
        <v>.2.5.6.10.15.16.</v>
      </c>
      <c r="D46" s="177" t="s">
        <v>2219</v>
      </c>
      <c r="E46" s="202" t="str">
        <f>IFERROR(INDEX(온라인_반찬!$C$2:$I$597,MATCH($D46,온라인_반찬!$C$2:$C$597,0),7),"")</f>
        <v>.5.16.21.</v>
      </c>
      <c r="F46" s="178"/>
      <c r="G46" s="202" t="str">
        <f>IFERROR(INDEX(온라인_반찬!$C$2:$I$597,MATCH($F46,온라인_반찬!$C$2:$C$597,0),7),"")</f>
        <v/>
      </c>
      <c r="H46" s="179"/>
      <c r="I46" s="202" t="str">
        <f>IFERROR(INDEX(온라인_반찬!$C$2:$I$597,MATCH($H46,온라인_반찬!$C$2:$C$597,0),7),"")</f>
        <v/>
      </c>
      <c r="J46" s="179"/>
      <c r="K46" s="202" t="str">
        <f>IFERROR(INDEX(온라인_반찬!$C$2:$I$597,MATCH($J46,온라인_반찬!$C$2:$C$597,0),7),"")</f>
        <v/>
      </c>
      <c r="L46" s="242"/>
      <c r="M46" s="240"/>
    </row>
    <row r="47" spans="1:13" ht="20.100000000000001" customHeight="1">
      <c r="A47" s="299"/>
      <c r="B47" s="182" t="s">
        <v>2216</v>
      </c>
      <c r="C47" s="202" t="str">
        <f>IFERROR(INDEX(온라인_반찬!$C$2:$I$597,MATCH($B47,온라인_반찬!$C$2:$C$597,0),7),"")</f>
        <v>1.5.6.</v>
      </c>
      <c r="D47" s="179" t="s">
        <v>2220</v>
      </c>
      <c r="E47" s="202" t="str">
        <f>IFERROR(INDEX(온라인_반찬!$C$2:$I$597,MATCH($D47,온라인_반찬!$C$2:$C$597,0),7),"")</f>
        <v>.1.5.6.10.15.</v>
      </c>
      <c r="F47" s="178"/>
      <c r="G47" s="202" t="str">
        <f>IFERROR(INDEX(온라인_반찬!$C$2:$I$597,MATCH($F47,온라인_반찬!$C$2:$C$597,0),7),"")</f>
        <v/>
      </c>
      <c r="H47" s="179"/>
      <c r="I47" s="202" t="str">
        <f>IFERROR(INDEX(온라인_반찬!$C$2:$I$597,MATCH($H47,온라인_반찬!$C$2:$C$597,0),7),"")</f>
        <v/>
      </c>
      <c r="J47" s="179"/>
      <c r="K47" s="202" t="str">
        <f>IFERROR(INDEX(온라인_반찬!$C$2:$I$597,MATCH($J47,온라인_반찬!$C$2:$C$597,0),7),"")</f>
        <v/>
      </c>
      <c r="L47" s="242"/>
      <c r="M47" s="240"/>
    </row>
    <row r="48" spans="1:13" ht="20.100000000000001" customHeight="1">
      <c r="A48" s="299"/>
      <c r="B48" s="182" t="s">
        <v>2217</v>
      </c>
      <c r="C48" s="202" t="str">
        <f>IFERROR(INDEX(온라인_반찬!$C$2:$I$597,MATCH($B48,온라인_반찬!$C$2:$C$597,0),7),"")</f>
        <v>.1.2.5.6.8.12.21.</v>
      </c>
      <c r="D48" s="179" t="s">
        <v>2085</v>
      </c>
      <c r="E48" s="202" t="str">
        <f>IFERROR(INDEX(온라인_반찬!$C$2:$I$597,MATCH($D48,온라인_반찬!$C$2:$C$597,0),7),"")</f>
        <v>.5.21.22.</v>
      </c>
      <c r="F48" s="178"/>
      <c r="G48" s="202" t="str">
        <f>IFERROR(INDEX(온라인_반찬!$C$2:$I$597,MATCH($F48,온라인_반찬!$C$2:$C$597,0),7),"")</f>
        <v/>
      </c>
      <c r="H48" s="179"/>
      <c r="I48" s="202" t="str">
        <f>IFERROR(INDEX(온라인_반찬!$C$2:$I$597,MATCH($H48,온라인_반찬!$C$2:$C$597,0),7),"")</f>
        <v/>
      </c>
      <c r="J48" s="179"/>
      <c r="K48" s="202" t="str">
        <f>IFERROR(INDEX(온라인_반찬!$C$2:$I$597,MATCH($J48,온라인_반찬!$C$2:$C$597,0),7),"")</f>
        <v/>
      </c>
      <c r="L48" s="242"/>
      <c r="M48" s="240"/>
    </row>
    <row r="49" spans="1:13" ht="20.100000000000001" customHeight="1">
      <c r="A49" s="299"/>
      <c r="B49" s="182" t="s">
        <v>373</v>
      </c>
      <c r="C49" s="202" t="str">
        <f>IFERROR(INDEX(온라인_반찬!$C$2:$I$597,MATCH($B49,온라인_반찬!$C$2:$C$597,0),7),"")</f>
        <v>.9.12.</v>
      </c>
      <c r="D49" s="179" t="s">
        <v>229</v>
      </c>
      <c r="E49" s="202" t="str">
        <f>IFERROR(INDEX(온라인_반찬!$C$2:$I$597,MATCH($D49,온라인_반찬!$C$2:$C$597,0),7),"")</f>
        <v>.6.9.</v>
      </c>
      <c r="F49" s="178"/>
      <c r="G49" s="202" t="str">
        <f>IFERROR(INDEX(온라인_반찬!$C$2:$I$597,MATCH($F49,온라인_반찬!$C$2:$C$597,0),7),"")</f>
        <v/>
      </c>
      <c r="H49" s="179"/>
      <c r="I49" s="202" t="str">
        <f>IFERROR(INDEX(온라인_반찬!$C$2:$I$597,MATCH($H49,온라인_반찬!$C$2:$C$597,0),7),"")</f>
        <v/>
      </c>
      <c r="J49" s="179"/>
      <c r="K49" s="202" t="str">
        <f>IFERROR(INDEX(온라인_반찬!$C$2:$I$597,MATCH($J49,온라인_반찬!$C$2:$C$597,0),7),"")</f>
        <v/>
      </c>
      <c r="L49" s="242"/>
      <c r="M49" s="240"/>
    </row>
    <row r="50" spans="1:13" ht="20.100000000000001" customHeight="1">
      <c r="A50" s="299"/>
      <c r="B50" s="182" t="s">
        <v>2218</v>
      </c>
      <c r="C50" s="202" t="str">
        <f>IFERROR(INDEX(온라인_반찬!$C$2:$I$597,MATCH($B50,온라인_반찬!$C$2:$C$597,0),7),"")</f>
        <v>.5.16.</v>
      </c>
      <c r="D50" s="179" t="s">
        <v>2221</v>
      </c>
      <c r="E50" s="202" t="str">
        <f>IFERROR(INDEX(온라인_반찬!$C$2:$I$597,MATCH($D50,온라인_반찬!$C$2:$C$597,0),7),"")</f>
        <v>.5.16.</v>
      </c>
      <c r="F50" s="180"/>
      <c r="G50" s="202" t="str">
        <f>IFERROR(INDEX(온라인_반찬!$C$2:$I$597,MATCH($F50,온라인_반찬!$C$2:$C$597,0),7),"")</f>
        <v/>
      </c>
      <c r="H50" s="179"/>
      <c r="I50" s="202" t="str">
        <f>IFERROR(INDEX(온라인_반찬!$C$2:$I$597,MATCH($H50,온라인_반찬!$C$2:$C$597,0),7),"")</f>
        <v/>
      </c>
      <c r="J50" s="179"/>
      <c r="K50" s="202" t="str">
        <f>IFERROR(INDEX(온라인_반찬!$C$2:$I$597,MATCH($J50,온라인_반찬!$C$2:$C$597,0),7),"")</f>
        <v/>
      </c>
      <c r="L50" s="184"/>
      <c r="M50" s="202"/>
    </row>
    <row r="51" spans="1:13" ht="20.100000000000001" customHeight="1">
      <c r="A51" s="299"/>
      <c r="B51" s="182"/>
      <c r="C51" s="202" t="str">
        <f>IFERROR(INDEX(온라인_반찬!$C$2:$I$597,MATCH($B51,온라인_반찬!$C$2:$C$597,0),7),"")</f>
        <v/>
      </c>
      <c r="D51" s="181"/>
      <c r="E51" s="202" t="str">
        <f>IFERROR(INDEX(온라인_반찬!$C$2:$I$597,MATCH($D51,온라인_반찬!$C$2:$C$597,0),7),"")</f>
        <v/>
      </c>
      <c r="F51" s="180"/>
      <c r="G51" s="202" t="str">
        <f>IFERROR(INDEX(온라인_반찬!$C$2:$I$597,MATCH($F51,온라인_반찬!$C$2:$C$597,0),7),"")</f>
        <v/>
      </c>
      <c r="H51" s="177"/>
      <c r="I51" s="202" t="str">
        <f>IFERROR(INDEX(온라인_반찬!$C$2:$I$597,MATCH($H51,온라인_반찬!$C$2:$C$597,0),7),"")</f>
        <v/>
      </c>
      <c r="J51" s="179"/>
      <c r="K51" s="202" t="str">
        <f>IFERROR(INDEX(온라인_반찬!$C$2:$I$597,MATCH($J51,온라인_반찬!$C$2:$C$597,0),7),"")</f>
        <v/>
      </c>
      <c r="L51" s="182"/>
      <c r="M51" s="202"/>
    </row>
    <row r="52" spans="1:13" ht="19.5" customHeight="1" thickBot="1">
      <c r="A52" s="299"/>
      <c r="B52" s="212"/>
      <c r="C52" s="203" t="str">
        <f>IFERROR(INDEX(온라인_반찬!$C$2:$I$597,MATCH($B52,온라인_반찬!$C$2:$C$597,0),7),"")</f>
        <v/>
      </c>
      <c r="D52" s="179"/>
      <c r="E52" s="203"/>
      <c r="F52" s="212"/>
      <c r="G52" s="202" t="str">
        <f>IFERROR(INDEX(온라인_반찬!$C$2:$I$597,MATCH($F52,온라인_반찬!$C$2:$C$597,0),7),"")</f>
        <v/>
      </c>
      <c r="H52" s="179"/>
      <c r="I52" s="203"/>
      <c r="J52" s="177"/>
      <c r="K52" s="202" t="str">
        <f>IFERROR(INDEX(온라인_반찬!$C$2:$I$597,MATCH($J52,온라인_반찬!$C$2:$C$597,0),7),"")</f>
        <v/>
      </c>
      <c r="L52" s="212"/>
      <c r="M52" s="203"/>
    </row>
    <row r="53" spans="1:13" ht="150" customHeight="1" thickBot="1">
      <c r="A53" s="315" t="s">
        <v>1405</v>
      </c>
      <c r="B53" s="316"/>
      <c r="C53" s="316"/>
      <c r="D53" s="316"/>
      <c r="E53" s="316"/>
      <c r="F53" s="316"/>
      <c r="G53" s="316"/>
      <c r="H53" s="316"/>
      <c r="I53" s="316"/>
      <c r="J53" s="316"/>
      <c r="K53" s="317"/>
    </row>
  </sheetData>
  <mergeCells count="45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A53:K53"/>
    <mergeCell ref="A35:A42"/>
    <mergeCell ref="B43:C43"/>
    <mergeCell ref="D43:E43"/>
    <mergeCell ref="F43:G43"/>
    <mergeCell ref="H43:I43"/>
    <mergeCell ref="J43:K43"/>
    <mergeCell ref="A45:A52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B5:C12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75"/>
  <sheetViews>
    <sheetView zoomScale="70" zoomScaleNormal="70" zoomScaleSheetLayoutView="75" workbookViewId="0">
      <pane xSplit="7" ySplit="1" topLeftCell="H33" activePane="bottomRight" state="frozen"/>
      <selection activeCell="G13" sqref="G13"/>
      <selection pane="topRight" activeCell="G13" sqref="G13"/>
      <selection pane="bottomLeft" activeCell="G13" sqref="G13"/>
      <selection pane="bottomRight" activeCell="H48" sqref="H48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1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1047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90" t="s">
        <v>974</v>
      </c>
      <c r="J1" s="92" t="s">
        <v>694</v>
      </c>
      <c r="K1" s="3" t="s">
        <v>714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4" t="s">
        <v>1462</v>
      </c>
      <c r="D2" s="33"/>
      <c r="E2" s="33"/>
      <c r="F2" s="33"/>
      <c r="G2" s="33"/>
      <c r="H2" s="77" t="s">
        <v>724</v>
      </c>
      <c r="I2" s="185" t="s">
        <v>982</v>
      </c>
      <c r="J2" s="146" t="s">
        <v>723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5" t="s">
        <v>2027</v>
      </c>
      <c r="D3" s="33"/>
      <c r="E3" s="33"/>
      <c r="F3" s="33"/>
      <c r="G3" s="33"/>
      <c r="H3" s="77" t="s">
        <v>2028</v>
      </c>
      <c r="I3" s="185" t="s">
        <v>1024</v>
      </c>
      <c r="J3" s="146" t="s">
        <v>2121</v>
      </c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4" t="s">
        <v>628</v>
      </c>
      <c r="D4" s="33"/>
      <c r="E4" s="33"/>
      <c r="F4" s="33"/>
      <c r="G4" s="33"/>
      <c r="H4" s="77" t="s">
        <v>681</v>
      </c>
      <c r="I4" s="185" t="s">
        <v>975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IFERROR(INDEX([1]Sheet1!$A$2:$X$1948,MATCH($W$2:$W$264,[1]Sheet1!$G$2:$G$1948,0),8),"")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IFERROR(INDEX([1]Sheet1!$A$2:$X$1948,MATCH($AE$2:$AE$264,[1]Sheet1!$G$2:$G$1948,0),8),"")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IFERROR(INDEX([1]Sheet1!$A$2:$X$1948,MATCH($AK$2:$AK$264,[1]Sheet1!$G$2:$G$1948,0),8),"")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4" t="s">
        <v>1227</v>
      </c>
      <c r="D5" s="33"/>
      <c r="E5" s="33"/>
      <c r="F5" s="33"/>
      <c r="G5" s="33"/>
      <c r="H5" s="77" t="s">
        <v>1297</v>
      </c>
      <c r="I5" s="189" t="s">
        <v>1038</v>
      </c>
      <c r="J5" s="145" t="s">
        <v>764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4" t="s">
        <v>626</v>
      </c>
      <c r="D6" s="33"/>
      <c r="E6" s="33"/>
      <c r="F6" s="33"/>
      <c r="G6" s="33"/>
      <c r="H6" s="77" t="s">
        <v>1884</v>
      </c>
      <c r="I6" s="185" t="s">
        <v>975</v>
      </c>
      <c r="J6" s="145" t="s">
        <v>2140</v>
      </c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IFERROR(INDEX([1]Sheet1!$A$2:$X$1948,MATCH($W$2:$W$264,[1]Sheet1!$G$2:$G$1948,0),8),"")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IFERROR(INDEX([1]Sheet1!$A$2:$X$1948,MATCH($AE$2:$AE$264,[1]Sheet1!$G$2:$G$1948,0),8),"")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IFERROR(INDEX([1]Sheet1!$A$2:$X$1948,MATCH($AK$2:$AK$264,[1]Sheet1!$G$2:$G$1948,0),8),"")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4" t="s">
        <v>1152</v>
      </c>
      <c r="D7" s="33"/>
      <c r="E7" s="33"/>
      <c r="F7" s="33"/>
      <c r="G7" s="33"/>
      <c r="H7" s="77" t="s">
        <v>1284</v>
      </c>
      <c r="I7" s="185" t="s">
        <v>1028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4" t="s">
        <v>1818</v>
      </c>
      <c r="D8" s="33"/>
      <c r="E8" s="33"/>
      <c r="F8" s="33"/>
      <c r="G8" s="33"/>
      <c r="H8" s="77" t="s">
        <v>1819</v>
      </c>
      <c r="I8" s="185" t="s">
        <v>1028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4" t="s">
        <v>1366</v>
      </c>
      <c r="D9" s="33"/>
      <c r="E9" s="33"/>
      <c r="F9" s="33"/>
      <c r="G9" s="33"/>
      <c r="H9" s="77" t="s">
        <v>1569</v>
      </c>
      <c r="I9" s="185" t="s">
        <v>1367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4" t="s">
        <v>2098</v>
      </c>
      <c r="D10" s="33"/>
      <c r="E10" s="33"/>
      <c r="F10" s="33"/>
      <c r="G10" s="33"/>
      <c r="H10" s="112" t="s">
        <v>2099</v>
      </c>
      <c r="I10" s="186" t="s">
        <v>1037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IFERROR(INDEX([1]Sheet1!$A$2:$X$1948,MATCH($W$2:$W$264,[1]Sheet1!$G$2:$G$1948,0),8),"")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IFERROR(INDEX([1]Sheet1!$A$2:$X$1948,MATCH($AE$2:$AE$264,[1]Sheet1!$G$2:$G$1948,0),8),"")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IFERROR(INDEX([1]Sheet1!$A$2:$X$1948,MATCH($AK$2:$AK$264,[1]Sheet1!$G$2:$G$1948,0),8),"")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4" t="s">
        <v>2316</v>
      </c>
      <c r="D11" s="33"/>
      <c r="E11" s="33"/>
      <c r="F11" s="33"/>
      <c r="G11" s="33"/>
      <c r="H11" s="77" t="s">
        <v>1278</v>
      </c>
      <c r="I11" s="185" t="s">
        <v>1033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IFERROR(INDEX([1]Sheet1!$A$2:$X$1948,MATCH($W$2:$W$264,[1]Sheet1!$G$2:$G$1948,0),8),"")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IFERROR(INDEX([1]Sheet1!$A$2:$X$1948,MATCH($AE$2:$AE$264,[1]Sheet1!$G$2:$G$1948,0),8),"")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IFERROR(INDEX([1]Sheet1!$A$2:$X$1948,MATCH($AK$2:$AK$264,[1]Sheet1!$G$2:$G$1948,0),8),"")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4" t="s">
        <v>1164</v>
      </c>
      <c r="D12" s="33"/>
      <c r="E12" s="33"/>
      <c r="F12" s="33"/>
      <c r="G12" s="33"/>
      <c r="H12" s="112" t="s">
        <v>1855</v>
      </c>
      <c r="I12" s="186" t="s">
        <v>988</v>
      </c>
      <c r="J12" s="146" t="s">
        <v>2074</v>
      </c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4" t="s">
        <v>427</v>
      </c>
      <c r="D13" s="33"/>
      <c r="E13" s="33"/>
      <c r="F13" s="33"/>
      <c r="G13" s="33"/>
      <c r="H13" s="77" t="s">
        <v>1285</v>
      </c>
      <c r="I13" s="185" t="s">
        <v>1006</v>
      </c>
      <c r="J13" s="146" t="s">
        <v>2120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4" t="s">
        <v>407</v>
      </c>
      <c r="D14" s="33"/>
      <c r="E14" s="33"/>
      <c r="F14" s="33"/>
      <c r="G14" s="33"/>
      <c r="H14" s="77" t="s">
        <v>1282</v>
      </c>
      <c r="I14" s="185" t="s">
        <v>1037</v>
      </c>
      <c r="J14" s="146" t="s">
        <v>2117</v>
      </c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IFERROR(INDEX([1]Sheet1!$A$2:$X$1948,MATCH($W$2:$W$264,[1]Sheet1!$G$2:$G$1948,0),8),"")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IFERROR(INDEX([1]Sheet1!$A$2:$X$1948,MATCH($AE$2:$AE$264,[1]Sheet1!$G$2:$G$1948,0),8),"")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IFERROR(INDEX([1]Sheet1!$A$2:$X$1948,MATCH($AK$2:$AK$264,[1]Sheet1!$G$2:$G$1948,0),8),"")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4" t="s">
        <v>1826</v>
      </c>
      <c r="D15" s="33"/>
      <c r="E15" s="33"/>
      <c r="F15" s="33"/>
      <c r="G15" s="33"/>
      <c r="H15" s="77" t="s">
        <v>1827</v>
      </c>
      <c r="I15" s="185" t="s">
        <v>1037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4" t="s">
        <v>665</v>
      </c>
      <c r="D16" s="33"/>
      <c r="E16" s="33"/>
      <c r="F16" s="33"/>
      <c r="G16" s="33"/>
      <c r="H16" s="77" t="s">
        <v>1592</v>
      </c>
      <c r="I16" s="185" t="s">
        <v>1024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4" t="s">
        <v>699</v>
      </c>
      <c r="D17" s="33"/>
      <c r="E17" s="33"/>
      <c r="F17" s="33"/>
      <c r="G17" s="33"/>
      <c r="H17" s="77" t="s">
        <v>1287</v>
      </c>
      <c r="I17" s="185" t="s">
        <v>1037</v>
      </c>
      <c r="J17" s="146" t="s">
        <v>2259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4" t="s">
        <v>1099</v>
      </c>
      <c r="D18" s="33"/>
      <c r="E18" s="33"/>
      <c r="F18" s="33"/>
      <c r="G18" s="33"/>
      <c r="H18" s="141" t="s">
        <v>1295</v>
      </c>
      <c r="I18" s="189" t="s">
        <v>975</v>
      </c>
      <c r="J18" s="146" t="s">
        <v>1296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4" t="s">
        <v>697</v>
      </c>
      <c r="D19" s="33"/>
      <c r="E19" s="33"/>
      <c r="F19" s="33"/>
      <c r="G19" s="33"/>
      <c r="H19" s="77" t="s">
        <v>1274</v>
      </c>
      <c r="I19" s="185" t="s">
        <v>1024</v>
      </c>
      <c r="J19" s="146" t="s">
        <v>2121</v>
      </c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IFERROR(INDEX([1]Sheet1!$A$2:$X$1948,MATCH($W$2:$W$264,[1]Sheet1!$G$2:$G$1948,0),8),"")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IFERROR(INDEX([1]Sheet1!$A$2:$X$1948,MATCH($AE$2:$AE$264,[1]Sheet1!$G$2:$G$1948,0),8),"")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IFERROR(INDEX([1]Sheet1!$A$2:$X$1948,MATCH($AK$2:$AK$264,[1]Sheet1!$G$2:$G$1948,0),8),"")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4" t="s">
        <v>1411</v>
      </c>
      <c r="D20" s="33"/>
      <c r="E20" s="33"/>
      <c r="F20" s="33"/>
      <c r="G20" s="33"/>
      <c r="H20" s="77" t="s">
        <v>1280</v>
      </c>
      <c r="I20" s="185" t="s">
        <v>975</v>
      </c>
      <c r="J20" s="146" t="s">
        <v>1281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4" t="s">
        <v>821</v>
      </c>
      <c r="D21" s="33"/>
      <c r="E21" s="33"/>
      <c r="F21" s="33"/>
      <c r="G21" s="33"/>
      <c r="H21" s="77" t="s">
        <v>1276</v>
      </c>
      <c r="I21" s="185" t="s">
        <v>975</v>
      </c>
      <c r="J21" s="146" t="s">
        <v>2119</v>
      </c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4" t="s">
        <v>1516</v>
      </c>
      <c r="D22" s="33"/>
      <c r="E22" s="33"/>
      <c r="F22" s="33"/>
      <c r="G22" s="33"/>
      <c r="H22" s="77" t="s">
        <v>1228</v>
      </c>
      <c r="I22" s="185" t="s">
        <v>1122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IFERROR(INDEX([1]Sheet1!$A$2:$X$1948,MATCH($W$2:$W$264,[1]Sheet1!$G$2:$G$1948,0),8),"")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IFERROR(INDEX([1]Sheet1!$A$2:$X$1948,MATCH($AE$2:$AE$264,[1]Sheet1!$G$2:$G$1948,0),8),"")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IFERROR(INDEX([1]Sheet1!$A$2:$X$1948,MATCH($AK$2:$AK$264,[1]Sheet1!$G$2:$G$1948,0),8),"")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4" t="s">
        <v>1697</v>
      </c>
      <c r="D23" s="33"/>
      <c r="E23" s="33"/>
      <c r="F23" s="33"/>
      <c r="G23" s="33"/>
      <c r="H23" s="77" t="s">
        <v>1698</v>
      </c>
      <c r="I23" s="185" t="s">
        <v>1699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4" t="s">
        <v>1638</v>
      </c>
      <c r="D24" s="33"/>
      <c r="E24" s="33"/>
      <c r="F24" s="33"/>
      <c r="G24" s="33"/>
      <c r="H24" s="77" t="s">
        <v>2152</v>
      </c>
      <c r="I24" s="185" t="s">
        <v>1125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4" t="s">
        <v>322</v>
      </c>
      <c r="D25" s="33"/>
      <c r="E25" s="33"/>
      <c r="F25" s="33"/>
      <c r="G25" s="33"/>
      <c r="H25" s="153" t="s">
        <v>875</v>
      </c>
      <c r="I25" s="187" t="s">
        <v>1037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IFERROR(INDEX([1]Sheet1!$A$2:$X$1948,MATCH($W$2:$W$264,[1]Sheet1!$G$2:$G$1948,0),8),"")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IFERROR(INDEX([1]Sheet1!$A$2:$X$1948,MATCH($AE$2:$AE$264,[1]Sheet1!$G$2:$G$1948,0),8),"")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IFERROR(INDEX([1]Sheet1!$A$2:$X$1948,MATCH($AK$2:$AK$264,[1]Sheet1!$G$2:$G$1948,0),8),"")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6" t="s">
        <v>1356</v>
      </c>
      <c r="D26" s="33"/>
      <c r="E26" s="33"/>
      <c r="F26" s="33"/>
      <c r="G26" s="33"/>
      <c r="H26" s="77" t="s">
        <v>1277</v>
      </c>
      <c r="I26" s="185" t="s">
        <v>975</v>
      </c>
      <c r="J26" s="146" t="s">
        <v>2139</v>
      </c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969</v>
      </c>
      <c r="D27" s="33"/>
      <c r="E27" s="33"/>
      <c r="F27" s="33"/>
      <c r="G27" s="33"/>
      <c r="H27" s="77" t="s">
        <v>1845</v>
      </c>
      <c r="I27" s="185" t="s">
        <v>1040</v>
      </c>
      <c r="J27" s="146" t="s">
        <v>2121</v>
      </c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848</v>
      </c>
      <c r="D28" s="33"/>
      <c r="E28" s="33"/>
      <c r="F28" s="33"/>
      <c r="G28" s="33"/>
      <c r="H28" s="77" t="s">
        <v>2141</v>
      </c>
      <c r="I28" s="185" t="s">
        <v>986</v>
      </c>
      <c r="J28" s="146" t="s">
        <v>2074</v>
      </c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IFERROR(INDEX([1]Sheet1!$A$2:$X$1948,MATCH($W$2:$W$264,[1]Sheet1!$G$2:$G$1948,0),8),"")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IFERROR(INDEX([1]Sheet1!$A$2:$X$1948,MATCH($AE$2:$AE$264,[1]Sheet1!$G$2:$G$1948,0),8),"")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IFERROR(INDEX([1]Sheet1!$A$2:$X$1948,MATCH($AK$2:$AK$264,[1]Sheet1!$G$2:$G$1948,0),8),"")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1209</v>
      </c>
      <c r="D29" s="33"/>
      <c r="E29" s="33"/>
      <c r="F29" s="33"/>
      <c r="G29" s="33"/>
      <c r="H29" s="77" t="s">
        <v>1283</v>
      </c>
      <c r="I29" s="185" t="s">
        <v>1037</v>
      </c>
      <c r="J29" s="146" t="s">
        <v>2134</v>
      </c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727</v>
      </c>
      <c r="I30" s="185" t="s">
        <v>982</v>
      </c>
      <c r="J30" s="146" t="s">
        <v>2134</v>
      </c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IFERROR(INDEX([1]Sheet1!$A$2:$X$1948,MATCH($W$2:$W$264,[1]Sheet1!$G$2:$G$1948,0),8),"")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IFERROR(INDEX([1]Sheet1!$A$2:$X$1948,MATCH($AE$2:$AE$264,[1]Sheet1!$G$2:$G$1948,0),8),"")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IFERROR(INDEX([1]Sheet1!$A$2:$X$1948,MATCH($AK$2:$AK$264,[1]Sheet1!$G$2:$G$1948,0),8),"")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1354</v>
      </c>
      <c r="D31" s="33"/>
      <c r="E31" s="33"/>
      <c r="F31" s="33"/>
      <c r="G31" s="33"/>
      <c r="H31" s="141" t="s">
        <v>1355</v>
      </c>
      <c r="I31" s="185" t="s">
        <v>975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IFERROR(INDEX([1]Sheet1!$A$2:$X$1948,MATCH($W$2:$W$264,[1]Sheet1!$G$2:$G$1948,0),8),"")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IFERROR(INDEX([1]Sheet1!$A$2:$X$1948,MATCH($AE$2:$AE$264,[1]Sheet1!$G$2:$G$1948,0),8),"")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IFERROR(INDEX([1]Sheet1!$A$2:$X$1948,MATCH($AK$2:$AK$264,[1]Sheet1!$G$2:$G$1948,0),8),"")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1499</v>
      </c>
      <c r="D32" s="33"/>
      <c r="E32" s="33"/>
      <c r="F32" s="33"/>
      <c r="G32" s="33"/>
      <c r="H32" s="140" t="s">
        <v>1500</v>
      </c>
      <c r="I32" s="188" t="s">
        <v>1037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 ht="20.100000000000001" customHeight="1">
      <c r="A33" s="37"/>
      <c r="B33" s="154"/>
      <c r="C33" s="142" t="s">
        <v>2240</v>
      </c>
      <c r="D33" s="33"/>
      <c r="E33" s="33"/>
      <c r="F33" s="33"/>
      <c r="G33" s="33"/>
      <c r="H33" s="140" t="s">
        <v>2241</v>
      </c>
      <c r="I33" s="188" t="s">
        <v>2242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32</v>
      </c>
      <c r="B34" s="154"/>
      <c r="C34" s="142" t="s">
        <v>424</v>
      </c>
      <c r="D34" s="33"/>
      <c r="E34" s="33"/>
      <c r="F34" s="33"/>
      <c r="G34" s="33"/>
      <c r="H34" s="77" t="s">
        <v>1291</v>
      </c>
      <c r="I34" s="185" t="s">
        <v>975</v>
      </c>
      <c r="J34" s="146"/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33</v>
      </c>
      <c r="B35" s="154"/>
      <c r="C35" s="142" t="s">
        <v>1945</v>
      </c>
      <c r="D35" s="33"/>
      <c r="E35" s="33"/>
      <c r="F35" s="33"/>
      <c r="G35" s="33"/>
      <c r="H35" s="77" t="s">
        <v>1639</v>
      </c>
      <c r="I35" s="185" t="s">
        <v>1033</v>
      </c>
      <c r="J35" s="146" t="s">
        <v>1281</v>
      </c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34</v>
      </c>
      <c r="B36" s="154"/>
      <c r="C36" s="152" t="s">
        <v>2070</v>
      </c>
      <c r="D36" s="33"/>
      <c r="E36" s="33"/>
      <c r="F36" s="33"/>
      <c r="G36" s="33"/>
      <c r="H36" s="77" t="s">
        <v>1640</v>
      </c>
      <c r="I36" s="189" t="s">
        <v>1145</v>
      </c>
      <c r="J36" s="146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35</v>
      </c>
      <c r="B37" s="154"/>
      <c r="C37" s="142" t="s">
        <v>1408</v>
      </c>
      <c r="D37" s="33"/>
      <c r="E37" s="33"/>
      <c r="F37" s="33"/>
      <c r="G37" s="33"/>
      <c r="H37" s="77" t="s">
        <v>1420</v>
      </c>
      <c r="I37" s="185" t="s">
        <v>975</v>
      </c>
      <c r="J37" s="145" t="s">
        <v>2333</v>
      </c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36</v>
      </c>
      <c r="B38" s="154"/>
      <c r="C38" s="142" t="s">
        <v>1813</v>
      </c>
      <c r="D38" s="33"/>
      <c r="E38" s="33"/>
      <c r="F38" s="33"/>
      <c r="G38" s="33"/>
      <c r="H38" s="77" t="s">
        <v>1814</v>
      </c>
      <c r="I38" s="185" t="s">
        <v>975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2122</v>
      </c>
      <c r="D39" s="33"/>
      <c r="E39" s="33"/>
      <c r="F39" s="33"/>
      <c r="G39" s="33"/>
      <c r="H39" s="77" t="s">
        <v>2123</v>
      </c>
      <c r="I39" s="185" t="s">
        <v>975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37</v>
      </c>
      <c r="B40" s="154"/>
      <c r="C40" s="142" t="s">
        <v>1890</v>
      </c>
      <c r="D40" s="33"/>
      <c r="E40" s="33"/>
      <c r="F40" s="33"/>
      <c r="G40" s="33"/>
      <c r="H40" s="77" t="s">
        <v>1891</v>
      </c>
      <c r="I40" s="185" t="s">
        <v>975</v>
      </c>
      <c r="J40" s="145"/>
      <c r="K40" s="125"/>
      <c r="L40" s="6"/>
      <c r="M40" s="6"/>
      <c r="N40" s="6"/>
      <c r="O40" s="51"/>
      <c r="P40" s="51"/>
      <c r="Q40" s="51"/>
      <c r="R40" s="60"/>
      <c r="S40" s="51"/>
      <c r="T40" s="51"/>
      <c r="U40" s="51"/>
      <c r="V40" s="60"/>
      <c r="W40" s="38"/>
      <c r="X40" s="11"/>
      <c r="Y40" s="17"/>
      <c r="Z40" s="17"/>
      <c r="AA40" s="70"/>
      <c r="AB40" s="70"/>
      <c r="AC40" s="70"/>
      <c r="AD40" s="43"/>
      <c r="AE40" s="38"/>
      <c r="AF40" s="11"/>
      <c r="AG40" s="6"/>
      <c r="AH40" s="6"/>
      <c r="AI40" s="6"/>
      <c r="AJ40" s="43"/>
      <c r="AK40" s="38"/>
      <c r="AL40" s="11"/>
      <c r="AM40" s="6"/>
      <c r="AN40" s="6"/>
      <c r="AO40" s="6"/>
      <c r="AP40" s="43"/>
    </row>
    <row r="41" spans="1:42">
      <c r="A41" s="37"/>
      <c r="B41" s="154"/>
      <c r="C41" s="142" t="s">
        <v>1981</v>
      </c>
      <c r="D41" s="33"/>
      <c r="E41" s="33"/>
      <c r="F41" s="33"/>
      <c r="G41" s="33"/>
      <c r="H41" s="77" t="s">
        <v>1982</v>
      </c>
      <c r="I41" s="185" t="s">
        <v>1983</v>
      </c>
      <c r="J41" s="145"/>
      <c r="K41" s="125"/>
      <c r="L41" s="6"/>
      <c r="M41" s="6"/>
      <c r="N41" s="6"/>
      <c r="O41" s="51"/>
      <c r="P41" s="51"/>
      <c r="Q41" s="51"/>
      <c r="R41" s="60"/>
      <c r="S41" s="51"/>
      <c r="T41" s="51"/>
      <c r="U41" s="51"/>
      <c r="V41" s="60"/>
      <c r="W41" s="38"/>
      <c r="X41" s="11"/>
      <c r="Y41" s="17"/>
      <c r="Z41" s="17"/>
      <c r="AA41" s="70"/>
      <c r="AB41" s="70"/>
      <c r="AC41" s="70"/>
      <c r="AD41" s="43"/>
      <c r="AE41" s="38"/>
      <c r="AF41" s="11"/>
      <c r="AG41" s="6"/>
      <c r="AH41" s="6"/>
      <c r="AI41" s="6"/>
      <c r="AJ41" s="43"/>
      <c r="AK41" s="38"/>
      <c r="AL41" s="11"/>
      <c r="AM41" s="6"/>
      <c r="AN41" s="6"/>
      <c r="AO41" s="6"/>
      <c r="AP41" s="43"/>
    </row>
    <row r="42" spans="1:42">
      <c r="A42" s="37">
        <v>38</v>
      </c>
      <c r="B42" s="154"/>
      <c r="C42" s="142" t="s">
        <v>685</v>
      </c>
      <c r="D42" s="33"/>
      <c r="E42" s="33"/>
      <c r="F42" s="33"/>
      <c r="G42" s="33"/>
      <c r="H42" s="145" t="s">
        <v>686</v>
      </c>
      <c r="I42" s="190" t="s">
        <v>975</v>
      </c>
      <c r="J42" s="146"/>
      <c r="K42" s="35"/>
      <c r="L42" s="17"/>
      <c r="M42" s="17"/>
      <c r="N42" s="17"/>
      <c r="O42" s="51">
        <f>E42</f>
        <v>0</v>
      </c>
      <c r="P42" s="51">
        <v>120</v>
      </c>
      <c r="Q42" s="51"/>
      <c r="R42" s="60" t="s">
        <v>91</v>
      </c>
      <c r="S42" s="52">
        <v>2</v>
      </c>
      <c r="T42" s="52">
        <v>6</v>
      </c>
      <c r="U42" s="52">
        <v>10</v>
      </c>
      <c r="V42" s="60" t="s">
        <v>92</v>
      </c>
      <c r="W42" s="38">
        <v>127359</v>
      </c>
      <c r="X42" s="11" t="str">
        <f>IFERROR(INDEX([1]Sheet1!$A$2:$X$1948,MATCH($W$2:$W$264,[1]Sheet1!$G$2:$G$1948,0),8),"")</f>
        <v>사조대림 사각잡채군만두(32±1개입 800g/EA)</v>
      </c>
      <c r="Y42" s="17">
        <v>800</v>
      </c>
      <c r="Z42" s="17">
        <v>32</v>
      </c>
      <c r="AA42" s="71">
        <v>2</v>
      </c>
      <c r="AB42" s="71">
        <f>T42</f>
        <v>6</v>
      </c>
      <c r="AC42" s="71">
        <f>U42</f>
        <v>10</v>
      </c>
      <c r="AD42" s="43"/>
      <c r="AE42" s="38"/>
      <c r="AF42" s="11">
        <f>IFERROR(INDEX([1]Sheet1!$A$2:$X$1948,MATCH($AE$2:$AE$264,[1]Sheet1!$G$2:$G$1948,0),8),"")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43" t="e">
        <f>AG42/$E42</f>
        <v>#DIV/0!</v>
      </c>
      <c r="AK42" s="38"/>
      <c r="AL42" s="11">
        <f>IFERROR(INDEX([1]Sheet1!$A$2:$X$1948,MATCH($AK$2:$AK$264,[1]Sheet1!$G$2:$G$1948,0),8),"")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43" t="e">
        <f>AM42/$E42</f>
        <v>#DIV/0!</v>
      </c>
    </row>
    <row r="43" spans="1:42">
      <c r="A43" s="37">
        <v>39</v>
      </c>
      <c r="B43" s="154"/>
      <c r="C43" s="142" t="s">
        <v>416</v>
      </c>
      <c r="D43" s="33"/>
      <c r="E43" s="33"/>
      <c r="F43" s="33"/>
      <c r="G43" s="33"/>
      <c r="H43" s="77" t="s">
        <v>2013</v>
      </c>
      <c r="I43" s="185" t="s">
        <v>1037</v>
      </c>
      <c r="J43" s="146"/>
      <c r="K43" s="35"/>
      <c r="L43" s="17"/>
      <c r="M43" s="17"/>
      <c r="N43" s="17"/>
      <c r="O43" s="51">
        <f>E43</f>
        <v>0</v>
      </c>
      <c r="P43" s="51">
        <f>D43</f>
        <v>0</v>
      </c>
      <c r="Q43" s="51">
        <f>D43</f>
        <v>0</v>
      </c>
      <c r="R43" s="60" t="s">
        <v>91</v>
      </c>
      <c r="S43" s="51">
        <f>E43</f>
        <v>0</v>
      </c>
      <c r="T43" s="51">
        <f>D43</f>
        <v>0</v>
      </c>
      <c r="U43" s="51">
        <f>D43</f>
        <v>0</v>
      </c>
      <c r="V43" s="60"/>
      <c r="W43" s="38">
        <v>211037</v>
      </c>
      <c r="X43" s="11" t="str">
        <f>IFERROR(INDEX([1]Sheet1!$A$2:$X$1948,MATCH($W$2:$W$264,[1]Sheet1!$G$2:$G$1948,0),8),"")</f>
        <v>느타리버섯(실속 균상 2Kg/EA)</v>
      </c>
      <c r="Y43" s="17">
        <v>2000</v>
      </c>
      <c r="Z43" s="17"/>
      <c r="AA43" s="70">
        <v>15</v>
      </c>
      <c r="AB43" s="70" t="e">
        <f>T43*AD43</f>
        <v>#DIV/0!</v>
      </c>
      <c r="AC43" s="70" t="e">
        <f>U43*AD43</f>
        <v>#DIV/0!</v>
      </c>
      <c r="AD43" s="43" t="e">
        <f>AA43/E43</f>
        <v>#DIV/0!</v>
      </c>
      <c r="AE43" s="38">
        <v>204964</v>
      </c>
      <c r="AF43" s="11" t="str">
        <f>IFERROR(INDEX([1]Sheet1!$A$2:$X$1948,MATCH($AE$2:$AE$264,[1]Sheet1!$G$2:$G$1948,0),8),"")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43" t="e">
        <f>AG43/$E43</f>
        <v>#DIV/0!</v>
      </c>
      <c r="AK43" s="38">
        <v>226247</v>
      </c>
      <c r="AL43" s="11" t="str">
        <f>IFERROR(INDEX([1]Sheet1!$A$2:$X$1948,MATCH($AK$2:$AK$264,[1]Sheet1!$G$2:$G$1948,0),8),"")</f>
        <v>냉동표고버섯(1.5*1.5cm다이스 1Kg/EA)</v>
      </c>
      <c r="AM43" s="6"/>
      <c r="AN43" s="6"/>
      <c r="AO43" s="6"/>
      <c r="AP43" s="43"/>
    </row>
    <row r="44" spans="1:42">
      <c r="A44" s="37">
        <v>40</v>
      </c>
      <c r="B44" s="154"/>
      <c r="C44" s="142" t="s">
        <v>1413</v>
      </c>
      <c r="D44" s="33"/>
      <c r="E44" s="33"/>
      <c r="F44" s="33"/>
      <c r="G44" s="33"/>
      <c r="H44" s="77" t="s">
        <v>1415</v>
      </c>
      <c r="I44" s="185" t="s">
        <v>975</v>
      </c>
      <c r="J44" s="146" t="s">
        <v>2074</v>
      </c>
      <c r="K44" s="125"/>
      <c r="L44" s="6"/>
      <c r="M44" s="6"/>
      <c r="N44" s="6"/>
      <c r="O44" s="51"/>
      <c r="P44" s="51"/>
      <c r="Q44" s="51"/>
      <c r="R44" s="60"/>
      <c r="S44" s="51"/>
      <c r="T44" s="51"/>
      <c r="U44" s="51"/>
      <c r="V44" s="60"/>
      <c r="W44" s="38"/>
      <c r="X44" s="11"/>
      <c r="Y44" s="17"/>
      <c r="Z44" s="17"/>
      <c r="AA44" s="70"/>
      <c r="AB44" s="70"/>
      <c r="AC44" s="70"/>
      <c r="AD44" s="43"/>
      <c r="AE44" s="38"/>
      <c r="AF44" s="11"/>
      <c r="AG44" s="6"/>
      <c r="AH44" s="6"/>
      <c r="AI44" s="6"/>
      <c r="AJ44" s="43"/>
      <c r="AK44" s="38"/>
      <c r="AL44" s="11"/>
      <c r="AM44" s="6"/>
      <c r="AN44" s="6"/>
      <c r="AO44" s="6"/>
      <c r="AP44" s="43"/>
    </row>
    <row r="45" spans="1:42">
      <c r="A45" s="37">
        <v>41</v>
      </c>
      <c r="B45" s="154"/>
      <c r="C45" s="142" t="s">
        <v>1491</v>
      </c>
      <c r="D45" s="33"/>
      <c r="E45" s="33"/>
      <c r="F45" s="33"/>
      <c r="G45" s="33"/>
      <c r="H45" s="77" t="s">
        <v>963</v>
      </c>
      <c r="I45" s="185" t="s">
        <v>1037</v>
      </c>
      <c r="J45" s="146"/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42</v>
      </c>
      <c r="B46" s="154"/>
      <c r="C46" s="142" t="s">
        <v>1342</v>
      </c>
      <c r="D46" s="33"/>
      <c r="E46" s="33"/>
      <c r="F46" s="33"/>
      <c r="G46" s="33"/>
      <c r="H46" s="77" t="s">
        <v>1343</v>
      </c>
      <c r="I46" s="185" t="s">
        <v>984</v>
      </c>
      <c r="J46" s="146" t="s">
        <v>2332</v>
      </c>
      <c r="K46" s="125"/>
      <c r="L46" s="6">
        <v>320</v>
      </c>
      <c r="M46" s="6">
        <v>16</v>
      </c>
      <c r="N46" s="6">
        <v>336</v>
      </c>
      <c r="O46" s="51">
        <f>E46</f>
        <v>0</v>
      </c>
      <c r="P46" s="51">
        <f>D46</f>
        <v>0</v>
      </c>
      <c r="Q46" s="51">
        <f>D46</f>
        <v>0</v>
      </c>
      <c r="R46" s="60" t="s">
        <v>91</v>
      </c>
      <c r="S46" s="51">
        <f>E46</f>
        <v>0</v>
      </c>
      <c r="T46" s="51">
        <f>D46</f>
        <v>0</v>
      </c>
      <c r="U46" s="51">
        <f>D46</f>
        <v>0</v>
      </c>
      <c r="V46" s="60"/>
      <c r="W46" s="38">
        <v>318643</v>
      </c>
      <c r="X46" s="11" t="str">
        <f>IFERROR(INDEX([1]Sheet1!$A$2:$X$1948,MATCH($W$2:$W$264,[1]Sheet1!$G$2:$G$1948,0),8),"")</f>
        <v>아이누리 자른건미역(상품 200g/EA)</v>
      </c>
      <c r="Y46" s="17">
        <v>200</v>
      </c>
      <c r="Z46" s="17"/>
      <c r="AA46" s="70">
        <v>3</v>
      </c>
      <c r="AB46" s="70" t="e">
        <f>T46*AD46</f>
        <v>#DIV/0!</v>
      </c>
      <c r="AC46" s="70" t="e">
        <f>U46*AD46</f>
        <v>#DIV/0!</v>
      </c>
      <c r="AD46" s="43" t="e">
        <f>AA46/E46</f>
        <v>#DIV/0!</v>
      </c>
      <c r="AE46" s="38">
        <v>193090</v>
      </c>
      <c r="AF46" s="11" t="str">
        <f>IFERROR(INDEX([1]Sheet1!$A$2:$X$1948,MATCH($AE$2:$AE$264,[1]Sheet1!$G$2:$G$1948,0),8),"")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43" t="e">
        <f>AG46/$E46</f>
        <v>#DIV/0!</v>
      </c>
      <c r="AK46" s="38"/>
      <c r="AL46" s="11">
        <f>IFERROR(INDEX([1]Sheet1!$A$2:$X$1948,MATCH($AK$2:$AK$264,[1]Sheet1!$G$2:$G$1948,0),8),"")</f>
        <v>0</v>
      </c>
      <c r="AM46" s="6"/>
      <c r="AN46" s="6"/>
      <c r="AO46" s="6"/>
      <c r="AP46" s="43"/>
    </row>
    <row r="47" spans="1:42">
      <c r="A47" s="37">
        <v>43</v>
      </c>
      <c r="B47" s="154"/>
      <c r="C47" s="142" t="s">
        <v>941</v>
      </c>
      <c r="D47" s="33"/>
      <c r="E47" s="33"/>
      <c r="F47" s="33"/>
      <c r="G47" s="33"/>
      <c r="H47" s="77" t="s">
        <v>1286</v>
      </c>
      <c r="I47" s="185" t="s">
        <v>1014</v>
      </c>
      <c r="J47" s="146" t="s">
        <v>1281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44</v>
      </c>
      <c r="B48" s="154"/>
      <c r="C48" s="142" t="s">
        <v>2111</v>
      </c>
      <c r="D48" s="33"/>
      <c r="E48" s="33"/>
      <c r="F48" s="33"/>
      <c r="G48" s="33"/>
      <c r="H48" s="141" t="s">
        <v>1570</v>
      </c>
      <c r="I48" s="189" t="s">
        <v>975</v>
      </c>
      <c r="J48" s="146" t="s">
        <v>2136</v>
      </c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45</v>
      </c>
      <c r="B49" s="154"/>
      <c r="C49" s="142" t="s">
        <v>426</v>
      </c>
      <c r="D49" s="33"/>
      <c r="E49" s="33"/>
      <c r="F49" s="33"/>
      <c r="G49" s="33"/>
      <c r="H49" s="77" t="s">
        <v>1414</v>
      </c>
      <c r="I49" s="185" t="s">
        <v>975</v>
      </c>
      <c r="J49" s="146" t="s">
        <v>2112</v>
      </c>
      <c r="K49" s="35"/>
      <c r="L49" s="17"/>
      <c r="M49" s="17"/>
      <c r="N49" s="17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46</v>
      </c>
      <c r="B50" s="154"/>
      <c r="C50" s="234" t="s">
        <v>1709</v>
      </c>
      <c r="D50" s="33"/>
      <c r="E50" s="33"/>
      <c r="F50" s="33"/>
      <c r="G50" s="33"/>
      <c r="H50" s="77" t="s">
        <v>1710</v>
      </c>
      <c r="I50" s="185" t="s">
        <v>1806</v>
      </c>
      <c r="J50" s="146" t="s">
        <v>2145</v>
      </c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>
      <c r="A51" s="37">
        <v>47</v>
      </c>
      <c r="B51" s="154"/>
      <c r="C51" s="234" t="s">
        <v>1946</v>
      </c>
      <c r="D51" s="33"/>
      <c r="E51" s="33"/>
      <c r="F51" s="33"/>
      <c r="G51" s="33"/>
      <c r="H51" s="77" t="s">
        <v>2060</v>
      </c>
      <c r="I51" s="185" t="s">
        <v>1024</v>
      </c>
      <c r="J51" s="146"/>
      <c r="K51" s="125"/>
      <c r="L51" s="6"/>
      <c r="M51" s="6"/>
      <c r="N51" s="6"/>
      <c r="O51" s="51"/>
      <c r="P51" s="51"/>
      <c r="Q51" s="51"/>
      <c r="R51" s="60"/>
      <c r="S51" s="51"/>
      <c r="T51" s="51"/>
      <c r="U51" s="51"/>
      <c r="V51" s="60"/>
      <c r="W51" s="38"/>
      <c r="X51" s="11"/>
      <c r="Y51" s="17"/>
      <c r="Z51" s="17"/>
      <c r="AA51" s="70"/>
      <c r="AB51" s="70"/>
      <c r="AC51" s="70"/>
      <c r="AD51" s="43"/>
      <c r="AE51" s="38"/>
      <c r="AF51" s="11"/>
      <c r="AG51" s="6"/>
      <c r="AH51" s="6"/>
      <c r="AI51" s="6"/>
      <c r="AJ51" s="43"/>
      <c r="AK51" s="38"/>
      <c r="AL51" s="11"/>
      <c r="AM51" s="6"/>
      <c r="AN51" s="6"/>
      <c r="AO51" s="6"/>
      <c r="AP51" s="43"/>
    </row>
    <row r="52" spans="1:42">
      <c r="A52" s="37">
        <v>48</v>
      </c>
      <c r="B52" s="154"/>
      <c r="C52" s="234" t="s">
        <v>912</v>
      </c>
      <c r="D52" s="33"/>
      <c r="E52" s="33"/>
      <c r="F52" s="33"/>
      <c r="G52" s="33"/>
      <c r="H52" s="77" t="s">
        <v>1938</v>
      </c>
      <c r="I52" s="185" t="s">
        <v>1024</v>
      </c>
      <c r="J52" s="146" t="s">
        <v>2137</v>
      </c>
      <c r="K52" s="125"/>
      <c r="L52" s="6"/>
      <c r="M52" s="6"/>
      <c r="N52" s="6"/>
      <c r="O52" s="51"/>
      <c r="P52" s="51"/>
      <c r="Q52" s="51"/>
      <c r="R52" s="60"/>
      <c r="S52" s="51"/>
      <c r="T52" s="51"/>
      <c r="U52" s="51"/>
      <c r="V52" s="60"/>
      <c r="W52" s="38"/>
      <c r="X52" s="11"/>
      <c r="Y52" s="17"/>
      <c r="Z52" s="17"/>
      <c r="AA52" s="70"/>
      <c r="AB52" s="70"/>
      <c r="AC52" s="70"/>
      <c r="AD52" s="43"/>
      <c r="AE52" s="38"/>
      <c r="AF52" s="11"/>
      <c r="AG52" s="6"/>
      <c r="AH52" s="6"/>
      <c r="AI52" s="6"/>
      <c r="AJ52" s="43"/>
      <c r="AK52" s="38"/>
      <c r="AL52" s="11"/>
      <c r="AM52" s="6"/>
      <c r="AN52" s="6"/>
      <c r="AO52" s="6"/>
      <c r="AP52" s="43"/>
    </row>
    <row r="53" spans="1:42" ht="27">
      <c r="A53" s="37">
        <v>49</v>
      </c>
      <c r="B53" s="154"/>
      <c r="C53" s="234" t="s">
        <v>1167</v>
      </c>
      <c r="D53" s="33"/>
      <c r="E53" s="33"/>
      <c r="F53" s="33"/>
      <c r="G53" s="33"/>
      <c r="H53" s="77" t="s">
        <v>1299</v>
      </c>
      <c r="I53" s="185" t="s">
        <v>1015</v>
      </c>
      <c r="J53" s="146" t="s">
        <v>2366</v>
      </c>
      <c r="K53" s="35"/>
      <c r="L53" s="17">
        <v>12870</v>
      </c>
      <c r="M53" s="17">
        <v>643.5</v>
      </c>
      <c r="N53" s="17">
        <v>13513.5</v>
      </c>
      <c r="O53" s="51">
        <f>E53</f>
        <v>0</v>
      </c>
      <c r="P53" s="51">
        <v>200</v>
      </c>
      <c r="Q53" s="51">
        <v>300</v>
      </c>
      <c r="R53" s="60" t="s">
        <v>91</v>
      </c>
      <c r="S53" s="51"/>
      <c r="T53" s="53"/>
      <c r="U53" s="53"/>
      <c r="V53" s="60"/>
      <c r="W53" s="38">
        <v>193090</v>
      </c>
      <c r="X53" s="11" t="str">
        <f>IFERROR(INDEX([1]Sheet1!$A$2:$X$1948,MATCH($W$2:$W$264,[1]Sheet1!$G$2:$G$1948,0),8),"")</f>
        <v>냉동감자(절단_3~4cm 1Kg/EA)</v>
      </c>
      <c r="Y53" s="17">
        <v>1000</v>
      </c>
      <c r="Z53" s="17"/>
      <c r="AA53" s="70">
        <v>23</v>
      </c>
      <c r="AB53" s="70" t="e">
        <f>P53*AD53</f>
        <v>#DIV/0!</v>
      </c>
      <c r="AC53" s="70" t="e">
        <f>Q53*AD53</f>
        <v>#DIV/0!</v>
      </c>
      <c r="AD53" s="43" t="e">
        <f>AA53/E53</f>
        <v>#DIV/0!</v>
      </c>
      <c r="AE53" s="38">
        <v>410401</v>
      </c>
      <c r="AF53" s="11" t="str">
        <f>IFERROR(INDEX([1]Sheet1!$A$2:$X$1948,MATCH($AE$2:$AE$264,[1]Sheet1!$G$2:$G$1948,0),8),"")</f>
        <v>체리부로 닭다리살(무항생_100±10g/덩어리_껍질있음 KG)</v>
      </c>
      <c r="AG53" s="6">
        <v>9</v>
      </c>
      <c r="AH53" s="6" t="e">
        <f>P53*AJ53</f>
        <v>#DIV/0!</v>
      </c>
      <c r="AI53" s="6" t="e">
        <f>Q53*AJ53</f>
        <v>#DIV/0!</v>
      </c>
      <c r="AJ53" s="43" t="e">
        <f>AG53/$E53</f>
        <v>#DIV/0!</v>
      </c>
      <c r="AK53" s="38"/>
      <c r="AL53" s="11">
        <f>IFERROR(INDEX([1]Sheet1!$A$2:$X$1948,MATCH($AK$2:$AK$264,[1]Sheet1!$G$2:$G$1948,0),8),"")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43" t="e">
        <f>AM53/$E53</f>
        <v>#DIV/0!</v>
      </c>
    </row>
    <row r="54" spans="1:42">
      <c r="A54" s="37">
        <v>50</v>
      </c>
      <c r="B54" s="154"/>
      <c r="C54" s="234" t="s">
        <v>1657</v>
      </c>
      <c r="D54" s="33"/>
      <c r="E54" s="33"/>
      <c r="F54" s="33"/>
      <c r="G54" s="33"/>
      <c r="H54" s="77" t="s">
        <v>1887</v>
      </c>
      <c r="I54" s="185" t="s">
        <v>975</v>
      </c>
      <c r="J54" s="146" t="s">
        <v>2118</v>
      </c>
      <c r="K54" s="35"/>
      <c r="L54" s="17"/>
      <c r="M54" s="17"/>
      <c r="N54" s="17"/>
      <c r="O54" s="51">
        <f>E54</f>
        <v>0</v>
      </c>
      <c r="P54" s="51"/>
      <c r="Q54" s="51"/>
      <c r="R54" s="60" t="s">
        <v>91</v>
      </c>
      <c r="S54" s="51"/>
      <c r="T54" s="53"/>
      <c r="U54" s="53"/>
      <c r="V54" s="60"/>
      <c r="W54" s="38">
        <v>223307</v>
      </c>
      <c r="X54" s="11" t="str">
        <f>IFERROR(INDEX([1]Sheet1!$A$2:$X$1948,MATCH($W$2:$W$264,[1]Sheet1!$G$2:$G$1948,0),8),"")</f>
        <v>냉동얼갈이(IQF 1Kg/EA)</v>
      </c>
      <c r="Y54" s="17">
        <v>1000</v>
      </c>
      <c r="Z54" s="17"/>
      <c r="AA54" s="70">
        <v>26</v>
      </c>
      <c r="AB54" s="70" t="e">
        <f>P54*AD54</f>
        <v>#DIV/0!</v>
      </c>
      <c r="AC54" s="70" t="e">
        <f>Q54*AD54</f>
        <v>#DIV/0!</v>
      </c>
      <c r="AD54" s="43" t="e">
        <f>AA54/E54</f>
        <v>#DIV/0!</v>
      </c>
      <c r="AE54" s="38"/>
      <c r="AF54" s="11">
        <f>IFERROR(INDEX([1]Sheet1!$A$2:$X$1948,MATCH($AE$2:$AE$264,[1]Sheet1!$G$2:$G$1948,0),8),"")</f>
        <v>0</v>
      </c>
      <c r="AG54" s="6"/>
      <c r="AH54" s="6" t="e">
        <f>P54*AJ54</f>
        <v>#DIV/0!</v>
      </c>
      <c r="AI54" s="6" t="e">
        <f>Q54*AJ54</f>
        <v>#DIV/0!</v>
      </c>
      <c r="AJ54" s="43" t="e">
        <f>AG54/$E54</f>
        <v>#DIV/0!</v>
      </c>
      <c r="AK54" s="38"/>
      <c r="AL54" s="11">
        <f>IFERROR(INDEX([1]Sheet1!$A$2:$X$1948,MATCH($AK$2:$AK$264,[1]Sheet1!$G$2:$G$1948,0),8),"")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43" t="e">
        <f>AM54/$E54</f>
        <v>#DIV/0!</v>
      </c>
    </row>
    <row r="55" spans="1:42">
      <c r="A55" s="37">
        <v>51</v>
      </c>
      <c r="B55" s="154"/>
      <c r="C55" s="234" t="s">
        <v>1371</v>
      </c>
      <c r="D55" s="33"/>
      <c r="E55" s="33"/>
      <c r="F55" s="33"/>
      <c r="G55" s="33"/>
      <c r="H55" s="77" t="s">
        <v>1372</v>
      </c>
      <c r="I55" s="185" t="s">
        <v>1367</v>
      </c>
      <c r="J55" s="146" t="s">
        <v>2135</v>
      </c>
      <c r="K55" s="35"/>
      <c r="L55" s="17"/>
      <c r="M55" s="17"/>
      <c r="N55" s="17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52</v>
      </c>
      <c r="B56" s="154"/>
      <c r="C56" s="234" t="s">
        <v>1138</v>
      </c>
      <c r="D56" s="33"/>
      <c r="E56" s="33"/>
      <c r="F56" s="33"/>
      <c r="G56" s="33"/>
      <c r="H56" s="77" t="s">
        <v>2042</v>
      </c>
      <c r="I56" s="185" t="s">
        <v>975</v>
      </c>
      <c r="J56" s="146" t="s">
        <v>2139</v>
      </c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>
      <c r="A57" s="37">
        <v>53</v>
      </c>
      <c r="B57" s="154"/>
      <c r="C57" s="234" t="s">
        <v>1195</v>
      </c>
      <c r="D57" s="33"/>
      <c r="E57" s="33"/>
      <c r="F57" s="33"/>
      <c r="G57" s="33"/>
      <c r="H57" s="77" t="s">
        <v>1536</v>
      </c>
      <c r="I57" s="185" t="s">
        <v>1033</v>
      </c>
      <c r="J57" s="146"/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>
      <c r="A58" s="37">
        <v>54</v>
      </c>
      <c r="B58" s="154"/>
      <c r="C58" s="234" t="s">
        <v>2329</v>
      </c>
      <c r="D58" s="33"/>
      <c r="E58" s="33"/>
      <c r="F58" s="33"/>
      <c r="G58" s="33"/>
      <c r="H58" s="77" t="s">
        <v>2330</v>
      </c>
      <c r="I58" s="185" t="s">
        <v>2331</v>
      </c>
      <c r="J58" s="146" t="s">
        <v>2332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0.100000000000001" customHeight="1">
      <c r="A59" s="37">
        <v>55</v>
      </c>
      <c r="B59" s="154"/>
      <c r="C59" s="234" t="s">
        <v>1539</v>
      </c>
      <c r="D59" s="33"/>
      <c r="E59" s="33"/>
      <c r="F59" s="33"/>
      <c r="G59" s="33"/>
      <c r="H59" s="140" t="s">
        <v>1416</v>
      </c>
      <c r="I59" s="188" t="s">
        <v>1037</v>
      </c>
      <c r="J59" s="146" t="s">
        <v>2074</v>
      </c>
      <c r="K59" s="125"/>
      <c r="L59" s="6"/>
      <c r="M59" s="6"/>
      <c r="N59" s="6"/>
      <c r="O59" s="51"/>
      <c r="P59" s="51"/>
      <c r="Q59" s="51"/>
      <c r="R59" s="60"/>
      <c r="S59" s="51"/>
      <c r="T59" s="51"/>
      <c r="U59" s="51"/>
      <c r="V59" s="60"/>
      <c r="W59" s="38"/>
      <c r="X59" s="11"/>
      <c r="Y59" s="17"/>
      <c r="Z59" s="17"/>
      <c r="AA59" s="70"/>
      <c r="AB59" s="70"/>
      <c r="AC59" s="70"/>
      <c r="AD59" s="43"/>
      <c r="AE59" s="38"/>
      <c r="AF59" s="11"/>
      <c r="AG59" s="6"/>
      <c r="AH59" s="6"/>
      <c r="AI59" s="6"/>
      <c r="AJ59" s="43"/>
      <c r="AK59" s="38"/>
      <c r="AL59" s="11"/>
      <c r="AM59" s="6"/>
      <c r="AN59" s="6"/>
      <c r="AO59" s="6"/>
      <c r="AP59" s="43"/>
    </row>
    <row r="60" spans="1:42" ht="20.100000000000001" customHeight="1">
      <c r="A60" s="37">
        <v>56</v>
      </c>
      <c r="B60" s="154"/>
      <c r="C60" s="234" t="s">
        <v>2151</v>
      </c>
      <c r="D60" s="33"/>
      <c r="E60" s="33"/>
      <c r="F60" s="33"/>
      <c r="G60" s="33"/>
      <c r="H60" s="140" t="s">
        <v>2150</v>
      </c>
      <c r="I60" s="188" t="s">
        <v>1543</v>
      </c>
      <c r="J60" s="146" t="s">
        <v>1544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 ht="27">
      <c r="A61" s="37">
        <v>57</v>
      </c>
      <c r="B61" s="154"/>
      <c r="C61" s="234" t="s">
        <v>739</v>
      </c>
      <c r="D61" s="33"/>
      <c r="E61" s="33"/>
      <c r="F61" s="33"/>
      <c r="G61" s="33"/>
      <c r="H61" s="141" t="s">
        <v>1537</v>
      </c>
      <c r="I61" s="189" t="s">
        <v>1011</v>
      </c>
      <c r="J61" s="146" t="s">
        <v>759</v>
      </c>
      <c r="K61" s="125"/>
      <c r="L61" s="6">
        <v>42080</v>
      </c>
      <c r="M61" s="6">
        <v>2104</v>
      </c>
      <c r="N61" s="6">
        <v>44184</v>
      </c>
      <c r="O61" s="51">
        <f>E61</f>
        <v>0</v>
      </c>
      <c r="P61" s="51">
        <f>D61</f>
        <v>0</v>
      </c>
      <c r="Q61" s="51">
        <f>D61</f>
        <v>0</v>
      </c>
      <c r="R61" s="60" t="s">
        <v>91</v>
      </c>
      <c r="S61" s="51">
        <f>E61</f>
        <v>0</v>
      </c>
      <c r="T61" s="51">
        <f>D61</f>
        <v>0</v>
      </c>
      <c r="U61" s="51">
        <f>D61</f>
        <v>0</v>
      </c>
      <c r="V61" s="60"/>
      <c r="W61" s="38">
        <v>204418</v>
      </c>
      <c r="X61" s="11" t="str">
        <f>IFERROR(INDEX([1]Sheet1!$A$2:$X$1948,MATCH($W$2:$W$264,[1]Sheet1!$G$2:$G$1948,0),8),"")</f>
        <v>무우(특품 9~12개입 18Kg/BOX)</v>
      </c>
      <c r="Y61" s="17">
        <v>18000</v>
      </c>
      <c r="Z61" s="17"/>
      <c r="AA61" s="70">
        <v>32</v>
      </c>
      <c r="AB61" s="70" t="e">
        <f>T61*AD61</f>
        <v>#DIV/0!</v>
      </c>
      <c r="AC61" s="70" t="e">
        <f>U61*AD61</f>
        <v>#DIV/0!</v>
      </c>
      <c r="AD61" s="43" t="e">
        <f>AA61/E61</f>
        <v>#DIV/0!</v>
      </c>
      <c r="AE61" s="38">
        <v>313064</v>
      </c>
      <c r="AF61" s="11" t="str">
        <f>IFERROR(INDEX([1]Sheet1!$A$2:$X$1948,MATCH($AE$2:$AE$264,[1]Sheet1!$G$2:$G$1948,0),8),"")</f>
        <v>아이누리 오징어몸채(500g/EA)</v>
      </c>
      <c r="AG61" s="6">
        <v>20</v>
      </c>
      <c r="AH61" s="6" t="e">
        <f>P61*AJ61</f>
        <v>#DIV/0!</v>
      </c>
      <c r="AI61" s="6" t="e">
        <f>Q61*AJ61</f>
        <v>#DIV/0!</v>
      </c>
      <c r="AJ61" s="43" t="e">
        <f>AG61/$E61</f>
        <v>#DIV/0!</v>
      </c>
      <c r="AK61" s="38"/>
      <c r="AL61" s="11">
        <f>IFERROR(INDEX([1]Sheet1!$A$2:$X$1948,MATCH($AK$2:$AK$264,[1]Sheet1!$G$2:$G$1948,0),8),"")</f>
        <v>0</v>
      </c>
      <c r="AM61" s="6"/>
      <c r="AN61" s="6"/>
      <c r="AO61" s="6"/>
      <c r="AP61" s="43"/>
    </row>
    <row r="62" spans="1:42" ht="27">
      <c r="A62" s="37">
        <v>58</v>
      </c>
      <c r="B62" s="154"/>
      <c r="C62" s="234" t="s">
        <v>1795</v>
      </c>
      <c r="D62" s="33"/>
      <c r="E62" s="33"/>
      <c r="F62" s="33"/>
      <c r="G62" s="33"/>
      <c r="H62" s="141" t="s">
        <v>1796</v>
      </c>
      <c r="I62" s="189" t="s">
        <v>1011</v>
      </c>
      <c r="J62" s="146" t="s">
        <v>759</v>
      </c>
      <c r="K62" s="125"/>
      <c r="L62" s="6"/>
      <c r="M62" s="6"/>
      <c r="N62" s="6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59</v>
      </c>
      <c r="B63" s="154"/>
      <c r="C63" s="234" t="s">
        <v>2041</v>
      </c>
      <c r="D63" s="33"/>
      <c r="E63" s="33"/>
      <c r="F63" s="33"/>
      <c r="G63" s="33"/>
      <c r="H63" s="77" t="s">
        <v>1300</v>
      </c>
      <c r="I63" s="185" t="s">
        <v>975</v>
      </c>
      <c r="J63" s="146"/>
      <c r="K63" s="125"/>
      <c r="L63" s="6"/>
      <c r="M63" s="6"/>
      <c r="N63" s="6"/>
      <c r="O63" s="51"/>
      <c r="P63" s="51"/>
      <c r="Q63" s="51"/>
      <c r="R63" s="60"/>
      <c r="S63" s="51"/>
      <c r="T63" s="51"/>
      <c r="U63" s="51"/>
      <c r="V63" s="60"/>
      <c r="W63" s="38"/>
      <c r="X63" s="11"/>
      <c r="Y63" s="17"/>
      <c r="Z63" s="17"/>
      <c r="AA63" s="70"/>
      <c r="AB63" s="70"/>
      <c r="AC63" s="70"/>
      <c r="AD63" s="43"/>
      <c r="AE63" s="38"/>
      <c r="AF63" s="11"/>
      <c r="AG63" s="6"/>
      <c r="AH63" s="6"/>
      <c r="AI63" s="6"/>
      <c r="AJ63" s="43"/>
      <c r="AK63" s="38"/>
      <c r="AL63" s="11"/>
      <c r="AM63" s="6"/>
      <c r="AN63" s="6"/>
      <c r="AO63" s="6"/>
      <c r="AP63" s="43"/>
    </row>
    <row r="64" spans="1:42">
      <c r="A64" s="37">
        <v>60</v>
      </c>
      <c r="B64" s="154"/>
      <c r="C64" s="234" t="s">
        <v>1218</v>
      </c>
      <c r="D64" s="33"/>
      <c r="E64" s="33"/>
      <c r="F64" s="33"/>
      <c r="G64" s="33"/>
      <c r="H64" s="141" t="s">
        <v>1294</v>
      </c>
      <c r="I64" s="189" t="s">
        <v>975</v>
      </c>
      <c r="J64" s="146" t="s">
        <v>795</v>
      </c>
      <c r="K64" s="35"/>
      <c r="L64" s="17"/>
      <c r="M64" s="17"/>
      <c r="N64" s="17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61</v>
      </c>
      <c r="B65" s="154"/>
      <c r="C65" s="234" t="s">
        <v>1466</v>
      </c>
      <c r="D65" s="33"/>
      <c r="E65" s="33"/>
      <c r="F65" s="33"/>
      <c r="G65" s="33"/>
      <c r="H65" s="77" t="s">
        <v>1315</v>
      </c>
      <c r="I65" s="185" t="s">
        <v>975</v>
      </c>
      <c r="J65" s="146"/>
      <c r="K65" s="125"/>
      <c r="L65" s="6"/>
      <c r="M65" s="6"/>
      <c r="N65" s="6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105902</v>
      </c>
      <c r="X65" s="11" t="str">
        <f>IFERROR(INDEX([1]Sheet1!$A$2:$X$1948,MATCH($W$2:$W$264,[1]Sheet1!$G$2:$G$1948,0),8),"")</f>
        <v>아와세 아까미소(일식용 1Kg/EA)</v>
      </c>
      <c r="Y65" s="17">
        <v>1000</v>
      </c>
      <c r="Z65" s="17"/>
      <c r="AA65" s="70">
        <v>15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318643</v>
      </c>
      <c r="AF65" s="11" t="str">
        <f>IFERROR(INDEX([1]Sheet1!$A$2:$X$1948,MATCH($AE$2:$AE$264,[1]Sheet1!$G$2:$G$1948,0),8),"")</f>
        <v>아이누리 자른건미역(상품 200g/EA)</v>
      </c>
      <c r="AG65" s="6">
        <v>3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>
        <v>266412</v>
      </c>
      <c r="AL65" s="11" t="str">
        <f>IFERROR(INDEX([1]Sheet1!$A$2:$X$1948,MATCH($AK$2:$AK$264,[1]Sheet1!$G$2:$G$1948,0),8),"")</f>
        <v>한미식품 유부(슬라이스 1Kg/EA)</v>
      </c>
      <c r="AM65" s="6"/>
      <c r="AN65" s="6"/>
      <c r="AO65" s="6"/>
      <c r="AP65" s="43"/>
    </row>
    <row r="66" spans="1:42" ht="20.100000000000001" customHeight="1">
      <c r="A66" s="37">
        <v>62</v>
      </c>
      <c r="B66" s="154"/>
      <c r="C66" s="234" t="s">
        <v>919</v>
      </c>
      <c r="D66" s="33"/>
      <c r="E66" s="33"/>
      <c r="F66" s="33"/>
      <c r="G66" s="33"/>
      <c r="H66" s="77" t="s">
        <v>1289</v>
      </c>
      <c r="I66" s="185" t="s">
        <v>1028</v>
      </c>
      <c r="J66" s="146"/>
      <c r="K66" s="125"/>
      <c r="L66" s="6"/>
      <c r="M66" s="6"/>
      <c r="N66" s="6"/>
      <c r="O66" s="51"/>
      <c r="P66" s="51"/>
      <c r="Q66" s="51"/>
      <c r="R66" s="60"/>
      <c r="S66" s="51"/>
      <c r="T66" s="51"/>
      <c r="U66" s="51"/>
      <c r="V66" s="60"/>
      <c r="W66" s="38"/>
      <c r="X66" s="11"/>
      <c r="Y66" s="17"/>
      <c r="Z66" s="17"/>
      <c r="AA66" s="70"/>
      <c r="AB66" s="70"/>
      <c r="AC66" s="70"/>
      <c r="AD66" s="43"/>
      <c r="AE66" s="38"/>
      <c r="AF66" s="11"/>
      <c r="AG66" s="6"/>
      <c r="AH66" s="6"/>
      <c r="AI66" s="6"/>
      <c r="AJ66" s="43"/>
      <c r="AK66" s="38"/>
      <c r="AL66" s="11"/>
      <c r="AM66" s="6"/>
      <c r="AN66" s="6"/>
      <c r="AO66" s="6"/>
      <c r="AP66" s="43"/>
    </row>
    <row r="67" spans="1:42">
      <c r="A67" s="37">
        <v>63</v>
      </c>
      <c r="B67" s="154"/>
      <c r="C67" s="152" t="s">
        <v>1120</v>
      </c>
      <c r="D67" s="33"/>
      <c r="E67" s="33"/>
      <c r="F67" s="33"/>
      <c r="G67" s="33"/>
      <c r="H67" s="77" t="s">
        <v>1292</v>
      </c>
      <c r="I67" s="185" t="s">
        <v>975</v>
      </c>
      <c r="J67" s="146" t="s">
        <v>2139</v>
      </c>
      <c r="K67" s="35"/>
      <c r="L67" s="17"/>
      <c r="M67" s="17"/>
      <c r="N67" s="17"/>
      <c r="O67" s="51">
        <f>E67</f>
        <v>0</v>
      </c>
      <c r="P67" s="51">
        <f>D67</f>
        <v>0</v>
      </c>
      <c r="Q67" s="51">
        <f>D67</f>
        <v>0</v>
      </c>
      <c r="R67" s="60" t="s">
        <v>91</v>
      </c>
      <c r="S67" s="51">
        <f>E67</f>
        <v>0</v>
      </c>
      <c r="T67" s="51">
        <f>D67</f>
        <v>0</v>
      </c>
      <c r="U67" s="51">
        <f>D67</f>
        <v>0</v>
      </c>
      <c r="V67" s="60"/>
      <c r="W67" s="38">
        <v>219387</v>
      </c>
      <c r="X67" s="11" t="str">
        <f>IFERROR(INDEX([1]Sheet1!$A$2:$X$1948,MATCH($W$2:$W$264,[1]Sheet1!$G$2:$G$1948,0),8),"")</f>
        <v>냉동배추우거지(1Kg/EA)</v>
      </c>
      <c r="Y67" s="17">
        <v>1000</v>
      </c>
      <c r="Z67" s="17"/>
      <c r="AA67" s="70">
        <v>26</v>
      </c>
      <c r="AB67" s="70" t="e">
        <f>T67*AD67</f>
        <v>#DIV/0!</v>
      </c>
      <c r="AC67" s="70" t="e">
        <f>U67*AD67</f>
        <v>#DIV/0!</v>
      </c>
      <c r="AD67" s="43" t="e">
        <f>AA67/E67</f>
        <v>#DIV/0!</v>
      </c>
      <c r="AE67" s="38">
        <v>168257</v>
      </c>
      <c r="AF67" s="11" t="str">
        <f>IFERROR(INDEX([1]Sheet1!$A$2:$X$1948,MATCH($AE$2:$AE$264,[1]Sheet1!$G$2:$G$1948,0),8),"")</f>
        <v>명품 판두부(찌개용 3Kg/EA)</v>
      </c>
      <c r="AG67" s="6">
        <v>17</v>
      </c>
      <c r="AH67" s="6" t="e">
        <f>P67*AJ67</f>
        <v>#DIV/0!</v>
      </c>
      <c r="AI67" s="6" t="e">
        <f>Q67*AJ67</f>
        <v>#DIV/0!</v>
      </c>
      <c r="AJ67" s="43" t="e">
        <f>AG67/$E67</f>
        <v>#DIV/0!</v>
      </c>
      <c r="AK67" s="38"/>
      <c r="AL67" s="11">
        <f>IFERROR(INDEX([1]Sheet1!$A$2:$X$1948,MATCH($AK$2:$AK$264,[1]Sheet1!$G$2:$G$1948,0),8),"")</f>
        <v>0</v>
      </c>
      <c r="AM67" s="6"/>
      <c r="AN67" s="6"/>
      <c r="AO67" s="6"/>
      <c r="AP67" s="43"/>
    </row>
    <row r="68" spans="1:42">
      <c r="A68" s="37">
        <v>64</v>
      </c>
      <c r="B68" s="154"/>
      <c r="C68" s="152" t="s">
        <v>1671</v>
      </c>
      <c r="D68" s="33"/>
      <c r="E68" s="33"/>
      <c r="F68" s="33"/>
      <c r="G68" s="33"/>
      <c r="H68" s="77" t="s">
        <v>1992</v>
      </c>
      <c r="I68" s="185" t="s">
        <v>1037</v>
      </c>
      <c r="J68" s="146"/>
      <c r="K68" s="35"/>
      <c r="L68" s="17"/>
      <c r="M68" s="17"/>
      <c r="N68" s="17"/>
      <c r="O68" s="51">
        <f>E68</f>
        <v>0</v>
      </c>
      <c r="P68" s="51">
        <f>D68</f>
        <v>0</v>
      </c>
      <c r="Q68" s="51">
        <f>D68</f>
        <v>0</v>
      </c>
      <c r="R68" s="60" t="s">
        <v>91</v>
      </c>
      <c r="S68" s="51">
        <f>E68</f>
        <v>0</v>
      </c>
      <c r="T68" s="51">
        <f>D68</f>
        <v>0</v>
      </c>
      <c r="U68" s="51">
        <f>D68</f>
        <v>0</v>
      </c>
      <c r="V68" s="60"/>
      <c r="W68" s="38">
        <v>318643</v>
      </c>
      <c r="X68" s="11" t="str">
        <f>IFERROR(INDEX([1]Sheet1!$A$2:$X$1948,MATCH($W$2:$W$264,[1]Sheet1!$G$2:$G$1948,0),8),"")</f>
        <v>아이누리 자른건미역(상품 200g/EA)</v>
      </c>
      <c r="Y68" s="17">
        <v>200</v>
      </c>
      <c r="Z68" s="17"/>
      <c r="AA68" s="70">
        <v>3</v>
      </c>
      <c r="AB68" s="70" t="e">
        <f>T68*AD68</f>
        <v>#DIV/0!</v>
      </c>
      <c r="AC68" s="70" t="e">
        <f>U68*AD68</f>
        <v>#DIV/0!</v>
      </c>
      <c r="AD68" s="43" t="e">
        <f>AA68/E68</f>
        <v>#DIV/0!</v>
      </c>
      <c r="AE68" s="38">
        <v>424285</v>
      </c>
      <c r="AF68" s="11" t="str">
        <f>IFERROR(INDEX([1]Sheet1!$A$2:$X$1948,MATCH($AE$2:$AE$264,[1]Sheet1!$G$2:$G$1948,0),8),"")</f>
        <v>소양지(3*2*0.3cm_저지방 키즈용_국거리용 KG)</v>
      </c>
      <c r="AG68" s="6">
        <v>10</v>
      </c>
      <c r="AH68" s="6" t="e">
        <f>P68*AJ68</f>
        <v>#DIV/0!</v>
      </c>
      <c r="AI68" s="6" t="e">
        <f>Q68*AJ68</f>
        <v>#DIV/0!</v>
      </c>
      <c r="AJ68" s="43" t="e">
        <f>AG68/$E68</f>
        <v>#DIV/0!</v>
      </c>
      <c r="AK68" s="38"/>
      <c r="AL68" s="11">
        <f>IFERROR(INDEX([1]Sheet1!$A$2:$X$1948,MATCH($AK$2:$AK$264,[1]Sheet1!$G$2:$G$1948,0),8),"")</f>
        <v>0</v>
      </c>
      <c r="AM68" s="6"/>
      <c r="AN68" s="6"/>
      <c r="AO68" s="6"/>
      <c r="AP68" s="43"/>
    </row>
    <row r="69" spans="1:42">
      <c r="A69" s="37"/>
      <c r="B69" s="154"/>
      <c r="C69" s="152" t="s">
        <v>1990</v>
      </c>
      <c r="D69" s="33"/>
      <c r="E69" s="33"/>
      <c r="F69" s="33"/>
      <c r="G69" s="33"/>
      <c r="H69" s="77" t="s">
        <v>1991</v>
      </c>
      <c r="I69" s="185" t="s">
        <v>1386</v>
      </c>
      <c r="J69" s="146" t="s">
        <v>2074</v>
      </c>
      <c r="K69" s="35"/>
      <c r="L69" s="17"/>
      <c r="M69" s="17"/>
      <c r="N69" s="17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65</v>
      </c>
      <c r="B70" s="154"/>
      <c r="C70" s="152" t="s">
        <v>1672</v>
      </c>
      <c r="D70" s="33"/>
      <c r="E70" s="33"/>
      <c r="F70" s="33"/>
      <c r="G70" s="33"/>
      <c r="H70" s="77" t="s">
        <v>1854</v>
      </c>
      <c r="I70" s="185" t="s">
        <v>1673</v>
      </c>
      <c r="J70" s="146"/>
      <c r="K70" s="35"/>
      <c r="L70" s="17"/>
      <c r="M70" s="17"/>
      <c r="N70" s="17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66</v>
      </c>
      <c r="B71" s="154"/>
      <c r="C71" s="152" t="s">
        <v>2147</v>
      </c>
      <c r="D71" s="33"/>
      <c r="E71" s="33"/>
      <c r="F71" s="33"/>
      <c r="G71" s="33"/>
      <c r="H71" s="112" t="s">
        <v>2146</v>
      </c>
      <c r="I71" s="186" t="s">
        <v>1054</v>
      </c>
      <c r="J71" s="146"/>
      <c r="K71" s="125"/>
      <c r="L71" s="6"/>
      <c r="M71" s="6"/>
      <c r="N71" s="6"/>
      <c r="O71" s="51"/>
      <c r="P71" s="51"/>
      <c r="Q71" s="51"/>
      <c r="R71" s="60"/>
      <c r="S71" s="51"/>
      <c r="T71" s="51"/>
      <c r="U71" s="51"/>
      <c r="V71" s="60"/>
      <c r="W71" s="38"/>
      <c r="X71" s="11"/>
      <c r="Y71" s="17"/>
      <c r="Z71" s="17"/>
      <c r="AA71" s="70"/>
      <c r="AB71" s="70"/>
      <c r="AC71" s="70"/>
      <c r="AD71" s="43"/>
      <c r="AE71" s="38"/>
      <c r="AF71" s="11"/>
      <c r="AG71" s="6"/>
      <c r="AH71" s="6"/>
      <c r="AI71" s="6"/>
      <c r="AJ71" s="43"/>
      <c r="AK71" s="38"/>
      <c r="AL71" s="11"/>
      <c r="AM71" s="6"/>
      <c r="AN71" s="6"/>
      <c r="AO71" s="6"/>
      <c r="AP71" s="43"/>
    </row>
    <row r="72" spans="1:42">
      <c r="A72" s="37">
        <v>67</v>
      </c>
      <c r="B72" s="154"/>
      <c r="C72" s="152" t="s">
        <v>655</v>
      </c>
      <c r="D72" s="33"/>
      <c r="E72" s="33"/>
      <c r="F72" s="33"/>
      <c r="G72" s="33"/>
      <c r="H72" s="77" t="s">
        <v>741</v>
      </c>
      <c r="I72" s="185" t="s">
        <v>982</v>
      </c>
      <c r="J72" s="146" t="s">
        <v>2296</v>
      </c>
      <c r="K72" s="125"/>
      <c r="L72" s="6"/>
      <c r="M72" s="6"/>
      <c r="N72" s="6"/>
      <c r="O72" s="51"/>
      <c r="P72" s="51"/>
      <c r="Q72" s="51"/>
      <c r="R72" s="60"/>
      <c r="S72" s="51"/>
      <c r="T72" s="51"/>
      <c r="U72" s="51"/>
      <c r="V72" s="60"/>
      <c r="W72" s="38"/>
      <c r="X72" s="11"/>
      <c r="Y72" s="17"/>
      <c r="Z72" s="17"/>
      <c r="AA72" s="70"/>
      <c r="AB72" s="70"/>
      <c r="AC72" s="70"/>
      <c r="AD72" s="43"/>
      <c r="AE72" s="38"/>
      <c r="AF72" s="11"/>
      <c r="AG72" s="6"/>
      <c r="AH72" s="6"/>
      <c r="AI72" s="6"/>
      <c r="AJ72" s="43"/>
      <c r="AK72" s="38"/>
      <c r="AL72" s="11"/>
      <c r="AM72" s="6"/>
      <c r="AN72" s="6"/>
      <c r="AO72" s="6"/>
      <c r="AP72" s="43"/>
    </row>
    <row r="73" spans="1:42">
      <c r="A73" s="37">
        <v>68</v>
      </c>
      <c r="B73" s="154"/>
      <c r="C73" s="152" t="s">
        <v>632</v>
      </c>
      <c r="D73" s="33"/>
      <c r="E73" s="33"/>
      <c r="F73" s="33"/>
      <c r="G73" s="33"/>
      <c r="H73" s="77" t="s">
        <v>978</v>
      </c>
      <c r="I73" s="185" t="s">
        <v>983</v>
      </c>
      <c r="J73" s="146"/>
      <c r="K73" s="125"/>
      <c r="L73" s="6"/>
      <c r="M73" s="6"/>
      <c r="N73" s="6"/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143422</v>
      </c>
      <c r="X73" s="11" t="str">
        <f>IFERROR(INDEX([1]Sheet1!$A$2:$X$1948,MATCH($W$2:$W$264,[1]Sheet1!$G$2:$G$1948,0),8),"")</f>
        <v>이츠웰 순두부(1Kg/EA)</v>
      </c>
      <c r="Y73" s="17">
        <v>1000</v>
      </c>
      <c r="Z73" s="17"/>
      <c r="AA73" s="70">
        <v>43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138570</v>
      </c>
      <c r="AF73" s="11" t="str">
        <f>IFERROR(INDEX([1]Sheet1!$A$2:$X$1948,MATCH($AE$2:$AE$264,[1]Sheet1!$G$2:$G$1948,0),8),"")</f>
        <v>면사랑 멸치육수(1.8L_보급형 1.8Kg/EA)</v>
      </c>
      <c r="AG73" s="6"/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IFERROR(INDEX([1]Sheet1!$A$2:$X$1948,MATCH($AK$2:$AK$264,[1]Sheet1!$G$2:$G$1948,0),8),"")</f>
        <v>0</v>
      </c>
      <c r="AM73" s="6"/>
      <c r="AN73" s="6"/>
      <c r="AO73" s="6"/>
      <c r="AP73" s="43"/>
    </row>
    <row r="74" spans="1:42">
      <c r="A74" s="37">
        <v>69</v>
      </c>
      <c r="B74" s="154"/>
      <c r="C74" s="169" t="s">
        <v>1930</v>
      </c>
      <c r="D74" s="33"/>
      <c r="E74" s="33"/>
      <c r="F74" s="33"/>
      <c r="G74" s="33"/>
      <c r="H74" s="77" t="s">
        <v>1939</v>
      </c>
      <c r="I74" s="185" t="s">
        <v>975</v>
      </c>
      <c r="J74" s="146"/>
      <c r="K74" s="125"/>
      <c r="L74" s="6">
        <v>540</v>
      </c>
      <c r="M74" s="6">
        <v>27</v>
      </c>
      <c r="N74" s="6">
        <v>567</v>
      </c>
      <c r="O74" s="6">
        <f>E74</f>
        <v>0</v>
      </c>
      <c r="P74" s="6">
        <f>D74</f>
        <v>0</v>
      </c>
      <c r="Q74" s="6">
        <f>D74</f>
        <v>0</v>
      </c>
      <c r="R74" s="35" t="s">
        <v>91</v>
      </c>
      <c r="S74" s="6">
        <f>E74</f>
        <v>0</v>
      </c>
      <c r="T74" s="6">
        <f>D74</f>
        <v>0</v>
      </c>
      <c r="U74" s="6">
        <f>D74</f>
        <v>0</v>
      </c>
      <c r="V74" s="35"/>
      <c r="W74" s="38">
        <v>318643</v>
      </c>
      <c r="X74" s="11" t="str">
        <f>IFERROR(INDEX([1]Sheet1!$A$2:$X$1948,MATCH($W$2:$W$264,[1]Sheet1!$G$2:$G$1948,0),8),"")</f>
        <v>아이누리 자른건미역(상품 200g/EA)</v>
      </c>
      <c r="Y74" s="17">
        <v>200</v>
      </c>
      <c r="Z74" s="17"/>
      <c r="AA74" s="6">
        <v>3</v>
      </c>
      <c r="AB74" s="6" t="e">
        <f>T74*AD74</f>
        <v>#DIV/0!</v>
      </c>
      <c r="AC74" s="6" t="e">
        <f>U74*AD74</f>
        <v>#DIV/0!</v>
      </c>
      <c r="AD74" s="43" t="e">
        <f>AA74/E74</f>
        <v>#DIV/0!</v>
      </c>
      <c r="AE74" s="38"/>
      <c r="AF74" s="11">
        <f>IFERROR(INDEX([1]Sheet1!$A$2:$X$1948,MATCH($AE$2:$AE$264,[1]Sheet1!$G$2:$G$1948,0),8),"")</f>
        <v>0</v>
      </c>
      <c r="AG74" s="6"/>
      <c r="AH74" s="6" t="e">
        <f>P74*AJ74</f>
        <v>#DIV/0!</v>
      </c>
      <c r="AI74" s="6" t="e">
        <f>Q74*AJ74</f>
        <v>#DIV/0!</v>
      </c>
      <c r="AJ74" s="43" t="e">
        <f>AG74/$E74</f>
        <v>#DIV/0!</v>
      </c>
      <c r="AK74" s="38"/>
      <c r="AL74" s="11">
        <f>IFERROR(INDEX([1]Sheet1!$A$2:$X$1948,MATCH($AK$2:$AK$264,[1]Sheet1!$G$2:$G$1948,0),8),"")</f>
        <v>0</v>
      </c>
      <c r="AM74" s="6"/>
      <c r="AN74" s="6"/>
      <c r="AO74" s="6"/>
      <c r="AP74" s="43"/>
    </row>
    <row r="75" spans="1:42">
      <c r="A75" s="37">
        <v>70</v>
      </c>
      <c r="B75" s="154"/>
      <c r="C75" s="152" t="s">
        <v>1700</v>
      </c>
      <c r="D75" s="33"/>
      <c r="E75" s="33"/>
      <c r="F75" s="33"/>
      <c r="G75" s="33"/>
      <c r="H75" s="77" t="s">
        <v>1701</v>
      </c>
      <c r="I75" s="185" t="s">
        <v>1807</v>
      </c>
      <c r="J75" s="146" t="s">
        <v>2121</v>
      </c>
      <c r="K75" s="125"/>
      <c r="L75" s="6">
        <v>16590</v>
      </c>
      <c r="M75" s="6">
        <v>829.5</v>
      </c>
      <c r="N75" s="6">
        <v>17419.5</v>
      </c>
      <c r="O75" s="51">
        <f>E75</f>
        <v>0</v>
      </c>
      <c r="P75" s="51">
        <f>D75</f>
        <v>0</v>
      </c>
      <c r="Q75" s="51">
        <f>D75</f>
        <v>0</v>
      </c>
      <c r="R75" s="60" t="s">
        <v>91</v>
      </c>
      <c r="S75" s="51">
        <f>E75</f>
        <v>0</v>
      </c>
      <c r="T75" s="51">
        <f>D75</f>
        <v>0</v>
      </c>
      <c r="U75" s="51">
        <f>D75</f>
        <v>0</v>
      </c>
      <c r="V75" s="60"/>
      <c r="W75" s="38">
        <v>204418</v>
      </c>
      <c r="X75" s="11" t="str">
        <f>IFERROR(INDEX([1]Sheet1!$A$2:$X$1948,MATCH($W$2:$W$264,[1]Sheet1!$G$2:$G$1948,0),8),"")</f>
        <v>무우(특품 9~12개입 18Kg/BOX)</v>
      </c>
      <c r="Y75" s="17">
        <v>18000</v>
      </c>
      <c r="Z75" s="17"/>
      <c r="AA75" s="70">
        <v>28</v>
      </c>
      <c r="AB75" s="70" t="e">
        <f>T75*AD75</f>
        <v>#DIV/0!</v>
      </c>
      <c r="AC75" s="70" t="e">
        <f>U75*AD75</f>
        <v>#DIV/0!</v>
      </c>
      <c r="AD75" s="43" t="e">
        <f>AA75/E75</f>
        <v>#DIV/0!</v>
      </c>
      <c r="AE75" s="38">
        <v>424285</v>
      </c>
      <c r="AF75" s="11" t="str">
        <f>IFERROR(INDEX([1]Sheet1!$A$2:$X$1948,MATCH($AE$2:$AE$264,[1]Sheet1!$G$2:$G$1948,0),8),"")</f>
        <v>소양지(3*2*0.3cm_저지방 키즈용_국거리용 KG)</v>
      </c>
      <c r="AG75" s="6">
        <v>17</v>
      </c>
      <c r="AH75" s="6" t="e">
        <f>P75*AJ75</f>
        <v>#DIV/0!</v>
      </c>
      <c r="AI75" s="6" t="e">
        <f>Q75*AJ75</f>
        <v>#DIV/0!</v>
      </c>
      <c r="AJ75" s="43" t="e">
        <f>AG75/$E75</f>
        <v>#DIV/0!</v>
      </c>
      <c r="AK75" s="38"/>
      <c r="AL75" s="11">
        <f>IFERROR(INDEX([1]Sheet1!$A$2:$X$1948,MATCH($AK$2:$AK$264,[1]Sheet1!$G$2:$G$1948,0),8),"")</f>
        <v>0</v>
      </c>
      <c r="AM75" s="6"/>
      <c r="AN75" s="6"/>
      <c r="AO75" s="6"/>
      <c r="AP75" s="43"/>
    </row>
    <row r="76" spans="1:42">
      <c r="A76" s="37"/>
      <c r="B76" s="154"/>
      <c r="C76" s="152" t="s">
        <v>2059</v>
      </c>
      <c r="D76" s="33"/>
      <c r="E76" s="33"/>
      <c r="F76" s="33"/>
      <c r="G76" s="33"/>
      <c r="H76" s="77" t="s">
        <v>2061</v>
      </c>
      <c r="I76" s="185" t="s">
        <v>2062</v>
      </c>
      <c r="J76" s="146"/>
      <c r="K76" s="125"/>
      <c r="L76" s="6"/>
      <c r="M76" s="6"/>
      <c r="N76" s="6"/>
      <c r="O76" s="51"/>
      <c r="P76" s="51"/>
      <c r="Q76" s="51"/>
      <c r="R76" s="60"/>
      <c r="S76" s="51"/>
      <c r="T76" s="51"/>
      <c r="U76" s="51"/>
      <c r="V76" s="60"/>
      <c r="W76" s="38"/>
      <c r="X76" s="11"/>
      <c r="Y76" s="17"/>
      <c r="Z76" s="17"/>
      <c r="AA76" s="70"/>
      <c r="AB76" s="70"/>
      <c r="AC76" s="70"/>
      <c r="AD76" s="43"/>
      <c r="AE76" s="38"/>
      <c r="AF76" s="11"/>
      <c r="AG76" s="6"/>
      <c r="AH76" s="6"/>
      <c r="AI76" s="6"/>
      <c r="AJ76" s="43"/>
      <c r="AK76" s="38"/>
      <c r="AL76" s="11"/>
      <c r="AM76" s="6"/>
      <c r="AN76" s="6"/>
      <c r="AO76" s="6"/>
      <c r="AP76" s="43"/>
    </row>
    <row r="77" spans="1:42">
      <c r="A77" s="37">
        <v>71</v>
      </c>
      <c r="B77" s="154"/>
      <c r="C77" s="169" t="s">
        <v>1163</v>
      </c>
      <c r="D77" s="33"/>
      <c r="E77" s="33"/>
      <c r="F77" s="33"/>
      <c r="G77" s="33"/>
      <c r="H77" s="77" t="s">
        <v>1275</v>
      </c>
      <c r="I77" s="185" t="s">
        <v>984</v>
      </c>
      <c r="J77" s="146"/>
      <c r="K77" s="125"/>
      <c r="L77" s="6"/>
      <c r="M77" s="6"/>
      <c r="N77" s="6"/>
      <c r="O77" s="6"/>
      <c r="P77" s="6"/>
      <c r="Q77" s="6"/>
      <c r="R77" s="35"/>
      <c r="S77" s="6"/>
      <c r="T77" s="6"/>
      <c r="U77" s="6"/>
      <c r="V77" s="35"/>
      <c r="W77" s="38"/>
      <c r="X77" s="11"/>
      <c r="Y77" s="17"/>
      <c r="Z77" s="17"/>
      <c r="AA77" s="6"/>
      <c r="AB77" s="6"/>
      <c r="AC77" s="6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72</v>
      </c>
      <c r="B78" s="154"/>
      <c r="C78" s="152" t="s">
        <v>823</v>
      </c>
      <c r="D78" s="33"/>
      <c r="E78" s="33"/>
      <c r="F78" s="33"/>
      <c r="G78" s="33"/>
      <c r="H78" s="77" t="s">
        <v>873</v>
      </c>
      <c r="I78" s="185"/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73</v>
      </c>
      <c r="B79" s="154"/>
      <c r="C79" s="152" t="s">
        <v>618</v>
      </c>
      <c r="D79" s="33"/>
      <c r="E79" s="33"/>
      <c r="F79" s="33"/>
      <c r="G79" s="33"/>
      <c r="H79" s="77" t="s">
        <v>874</v>
      </c>
      <c r="I79" s="185" t="s">
        <v>975</v>
      </c>
      <c r="J79" s="146"/>
      <c r="K79" s="35"/>
      <c r="L79" s="17"/>
      <c r="M79" s="17"/>
      <c r="N79" s="17"/>
      <c r="O79" s="51">
        <f>E79</f>
        <v>0</v>
      </c>
      <c r="P79" s="51">
        <f>D79</f>
        <v>0</v>
      </c>
      <c r="Q79" s="51">
        <f>D79</f>
        <v>0</v>
      </c>
      <c r="R79" s="60" t="s">
        <v>91</v>
      </c>
      <c r="S79" s="51">
        <f>E79</f>
        <v>0</v>
      </c>
      <c r="T79" s="51">
        <f>D79</f>
        <v>0</v>
      </c>
      <c r="U79" s="51">
        <f>D79</f>
        <v>0</v>
      </c>
      <c r="V79" s="60"/>
      <c r="W79" s="38">
        <v>193090</v>
      </c>
      <c r="X79" s="11" t="str">
        <f>IFERROR(INDEX([1]Sheet1!$A$2:$X$1948,MATCH($W$2:$W$264,[1]Sheet1!$G$2:$G$1948,0),8),"")</f>
        <v>냉동감자(절단_3~4cm 1Kg/EA)</v>
      </c>
      <c r="Y79" s="17">
        <v>1000</v>
      </c>
      <c r="Z79" s="17"/>
      <c r="AA79" s="70">
        <v>28</v>
      </c>
      <c r="AB79" s="70" t="e">
        <f>T79*AD79</f>
        <v>#DIV/0!</v>
      </c>
      <c r="AC79" s="70" t="e">
        <f>U79*AD79</f>
        <v>#DIV/0!</v>
      </c>
      <c r="AD79" s="43" t="e">
        <f>AA79/E79</f>
        <v>#DIV/0!</v>
      </c>
      <c r="AE79" s="38">
        <v>226247</v>
      </c>
      <c r="AF79" s="11" t="str">
        <f>IFERROR(INDEX([1]Sheet1!$A$2:$X$1948,MATCH($AE$2:$AE$264,[1]Sheet1!$G$2:$G$1948,0),8),"")</f>
        <v>냉동표고버섯(1.5*1.5cm다이스 1Kg/EA)</v>
      </c>
      <c r="AG79" s="6"/>
      <c r="AH79" s="6" t="e">
        <f>P79*AJ79</f>
        <v>#DIV/0!</v>
      </c>
      <c r="AI79" s="6" t="e">
        <f>Q79*AJ79</f>
        <v>#DIV/0!</v>
      </c>
      <c r="AJ79" s="43" t="e">
        <f>AG79/$E79</f>
        <v>#DIV/0!</v>
      </c>
      <c r="AK79" s="38">
        <v>420010</v>
      </c>
      <c r="AL79" s="11" t="str">
        <f>IFERROR(INDEX([1]Sheet1!$A$2:$X$1948,MATCH($AK$2:$AK$264,[1]Sheet1!$G$2:$G$1948,0),8),"")</f>
        <v>알로팜 계란(왕란_무항생제_68g*30입 2.04Kg/EA)</v>
      </c>
      <c r="AM79" s="6"/>
      <c r="AN79" s="6"/>
      <c r="AO79" s="6"/>
      <c r="AP79" s="43"/>
    </row>
    <row r="80" spans="1:42">
      <c r="A80" s="37">
        <v>74</v>
      </c>
      <c r="B80" s="154"/>
      <c r="C80" s="152" t="s">
        <v>1596</v>
      </c>
      <c r="D80" s="33"/>
      <c r="E80" s="33"/>
      <c r="F80" s="33"/>
      <c r="G80" s="33"/>
      <c r="H80" s="77" t="s">
        <v>1279</v>
      </c>
      <c r="I80" s="185" t="s">
        <v>1033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75</v>
      </c>
      <c r="B81" s="154"/>
      <c r="C81" s="152" t="s">
        <v>1690</v>
      </c>
      <c r="D81" s="33"/>
      <c r="E81" s="33"/>
      <c r="F81" s="33"/>
      <c r="G81" s="33"/>
      <c r="H81" s="140" t="s">
        <v>2153</v>
      </c>
      <c r="I81" s="188" t="s">
        <v>1691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>
      <c r="A82" s="37">
        <v>76</v>
      </c>
      <c r="B82" s="154"/>
      <c r="C82" s="152" t="s">
        <v>1655</v>
      </c>
      <c r="D82" s="33"/>
      <c r="E82" s="33"/>
      <c r="F82" s="33"/>
      <c r="G82" s="33"/>
      <c r="H82" s="77" t="s">
        <v>1656</v>
      </c>
      <c r="I82" s="185" t="s">
        <v>1033</v>
      </c>
      <c r="J82" s="146"/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77</v>
      </c>
      <c r="B83" s="154"/>
      <c r="C83" s="152" t="s">
        <v>1305</v>
      </c>
      <c r="D83" s="33"/>
      <c r="E83" s="33"/>
      <c r="F83" s="33"/>
      <c r="G83" s="33"/>
      <c r="H83" s="77" t="s">
        <v>1304</v>
      </c>
      <c r="I83" s="185" t="s">
        <v>975</v>
      </c>
      <c r="J83" s="146"/>
      <c r="K83" s="125"/>
      <c r="L83" s="6"/>
      <c r="M83" s="6"/>
      <c r="N83" s="6"/>
      <c r="O83" s="51"/>
      <c r="P83" s="51"/>
      <c r="Q83" s="51"/>
      <c r="R83" s="60"/>
      <c r="S83" s="51"/>
      <c r="T83" s="51"/>
      <c r="U83" s="51"/>
      <c r="V83" s="60"/>
      <c r="W83" s="38"/>
      <c r="X83" s="11"/>
      <c r="Y83" s="17"/>
      <c r="Z83" s="17"/>
      <c r="AA83" s="70"/>
      <c r="AB83" s="70"/>
      <c r="AC83" s="70"/>
      <c r="AD83" s="43"/>
      <c r="AE83" s="38"/>
      <c r="AF83" s="11"/>
      <c r="AG83" s="6"/>
      <c r="AH83" s="6"/>
      <c r="AI83" s="6"/>
      <c r="AJ83" s="43"/>
      <c r="AK83" s="38"/>
      <c r="AL83" s="11"/>
      <c r="AM83" s="6"/>
      <c r="AN83" s="6"/>
      <c r="AO83" s="6"/>
      <c r="AP83" s="43"/>
    </row>
    <row r="84" spans="1:42">
      <c r="A84" s="37">
        <v>78</v>
      </c>
      <c r="B84" s="154"/>
      <c r="C84" s="152" t="s">
        <v>1589</v>
      </c>
      <c r="D84" s="33"/>
      <c r="E84" s="33"/>
      <c r="F84" s="33"/>
      <c r="G84" s="33"/>
      <c r="H84" s="77" t="s">
        <v>1590</v>
      </c>
      <c r="I84" s="185" t="s">
        <v>975</v>
      </c>
      <c r="J84" s="146"/>
      <c r="K84" s="125"/>
      <c r="L84" s="6"/>
      <c r="M84" s="6"/>
      <c r="N84" s="6"/>
      <c r="O84" s="51"/>
      <c r="P84" s="51"/>
      <c r="Q84" s="51"/>
      <c r="R84" s="60"/>
      <c r="S84" s="51"/>
      <c r="T84" s="51"/>
      <c r="U84" s="51"/>
      <c r="V84" s="60"/>
      <c r="W84" s="38"/>
      <c r="X84" s="11"/>
      <c r="Y84" s="17"/>
      <c r="Z84" s="17"/>
      <c r="AA84" s="70"/>
      <c r="AB84" s="70"/>
      <c r="AC84" s="70"/>
      <c r="AD84" s="43"/>
      <c r="AE84" s="38"/>
      <c r="AF84" s="11"/>
      <c r="AG84" s="6"/>
      <c r="AH84" s="6"/>
      <c r="AI84" s="6"/>
      <c r="AJ84" s="43"/>
      <c r="AK84" s="38"/>
      <c r="AL84" s="11"/>
      <c r="AM84" s="6"/>
      <c r="AN84" s="6"/>
      <c r="AO84" s="6"/>
      <c r="AP84" s="43"/>
    </row>
    <row r="85" spans="1:42" ht="27">
      <c r="A85" s="37">
        <v>79</v>
      </c>
      <c r="B85" s="154"/>
      <c r="C85" s="152" t="s">
        <v>1731</v>
      </c>
      <c r="D85" s="33"/>
      <c r="E85" s="33"/>
      <c r="F85" s="33"/>
      <c r="G85" s="33"/>
      <c r="H85" s="77" t="s">
        <v>1732</v>
      </c>
      <c r="I85" s="185" t="s">
        <v>1038</v>
      </c>
      <c r="J85" s="146" t="s">
        <v>748</v>
      </c>
      <c r="K85" s="125"/>
      <c r="L85" s="6"/>
      <c r="M85" s="6"/>
      <c r="N85" s="6"/>
      <c r="O85" s="51"/>
      <c r="P85" s="51"/>
      <c r="Q85" s="51"/>
      <c r="R85" s="60"/>
      <c r="S85" s="51"/>
      <c r="T85" s="51"/>
      <c r="U85" s="51"/>
      <c r="V85" s="60"/>
      <c r="W85" s="38"/>
      <c r="X85" s="11"/>
      <c r="Y85" s="17"/>
      <c r="Z85" s="17"/>
      <c r="AA85" s="70"/>
      <c r="AB85" s="70"/>
      <c r="AC85" s="70"/>
      <c r="AD85" s="43"/>
      <c r="AE85" s="38"/>
      <c r="AF85" s="11"/>
      <c r="AG85" s="6"/>
      <c r="AH85" s="6"/>
      <c r="AI85" s="6"/>
      <c r="AJ85" s="43"/>
      <c r="AK85" s="38"/>
      <c r="AL85" s="11"/>
      <c r="AM85" s="6"/>
      <c r="AN85" s="6"/>
      <c r="AO85" s="6"/>
      <c r="AP85" s="43"/>
    </row>
    <row r="86" spans="1:42">
      <c r="A86" s="37">
        <v>80</v>
      </c>
      <c r="B86" s="154"/>
      <c r="C86" s="152" t="s">
        <v>961</v>
      </c>
      <c r="D86" s="33"/>
      <c r="E86" s="33"/>
      <c r="F86" s="33"/>
      <c r="G86" s="33"/>
      <c r="H86" s="77" t="s">
        <v>962</v>
      </c>
      <c r="I86" s="185" t="s">
        <v>1038</v>
      </c>
      <c r="J86" s="146" t="s">
        <v>748</v>
      </c>
      <c r="K86" s="125"/>
      <c r="L86" s="6">
        <v>480</v>
      </c>
      <c r="M86" s="6">
        <v>24</v>
      </c>
      <c r="N86" s="6">
        <v>504</v>
      </c>
      <c r="O86" s="51">
        <f>E86</f>
        <v>0</v>
      </c>
      <c r="P86" s="51">
        <f>D86</f>
        <v>0</v>
      </c>
      <c r="Q86" s="51">
        <f>D86</f>
        <v>0</v>
      </c>
      <c r="R86" s="60" t="s">
        <v>91</v>
      </c>
      <c r="S86" s="51">
        <f>E86</f>
        <v>0</v>
      </c>
      <c r="T86" s="51">
        <f>D86</f>
        <v>0</v>
      </c>
      <c r="U86" s="51">
        <f>D86</f>
        <v>0</v>
      </c>
      <c r="V86" s="60"/>
      <c r="W86" s="38">
        <v>221871</v>
      </c>
      <c r="X86" s="11" t="str">
        <f>IFERROR(INDEX([1]Sheet1!$A$2:$X$1948,MATCH($W$2:$W$264,[1]Sheet1!$G$2:$G$1948,0),8),"")</f>
        <v>냉동시금치(IQF 1Kg/EA)</v>
      </c>
      <c r="Y86" s="17">
        <v>1000</v>
      </c>
      <c r="Z86" s="17"/>
      <c r="AA86" s="70">
        <v>21</v>
      </c>
      <c r="AB86" s="70" t="e">
        <f>T86*AD86</f>
        <v>#DIV/0!</v>
      </c>
      <c r="AC86" s="70" t="e">
        <f>U86*AD86</f>
        <v>#DIV/0!</v>
      </c>
      <c r="AD86" s="43" t="e">
        <f>AA86/E86</f>
        <v>#DIV/0!</v>
      </c>
      <c r="AE86" s="38">
        <v>168384</v>
      </c>
      <c r="AF86" s="11" t="str">
        <f>IFERROR(INDEX([1]Sheet1!$A$2:$X$1948,MATCH($AE$2:$AE$264,[1]Sheet1!$G$2:$G$1948,0),8),"")</f>
        <v>사조대림 사각어묵(알뜰 1Kg/EA)</v>
      </c>
      <c r="AG86" s="6">
        <v>17</v>
      </c>
      <c r="AH86" s="6" t="e">
        <f>P86*AJ86</f>
        <v>#DIV/0!</v>
      </c>
      <c r="AI86" s="6" t="e">
        <f>Q86*AJ86</f>
        <v>#DIV/0!</v>
      </c>
      <c r="AJ86" s="43" t="e">
        <f>AG86/$E86</f>
        <v>#DIV/0!</v>
      </c>
      <c r="AK86" s="38"/>
      <c r="AL86" s="11">
        <f>IFERROR(INDEX([1]Sheet1!$A$2:$X$1948,MATCH($AK$2:$AK$264,[1]Sheet1!$G$2:$G$1948,0),8),"")</f>
        <v>0</v>
      </c>
      <c r="AM86" s="6"/>
      <c r="AN86" s="6"/>
      <c r="AO86" s="6"/>
      <c r="AP86" s="43"/>
    </row>
    <row r="87" spans="1:42">
      <c r="A87" s="37">
        <v>81</v>
      </c>
      <c r="B87" s="154"/>
      <c r="C87" s="152" t="s">
        <v>1820</v>
      </c>
      <c r="D87" s="33"/>
      <c r="E87" s="33"/>
      <c r="F87" s="33"/>
      <c r="G87" s="33"/>
      <c r="H87" s="77" t="s">
        <v>1821</v>
      </c>
      <c r="I87" s="185" t="s">
        <v>975</v>
      </c>
      <c r="J87" s="146" t="s">
        <v>1281</v>
      </c>
      <c r="K87" s="35"/>
      <c r="L87" s="17">
        <v>25650</v>
      </c>
      <c r="M87" s="17">
        <v>1282.5</v>
      </c>
      <c r="N87" s="17">
        <v>26932.5</v>
      </c>
      <c r="O87" s="51">
        <f>E87</f>
        <v>0</v>
      </c>
      <c r="P87" s="51">
        <f>D87</f>
        <v>0</v>
      </c>
      <c r="Q87" s="51">
        <f>D87</f>
        <v>0</v>
      </c>
      <c r="R87" s="60" t="s">
        <v>91</v>
      </c>
      <c r="S87" s="51">
        <f>E87</f>
        <v>0</v>
      </c>
      <c r="T87" s="51">
        <f>D87</f>
        <v>0</v>
      </c>
      <c r="U87" s="51">
        <f>D87</f>
        <v>0</v>
      </c>
      <c r="V87" s="60"/>
      <c r="W87" s="38">
        <v>211696</v>
      </c>
      <c r="X87" s="11" t="str">
        <f>IFERROR(INDEX([1]Sheet1!$A$2:$X$1948,MATCH($W$2:$W$264,[1]Sheet1!$G$2:$G$1948,0),8),"")</f>
        <v>건시래기(데친것 KG)</v>
      </c>
      <c r="Y87" s="17">
        <v>1000</v>
      </c>
      <c r="Z87" s="17"/>
      <c r="AA87" s="70">
        <v>24</v>
      </c>
      <c r="AB87" s="70" t="e">
        <f>T87*AD87</f>
        <v>#DIV/0!</v>
      </c>
      <c r="AC87" s="70" t="e">
        <f>U87*AD87</f>
        <v>#DIV/0!</v>
      </c>
      <c r="AD87" s="43" t="e">
        <f>AA87/E87</f>
        <v>#DIV/0!</v>
      </c>
      <c r="AE87" s="38">
        <v>313570</v>
      </c>
      <c r="AF87" s="11" t="str">
        <f>IFERROR(INDEX([1]Sheet1!$A$2:$X$1948,MATCH($AE$2:$AE$264,[1]Sheet1!$G$2:$G$1948,0),8),"")</f>
        <v>프레시웨이 북어채(1Kg/EA)</v>
      </c>
      <c r="AG87" s="6">
        <v>8</v>
      </c>
      <c r="AH87" s="6" t="e">
        <f>P87*AJ87</f>
        <v>#DIV/0!</v>
      </c>
      <c r="AI87" s="6" t="e">
        <f>Q87*AJ87</f>
        <v>#DIV/0!</v>
      </c>
      <c r="AJ87" s="43" t="e">
        <f>AG87/$E87</f>
        <v>#DIV/0!</v>
      </c>
      <c r="AK87" s="38"/>
      <c r="AL87" s="11">
        <f>IFERROR(INDEX([1]Sheet1!$A$2:$X$1948,MATCH($AK$2:$AK$264,[1]Sheet1!$G$2:$G$1948,0),8),"")</f>
        <v>0</v>
      </c>
      <c r="AM87" s="6"/>
      <c r="AN87" s="6"/>
      <c r="AO87" s="6"/>
      <c r="AP87" s="43"/>
    </row>
    <row r="88" spans="1:42">
      <c r="A88" s="37">
        <v>82</v>
      </c>
      <c r="B88" s="154"/>
      <c r="C88" s="152" t="s">
        <v>1688</v>
      </c>
      <c r="D88" s="33"/>
      <c r="E88" s="33"/>
      <c r="F88" s="33"/>
      <c r="G88" s="33"/>
      <c r="H88" s="77" t="s">
        <v>1689</v>
      </c>
      <c r="I88" s="185" t="s">
        <v>1670</v>
      </c>
      <c r="J88" s="146"/>
      <c r="K88" s="125"/>
      <c r="L88" s="6"/>
      <c r="M88" s="6"/>
      <c r="N88" s="6"/>
      <c r="O88" s="51">
        <f>E88</f>
        <v>0</v>
      </c>
      <c r="P88" s="51">
        <f>D88</f>
        <v>0</v>
      </c>
      <c r="Q88" s="51">
        <f>D88</f>
        <v>0</v>
      </c>
      <c r="R88" s="60" t="s">
        <v>91</v>
      </c>
      <c r="S88" s="51">
        <f>E88</f>
        <v>0</v>
      </c>
      <c r="T88" s="51">
        <f>D88</f>
        <v>0</v>
      </c>
      <c r="U88" s="51">
        <f>D88</f>
        <v>0</v>
      </c>
      <c r="V88" s="60"/>
      <c r="W88" s="38">
        <v>221871</v>
      </c>
      <c r="X88" s="11" t="str">
        <f>IFERROR(INDEX([1]Sheet1!$A$2:$X$1948,MATCH($W$2:$W$264,[1]Sheet1!$G$2:$G$1948,0),8),"")</f>
        <v>냉동시금치(IQF 1Kg/EA)</v>
      </c>
      <c r="Y88" s="17">
        <v>1000</v>
      </c>
      <c r="Z88" s="17"/>
      <c r="AA88" s="70">
        <v>42</v>
      </c>
      <c r="AB88" s="70" t="e">
        <f>T88*AD88</f>
        <v>#DIV/0!</v>
      </c>
      <c r="AC88" s="70" t="e">
        <f>U88*AD88</f>
        <v>#DIV/0!</v>
      </c>
      <c r="AD88" s="43" t="e">
        <f>AA88/E88</f>
        <v>#DIV/0!</v>
      </c>
      <c r="AE88" s="38">
        <v>105943</v>
      </c>
      <c r="AF88" s="11" t="str">
        <f>IFERROR(INDEX([1]Sheet1!$A$2:$X$1948,MATCH($AE$2:$AE$264,[1]Sheet1!$G$2:$G$1948,0),8),"")</f>
        <v>대상 재래된장(지함_재래식숙성 14Kg/EA)</v>
      </c>
      <c r="AG88" s="6"/>
      <c r="AH88" s="6" t="e">
        <f>P88*AJ88</f>
        <v>#DIV/0!</v>
      </c>
      <c r="AI88" s="6" t="e">
        <f>Q88*AJ88</f>
        <v>#DIV/0!</v>
      </c>
      <c r="AJ88" s="43" t="e">
        <f>AG88/$E88</f>
        <v>#DIV/0!</v>
      </c>
      <c r="AK88" s="38"/>
      <c r="AL88" s="11">
        <f>IFERROR(INDEX([1]Sheet1!$A$2:$X$1948,MATCH($AK$2:$AK$264,[1]Sheet1!$G$2:$G$1948,0),8),"")</f>
        <v>0</v>
      </c>
      <c r="AM88" s="6"/>
      <c r="AN88" s="6"/>
      <c r="AO88" s="6"/>
      <c r="AP88" s="43"/>
    </row>
    <row r="89" spans="1:42">
      <c r="A89" s="37">
        <v>83</v>
      </c>
      <c r="B89" s="154"/>
      <c r="C89" s="152" t="s">
        <v>1850</v>
      </c>
      <c r="D89" s="33"/>
      <c r="E89" s="33"/>
      <c r="F89" s="33"/>
      <c r="G89" s="33"/>
      <c r="H89" s="77" t="s">
        <v>1871</v>
      </c>
      <c r="I89" s="185" t="s">
        <v>1669</v>
      </c>
      <c r="J89" s="269" t="s">
        <v>1872</v>
      </c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84</v>
      </c>
      <c r="B90" s="154"/>
      <c r="C90" s="152" t="s">
        <v>625</v>
      </c>
      <c r="D90" s="33"/>
      <c r="E90" s="33"/>
      <c r="F90" s="33"/>
      <c r="G90" s="33"/>
      <c r="H90" s="77" t="s">
        <v>1205</v>
      </c>
      <c r="I90" s="185" t="s">
        <v>975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85</v>
      </c>
      <c r="B91" s="154"/>
      <c r="C91" s="152" t="s">
        <v>643</v>
      </c>
      <c r="D91" s="33"/>
      <c r="E91" s="33"/>
      <c r="F91" s="33"/>
      <c r="G91" s="33"/>
      <c r="H91" s="145" t="s">
        <v>682</v>
      </c>
      <c r="I91" s="185" t="s">
        <v>1038</v>
      </c>
      <c r="J91" s="146"/>
      <c r="K91" s="125"/>
      <c r="L91" s="6">
        <v>350</v>
      </c>
      <c r="M91" s="6">
        <v>17.5</v>
      </c>
      <c r="N91" s="6">
        <v>367.5</v>
      </c>
      <c r="O91" s="51">
        <f>E91</f>
        <v>0</v>
      </c>
      <c r="P91" s="51">
        <f>D91</f>
        <v>0</v>
      </c>
      <c r="Q91" s="51">
        <f>D91</f>
        <v>0</v>
      </c>
      <c r="R91" s="60" t="s">
        <v>91</v>
      </c>
      <c r="S91" s="51">
        <f>E91</f>
        <v>0</v>
      </c>
      <c r="T91" s="51">
        <f>D91</f>
        <v>0</v>
      </c>
      <c r="U91" s="51">
        <f>D91</f>
        <v>0</v>
      </c>
      <c r="V91" s="60"/>
      <c r="W91" s="38">
        <v>197120</v>
      </c>
      <c r="X91" s="11" t="str">
        <f>IFERROR(INDEX([1]Sheet1!$A$2:$X$1948,MATCH($W$2:$W$264,[1]Sheet1!$G$2:$G$1948,0),8),"")</f>
        <v>종가집 포기김치(숙성 10Kg/BOX)</v>
      </c>
      <c r="Y91" s="17">
        <v>10000</v>
      </c>
      <c r="Z91" s="17"/>
      <c r="AA91" s="70">
        <v>21</v>
      </c>
      <c r="AB91" s="70" t="e">
        <f>T91*AD91</f>
        <v>#DIV/0!</v>
      </c>
      <c r="AC91" s="70" t="e">
        <f>U91*AD91</f>
        <v>#DIV/0!</v>
      </c>
      <c r="AD91" s="43" t="e">
        <f>AA91/E91</f>
        <v>#DIV/0!</v>
      </c>
      <c r="AE91" s="38">
        <v>192872</v>
      </c>
      <c r="AF91" s="11" t="str">
        <f>IFERROR(INDEX([1]Sheet1!$A$2:$X$1948,MATCH($AE$2:$AE$264,[1]Sheet1!$G$2:$G$1948,0),8),"")</f>
        <v>소이원 콩나물(곱슬이_단채 4Kg/BOX)</v>
      </c>
      <c r="AG91" s="6">
        <v>15</v>
      </c>
      <c r="AH91" s="6" t="e">
        <f>P91*AJ91</f>
        <v>#DIV/0!</v>
      </c>
      <c r="AI91" s="6" t="e">
        <f>Q91*AJ91</f>
        <v>#DIV/0!</v>
      </c>
      <c r="AJ91" s="43" t="e">
        <f>AG91/$E91</f>
        <v>#DIV/0!</v>
      </c>
      <c r="AK91" s="38"/>
      <c r="AL91" s="11">
        <f>IFERROR(INDEX([1]Sheet1!$A$2:$X$1948,MATCH($AK$2:$AK$264,[1]Sheet1!$G$2:$G$1948,0),8),"")</f>
        <v>0</v>
      </c>
      <c r="AM91" s="6"/>
      <c r="AN91" s="6"/>
      <c r="AO91" s="6"/>
      <c r="AP91" s="43"/>
    </row>
    <row r="92" spans="1:42">
      <c r="A92" s="37">
        <v>86</v>
      </c>
      <c r="B92" s="154"/>
      <c r="C92" s="152" t="s">
        <v>1261</v>
      </c>
      <c r="D92" s="33"/>
      <c r="E92" s="33"/>
      <c r="F92" s="33"/>
      <c r="G92" s="33"/>
      <c r="H92" s="112" t="s">
        <v>1260</v>
      </c>
      <c r="I92" s="186" t="s">
        <v>1054</v>
      </c>
      <c r="J92" s="146"/>
      <c r="K92" s="125"/>
      <c r="L92" s="6"/>
      <c r="M92" s="6"/>
      <c r="N92" s="6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>
      <c r="A93" s="37">
        <v>87</v>
      </c>
      <c r="B93" s="154"/>
      <c r="C93" s="152" t="s">
        <v>1823</v>
      </c>
      <c r="D93" s="33"/>
      <c r="E93" s="33"/>
      <c r="F93" s="33"/>
      <c r="G93" s="33"/>
      <c r="H93" s="112" t="s">
        <v>1824</v>
      </c>
      <c r="I93" s="186" t="s">
        <v>1306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>
      <c r="A94" s="37">
        <v>88</v>
      </c>
      <c r="B94" s="154"/>
      <c r="C94" s="152" t="s">
        <v>1786</v>
      </c>
      <c r="D94" s="33"/>
      <c r="E94" s="33"/>
      <c r="F94" s="33"/>
      <c r="G94" s="33"/>
      <c r="H94" s="112" t="s">
        <v>1787</v>
      </c>
      <c r="I94" s="186" t="s">
        <v>1788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>
      <c r="A95" s="37">
        <v>89</v>
      </c>
      <c r="B95" s="154"/>
      <c r="C95" s="152" t="s">
        <v>1126</v>
      </c>
      <c r="D95" s="33"/>
      <c r="E95" s="33"/>
      <c r="F95" s="33"/>
      <c r="G95" s="33"/>
      <c r="H95" s="77" t="s">
        <v>1293</v>
      </c>
      <c r="I95" s="185" t="s">
        <v>1127</v>
      </c>
      <c r="J95" s="146"/>
      <c r="K95" s="35"/>
      <c r="L95" s="17"/>
      <c r="M95" s="17"/>
      <c r="N95" s="17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0.100000000000001" customHeight="1">
      <c r="A96" s="37">
        <v>90</v>
      </c>
      <c r="B96" s="154"/>
      <c r="C96" s="152" t="s">
        <v>1233</v>
      </c>
      <c r="D96" s="33"/>
      <c r="E96" s="33"/>
      <c r="F96" s="33"/>
      <c r="G96" s="33"/>
      <c r="H96" s="77" t="s">
        <v>1230</v>
      </c>
      <c r="I96" s="185" t="s">
        <v>1168</v>
      </c>
      <c r="J96" s="146"/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 ht="20.100000000000001" customHeight="1">
      <c r="A97" s="37">
        <v>91</v>
      </c>
      <c r="B97" s="154"/>
      <c r="C97" s="152" t="s">
        <v>652</v>
      </c>
      <c r="D97" s="33"/>
      <c r="E97" s="33"/>
      <c r="F97" s="33"/>
      <c r="G97" s="33"/>
      <c r="H97" s="77" t="s">
        <v>1288</v>
      </c>
      <c r="I97" s="185" t="s">
        <v>975</v>
      </c>
      <c r="J97" s="146"/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>
      <c r="A98" s="37">
        <v>92</v>
      </c>
      <c r="B98" s="154"/>
      <c r="C98" s="152" t="s">
        <v>1182</v>
      </c>
      <c r="D98" s="33"/>
      <c r="E98" s="33"/>
      <c r="F98" s="33"/>
      <c r="G98" s="33"/>
      <c r="H98" s="77" t="s">
        <v>1290</v>
      </c>
      <c r="I98" s="185" t="s">
        <v>1038</v>
      </c>
      <c r="J98" s="146" t="s">
        <v>1183</v>
      </c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 ht="21.95" customHeight="1">
      <c r="A99" s="37">
        <v>93</v>
      </c>
      <c r="B99" s="154"/>
      <c r="C99" s="152" t="s">
        <v>800</v>
      </c>
      <c r="D99" s="33"/>
      <c r="E99" s="33"/>
      <c r="F99" s="33"/>
      <c r="G99" s="33"/>
      <c r="H99" s="77" t="s">
        <v>876</v>
      </c>
      <c r="I99" s="185" t="s">
        <v>1148</v>
      </c>
      <c r="J99" s="145" t="s">
        <v>2040</v>
      </c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94</v>
      </c>
      <c r="B100" s="154"/>
      <c r="C100" s="152" t="s">
        <v>665</v>
      </c>
      <c r="D100" s="33"/>
      <c r="E100" s="33"/>
      <c r="F100" s="33"/>
      <c r="G100" s="33"/>
      <c r="H100" s="141" t="s">
        <v>683</v>
      </c>
      <c r="I100" s="189"/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 ht="20.100000000000001" customHeight="1">
      <c r="A101" s="37">
        <v>95</v>
      </c>
      <c r="B101" s="154"/>
      <c r="C101" s="152" t="s">
        <v>2106</v>
      </c>
      <c r="D101" s="33"/>
      <c r="E101" s="33"/>
      <c r="F101" s="33"/>
      <c r="G101" s="33"/>
      <c r="H101" s="77" t="s">
        <v>1591</v>
      </c>
      <c r="I101" s="185" t="s">
        <v>988</v>
      </c>
      <c r="J101" s="145" t="s">
        <v>2154</v>
      </c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96</v>
      </c>
      <c r="B102" s="154"/>
      <c r="C102" s="152" t="s">
        <v>2063</v>
      </c>
      <c r="D102" s="33"/>
      <c r="E102" s="33"/>
      <c r="F102" s="33"/>
      <c r="G102" s="33"/>
      <c r="H102" s="77" t="s">
        <v>1634</v>
      </c>
      <c r="I102" s="185" t="s">
        <v>1609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97</v>
      </c>
      <c r="B103" s="154"/>
      <c r="C103" s="152" t="s">
        <v>1921</v>
      </c>
      <c r="D103" s="33"/>
      <c r="E103" s="33"/>
      <c r="F103" s="33"/>
      <c r="G103" s="33"/>
      <c r="H103" s="77" t="s">
        <v>1922</v>
      </c>
      <c r="I103" s="185" t="s">
        <v>1024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98</v>
      </c>
      <c r="B104" s="154"/>
      <c r="C104" s="152" t="s">
        <v>1853</v>
      </c>
      <c r="D104" s="33"/>
      <c r="E104" s="33"/>
      <c r="F104" s="33"/>
      <c r="G104" s="33"/>
      <c r="H104" s="77" t="s">
        <v>1851</v>
      </c>
      <c r="I104" s="185" t="s">
        <v>1852</v>
      </c>
      <c r="J104" s="146"/>
      <c r="K104" s="125"/>
      <c r="L104" s="6"/>
      <c r="M104" s="6"/>
      <c r="N104" s="6"/>
      <c r="O104" s="51"/>
      <c r="P104" s="51"/>
      <c r="Q104" s="51"/>
      <c r="R104" s="60"/>
      <c r="S104" s="51"/>
      <c r="T104" s="51"/>
      <c r="U104" s="51"/>
      <c r="V104" s="60"/>
      <c r="W104" s="38"/>
      <c r="X104" s="11"/>
      <c r="Y104" s="17"/>
      <c r="Z104" s="17"/>
      <c r="AA104" s="70"/>
      <c r="AB104" s="70"/>
      <c r="AC104" s="70"/>
      <c r="AD104" s="43"/>
      <c r="AE104" s="38"/>
      <c r="AF104" s="11"/>
      <c r="AG104" s="6"/>
      <c r="AH104" s="6"/>
      <c r="AI104" s="6"/>
      <c r="AJ104" s="43"/>
      <c r="AK104" s="38"/>
      <c r="AL104" s="11"/>
      <c r="AM104" s="6"/>
      <c r="AN104" s="6"/>
      <c r="AO104" s="6"/>
      <c r="AP104" s="43"/>
    </row>
    <row r="105" spans="1:42">
      <c r="A105" s="37">
        <v>99</v>
      </c>
      <c r="B105" s="154"/>
      <c r="C105" s="152" t="s">
        <v>1729</v>
      </c>
      <c r="D105" s="33"/>
      <c r="E105" s="33"/>
      <c r="F105" s="33"/>
      <c r="G105" s="33"/>
      <c r="H105" s="77" t="s">
        <v>1730</v>
      </c>
      <c r="I105" s="185" t="s">
        <v>1024</v>
      </c>
      <c r="J105" s="146"/>
      <c r="K105" s="125"/>
      <c r="L105" s="6"/>
      <c r="M105" s="6"/>
      <c r="N105" s="6"/>
      <c r="O105" s="51"/>
      <c r="P105" s="51"/>
      <c r="Q105" s="51"/>
      <c r="R105" s="60"/>
      <c r="S105" s="51"/>
      <c r="T105" s="51"/>
      <c r="U105" s="51"/>
      <c r="V105" s="60"/>
      <c r="W105" s="38"/>
      <c r="X105" s="11"/>
      <c r="Y105" s="17"/>
      <c r="Z105" s="17"/>
      <c r="AA105" s="70"/>
      <c r="AB105" s="70"/>
      <c r="AC105" s="70"/>
      <c r="AD105" s="43"/>
      <c r="AE105" s="38"/>
      <c r="AF105" s="11"/>
      <c r="AG105" s="6"/>
      <c r="AH105" s="6"/>
      <c r="AI105" s="6"/>
      <c r="AJ105" s="43"/>
      <c r="AK105" s="38"/>
      <c r="AL105" s="11"/>
      <c r="AM105" s="6"/>
      <c r="AN105" s="6"/>
      <c r="AO105" s="6"/>
      <c r="AP105" s="43"/>
    </row>
    <row r="106" spans="1:42">
      <c r="A106" s="37">
        <v>100</v>
      </c>
      <c r="B106" s="154"/>
      <c r="C106" s="152" t="s">
        <v>1924</v>
      </c>
      <c r="D106" s="33"/>
      <c r="E106" s="33"/>
      <c r="F106" s="33"/>
      <c r="G106" s="33"/>
      <c r="H106" s="77" t="s">
        <v>1925</v>
      </c>
      <c r="I106" s="185" t="s">
        <v>984</v>
      </c>
      <c r="J106" s="146"/>
      <c r="K106" s="125"/>
      <c r="L106" s="6"/>
      <c r="M106" s="6"/>
      <c r="N106" s="6"/>
      <c r="O106" s="51"/>
      <c r="P106" s="51"/>
      <c r="Q106" s="51"/>
      <c r="R106" s="60"/>
      <c r="S106" s="51"/>
      <c r="T106" s="51"/>
      <c r="U106" s="51"/>
      <c r="V106" s="60"/>
      <c r="W106" s="38"/>
      <c r="X106" s="11"/>
      <c r="Y106" s="17"/>
      <c r="Z106" s="17"/>
      <c r="AA106" s="70"/>
      <c r="AB106" s="70"/>
      <c r="AC106" s="70"/>
      <c r="AD106" s="43"/>
      <c r="AE106" s="38"/>
      <c r="AF106" s="11"/>
      <c r="AG106" s="6"/>
      <c r="AH106" s="6"/>
      <c r="AI106" s="6"/>
      <c r="AJ106" s="43"/>
      <c r="AK106" s="38"/>
      <c r="AL106" s="11"/>
      <c r="AM106" s="6"/>
      <c r="AN106" s="6"/>
      <c r="AO106" s="6"/>
      <c r="AP106" s="43"/>
    </row>
    <row r="107" spans="1:42">
      <c r="A107" s="37">
        <v>101</v>
      </c>
      <c r="B107" s="154"/>
      <c r="C107" s="152" t="s">
        <v>658</v>
      </c>
      <c r="D107" s="33"/>
      <c r="E107" s="33"/>
      <c r="F107" s="33"/>
      <c r="G107" s="33"/>
      <c r="H107" s="77" t="s">
        <v>1298</v>
      </c>
      <c r="I107" s="185" t="s">
        <v>975</v>
      </c>
      <c r="J107" s="145"/>
      <c r="K107" s="35"/>
      <c r="L107" s="17">
        <v>24600</v>
      </c>
      <c r="M107" s="17">
        <v>1230</v>
      </c>
      <c r="N107" s="17">
        <v>25830</v>
      </c>
      <c r="O107" s="51">
        <f>E107</f>
        <v>0</v>
      </c>
      <c r="P107" s="51">
        <f>D107</f>
        <v>0</v>
      </c>
      <c r="Q107" s="51">
        <f>D107</f>
        <v>0</v>
      </c>
      <c r="R107" s="60" t="s">
        <v>91</v>
      </c>
      <c r="S107" s="51">
        <f>E107</f>
        <v>0</v>
      </c>
      <c r="T107" s="51">
        <f>D107</f>
        <v>0</v>
      </c>
      <c r="U107" s="51">
        <f>D107</f>
        <v>0</v>
      </c>
      <c r="V107" s="60"/>
      <c r="W107" s="38">
        <v>204418</v>
      </c>
      <c r="X107" s="11" t="str">
        <f>IFERROR(INDEX([1]Sheet1!$A$2:$X$1948,MATCH($W$2:$W$264,[1]Sheet1!$G$2:$G$1948,0),8),"")</f>
        <v>무우(특품 9~12개입 18Kg/BOX)</v>
      </c>
      <c r="Y107" s="17">
        <v>18000</v>
      </c>
      <c r="Z107" s="17"/>
      <c r="AA107" s="70">
        <v>30</v>
      </c>
      <c r="AB107" s="70" t="e">
        <f>T107*AD107</f>
        <v>#DIV/0!</v>
      </c>
      <c r="AC107" s="70" t="e">
        <f>U107*AD107</f>
        <v>#DIV/0!</v>
      </c>
      <c r="AD107" s="43" t="e">
        <f>AA107/E107</f>
        <v>#DIV/0!</v>
      </c>
      <c r="AE107" s="38">
        <v>317997</v>
      </c>
      <c r="AF107" s="11" t="str">
        <f>IFERROR(INDEX([1]Sheet1!$A$2:$X$1948,MATCH($AE$2:$AE$264,[1]Sheet1!$G$2:$G$1948,0),8),"")</f>
        <v>바지락살(자숙_100/200 250g/EA)</v>
      </c>
      <c r="AG107" s="6">
        <v>15</v>
      </c>
      <c r="AH107" s="6" t="e">
        <f>P107*AJ107</f>
        <v>#DIV/0!</v>
      </c>
      <c r="AI107" s="6" t="e">
        <f>Q107*AJ107</f>
        <v>#DIV/0!</v>
      </c>
      <c r="AJ107" s="43" t="e">
        <f>AG107/$E107</f>
        <v>#DIV/0!</v>
      </c>
      <c r="AK107" s="38"/>
      <c r="AL107" s="11">
        <f>IFERROR(INDEX([1]Sheet1!$A$2:$X$1948,MATCH($AK$2:$AK$264,[1]Sheet1!$G$2:$G$1948,0),8),"")</f>
        <v>0</v>
      </c>
      <c r="AM107" s="6"/>
      <c r="AN107" s="6"/>
      <c r="AO107" s="6"/>
      <c r="AP107" s="43"/>
    </row>
    <row r="108" spans="1:42" ht="27">
      <c r="A108" s="37">
        <v>102</v>
      </c>
      <c r="B108" s="154"/>
      <c r="C108" s="172" t="s">
        <v>1172</v>
      </c>
      <c r="D108" s="33"/>
      <c r="E108" s="33"/>
      <c r="F108" s="33"/>
      <c r="G108" s="33"/>
      <c r="H108" s="77" t="s">
        <v>1173</v>
      </c>
      <c r="I108" s="185" t="s">
        <v>1133</v>
      </c>
      <c r="J108" s="146" t="s">
        <v>776</v>
      </c>
      <c r="K108" s="125"/>
      <c r="L108" s="6"/>
      <c r="M108" s="6"/>
      <c r="N108" s="6"/>
      <c r="O108" s="51">
        <f>E108</f>
        <v>0</v>
      </c>
      <c r="P108" s="51">
        <f>D108</f>
        <v>0</v>
      </c>
      <c r="Q108" s="51">
        <f>D108</f>
        <v>0</v>
      </c>
      <c r="R108" s="60" t="s">
        <v>91</v>
      </c>
      <c r="S108" s="51">
        <f>E108</f>
        <v>0</v>
      </c>
      <c r="T108" s="51">
        <f>D108</f>
        <v>0</v>
      </c>
      <c r="U108" s="51">
        <f>D108</f>
        <v>0</v>
      </c>
      <c r="V108" s="60"/>
      <c r="W108" s="38">
        <v>313570</v>
      </c>
      <c r="X108" s="11" t="str">
        <f>IFERROR(INDEX([1]Sheet1!$A$2:$X$1948,MATCH($W$2:$W$264,[1]Sheet1!$G$2:$G$1948,0),8),"")</f>
        <v>프레시웨이 북어채(1Kg/EA)</v>
      </c>
      <c r="Y108" s="17">
        <v>1000</v>
      </c>
      <c r="Z108" s="17"/>
      <c r="AA108" s="70">
        <v>5</v>
      </c>
      <c r="AB108" s="70" t="e">
        <f>T108*AD108</f>
        <v>#DIV/0!</v>
      </c>
      <c r="AC108" s="70" t="e">
        <f>U108*AD108</f>
        <v>#DIV/0!</v>
      </c>
      <c r="AD108" s="43" t="e">
        <f>AA108/E108</f>
        <v>#DIV/0!</v>
      </c>
      <c r="AE108" s="38">
        <v>168257</v>
      </c>
      <c r="AF108" s="11" t="str">
        <f>IFERROR(INDEX([1]Sheet1!$A$2:$X$1948,MATCH($AE$2:$AE$264,[1]Sheet1!$G$2:$G$1948,0),8),"")</f>
        <v>명품 판두부(찌개용 3Kg/EA)</v>
      </c>
      <c r="AG108" s="6"/>
      <c r="AH108" s="6" t="e">
        <f>P108*AJ108</f>
        <v>#DIV/0!</v>
      </c>
      <c r="AI108" s="6" t="e">
        <f>Q108*AJ108</f>
        <v>#DIV/0!</v>
      </c>
      <c r="AJ108" s="43" t="e">
        <f>AG108/$E108</f>
        <v>#DIV/0!</v>
      </c>
      <c r="AK108" s="38"/>
      <c r="AL108" s="11">
        <f>IFERROR(INDEX([1]Sheet1!$A$2:$X$1948,MATCH($AK$2:$AK$264,[1]Sheet1!$G$2:$G$1948,0),8),"")</f>
        <v>0</v>
      </c>
      <c r="AM108" s="6"/>
      <c r="AN108" s="6"/>
      <c r="AO108" s="6"/>
      <c r="AP108" s="43"/>
    </row>
    <row r="109" spans="1:42">
      <c r="A109" s="37"/>
      <c r="B109" s="154"/>
      <c r="C109" s="172" t="s">
        <v>1949</v>
      </c>
      <c r="D109" s="33"/>
      <c r="E109" s="33"/>
      <c r="F109" s="33"/>
      <c r="G109" s="33"/>
      <c r="H109" s="77" t="s">
        <v>1948</v>
      </c>
      <c r="I109" s="185" t="s">
        <v>1947</v>
      </c>
      <c r="J109" s="146" t="s">
        <v>776</v>
      </c>
      <c r="K109" s="125"/>
      <c r="L109" s="6"/>
      <c r="M109" s="6"/>
      <c r="N109" s="6"/>
      <c r="O109" s="51"/>
      <c r="P109" s="51"/>
      <c r="Q109" s="51"/>
      <c r="R109" s="60"/>
      <c r="S109" s="51"/>
      <c r="T109" s="51"/>
      <c r="U109" s="51"/>
      <c r="V109" s="60"/>
      <c r="W109" s="38"/>
      <c r="X109" s="11"/>
      <c r="Y109" s="17"/>
      <c r="Z109" s="17"/>
      <c r="AA109" s="70"/>
      <c r="AB109" s="70"/>
      <c r="AC109" s="70"/>
      <c r="AD109" s="43"/>
      <c r="AE109" s="38"/>
      <c r="AF109" s="11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 ht="27">
      <c r="A110" s="37">
        <v>169</v>
      </c>
      <c r="B110" s="139"/>
      <c r="C110" s="152" t="s">
        <v>1131</v>
      </c>
      <c r="D110" s="33"/>
      <c r="E110" s="33"/>
      <c r="F110" s="33"/>
      <c r="G110" s="33"/>
      <c r="H110" s="77" t="s">
        <v>1132</v>
      </c>
      <c r="I110" s="185" t="s">
        <v>1133</v>
      </c>
      <c r="J110" s="146" t="s">
        <v>776</v>
      </c>
      <c r="K110" s="125"/>
      <c r="L110" s="6">
        <v>25650</v>
      </c>
      <c r="M110" s="6">
        <v>1282.5</v>
      </c>
      <c r="N110" s="6">
        <v>26932.5</v>
      </c>
      <c r="O110" s="51"/>
      <c r="P110" s="51"/>
      <c r="Q110" s="51"/>
      <c r="R110" s="60"/>
      <c r="S110" s="51"/>
      <c r="T110" s="51"/>
      <c r="U110" s="51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>
      <c r="A111" s="37">
        <v>103</v>
      </c>
      <c r="B111" s="139"/>
      <c r="C111" s="237" t="s">
        <v>447</v>
      </c>
      <c r="D111" s="33"/>
      <c r="E111" s="33"/>
      <c r="F111" s="33"/>
      <c r="G111" s="33"/>
      <c r="H111" s="77" t="s">
        <v>712</v>
      </c>
      <c r="I111" s="185" t="s">
        <v>1062</v>
      </c>
      <c r="J111" s="145" t="s">
        <v>711</v>
      </c>
      <c r="K111" s="35"/>
      <c r="L111" s="17">
        <v>7200</v>
      </c>
      <c r="M111" s="17">
        <v>360</v>
      </c>
      <c r="N111" s="17">
        <v>7560</v>
      </c>
      <c r="O111" s="51"/>
      <c r="P111" s="51"/>
      <c r="Q111" s="51"/>
      <c r="R111" s="60"/>
      <c r="S111" s="52"/>
      <c r="T111" s="52"/>
      <c r="U111" s="52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104</v>
      </c>
      <c r="B112" s="139"/>
      <c r="C112" s="234" t="s">
        <v>1860</v>
      </c>
      <c r="D112" s="33"/>
      <c r="E112" s="33"/>
      <c r="F112" s="33"/>
      <c r="G112" s="33"/>
      <c r="H112" s="77" t="s">
        <v>858</v>
      </c>
      <c r="I112" s="185" t="s">
        <v>998</v>
      </c>
      <c r="J112" s="146"/>
      <c r="K112" s="35"/>
      <c r="L112" s="17"/>
      <c r="M112" s="17"/>
      <c r="N112" s="17"/>
      <c r="O112" s="51"/>
      <c r="P112" s="51"/>
      <c r="Q112" s="51"/>
      <c r="R112" s="60"/>
      <c r="S112" s="51"/>
      <c r="T112" s="53"/>
      <c r="U112" s="53"/>
      <c r="V112" s="60"/>
      <c r="W112" s="81"/>
      <c r="X112" s="11"/>
      <c r="Y112" s="17"/>
      <c r="Z112" s="17"/>
      <c r="AA112" s="70"/>
      <c r="AB112" s="70"/>
      <c r="AC112" s="70"/>
      <c r="AD112" s="43"/>
      <c r="AE112" s="38"/>
      <c r="AF112" s="82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>
      <c r="A113" s="37">
        <v>105</v>
      </c>
      <c r="B113" s="139"/>
      <c r="C113" s="234" t="s">
        <v>1857</v>
      </c>
      <c r="D113" s="33"/>
      <c r="E113" s="33"/>
      <c r="F113" s="33"/>
      <c r="G113" s="33"/>
      <c r="H113" s="77" t="s">
        <v>1858</v>
      </c>
      <c r="I113" s="185" t="s">
        <v>1045</v>
      </c>
      <c r="J113" s="146"/>
      <c r="K113" s="125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38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16.5" customHeight="1">
      <c r="A114" s="37">
        <v>106</v>
      </c>
      <c r="B114" s="139"/>
      <c r="C114" s="234" t="s">
        <v>1836</v>
      </c>
      <c r="D114" s="33"/>
      <c r="E114" s="33"/>
      <c r="F114" s="33"/>
      <c r="G114" s="33"/>
      <c r="H114" s="77" t="s">
        <v>1837</v>
      </c>
      <c r="I114" s="185" t="s">
        <v>1045</v>
      </c>
      <c r="J114" s="146"/>
      <c r="K114" s="125"/>
      <c r="L114" s="6"/>
      <c r="M114" s="6"/>
      <c r="N114" s="6"/>
      <c r="O114" s="51"/>
      <c r="P114" s="51"/>
      <c r="Q114" s="51"/>
      <c r="R114" s="60"/>
      <c r="S114" s="51"/>
      <c r="T114" s="51"/>
      <c r="U114" s="51"/>
      <c r="V114" s="60"/>
      <c r="W114" s="38"/>
      <c r="X114" s="11"/>
      <c r="Y114" s="17"/>
      <c r="Z114" s="17"/>
      <c r="AA114" s="70"/>
      <c r="AB114" s="70"/>
      <c r="AC114" s="70"/>
      <c r="AD114" s="43"/>
      <c r="AE114" s="38"/>
      <c r="AF114" s="11"/>
      <c r="AG114" s="6"/>
      <c r="AH114" s="6"/>
      <c r="AI114" s="6"/>
      <c r="AJ114" s="43"/>
      <c r="AK114" s="38"/>
      <c r="AL114" s="11"/>
      <c r="AM114" s="6"/>
      <c r="AN114" s="6"/>
      <c r="AO114" s="6"/>
      <c r="AP114" s="43"/>
    </row>
    <row r="115" spans="1:42">
      <c r="A115" s="37">
        <v>107</v>
      </c>
      <c r="B115" s="139"/>
      <c r="C115" s="234" t="s">
        <v>1176</v>
      </c>
      <c r="D115" s="33"/>
      <c r="E115" s="33"/>
      <c r="F115" s="33"/>
      <c r="G115" s="33"/>
      <c r="H115" s="77" t="s">
        <v>1496</v>
      </c>
      <c r="I115" s="185" t="s">
        <v>1177</v>
      </c>
      <c r="J115" s="145"/>
      <c r="K115" s="125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38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30" customHeight="1">
      <c r="A116" s="37">
        <v>108</v>
      </c>
      <c r="B116" s="139"/>
      <c r="C116" s="234" t="s">
        <v>1775</v>
      </c>
      <c r="D116" s="33"/>
      <c r="E116" s="33"/>
      <c r="F116" s="33"/>
      <c r="G116" s="33"/>
      <c r="H116" s="77" t="s">
        <v>1438</v>
      </c>
      <c r="I116" s="185" t="s">
        <v>1159</v>
      </c>
      <c r="J116" s="146" t="s">
        <v>725</v>
      </c>
      <c r="K116" s="128"/>
      <c r="L116" s="6"/>
      <c r="M116" s="6"/>
      <c r="N116" s="6"/>
      <c r="O116" s="51"/>
      <c r="P116" s="51"/>
      <c r="Q116" s="51"/>
      <c r="R116" s="60"/>
      <c r="S116" s="51"/>
      <c r="T116" s="51"/>
      <c r="U116" s="51"/>
      <c r="V116" s="60"/>
      <c r="W116" s="81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 ht="20.100000000000001" customHeight="1">
      <c r="A117" s="37">
        <v>109</v>
      </c>
      <c r="B117" s="139"/>
      <c r="C117" s="238" t="s">
        <v>1497</v>
      </c>
      <c r="D117" s="33"/>
      <c r="E117" s="33"/>
      <c r="F117" s="33"/>
      <c r="G117" s="33"/>
      <c r="H117" s="141" t="s">
        <v>1498</v>
      </c>
      <c r="I117" s="189" t="s">
        <v>1067</v>
      </c>
      <c r="J117" s="146"/>
      <c r="K117" s="35"/>
      <c r="L117" s="17"/>
      <c r="M117" s="17"/>
      <c r="N117" s="17"/>
      <c r="O117" s="51"/>
      <c r="P117" s="51"/>
      <c r="Q117" s="51"/>
      <c r="R117" s="60"/>
      <c r="S117" s="51"/>
      <c r="T117" s="53"/>
      <c r="U117" s="53"/>
      <c r="V117" s="60"/>
      <c r="W117" s="41"/>
      <c r="X117" s="42"/>
      <c r="Y117" s="68"/>
      <c r="Z117" s="68"/>
      <c r="AA117" s="70"/>
      <c r="AB117" s="70"/>
      <c r="AC117" s="70"/>
      <c r="AD117" s="43"/>
      <c r="AE117" s="41"/>
      <c r="AF117" s="42"/>
      <c r="AG117" s="6"/>
      <c r="AH117" s="6"/>
      <c r="AI117" s="6"/>
      <c r="AJ117" s="43"/>
      <c r="AK117" s="41"/>
      <c r="AL117" s="42"/>
      <c r="AM117" s="6"/>
      <c r="AN117" s="6"/>
      <c r="AO117" s="6"/>
      <c r="AP117" s="43"/>
    </row>
    <row r="118" spans="1:42">
      <c r="A118" s="37">
        <v>149</v>
      </c>
      <c r="B118" s="139"/>
      <c r="C118" s="142" t="s">
        <v>1520</v>
      </c>
      <c r="D118" s="33"/>
      <c r="E118" s="33"/>
      <c r="F118" s="33"/>
      <c r="G118" s="33"/>
      <c r="H118" s="77" t="s">
        <v>1521</v>
      </c>
      <c r="I118" s="185" t="s">
        <v>1035</v>
      </c>
      <c r="J118" s="145"/>
      <c r="K118" s="125"/>
      <c r="L118" s="6"/>
      <c r="M118" s="6"/>
      <c r="N118" s="6"/>
      <c r="O118" s="51"/>
      <c r="P118" s="51"/>
      <c r="Q118" s="51"/>
      <c r="R118" s="60"/>
      <c r="S118" s="51"/>
      <c r="T118" s="51"/>
      <c r="U118" s="51"/>
      <c r="V118" s="60"/>
      <c r="W118" s="38"/>
      <c r="X118" s="11"/>
      <c r="Y118" s="17"/>
      <c r="Z118" s="17"/>
      <c r="AA118" s="70"/>
      <c r="AB118" s="70"/>
      <c r="AC118" s="70"/>
      <c r="AD118" s="43"/>
      <c r="AE118" s="38"/>
      <c r="AF118" s="11"/>
      <c r="AG118" s="6"/>
      <c r="AH118" s="6"/>
      <c r="AI118" s="6"/>
      <c r="AJ118" s="43"/>
      <c r="AK118" s="38"/>
      <c r="AL118" s="11"/>
      <c r="AM118" s="6"/>
      <c r="AN118" s="6"/>
      <c r="AO118" s="6"/>
      <c r="AP118" s="43"/>
    </row>
    <row r="119" spans="1:42" ht="30" customHeight="1">
      <c r="A119" s="37">
        <v>110</v>
      </c>
      <c r="B119" s="139"/>
      <c r="C119" s="239" t="s">
        <v>2100</v>
      </c>
      <c r="D119" s="33"/>
      <c r="E119" s="33"/>
      <c r="F119" s="33"/>
      <c r="G119" s="33"/>
      <c r="H119" s="77" t="s">
        <v>1802</v>
      </c>
      <c r="I119" s="185" t="s">
        <v>1053</v>
      </c>
      <c r="J119" s="146" t="s">
        <v>965</v>
      </c>
      <c r="K119" s="125"/>
      <c r="L119" s="6">
        <v>19920</v>
      </c>
      <c r="M119" s="6">
        <v>996</v>
      </c>
      <c r="N119" s="6">
        <v>20916</v>
      </c>
      <c r="O119" s="51"/>
      <c r="P119" s="51"/>
      <c r="Q119" s="51"/>
      <c r="R119" s="60"/>
      <c r="S119" s="51"/>
      <c r="T119" s="51"/>
      <c r="U119" s="51"/>
      <c r="V119" s="60"/>
      <c r="W119" s="38"/>
      <c r="X119" s="11"/>
      <c r="Y119" s="17"/>
      <c r="Z119" s="17"/>
      <c r="AA119" s="70"/>
      <c r="AB119" s="70"/>
      <c r="AC119" s="70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>
        <v>111</v>
      </c>
      <c r="B120" s="139"/>
      <c r="C120" s="234" t="s">
        <v>2012</v>
      </c>
      <c r="D120" s="33"/>
      <c r="E120" s="33"/>
      <c r="F120" s="33"/>
      <c r="G120" s="33"/>
      <c r="H120" s="77" t="s">
        <v>1222</v>
      </c>
      <c r="I120" s="185" t="s">
        <v>1067</v>
      </c>
      <c r="J120" s="146"/>
      <c r="K120" s="125"/>
      <c r="L120" s="6"/>
      <c r="M120" s="6"/>
      <c r="N120" s="6"/>
      <c r="O120" s="51"/>
      <c r="P120" s="51"/>
      <c r="Q120" s="51"/>
      <c r="R120" s="60"/>
      <c r="S120" s="52"/>
      <c r="T120" s="52"/>
      <c r="U120" s="52"/>
      <c r="V120" s="60"/>
      <c r="W120" s="38"/>
      <c r="X120" s="11"/>
      <c r="Y120" s="17"/>
      <c r="Z120" s="17"/>
      <c r="AA120" s="71"/>
      <c r="AB120" s="71"/>
      <c r="AC120" s="71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/>
      <c r="B121" s="139"/>
      <c r="C121" s="234" t="s">
        <v>2124</v>
      </c>
      <c r="D121" s="33"/>
      <c r="E121" s="33"/>
      <c r="F121" s="33"/>
      <c r="G121" s="33"/>
      <c r="H121" s="77" t="s">
        <v>2125</v>
      </c>
      <c r="I121" s="189" t="s">
        <v>1913</v>
      </c>
      <c r="J121" s="145" t="s">
        <v>1914</v>
      </c>
      <c r="K121" s="125"/>
      <c r="L121" s="6"/>
      <c r="M121" s="6"/>
      <c r="N121" s="6"/>
      <c r="O121" s="51"/>
      <c r="P121" s="51"/>
      <c r="Q121" s="51"/>
      <c r="R121" s="60"/>
      <c r="S121" s="52"/>
      <c r="T121" s="52"/>
      <c r="U121" s="52"/>
      <c r="V121" s="60"/>
      <c r="W121" s="38"/>
      <c r="X121" s="11"/>
      <c r="Y121" s="17"/>
      <c r="Z121" s="17"/>
      <c r="AA121" s="71"/>
      <c r="AB121" s="71"/>
      <c r="AC121" s="71"/>
      <c r="AD121" s="43"/>
      <c r="AE121" s="38"/>
      <c r="AF121" s="11"/>
      <c r="AG121" s="6"/>
      <c r="AH121" s="6"/>
      <c r="AI121" s="6"/>
      <c r="AJ121" s="43"/>
      <c r="AK121" s="38"/>
      <c r="AL121" s="11"/>
      <c r="AM121" s="6"/>
      <c r="AN121" s="6"/>
      <c r="AO121" s="6"/>
      <c r="AP121" s="43"/>
    </row>
    <row r="122" spans="1:42">
      <c r="A122" s="37">
        <v>112</v>
      </c>
      <c r="B122" s="139"/>
      <c r="C122" s="234" t="s">
        <v>1486</v>
      </c>
      <c r="D122" s="33"/>
      <c r="E122" s="33"/>
      <c r="F122" s="33"/>
      <c r="G122" s="33"/>
      <c r="H122" s="153" t="s">
        <v>880</v>
      </c>
      <c r="I122" s="187" t="s">
        <v>998</v>
      </c>
      <c r="J122" s="144"/>
      <c r="K122" s="125"/>
      <c r="L122" s="6">
        <v>25000</v>
      </c>
      <c r="M122" s="6">
        <v>1250</v>
      </c>
      <c r="N122" s="6">
        <v>26250</v>
      </c>
      <c r="O122" s="51">
        <f>E122</f>
        <v>0</v>
      </c>
      <c r="P122" s="51">
        <f>D122</f>
        <v>0</v>
      </c>
      <c r="Q122" s="51">
        <f>D122</f>
        <v>0</v>
      </c>
      <c r="R122" s="60" t="s">
        <v>91</v>
      </c>
      <c r="S122" s="51">
        <f>E122</f>
        <v>0</v>
      </c>
      <c r="T122" s="51">
        <f>D122</f>
        <v>0</v>
      </c>
      <c r="U122" s="51">
        <f>D122</f>
        <v>0</v>
      </c>
      <c r="V122" s="60"/>
      <c r="W122" s="38">
        <v>219387</v>
      </c>
      <c r="X122" s="11" t="str">
        <f>IFERROR(INDEX([1]Sheet1!$A$2:$X$1948,MATCH($W$2:$W$264,[1]Sheet1!$G$2:$G$1948,0),8),"")</f>
        <v>냉동배추우거지(1Kg/EA)</v>
      </c>
      <c r="Y122" s="17">
        <v>1000</v>
      </c>
      <c r="Z122" s="17"/>
      <c r="AA122" s="70">
        <v>30</v>
      </c>
      <c r="AB122" s="70" t="e">
        <f>T122*AD122</f>
        <v>#DIV/0!</v>
      </c>
      <c r="AC122" s="70" t="e">
        <f>U122*AD122</f>
        <v>#DIV/0!</v>
      </c>
      <c r="AD122" s="43" t="e">
        <f>AA122/E122</f>
        <v>#DIV/0!</v>
      </c>
      <c r="AE122" s="38">
        <v>424285</v>
      </c>
      <c r="AF122" s="11" t="str">
        <f>IFERROR(INDEX([1]Sheet1!$A$2:$X$1948,MATCH($AE$2:$AE$264,[1]Sheet1!$G$2:$G$1948,0),8),"")</f>
        <v>소양지(3*2*0.3cm_저지방 키즈용_국거리용 KG)</v>
      </c>
      <c r="AG122" s="6">
        <v>14</v>
      </c>
      <c r="AH122" s="6" t="e">
        <f>P122*AJ122</f>
        <v>#DIV/0!</v>
      </c>
      <c r="AI122" s="6" t="e">
        <f>Q122*AJ122</f>
        <v>#DIV/0!</v>
      </c>
      <c r="AJ122" s="43" t="e">
        <f>AG122/$E122</f>
        <v>#DIV/0!</v>
      </c>
      <c r="AK122" s="38"/>
      <c r="AL122" s="11">
        <f>IFERROR(INDEX([1]Sheet1!$A$2:$X$1948,MATCH($AK$2:$AK$264,[1]Sheet1!$G$2:$G$1948,0),8),"")</f>
        <v>0</v>
      </c>
      <c r="AM122" s="6"/>
      <c r="AN122" s="6"/>
      <c r="AO122" s="6"/>
      <c r="AP122" s="43"/>
    </row>
    <row r="123" spans="1:42">
      <c r="A123" s="37">
        <v>113</v>
      </c>
      <c r="B123" s="139"/>
      <c r="C123" s="239" t="s">
        <v>812</v>
      </c>
      <c r="D123" s="33"/>
      <c r="E123" s="33"/>
      <c r="F123" s="33"/>
      <c r="G123" s="33"/>
      <c r="H123" s="77" t="s">
        <v>1605</v>
      </c>
      <c r="I123" s="185" t="s">
        <v>1065</v>
      </c>
      <c r="J123" s="146" t="s">
        <v>1271</v>
      </c>
      <c r="K123" s="35"/>
      <c r="L123" s="17"/>
      <c r="M123" s="17"/>
      <c r="N123" s="17"/>
      <c r="O123" s="51"/>
      <c r="P123" s="51"/>
      <c r="Q123" s="51"/>
      <c r="R123" s="60"/>
      <c r="S123" s="51"/>
      <c r="T123" s="53"/>
      <c r="U123" s="53"/>
      <c r="V123" s="60"/>
      <c r="W123" s="81"/>
      <c r="X123" s="11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114</v>
      </c>
      <c r="B124" s="139"/>
      <c r="C124" s="234" t="s">
        <v>1338</v>
      </c>
      <c r="D124" s="33"/>
      <c r="E124" s="33"/>
      <c r="F124" s="33"/>
      <c r="G124" s="33"/>
      <c r="H124" s="141" t="s">
        <v>1501</v>
      </c>
      <c r="I124" s="189" t="s">
        <v>1055</v>
      </c>
      <c r="J124" s="145" t="s">
        <v>708</v>
      </c>
      <c r="K124" s="35"/>
      <c r="L124" s="17"/>
      <c r="M124" s="17"/>
      <c r="N124" s="17"/>
      <c r="O124" s="51"/>
      <c r="P124" s="51"/>
      <c r="Q124" s="51"/>
      <c r="R124" s="60"/>
      <c r="S124" s="51"/>
      <c r="T124" s="53"/>
      <c r="U124" s="53"/>
      <c r="V124" s="60"/>
      <c r="W124" s="38"/>
      <c r="X124" s="11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>
      <c r="A125" s="37">
        <v>115</v>
      </c>
      <c r="B125" s="139"/>
      <c r="C125" s="234" t="s">
        <v>736</v>
      </c>
      <c r="D125" s="33"/>
      <c r="E125" s="33"/>
      <c r="F125" s="33"/>
      <c r="G125" s="33"/>
      <c r="H125" s="77" t="s">
        <v>877</v>
      </c>
      <c r="I125" s="185" t="s">
        <v>996</v>
      </c>
      <c r="J125" s="145" t="s">
        <v>753</v>
      </c>
      <c r="K125" s="125"/>
      <c r="L125" s="6">
        <v>600</v>
      </c>
      <c r="M125" s="6">
        <v>30</v>
      </c>
      <c r="N125" s="6">
        <v>630</v>
      </c>
      <c r="O125" s="51">
        <v>60</v>
      </c>
      <c r="P125" s="51">
        <v>200</v>
      </c>
      <c r="Q125" s="51">
        <v>300</v>
      </c>
      <c r="R125" s="60" t="s">
        <v>91</v>
      </c>
      <c r="S125" s="51"/>
      <c r="T125" s="51"/>
      <c r="U125" s="51"/>
      <c r="V125" s="60"/>
      <c r="W125" s="81">
        <v>411756</v>
      </c>
      <c r="X125" s="11" t="str">
        <f>IFERROR(INDEX([1]Sheet1!$A$2:$X$1948,MATCH($W$2:$W$264,[1]Sheet1!$G$2:$G$1948,0),8),"")</f>
        <v>프레시웨이 돈앞다리(6*5*0.3cm 불고기용 1Kg/EA)</v>
      </c>
      <c r="Y125" s="17">
        <v>1000</v>
      </c>
      <c r="Z125" s="17"/>
      <c r="AA125" s="70">
        <v>50</v>
      </c>
      <c r="AB125" s="70" t="e">
        <f>P125*AD125</f>
        <v>#DIV/0!</v>
      </c>
      <c r="AC125" s="70" t="e">
        <f>Q125*AD125</f>
        <v>#DIV/0!</v>
      </c>
      <c r="AD125" s="43" t="e">
        <f>AA125/E125</f>
        <v>#DIV/0!</v>
      </c>
      <c r="AE125" s="38">
        <v>208301</v>
      </c>
      <c r="AF125" s="11" t="str">
        <f>IFERROR(INDEX([1]Sheet1!$A$2:$X$1948,MATCH($AE$2:$AE$264,[1]Sheet1!$G$2:$G$1948,0),8),"")</f>
        <v>양파(특품 180~240g/개 1Kg/EA)</v>
      </c>
      <c r="AG125" s="6">
        <v>8</v>
      </c>
      <c r="AH125" s="6" t="e">
        <f>P125*AJ125</f>
        <v>#DIV/0!</v>
      </c>
      <c r="AI125" s="6" t="e">
        <f>Q125*AJ125</f>
        <v>#DIV/0!</v>
      </c>
      <c r="AJ125" s="43" t="e">
        <f>AG125/$E125</f>
        <v>#DIV/0!</v>
      </c>
      <c r="AK125" s="38"/>
      <c r="AL125" s="11">
        <f>IFERROR(INDEX([1]Sheet1!$A$2:$X$1948,MATCH($AK$2:$AK$264,[1]Sheet1!$G$2:$G$1948,0),8),"")</f>
        <v>0</v>
      </c>
      <c r="AM125" s="6">
        <v>8</v>
      </c>
      <c r="AN125" s="6" t="e">
        <f>P125*AP125</f>
        <v>#DIV/0!</v>
      </c>
      <c r="AO125" s="6" t="e">
        <f>Q125*AP125</f>
        <v>#DIV/0!</v>
      </c>
      <c r="AP125" s="43" t="e">
        <f>AM125/$E125</f>
        <v>#DIV/0!</v>
      </c>
    </row>
    <row r="126" spans="1:42">
      <c r="A126" s="37">
        <v>116</v>
      </c>
      <c r="B126" s="139"/>
      <c r="C126" s="234" t="s">
        <v>1782</v>
      </c>
      <c r="D126" s="33"/>
      <c r="E126" s="33"/>
      <c r="F126" s="33"/>
      <c r="G126" s="33"/>
      <c r="H126" s="77" t="s">
        <v>1409</v>
      </c>
      <c r="I126" s="185" t="s">
        <v>1410</v>
      </c>
      <c r="J126" s="146"/>
      <c r="K126" s="125"/>
      <c r="L126" s="6"/>
      <c r="M126" s="6"/>
      <c r="N126" s="6"/>
      <c r="O126" s="51"/>
      <c r="P126" s="51"/>
      <c r="Q126" s="51"/>
      <c r="R126" s="60"/>
      <c r="S126" s="51"/>
      <c r="T126" s="51"/>
      <c r="U126" s="51"/>
      <c r="V126" s="60"/>
      <c r="W126" s="38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 ht="15" customHeight="1">
      <c r="A127" s="37">
        <v>117</v>
      </c>
      <c r="B127" s="139"/>
      <c r="C127" s="234" t="s">
        <v>1426</v>
      </c>
      <c r="D127" s="33"/>
      <c r="E127" s="33"/>
      <c r="F127" s="33"/>
      <c r="G127" s="33"/>
      <c r="H127" s="77" t="s">
        <v>1427</v>
      </c>
      <c r="I127" s="185" t="s">
        <v>1102</v>
      </c>
      <c r="J127" s="148"/>
      <c r="K127" s="35"/>
      <c r="L127" s="17"/>
      <c r="M127" s="17"/>
      <c r="N127" s="11"/>
      <c r="O127" s="51"/>
      <c r="P127" s="51"/>
      <c r="Q127" s="51"/>
      <c r="R127" s="60"/>
      <c r="S127" s="51"/>
      <c r="T127" s="53"/>
      <c r="U127" s="53"/>
      <c r="V127" s="60"/>
      <c r="W127" s="38"/>
      <c r="X127" s="77"/>
      <c r="Y127" s="17"/>
      <c r="Z127" s="17"/>
      <c r="AA127" s="70"/>
      <c r="AB127" s="70"/>
      <c r="AC127" s="70"/>
      <c r="AD127" s="43"/>
      <c r="AE127" s="38"/>
      <c r="AF127" s="11"/>
      <c r="AG127" s="6"/>
      <c r="AH127" s="6"/>
      <c r="AI127" s="6"/>
      <c r="AJ127" s="43"/>
      <c r="AK127" s="38"/>
      <c r="AL127" s="11"/>
      <c r="AM127" s="6"/>
      <c r="AN127" s="6"/>
      <c r="AO127" s="6"/>
      <c r="AP127" s="43"/>
    </row>
    <row r="128" spans="1:42">
      <c r="A128" s="37">
        <v>118</v>
      </c>
      <c r="B128" s="139"/>
      <c r="C128" s="234" t="s">
        <v>825</v>
      </c>
      <c r="D128" s="33"/>
      <c r="E128" s="33"/>
      <c r="F128" s="33"/>
      <c r="G128" s="33"/>
      <c r="H128" s="141" t="s">
        <v>1829</v>
      </c>
      <c r="I128" s="189" t="s">
        <v>1423</v>
      </c>
      <c r="J128" s="145"/>
      <c r="K128" s="35"/>
      <c r="L128" s="17"/>
      <c r="M128" s="17"/>
      <c r="N128" s="17"/>
      <c r="O128" s="51"/>
      <c r="P128" s="51"/>
      <c r="Q128" s="51"/>
      <c r="R128" s="60"/>
      <c r="S128" s="51"/>
      <c r="T128" s="53"/>
      <c r="U128" s="53"/>
      <c r="V128" s="60"/>
      <c r="W128" s="38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 ht="27">
      <c r="A129" s="37">
        <v>119</v>
      </c>
      <c r="B129" s="139"/>
      <c r="C129" s="234" t="s">
        <v>1489</v>
      </c>
      <c r="D129" s="33"/>
      <c r="E129" s="33"/>
      <c r="F129" s="33"/>
      <c r="G129" s="33"/>
      <c r="H129" s="77" t="s">
        <v>1666</v>
      </c>
      <c r="I129" s="185" t="s">
        <v>998</v>
      </c>
      <c r="J129" s="146"/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81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120</v>
      </c>
      <c r="B130" s="139"/>
      <c r="C130" s="234" t="s">
        <v>1718</v>
      </c>
      <c r="D130" s="33"/>
      <c r="E130" s="33"/>
      <c r="F130" s="33"/>
      <c r="G130" s="33"/>
      <c r="H130" s="77" t="s">
        <v>1838</v>
      </c>
      <c r="I130" s="185" t="s">
        <v>1719</v>
      </c>
      <c r="J130" s="146"/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81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121</v>
      </c>
      <c r="B131" s="139"/>
      <c r="C131" s="234" t="s">
        <v>695</v>
      </c>
      <c r="D131" s="33"/>
      <c r="E131" s="33"/>
      <c r="F131" s="33"/>
      <c r="G131" s="33"/>
      <c r="H131" s="77" t="s">
        <v>1424</v>
      </c>
      <c r="I131" s="185" t="s">
        <v>1425</v>
      </c>
      <c r="J131" s="151" t="s">
        <v>1512</v>
      </c>
      <c r="K131" s="35"/>
      <c r="L131" s="17">
        <v>5400</v>
      </c>
      <c r="M131" s="17">
        <v>270</v>
      </c>
      <c r="N131" s="17">
        <v>5670</v>
      </c>
      <c r="O131" s="51">
        <f>E131</f>
        <v>0</v>
      </c>
      <c r="P131" s="51">
        <v>250</v>
      </c>
      <c r="Q131" s="51">
        <v>390</v>
      </c>
      <c r="R131" s="60" t="s">
        <v>91</v>
      </c>
      <c r="S131" s="51"/>
      <c r="T131" s="53"/>
      <c r="U131" s="53"/>
      <c r="V131" s="60"/>
      <c r="W131" s="81">
        <v>422627</v>
      </c>
      <c r="X131" s="11" t="str">
        <f>IFERROR(INDEX([1]Sheet1!$A$2:$X$1948,MATCH($W$2:$W$264,[1]Sheet1!$G$2:$G$1948,0),8),"")</f>
        <v>돈사태(2*2*2cm 키즈용_장조림용 KG)</v>
      </c>
      <c r="Y131" s="17">
        <v>1000</v>
      </c>
      <c r="Z131" s="17"/>
      <c r="AA131" s="70">
        <v>50</v>
      </c>
      <c r="AB131" s="70" t="e">
        <f>P131*AD131</f>
        <v>#DIV/0!</v>
      </c>
      <c r="AC131" s="70" t="e">
        <f>Q131*AD131</f>
        <v>#DIV/0!</v>
      </c>
      <c r="AD131" s="43" t="e">
        <f>AA131/E131</f>
        <v>#DIV/0!</v>
      </c>
      <c r="AE131" s="38">
        <v>210182</v>
      </c>
      <c r="AF131" s="11" t="str">
        <f>IFERROR(INDEX([1]Sheet1!$A$2:$X$1948,MATCH($AE$2:$AE$264,[1]Sheet1!$G$2:$G$1948,0),8),"")</f>
        <v>냉동홍피망(다이스 1Kg/EA)</v>
      </c>
      <c r="AG131" s="6"/>
      <c r="AH131" s="6" t="e">
        <f>P131*AJ131</f>
        <v>#DIV/0!</v>
      </c>
      <c r="AI131" s="6" t="e">
        <f>Q131*AJ131</f>
        <v>#DIV/0!</v>
      </c>
      <c r="AJ131" s="43" t="e">
        <f>AG131/$E131</f>
        <v>#DIV/0!</v>
      </c>
      <c r="AK131" s="38"/>
      <c r="AL131" s="11">
        <f>IFERROR(INDEX([1]Sheet1!$A$2:$X$1948,MATCH($AK$2:$AK$264,[1]Sheet1!$G$2:$G$1948,0),8),"")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43" t="e">
        <f>AM131/$E131</f>
        <v>#DIV/0!</v>
      </c>
    </row>
    <row r="132" spans="1:42">
      <c r="A132" s="37">
        <v>122</v>
      </c>
      <c r="B132" s="139"/>
      <c r="C132" s="239" t="s">
        <v>770</v>
      </c>
      <c r="D132" s="33"/>
      <c r="E132" s="33"/>
      <c r="F132" s="33"/>
      <c r="G132" s="33"/>
      <c r="H132" s="77" t="s">
        <v>771</v>
      </c>
      <c r="I132" s="185" t="s">
        <v>1125</v>
      </c>
      <c r="J132" s="146" t="s">
        <v>772</v>
      </c>
      <c r="K132" s="35"/>
      <c r="L132" s="17">
        <v>21960</v>
      </c>
      <c r="M132" s="17">
        <v>1098</v>
      </c>
      <c r="N132" s="17">
        <v>23058</v>
      </c>
      <c r="O132" s="51"/>
      <c r="P132" s="51"/>
      <c r="Q132" s="51"/>
      <c r="R132" s="60"/>
      <c r="S132" s="51"/>
      <c r="T132" s="53"/>
      <c r="U132" s="53"/>
      <c r="V132" s="60"/>
      <c r="W132" s="38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123</v>
      </c>
      <c r="B133" s="139"/>
      <c r="C133" s="234" t="s">
        <v>1252</v>
      </c>
      <c r="D133" s="33"/>
      <c r="E133" s="33"/>
      <c r="F133" s="33"/>
      <c r="G133" s="33"/>
      <c r="H133" s="141" t="s">
        <v>1637</v>
      </c>
      <c r="I133" s="189" t="s">
        <v>1238</v>
      </c>
      <c r="J133" s="145" t="s">
        <v>1239</v>
      </c>
      <c r="K133" s="35"/>
      <c r="L133" s="17"/>
      <c r="M133" s="17"/>
      <c r="N133" s="17"/>
      <c r="O133" s="51"/>
      <c r="P133" s="51"/>
      <c r="Q133" s="51"/>
      <c r="R133" s="60"/>
      <c r="S133" s="51"/>
      <c r="T133" s="53"/>
      <c r="U133" s="53"/>
      <c r="V133" s="60"/>
      <c r="W133" s="38"/>
      <c r="X133" s="11"/>
      <c r="Y133" s="17"/>
      <c r="Z133" s="17"/>
      <c r="AA133" s="70"/>
      <c r="AB133" s="70"/>
      <c r="AC133" s="70"/>
      <c r="AD133" s="43"/>
      <c r="AE133" s="38"/>
      <c r="AF133" s="11"/>
      <c r="AG133" s="6"/>
      <c r="AH133" s="6"/>
      <c r="AI133" s="6"/>
      <c r="AJ133" s="43"/>
      <c r="AK133" s="38"/>
      <c r="AL133" s="11"/>
      <c r="AM133" s="6"/>
      <c r="AN133" s="6"/>
      <c r="AO133" s="6"/>
      <c r="AP133" s="43"/>
    </row>
    <row r="134" spans="1:42">
      <c r="A134" s="37"/>
      <c r="B134" s="139"/>
      <c r="C134" s="234" t="s">
        <v>2227</v>
      </c>
      <c r="D134" s="33"/>
      <c r="E134" s="33"/>
      <c r="F134" s="33"/>
      <c r="G134" s="33"/>
      <c r="H134" s="141" t="s">
        <v>2334</v>
      </c>
      <c r="I134" s="189" t="s">
        <v>2228</v>
      </c>
      <c r="J134" s="145"/>
      <c r="K134" s="35"/>
      <c r="L134" s="17"/>
      <c r="M134" s="17"/>
      <c r="N134" s="17"/>
      <c r="O134" s="51"/>
      <c r="P134" s="51"/>
      <c r="Q134" s="51"/>
      <c r="R134" s="60"/>
      <c r="S134" s="51"/>
      <c r="T134" s="53"/>
      <c r="U134" s="53"/>
      <c r="V134" s="60"/>
      <c r="W134" s="38"/>
      <c r="X134" s="11"/>
      <c r="Y134" s="17"/>
      <c r="Z134" s="17"/>
      <c r="AA134" s="70"/>
      <c r="AB134" s="70"/>
      <c r="AC134" s="70"/>
      <c r="AD134" s="43"/>
      <c r="AE134" s="38"/>
      <c r="AF134" s="11"/>
      <c r="AG134" s="6"/>
      <c r="AH134" s="6"/>
      <c r="AI134" s="6"/>
      <c r="AJ134" s="43"/>
      <c r="AK134" s="38"/>
      <c r="AL134" s="11"/>
      <c r="AM134" s="6"/>
      <c r="AN134" s="6"/>
      <c r="AO134" s="6"/>
      <c r="AP134" s="43"/>
    </row>
    <row r="135" spans="1:42">
      <c r="A135" s="37">
        <v>124</v>
      </c>
      <c r="B135" s="139"/>
      <c r="C135" s="234" t="s">
        <v>1911</v>
      </c>
      <c r="D135" s="33"/>
      <c r="E135" s="33"/>
      <c r="F135" s="33"/>
      <c r="G135" s="33"/>
      <c r="H135" s="77" t="s">
        <v>1912</v>
      </c>
      <c r="I135" s="189" t="s">
        <v>1913</v>
      </c>
      <c r="J135" s="145" t="s">
        <v>1914</v>
      </c>
      <c r="K135" s="35"/>
      <c r="L135" s="17"/>
      <c r="M135" s="17"/>
      <c r="N135" s="17"/>
      <c r="O135" s="51"/>
      <c r="P135" s="51"/>
      <c r="Q135" s="51"/>
      <c r="R135" s="60"/>
      <c r="S135" s="51"/>
      <c r="T135" s="53"/>
      <c r="U135" s="53"/>
      <c r="V135" s="60"/>
      <c r="W135" s="38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125</v>
      </c>
      <c r="B136" s="139"/>
      <c r="C136" s="234" t="s">
        <v>2029</v>
      </c>
      <c r="D136" s="33"/>
      <c r="E136" s="33"/>
      <c r="F136" s="33"/>
      <c r="G136" s="33"/>
      <c r="H136" s="77" t="s">
        <v>1493</v>
      </c>
      <c r="I136" s="185" t="s">
        <v>998</v>
      </c>
      <c r="J136" s="146"/>
      <c r="K136" s="35"/>
      <c r="L136" s="17">
        <v>27600</v>
      </c>
      <c r="M136" s="17">
        <v>1380</v>
      </c>
      <c r="N136" s="17">
        <v>28980</v>
      </c>
      <c r="O136" s="51">
        <f>E136</f>
        <v>0</v>
      </c>
      <c r="P136" s="51">
        <v>200</v>
      </c>
      <c r="Q136" s="51">
        <v>300</v>
      </c>
      <c r="R136" s="60" t="s">
        <v>91</v>
      </c>
      <c r="S136" s="51"/>
      <c r="T136" s="53"/>
      <c r="U136" s="53"/>
      <c r="V136" s="60"/>
      <c r="W136" s="38">
        <v>205184</v>
      </c>
      <c r="X136" s="11" t="str">
        <f>IFERROR(INDEX([1]Sheet1!$A$2:$X$1948,MATCH($W$2:$W$264,[1]Sheet1!$G$2:$G$1948,0),8),"")</f>
        <v>단호박(상품 2등분_속제거 KG)</v>
      </c>
      <c r="Y136" s="17">
        <v>1000</v>
      </c>
      <c r="Z136" s="17"/>
      <c r="AA136" s="70">
        <v>27</v>
      </c>
      <c r="AB136" s="70" t="e">
        <f>P136*AD136</f>
        <v>#DIV/0!</v>
      </c>
      <c r="AC136" s="70" t="e">
        <f>Q136*AD136</f>
        <v>#DIV/0!</v>
      </c>
      <c r="AD136" s="43" t="e">
        <f>AA136/E136</f>
        <v>#DIV/0!</v>
      </c>
      <c r="AE136" s="38">
        <v>212132</v>
      </c>
      <c r="AF136" s="11" t="str">
        <f>IFERROR(INDEX([1]Sheet1!$A$2:$X$1948,MATCH($AE$2:$AE$264,[1]Sheet1!$G$2:$G$1948,0),8),"")</f>
        <v>냉동고구마(맛탕용 1Kg/EA)</v>
      </c>
      <c r="AG136" s="6">
        <v>12</v>
      </c>
      <c r="AH136" s="6" t="e">
        <f>P136*AJ136</f>
        <v>#DIV/0!</v>
      </c>
      <c r="AI136" s="6" t="e">
        <f>Q136*AJ136</f>
        <v>#DIV/0!</v>
      </c>
      <c r="AJ136" s="43" t="e">
        <f>AG136/$E136</f>
        <v>#DIV/0!</v>
      </c>
      <c r="AK136" s="38"/>
      <c r="AL136" s="11">
        <f>IFERROR(INDEX([1]Sheet1!$A$2:$X$1948,MATCH($AK$2:$AK$264,[1]Sheet1!$G$2:$G$1948,0),8),"")</f>
        <v>0</v>
      </c>
      <c r="AM136" s="6"/>
      <c r="AN136" s="6" t="e">
        <f>P136*AP136</f>
        <v>#DIV/0!</v>
      </c>
      <c r="AO136" s="6" t="e">
        <f>Q136*AP136</f>
        <v>#DIV/0!</v>
      </c>
      <c r="AP136" s="43" t="e">
        <f>AM136/$E136</f>
        <v>#DIV/0!</v>
      </c>
    </row>
    <row r="137" spans="1:42">
      <c r="A137" s="37">
        <v>126</v>
      </c>
      <c r="B137" s="139"/>
      <c r="C137" s="142" t="s">
        <v>1511</v>
      </c>
      <c r="D137" s="33"/>
      <c r="E137" s="33"/>
      <c r="F137" s="33"/>
      <c r="G137" s="33"/>
      <c r="H137" s="77" t="s">
        <v>1535</v>
      </c>
      <c r="I137" s="185" t="s">
        <v>996</v>
      </c>
      <c r="J137" s="151"/>
      <c r="K137" s="35"/>
      <c r="L137" s="17"/>
      <c r="M137" s="17"/>
      <c r="N137" s="17"/>
      <c r="O137" s="51"/>
      <c r="P137" s="51"/>
      <c r="Q137" s="51"/>
      <c r="R137" s="60"/>
      <c r="S137" s="51"/>
      <c r="T137" s="53"/>
      <c r="U137" s="53"/>
      <c r="V137" s="60"/>
      <c r="W137" s="81"/>
      <c r="X137" s="11"/>
      <c r="Y137" s="17"/>
      <c r="Z137" s="17"/>
      <c r="AA137" s="70"/>
      <c r="AB137" s="70"/>
      <c r="AC137" s="70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>
      <c r="A138" s="37">
        <v>127</v>
      </c>
      <c r="B138" s="139"/>
      <c r="C138" s="142" t="s">
        <v>1273</v>
      </c>
      <c r="D138" s="33"/>
      <c r="E138" s="33"/>
      <c r="F138" s="33"/>
      <c r="G138" s="33"/>
      <c r="H138" s="77" t="s">
        <v>1492</v>
      </c>
      <c r="I138" s="185" t="s">
        <v>998</v>
      </c>
      <c r="J138" s="146"/>
      <c r="K138" s="35"/>
      <c r="L138" s="17">
        <v>12240</v>
      </c>
      <c r="M138" s="17">
        <v>612</v>
      </c>
      <c r="N138" s="17">
        <v>12852</v>
      </c>
      <c r="O138" s="51">
        <f>E138</f>
        <v>0</v>
      </c>
      <c r="P138" s="51">
        <v>200</v>
      </c>
      <c r="Q138" s="51">
        <v>350</v>
      </c>
      <c r="R138" s="60" t="s">
        <v>91</v>
      </c>
      <c r="S138" s="51"/>
      <c r="T138" s="53"/>
      <c r="U138" s="53"/>
      <c r="V138" s="60"/>
      <c r="W138" s="81">
        <v>408460</v>
      </c>
      <c r="X138" s="11" t="str">
        <f>IFERROR(INDEX([1]Sheet1!$A$2:$X$1948,MATCH($W$2:$W$264,[1]Sheet1!$G$2:$G$1948,0),8),"")</f>
        <v>한우목심(2등급 4*4*0.3cm 불고기용 KG)</v>
      </c>
      <c r="Y138" s="17">
        <v>1000</v>
      </c>
      <c r="Z138" s="17"/>
      <c r="AA138" s="70">
        <v>60</v>
      </c>
      <c r="AB138" s="70" t="e">
        <f>P138*AD138</f>
        <v>#DIV/0!</v>
      </c>
      <c r="AC138" s="70" t="e">
        <f>Q138*AD138</f>
        <v>#DIV/0!</v>
      </c>
      <c r="AD138" s="43" t="e">
        <f>AA138/E138</f>
        <v>#DIV/0!</v>
      </c>
      <c r="AE138" s="38">
        <v>211037</v>
      </c>
      <c r="AF138" s="82" t="str">
        <f>IFERROR(INDEX([1]Sheet1!$A$2:$X$1948,MATCH($AE$2:$AE$264,[1]Sheet1!$G$2:$G$1948,0),8),"")</f>
        <v>느타리버섯(실속 균상 2Kg/EA)</v>
      </c>
      <c r="AG138" s="6">
        <v>10</v>
      </c>
      <c r="AH138" s="6" t="e">
        <f>P138*AJ138</f>
        <v>#DIV/0!</v>
      </c>
      <c r="AI138" s="6" t="e">
        <f>Q138*AJ138</f>
        <v>#DIV/0!</v>
      </c>
      <c r="AJ138" s="43" t="e">
        <f>AG138/$E138</f>
        <v>#DIV/0!</v>
      </c>
      <c r="AK138" s="38"/>
      <c r="AL138" s="11">
        <f>IFERROR(INDEX([1]Sheet1!$A$2:$X$1948,MATCH($AK$2:$AK$264,[1]Sheet1!$G$2:$G$1948,0),8),"")</f>
        <v>0</v>
      </c>
      <c r="AM138" s="6">
        <v>10</v>
      </c>
      <c r="AN138" s="6" t="e">
        <f>P138*AP138</f>
        <v>#DIV/0!</v>
      </c>
      <c r="AO138" s="6" t="e">
        <f>Q138*AP138</f>
        <v>#DIV/0!</v>
      </c>
      <c r="AP138" s="43" t="e">
        <f>AM138/$E138</f>
        <v>#DIV/0!</v>
      </c>
    </row>
    <row r="139" spans="1:42">
      <c r="A139" s="37"/>
      <c r="B139" s="139"/>
      <c r="C139" s="142" t="s">
        <v>2075</v>
      </c>
      <c r="D139" s="33"/>
      <c r="E139" s="33"/>
      <c r="F139" s="33"/>
      <c r="G139" s="33"/>
      <c r="H139" s="77" t="s">
        <v>2076</v>
      </c>
      <c r="I139" s="185" t="s">
        <v>998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1"/>
      <c r="T139" s="53"/>
      <c r="U139" s="53"/>
      <c r="V139" s="60"/>
      <c r="W139" s="81"/>
      <c r="X139" s="11"/>
      <c r="Y139" s="17"/>
      <c r="Z139" s="17"/>
      <c r="AA139" s="70"/>
      <c r="AB139" s="70"/>
      <c r="AC139" s="70"/>
      <c r="AD139" s="43"/>
      <c r="AE139" s="38"/>
      <c r="AF139" s="82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>
      <c r="A140" s="37"/>
      <c r="B140" s="139"/>
      <c r="C140" s="142" t="s">
        <v>2231</v>
      </c>
      <c r="D140" s="33"/>
      <c r="E140" s="33"/>
      <c r="F140" s="33"/>
      <c r="G140" s="33"/>
      <c r="H140" s="77" t="s">
        <v>2233</v>
      </c>
      <c r="I140" s="185" t="s">
        <v>998</v>
      </c>
      <c r="J140" s="146"/>
      <c r="K140" s="35"/>
      <c r="L140" s="17"/>
      <c r="M140" s="17"/>
      <c r="N140" s="17"/>
      <c r="O140" s="51"/>
      <c r="P140" s="51"/>
      <c r="Q140" s="51"/>
      <c r="R140" s="60"/>
      <c r="S140" s="51"/>
      <c r="T140" s="53"/>
      <c r="U140" s="53"/>
      <c r="V140" s="60"/>
      <c r="W140" s="81"/>
      <c r="X140" s="11"/>
      <c r="Y140" s="17"/>
      <c r="Z140" s="17"/>
      <c r="AA140" s="70"/>
      <c r="AB140" s="70"/>
      <c r="AC140" s="70"/>
      <c r="AD140" s="43"/>
      <c r="AE140" s="38"/>
      <c r="AF140" s="82"/>
      <c r="AG140" s="6"/>
      <c r="AH140" s="6"/>
      <c r="AI140" s="6"/>
      <c r="AJ140" s="43"/>
      <c r="AK140" s="38"/>
      <c r="AL140" s="11"/>
      <c r="AM140" s="6"/>
      <c r="AN140" s="6"/>
      <c r="AO140" s="6"/>
      <c r="AP140" s="43"/>
    </row>
    <row r="141" spans="1:42">
      <c r="A141" s="37">
        <v>128</v>
      </c>
      <c r="B141" s="139"/>
      <c r="C141" s="142" t="s">
        <v>846</v>
      </c>
      <c r="D141" s="33"/>
      <c r="E141" s="33"/>
      <c r="F141" s="33"/>
      <c r="G141" s="33"/>
      <c r="H141" s="146" t="s">
        <v>1442</v>
      </c>
      <c r="I141" s="185" t="s">
        <v>1139</v>
      </c>
      <c r="J141" s="146" t="s">
        <v>1303</v>
      </c>
      <c r="K141" s="128"/>
      <c r="L141" s="6"/>
      <c r="M141" s="6"/>
      <c r="N141" s="6"/>
      <c r="O141" s="51"/>
      <c r="P141" s="51"/>
      <c r="Q141" s="51"/>
      <c r="R141" s="60"/>
      <c r="S141" s="51"/>
      <c r="T141" s="51"/>
      <c r="U141" s="51"/>
      <c r="V141" s="60"/>
      <c r="W141" s="81"/>
      <c r="X141" s="11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>
      <c r="A142" s="37">
        <v>129</v>
      </c>
      <c r="B142" s="139"/>
      <c r="C142" s="142" t="s">
        <v>1508</v>
      </c>
      <c r="D142" s="33"/>
      <c r="E142" s="33"/>
      <c r="F142" s="33"/>
      <c r="G142" s="33"/>
      <c r="H142" s="77" t="s">
        <v>1509</v>
      </c>
      <c r="I142" s="185" t="s">
        <v>1373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2"/>
      <c r="T142" s="52"/>
      <c r="U142" s="52"/>
      <c r="V142" s="60"/>
      <c r="W142" s="38"/>
      <c r="X142" s="11"/>
      <c r="Y142" s="17"/>
      <c r="Z142" s="17"/>
      <c r="AA142" s="71"/>
      <c r="AB142" s="71"/>
      <c r="AC142" s="71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>
      <c r="A143" s="37">
        <v>130</v>
      </c>
      <c r="B143" s="139"/>
      <c r="C143" s="142" t="s">
        <v>1581</v>
      </c>
      <c r="D143" s="33"/>
      <c r="E143" s="33"/>
      <c r="F143" s="33"/>
      <c r="G143" s="33"/>
      <c r="H143" s="77" t="s">
        <v>2232</v>
      </c>
      <c r="I143" s="185" t="s">
        <v>1102</v>
      </c>
      <c r="J143" s="146" t="s">
        <v>1582</v>
      </c>
      <c r="K143" s="35"/>
      <c r="L143" s="17"/>
      <c r="M143" s="17"/>
      <c r="N143" s="17"/>
      <c r="O143" s="51"/>
      <c r="P143" s="51"/>
      <c r="Q143" s="51"/>
      <c r="R143" s="60"/>
      <c r="S143" s="52"/>
      <c r="T143" s="52"/>
      <c r="U143" s="52"/>
      <c r="V143" s="60"/>
      <c r="W143" s="38"/>
      <c r="X143" s="11"/>
      <c r="Y143" s="17"/>
      <c r="Z143" s="17"/>
      <c r="AA143" s="71"/>
      <c r="AB143" s="71"/>
      <c r="AC143" s="71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 ht="28.5" customHeight="1">
      <c r="A144" s="37">
        <v>131</v>
      </c>
      <c r="B144" s="139"/>
      <c r="C144" s="142" t="s">
        <v>1951</v>
      </c>
      <c r="D144" s="33"/>
      <c r="E144" s="33"/>
      <c r="F144" s="33"/>
      <c r="G144" s="33"/>
      <c r="H144" s="77" t="s">
        <v>2000</v>
      </c>
      <c r="I144" s="185" t="s">
        <v>1950</v>
      </c>
      <c r="J144" s="146"/>
      <c r="K144" s="125"/>
      <c r="L144" s="6"/>
      <c r="M144" s="6"/>
      <c r="N144" s="6"/>
      <c r="O144" s="51"/>
      <c r="P144" s="51"/>
      <c r="Q144" s="51"/>
      <c r="R144" s="60"/>
      <c r="S144" s="51"/>
      <c r="T144" s="51"/>
      <c r="U144" s="51"/>
      <c r="V144" s="60"/>
      <c r="W144" s="38"/>
      <c r="X144" s="11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132</v>
      </c>
      <c r="B145" s="139"/>
      <c r="C145" s="142" t="s">
        <v>654</v>
      </c>
      <c r="D145" s="33"/>
      <c r="E145" s="33"/>
      <c r="F145" s="33"/>
      <c r="G145" s="33"/>
      <c r="H145" s="77" t="s">
        <v>870</v>
      </c>
      <c r="I145" s="185" t="s">
        <v>998</v>
      </c>
      <c r="J145" s="146"/>
      <c r="K145" s="35"/>
      <c r="L145" s="17"/>
      <c r="M145" s="17"/>
      <c r="N145" s="17"/>
      <c r="O145" s="51"/>
      <c r="P145" s="51"/>
      <c r="Q145" s="51"/>
      <c r="R145" s="60"/>
      <c r="S145" s="51"/>
      <c r="T145" s="53"/>
      <c r="U145" s="53"/>
      <c r="V145" s="60"/>
      <c r="W145" s="81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0.100000000000001" customHeight="1">
      <c r="A146" s="37">
        <v>133</v>
      </c>
      <c r="B146" s="139"/>
      <c r="C146" s="142" t="s">
        <v>1352</v>
      </c>
      <c r="D146" s="33"/>
      <c r="E146" s="33"/>
      <c r="F146" s="33"/>
      <c r="G146" s="33"/>
      <c r="H146" s="77" t="s">
        <v>1611</v>
      </c>
      <c r="I146" s="185" t="s">
        <v>999</v>
      </c>
      <c r="J146" s="146"/>
      <c r="K146" s="35"/>
      <c r="L146" s="17"/>
      <c r="M146" s="17"/>
      <c r="N146" s="17"/>
      <c r="O146" s="51">
        <f>E146</f>
        <v>0</v>
      </c>
      <c r="P146" s="51">
        <v>250</v>
      </c>
      <c r="Q146" s="51">
        <v>380</v>
      </c>
      <c r="R146" s="60" t="s">
        <v>91</v>
      </c>
      <c r="S146" s="51"/>
      <c r="T146" s="53"/>
      <c r="U146" s="53"/>
      <c r="V146" s="60"/>
      <c r="W146" s="81">
        <v>408460</v>
      </c>
      <c r="X146" s="77" t="s">
        <v>869</v>
      </c>
      <c r="Y146" s="17">
        <v>1000</v>
      </c>
      <c r="Z146" s="17"/>
      <c r="AA146" s="70">
        <v>30</v>
      </c>
      <c r="AB146" s="70" t="e">
        <f>P146*AD146</f>
        <v>#DIV/0!</v>
      </c>
      <c r="AC146" s="70" t="e">
        <f>Q146*AD146</f>
        <v>#DIV/0!</v>
      </c>
      <c r="AD146" s="43" t="e">
        <f>AA146/E146</f>
        <v>#DIV/0!</v>
      </c>
      <c r="AE146" s="38"/>
      <c r="AF146" s="11"/>
      <c r="AG146" s="6"/>
      <c r="AH146" s="6" t="e">
        <f>P146*AJ146</f>
        <v>#DIV/0!</v>
      </c>
      <c r="AI146" s="6" t="e">
        <f>Q146*AJ146</f>
        <v>#DIV/0!</v>
      </c>
      <c r="AJ146" s="43" t="e">
        <f>AG146/$E146</f>
        <v>#DIV/0!</v>
      </c>
      <c r="AK146" s="38"/>
      <c r="AL146" s="11">
        <f>IFERROR(INDEX([1]Sheet1!$A$2:$X$1948,MATCH($AK$2:$AK$264,[1]Sheet1!$G$2:$G$1948,0),8),"")</f>
        <v>0</v>
      </c>
      <c r="AM146" s="6"/>
      <c r="AN146" s="6" t="e">
        <f>P146*AP146</f>
        <v>#DIV/0!</v>
      </c>
      <c r="AO146" s="6" t="e">
        <f>Q146*AP146</f>
        <v>#DIV/0!</v>
      </c>
      <c r="AP146" s="43" t="e">
        <f>AM146/$E146</f>
        <v>#DIV/0!</v>
      </c>
    </row>
    <row r="147" spans="1:42" ht="20.100000000000001" customHeight="1">
      <c r="A147" s="37">
        <v>134</v>
      </c>
      <c r="B147" s="139"/>
      <c r="C147" s="234" t="s">
        <v>1417</v>
      </c>
      <c r="D147" s="33"/>
      <c r="E147" s="33"/>
      <c r="F147" s="33"/>
      <c r="G147" s="33"/>
      <c r="H147" s="77" t="s">
        <v>1418</v>
      </c>
      <c r="I147" s="185" t="s">
        <v>999</v>
      </c>
      <c r="J147" s="146" t="s">
        <v>991</v>
      </c>
      <c r="K147" s="35"/>
      <c r="L147" s="17"/>
      <c r="M147" s="17"/>
      <c r="N147" s="17"/>
      <c r="O147" s="51"/>
      <c r="P147" s="51"/>
      <c r="Q147" s="51"/>
      <c r="R147" s="60"/>
      <c r="S147" s="51"/>
      <c r="T147" s="53"/>
      <c r="U147" s="53"/>
      <c r="V147" s="60"/>
      <c r="W147" s="81"/>
      <c r="X147" s="77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 ht="20.100000000000001" customHeight="1">
      <c r="A148" s="37">
        <v>135</v>
      </c>
      <c r="B148" s="139"/>
      <c r="C148" s="152" t="s">
        <v>1952</v>
      </c>
      <c r="D148" s="33"/>
      <c r="E148" s="33"/>
      <c r="F148" s="33"/>
      <c r="G148" s="33"/>
      <c r="H148" s="77" t="s">
        <v>1953</v>
      </c>
      <c r="I148" s="185" t="s">
        <v>1086</v>
      </c>
      <c r="J148" s="146"/>
      <c r="K148" s="35"/>
      <c r="L148" s="17"/>
      <c r="M148" s="17"/>
      <c r="N148" s="17"/>
      <c r="O148" s="51"/>
      <c r="P148" s="51"/>
      <c r="Q148" s="51"/>
      <c r="R148" s="60"/>
      <c r="S148" s="51"/>
      <c r="T148" s="53"/>
      <c r="U148" s="53"/>
      <c r="V148" s="60"/>
      <c r="W148" s="81"/>
      <c r="X148" s="77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20.100000000000001" customHeight="1">
      <c r="A149" s="37">
        <v>136</v>
      </c>
      <c r="B149" s="139"/>
      <c r="C149" s="152" t="s">
        <v>1738</v>
      </c>
      <c r="D149" s="33"/>
      <c r="E149" s="33"/>
      <c r="F149" s="33"/>
      <c r="G149" s="33"/>
      <c r="H149" s="77" t="s">
        <v>1986</v>
      </c>
      <c r="I149" s="185" t="s">
        <v>982</v>
      </c>
      <c r="J149" s="146"/>
      <c r="K149" s="35"/>
      <c r="L149" s="17"/>
      <c r="M149" s="17"/>
      <c r="N149" s="17"/>
      <c r="O149" s="51"/>
      <c r="P149" s="51"/>
      <c r="Q149" s="51"/>
      <c r="R149" s="60"/>
      <c r="S149" s="51"/>
      <c r="T149" s="53"/>
      <c r="U149" s="53"/>
      <c r="V149" s="60"/>
      <c r="W149" s="81"/>
      <c r="X149" s="77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>
      <c r="A150" s="37">
        <v>137</v>
      </c>
      <c r="B150" s="139"/>
      <c r="C150" s="142" t="s">
        <v>1223</v>
      </c>
      <c r="D150" s="33"/>
      <c r="E150" s="33"/>
      <c r="F150" s="33"/>
      <c r="G150" s="33"/>
      <c r="H150" s="77" t="s">
        <v>1224</v>
      </c>
      <c r="I150" s="185" t="s">
        <v>1042</v>
      </c>
      <c r="J150" s="145" t="s">
        <v>1797</v>
      </c>
      <c r="K150" s="35"/>
      <c r="L150" s="17"/>
      <c r="M150" s="17"/>
      <c r="N150" s="17"/>
      <c r="O150" s="51"/>
      <c r="P150" s="51"/>
      <c r="Q150" s="51"/>
      <c r="R150" s="60"/>
      <c r="S150" s="51"/>
      <c r="T150" s="53"/>
      <c r="U150" s="53"/>
      <c r="V150" s="60"/>
      <c r="W150" s="38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138</v>
      </c>
      <c r="B151" s="139"/>
      <c r="C151" s="142" t="s">
        <v>1000</v>
      </c>
      <c r="D151" s="33"/>
      <c r="E151" s="33"/>
      <c r="F151" s="33"/>
      <c r="G151" s="33"/>
      <c r="H151" s="77" t="s">
        <v>1313</v>
      </c>
      <c r="I151" s="185" t="s">
        <v>1001</v>
      </c>
      <c r="J151" s="145" t="s">
        <v>708</v>
      </c>
      <c r="K151" s="125"/>
      <c r="L151" s="6"/>
      <c r="M151" s="6"/>
      <c r="N151" s="6"/>
      <c r="O151" s="51"/>
      <c r="P151" s="51"/>
      <c r="Q151" s="51"/>
      <c r="R151" s="60"/>
      <c r="S151" s="51"/>
      <c r="T151" s="51"/>
      <c r="U151" s="51"/>
      <c r="V151" s="60"/>
      <c r="W151" s="38"/>
      <c r="X151" s="11"/>
      <c r="Y151" s="17"/>
      <c r="Z151" s="17"/>
      <c r="AA151" s="70"/>
      <c r="AB151" s="70"/>
      <c r="AC151" s="70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 ht="27">
      <c r="A152" s="37">
        <v>139</v>
      </c>
      <c r="B152" s="139"/>
      <c r="C152" s="142" t="s">
        <v>1112</v>
      </c>
      <c r="D152" s="33"/>
      <c r="E152" s="33"/>
      <c r="F152" s="33"/>
      <c r="G152" s="33"/>
      <c r="H152" s="77" t="s">
        <v>1766</v>
      </c>
      <c r="I152" s="185" t="s">
        <v>1007</v>
      </c>
      <c r="J152" s="146" t="s">
        <v>753</v>
      </c>
      <c r="K152" s="125"/>
      <c r="L152" s="6">
        <v>20200</v>
      </c>
      <c r="M152" s="6">
        <v>1010</v>
      </c>
      <c r="N152" s="6">
        <v>21210</v>
      </c>
      <c r="O152" s="51">
        <f>E152</f>
        <v>0</v>
      </c>
      <c r="P152" s="51">
        <v>160</v>
      </c>
      <c r="Q152" s="51">
        <v>270</v>
      </c>
      <c r="R152" s="60" t="s">
        <v>91</v>
      </c>
      <c r="S152" s="51"/>
      <c r="T152" s="51"/>
      <c r="U152" s="51"/>
      <c r="V152" s="60"/>
      <c r="W152" s="81">
        <v>400950</v>
      </c>
      <c r="X152" s="11" t="str">
        <f>IFERROR(INDEX([1]Sheet1!$A$2:$X$1948,MATCH($W$2:$W$264,[1]Sheet1!$G$2:$G$1948,0),8),"")</f>
        <v>돈뒷다리(0.5*0.5*5cm 잡채용 KG)</v>
      </c>
      <c r="Y152" s="17">
        <v>1000</v>
      </c>
      <c r="Z152" s="17"/>
      <c r="AA152" s="70">
        <v>25</v>
      </c>
      <c r="AB152" s="70" t="e">
        <f>P152*AD152</f>
        <v>#DIV/0!</v>
      </c>
      <c r="AC152" s="70" t="e">
        <f>Q152*AD152</f>
        <v>#DIV/0!</v>
      </c>
      <c r="AD152" s="43" t="e">
        <f>AA152/E152</f>
        <v>#DIV/0!</v>
      </c>
      <c r="AE152" s="38">
        <v>210182</v>
      </c>
      <c r="AF152" s="11" t="str">
        <f>IFERROR(INDEX([1]Sheet1!$A$2:$X$1948,MATCH($AE$2:$AE$264,[1]Sheet1!$G$2:$G$1948,0),8),"")</f>
        <v>냉동홍피망(다이스 1Kg/EA)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43" t="e">
        <f>AG152/$E152</f>
        <v>#DIV/0!</v>
      </c>
      <c r="AK152" s="38"/>
      <c r="AL152" s="11">
        <f>IFERROR(INDEX([1]Sheet1!$A$2:$X$1948,MATCH($AK$2:$AK$264,[1]Sheet1!$G$2:$G$1948,0),8),"")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43" t="e">
        <f>AM152/$E152</f>
        <v>#DIV/0!</v>
      </c>
    </row>
    <row r="153" spans="1:42">
      <c r="A153" s="37">
        <v>140</v>
      </c>
      <c r="B153" s="139"/>
      <c r="C153" s="142" t="s">
        <v>1760</v>
      </c>
      <c r="D153" s="33"/>
      <c r="E153" s="33"/>
      <c r="F153" s="33"/>
      <c r="G153" s="33"/>
      <c r="H153" s="77" t="s">
        <v>2113</v>
      </c>
      <c r="I153" s="185" t="s">
        <v>1007</v>
      </c>
      <c r="J153" s="146"/>
      <c r="K153" s="125"/>
      <c r="L153" s="6"/>
      <c r="M153" s="6"/>
      <c r="N153" s="6"/>
      <c r="O153" s="51"/>
      <c r="P153" s="51"/>
      <c r="Q153" s="51"/>
      <c r="R153" s="60"/>
      <c r="S153" s="51"/>
      <c r="T153" s="51"/>
      <c r="U153" s="51"/>
      <c r="V153" s="60"/>
      <c r="W153" s="81"/>
      <c r="X153" s="11"/>
      <c r="Y153" s="17"/>
      <c r="Z153" s="17"/>
      <c r="AA153" s="70"/>
      <c r="AB153" s="70"/>
      <c r="AC153" s="70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>
      <c r="A154" s="37">
        <v>141</v>
      </c>
      <c r="B154" s="139"/>
      <c r="C154" s="142" t="s">
        <v>2039</v>
      </c>
      <c r="D154" s="33"/>
      <c r="E154" s="33"/>
      <c r="F154" s="33"/>
      <c r="G154" s="33"/>
      <c r="H154" s="110" t="s">
        <v>828</v>
      </c>
      <c r="I154" s="186" t="s">
        <v>1084</v>
      </c>
      <c r="J154" s="146" t="s">
        <v>2127</v>
      </c>
      <c r="K154" s="125"/>
      <c r="L154" s="6"/>
      <c r="M154" s="6"/>
      <c r="N154" s="6"/>
      <c r="O154" s="51"/>
      <c r="P154" s="51"/>
      <c r="Q154" s="51"/>
      <c r="R154" s="60"/>
      <c r="S154" s="51"/>
      <c r="T154" s="51"/>
      <c r="U154" s="51"/>
      <c r="V154" s="60"/>
      <c r="W154" s="38"/>
      <c r="X154" s="11"/>
      <c r="Y154" s="17"/>
      <c r="Z154" s="17"/>
      <c r="AA154" s="70"/>
      <c r="AB154" s="70"/>
      <c r="AC154" s="70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15" customHeight="1">
      <c r="A155" s="37">
        <v>142</v>
      </c>
      <c r="B155" s="139"/>
      <c r="C155" s="142" t="s">
        <v>1513</v>
      </c>
      <c r="D155" s="33"/>
      <c r="E155" s="33"/>
      <c r="F155" s="33"/>
      <c r="G155" s="33"/>
      <c r="H155" s="77" t="s">
        <v>1514</v>
      </c>
      <c r="I155" s="185" t="s">
        <v>996</v>
      </c>
      <c r="J155" s="148"/>
      <c r="K155" s="35"/>
      <c r="L155" s="17"/>
      <c r="M155" s="17"/>
      <c r="N155" s="11"/>
      <c r="O155" s="51"/>
      <c r="P155" s="51"/>
      <c r="Q155" s="51"/>
      <c r="R155" s="60"/>
      <c r="S155" s="51"/>
      <c r="T155" s="53"/>
      <c r="U155" s="53"/>
      <c r="V155" s="60"/>
      <c r="W155" s="38"/>
      <c r="X155" s="77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>
      <c r="A156" s="37">
        <v>143</v>
      </c>
      <c r="B156" s="139"/>
      <c r="C156" s="142" t="s">
        <v>1519</v>
      </c>
      <c r="D156" s="33"/>
      <c r="E156" s="33"/>
      <c r="F156" s="33"/>
      <c r="G156" s="33"/>
      <c r="H156" s="77" t="s">
        <v>1369</v>
      </c>
      <c r="I156" s="185" t="s">
        <v>1370</v>
      </c>
      <c r="J156" s="145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38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>
      <c r="A157" s="37">
        <v>144</v>
      </c>
      <c r="B157" s="139"/>
      <c r="C157" s="142" t="s">
        <v>2009</v>
      </c>
      <c r="D157" s="33"/>
      <c r="E157" s="33"/>
      <c r="F157" s="33"/>
      <c r="G157" s="33"/>
      <c r="H157" s="77" t="s">
        <v>1374</v>
      </c>
      <c r="I157" s="185" t="s">
        <v>1102</v>
      </c>
      <c r="J157" s="146"/>
      <c r="K157" s="35"/>
      <c r="L157" s="17"/>
      <c r="M157" s="17"/>
      <c r="N157" s="17"/>
      <c r="O157" s="51"/>
      <c r="P157" s="51"/>
      <c r="Q157" s="51"/>
      <c r="R157" s="60"/>
      <c r="S157" s="52"/>
      <c r="T157" s="52"/>
      <c r="U157" s="52"/>
      <c r="V157" s="60"/>
      <c r="W157" s="38"/>
      <c r="X157" s="11"/>
      <c r="Y157" s="17"/>
      <c r="Z157" s="17"/>
      <c r="AA157" s="71"/>
      <c r="AB157" s="71"/>
      <c r="AC157" s="71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>
      <c r="A158" s="37">
        <v>145</v>
      </c>
      <c r="B158" s="139"/>
      <c r="C158" s="142" t="s">
        <v>689</v>
      </c>
      <c r="D158" s="33"/>
      <c r="E158" s="33"/>
      <c r="F158" s="33"/>
      <c r="G158" s="33"/>
      <c r="H158" s="77" t="s">
        <v>1234</v>
      </c>
      <c r="I158" s="185" t="s">
        <v>1050</v>
      </c>
      <c r="J158" s="146" t="s">
        <v>997</v>
      </c>
      <c r="K158" s="125"/>
      <c r="L158" s="6">
        <v>12275</v>
      </c>
      <c r="M158" s="6">
        <v>613.75</v>
      </c>
      <c r="N158" s="6">
        <v>12888.75</v>
      </c>
      <c r="O158" s="51">
        <f>E158</f>
        <v>0</v>
      </c>
      <c r="P158" s="51">
        <v>170</v>
      </c>
      <c r="Q158" s="51">
        <v>240</v>
      </c>
      <c r="R158" s="60" t="s">
        <v>91</v>
      </c>
      <c r="S158" s="51"/>
      <c r="T158" s="51"/>
      <c r="U158" s="51"/>
      <c r="V158" s="60"/>
      <c r="W158" s="81">
        <v>400950</v>
      </c>
      <c r="X158" s="11" t="str">
        <f>IFERROR(INDEX([1]Sheet1!$A$2:$X$1948,MATCH($W$2:$W$264,[1]Sheet1!$G$2:$G$1948,0),8),"")</f>
        <v>돈뒷다리(0.5*0.5*5cm 잡채용 KG)</v>
      </c>
      <c r="Y158" s="17">
        <v>1000</v>
      </c>
      <c r="Z158" s="17"/>
      <c r="AA158" s="70">
        <v>10</v>
      </c>
      <c r="AB158" s="70" t="e">
        <f>P158*AD158</f>
        <v>#DIV/0!</v>
      </c>
      <c r="AC158" s="70" t="e">
        <f>Q158*AD158</f>
        <v>#DIV/0!</v>
      </c>
      <c r="AD158" s="43" t="e">
        <f>AA158/E158</f>
        <v>#DIV/0!</v>
      </c>
      <c r="AE158" s="38">
        <v>111912</v>
      </c>
      <c r="AF158" s="11" t="str">
        <f>IFERROR(INDEX([1]Sheet1!$A$2:$X$1948,MATCH($AE$2:$AE$264,[1]Sheet1!$G$2:$G$1948,0),8),"")</f>
        <v>이츠웰 찰당면(14Kg/EA)</v>
      </c>
      <c r="AG158" s="6">
        <v>12</v>
      </c>
      <c r="AH158" s="6" t="e">
        <f>P158*AJ158</f>
        <v>#DIV/0!</v>
      </c>
      <c r="AI158" s="6" t="e">
        <f>Q158*AJ158</f>
        <v>#DIV/0!</v>
      </c>
      <c r="AJ158" s="43" t="e">
        <f>AG158/$E158</f>
        <v>#DIV/0!</v>
      </c>
      <c r="AK158" s="38"/>
      <c r="AL158" s="11">
        <f>IFERROR(INDEX([1]Sheet1!$A$2:$X$1948,MATCH($AK$2:$AK$264,[1]Sheet1!$G$2:$G$1948,0),8),"")</f>
        <v>0</v>
      </c>
      <c r="AM158" s="6">
        <v>12</v>
      </c>
      <c r="AN158" s="6" t="e">
        <f>P158*AP158</f>
        <v>#DIV/0!</v>
      </c>
      <c r="AO158" s="6" t="e">
        <f>Q158*AP158</f>
        <v>#DIV/0!</v>
      </c>
      <c r="AP158" s="43" t="e">
        <f>AM158/$E158</f>
        <v>#DIV/0!</v>
      </c>
    </row>
    <row r="159" spans="1:42">
      <c r="A159" s="37">
        <v>146</v>
      </c>
      <c r="B159" s="139"/>
      <c r="C159" s="142" t="s">
        <v>448</v>
      </c>
      <c r="D159" s="33"/>
      <c r="E159" s="33"/>
      <c r="F159" s="33"/>
      <c r="G159" s="33"/>
      <c r="H159" s="77" t="s">
        <v>1401</v>
      </c>
      <c r="I159" s="185" t="s">
        <v>1095</v>
      </c>
      <c r="J159" s="145" t="s">
        <v>18</v>
      </c>
      <c r="K159" s="35"/>
      <c r="L159" s="17">
        <v>17430</v>
      </c>
      <c r="M159" s="17">
        <v>871.5</v>
      </c>
      <c r="N159" s="17">
        <v>18301.5</v>
      </c>
      <c r="O159" s="51"/>
      <c r="P159" s="51"/>
      <c r="Q159" s="51"/>
      <c r="R159" s="60"/>
      <c r="S159" s="54"/>
      <c r="T159" s="54"/>
      <c r="U159" s="54"/>
      <c r="V159" s="60"/>
      <c r="W159" s="38"/>
      <c r="X159" s="11"/>
      <c r="Y159" s="17"/>
      <c r="Z159" s="17"/>
      <c r="AA159" s="74"/>
      <c r="AB159" s="74"/>
      <c r="AC159" s="74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 ht="27">
      <c r="A160" s="37">
        <v>147</v>
      </c>
      <c r="B160" s="139"/>
      <c r="C160" s="142" t="s">
        <v>1194</v>
      </c>
      <c r="D160" s="33"/>
      <c r="E160" s="33"/>
      <c r="F160" s="33"/>
      <c r="G160" s="33"/>
      <c r="H160" s="77" t="s">
        <v>850</v>
      </c>
      <c r="I160" s="185" t="s">
        <v>1044</v>
      </c>
      <c r="J160" s="146"/>
      <c r="K160" s="125"/>
      <c r="L160" s="6"/>
      <c r="M160" s="6"/>
      <c r="N160" s="6"/>
      <c r="O160" s="51"/>
      <c r="P160" s="51"/>
      <c r="Q160" s="51"/>
      <c r="R160" s="60"/>
      <c r="S160" s="51"/>
      <c r="T160" s="51"/>
      <c r="U160" s="51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11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7">
      <c r="A161" s="37">
        <v>148</v>
      </c>
      <c r="B161" s="139"/>
      <c r="C161" s="142" t="s">
        <v>1759</v>
      </c>
      <c r="D161" s="33"/>
      <c r="E161" s="33"/>
      <c r="F161" s="33"/>
      <c r="G161" s="33"/>
      <c r="H161" s="77" t="s">
        <v>1942</v>
      </c>
      <c r="I161" s="185" t="s">
        <v>1044</v>
      </c>
      <c r="J161" s="146"/>
      <c r="K161" s="125"/>
      <c r="L161" s="6"/>
      <c r="M161" s="6"/>
      <c r="N161" s="6"/>
      <c r="O161" s="51"/>
      <c r="P161" s="51"/>
      <c r="Q161" s="51"/>
      <c r="R161" s="60"/>
      <c r="S161" s="51"/>
      <c r="T161" s="51"/>
      <c r="U161" s="51"/>
      <c r="V161" s="60"/>
      <c r="W161" s="81"/>
      <c r="X161" s="11"/>
      <c r="Y161" s="17"/>
      <c r="Z161" s="17"/>
      <c r="AA161" s="70"/>
      <c r="AB161" s="70"/>
      <c r="AC161" s="70"/>
      <c r="AD161" s="43"/>
      <c r="AE161" s="38"/>
      <c r="AF161" s="11"/>
      <c r="AG161" s="6"/>
      <c r="AH161" s="6"/>
      <c r="AI161" s="6"/>
      <c r="AJ161" s="43"/>
      <c r="AK161" s="38"/>
      <c r="AL161" s="11"/>
      <c r="AM161" s="6"/>
      <c r="AN161" s="6"/>
      <c r="AO161" s="6"/>
      <c r="AP161" s="43"/>
    </row>
    <row r="162" spans="1:42" ht="27">
      <c r="A162" s="37"/>
      <c r="B162" s="139"/>
      <c r="C162" s="142" t="s">
        <v>1941</v>
      </c>
      <c r="D162" s="33"/>
      <c r="E162" s="33"/>
      <c r="F162" s="33"/>
      <c r="G162" s="33"/>
      <c r="H162" s="77" t="s">
        <v>1943</v>
      </c>
      <c r="I162" s="185" t="s">
        <v>1044</v>
      </c>
      <c r="J162" s="146"/>
      <c r="K162" s="125"/>
      <c r="L162" s="6"/>
      <c r="M162" s="6"/>
      <c r="N162" s="6"/>
      <c r="O162" s="51"/>
      <c r="P162" s="51"/>
      <c r="Q162" s="51"/>
      <c r="R162" s="60"/>
      <c r="S162" s="51"/>
      <c r="T162" s="51"/>
      <c r="U162" s="51"/>
      <c r="V162" s="60"/>
      <c r="W162" s="81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150</v>
      </c>
      <c r="B163" s="139"/>
      <c r="C163" s="142" t="s">
        <v>833</v>
      </c>
      <c r="D163" s="33"/>
      <c r="E163" s="33"/>
      <c r="F163" s="33"/>
      <c r="G163" s="33"/>
      <c r="H163" s="77" t="s">
        <v>967</v>
      </c>
      <c r="I163" s="185" t="s">
        <v>1808</v>
      </c>
      <c r="J163" s="146"/>
      <c r="K163" s="35"/>
      <c r="L163" s="17"/>
      <c r="M163" s="17"/>
      <c r="N163" s="17"/>
      <c r="O163" s="51"/>
      <c r="P163" s="51"/>
      <c r="Q163" s="51"/>
      <c r="R163" s="60"/>
      <c r="S163" s="52"/>
      <c r="T163" s="52"/>
      <c r="U163" s="52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 ht="20.100000000000001" customHeight="1">
      <c r="A164" s="37">
        <v>151</v>
      </c>
      <c r="B164" s="139"/>
      <c r="C164" s="142" t="s">
        <v>2095</v>
      </c>
      <c r="D164" s="33"/>
      <c r="E164" s="33"/>
      <c r="F164" s="33"/>
      <c r="G164" s="33"/>
      <c r="H164" s="77" t="s">
        <v>1612</v>
      </c>
      <c r="I164" s="185" t="s">
        <v>1470</v>
      </c>
      <c r="J164" s="146" t="s">
        <v>1506</v>
      </c>
      <c r="K164" s="35"/>
      <c r="L164" s="17"/>
      <c r="M164" s="17"/>
      <c r="N164" s="17"/>
      <c r="O164" s="51"/>
      <c r="P164" s="51"/>
      <c r="Q164" s="51"/>
      <c r="R164" s="60"/>
      <c r="S164" s="51"/>
      <c r="T164" s="53"/>
      <c r="U164" s="53"/>
      <c r="V164" s="60"/>
      <c r="W164" s="81"/>
      <c r="X164" s="77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152</v>
      </c>
      <c r="B165" s="139"/>
      <c r="C165" s="239" t="s">
        <v>1270</v>
      </c>
      <c r="D165" s="33"/>
      <c r="E165" s="33"/>
      <c r="F165" s="33"/>
      <c r="G165" s="33"/>
      <c r="H165" s="77" t="s">
        <v>1606</v>
      </c>
      <c r="I165" s="185" t="s">
        <v>1272</v>
      </c>
      <c r="J165" s="146" t="s">
        <v>1271</v>
      </c>
      <c r="K165" s="35"/>
      <c r="L165" s="17"/>
      <c r="M165" s="17"/>
      <c r="N165" s="17"/>
      <c r="O165" s="51"/>
      <c r="P165" s="51"/>
      <c r="Q165" s="51"/>
      <c r="R165" s="60"/>
      <c r="S165" s="51"/>
      <c r="T165" s="53"/>
      <c r="U165" s="53"/>
      <c r="V165" s="60"/>
      <c r="W165" s="81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153</v>
      </c>
      <c r="B166" s="139"/>
      <c r="C166" s="234" t="s">
        <v>1196</v>
      </c>
      <c r="D166" s="33"/>
      <c r="E166" s="33"/>
      <c r="F166" s="33"/>
      <c r="G166" s="33"/>
      <c r="H166" s="77" t="s">
        <v>972</v>
      </c>
      <c r="I166" s="185" t="s">
        <v>1049</v>
      </c>
      <c r="J166" s="146"/>
      <c r="K166" s="35"/>
      <c r="L166" s="17"/>
      <c r="M166" s="17"/>
      <c r="N166" s="17"/>
      <c r="O166" s="51"/>
      <c r="P166" s="51"/>
      <c r="Q166" s="51"/>
      <c r="R166" s="60"/>
      <c r="S166" s="51"/>
      <c r="T166" s="53"/>
      <c r="U166" s="53"/>
      <c r="V166" s="60"/>
      <c r="W166" s="81"/>
      <c r="X166" s="11"/>
      <c r="Y166" s="17"/>
      <c r="Z166" s="17"/>
      <c r="AA166" s="70"/>
      <c r="AB166" s="70"/>
      <c r="AC166" s="70"/>
      <c r="AD166" s="43"/>
      <c r="AE166" s="38"/>
      <c r="AF166" s="82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 ht="20.100000000000001" customHeight="1">
      <c r="A167" s="37">
        <v>154</v>
      </c>
      <c r="B167" s="139"/>
      <c r="C167" s="238" t="s">
        <v>837</v>
      </c>
      <c r="D167" s="33"/>
      <c r="E167" s="33"/>
      <c r="F167" s="33"/>
      <c r="G167" s="33"/>
      <c r="H167" s="141" t="s">
        <v>989</v>
      </c>
      <c r="I167" s="189" t="s">
        <v>1035</v>
      </c>
      <c r="J167" s="146"/>
      <c r="K167" s="35"/>
      <c r="L167" s="17"/>
      <c r="M167" s="17"/>
      <c r="N167" s="17"/>
      <c r="O167" s="51"/>
      <c r="P167" s="51"/>
      <c r="Q167" s="51"/>
      <c r="R167" s="60"/>
      <c r="S167" s="51"/>
      <c r="T167" s="53"/>
      <c r="U167" s="53"/>
      <c r="V167" s="60"/>
      <c r="W167" s="41"/>
      <c r="X167" s="42"/>
      <c r="Y167" s="68"/>
      <c r="Z167" s="68"/>
      <c r="AA167" s="70"/>
      <c r="AB167" s="70"/>
      <c r="AC167" s="70"/>
      <c r="AD167" s="43"/>
      <c r="AE167" s="41"/>
      <c r="AF167" s="42"/>
      <c r="AG167" s="6"/>
      <c r="AH167" s="6"/>
      <c r="AI167" s="6"/>
      <c r="AJ167" s="43"/>
      <c r="AK167" s="41"/>
      <c r="AL167" s="42"/>
      <c r="AM167" s="6"/>
      <c r="AN167" s="6"/>
      <c r="AO167" s="6"/>
      <c r="AP167" s="43"/>
    </row>
    <row r="168" spans="1:42">
      <c r="A168" s="37">
        <v>155</v>
      </c>
      <c r="B168" s="139"/>
      <c r="C168" s="234" t="s">
        <v>446</v>
      </c>
      <c r="D168" s="33"/>
      <c r="E168" s="33"/>
      <c r="F168" s="33"/>
      <c r="G168" s="33"/>
      <c r="H168" s="208" t="s">
        <v>839</v>
      </c>
      <c r="I168" s="193" t="s">
        <v>1025</v>
      </c>
      <c r="J168" s="146" t="s">
        <v>731</v>
      </c>
      <c r="K168" s="35"/>
      <c r="L168" s="17"/>
      <c r="M168" s="17"/>
      <c r="N168" s="17"/>
      <c r="O168" s="51"/>
      <c r="P168" s="51"/>
      <c r="Q168" s="51"/>
      <c r="R168" s="60"/>
      <c r="S168" s="51"/>
      <c r="T168" s="53"/>
      <c r="U168" s="53"/>
      <c r="V168" s="60"/>
      <c r="W168" s="38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>
      <c r="A169" s="37">
        <v>156</v>
      </c>
      <c r="B169" s="139"/>
      <c r="C169" s="234" t="s">
        <v>1778</v>
      </c>
      <c r="D169" s="33"/>
      <c r="E169" s="33"/>
      <c r="F169" s="33"/>
      <c r="G169" s="33"/>
      <c r="H169" s="208" t="s">
        <v>1779</v>
      </c>
      <c r="I169" s="193" t="s">
        <v>1780</v>
      </c>
      <c r="J169" s="146" t="s">
        <v>731</v>
      </c>
      <c r="K169" s="35"/>
      <c r="L169" s="17"/>
      <c r="M169" s="17"/>
      <c r="N169" s="17"/>
      <c r="O169" s="51"/>
      <c r="P169" s="51"/>
      <c r="Q169" s="51"/>
      <c r="R169" s="60"/>
      <c r="S169" s="51"/>
      <c r="T169" s="53"/>
      <c r="U169" s="53"/>
      <c r="V169" s="60"/>
      <c r="W169" s="38"/>
      <c r="X169" s="11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>
      <c r="A170" s="37">
        <v>157</v>
      </c>
      <c r="B170" s="139"/>
      <c r="C170" s="234" t="s">
        <v>637</v>
      </c>
      <c r="D170" s="33"/>
      <c r="E170" s="33"/>
      <c r="F170" s="33"/>
      <c r="G170" s="33"/>
      <c r="H170" s="77" t="s">
        <v>856</v>
      </c>
      <c r="I170" s="185" t="s">
        <v>1329</v>
      </c>
      <c r="J170" s="145" t="s">
        <v>760</v>
      </c>
      <c r="K170" s="125"/>
      <c r="L170" s="6"/>
      <c r="M170" s="6"/>
      <c r="N170" s="6"/>
      <c r="O170" s="51"/>
      <c r="P170" s="51"/>
      <c r="Q170" s="51"/>
      <c r="R170" s="60"/>
      <c r="S170" s="51"/>
      <c r="T170" s="51"/>
      <c r="U170" s="51"/>
      <c r="V170" s="60"/>
      <c r="W170" s="38"/>
      <c r="X170" s="11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158</v>
      </c>
      <c r="B171" s="139"/>
      <c r="C171" s="234" t="s">
        <v>2131</v>
      </c>
      <c r="D171" s="33"/>
      <c r="E171" s="33"/>
      <c r="F171" s="33"/>
      <c r="G171" s="33"/>
      <c r="H171" s="77" t="s">
        <v>1822</v>
      </c>
      <c r="I171" s="185" t="s">
        <v>1329</v>
      </c>
      <c r="J171" s="145" t="s">
        <v>760</v>
      </c>
      <c r="K171" s="125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38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159</v>
      </c>
      <c r="B172" s="139"/>
      <c r="C172" s="234" t="s">
        <v>1141</v>
      </c>
      <c r="D172" s="33"/>
      <c r="E172" s="33"/>
      <c r="F172" s="33"/>
      <c r="G172" s="33"/>
      <c r="H172" s="77" t="s">
        <v>774</v>
      </c>
      <c r="I172" s="185" t="s">
        <v>1052</v>
      </c>
      <c r="J172" s="145" t="s">
        <v>2142</v>
      </c>
      <c r="K172" s="125"/>
      <c r="L172" s="6">
        <v>27450</v>
      </c>
      <c r="M172" s="6">
        <v>1372.5</v>
      </c>
      <c r="N172" s="6">
        <v>28822.5</v>
      </c>
      <c r="O172" s="51"/>
      <c r="P172" s="51"/>
      <c r="Q172" s="51"/>
      <c r="R172" s="60"/>
      <c r="S172" s="52"/>
      <c r="T172" s="52"/>
      <c r="U172" s="52"/>
      <c r="V172" s="60"/>
      <c r="W172" s="38"/>
      <c r="X172" s="11"/>
      <c r="Y172" s="17"/>
      <c r="Z172" s="17"/>
      <c r="AA172" s="75"/>
      <c r="AB172" s="75"/>
      <c r="AC172" s="75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>
      <c r="A173" s="37">
        <v>160</v>
      </c>
      <c r="B173" s="139"/>
      <c r="C173" s="234" t="s">
        <v>1898</v>
      </c>
      <c r="D173" s="33"/>
      <c r="E173" s="33"/>
      <c r="F173" s="33"/>
      <c r="G173" s="33"/>
      <c r="H173" s="77" t="s">
        <v>1538</v>
      </c>
      <c r="I173" s="185" t="s">
        <v>1067</v>
      </c>
      <c r="J173" s="146"/>
      <c r="K173" s="125"/>
      <c r="L173" s="6"/>
      <c r="M173" s="6"/>
      <c r="N173" s="6"/>
      <c r="O173" s="51"/>
      <c r="P173" s="51"/>
      <c r="Q173" s="51"/>
      <c r="R173" s="60"/>
      <c r="S173" s="51"/>
      <c r="T173" s="51"/>
      <c r="U173" s="51"/>
      <c r="V173" s="60"/>
      <c r="W173" s="38"/>
      <c r="X173" s="11"/>
      <c r="Y173" s="17"/>
      <c r="Z173" s="17"/>
      <c r="AA173" s="70"/>
      <c r="AB173" s="70"/>
      <c r="AC173" s="70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161</v>
      </c>
      <c r="B174" s="139"/>
      <c r="C174" s="234" t="s">
        <v>1761</v>
      </c>
      <c r="D174" s="33"/>
      <c r="E174" s="33"/>
      <c r="F174" s="33"/>
      <c r="G174" s="33"/>
      <c r="H174" s="77" t="s">
        <v>1116</v>
      </c>
      <c r="I174" s="185" t="s">
        <v>1044</v>
      </c>
      <c r="J174" s="146"/>
      <c r="K174" s="125"/>
      <c r="L174" s="6"/>
      <c r="M174" s="6"/>
      <c r="N174" s="6"/>
      <c r="O174" s="51"/>
      <c r="P174" s="51"/>
      <c r="Q174" s="51"/>
      <c r="R174" s="60"/>
      <c r="S174" s="51"/>
      <c r="T174" s="51"/>
      <c r="U174" s="51"/>
      <c r="V174" s="60"/>
      <c r="W174" s="81"/>
      <c r="X174" s="11"/>
      <c r="Y174" s="17"/>
      <c r="Z174" s="17"/>
      <c r="AA174" s="70"/>
      <c r="AB174" s="70"/>
      <c r="AC174" s="70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 ht="15" customHeight="1">
      <c r="A175" s="37">
        <v>162</v>
      </c>
      <c r="B175" s="139"/>
      <c r="C175" s="234" t="s">
        <v>1686</v>
      </c>
      <c r="D175" s="33"/>
      <c r="E175" s="33"/>
      <c r="F175" s="33"/>
      <c r="G175" s="33"/>
      <c r="H175" s="77" t="s">
        <v>1687</v>
      </c>
      <c r="I175" s="185" t="s">
        <v>1102</v>
      </c>
      <c r="J175" s="148"/>
      <c r="K175" s="35"/>
      <c r="L175" s="17"/>
      <c r="M175" s="17"/>
      <c r="N175" s="11"/>
      <c r="O175" s="51"/>
      <c r="P175" s="51"/>
      <c r="Q175" s="51"/>
      <c r="R175" s="60"/>
      <c r="S175" s="51"/>
      <c r="T175" s="53"/>
      <c r="U175" s="53"/>
      <c r="V175" s="60"/>
      <c r="W175" s="38"/>
      <c r="X175" s="77"/>
      <c r="Y175" s="17"/>
      <c r="Z175" s="17"/>
      <c r="AA175" s="70"/>
      <c r="AB175" s="70"/>
      <c r="AC175" s="70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 ht="15" customHeight="1">
      <c r="A176" s="37">
        <v>163</v>
      </c>
      <c r="B176" s="139"/>
      <c r="C176" s="234" t="s">
        <v>2047</v>
      </c>
      <c r="D176" s="33"/>
      <c r="E176" s="33"/>
      <c r="F176" s="33"/>
      <c r="G176" s="33"/>
      <c r="H176" s="77" t="s">
        <v>2048</v>
      </c>
      <c r="I176" s="185" t="s">
        <v>990</v>
      </c>
      <c r="J176" s="148"/>
      <c r="K176" s="35"/>
      <c r="L176" s="17"/>
      <c r="M176" s="17"/>
      <c r="N176" s="11"/>
      <c r="O176" s="51"/>
      <c r="P176" s="51"/>
      <c r="Q176" s="51"/>
      <c r="R176" s="60"/>
      <c r="S176" s="51"/>
      <c r="T176" s="53"/>
      <c r="U176" s="53"/>
      <c r="V176" s="60"/>
      <c r="W176" s="38"/>
      <c r="X176" s="77"/>
      <c r="Y176" s="17"/>
      <c r="Z176" s="17"/>
      <c r="AA176" s="70"/>
      <c r="AB176" s="70"/>
      <c r="AC176" s="70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 ht="15" customHeight="1">
      <c r="A177" s="37"/>
      <c r="B177" s="139"/>
      <c r="C177" s="234" t="s">
        <v>2229</v>
      </c>
      <c r="D177" s="33"/>
      <c r="E177" s="33"/>
      <c r="F177" s="33"/>
      <c r="G177" s="33"/>
      <c r="H177" s="77" t="s">
        <v>2230</v>
      </c>
      <c r="I177" s="185" t="s">
        <v>990</v>
      </c>
      <c r="J177" s="148"/>
      <c r="K177" s="35"/>
      <c r="L177" s="17"/>
      <c r="M177" s="17"/>
      <c r="N177" s="11"/>
      <c r="O177" s="51"/>
      <c r="P177" s="51"/>
      <c r="Q177" s="51"/>
      <c r="R177" s="60"/>
      <c r="S177" s="51"/>
      <c r="T177" s="53"/>
      <c r="U177" s="53"/>
      <c r="V177" s="60"/>
      <c r="W177" s="38"/>
      <c r="X177" s="77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164</v>
      </c>
      <c r="B178" s="139"/>
      <c r="C178" s="234" t="s">
        <v>2105</v>
      </c>
      <c r="D178" s="33"/>
      <c r="E178" s="33"/>
      <c r="F178" s="33"/>
      <c r="G178" s="33"/>
      <c r="H178" s="77" t="s">
        <v>1441</v>
      </c>
      <c r="I178" s="185" t="s">
        <v>1128</v>
      </c>
      <c r="J178" s="146" t="s">
        <v>725</v>
      </c>
      <c r="K178" s="128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81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165</v>
      </c>
      <c r="B179" s="139"/>
      <c r="C179" s="234" t="s">
        <v>1653</v>
      </c>
      <c r="D179" s="33"/>
      <c r="E179" s="33"/>
      <c r="F179" s="33"/>
      <c r="G179" s="33"/>
      <c r="H179" s="110" t="s">
        <v>1654</v>
      </c>
      <c r="I179" s="185" t="s">
        <v>1084</v>
      </c>
      <c r="J179" s="146" t="s">
        <v>829</v>
      </c>
      <c r="K179" s="128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81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 ht="24">
      <c r="A180" s="37">
        <v>166</v>
      </c>
      <c r="B180" s="139"/>
      <c r="C180" s="234" t="s">
        <v>1540</v>
      </c>
      <c r="D180" s="33"/>
      <c r="E180" s="33"/>
      <c r="F180" s="33"/>
      <c r="G180" s="33"/>
      <c r="H180" s="145" t="s">
        <v>1541</v>
      </c>
      <c r="I180" s="190" t="s">
        <v>1060</v>
      </c>
      <c r="J180" s="146" t="s">
        <v>1542</v>
      </c>
      <c r="K180" s="125"/>
      <c r="L180" s="6">
        <v>22500</v>
      </c>
      <c r="M180" s="6">
        <v>1125</v>
      </c>
      <c r="N180" s="6">
        <v>23625</v>
      </c>
      <c r="O180" s="51"/>
      <c r="P180" s="51"/>
      <c r="Q180" s="51"/>
      <c r="R180" s="60"/>
      <c r="S180" s="52"/>
      <c r="T180" s="52"/>
      <c r="U180" s="52"/>
      <c r="V180" s="60"/>
      <c r="W180" s="38"/>
      <c r="X180" s="11"/>
      <c r="Y180" s="17"/>
      <c r="Z180" s="17"/>
      <c r="AA180" s="71"/>
      <c r="AB180" s="71"/>
      <c r="AC180" s="71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>
      <c r="A181" s="37">
        <v>167</v>
      </c>
      <c r="B181" s="139"/>
      <c r="C181" s="234" t="s">
        <v>2143</v>
      </c>
      <c r="D181" s="33"/>
      <c r="E181" s="33"/>
      <c r="F181" s="33"/>
      <c r="G181" s="33"/>
      <c r="H181" s="77" t="s">
        <v>2144</v>
      </c>
      <c r="I181" s="185" t="s">
        <v>1139</v>
      </c>
      <c r="J181" s="145"/>
      <c r="K181" s="125"/>
      <c r="L181" s="6">
        <v>22750</v>
      </c>
      <c r="M181" s="6">
        <v>1137.5</v>
      </c>
      <c r="N181" s="6">
        <v>23887.5</v>
      </c>
      <c r="O181" s="51"/>
      <c r="P181" s="51"/>
      <c r="Q181" s="51"/>
      <c r="R181" s="60"/>
      <c r="S181" s="52"/>
      <c r="T181" s="52"/>
      <c r="U181" s="52"/>
      <c r="V181" s="60"/>
      <c r="W181" s="38"/>
      <c r="X181" s="11"/>
      <c r="Y181" s="17"/>
      <c r="Z181" s="17"/>
      <c r="AA181" s="71"/>
      <c r="AB181" s="71"/>
      <c r="AC181" s="71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168</v>
      </c>
      <c r="B182" s="139"/>
      <c r="C182" s="152" t="s">
        <v>1842</v>
      </c>
      <c r="D182" s="33"/>
      <c r="E182" s="33"/>
      <c r="F182" s="33"/>
      <c r="G182" s="33"/>
      <c r="H182" s="77" t="s">
        <v>1843</v>
      </c>
      <c r="I182" s="185" t="s">
        <v>1015</v>
      </c>
      <c r="J182" s="146" t="s">
        <v>1844</v>
      </c>
      <c r="K182" s="125"/>
      <c r="L182" s="6"/>
      <c r="M182" s="6"/>
      <c r="N182" s="6"/>
      <c r="O182" s="51"/>
      <c r="P182" s="51"/>
      <c r="Q182" s="51"/>
      <c r="R182" s="60"/>
      <c r="S182" s="52"/>
      <c r="T182" s="52"/>
      <c r="U182" s="52"/>
      <c r="V182" s="60"/>
      <c r="W182" s="38"/>
      <c r="X182" s="11"/>
      <c r="Y182" s="17"/>
      <c r="Z182" s="17"/>
      <c r="AA182" s="71"/>
      <c r="AB182" s="71"/>
      <c r="AC182" s="71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170</v>
      </c>
      <c r="B183" s="139"/>
      <c r="C183" s="152" t="s">
        <v>703</v>
      </c>
      <c r="D183" s="33"/>
      <c r="E183" s="33"/>
      <c r="F183" s="33"/>
      <c r="G183" s="33"/>
      <c r="H183" s="145" t="s">
        <v>1547</v>
      </c>
      <c r="I183" s="185" t="s">
        <v>1139</v>
      </c>
      <c r="J183" s="146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>
      <c r="A184" s="37">
        <v>171</v>
      </c>
      <c r="B184" s="139"/>
      <c r="C184" s="152" t="s">
        <v>1524</v>
      </c>
      <c r="D184" s="33"/>
      <c r="E184" s="33"/>
      <c r="F184" s="33"/>
      <c r="G184" s="33"/>
      <c r="H184" s="77" t="s">
        <v>1525</v>
      </c>
      <c r="I184" s="185" t="s">
        <v>996</v>
      </c>
      <c r="J184" s="145" t="s">
        <v>708</v>
      </c>
      <c r="K184" s="125"/>
      <c r="L184" s="6"/>
      <c r="M184" s="6"/>
      <c r="N184" s="6"/>
      <c r="O184" s="51"/>
      <c r="P184" s="51"/>
      <c r="Q184" s="51"/>
      <c r="R184" s="60"/>
      <c r="S184" s="51"/>
      <c r="T184" s="51"/>
      <c r="U184" s="51"/>
      <c r="V184" s="60"/>
      <c r="W184" s="38"/>
      <c r="X184" s="11"/>
      <c r="Y184" s="17"/>
      <c r="Z184" s="17"/>
      <c r="AA184" s="70"/>
      <c r="AB184" s="70"/>
      <c r="AC184" s="70"/>
      <c r="AD184" s="43"/>
      <c r="AE184" s="38"/>
      <c r="AF184" s="11"/>
      <c r="AG184" s="6"/>
      <c r="AH184" s="6"/>
      <c r="AI184" s="6"/>
      <c r="AJ184" s="43"/>
      <c r="AK184" s="38"/>
      <c r="AL184" s="11"/>
      <c r="AM184" s="6"/>
      <c r="AN184" s="6"/>
      <c r="AO184" s="6"/>
      <c r="AP184" s="43"/>
    </row>
    <row r="185" spans="1:42">
      <c r="A185" s="37">
        <v>172</v>
      </c>
      <c r="B185" s="139"/>
      <c r="C185" s="152" t="s">
        <v>1774</v>
      </c>
      <c r="D185" s="33"/>
      <c r="E185" s="33"/>
      <c r="F185" s="33"/>
      <c r="G185" s="33"/>
      <c r="H185" s="77" t="s">
        <v>1739</v>
      </c>
      <c r="I185" s="185" t="s">
        <v>996</v>
      </c>
      <c r="J185" s="145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38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173</v>
      </c>
      <c r="B186" s="139"/>
      <c r="C186" s="152" t="s">
        <v>2247</v>
      </c>
      <c r="D186" s="33"/>
      <c r="E186" s="33"/>
      <c r="F186" s="33"/>
      <c r="G186" s="33"/>
      <c r="H186" s="77" t="s">
        <v>2275</v>
      </c>
      <c r="I186" s="185" t="s">
        <v>1740</v>
      </c>
      <c r="J186" s="145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38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>
      <c r="A187" s="37">
        <v>174</v>
      </c>
      <c r="B187" s="139"/>
      <c r="C187" s="152" t="s">
        <v>1494</v>
      </c>
      <c r="D187" s="33"/>
      <c r="E187" s="33"/>
      <c r="F187" s="33"/>
      <c r="G187" s="33"/>
      <c r="H187" s="77" t="s">
        <v>1387</v>
      </c>
      <c r="I187" s="185" t="s">
        <v>1388</v>
      </c>
      <c r="J187" s="145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38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 ht="27">
      <c r="A188" s="37">
        <v>175</v>
      </c>
      <c r="B188" s="139"/>
      <c r="C188" s="152" t="s">
        <v>1562</v>
      </c>
      <c r="D188" s="33"/>
      <c r="E188" s="33"/>
      <c r="F188" s="33"/>
      <c r="G188" s="33"/>
      <c r="H188" s="77" t="s">
        <v>1482</v>
      </c>
      <c r="I188" s="185" t="s">
        <v>1171</v>
      </c>
      <c r="J188" s="145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38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176</v>
      </c>
      <c r="B189" s="139"/>
      <c r="C189" s="152" t="s">
        <v>1749</v>
      </c>
      <c r="D189" s="33"/>
      <c r="E189" s="33"/>
      <c r="F189" s="33"/>
      <c r="G189" s="33"/>
      <c r="H189" s="77" t="s">
        <v>1750</v>
      </c>
      <c r="I189" s="185" t="s">
        <v>1751</v>
      </c>
      <c r="J189" s="145"/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38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>
      <c r="A190" s="37">
        <v>177</v>
      </c>
      <c r="B190" s="139"/>
      <c r="C190" s="152" t="s">
        <v>931</v>
      </c>
      <c r="D190" s="33"/>
      <c r="E190" s="33"/>
      <c r="F190" s="33"/>
      <c r="G190" s="33"/>
      <c r="H190" s="11" t="s">
        <v>932</v>
      </c>
      <c r="I190" s="191"/>
      <c r="J190" s="146"/>
      <c r="K190" s="125"/>
      <c r="L190" s="6"/>
      <c r="M190" s="6"/>
      <c r="N190" s="6"/>
      <c r="O190" s="51"/>
      <c r="P190" s="51"/>
      <c r="Q190" s="51"/>
      <c r="R190" s="60"/>
      <c r="S190" s="51"/>
      <c r="T190" s="51"/>
      <c r="U190" s="51"/>
      <c r="V190" s="60"/>
      <c r="W190" s="38"/>
      <c r="X190" s="11"/>
      <c r="Y190" s="17"/>
      <c r="Z190" s="17"/>
      <c r="AA190" s="70"/>
      <c r="AB190" s="70"/>
      <c r="AC190" s="70"/>
      <c r="AD190" s="43"/>
      <c r="AE190" s="38"/>
      <c r="AF190" s="11"/>
      <c r="AG190" s="6"/>
      <c r="AH190" s="6"/>
      <c r="AI190" s="6"/>
      <c r="AJ190" s="43"/>
      <c r="AK190" s="38"/>
      <c r="AL190" s="11"/>
      <c r="AM190" s="6"/>
      <c r="AN190" s="6"/>
      <c r="AO190" s="6"/>
      <c r="AP190" s="43"/>
    </row>
    <row r="191" spans="1:42" ht="27">
      <c r="A191" s="37">
        <v>178</v>
      </c>
      <c r="B191" s="139"/>
      <c r="C191" s="152" t="s">
        <v>2133</v>
      </c>
      <c r="D191" s="33"/>
      <c r="E191" s="33"/>
      <c r="F191" s="33"/>
      <c r="G191" s="33"/>
      <c r="H191" s="77" t="s">
        <v>878</v>
      </c>
      <c r="I191" s="185" t="s">
        <v>1044</v>
      </c>
      <c r="J191" s="146"/>
      <c r="K191" s="125"/>
      <c r="L191" s="6">
        <v>23805</v>
      </c>
      <c r="M191" s="6">
        <v>1190.25</v>
      </c>
      <c r="N191" s="6">
        <v>24995.25</v>
      </c>
      <c r="O191" s="51">
        <f>E191</f>
        <v>0</v>
      </c>
      <c r="P191" s="51">
        <v>300</v>
      </c>
      <c r="Q191" s="51">
        <v>400</v>
      </c>
      <c r="R191" s="60" t="s">
        <v>91</v>
      </c>
      <c r="S191" s="51"/>
      <c r="T191" s="51"/>
      <c r="U191" s="51"/>
      <c r="V191" s="60"/>
      <c r="W191" s="81">
        <v>411752</v>
      </c>
      <c r="X191" s="11" t="str">
        <f>IFERROR(INDEX([1]Sheet1!$A$2:$X$1948,MATCH($W$2:$W$264,[1]Sheet1!$G$2:$G$1948,0),8),"")</f>
        <v>프레시웨이 돈등심(2.5*2.5*2.5cm 장조림용 5Kg/EA)</v>
      </c>
      <c r="Y191" s="17">
        <v>5000</v>
      </c>
      <c r="Z191" s="17"/>
      <c r="AA191" s="70">
        <v>60</v>
      </c>
      <c r="AB191" s="70" t="e">
        <f>P191*AD191</f>
        <v>#DIV/0!</v>
      </c>
      <c r="AC191" s="70" t="e">
        <f>Q191*AD191</f>
        <v>#DIV/0!</v>
      </c>
      <c r="AD191" s="43" t="e">
        <f>AA191/E191</f>
        <v>#DIV/0!</v>
      </c>
      <c r="AE191" s="38"/>
      <c r="AF191" s="11">
        <f>IFERROR(INDEX([1]Sheet1!$A$2:$X$1948,MATCH($AE$2:$AE$264,[1]Sheet1!$G$2:$G$1948,0),8),"")</f>
        <v>0</v>
      </c>
      <c r="AG191" s="6"/>
      <c r="AH191" s="6" t="e">
        <f>P191*AJ191</f>
        <v>#DIV/0!</v>
      </c>
      <c r="AI191" s="6" t="e">
        <f>Q191*AJ191</f>
        <v>#DIV/0!</v>
      </c>
      <c r="AJ191" s="43" t="e">
        <f>AG191/$E191</f>
        <v>#DIV/0!</v>
      </c>
      <c r="AK191" s="38"/>
      <c r="AL191" s="11">
        <f>IFERROR(INDEX([1]Sheet1!$A$2:$X$1948,MATCH($AK$2:$AK$264,[1]Sheet1!$G$2:$G$1948,0),8),"")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43" t="e">
        <f>AM191/$E191</f>
        <v>#DIV/0!</v>
      </c>
    </row>
    <row r="192" spans="1:42">
      <c r="A192" s="37">
        <v>179</v>
      </c>
      <c r="B192" s="139"/>
      <c r="C192" s="152" t="s">
        <v>1736</v>
      </c>
      <c r="D192" s="33"/>
      <c r="E192" s="33"/>
      <c r="F192" s="33"/>
      <c r="G192" s="33"/>
      <c r="H192" s="77" t="s">
        <v>1737</v>
      </c>
      <c r="I192" s="185" t="s">
        <v>1044</v>
      </c>
      <c r="J192" s="146"/>
      <c r="K192" s="125"/>
      <c r="L192" s="6"/>
      <c r="M192" s="6"/>
      <c r="N192" s="6"/>
      <c r="O192" s="51"/>
      <c r="P192" s="51"/>
      <c r="Q192" s="51"/>
      <c r="R192" s="60"/>
      <c r="S192" s="51"/>
      <c r="T192" s="51"/>
      <c r="U192" s="51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>
      <c r="A193" s="37">
        <v>180</v>
      </c>
      <c r="B193" s="139"/>
      <c r="C193" s="152" t="s">
        <v>1446</v>
      </c>
      <c r="D193" s="33"/>
      <c r="E193" s="33"/>
      <c r="F193" s="33"/>
      <c r="G193" s="33"/>
      <c r="H193" s="77" t="s">
        <v>1472</v>
      </c>
      <c r="I193" s="185" t="s">
        <v>1457</v>
      </c>
      <c r="J193" s="146"/>
      <c r="K193" s="125"/>
      <c r="L193" s="6"/>
      <c r="M193" s="6"/>
      <c r="N193" s="6"/>
      <c r="O193" s="51"/>
      <c r="P193" s="51"/>
      <c r="Q193" s="51"/>
      <c r="R193" s="60"/>
      <c r="S193" s="51"/>
      <c r="T193" s="51"/>
      <c r="U193" s="51"/>
      <c r="V193" s="60"/>
      <c r="W193" s="81"/>
      <c r="X193" s="11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 ht="27">
      <c r="A194" s="37">
        <v>181</v>
      </c>
      <c r="B194" s="139"/>
      <c r="C194" s="152" t="s">
        <v>1471</v>
      </c>
      <c r="D194" s="33"/>
      <c r="E194" s="33"/>
      <c r="F194" s="33"/>
      <c r="G194" s="33"/>
      <c r="H194" s="77" t="s">
        <v>1473</v>
      </c>
      <c r="I194" s="185" t="s">
        <v>1044</v>
      </c>
      <c r="J194" s="146"/>
      <c r="K194" s="125"/>
      <c r="L194" s="6"/>
      <c r="M194" s="6"/>
      <c r="N194" s="6"/>
      <c r="O194" s="51"/>
      <c r="P194" s="51"/>
      <c r="Q194" s="51"/>
      <c r="R194" s="60"/>
      <c r="S194" s="51"/>
      <c r="T194" s="51"/>
      <c r="U194" s="51"/>
      <c r="V194" s="60"/>
      <c r="W194" s="81"/>
      <c r="X194" s="11"/>
      <c r="Y194" s="17"/>
      <c r="Z194" s="17"/>
      <c r="AA194" s="70"/>
      <c r="AB194" s="70"/>
      <c r="AC194" s="70"/>
      <c r="AD194" s="43"/>
      <c r="AE194" s="38"/>
      <c r="AF194" s="11"/>
      <c r="AG194" s="6"/>
      <c r="AH194" s="6"/>
      <c r="AI194" s="6"/>
      <c r="AJ194" s="43"/>
      <c r="AK194" s="38"/>
      <c r="AL194" s="11"/>
      <c r="AM194" s="6"/>
      <c r="AN194" s="6"/>
      <c r="AO194" s="6"/>
      <c r="AP194" s="43"/>
    </row>
    <row r="195" spans="1:42">
      <c r="A195" s="37">
        <v>182</v>
      </c>
      <c r="B195" s="139"/>
      <c r="C195" s="152" t="s">
        <v>933</v>
      </c>
      <c r="D195" s="33"/>
      <c r="E195" s="33"/>
      <c r="F195" s="33"/>
      <c r="G195" s="33"/>
      <c r="H195" s="77" t="s">
        <v>1642</v>
      </c>
      <c r="I195" s="185" t="s">
        <v>1214</v>
      </c>
      <c r="J195" s="146"/>
      <c r="K195" s="125"/>
      <c r="L195" s="6"/>
      <c r="M195" s="6"/>
      <c r="N195" s="6"/>
      <c r="O195" s="51"/>
      <c r="P195" s="51"/>
      <c r="Q195" s="51"/>
      <c r="R195" s="60"/>
      <c r="S195" s="51"/>
      <c r="T195" s="51"/>
      <c r="U195" s="51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>
      <c r="A196" s="37">
        <v>183</v>
      </c>
      <c r="B196" s="139"/>
      <c r="C196" s="152" t="s">
        <v>2225</v>
      </c>
      <c r="D196" s="33"/>
      <c r="E196" s="33"/>
      <c r="F196" s="33"/>
      <c r="G196" s="33"/>
      <c r="H196" s="77" t="s">
        <v>1940</v>
      </c>
      <c r="I196" s="185" t="s">
        <v>1064</v>
      </c>
      <c r="J196" s="148" t="s">
        <v>705</v>
      </c>
      <c r="K196" s="125"/>
      <c r="L196" s="6"/>
      <c r="M196" s="6"/>
      <c r="N196" s="6"/>
      <c r="O196" s="51"/>
      <c r="P196" s="51"/>
      <c r="Q196" s="51"/>
      <c r="R196" s="60"/>
      <c r="S196" s="51"/>
      <c r="T196" s="51"/>
      <c r="U196" s="51"/>
      <c r="V196" s="60"/>
      <c r="W196" s="81"/>
      <c r="X196" s="11"/>
      <c r="Y196" s="17"/>
      <c r="Z196" s="17"/>
      <c r="AA196" s="70"/>
      <c r="AB196" s="70"/>
      <c r="AC196" s="70"/>
      <c r="AD196" s="43"/>
      <c r="AE196" s="38"/>
      <c r="AF196" s="11"/>
      <c r="AG196" s="6"/>
      <c r="AH196" s="6"/>
      <c r="AI196" s="6"/>
      <c r="AJ196" s="43"/>
      <c r="AK196" s="38"/>
      <c r="AL196" s="11"/>
      <c r="AM196" s="6"/>
      <c r="AN196" s="6"/>
      <c r="AO196" s="6"/>
      <c r="AP196" s="43"/>
    </row>
    <row r="197" spans="1:42" ht="15" customHeight="1">
      <c r="A197" s="37">
        <v>184</v>
      </c>
      <c r="B197" s="139"/>
      <c r="C197" s="152" t="s">
        <v>824</v>
      </c>
      <c r="D197" s="33"/>
      <c r="E197" s="33"/>
      <c r="F197" s="33"/>
      <c r="G197" s="33"/>
      <c r="H197" s="77" t="s">
        <v>859</v>
      </c>
      <c r="I197" s="185"/>
      <c r="J197" s="148"/>
      <c r="K197" s="35"/>
      <c r="L197" s="17">
        <v>18810</v>
      </c>
      <c r="M197" s="17">
        <v>940.5</v>
      </c>
      <c r="N197" s="11"/>
      <c r="O197" s="51">
        <f>E197</f>
        <v>0</v>
      </c>
      <c r="P197" s="51">
        <v>170</v>
      </c>
      <c r="Q197" s="51">
        <v>260</v>
      </c>
      <c r="R197" s="60" t="s">
        <v>91</v>
      </c>
      <c r="S197" s="51"/>
      <c r="T197" s="53"/>
      <c r="U197" s="53"/>
      <c r="V197" s="60"/>
      <c r="W197" s="38">
        <v>408460</v>
      </c>
      <c r="X197" s="77" t="s">
        <v>869</v>
      </c>
      <c r="Y197" s="17">
        <v>1000</v>
      </c>
      <c r="Z197" s="17"/>
      <c r="AA197" s="70">
        <v>60</v>
      </c>
      <c r="AB197" s="70" t="e">
        <f>P197*AD197</f>
        <v>#DIV/0!</v>
      </c>
      <c r="AC197" s="70" t="e">
        <f>Q197*AD197</f>
        <v>#DIV/0!</v>
      </c>
      <c r="AD197" s="43" t="e">
        <f>AA197/E197</f>
        <v>#DIV/0!</v>
      </c>
      <c r="AE197" s="38"/>
      <c r="AF197" s="11"/>
      <c r="AG197" s="6"/>
      <c r="AH197" s="6" t="e">
        <f>P197*AJ197</f>
        <v>#DIV/0!</v>
      </c>
      <c r="AI197" s="6" t="e">
        <f>Q197*AJ197</f>
        <v>#DIV/0!</v>
      </c>
      <c r="AJ197" s="43" t="e">
        <f>AG197/$E197</f>
        <v>#DIV/0!</v>
      </c>
      <c r="AK197" s="38"/>
      <c r="AL197" s="11">
        <f>IFERROR(INDEX([1]Sheet1!$A$2:$X$1948,MATCH($AK$2:$AK$264,[1]Sheet1!$G$2:$G$1948,0),8),"")</f>
        <v>0</v>
      </c>
      <c r="AM197" s="6"/>
      <c r="AN197" s="6" t="e">
        <f>P197*AP197</f>
        <v>#DIV/0!</v>
      </c>
      <c r="AO197" s="6" t="e">
        <f>Q197*AP197</f>
        <v>#DIV/0!</v>
      </c>
      <c r="AP197" s="43" t="e">
        <f>AM197/$E197</f>
        <v>#DIV/0!</v>
      </c>
    </row>
    <row r="198" spans="1:42" ht="15" customHeight="1">
      <c r="A198" s="37">
        <v>185</v>
      </c>
      <c r="B198" s="139"/>
      <c r="C198" s="152" t="s">
        <v>1641</v>
      </c>
      <c r="D198" s="33"/>
      <c r="E198" s="33"/>
      <c r="F198" s="33"/>
      <c r="G198" s="33"/>
      <c r="H198" s="77" t="s">
        <v>1643</v>
      </c>
      <c r="I198" s="185" t="s">
        <v>1038</v>
      </c>
      <c r="J198" s="148" t="s">
        <v>1707</v>
      </c>
      <c r="K198" s="35"/>
      <c r="L198" s="17"/>
      <c r="M198" s="17"/>
      <c r="N198" s="11"/>
      <c r="O198" s="51"/>
      <c r="P198" s="51"/>
      <c r="Q198" s="51"/>
      <c r="R198" s="60"/>
      <c r="S198" s="51"/>
      <c r="T198" s="53"/>
      <c r="U198" s="53"/>
      <c r="V198" s="60"/>
      <c r="W198" s="38"/>
      <c r="X198" s="77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/>
      <c r="AK198" s="38"/>
      <c r="AL198" s="11"/>
      <c r="AM198" s="6"/>
      <c r="AN198" s="6"/>
      <c r="AO198" s="6"/>
      <c r="AP198" s="43"/>
    </row>
    <row r="199" spans="1:42" ht="27">
      <c r="A199" s="37">
        <v>186</v>
      </c>
      <c r="B199" s="139"/>
      <c r="C199" s="152" t="s">
        <v>1705</v>
      </c>
      <c r="D199" s="33"/>
      <c r="E199" s="33"/>
      <c r="F199" s="33"/>
      <c r="G199" s="33"/>
      <c r="H199" s="141" t="s">
        <v>1706</v>
      </c>
      <c r="I199" s="189" t="s">
        <v>1311</v>
      </c>
      <c r="J199" s="148" t="s">
        <v>1707</v>
      </c>
      <c r="K199" s="35"/>
      <c r="L199" s="17"/>
      <c r="M199" s="17"/>
      <c r="N199" s="17"/>
      <c r="O199" s="51"/>
      <c r="P199" s="51"/>
      <c r="Q199" s="51"/>
      <c r="R199" s="60"/>
      <c r="S199" s="51"/>
      <c r="T199" s="53"/>
      <c r="U199" s="53"/>
      <c r="V199" s="60"/>
      <c r="W199" s="81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/>
      <c r="AK199" s="38"/>
      <c r="AL199" s="11"/>
      <c r="AM199" s="6"/>
      <c r="AN199" s="6"/>
      <c r="AO199" s="6"/>
      <c r="AP199" s="43"/>
    </row>
    <row r="200" spans="1:42" ht="15" customHeight="1">
      <c r="A200" s="37">
        <v>187</v>
      </c>
      <c r="B200" s="139"/>
      <c r="C200" s="152" t="s">
        <v>443</v>
      </c>
      <c r="D200" s="33"/>
      <c r="E200" s="33"/>
      <c r="F200" s="33"/>
      <c r="G200" s="33"/>
      <c r="H200" s="77" t="s">
        <v>860</v>
      </c>
      <c r="I200" s="185" t="s">
        <v>1031</v>
      </c>
      <c r="J200" s="145" t="s">
        <v>288</v>
      </c>
      <c r="K200" s="35"/>
      <c r="L200" s="17"/>
      <c r="M200" s="17"/>
      <c r="N200" s="11"/>
      <c r="O200" s="51"/>
      <c r="P200" s="51"/>
      <c r="Q200" s="51"/>
      <c r="R200" s="60"/>
      <c r="S200" s="51"/>
      <c r="T200" s="53"/>
      <c r="U200" s="53"/>
      <c r="V200" s="60"/>
      <c r="W200" s="38"/>
      <c r="X200" s="77"/>
      <c r="Y200" s="17"/>
      <c r="Z200" s="17"/>
      <c r="AA200" s="70"/>
      <c r="AB200" s="70"/>
      <c r="AC200" s="70"/>
      <c r="AD200" s="43"/>
      <c r="AE200" s="38"/>
      <c r="AF200" s="11"/>
      <c r="AG200" s="6"/>
      <c r="AH200" s="6"/>
      <c r="AI200" s="6"/>
      <c r="AJ200" s="43"/>
      <c r="AK200" s="38"/>
      <c r="AL200" s="11"/>
      <c r="AM200" s="6"/>
      <c r="AN200" s="6"/>
      <c r="AO200" s="6"/>
      <c r="AP200" s="43"/>
    </row>
    <row r="201" spans="1:42">
      <c r="A201" s="37">
        <v>188</v>
      </c>
      <c r="B201" s="139"/>
      <c r="C201" s="152" t="s">
        <v>1206</v>
      </c>
      <c r="D201" s="33"/>
      <c r="E201" s="33"/>
      <c r="F201" s="33"/>
      <c r="G201" s="33"/>
      <c r="H201" s="113" t="s">
        <v>743</v>
      </c>
      <c r="I201" s="192" t="s">
        <v>1032</v>
      </c>
      <c r="J201" s="146" t="s">
        <v>742</v>
      </c>
      <c r="K201" s="125"/>
      <c r="L201" s="6">
        <v>600</v>
      </c>
      <c r="M201" s="6">
        <v>30</v>
      </c>
      <c r="N201" s="6">
        <v>630</v>
      </c>
      <c r="O201" s="51">
        <f>E201</f>
        <v>0</v>
      </c>
      <c r="P201" s="51">
        <v>2</v>
      </c>
      <c r="Q201" s="51">
        <v>2.5</v>
      </c>
      <c r="R201" s="60" t="s">
        <v>91</v>
      </c>
      <c r="S201" s="55">
        <v>0.5</v>
      </c>
      <c r="T201" s="55">
        <v>2</v>
      </c>
      <c r="U201" s="55">
        <v>2.5</v>
      </c>
      <c r="V201" s="60" t="s">
        <v>93</v>
      </c>
      <c r="W201" s="38">
        <v>173374</v>
      </c>
      <c r="X201" s="11" t="str">
        <f>IFERROR(INDEX([1]Sheet1!$A$2:$X$1948,MATCH($W$2:$W$264,[1]Sheet1!$G$2:$G$1948,0),8),"")</f>
        <v>쉐프솔루션 진짜통등심돈까스(130g*20입 2.6Kg/EA)</v>
      </c>
      <c r="Y201" s="17">
        <v>2600</v>
      </c>
      <c r="Z201" s="17">
        <v>20</v>
      </c>
      <c r="AA201" s="73">
        <v>0.5</v>
      </c>
      <c r="AB201" s="73">
        <v>2.5</v>
      </c>
      <c r="AC201" s="73">
        <v>3</v>
      </c>
      <c r="AD201" s="43"/>
      <c r="AE201" s="38"/>
      <c r="AF201" s="11">
        <f>IFERROR(INDEX([1]Sheet1!$A$2:$X$1948,MATCH($AE$2:$AE$264,[1]Sheet1!$G$2:$G$1948,0),8),"")</f>
        <v>0</v>
      </c>
      <c r="AG201" s="6"/>
      <c r="AH201" s="6" t="e">
        <f>P201*AJ201</f>
        <v>#DIV/0!</v>
      </c>
      <c r="AI201" s="6" t="e">
        <f>Q201*AJ201</f>
        <v>#DIV/0!</v>
      </c>
      <c r="AJ201" s="43" t="e">
        <f>AG201/$E201</f>
        <v>#DIV/0!</v>
      </c>
      <c r="AK201" s="38"/>
      <c r="AL201" s="11">
        <f>IFERROR(INDEX([1]Sheet1!$A$2:$X$1948,MATCH($AK$2:$AK$264,[1]Sheet1!$G$2:$G$1948,0),8),"")</f>
        <v>0</v>
      </c>
      <c r="AM201" s="6"/>
      <c r="AN201" s="6" t="e">
        <f>P201*AP201</f>
        <v>#DIV/0!</v>
      </c>
      <c r="AO201" s="6" t="e">
        <f>Q201*AP201</f>
        <v>#DIV/0!</v>
      </c>
      <c r="AP201" s="43" t="e">
        <f>AM201/$E201</f>
        <v>#DIV/0!</v>
      </c>
    </row>
    <row r="202" spans="1:42">
      <c r="A202" s="37">
        <v>189</v>
      </c>
      <c r="B202" s="139"/>
      <c r="C202" s="152" t="s">
        <v>660</v>
      </c>
      <c r="D202" s="33"/>
      <c r="E202" s="33"/>
      <c r="F202" s="33"/>
      <c r="G202" s="33"/>
      <c r="H202" s="77" t="s">
        <v>1708</v>
      </c>
      <c r="I202" s="185"/>
      <c r="J202" s="145"/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190</v>
      </c>
      <c r="B203" s="139"/>
      <c r="C203" s="152" t="s">
        <v>1236</v>
      </c>
      <c r="D203" s="33"/>
      <c r="E203" s="33"/>
      <c r="F203" s="33"/>
      <c r="G203" s="33"/>
      <c r="H203" s="205" t="s">
        <v>1240</v>
      </c>
      <c r="I203" s="185" t="s">
        <v>975</v>
      </c>
      <c r="J203" s="145" t="s">
        <v>740</v>
      </c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41"/>
      <c r="X203" s="42"/>
      <c r="Y203" s="68"/>
      <c r="Z203" s="68"/>
      <c r="AA203" s="70"/>
      <c r="AB203" s="70"/>
      <c r="AC203" s="70"/>
      <c r="AD203" s="43"/>
      <c r="AE203" s="41"/>
      <c r="AF203" s="42"/>
      <c r="AG203" s="6"/>
      <c r="AH203" s="6"/>
      <c r="AI203" s="6"/>
      <c r="AJ203" s="43"/>
      <c r="AK203" s="41"/>
      <c r="AL203" s="42"/>
      <c r="AM203" s="6"/>
      <c r="AN203" s="6"/>
      <c r="AO203" s="6"/>
      <c r="AP203" s="43"/>
    </row>
    <row r="204" spans="1:42">
      <c r="A204" s="37">
        <v>191</v>
      </c>
      <c r="B204" s="139"/>
      <c r="C204" s="152" t="s">
        <v>1702</v>
      </c>
      <c r="D204" s="33"/>
      <c r="E204" s="33"/>
      <c r="F204" s="33"/>
      <c r="G204" s="33"/>
      <c r="H204" s="77" t="s">
        <v>1703</v>
      </c>
      <c r="I204" s="185" t="s">
        <v>1704</v>
      </c>
      <c r="J204" s="145"/>
      <c r="K204" s="35"/>
      <c r="L204" s="17"/>
      <c r="M204" s="17"/>
      <c r="N204" s="17"/>
      <c r="O204" s="51"/>
      <c r="P204" s="51"/>
      <c r="Q204" s="51"/>
      <c r="R204" s="60"/>
      <c r="S204" s="52"/>
      <c r="T204" s="52"/>
      <c r="U204" s="52"/>
      <c r="V204" s="60"/>
      <c r="W204" s="38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192</v>
      </c>
      <c r="B205" s="139"/>
      <c r="C205" s="152" t="s">
        <v>651</v>
      </c>
      <c r="D205" s="33"/>
      <c r="E205" s="33"/>
      <c r="F205" s="33"/>
      <c r="G205" s="33"/>
      <c r="H205" s="77" t="s">
        <v>879</v>
      </c>
      <c r="I205" s="185" t="s">
        <v>2051</v>
      </c>
      <c r="J205" s="146"/>
      <c r="K205" s="35"/>
      <c r="L205" s="17"/>
      <c r="M205" s="17"/>
      <c r="N205" s="17"/>
      <c r="O205" s="51">
        <f>E205</f>
        <v>0</v>
      </c>
      <c r="P205" s="51"/>
      <c r="Q205" s="51"/>
      <c r="R205" s="60"/>
      <c r="S205" s="52"/>
      <c r="T205" s="52"/>
      <c r="U205" s="52"/>
      <c r="V205" s="60"/>
      <c r="W205" s="38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 t="e">
        <f>AG205/$E205</f>
        <v>#DIV/0!</v>
      </c>
      <c r="AK205" s="38"/>
      <c r="AL205" s="11"/>
      <c r="AM205" s="6"/>
      <c r="AN205" s="6"/>
      <c r="AO205" s="6"/>
      <c r="AP205" s="43" t="e">
        <f>AM205/$E205</f>
        <v>#DIV/0!</v>
      </c>
    </row>
    <row r="206" spans="1:42">
      <c r="A206" s="37"/>
      <c r="B206" s="139"/>
      <c r="C206" s="152" t="s">
        <v>1962</v>
      </c>
      <c r="D206" s="33"/>
      <c r="E206" s="33"/>
      <c r="F206" s="33"/>
      <c r="G206" s="33"/>
      <c r="H206" s="77" t="s">
        <v>1966</v>
      </c>
      <c r="I206" s="185" t="s">
        <v>1967</v>
      </c>
      <c r="J206" s="146"/>
      <c r="K206" s="35"/>
      <c r="L206" s="17"/>
      <c r="M206" s="17"/>
      <c r="N206" s="17"/>
      <c r="O206" s="51"/>
      <c r="P206" s="51"/>
      <c r="Q206" s="51"/>
      <c r="R206" s="60"/>
      <c r="S206" s="52"/>
      <c r="T206" s="52"/>
      <c r="U206" s="52"/>
      <c r="V206" s="60"/>
      <c r="W206" s="38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193</v>
      </c>
      <c r="B207" s="139"/>
      <c r="C207" s="152" t="s">
        <v>716</v>
      </c>
      <c r="D207" s="33"/>
      <c r="E207" s="33"/>
      <c r="F207" s="33"/>
      <c r="G207" s="33"/>
      <c r="H207" s="141" t="s">
        <v>1422</v>
      </c>
      <c r="I207" s="187" t="s">
        <v>998</v>
      </c>
      <c r="J207" s="146"/>
      <c r="K207" s="35"/>
      <c r="L207" s="17"/>
      <c r="M207" s="17"/>
      <c r="N207" s="17"/>
      <c r="O207" s="51">
        <f>E207</f>
        <v>0</v>
      </c>
      <c r="P207" s="51"/>
      <c r="Q207" s="51"/>
      <c r="R207" s="60"/>
      <c r="S207" s="54"/>
      <c r="T207" s="54"/>
      <c r="U207" s="54"/>
      <c r="V207" s="60"/>
      <c r="W207" s="38"/>
      <c r="X207" s="11"/>
      <c r="Y207" s="17"/>
      <c r="Z207" s="17"/>
      <c r="AA207" s="74"/>
      <c r="AB207" s="74"/>
      <c r="AC207" s="74"/>
      <c r="AD207" s="43"/>
      <c r="AE207" s="38"/>
      <c r="AF207" s="11"/>
      <c r="AG207" s="6"/>
      <c r="AH207" s="6"/>
      <c r="AI207" s="6"/>
      <c r="AJ207" s="43" t="e">
        <f>AG207/$E207</f>
        <v>#DIV/0!</v>
      </c>
      <c r="AK207" s="38"/>
      <c r="AL207" s="11"/>
      <c r="AM207" s="6"/>
      <c r="AN207" s="6"/>
      <c r="AO207" s="6"/>
      <c r="AP207" s="43" t="e">
        <f>AM207/$E207</f>
        <v>#DIV/0!</v>
      </c>
    </row>
    <row r="208" spans="1:42">
      <c r="A208" s="37">
        <v>194</v>
      </c>
      <c r="B208" s="139"/>
      <c r="C208" s="168" t="s">
        <v>1118</v>
      </c>
      <c r="D208" s="33"/>
      <c r="E208" s="33"/>
      <c r="F208" s="33"/>
      <c r="G208" s="33"/>
      <c r="H208" s="77" t="s">
        <v>1607</v>
      </c>
      <c r="I208" s="185" t="s">
        <v>1238</v>
      </c>
      <c r="J208" s="146" t="s">
        <v>1271</v>
      </c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195</v>
      </c>
      <c r="B209" s="139"/>
      <c r="C209" s="152" t="s">
        <v>1428</v>
      </c>
      <c r="D209" s="33"/>
      <c r="E209" s="33"/>
      <c r="F209" s="33"/>
      <c r="G209" s="33"/>
      <c r="H209" s="141" t="s">
        <v>1429</v>
      </c>
      <c r="I209" s="189" t="s">
        <v>1430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>
      <c r="A210" s="37">
        <v>196</v>
      </c>
      <c r="B210" s="139"/>
      <c r="C210" s="170" t="s">
        <v>1929</v>
      </c>
      <c r="D210" s="33"/>
      <c r="E210" s="33"/>
      <c r="F210" s="33"/>
      <c r="G210" s="33"/>
      <c r="H210" s="141" t="s">
        <v>1624</v>
      </c>
      <c r="I210" s="189" t="s">
        <v>1625</v>
      </c>
      <c r="J210" s="146"/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11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>
      <c r="A211" s="37">
        <v>197</v>
      </c>
      <c r="B211" s="139"/>
      <c r="C211" s="152" t="s">
        <v>1733</v>
      </c>
      <c r="D211" s="33"/>
      <c r="E211" s="33"/>
      <c r="F211" s="33"/>
      <c r="G211" s="33"/>
      <c r="H211" s="141" t="s">
        <v>1734</v>
      </c>
      <c r="I211" s="189" t="s">
        <v>1735</v>
      </c>
      <c r="J211" s="146"/>
      <c r="K211" s="35"/>
      <c r="L211" s="17"/>
      <c r="M211" s="17"/>
      <c r="N211" s="17"/>
      <c r="O211" s="51"/>
      <c r="P211" s="51"/>
      <c r="Q211" s="51"/>
      <c r="R211" s="60"/>
      <c r="S211" s="51"/>
      <c r="T211" s="53"/>
      <c r="U211" s="53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198</v>
      </c>
      <c r="B212" s="139"/>
      <c r="C212" s="152" t="s">
        <v>1165</v>
      </c>
      <c r="D212" s="33"/>
      <c r="E212" s="33"/>
      <c r="F212" s="33"/>
      <c r="G212" s="33"/>
      <c r="H212" s="141" t="s">
        <v>1166</v>
      </c>
      <c r="I212" s="189" t="s">
        <v>1090</v>
      </c>
      <c r="J212" s="146"/>
      <c r="K212" s="35"/>
      <c r="L212" s="17"/>
      <c r="M212" s="17"/>
      <c r="N212" s="17"/>
      <c r="O212" s="51"/>
      <c r="P212" s="51"/>
      <c r="Q212" s="51"/>
      <c r="R212" s="60"/>
      <c r="S212" s="51"/>
      <c r="T212" s="53"/>
      <c r="U212" s="53"/>
      <c r="V212" s="60"/>
      <c r="W212" s="81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199</v>
      </c>
      <c r="B213" s="139"/>
      <c r="C213" s="246" t="s">
        <v>1649</v>
      </c>
      <c r="D213" s="33"/>
      <c r="E213" s="33"/>
      <c r="F213" s="33"/>
      <c r="G213" s="33"/>
      <c r="H213" s="77" t="s">
        <v>1651</v>
      </c>
      <c r="I213" s="189" t="s">
        <v>1652</v>
      </c>
      <c r="J213" s="146" t="s">
        <v>1650</v>
      </c>
      <c r="K213" s="35"/>
      <c r="L213" s="17"/>
      <c r="M213" s="17"/>
      <c r="N213" s="17"/>
      <c r="O213" s="51"/>
      <c r="P213" s="51"/>
      <c r="Q213" s="51"/>
      <c r="R213" s="60"/>
      <c r="S213" s="51"/>
      <c r="T213" s="53"/>
      <c r="U213" s="53"/>
      <c r="V213" s="60"/>
      <c r="W213" s="81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200</v>
      </c>
      <c r="B214" s="139"/>
      <c r="C214" s="152" t="s">
        <v>809</v>
      </c>
      <c r="D214" s="33"/>
      <c r="E214" s="33"/>
      <c r="F214" s="33"/>
      <c r="G214" s="33"/>
      <c r="H214" s="141" t="s">
        <v>881</v>
      </c>
      <c r="I214" s="189"/>
      <c r="J214" s="146"/>
      <c r="K214" s="35"/>
      <c r="L214" s="17"/>
      <c r="M214" s="17"/>
      <c r="N214" s="17"/>
      <c r="O214" s="51"/>
      <c r="P214" s="51"/>
      <c r="Q214" s="51"/>
      <c r="R214" s="60"/>
      <c r="S214" s="51"/>
      <c r="T214" s="53"/>
      <c r="U214" s="53"/>
      <c r="V214" s="60"/>
      <c r="W214" s="81"/>
      <c r="X214" s="11"/>
      <c r="Y214" s="17"/>
      <c r="Z214" s="17"/>
      <c r="AA214" s="70"/>
      <c r="AB214" s="70"/>
      <c r="AC214" s="70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201</v>
      </c>
      <c r="B215" s="139"/>
      <c r="C215" s="152" t="s">
        <v>1944</v>
      </c>
      <c r="D215" s="33"/>
      <c r="E215" s="33"/>
      <c r="F215" s="33"/>
      <c r="G215" s="33"/>
      <c r="H215" s="141" t="s">
        <v>1421</v>
      </c>
      <c r="I215" s="189" t="s">
        <v>998</v>
      </c>
      <c r="J215" s="146"/>
      <c r="K215" s="35"/>
      <c r="L215" s="17"/>
      <c r="M215" s="17"/>
      <c r="N215" s="17"/>
      <c r="O215" s="51"/>
      <c r="P215" s="51"/>
      <c r="Q215" s="51"/>
      <c r="R215" s="60"/>
      <c r="S215" s="51"/>
      <c r="T215" s="53"/>
      <c r="U215" s="53"/>
      <c r="V215" s="60"/>
      <c r="W215" s="81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202</v>
      </c>
      <c r="B216" s="139"/>
      <c r="C216" s="152" t="s">
        <v>1915</v>
      </c>
      <c r="D216" s="33"/>
      <c r="E216" s="33"/>
      <c r="F216" s="33"/>
      <c r="G216" s="33"/>
      <c r="H216" s="141" t="s">
        <v>1916</v>
      </c>
      <c r="I216" s="189" t="s">
        <v>1917</v>
      </c>
      <c r="J216" s="146"/>
      <c r="K216" s="35"/>
      <c r="L216" s="17"/>
      <c r="M216" s="17"/>
      <c r="N216" s="17"/>
      <c r="O216" s="51"/>
      <c r="P216" s="51"/>
      <c r="Q216" s="51"/>
      <c r="R216" s="60"/>
      <c r="S216" s="51"/>
      <c r="T216" s="53"/>
      <c r="U216" s="53"/>
      <c r="V216" s="60"/>
      <c r="W216" s="81"/>
      <c r="X216" s="11"/>
      <c r="Y216" s="17"/>
      <c r="Z216" s="17"/>
      <c r="AA216" s="70"/>
      <c r="AB216" s="70"/>
      <c r="AC216" s="70"/>
      <c r="AD216" s="43"/>
      <c r="AE216" s="38"/>
      <c r="AF216" s="11"/>
      <c r="AG216" s="6"/>
      <c r="AH216" s="6"/>
      <c r="AI216" s="6"/>
      <c r="AJ216" s="43"/>
      <c r="AK216" s="38"/>
      <c r="AL216" s="11"/>
      <c r="AM216" s="6"/>
      <c r="AN216" s="6"/>
      <c r="AO216" s="6"/>
      <c r="AP216" s="43"/>
    </row>
    <row r="217" spans="1:42" ht="27">
      <c r="A217" s="37">
        <v>203</v>
      </c>
      <c r="B217" s="139"/>
      <c r="C217" s="152" t="s">
        <v>639</v>
      </c>
      <c r="D217" s="33"/>
      <c r="E217" s="33"/>
      <c r="F217" s="33"/>
      <c r="G217" s="33"/>
      <c r="H217" s="77" t="s">
        <v>966</v>
      </c>
      <c r="I217" s="185" t="s">
        <v>1048</v>
      </c>
      <c r="J217" s="146" t="s">
        <v>754</v>
      </c>
      <c r="K217" s="35"/>
      <c r="L217" s="17"/>
      <c r="M217" s="17"/>
      <c r="N217" s="17"/>
      <c r="O217" s="51"/>
      <c r="P217" s="51"/>
      <c r="Q217" s="51"/>
      <c r="R217" s="60"/>
      <c r="S217" s="51"/>
      <c r="T217" s="53"/>
      <c r="U217" s="53"/>
      <c r="V217" s="60"/>
      <c r="W217" s="81"/>
      <c r="X217" s="11"/>
      <c r="Y217" s="17"/>
      <c r="Z217" s="17"/>
      <c r="AA217" s="70"/>
      <c r="AB217" s="70"/>
      <c r="AC217" s="70"/>
      <c r="AD217" s="43"/>
      <c r="AE217" s="38"/>
      <c r="AF217" s="82"/>
      <c r="AG217" s="6"/>
      <c r="AH217" s="6"/>
      <c r="AI217" s="6"/>
      <c r="AJ217" s="43"/>
      <c r="AK217" s="38"/>
      <c r="AL217" s="11"/>
      <c r="AM217" s="6"/>
      <c r="AN217" s="6"/>
      <c r="AO217" s="6"/>
      <c r="AP217" s="43"/>
    </row>
    <row r="218" spans="1:42" ht="17.25" customHeight="1">
      <c r="A218" s="37">
        <v>204</v>
      </c>
      <c r="B218" s="139"/>
      <c r="C218" s="152" t="s">
        <v>675</v>
      </c>
      <c r="D218" s="33"/>
      <c r="E218" s="33"/>
      <c r="F218" s="33"/>
      <c r="G218" s="33"/>
      <c r="H218" s="77" t="s">
        <v>1495</v>
      </c>
      <c r="I218" s="185" t="s">
        <v>1024</v>
      </c>
      <c r="J218" s="145"/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81"/>
      <c r="X218" s="11"/>
      <c r="Y218" s="17"/>
      <c r="Z218" s="17"/>
      <c r="AA218" s="70"/>
      <c r="AB218" s="70"/>
      <c r="AC218" s="70"/>
      <c r="AD218" s="43"/>
      <c r="AE218" s="38"/>
      <c r="AF218" s="11"/>
      <c r="AG218" s="6"/>
      <c r="AH218" s="6"/>
      <c r="AI218" s="6"/>
      <c r="AJ218" s="43"/>
      <c r="AK218" s="38"/>
      <c r="AL218" s="11"/>
      <c r="AM218" s="6"/>
      <c r="AN218" s="6"/>
      <c r="AO218" s="6"/>
      <c r="AP218" s="43"/>
    </row>
    <row r="219" spans="1:42">
      <c r="A219" s="37">
        <v>205</v>
      </c>
      <c r="B219" s="139"/>
      <c r="C219" s="152" t="s">
        <v>1757</v>
      </c>
      <c r="D219" s="33"/>
      <c r="E219" s="33"/>
      <c r="F219" s="33"/>
      <c r="G219" s="33"/>
      <c r="H219" s="77" t="s">
        <v>1758</v>
      </c>
      <c r="I219" s="185" t="s">
        <v>1101</v>
      </c>
      <c r="J219" s="146" t="s">
        <v>1804</v>
      </c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Y219" s="17"/>
      <c r="Z219" s="17"/>
      <c r="AA219" s="70"/>
      <c r="AB219" s="70"/>
      <c r="AC219" s="70"/>
      <c r="AD219" s="43"/>
      <c r="AE219" s="38"/>
      <c r="AF219" s="11"/>
      <c r="AG219" s="6"/>
      <c r="AH219" s="6"/>
      <c r="AI219" s="6"/>
      <c r="AJ219" s="43"/>
      <c r="AK219" s="38"/>
      <c r="AL219" s="11"/>
      <c r="AM219" s="6"/>
      <c r="AN219" s="6"/>
      <c r="AO219" s="6"/>
      <c r="AP219" s="43"/>
    </row>
    <row r="220" spans="1:42">
      <c r="A220" s="37">
        <v>206</v>
      </c>
      <c r="B220" s="139"/>
      <c r="C220" s="152" t="s">
        <v>2036</v>
      </c>
      <c r="D220" s="33"/>
      <c r="E220" s="33"/>
      <c r="F220" s="33"/>
      <c r="G220" s="33"/>
      <c r="H220" s="77" t="s">
        <v>2037</v>
      </c>
      <c r="I220" s="185" t="s">
        <v>1601</v>
      </c>
      <c r="J220" s="146"/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Y220" s="17"/>
      <c r="Z220" s="17"/>
      <c r="AA220" s="70"/>
      <c r="AB220" s="70"/>
      <c r="AC220" s="70"/>
      <c r="AD220" s="43"/>
      <c r="AE220" s="38"/>
      <c r="AF220" s="11"/>
      <c r="AG220" s="6"/>
      <c r="AH220" s="6"/>
      <c r="AI220" s="6"/>
      <c r="AJ220" s="43"/>
      <c r="AK220" s="38"/>
      <c r="AL220" s="11"/>
      <c r="AM220" s="6"/>
      <c r="AN220" s="6"/>
      <c r="AO220" s="6"/>
      <c r="AP220" s="43"/>
    </row>
    <row r="221" spans="1:42">
      <c r="A221" s="37">
        <v>207</v>
      </c>
      <c r="B221" s="139"/>
      <c r="C221" s="152" t="s">
        <v>619</v>
      </c>
      <c r="D221" s="33"/>
      <c r="E221" s="33"/>
      <c r="F221" s="33"/>
      <c r="G221" s="33"/>
      <c r="H221" s="77" t="s">
        <v>1158</v>
      </c>
      <c r="I221" s="185" t="s">
        <v>1067</v>
      </c>
      <c r="J221" s="146"/>
      <c r="K221" s="125"/>
      <c r="L221" s="6">
        <v>600</v>
      </c>
      <c r="M221" s="6">
        <v>30</v>
      </c>
      <c r="N221" s="6">
        <v>630</v>
      </c>
      <c r="O221" s="51"/>
      <c r="P221" s="51"/>
      <c r="Q221" s="51"/>
      <c r="R221" s="60"/>
      <c r="S221" s="52"/>
      <c r="T221" s="52"/>
      <c r="U221" s="52"/>
      <c r="V221" s="60"/>
      <c r="W221" s="38"/>
      <c r="X221" s="11"/>
      <c r="Y221" s="17"/>
      <c r="Z221" s="17"/>
      <c r="AA221" s="71"/>
      <c r="AB221" s="71"/>
      <c r="AC221" s="71"/>
      <c r="AD221" s="43"/>
      <c r="AE221" s="38"/>
      <c r="AF221" s="11"/>
      <c r="AG221" s="6"/>
      <c r="AH221" s="6"/>
      <c r="AI221" s="6"/>
      <c r="AJ221" s="43"/>
      <c r="AK221" s="38"/>
      <c r="AL221" s="11"/>
      <c r="AM221" s="6"/>
      <c r="AN221" s="6"/>
      <c r="AO221" s="6"/>
      <c r="AP221" s="43"/>
    </row>
    <row r="222" spans="1:42">
      <c r="A222" s="37">
        <v>208</v>
      </c>
      <c r="B222" s="139"/>
      <c r="C222" s="152" t="s">
        <v>767</v>
      </c>
      <c r="D222" s="33"/>
      <c r="E222" s="33"/>
      <c r="F222" s="33"/>
      <c r="G222" s="33"/>
      <c r="H222" s="77" t="s">
        <v>1110</v>
      </c>
      <c r="I222" s="185" t="s">
        <v>1720</v>
      </c>
      <c r="J222" s="145" t="s">
        <v>760</v>
      </c>
      <c r="K222" s="125"/>
      <c r="L222" s="6"/>
      <c r="M222" s="6"/>
      <c r="N222" s="6"/>
      <c r="O222" s="51"/>
      <c r="P222" s="51"/>
      <c r="Q222" s="51"/>
      <c r="R222" s="60"/>
      <c r="S222" s="51"/>
      <c r="T222" s="51"/>
      <c r="U222" s="51"/>
      <c r="V222" s="60"/>
      <c r="W222" s="38"/>
      <c r="X222" s="11"/>
      <c r="Y222" s="17"/>
      <c r="Z222" s="17"/>
      <c r="AA222" s="70"/>
      <c r="AB222" s="70"/>
      <c r="AC222" s="70"/>
      <c r="AD222" s="43"/>
      <c r="AE222" s="38"/>
      <c r="AF222" s="11"/>
      <c r="AG222" s="6"/>
      <c r="AH222" s="6"/>
      <c r="AI222" s="6"/>
      <c r="AJ222" s="43"/>
      <c r="AK222" s="38"/>
      <c r="AL222" s="11"/>
      <c r="AM222" s="6"/>
      <c r="AN222" s="6"/>
      <c r="AO222" s="6"/>
      <c r="AP222" s="43"/>
    </row>
    <row r="223" spans="1:42">
      <c r="A223" s="37">
        <v>209</v>
      </c>
      <c r="B223" s="139"/>
      <c r="C223" s="152" t="s">
        <v>1565</v>
      </c>
      <c r="D223" s="33"/>
      <c r="E223" s="33"/>
      <c r="F223" s="33"/>
      <c r="G223" s="33"/>
      <c r="H223" s="110" t="s">
        <v>1567</v>
      </c>
      <c r="I223" s="186" t="s">
        <v>1103</v>
      </c>
      <c r="J223" s="146"/>
      <c r="K223" s="125"/>
      <c r="L223" s="6"/>
      <c r="M223" s="6"/>
      <c r="N223" s="6"/>
      <c r="O223" s="51"/>
      <c r="P223" s="51"/>
      <c r="Q223" s="51"/>
      <c r="R223" s="60"/>
      <c r="S223" s="51"/>
      <c r="T223" s="51"/>
      <c r="U223" s="51"/>
      <c r="V223" s="60"/>
      <c r="W223" s="38"/>
      <c r="X223" s="11"/>
      <c r="AA223" s="119"/>
      <c r="AB223" s="119"/>
      <c r="AC223" s="119"/>
      <c r="AE223" s="118"/>
      <c r="AG223" s="8"/>
      <c r="AH223" s="8"/>
      <c r="AI223" s="8"/>
      <c r="AK223" s="118"/>
      <c r="AM223" s="8"/>
      <c r="AN223" s="8"/>
      <c r="AO223" s="8"/>
    </row>
    <row r="224" spans="1:42">
      <c r="A224" s="37">
        <v>210</v>
      </c>
      <c r="B224" s="139"/>
      <c r="C224" s="152" t="s">
        <v>1626</v>
      </c>
      <c r="D224" s="33"/>
      <c r="E224" s="33"/>
      <c r="F224" s="33"/>
      <c r="G224" s="33"/>
      <c r="H224" s="110" t="s">
        <v>1627</v>
      </c>
      <c r="I224" s="186" t="s">
        <v>1060</v>
      </c>
      <c r="J224" s="146" t="s">
        <v>1628</v>
      </c>
      <c r="K224" s="125"/>
      <c r="L224" s="6"/>
      <c r="M224" s="6"/>
      <c r="N224" s="6"/>
      <c r="O224" s="51"/>
      <c r="P224" s="51"/>
      <c r="Q224" s="51"/>
      <c r="R224" s="60"/>
      <c r="S224" s="51"/>
      <c r="T224" s="51"/>
      <c r="U224" s="51"/>
      <c r="V224" s="60"/>
      <c r="W224" s="38"/>
      <c r="X224" s="11"/>
      <c r="AA224" s="119"/>
      <c r="AB224" s="119"/>
      <c r="AC224" s="119"/>
      <c r="AE224" s="118"/>
      <c r="AG224" s="8"/>
      <c r="AH224" s="8"/>
      <c r="AI224" s="8"/>
      <c r="AK224" s="118"/>
      <c r="AM224" s="8"/>
      <c r="AN224" s="8"/>
      <c r="AO224" s="8"/>
    </row>
    <row r="225" spans="1:42">
      <c r="A225" s="37">
        <v>211</v>
      </c>
      <c r="B225" s="139"/>
      <c r="C225" s="152" t="s">
        <v>959</v>
      </c>
      <c r="D225" s="33"/>
      <c r="E225" s="33"/>
      <c r="F225" s="33"/>
      <c r="G225" s="33"/>
      <c r="H225" s="110" t="s">
        <v>970</v>
      </c>
      <c r="I225" s="186" t="s">
        <v>1137</v>
      </c>
      <c r="J225" s="146" t="s">
        <v>971</v>
      </c>
      <c r="K225" s="125"/>
      <c r="L225" s="6"/>
      <c r="M225" s="6"/>
      <c r="N225" s="6"/>
      <c r="O225" s="51"/>
      <c r="P225" s="51"/>
      <c r="Q225" s="51"/>
      <c r="R225" s="60"/>
      <c r="S225" s="51"/>
      <c r="T225" s="51"/>
      <c r="U225" s="51"/>
      <c r="V225" s="60"/>
      <c r="W225" s="38"/>
      <c r="X225" s="11"/>
      <c r="AA225" s="119"/>
      <c r="AB225" s="119"/>
      <c r="AC225" s="119"/>
      <c r="AE225" s="118"/>
      <c r="AG225" s="8"/>
      <c r="AH225" s="8"/>
      <c r="AI225" s="8"/>
      <c r="AK225" s="118"/>
      <c r="AM225" s="8"/>
      <c r="AN225" s="8"/>
      <c r="AO225" s="8"/>
    </row>
    <row r="226" spans="1:42">
      <c r="A226" s="37">
        <v>212</v>
      </c>
      <c r="B226" s="139"/>
      <c r="C226" s="152" t="s">
        <v>1646</v>
      </c>
      <c r="D226" s="33"/>
      <c r="E226" s="33"/>
      <c r="F226" s="33"/>
      <c r="G226" s="33"/>
      <c r="H226" s="110" t="s">
        <v>854</v>
      </c>
      <c r="I226" s="186" t="s">
        <v>1103</v>
      </c>
      <c r="J226" s="146"/>
      <c r="K226" s="125"/>
      <c r="L226" s="6"/>
      <c r="M226" s="6"/>
      <c r="N226" s="6"/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AA226" s="119"/>
      <c r="AB226" s="119"/>
      <c r="AC226" s="119"/>
      <c r="AE226" s="118"/>
      <c r="AG226" s="8"/>
      <c r="AH226" s="8"/>
      <c r="AI226" s="8"/>
      <c r="AK226" s="118"/>
      <c r="AM226" s="8"/>
      <c r="AN226" s="8"/>
      <c r="AO226" s="8"/>
    </row>
    <row r="227" spans="1:42">
      <c r="A227" s="37">
        <v>213</v>
      </c>
      <c r="B227" s="139"/>
      <c r="C227" s="152" t="s">
        <v>1965</v>
      </c>
      <c r="D227" s="33"/>
      <c r="E227" s="33"/>
      <c r="F227" s="33"/>
      <c r="G227" s="33"/>
      <c r="H227" s="110" t="s">
        <v>1963</v>
      </c>
      <c r="I227" s="186" t="s">
        <v>1381</v>
      </c>
      <c r="J227" s="146" t="s">
        <v>1964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AA227" s="119"/>
      <c r="AB227" s="119"/>
      <c r="AC227" s="119"/>
      <c r="AE227" s="118"/>
      <c r="AG227" s="8"/>
      <c r="AH227" s="8"/>
      <c r="AI227" s="8"/>
      <c r="AK227" s="118"/>
      <c r="AM227" s="8"/>
      <c r="AN227" s="8"/>
      <c r="AO227" s="8"/>
    </row>
    <row r="228" spans="1:42" ht="20.100000000000001" customHeight="1">
      <c r="A228" s="37">
        <v>214</v>
      </c>
      <c r="B228" s="139"/>
      <c r="C228" s="152" t="s">
        <v>766</v>
      </c>
      <c r="D228" s="33"/>
      <c r="E228" s="33"/>
      <c r="F228" s="33"/>
      <c r="G228" s="33"/>
      <c r="H228" s="77" t="s">
        <v>857</v>
      </c>
      <c r="I228" s="185" t="s">
        <v>996</v>
      </c>
      <c r="J228" s="145" t="s">
        <v>760</v>
      </c>
      <c r="K228" s="35"/>
      <c r="L228" s="17">
        <v>30800</v>
      </c>
      <c r="M228" s="17">
        <v>1540</v>
      </c>
      <c r="N228" s="17">
        <v>32340</v>
      </c>
      <c r="O228" s="51"/>
      <c r="P228" s="51"/>
      <c r="Q228" s="51"/>
      <c r="R228" s="60"/>
      <c r="S228" s="51"/>
      <c r="T228" s="53"/>
      <c r="U228" s="53"/>
      <c r="V228" s="60"/>
      <c r="W228" s="41"/>
      <c r="X228" s="42"/>
      <c r="Y228" s="68"/>
      <c r="Z228" s="68"/>
      <c r="AA228" s="70"/>
      <c r="AB228" s="70"/>
      <c r="AC228" s="70"/>
      <c r="AD228" s="43"/>
      <c r="AE228" s="41"/>
      <c r="AF228" s="42"/>
      <c r="AG228" s="6"/>
      <c r="AH228" s="6"/>
      <c r="AI228" s="6"/>
      <c r="AJ228" s="43"/>
      <c r="AK228" s="41"/>
      <c r="AL228" s="42"/>
      <c r="AM228" s="6"/>
      <c r="AN228" s="6"/>
      <c r="AO228" s="6"/>
      <c r="AP228" s="43"/>
    </row>
    <row r="229" spans="1:42" ht="20.100000000000001" customHeight="1">
      <c r="A229" s="37">
        <v>215</v>
      </c>
      <c r="B229" s="139"/>
      <c r="C229" s="152" t="s">
        <v>1185</v>
      </c>
      <c r="D229" s="33"/>
      <c r="E229" s="33"/>
      <c r="F229" s="33"/>
      <c r="G229" s="33"/>
      <c r="H229" s="141" t="s">
        <v>868</v>
      </c>
      <c r="I229" s="189" t="s">
        <v>1186</v>
      </c>
      <c r="J229" s="146"/>
      <c r="K229" s="35"/>
      <c r="L229" s="17"/>
      <c r="M229" s="17"/>
      <c r="N229" s="17"/>
      <c r="O229" s="51"/>
      <c r="P229" s="51"/>
      <c r="Q229" s="51"/>
      <c r="R229" s="60"/>
      <c r="S229" s="51"/>
      <c r="T229" s="53"/>
      <c r="U229" s="53"/>
      <c r="V229" s="60"/>
      <c r="W229" s="41"/>
      <c r="X229" s="42"/>
      <c r="Y229" s="68"/>
      <c r="Z229" s="68"/>
      <c r="AA229" s="70"/>
      <c r="AB229" s="70"/>
      <c r="AC229" s="70"/>
      <c r="AD229" s="43"/>
      <c r="AE229" s="41"/>
      <c r="AF229" s="42"/>
      <c r="AG229" s="6"/>
      <c r="AH229" s="6"/>
      <c r="AI229" s="6"/>
      <c r="AJ229" s="43"/>
      <c r="AK229" s="41"/>
      <c r="AL229" s="42"/>
      <c r="AM229" s="6"/>
      <c r="AN229" s="6"/>
      <c r="AO229" s="6"/>
      <c r="AP229" s="43"/>
    </row>
    <row r="230" spans="1:42" ht="20.100000000000001" customHeight="1">
      <c r="A230" s="37">
        <v>216</v>
      </c>
      <c r="B230" s="139"/>
      <c r="C230" s="152" t="s">
        <v>1135</v>
      </c>
      <c r="D230" s="33"/>
      <c r="E230" s="33"/>
      <c r="F230" s="33"/>
      <c r="G230" s="33"/>
      <c r="H230" s="141" t="s">
        <v>1136</v>
      </c>
      <c r="I230" s="189" t="s">
        <v>1035</v>
      </c>
      <c r="J230" s="146"/>
      <c r="K230" s="35"/>
      <c r="L230" s="17"/>
      <c r="M230" s="17"/>
      <c r="N230" s="17"/>
      <c r="O230" s="51"/>
      <c r="P230" s="51"/>
      <c r="Q230" s="51"/>
      <c r="R230" s="60"/>
      <c r="S230" s="51"/>
      <c r="T230" s="53"/>
      <c r="U230" s="53"/>
      <c r="V230" s="60"/>
      <c r="W230" s="41"/>
      <c r="X230" s="42"/>
      <c r="Y230" s="68"/>
      <c r="Z230" s="68"/>
      <c r="AA230" s="70"/>
      <c r="AB230" s="70"/>
      <c r="AC230" s="70"/>
      <c r="AD230" s="43"/>
      <c r="AE230" s="41"/>
      <c r="AF230" s="42"/>
      <c r="AG230" s="6"/>
      <c r="AH230" s="6"/>
      <c r="AI230" s="6"/>
      <c r="AJ230" s="43"/>
      <c r="AK230" s="41"/>
      <c r="AL230" s="42"/>
      <c r="AM230" s="6"/>
      <c r="AN230" s="6"/>
      <c r="AO230" s="6"/>
      <c r="AP230" s="43"/>
    </row>
    <row r="231" spans="1:42">
      <c r="A231" s="37">
        <v>217</v>
      </c>
      <c r="B231" s="139"/>
      <c r="C231" s="152" t="s">
        <v>1847</v>
      </c>
      <c r="D231" s="33"/>
      <c r="E231" s="33"/>
      <c r="F231" s="33"/>
      <c r="G231" s="33"/>
      <c r="H231" s="111" t="s">
        <v>1599</v>
      </c>
      <c r="I231" s="194" t="s">
        <v>1323</v>
      </c>
      <c r="J231" s="145" t="s">
        <v>1600</v>
      </c>
      <c r="K231" s="35"/>
      <c r="L231" s="17"/>
      <c r="M231" s="17"/>
      <c r="N231" s="17"/>
      <c r="O231" s="51"/>
      <c r="P231" s="51"/>
      <c r="Q231" s="51"/>
      <c r="R231" s="60"/>
      <c r="S231" s="51"/>
      <c r="T231" s="53"/>
      <c r="U231" s="53"/>
      <c r="V231" s="60"/>
      <c r="W231" s="38"/>
      <c r="X231" s="11"/>
      <c r="Y231" s="17"/>
      <c r="Z231" s="17"/>
      <c r="AA231" s="70"/>
      <c r="AB231" s="70"/>
      <c r="AC231" s="70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>
      <c r="A232" s="37">
        <v>218</v>
      </c>
      <c r="B232" s="139"/>
      <c r="C232" s="152" t="s">
        <v>677</v>
      </c>
      <c r="D232" s="33"/>
      <c r="E232" s="33"/>
      <c r="F232" s="33"/>
      <c r="G232" s="33"/>
      <c r="H232" s="111" t="s">
        <v>882</v>
      </c>
      <c r="I232" s="194"/>
      <c r="J232" s="145"/>
      <c r="K232" s="125"/>
      <c r="L232" s="6">
        <v>24885</v>
      </c>
      <c r="M232" s="6">
        <v>1244.25</v>
      </c>
      <c r="N232" s="6">
        <v>26129.25</v>
      </c>
      <c r="O232" s="51"/>
      <c r="P232" s="51"/>
      <c r="Q232" s="51"/>
      <c r="R232" s="60"/>
      <c r="S232" s="51"/>
      <c r="T232" s="51"/>
      <c r="U232" s="51"/>
      <c r="V232" s="60"/>
      <c r="W232" s="38"/>
      <c r="X232" s="11"/>
      <c r="Y232" s="17"/>
      <c r="Z232" s="17"/>
      <c r="AA232" s="70"/>
      <c r="AB232" s="70"/>
      <c r="AC232" s="70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 ht="27">
      <c r="A233" s="37">
        <v>219</v>
      </c>
      <c r="B233" s="139"/>
      <c r="C233" s="152" t="s">
        <v>422</v>
      </c>
      <c r="D233" s="33"/>
      <c r="E233" s="33"/>
      <c r="F233" s="33"/>
      <c r="G233" s="33"/>
      <c r="H233" s="77" t="s">
        <v>1400</v>
      </c>
      <c r="I233" s="185"/>
      <c r="J233" s="145" t="s">
        <v>925</v>
      </c>
      <c r="K233" s="125"/>
      <c r="L233" s="6"/>
      <c r="M233" s="6"/>
      <c r="N233" s="6"/>
      <c r="O233" s="51"/>
      <c r="P233" s="51"/>
      <c r="Q233" s="51"/>
      <c r="R233" s="60"/>
      <c r="S233" s="51"/>
      <c r="T233" s="51"/>
      <c r="U233" s="51"/>
      <c r="V233" s="60"/>
      <c r="W233" s="38"/>
      <c r="X233" s="11"/>
      <c r="Y233" s="17"/>
      <c r="Z233" s="17"/>
      <c r="AA233" s="70"/>
      <c r="AB233" s="70"/>
      <c r="AC233" s="70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220</v>
      </c>
      <c r="B234" s="139"/>
      <c r="C234" s="152" t="s">
        <v>1918</v>
      </c>
      <c r="D234" s="33"/>
      <c r="E234" s="33"/>
      <c r="F234" s="33"/>
      <c r="G234" s="33"/>
      <c r="H234" s="77" t="s">
        <v>1919</v>
      </c>
      <c r="I234" s="185" t="s">
        <v>1381</v>
      </c>
      <c r="J234" s="145" t="s">
        <v>1920</v>
      </c>
      <c r="K234" s="125"/>
      <c r="L234" s="6"/>
      <c r="M234" s="6"/>
      <c r="N234" s="6"/>
      <c r="O234" s="51"/>
      <c r="P234" s="51"/>
      <c r="Q234" s="51"/>
      <c r="R234" s="60"/>
      <c r="S234" s="51"/>
      <c r="T234" s="51"/>
      <c r="U234" s="51"/>
      <c r="V234" s="60"/>
      <c r="W234" s="38"/>
      <c r="X234" s="11"/>
      <c r="Y234" s="17"/>
      <c r="Z234" s="17"/>
      <c r="AA234" s="70"/>
      <c r="AB234" s="70"/>
      <c r="AC234" s="70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 ht="27">
      <c r="A235" s="37">
        <v>221</v>
      </c>
      <c r="B235" s="139"/>
      <c r="C235" s="152" t="s">
        <v>1578</v>
      </c>
      <c r="D235" s="33"/>
      <c r="E235" s="33"/>
      <c r="F235" s="33"/>
      <c r="G235" s="33"/>
      <c r="H235" s="77" t="s">
        <v>1745</v>
      </c>
      <c r="I235" s="185" t="s">
        <v>1598</v>
      </c>
      <c r="J235" s="145" t="s">
        <v>2128</v>
      </c>
      <c r="K235" s="35"/>
      <c r="L235" s="17"/>
      <c r="M235" s="17"/>
      <c r="N235" s="17"/>
      <c r="O235" s="51"/>
      <c r="P235" s="51"/>
      <c r="Q235" s="51"/>
      <c r="R235" s="60"/>
      <c r="S235" s="52"/>
      <c r="T235" s="52"/>
      <c r="U235" s="52"/>
      <c r="V235" s="60"/>
      <c r="W235" s="38"/>
      <c r="X235" s="11"/>
      <c r="Y235" s="17"/>
      <c r="Z235" s="17"/>
      <c r="AA235" s="71"/>
      <c r="AB235" s="71"/>
      <c r="AC235" s="71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/>
      <c r="B236" s="139"/>
      <c r="C236" s="152" t="s">
        <v>2005</v>
      </c>
      <c r="D236" s="33"/>
      <c r="E236" s="33"/>
      <c r="F236" s="33"/>
      <c r="G236" s="33"/>
      <c r="H236" s="77" t="s">
        <v>2077</v>
      </c>
      <c r="I236" s="185" t="s">
        <v>2006</v>
      </c>
      <c r="J236" s="145"/>
      <c r="K236" s="35"/>
      <c r="L236" s="17"/>
      <c r="M236" s="17"/>
      <c r="N236" s="17"/>
      <c r="O236" s="51"/>
      <c r="P236" s="51"/>
      <c r="Q236" s="51"/>
      <c r="R236" s="60"/>
      <c r="S236" s="52"/>
      <c r="T236" s="52"/>
      <c r="U236" s="52"/>
      <c r="V236" s="60"/>
      <c r="W236" s="38"/>
      <c r="X236" s="11"/>
      <c r="Y236" s="17"/>
      <c r="Z236" s="17"/>
      <c r="AA236" s="71"/>
      <c r="AB236" s="71"/>
      <c r="AC236" s="71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 ht="27">
      <c r="A237" s="37">
        <v>353</v>
      </c>
      <c r="B237" s="139"/>
      <c r="C237" s="152" t="s">
        <v>1662</v>
      </c>
      <c r="D237" s="33"/>
      <c r="E237" s="33"/>
      <c r="F237" s="33"/>
      <c r="G237" s="33"/>
      <c r="H237" s="77" t="s">
        <v>1661</v>
      </c>
      <c r="I237" s="185" t="s">
        <v>2078</v>
      </c>
      <c r="J237" s="146" t="s">
        <v>1012</v>
      </c>
      <c r="K237" s="35"/>
      <c r="L237" s="17"/>
      <c r="M237" s="17"/>
      <c r="N237" s="17"/>
      <c r="O237" s="51"/>
      <c r="P237" s="51"/>
      <c r="Q237" s="51"/>
      <c r="R237" s="60"/>
      <c r="S237" s="97"/>
      <c r="T237" s="97"/>
      <c r="U237" s="97"/>
      <c r="V237" s="60"/>
      <c r="W237" s="38"/>
      <c r="X237" s="11"/>
      <c r="Y237" s="17"/>
      <c r="Z237" s="17"/>
      <c r="AA237" s="98"/>
      <c r="AB237" s="98"/>
      <c r="AC237" s="98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222</v>
      </c>
      <c r="B238" s="139"/>
      <c r="C238" s="152" t="s">
        <v>638</v>
      </c>
      <c r="D238" s="33"/>
      <c r="E238" s="33"/>
      <c r="F238" s="33"/>
      <c r="G238" s="33"/>
      <c r="H238" s="77" t="s">
        <v>1747</v>
      </c>
      <c r="I238" s="185" t="s">
        <v>1056</v>
      </c>
      <c r="J238" s="146" t="s">
        <v>1121</v>
      </c>
      <c r="K238" s="125"/>
      <c r="L238" s="6"/>
      <c r="M238" s="6"/>
      <c r="N238" s="6"/>
      <c r="O238" s="51"/>
      <c r="P238" s="51"/>
      <c r="Q238" s="51"/>
      <c r="R238" s="60"/>
      <c r="S238" s="55"/>
      <c r="T238" s="55"/>
      <c r="U238" s="55"/>
      <c r="V238" s="60"/>
      <c r="W238" s="38"/>
      <c r="X238" s="11"/>
      <c r="Y238" s="17"/>
      <c r="Z238" s="17"/>
      <c r="AA238" s="73"/>
      <c r="AB238" s="73"/>
      <c r="AC238" s="73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2" ht="27">
      <c r="A239" s="37">
        <v>223</v>
      </c>
      <c r="B239" s="139"/>
      <c r="C239" s="152" t="s">
        <v>692</v>
      </c>
      <c r="D239" s="33"/>
      <c r="E239" s="33"/>
      <c r="F239" s="33"/>
      <c r="G239" s="33"/>
      <c r="H239" s="77" t="s">
        <v>1746</v>
      </c>
      <c r="I239" s="185" t="s">
        <v>1748</v>
      </c>
      <c r="J239" s="146" t="s">
        <v>738</v>
      </c>
      <c r="K239" s="35"/>
      <c r="L239" s="17"/>
      <c r="M239" s="17"/>
      <c r="N239" s="17"/>
      <c r="O239" s="51"/>
      <c r="P239" s="51"/>
      <c r="Q239" s="51"/>
      <c r="R239" s="60"/>
      <c r="S239" s="51"/>
      <c r="T239" s="53"/>
      <c r="U239" s="53"/>
      <c r="V239" s="60"/>
      <c r="W239" s="38"/>
      <c r="X239" s="11"/>
      <c r="Y239" s="17"/>
      <c r="Z239" s="17"/>
      <c r="AA239" s="70"/>
      <c r="AB239" s="70"/>
      <c r="AC239" s="70"/>
      <c r="AD239" s="43"/>
      <c r="AE239" s="38"/>
      <c r="AF239" s="11"/>
      <c r="AG239" s="6"/>
      <c r="AH239" s="6"/>
      <c r="AI239" s="6"/>
      <c r="AJ239" s="43"/>
      <c r="AK239" s="38"/>
      <c r="AL239" s="11"/>
      <c r="AM239" s="6"/>
      <c r="AN239" s="6"/>
      <c r="AO239" s="6"/>
      <c r="AP239" s="43"/>
    </row>
    <row r="240" spans="1:42">
      <c r="A240" s="37">
        <v>224</v>
      </c>
      <c r="B240" s="139"/>
      <c r="C240" s="152" t="s">
        <v>1169</v>
      </c>
      <c r="D240" s="33"/>
      <c r="E240" s="33"/>
      <c r="F240" s="33"/>
      <c r="G240" s="33"/>
      <c r="H240" s="143" t="s">
        <v>1935</v>
      </c>
      <c r="I240" s="185" t="s">
        <v>1434</v>
      </c>
      <c r="J240" s="146" t="s">
        <v>1936</v>
      </c>
      <c r="K240" s="106">
        <v>276200</v>
      </c>
      <c r="L240" s="17">
        <v>24200</v>
      </c>
      <c r="M240" s="17">
        <v>1210</v>
      </c>
      <c r="N240" s="17">
        <v>25410</v>
      </c>
      <c r="O240" s="51"/>
      <c r="P240" s="51"/>
      <c r="Q240" s="51"/>
      <c r="R240" s="60"/>
      <c r="S240" s="54"/>
      <c r="T240" s="54"/>
      <c r="U240" s="54"/>
      <c r="V240" s="60"/>
      <c r="W240" s="38"/>
      <c r="X240" s="11"/>
      <c r="Y240" s="17"/>
      <c r="Z240" s="17"/>
      <c r="AA240" s="74"/>
      <c r="AB240" s="74"/>
      <c r="AC240" s="74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>
      <c r="A241" s="37">
        <v>225</v>
      </c>
      <c r="B241" s="139"/>
      <c r="C241" s="152" t="s">
        <v>617</v>
      </c>
      <c r="D241" s="33"/>
      <c r="E241" s="33"/>
      <c r="F241" s="33"/>
      <c r="G241" s="33"/>
      <c r="H241" s="138" t="s">
        <v>782</v>
      </c>
      <c r="I241" s="195" t="s">
        <v>1253</v>
      </c>
      <c r="J241" s="146" t="s">
        <v>781</v>
      </c>
      <c r="K241" s="35"/>
      <c r="L241" s="17">
        <v>16929</v>
      </c>
      <c r="M241" s="17">
        <v>846.45</v>
      </c>
      <c r="N241" s="17">
        <v>17775.45</v>
      </c>
      <c r="O241" s="51"/>
      <c r="P241" s="51"/>
      <c r="Q241" s="51"/>
      <c r="R241" s="60"/>
      <c r="S241" s="157" t="s">
        <v>787</v>
      </c>
      <c r="T241" s="52"/>
      <c r="U241" s="52"/>
      <c r="V241" s="60"/>
      <c r="W241" s="38"/>
      <c r="X241" s="11"/>
      <c r="Y241" s="17"/>
      <c r="Z241" s="17"/>
      <c r="AA241" s="70"/>
      <c r="AB241" s="70"/>
      <c r="AC241" s="70"/>
      <c r="AD241" s="43"/>
      <c r="AE241" s="38"/>
      <c r="AF241" s="11"/>
      <c r="AG241" s="6"/>
      <c r="AH241" s="6"/>
      <c r="AI241" s="6"/>
      <c r="AJ241" s="43"/>
      <c r="AK241" s="38"/>
      <c r="AL241" s="11"/>
      <c r="AM241" s="6"/>
      <c r="AN241" s="6"/>
      <c r="AO241" s="6"/>
      <c r="AP241" s="43"/>
    </row>
    <row r="242" spans="1:44">
      <c r="A242" s="37">
        <v>226</v>
      </c>
      <c r="B242" s="139"/>
      <c r="C242" s="152" t="s">
        <v>1153</v>
      </c>
      <c r="D242" s="33"/>
      <c r="E242" s="33"/>
      <c r="F242" s="33"/>
      <c r="G242" s="33"/>
      <c r="H242" s="138" t="s">
        <v>775</v>
      </c>
      <c r="I242" s="195" t="s">
        <v>1063</v>
      </c>
      <c r="J242" s="146" t="s">
        <v>783</v>
      </c>
      <c r="K242" s="125"/>
      <c r="L242" s="6">
        <v>540</v>
      </c>
      <c r="M242" s="6">
        <v>27</v>
      </c>
      <c r="N242" s="6">
        <v>567</v>
      </c>
      <c r="O242" s="51"/>
      <c r="P242" s="51"/>
      <c r="Q242" s="51"/>
      <c r="R242" s="60"/>
      <c r="S242" s="51"/>
      <c r="T242" s="51"/>
      <c r="U242" s="51"/>
      <c r="V242" s="60"/>
      <c r="W242" s="81"/>
      <c r="X242" s="11"/>
      <c r="Y242" s="17"/>
      <c r="Z242" s="17"/>
      <c r="AA242" s="70"/>
      <c r="AB242" s="70"/>
      <c r="AC242" s="70"/>
      <c r="AD242" s="43"/>
      <c r="AE242" s="38"/>
      <c r="AF242" s="11"/>
      <c r="AG242" s="6"/>
      <c r="AH242" s="6"/>
      <c r="AI242" s="6"/>
      <c r="AJ242" s="43"/>
      <c r="AK242" s="38"/>
      <c r="AL242" s="11"/>
      <c r="AM242" s="6"/>
      <c r="AN242" s="6"/>
      <c r="AO242" s="6"/>
      <c r="AP242" s="43"/>
    </row>
    <row r="243" spans="1:44">
      <c r="A243" s="37">
        <v>227</v>
      </c>
      <c r="B243" s="139"/>
      <c r="C243" s="152" t="s">
        <v>1717</v>
      </c>
      <c r="D243" s="33"/>
      <c r="E243" s="33"/>
      <c r="F243" s="33"/>
      <c r="G243" s="33"/>
      <c r="H243" s="77" t="s">
        <v>1439</v>
      </c>
      <c r="I243" s="185" t="s">
        <v>976</v>
      </c>
      <c r="J243" s="146" t="s">
        <v>725</v>
      </c>
      <c r="K243" s="128">
        <v>123913</v>
      </c>
      <c r="L243" s="6"/>
      <c r="M243" s="6"/>
      <c r="N243" s="6"/>
      <c r="O243" s="51"/>
      <c r="P243" s="51"/>
      <c r="Q243" s="51"/>
      <c r="R243" s="60"/>
      <c r="S243" s="51"/>
      <c r="T243" s="51"/>
      <c r="U243" s="51"/>
      <c r="V243" s="60"/>
      <c r="W243" s="81"/>
      <c r="X243" s="11"/>
      <c r="Y243" s="17"/>
      <c r="Z243" s="17"/>
      <c r="AA243" s="70"/>
      <c r="AB243" s="70"/>
      <c r="AC243" s="70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4">
      <c r="A244" s="37">
        <v>228</v>
      </c>
      <c r="B244" s="139"/>
      <c r="C244" s="152" t="s">
        <v>2053</v>
      </c>
      <c r="D244" s="33"/>
      <c r="E244" s="33"/>
      <c r="F244" s="33"/>
      <c r="G244" s="33"/>
      <c r="H244" s="77" t="s">
        <v>1440</v>
      </c>
      <c r="I244" s="185" t="s">
        <v>976</v>
      </c>
      <c r="J244" s="146" t="s">
        <v>725</v>
      </c>
      <c r="K244" s="128"/>
      <c r="L244" s="6"/>
      <c r="M244" s="6"/>
      <c r="N244" s="6"/>
      <c r="O244" s="51"/>
      <c r="P244" s="51"/>
      <c r="Q244" s="51"/>
      <c r="R244" s="60"/>
      <c r="S244" s="51"/>
      <c r="T244" s="51"/>
      <c r="U244" s="51"/>
      <c r="V244" s="60"/>
      <c r="W244" s="81"/>
      <c r="X244" s="11"/>
      <c r="Y244" s="17"/>
      <c r="Z244" s="17"/>
      <c r="AA244" s="70"/>
      <c r="AB244" s="70"/>
      <c r="AC244" s="70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4">
      <c r="A245" s="37">
        <v>229</v>
      </c>
      <c r="B245" s="139"/>
      <c r="C245" s="152" t="s">
        <v>1934</v>
      </c>
      <c r="D245" s="33"/>
      <c r="E245" s="33"/>
      <c r="F245" s="33"/>
      <c r="G245" s="33"/>
      <c r="H245" s="143" t="s">
        <v>1937</v>
      </c>
      <c r="I245" s="185" t="s">
        <v>1585</v>
      </c>
      <c r="J245" s="146" t="s">
        <v>1936</v>
      </c>
      <c r="K245" s="125"/>
      <c r="L245" s="6">
        <v>540</v>
      </c>
      <c r="M245" s="6">
        <v>27</v>
      </c>
      <c r="N245" s="6">
        <v>567</v>
      </c>
      <c r="O245" s="51"/>
      <c r="P245" s="51"/>
      <c r="Q245" s="51"/>
      <c r="R245" s="60"/>
      <c r="S245" s="51"/>
      <c r="T245" s="51"/>
      <c r="U245" s="51"/>
      <c r="V245" s="60"/>
      <c r="W245" s="81"/>
      <c r="X245" s="31"/>
      <c r="Y245" s="17"/>
      <c r="Z245" s="17"/>
      <c r="AA245" s="70"/>
      <c r="AB245" s="70"/>
      <c r="AC245" s="70"/>
      <c r="AD245" s="43"/>
      <c r="AE245" s="38"/>
      <c r="AF245" s="31"/>
      <c r="AG245" s="6"/>
      <c r="AH245" s="6"/>
      <c r="AI245" s="6"/>
      <c r="AJ245" s="43"/>
      <c r="AK245" s="38"/>
      <c r="AL245" s="31"/>
      <c r="AM245" s="6"/>
      <c r="AN245" s="6"/>
      <c r="AO245" s="6"/>
      <c r="AP245" s="43"/>
    </row>
    <row r="246" spans="1:44">
      <c r="A246" s="37">
        <v>230</v>
      </c>
      <c r="B246" s="139"/>
      <c r="C246" s="152" t="s">
        <v>2001</v>
      </c>
      <c r="D246" s="33"/>
      <c r="E246" s="33"/>
      <c r="F246" s="33"/>
      <c r="G246" s="33"/>
      <c r="H246" s="146" t="s">
        <v>2002</v>
      </c>
      <c r="I246" s="185" t="s">
        <v>1139</v>
      </c>
      <c r="J246" s="146" t="s">
        <v>706</v>
      </c>
      <c r="K246" s="35"/>
      <c r="L246" s="17"/>
      <c r="M246" s="17"/>
      <c r="N246" s="17"/>
      <c r="O246" s="6"/>
      <c r="P246" s="17"/>
      <c r="Q246" s="17"/>
      <c r="R246" s="35"/>
      <c r="S246" s="6"/>
      <c r="T246" s="17"/>
      <c r="U246" s="17"/>
      <c r="V246" s="35"/>
      <c r="W246" s="38"/>
      <c r="X246" s="11"/>
      <c r="Y246" s="17"/>
      <c r="Z246" s="17"/>
      <c r="AA246" s="6"/>
      <c r="AB246" s="6"/>
      <c r="AC246" s="6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>
      <c r="A247" s="37">
        <v>231</v>
      </c>
      <c r="B247" s="139"/>
      <c r="C247" s="168" t="s">
        <v>1453</v>
      </c>
      <c r="D247" s="33"/>
      <c r="E247" s="33"/>
      <c r="F247" s="33"/>
      <c r="G247" s="33"/>
      <c r="H247" s="146" t="s">
        <v>1454</v>
      </c>
      <c r="I247" s="185" t="s">
        <v>1455</v>
      </c>
      <c r="J247" s="146"/>
      <c r="K247" s="35"/>
      <c r="L247" s="17"/>
      <c r="M247" s="17"/>
      <c r="N247" s="17"/>
      <c r="O247" s="6"/>
      <c r="P247" s="17"/>
      <c r="Q247" s="17"/>
      <c r="R247" s="35"/>
      <c r="S247" s="6"/>
      <c r="T247" s="17"/>
      <c r="U247" s="17"/>
      <c r="V247" s="35"/>
      <c r="W247" s="38"/>
      <c r="X247" s="11"/>
      <c r="Y247" s="17"/>
      <c r="Z247" s="17"/>
      <c r="AA247" s="6"/>
      <c r="AB247" s="6"/>
      <c r="AC247" s="6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 ht="27">
      <c r="A248" s="37">
        <v>232</v>
      </c>
      <c r="B248" s="139"/>
      <c r="C248" s="152" t="s">
        <v>1460</v>
      </c>
      <c r="D248" s="33"/>
      <c r="E248" s="33"/>
      <c r="F248" s="33"/>
      <c r="G248" s="33"/>
      <c r="H248" s="77" t="s">
        <v>1461</v>
      </c>
      <c r="I248" s="185" t="s">
        <v>1011</v>
      </c>
      <c r="J248" s="146" t="s">
        <v>707</v>
      </c>
      <c r="K248" s="125"/>
      <c r="L248" s="6"/>
      <c r="M248" s="6"/>
      <c r="N248" s="6"/>
      <c r="O248" s="51"/>
      <c r="P248" s="51"/>
      <c r="Q248" s="51"/>
      <c r="R248" s="60"/>
      <c r="S248" s="51"/>
      <c r="T248" s="51"/>
      <c r="U248" s="51"/>
      <c r="V248" s="60"/>
      <c r="W248" s="81"/>
      <c r="X248" s="31"/>
      <c r="Y248" s="17"/>
      <c r="Z248" s="17"/>
      <c r="AA248" s="70"/>
      <c r="AB248" s="70"/>
      <c r="AC248" s="70"/>
      <c r="AD248" s="43"/>
      <c r="AE248" s="38"/>
      <c r="AF248" s="11"/>
      <c r="AG248" s="6"/>
      <c r="AH248" s="6"/>
      <c r="AI248" s="6"/>
      <c r="AJ248" s="43"/>
      <c r="AK248" s="38"/>
      <c r="AL248" s="31"/>
      <c r="AM248" s="6"/>
      <c r="AN248" s="6"/>
      <c r="AO248" s="6"/>
      <c r="AP248" s="43"/>
      <c r="AR248" s="65"/>
    </row>
    <row r="249" spans="1:44">
      <c r="A249" s="37">
        <v>233</v>
      </c>
      <c r="B249" s="139"/>
      <c r="C249" s="152" t="s">
        <v>1974</v>
      </c>
      <c r="D249" s="33"/>
      <c r="E249" s="33"/>
      <c r="F249" s="33"/>
      <c r="G249" s="33"/>
      <c r="H249" s="77" t="s">
        <v>2025</v>
      </c>
      <c r="I249" s="185" t="s">
        <v>1066</v>
      </c>
      <c r="J249" s="146" t="s">
        <v>2026</v>
      </c>
      <c r="K249" s="35"/>
      <c r="L249" s="17">
        <v>26840</v>
      </c>
      <c r="M249" s="17">
        <v>1342</v>
      </c>
      <c r="N249" s="17">
        <v>28182</v>
      </c>
      <c r="O249" s="51"/>
      <c r="P249" s="51"/>
      <c r="Q249" s="51"/>
      <c r="R249" s="60"/>
      <c r="S249" s="51"/>
      <c r="T249" s="53"/>
      <c r="U249" s="53"/>
      <c r="V249" s="60"/>
      <c r="W249" s="81"/>
      <c r="X249" s="3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31"/>
      <c r="AM249" s="6"/>
      <c r="AN249" s="6"/>
      <c r="AO249" s="6"/>
      <c r="AP249" s="43"/>
    </row>
    <row r="250" spans="1:44">
      <c r="A250" s="37">
        <v>234</v>
      </c>
      <c r="B250" s="139"/>
      <c r="C250" s="152" t="s">
        <v>693</v>
      </c>
      <c r="D250" s="33"/>
      <c r="E250" s="33"/>
      <c r="F250" s="33"/>
      <c r="G250" s="33"/>
      <c r="H250" s="77" t="s">
        <v>867</v>
      </c>
      <c r="I250" s="185" t="s">
        <v>1096</v>
      </c>
      <c r="J250" s="145" t="s">
        <v>1975</v>
      </c>
      <c r="K250" s="125"/>
      <c r="L250" s="6">
        <v>600</v>
      </c>
      <c r="M250" s="6">
        <v>30</v>
      </c>
      <c r="N250" s="6">
        <v>630</v>
      </c>
      <c r="O250" s="51"/>
      <c r="P250" s="51"/>
      <c r="Q250" s="51"/>
      <c r="R250" s="60"/>
      <c r="S250" s="55"/>
      <c r="T250" s="55"/>
      <c r="U250" s="55"/>
      <c r="V250" s="60"/>
      <c r="W250" s="38"/>
      <c r="X250" s="11"/>
      <c r="Y250" s="17"/>
      <c r="Z250" s="17"/>
      <c r="AA250" s="73"/>
      <c r="AB250" s="73"/>
      <c r="AC250" s="73"/>
      <c r="AD250" s="43"/>
      <c r="AE250" s="38"/>
      <c r="AF250" s="11"/>
      <c r="AG250" s="6"/>
      <c r="AH250" s="6"/>
      <c r="AI250" s="6"/>
      <c r="AJ250" s="43"/>
      <c r="AK250" s="38"/>
      <c r="AL250" s="11"/>
      <c r="AM250" s="6"/>
      <c r="AN250" s="6"/>
      <c r="AO250" s="6"/>
      <c r="AP250" s="43"/>
    </row>
    <row r="251" spans="1:44" ht="27">
      <c r="A251" s="37">
        <v>235</v>
      </c>
      <c r="B251" s="139"/>
      <c r="C251" s="168" t="s">
        <v>1235</v>
      </c>
      <c r="D251" s="33"/>
      <c r="E251" s="33"/>
      <c r="F251" s="33"/>
      <c r="G251" s="33"/>
      <c r="H251" s="77" t="s">
        <v>2138</v>
      </c>
      <c r="I251" s="185" t="s">
        <v>1050</v>
      </c>
      <c r="J251" s="145" t="s">
        <v>820</v>
      </c>
      <c r="K251" s="125"/>
      <c r="L251" s="6"/>
      <c r="M251" s="6"/>
      <c r="N251" s="6"/>
      <c r="O251" s="51"/>
      <c r="P251" s="51"/>
      <c r="Q251" s="51"/>
      <c r="R251" s="60"/>
      <c r="S251" s="55"/>
      <c r="T251" s="55"/>
      <c r="U251" s="55"/>
      <c r="V251" s="60"/>
      <c r="W251" s="38"/>
      <c r="X251" s="11"/>
      <c r="Y251" s="17"/>
      <c r="Z251" s="17"/>
      <c r="AA251" s="73"/>
      <c r="AB251" s="73"/>
      <c r="AC251" s="73"/>
      <c r="AD251" s="43"/>
      <c r="AE251" s="38"/>
      <c r="AF251" s="11"/>
      <c r="AG251" s="6"/>
      <c r="AH251" s="6"/>
      <c r="AI251" s="6"/>
      <c r="AJ251" s="43"/>
      <c r="AK251" s="38"/>
      <c r="AL251" s="11"/>
      <c r="AM251" s="6"/>
      <c r="AN251" s="6"/>
      <c r="AO251" s="6"/>
      <c r="AP251" s="43"/>
    </row>
    <row r="252" spans="1:44">
      <c r="A252" s="37">
        <v>236</v>
      </c>
      <c r="B252" s="139"/>
      <c r="C252" s="152" t="s">
        <v>1257</v>
      </c>
      <c r="D252" s="33"/>
      <c r="E252" s="33"/>
      <c r="F252" s="33"/>
      <c r="G252" s="33"/>
      <c r="H252" s="77" t="s">
        <v>1258</v>
      </c>
      <c r="I252" s="185" t="s">
        <v>1094</v>
      </c>
      <c r="J252" s="145" t="s">
        <v>1259</v>
      </c>
      <c r="K252" s="125"/>
      <c r="L252" s="6"/>
      <c r="M252" s="6"/>
      <c r="N252" s="6"/>
      <c r="O252" s="51"/>
      <c r="P252" s="51"/>
      <c r="Q252" s="51"/>
      <c r="R252" s="60"/>
      <c r="S252" s="55"/>
      <c r="T252" s="55"/>
      <c r="U252" s="55"/>
      <c r="V252" s="60"/>
      <c r="W252" s="38"/>
      <c r="X252" s="11"/>
      <c r="Y252" s="17"/>
      <c r="Z252" s="17"/>
      <c r="AA252" s="73"/>
      <c r="AB252" s="73"/>
      <c r="AC252" s="73"/>
      <c r="AD252" s="43"/>
      <c r="AE252" s="38"/>
      <c r="AF252" s="11"/>
      <c r="AG252" s="6"/>
      <c r="AH252" s="6"/>
      <c r="AI252" s="6"/>
      <c r="AJ252" s="43"/>
      <c r="AK252" s="38"/>
      <c r="AL252" s="11"/>
      <c r="AM252" s="6"/>
      <c r="AN252" s="6"/>
      <c r="AO252" s="6"/>
      <c r="AP252" s="43"/>
    </row>
    <row r="253" spans="1:44">
      <c r="A253" s="37">
        <v>237</v>
      </c>
      <c r="B253" s="139"/>
      <c r="C253" s="152" t="s">
        <v>1402</v>
      </c>
      <c r="D253" s="33"/>
      <c r="E253" s="33"/>
      <c r="F253" s="33"/>
      <c r="G253" s="33"/>
      <c r="H253" s="77" t="s">
        <v>1124</v>
      </c>
      <c r="I253" s="185" t="s">
        <v>985</v>
      </c>
      <c r="J253" s="146" t="s">
        <v>947</v>
      </c>
      <c r="K253" s="35"/>
      <c r="L253" s="17">
        <v>15480</v>
      </c>
      <c r="M253" s="17">
        <v>774</v>
      </c>
      <c r="N253" s="17">
        <v>16254</v>
      </c>
      <c r="O253" s="51"/>
      <c r="P253" s="51"/>
      <c r="Q253" s="51"/>
      <c r="R253" s="60"/>
      <c r="S253" s="51"/>
      <c r="T253" s="53"/>
      <c r="U253" s="53"/>
      <c r="V253" s="60"/>
      <c r="W253" s="38"/>
      <c r="X253" s="11"/>
      <c r="Y253" s="17"/>
      <c r="Z253" s="17"/>
      <c r="AA253" s="70"/>
      <c r="AB253" s="70"/>
      <c r="AC253" s="70"/>
      <c r="AD253" s="43"/>
      <c r="AE253" s="38"/>
      <c r="AF253" s="11"/>
      <c r="AG253" s="6"/>
      <c r="AH253" s="6"/>
      <c r="AI253" s="6"/>
      <c r="AJ253" s="43"/>
      <c r="AK253" s="38"/>
      <c r="AL253" s="11"/>
      <c r="AM253" s="6"/>
      <c r="AN253" s="6"/>
      <c r="AO253" s="6"/>
      <c r="AP253" s="43"/>
    </row>
    <row r="254" spans="1:44">
      <c r="A254" s="37">
        <v>238</v>
      </c>
      <c r="B254" s="139"/>
      <c r="C254" s="152" t="s">
        <v>1502</v>
      </c>
      <c r="D254" s="33"/>
      <c r="E254" s="33"/>
      <c r="F254" s="33"/>
      <c r="G254" s="33"/>
      <c r="H254" s="77" t="s">
        <v>1503</v>
      </c>
      <c r="I254" s="185" t="s">
        <v>1024</v>
      </c>
      <c r="J254" s="146" t="s">
        <v>1504</v>
      </c>
      <c r="K254" s="125"/>
      <c r="L254" s="6"/>
      <c r="M254" s="6"/>
      <c r="N254" s="6"/>
      <c r="O254" s="51"/>
      <c r="P254" s="51"/>
      <c r="Q254" s="51"/>
      <c r="R254" s="60"/>
      <c r="S254" s="55"/>
      <c r="T254" s="55"/>
      <c r="U254" s="55"/>
      <c r="V254" s="60"/>
      <c r="W254" s="38"/>
      <c r="X254" s="11"/>
      <c r="Y254" s="17"/>
      <c r="Z254" s="17"/>
      <c r="AA254" s="73"/>
      <c r="AB254" s="73"/>
      <c r="AC254" s="73"/>
      <c r="AD254" s="43"/>
      <c r="AE254" s="38"/>
      <c r="AF254" s="11"/>
      <c r="AG254" s="6"/>
      <c r="AH254" s="6"/>
      <c r="AI254" s="6"/>
      <c r="AJ254" s="43"/>
      <c r="AK254" s="38"/>
      <c r="AL254" s="11"/>
      <c r="AM254" s="6"/>
      <c r="AN254" s="6"/>
      <c r="AO254" s="6"/>
      <c r="AP254" s="43"/>
    </row>
    <row r="255" spans="1:44">
      <c r="A255" s="37">
        <v>239</v>
      </c>
      <c r="B255" s="139"/>
      <c r="C255" s="152" t="s">
        <v>1232</v>
      </c>
      <c r="D255" s="33"/>
      <c r="E255" s="33"/>
      <c r="F255" s="33"/>
      <c r="G255" s="33"/>
      <c r="H255" s="77" t="s">
        <v>1231</v>
      </c>
      <c r="I255" s="185" t="s">
        <v>1088</v>
      </c>
      <c r="J255" s="146" t="s">
        <v>738</v>
      </c>
      <c r="K255" s="35"/>
      <c r="L255" s="17"/>
      <c r="M255" s="17"/>
      <c r="N255" s="17"/>
      <c r="O255" s="51"/>
      <c r="P255" s="51"/>
      <c r="Q255" s="51"/>
      <c r="R255" s="60"/>
      <c r="S255" s="51"/>
      <c r="T255" s="53"/>
      <c r="U255" s="53"/>
      <c r="V255" s="60"/>
      <c r="W255" s="38"/>
      <c r="X255" s="11"/>
      <c r="Y255" s="17"/>
      <c r="Z255" s="17"/>
      <c r="AA255" s="70"/>
      <c r="AB255" s="70"/>
      <c r="AC255" s="70"/>
      <c r="AD255" s="43"/>
      <c r="AE255" s="38"/>
      <c r="AF255" s="11"/>
      <c r="AG255" s="6"/>
      <c r="AH255" s="6"/>
      <c r="AI255" s="6"/>
      <c r="AJ255" s="43"/>
      <c r="AK255" s="38"/>
      <c r="AL255" s="11"/>
      <c r="AM255" s="6"/>
      <c r="AN255" s="6"/>
      <c r="AO255" s="6"/>
      <c r="AP255" s="43"/>
    </row>
    <row r="256" spans="1:44">
      <c r="A256" s="37">
        <v>240</v>
      </c>
      <c r="B256" s="139"/>
      <c r="C256" s="152" t="s">
        <v>1458</v>
      </c>
      <c r="D256" s="33"/>
      <c r="E256" s="33"/>
      <c r="F256" s="33"/>
      <c r="G256" s="33"/>
      <c r="H256" s="77" t="s">
        <v>1459</v>
      </c>
      <c r="I256" s="185" t="s">
        <v>1386</v>
      </c>
      <c r="J256" s="145"/>
      <c r="K256" s="125"/>
      <c r="L256" s="6"/>
      <c r="M256" s="6"/>
      <c r="N256" s="6"/>
      <c r="O256" s="51"/>
      <c r="P256" s="51"/>
      <c r="Q256" s="51"/>
      <c r="R256" s="60"/>
      <c r="S256" s="51"/>
      <c r="T256" s="51"/>
      <c r="U256" s="51"/>
      <c r="V256" s="60"/>
      <c r="W256" s="38"/>
      <c r="X256" s="11"/>
      <c r="Y256" s="17"/>
      <c r="Z256" s="17"/>
      <c r="AA256" s="70"/>
      <c r="AB256" s="70"/>
      <c r="AC256" s="70"/>
      <c r="AD256" s="43"/>
      <c r="AE256" s="38"/>
      <c r="AF256" s="11"/>
      <c r="AG256" s="6"/>
      <c r="AH256" s="6"/>
      <c r="AI256" s="6"/>
      <c r="AJ256" s="43"/>
      <c r="AK256" s="38"/>
      <c r="AL256" s="11"/>
      <c r="AM256" s="6"/>
      <c r="AN256" s="6"/>
      <c r="AO256" s="6"/>
      <c r="AP256" s="43"/>
    </row>
    <row r="257" spans="1:42" ht="27">
      <c r="A257" s="37">
        <v>241</v>
      </c>
      <c r="B257" s="139"/>
      <c r="C257" s="168" t="s">
        <v>1715</v>
      </c>
      <c r="D257" s="33"/>
      <c r="E257" s="33"/>
      <c r="F257" s="33"/>
      <c r="G257" s="33"/>
      <c r="H257" s="77" t="s">
        <v>1017</v>
      </c>
      <c r="I257" s="185" t="s">
        <v>1018</v>
      </c>
      <c r="J257" s="146" t="s">
        <v>1016</v>
      </c>
      <c r="K257" s="126"/>
      <c r="L257" s="93"/>
      <c r="M257" s="93"/>
      <c r="N257" s="93"/>
      <c r="O257" s="51"/>
      <c r="P257" s="51"/>
      <c r="Q257" s="51"/>
      <c r="R257" s="60"/>
      <c r="S257" s="51"/>
      <c r="T257" s="51"/>
      <c r="U257" s="51"/>
      <c r="V257" s="60"/>
      <c r="W257" s="118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 ht="27">
      <c r="A258" s="37">
        <v>242</v>
      </c>
      <c r="B258" s="139"/>
      <c r="C258" s="168" t="s">
        <v>1193</v>
      </c>
      <c r="D258" s="33"/>
      <c r="E258" s="33"/>
      <c r="F258" s="33"/>
      <c r="G258" s="33"/>
      <c r="H258" s="77" t="s">
        <v>923</v>
      </c>
      <c r="I258" s="185" t="s">
        <v>1192</v>
      </c>
      <c r="J258" s="146" t="s">
        <v>1191</v>
      </c>
      <c r="K258" s="126"/>
      <c r="L258" s="93"/>
      <c r="M258" s="93"/>
      <c r="N258" s="93"/>
      <c r="O258" s="51"/>
      <c r="P258" s="51"/>
      <c r="Q258" s="51"/>
      <c r="R258" s="60"/>
      <c r="S258" s="51"/>
      <c r="T258" s="51"/>
      <c r="U258" s="51"/>
      <c r="V258" s="60"/>
      <c r="W258" s="118"/>
      <c r="AA258" s="119"/>
      <c r="AB258" s="119"/>
      <c r="AC258" s="119"/>
      <c r="AE258" s="118"/>
      <c r="AG258" s="8"/>
      <c r="AH258" s="8"/>
      <c r="AI258" s="8"/>
      <c r="AK258" s="118"/>
      <c r="AM258" s="8"/>
      <c r="AN258" s="8"/>
      <c r="AO258" s="8"/>
    </row>
    <row r="259" spans="1:42" ht="27">
      <c r="A259" s="37">
        <v>243</v>
      </c>
      <c r="B259" s="139"/>
      <c r="C259" s="152" t="s">
        <v>1978</v>
      </c>
      <c r="D259" s="33"/>
      <c r="E259" s="33"/>
      <c r="F259" s="33"/>
      <c r="G259" s="33"/>
      <c r="H259" s="93" t="s">
        <v>1979</v>
      </c>
      <c r="I259" s="196" t="s">
        <v>1980</v>
      </c>
      <c r="J259" s="148" t="s">
        <v>1379</v>
      </c>
      <c r="K259" s="126"/>
      <c r="L259" s="93"/>
      <c r="M259" s="93"/>
      <c r="N259" s="93"/>
      <c r="O259" s="51"/>
      <c r="P259" s="51"/>
      <c r="Q259" s="51"/>
      <c r="R259" s="60"/>
      <c r="S259" s="51"/>
      <c r="T259" s="51"/>
      <c r="U259" s="51"/>
      <c r="V259" s="60"/>
      <c r="W259" s="118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244</v>
      </c>
      <c r="B260" s="139"/>
      <c r="C260" s="152" t="s">
        <v>1383</v>
      </c>
      <c r="D260" s="33"/>
      <c r="E260" s="33"/>
      <c r="F260" s="33"/>
      <c r="G260" s="33"/>
      <c r="H260" s="93" t="s">
        <v>1385</v>
      </c>
      <c r="I260" s="196" t="s">
        <v>1386</v>
      </c>
      <c r="J260" s="148" t="s">
        <v>1384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118"/>
      <c r="AA260" s="119"/>
      <c r="AB260" s="119"/>
      <c r="AC260" s="119"/>
      <c r="AE260" s="118"/>
      <c r="AG260" s="8"/>
      <c r="AH260" s="8"/>
      <c r="AI260" s="8"/>
      <c r="AK260" s="118"/>
      <c r="AM260" s="8"/>
      <c r="AN260" s="8"/>
      <c r="AO260" s="8"/>
    </row>
    <row r="261" spans="1:42">
      <c r="A261" s="37">
        <v>245</v>
      </c>
      <c r="B261" s="139"/>
      <c r="C261" s="152" t="s">
        <v>1583</v>
      </c>
      <c r="D261" s="33"/>
      <c r="E261" s="33"/>
      <c r="F261" s="33"/>
      <c r="G261" s="33"/>
      <c r="H261" s="93" t="s">
        <v>1584</v>
      </c>
      <c r="I261" s="196" t="s">
        <v>1585</v>
      </c>
      <c r="J261" s="148" t="s">
        <v>1603</v>
      </c>
      <c r="K261" s="126"/>
      <c r="L261" s="93"/>
      <c r="M261" s="93"/>
      <c r="N261" s="93"/>
      <c r="O261" s="51"/>
      <c r="P261" s="51"/>
      <c r="Q261" s="51"/>
      <c r="R261" s="60"/>
      <c r="S261" s="51"/>
      <c r="T261" s="51"/>
      <c r="U261" s="51"/>
      <c r="V261" s="60"/>
      <c r="W261" s="118"/>
      <c r="AA261" s="119"/>
      <c r="AB261" s="119"/>
      <c r="AC261" s="119"/>
      <c r="AE261" s="118"/>
      <c r="AG261" s="8"/>
      <c r="AH261" s="8"/>
      <c r="AI261" s="8"/>
      <c r="AK261" s="118"/>
      <c r="AM261" s="8"/>
      <c r="AN261" s="8"/>
      <c r="AO261" s="8"/>
    </row>
    <row r="262" spans="1:42" ht="27">
      <c r="A262" s="37">
        <v>246</v>
      </c>
      <c r="B262" s="139"/>
      <c r="C262" s="152" t="s">
        <v>1586</v>
      </c>
      <c r="D262" s="33"/>
      <c r="E262" s="33"/>
      <c r="F262" s="33"/>
      <c r="G262" s="33"/>
      <c r="H262" s="77" t="s">
        <v>1588</v>
      </c>
      <c r="I262" s="197" t="s">
        <v>1434</v>
      </c>
      <c r="J262" s="148" t="s">
        <v>1587</v>
      </c>
      <c r="K262" s="35"/>
      <c r="L262" s="17">
        <v>25200</v>
      </c>
      <c r="M262" s="17">
        <v>1260</v>
      </c>
      <c r="N262" s="11"/>
      <c r="O262" s="51"/>
      <c r="P262" s="51"/>
      <c r="Q262" s="51"/>
      <c r="R262" s="60"/>
      <c r="S262" s="51"/>
      <c r="T262" s="53"/>
      <c r="U262" s="53"/>
      <c r="V262" s="60"/>
      <c r="W262" s="38"/>
      <c r="X262" s="11"/>
      <c r="Y262" s="17"/>
      <c r="Z262" s="17"/>
      <c r="AA262" s="70"/>
      <c r="AB262" s="70"/>
      <c r="AC262" s="70"/>
      <c r="AD262" s="43"/>
      <c r="AE262" s="38"/>
      <c r="AF262" s="11"/>
      <c r="AG262" s="6"/>
      <c r="AH262" s="6"/>
      <c r="AI262" s="6"/>
      <c r="AJ262" s="43"/>
      <c r="AK262" s="38"/>
      <c r="AL262" s="11"/>
      <c r="AM262" s="6"/>
      <c r="AN262" s="6"/>
      <c r="AO262" s="6"/>
      <c r="AP262" s="43"/>
    </row>
    <row r="263" spans="1:42">
      <c r="A263" s="37">
        <v>247</v>
      </c>
      <c r="B263" s="139"/>
      <c r="C263" s="152" t="s">
        <v>1692</v>
      </c>
      <c r="D263" s="33"/>
      <c r="E263" s="33"/>
      <c r="F263" s="33"/>
      <c r="G263" s="33"/>
      <c r="H263" s="77" t="s">
        <v>1693</v>
      </c>
      <c r="I263" s="185" t="s">
        <v>1694</v>
      </c>
      <c r="J263" s="148" t="s">
        <v>1695</v>
      </c>
      <c r="N263"/>
      <c r="O263" s="116"/>
      <c r="P263" s="116"/>
      <c r="Q263" s="116"/>
      <c r="R263" s="117"/>
      <c r="S263" s="116"/>
      <c r="T263" s="116"/>
      <c r="U263" s="116"/>
      <c r="V263" s="117"/>
      <c r="W263" s="118"/>
      <c r="AA263" s="119"/>
      <c r="AB263" s="119"/>
      <c r="AC263" s="119"/>
      <c r="AE263" s="118"/>
      <c r="AG263" s="8"/>
      <c r="AH263" s="8"/>
      <c r="AI263" s="8"/>
      <c r="AK263" s="118"/>
      <c r="AM263" s="8"/>
      <c r="AN263" s="8"/>
      <c r="AO263" s="8"/>
    </row>
    <row r="264" spans="1:42">
      <c r="A264" s="37">
        <v>248</v>
      </c>
      <c r="B264" s="139"/>
      <c r="C264" s="152" t="s">
        <v>1100</v>
      </c>
      <c r="D264" s="33"/>
      <c r="E264" s="33"/>
      <c r="F264" s="33"/>
      <c r="G264" s="33"/>
      <c r="H264" s="77" t="s">
        <v>942</v>
      </c>
      <c r="I264" s="185" t="s">
        <v>1076</v>
      </c>
      <c r="J264" s="148"/>
      <c r="K264" s="125"/>
      <c r="L264" s="6">
        <v>192</v>
      </c>
      <c r="M264" s="6">
        <v>9.6000000000000014</v>
      </c>
      <c r="N264" s="5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Y264" s="17"/>
      <c r="Z264" s="17"/>
      <c r="AA264" s="70"/>
      <c r="AB264" s="70"/>
      <c r="AC264" s="70"/>
      <c r="AD264" s="43"/>
      <c r="AE264" s="38"/>
      <c r="AF264" s="11"/>
      <c r="AG264" s="6"/>
      <c r="AH264" s="6"/>
      <c r="AI264" s="6"/>
      <c r="AJ264" s="43"/>
      <c r="AK264" s="38"/>
      <c r="AL264" s="11"/>
      <c r="AM264" s="6"/>
      <c r="AN264" s="6"/>
      <c r="AO264" s="6"/>
      <c r="AP264" s="43"/>
    </row>
    <row r="265" spans="1:42">
      <c r="A265" s="37">
        <v>249</v>
      </c>
      <c r="B265" s="139"/>
      <c r="C265" s="152" t="s">
        <v>1107</v>
      </c>
      <c r="D265" s="33"/>
      <c r="E265" s="33"/>
      <c r="F265" s="33"/>
      <c r="G265" s="33"/>
      <c r="H265" s="77" t="s">
        <v>942</v>
      </c>
      <c r="I265" s="185" t="s">
        <v>1076</v>
      </c>
      <c r="J265" s="148"/>
      <c r="K265" s="125"/>
      <c r="L265" s="6"/>
      <c r="M265" s="6"/>
      <c r="N265" s="5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250</v>
      </c>
      <c r="B266" s="139"/>
      <c r="C266" s="152" t="s">
        <v>1181</v>
      </c>
      <c r="D266" s="33"/>
      <c r="E266" s="33"/>
      <c r="F266" s="33"/>
      <c r="G266" s="33"/>
      <c r="H266" s="77" t="s">
        <v>2004</v>
      </c>
      <c r="I266" s="185" t="s">
        <v>1088</v>
      </c>
      <c r="J266" s="148" t="s">
        <v>1087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>
      <c r="A267" s="37">
        <v>251</v>
      </c>
      <c r="B267" s="139"/>
      <c r="C267" s="152" t="s">
        <v>2014</v>
      </c>
      <c r="D267" s="33"/>
      <c r="E267" s="33"/>
      <c r="F267" s="33"/>
      <c r="G267" s="33"/>
      <c r="H267" s="77" t="s">
        <v>2015</v>
      </c>
      <c r="I267" s="185" t="s">
        <v>2016</v>
      </c>
      <c r="J267" s="148" t="s">
        <v>1087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81"/>
      <c r="X267" s="11"/>
      <c r="Y267" s="17"/>
      <c r="Z267" s="17"/>
      <c r="AA267" s="70"/>
      <c r="AB267" s="70"/>
      <c r="AC267" s="70"/>
      <c r="AD267" s="43"/>
      <c r="AE267" s="38"/>
      <c r="AF267" s="11"/>
      <c r="AG267" s="6"/>
      <c r="AH267" s="6"/>
      <c r="AI267" s="6"/>
      <c r="AJ267" s="43"/>
      <c r="AK267" s="38"/>
      <c r="AL267" s="11"/>
      <c r="AM267" s="6"/>
      <c r="AN267" s="6"/>
      <c r="AO267" s="6"/>
      <c r="AP267" s="43"/>
    </row>
    <row r="268" spans="1:42">
      <c r="A268" s="37">
        <v>252</v>
      </c>
      <c r="B268" s="142"/>
      <c r="C268" s="152" t="s">
        <v>1301</v>
      </c>
      <c r="D268" s="33"/>
      <c r="E268" s="33"/>
      <c r="F268" s="33"/>
      <c r="G268" s="33"/>
      <c r="H268" s="77" t="s">
        <v>679</v>
      </c>
      <c r="I268" s="185" t="s">
        <v>1302</v>
      </c>
      <c r="J268" s="148" t="s">
        <v>1087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 ht="27">
      <c r="A269" s="37">
        <v>253</v>
      </c>
      <c r="B269" s="142"/>
      <c r="C269" s="152" t="s">
        <v>1559</v>
      </c>
      <c r="D269" s="33"/>
      <c r="E269" s="33"/>
      <c r="F269" s="33"/>
      <c r="G269" s="33"/>
      <c r="H269" s="77" t="s">
        <v>1560</v>
      </c>
      <c r="I269" s="185" t="s">
        <v>1378</v>
      </c>
      <c r="J269" s="148" t="s">
        <v>1561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>
      <c r="A270" s="37">
        <v>254</v>
      </c>
      <c r="B270" s="142"/>
      <c r="C270" s="206" t="s">
        <v>1207</v>
      </c>
      <c r="D270" s="207"/>
      <c r="E270" s="207"/>
      <c r="F270" s="207"/>
      <c r="G270" s="207"/>
      <c r="H270" s="208" t="s">
        <v>943</v>
      </c>
      <c r="I270" s="209" t="s">
        <v>1097</v>
      </c>
      <c r="J270" s="146" t="s">
        <v>944</v>
      </c>
      <c r="K270" s="125"/>
      <c r="L270" s="6"/>
      <c r="M270" s="6"/>
      <c r="N270" s="6"/>
      <c r="O270" s="51"/>
      <c r="P270" s="51"/>
      <c r="Q270" s="51"/>
      <c r="R270" s="60"/>
      <c r="S270" s="52"/>
      <c r="T270" s="52"/>
      <c r="U270" s="52"/>
      <c r="V270" s="60"/>
      <c r="W270" s="38"/>
      <c r="X270" s="11"/>
      <c r="Y270" s="17"/>
      <c r="Z270" s="35"/>
      <c r="AA270" s="75"/>
      <c r="AB270" s="75"/>
      <c r="AC270" s="75"/>
      <c r="AD270" s="43"/>
      <c r="AE270" s="38"/>
      <c r="AF270" s="11"/>
      <c r="AG270" s="6"/>
      <c r="AH270" s="6"/>
      <c r="AI270" s="6"/>
      <c r="AJ270" s="43"/>
      <c r="AK270" s="38"/>
      <c r="AL270" s="11"/>
      <c r="AM270" s="6"/>
      <c r="AN270" s="6"/>
      <c r="AO270" s="6"/>
      <c r="AP270" s="43"/>
    </row>
    <row r="271" spans="1:42">
      <c r="A271" s="37">
        <v>255</v>
      </c>
      <c r="B271" s="142"/>
      <c r="C271" s="152" t="s">
        <v>696</v>
      </c>
      <c r="D271" s="33"/>
      <c r="E271" s="33"/>
      <c r="F271" s="33"/>
      <c r="G271" s="33"/>
      <c r="H271" s="141" t="s">
        <v>883</v>
      </c>
      <c r="I271" s="189"/>
      <c r="J271" s="143"/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256</v>
      </c>
      <c r="B272" s="142"/>
      <c r="C272" s="152" t="s">
        <v>1770</v>
      </c>
      <c r="D272" s="33"/>
      <c r="E272" s="33"/>
      <c r="F272" s="33"/>
      <c r="G272" s="33"/>
      <c r="H272" s="77" t="s">
        <v>1999</v>
      </c>
      <c r="I272" s="185" t="s">
        <v>1170</v>
      </c>
      <c r="J272" s="148" t="s">
        <v>1923</v>
      </c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>
      <c r="A273" s="37">
        <v>257</v>
      </c>
      <c r="B273" s="142"/>
      <c r="C273" s="152" t="s">
        <v>808</v>
      </c>
      <c r="D273" s="33"/>
      <c r="E273" s="33"/>
      <c r="F273" s="33"/>
      <c r="G273" s="33"/>
      <c r="H273" s="77" t="s">
        <v>1204</v>
      </c>
      <c r="I273" s="185" t="s">
        <v>1125</v>
      </c>
      <c r="J273" s="148" t="s">
        <v>1203</v>
      </c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>
      <c r="A274" s="37"/>
      <c r="B274" s="142"/>
      <c r="C274" s="152" t="s">
        <v>2021</v>
      </c>
      <c r="D274" s="33"/>
      <c r="E274" s="33"/>
      <c r="F274" s="33"/>
      <c r="G274" s="33"/>
      <c r="H274" s="77" t="s">
        <v>2022</v>
      </c>
      <c r="I274" s="185" t="s">
        <v>2023</v>
      </c>
      <c r="J274" s="148" t="s">
        <v>2024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258</v>
      </c>
      <c r="B275" s="142"/>
      <c r="C275" s="152" t="s">
        <v>1187</v>
      </c>
      <c r="D275" s="33"/>
      <c r="E275" s="33"/>
      <c r="F275" s="33"/>
      <c r="G275" s="33"/>
      <c r="H275" s="77" t="s">
        <v>1189</v>
      </c>
      <c r="I275" s="185" t="s">
        <v>1190</v>
      </c>
      <c r="J275" s="148" t="s">
        <v>1188</v>
      </c>
      <c r="K275" s="126"/>
      <c r="L275" s="93"/>
      <c r="M275" s="93"/>
      <c r="N275" s="93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AA275" s="119"/>
      <c r="AB275" s="119"/>
      <c r="AC275" s="119"/>
      <c r="AE275" s="118"/>
      <c r="AG275" s="8"/>
      <c r="AH275" s="8"/>
      <c r="AI275" s="8"/>
      <c r="AK275" s="118"/>
      <c r="AM275" s="8"/>
      <c r="AN275" s="8"/>
      <c r="AO275" s="8"/>
    </row>
    <row r="276" spans="1:42" ht="27">
      <c r="A276" s="37">
        <v>259</v>
      </c>
      <c r="B276" s="142"/>
      <c r="C276" s="152" t="s">
        <v>928</v>
      </c>
      <c r="D276" s="33"/>
      <c r="E276" s="33"/>
      <c r="F276" s="33"/>
      <c r="G276" s="33"/>
      <c r="H276" s="77" t="s">
        <v>930</v>
      </c>
      <c r="I276" s="185"/>
      <c r="J276" s="148" t="s">
        <v>929</v>
      </c>
      <c r="K276" s="126"/>
      <c r="L276" s="93"/>
      <c r="M276" s="93"/>
      <c r="N276" s="93"/>
      <c r="O276" s="51"/>
      <c r="P276" s="51"/>
      <c r="Q276" s="51"/>
      <c r="R276" s="60"/>
      <c r="S276" s="51"/>
      <c r="T276" s="51"/>
      <c r="U276" s="51"/>
      <c r="V276" s="60"/>
      <c r="W276" s="38"/>
      <c r="X276" s="11"/>
      <c r="AA276" s="119"/>
      <c r="AB276" s="119"/>
      <c r="AC276" s="119"/>
      <c r="AE276" s="118"/>
      <c r="AG276" s="8"/>
      <c r="AH276" s="8"/>
      <c r="AI276" s="8"/>
      <c r="AK276" s="118"/>
      <c r="AM276" s="8"/>
      <c r="AN276" s="8"/>
      <c r="AO276" s="8"/>
    </row>
    <row r="277" spans="1:42" ht="27">
      <c r="A277" s="37">
        <v>260</v>
      </c>
      <c r="B277" s="142"/>
      <c r="C277" s="152" t="s">
        <v>1474</v>
      </c>
      <c r="D277" s="33"/>
      <c r="E277" s="33"/>
      <c r="F277" s="33"/>
      <c r="G277" s="33"/>
      <c r="H277" s="77" t="s">
        <v>1479</v>
      </c>
      <c r="I277" s="185" t="s">
        <v>1480</v>
      </c>
      <c r="J277" s="148" t="s">
        <v>1483</v>
      </c>
      <c r="K277" s="126"/>
      <c r="L277" s="93"/>
      <c r="M277" s="93"/>
      <c r="N277" s="93"/>
      <c r="O277" s="51"/>
      <c r="P277" s="51"/>
      <c r="Q277" s="51"/>
      <c r="R277" s="60"/>
      <c r="S277" s="51"/>
      <c r="T277" s="51"/>
      <c r="U277" s="51"/>
      <c r="V277" s="60"/>
      <c r="W277" s="38"/>
      <c r="X277" s="11"/>
      <c r="AA277" s="119"/>
      <c r="AB277" s="119"/>
      <c r="AC277" s="119"/>
      <c r="AE277" s="118"/>
      <c r="AG277" s="8"/>
      <c r="AH277" s="8"/>
      <c r="AI277" s="8"/>
      <c r="AK277" s="118"/>
      <c r="AM277" s="8"/>
      <c r="AN277" s="8"/>
      <c r="AO277" s="8"/>
    </row>
    <row r="278" spans="1:42" ht="27">
      <c r="A278" s="37">
        <v>261</v>
      </c>
      <c r="B278" s="142"/>
      <c r="C278" s="152" t="s">
        <v>1202</v>
      </c>
      <c r="D278" s="33"/>
      <c r="E278" s="33"/>
      <c r="F278" s="33"/>
      <c r="G278" s="33"/>
      <c r="H278" s="77" t="s">
        <v>1436</v>
      </c>
      <c r="I278" s="185" t="s">
        <v>1066</v>
      </c>
      <c r="J278" s="148" t="s">
        <v>1435</v>
      </c>
      <c r="K278" s="126"/>
      <c r="L278" s="93"/>
      <c r="M278" s="93"/>
      <c r="N278" s="93"/>
      <c r="O278" s="51"/>
      <c r="P278" s="51"/>
      <c r="Q278" s="51"/>
      <c r="R278" s="60"/>
      <c r="S278" s="51"/>
      <c r="T278" s="51"/>
      <c r="U278" s="51"/>
      <c r="V278" s="60"/>
      <c r="W278" s="38"/>
      <c r="X278" s="11"/>
      <c r="AA278" s="119"/>
      <c r="AB278" s="119"/>
      <c r="AC278" s="119"/>
      <c r="AE278" s="118"/>
      <c r="AG278" s="8"/>
      <c r="AH278" s="8"/>
      <c r="AI278" s="8"/>
      <c r="AK278" s="118"/>
      <c r="AM278" s="8"/>
      <c r="AN278" s="8"/>
      <c r="AO278" s="8"/>
    </row>
    <row r="279" spans="1:42">
      <c r="A279" s="37">
        <v>262</v>
      </c>
      <c r="B279" s="142"/>
      <c r="C279" s="152" t="s">
        <v>1475</v>
      </c>
      <c r="D279" s="33"/>
      <c r="E279" s="33"/>
      <c r="F279" s="33"/>
      <c r="G279" s="33"/>
      <c r="H279" s="77" t="s">
        <v>1478</v>
      </c>
      <c r="I279" s="185" t="s">
        <v>1394</v>
      </c>
      <c r="J279" s="148"/>
      <c r="K279" s="126"/>
      <c r="L279" s="93"/>
      <c r="M279" s="93"/>
      <c r="N279" s="93"/>
      <c r="O279" s="51"/>
      <c r="P279" s="51"/>
      <c r="Q279" s="51"/>
      <c r="R279" s="60"/>
      <c r="S279" s="51"/>
      <c r="T279" s="51"/>
      <c r="U279" s="51"/>
      <c r="V279" s="60"/>
      <c r="W279" s="38"/>
      <c r="X279" s="11"/>
      <c r="AA279" s="119"/>
      <c r="AB279" s="119"/>
      <c r="AC279" s="119"/>
      <c r="AE279" s="118"/>
      <c r="AG279" s="8"/>
      <c r="AH279" s="8"/>
      <c r="AI279" s="8"/>
      <c r="AK279" s="118"/>
      <c r="AM279" s="8"/>
      <c r="AN279" s="8"/>
      <c r="AO279" s="8"/>
    </row>
    <row r="280" spans="1:42">
      <c r="A280" s="37">
        <v>263</v>
      </c>
      <c r="B280" s="142"/>
      <c r="C280" s="152" t="s">
        <v>835</v>
      </c>
      <c r="D280" s="33"/>
      <c r="E280" s="33"/>
      <c r="F280" s="33"/>
      <c r="G280" s="33"/>
      <c r="H280" s="77" t="s">
        <v>830</v>
      </c>
      <c r="I280" s="185" t="s">
        <v>1015</v>
      </c>
      <c r="J280" s="148" t="s">
        <v>831</v>
      </c>
      <c r="K280" s="126"/>
      <c r="L280" s="93"/>
      <c r="M280" s="93"/>
      <c r="N280" s="93"/>
      <c r="O280" s="51"/>
      <c r="P280" s="51"/>
      <c r="Q280" s="51"/>
      <c r="R280" s="60"/>
      <c r="S280" s="51"/>
      <c r="T280" s="51"/>
      <c r="U280" s="51"/>
      <c r="V280" s="60"/>
      <c r="W280" s="38"/>
      <c r="X280" s="11"/>
      <c r="AA280" s="119"/>
      <c r="AB280" s="119"/>
      <c r="AC280" s="119"/>
      <c r="AE280" s="118"/>
      <c r="AG280" s="8"/>
      <c r="AH280" s="8"/>
      <c r="AI280" s="8"/>
      <c r="AK280" s="118"/>
      <c r="AM280" s="8"/>
      <c r="AN280" s="8"/>
      <c r="AO280" s="8"/>
    </row>
    <row r="281" spans="1:42">
      <c r="A281" s="37">
        <v>264</v>
      </c>
      <c r="B281" s="142"/>
      <c r="C281" s="152" t="s">
        <v>1931</v>
      </c>
      <c r="D281" s="33"/>
      <c r="E281" s="33"/>
      <c r="F281" s="33"/>
      <c r="G281" s="33"/>
      <c r="H281" s="77" t="s">
        <v>1932</v>
      </c>
      <c r="I281" s="198" t="s">
        <v>1933</v>
      </c>
      <c r="J281" s="146" t="s">
        <v>1893</v>
      </c>
      <c r="K281" s="126"/>
      <c r="L281" s="93"/>
      <c r="M281" s="93"/>
      <c r="N281" s="93"/>
      <c r="O281" s="51"/>
      <c r="P281" s="51"/>
      <c r="Q281" s="51"/>
      <c r="R281" s="60"/>
      <c r="S281" s="51"/>
      <c r="T281" s="51"/>
      <c r="U281" s="51"/>
      <c r="V281" s="60"/>
      <c r="W281" s="38"/>
      <c r="X281" s="11"/>
      <c r="AA281" s="119"/>
      <c r="AB281" s="119"/>
      <c r="AC281" s="119"/>
      <c r="AE281" s="118"/>
      <c r="AG281" s="8"/>
      <c r="AH281" s="8"/>
      <c r="AI281" s="8"/>
      <c r="AK281" s="118"/>
      <c r="AM281" s="8"/>
      <c r="AN281" s="8"/>
      <c r="AO281" s="8"/>
    </row>
    <row r="282" spans="1:42">
      <c r="A282" s="37"/>
      <c r="B282" s="142"/>
      <c r="C282" s="152" t="s">
        <v>2234</v>
      </c>
      <c r="D282" s="33"/>
      <c r="E282" s="33"/>
      <c r="F282" s="33"/>
      <c r="G282" s="33"/>
      <c r="H282" s="141" t="s">
        <v>2235</v>
      </c>
      <c r="I282" s="189" t="s">
        <v>1084</v>
      </c>
      <c r="J282" s="146"/>
      <c r="K282" s="126"/>
      <c r="L282" s="93"/>
      <c r="M282" s="93"/>
      <c r="N282" s="93"/>
      <c r="O282" s="51"/>
      <c r="P282" s="51"/>
      <c r="Q282" s="51"/>
      <c r="R282" s="60"/>
      <c r="S282" s="51"/>
      <c r="T282" s="51"/>
      <c r="U282" s="51"/>
      <c r="V282" s="60"/>
      <c r="W282" s="38"/>
      <c r="X282" s="11"/>
      <c r="AA282" s="119"/>
      <c r="AB282" s="119"/>
      <c r="AC282" s="119"/>
      <c r="AE282" s="118"/>
      <c r="AG282" s="8"/>
      <c r="AH282" s="8"/>
      <c r="AI282" s="8"/>
      <c r="AK282" s="118"/>
      <c r="AM282" s="8"/>
      <c r="AN282" s="8"/>
      <c r="AO282" s="8"/>
    </row>
    <row r="283" spans="1:42">
      <c r="A283" s="37">
        <v>265</v>
      </c>
      <c r="B283" s="139"/>
      <c r="C283" s="171" t="s">
        <v>1892</v>
      </c>
      <c r="D283" s="211"/>
      <c r="E283" s="211"/>
      <c r="F283" s="211"/>
      <c r="G283" s="211"/>
      <c r="H283" s="151" t="s">
        <v>1894</v>
      </c>
      <c r="I283" s="198" t="s">
        <v>1101</v>
      </c>
      <c r="J283" s="146" t="s">
        <v>1893</v>
      </c>
      <c r="K283" s="125"/>
      <c r="L283" s="6"/>
      <c r="M283" s="6"/>
      <c r="N283" s="6"/>
      <c r="O283" s="51"/>
      <c r="P283" s="51"/>
      <c r="Q283" s="51"/>
      <c r="R283" s="60"/>
      <c r="S283" s="51"/>
      <c r="T283" s="51"/>
      <c r="U283" s="51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266</v>
      </c>
      <c r="B284" s="139"/>
      <c r="C284" s="152" t="s">
        <v>1117</v>
      </c>
      <c r="D284" s="33"/>
      <c r="E284" s="33"/>
      <c r="F284" s="33"/>
      <c r="G284" s="33"/>
      <c r="H284" s="141" t="s">
        <v>853</v>
      </c>
      <c r="J284" s="146"/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/>
      <c r="B285" s="139"/>
      <c r="C285" s="152" t="s">
        <v>2107</v>
      </c>
      <c r="D285" s="33"/>
      <c r="E285" s="33"/>
      <c r="F285" s="33"/>
      <c r="G285" s="33"/>
      <c r="H285" s="141" t="s">
        <v>2108</v>
      </c>
      <c r="I285" s="189" t="s">
        <v>1465</v>
      </c>
      <c r="J285" s="146"/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267</v>
      </c>
      <c r="B286" s="139"/>
      <c r="C286" s="152" t="s">
        <v>1368</v>
      </c>
      <c r="D286" s="33"/>
      <c r="E286" s="33"/>
      <c r="F286" s="33"/>
      <c r="G286" s="33"/>
      <c r="H286" s="77" t="s">
        <v>1432</v>
      </c>
      <c r="I286" s="185" t="s">
        <v>983</v>
      </c>
      <c r="J286" s="146"/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268</v>
      </c>
      <c r="B287" s="142"/>
      <c r="C287" s="152" t="s">
        <v>2114</v>
      </c>
      <c r="D287" s="33"/>
      <c r="E287" s="33"/>
      <c r="F287" s="33"/>
      <c r="G287" s="33"/>
      <c r="H287" s="77" t="s">
        <v>2115</v>
      </c>
      <c r="I287" s="185" t="s">
        <v>1323</v>
      </c>
      <c r="J287" s="146" t="s">
        <v>2116</v>
      </c>
      <c r="K287" s="35"/>
      <c r="L287" s="17"/>
      <c r="M287" s="17"/>
      <c r="N287" s="17"/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269</v>
      </c>
      <c r="B288" s="139"/>
      <c r="C288" s="152" t="s">
        <v>1312</v>
      </c>
      <c r="D288" s="33"/>
      <c r="E288" s="33"/>
      <c r="F288" s="33"/>
      <c r="G288" s="33"/>
      <c r="H288" s="77" t="s">
        <v>940</v>
      </c>
      <c r="I288" s="185" t="s">
        <v>982</v>
      </c>
      <c r="J288" s="146"/>
      <c r="K288" s="35"/>
      <c r="L288" s="17"/>
      <c r="M288" s="17"/>
      <c r="N288" s="17"/>
      <c r="O288" s="51"/>
      <c r="P288" s="51"/>
      <c r="Q288" s="51"/>
      <c r="R288" s="60"/>
      <c r="S288" s="51"/>
      <c r="T288" s="53"/>
      <c r="U288" s="53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270</v>
      </c>
      <c r="B289" s="142"/>
      <c r="C289" s="152" t="s">
        <v>657</v>
      </c>
      <c r="D289" s="33"/>
      <c r="E289" s="33"/>
      <c r="F289" s="33"/>
      <c r="G289" s="33"/>
      <c r="H289" s="77" t="s">
        <v>816</v>
      </c>
      <c r="I289" s="185" t="s">
        <v>1330</v>
      </c>
      <c r="J289" s="146" t="s">
        <v>1335</v>
      </c>
      <c r="K289" s="35"/>
      <c r="L289" s="17"/>
      <c r="M289" s="17"/>
      <c r="N289" s="17"/>
      <c r="O289" s="51"/>
      <c r="P289" s="51"/>
      <c r="Q289" s="51"/>
      <c r="R289" s="60"/>
      <c r="S289" s="51"/>
      <c r="T289" s="53"/>
      <c r="U289" s="53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271</v>
      </c>
      <c r="B290" s="142"/>
      <c r="C290" s="152" t="s">
        <v>2250</v>
      </c>
      <c r="D290" s="33"/>
      <c r="E290" s="33"/>
      <c r="F290" s="33"/>
      <c r="G290" s="33"/>
      <c r="H290" s="77" t="s">
        <v>2249</v>
      </c>
      <c r="I290" s="185" t="s">
        <v>1878</v>
      </c>
      <c r="J290" s="146" t="s">
        <v>1877</v>
      </c>
      <c r="K290" s="35"/>
      <c r="L290" s="17"/>
      <c r="M290" s="17"/>
      <c r="N290" s="17"/>
      <c r="O290" s="51"/>
      <c r="P290" s="51"/>
      <c r="Q290" s="51"/>
      <c r="R290" s="60"/>
      <c r="S290" s="51"/>
      <c r="T290" s="53"/>
      <c r="U290" s="53"/>
      <c r="V290" s="60"/>
      <c r="W290" s="38"/>
      <c r="X290" s="11"/>
      <c r="Y290" s="17"/>
      <c r="Z290" s="17"/>
      <c r="AA290" s="70"/>
      <c r="AB290" s="70"/>
      <c r="AC290" s="70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272</v>
      </c>
      <c r="B291" s="142"/>
      <c r="C291" s="152" t="s">
        <v>1783</v>
      </c>
      <c r="D291" s="33"/>
      <c r="E291" s="33"/>
      <c r="F291" s="33"/>
      <c r="G291" s="33"/>
      <c r="H291" s="77" t="s">
        <v>1784</v>
      </c>
      <c r="I291" s="185" t="s">
        <v>1785</v>
      </c>
      <c r="J291" s="146"/>
      <c r="K291" s="35"/>
      <c r="L291" s="17"/>
      <c r="M291" s="17"/>
      <c r="N291" s="17"/>
      <c r="O291" s="51"/>
      <c r="P291" s="51"/>
      <c r="Q291" s="51"/>
      <c r="R291" s="60"/>
      <c r="S291" s="51"/>
      <c r="T291" s="53"/>
      <c r="U291" s="53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>
      <c r="A292" s="37">
        <v>273</v>
      </c>
      <c r="B292" s="142"/>
      <c r="C292" s="152" t="s">
        <v>1328</v>
      </c>
      <c r="D292" s="33"/>
      <c r="E292" s="33"/>
      <c r="F292" s="33"/>
      <c r="G292" s="33"/>
      <c r="H292" s="77" t="s">
        <v>1336</v>
      </c>
      <c r="I292" s="185" t="s">
        <v>1330</v>
      </c>
      <c r="J292" s="146" t="s">
        <v>1334</v>
      </c>
      <c r="K292" s="35"/>
      <c r="L292" s="17"/>
      <c r="M292" s="17"/>
      <c r="N292" s="17"/>
      <c r="O292" s="51"/>
      <c r="P292" s="51"/>
      <c r="Q292" s="51"/>
      <c r="R292" s="60"/>
      <c r="S292" s="51"/>
      <c r="T292" s="53"/>
      <c r="U292" s="53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274</v>
      </c>
      <c r="B293" s="139"/>
      <c r="C293" s="152" t="s">
        <v>921</v>
      </c>
      <c r="D293" s="33"/>
      <c r="E293" s="33"/>
      <c r="F293" s="33"/>
      <c r="G293" s="33"/>
      <c r="H293" s="77" t="s">
        <v>913</v>
      </c>
      <c r="I293" s="185" t="s">
        <v>1043</v>
      </c>
      <c r="J293" s="146"/>
      <c r="K293" s="35"/>
      <c r="L293" s="17"/>
      <c r="M293" s="17"/>
      <c r="N293" s="17"/>
      <c r="O293" s="51"/>
      <c r="P293" s="51"/>
      <c r="Q293" s="51"/>
      <c r="R293" s="60"/>
      <c r="S293" s="51"/>
      <c r="T293" s="53"/>
      <c r="U293" s="53"/>
      <c r="V293" s="60"/>
      <c r="W293" s="38"/>
      <c r="X293" s="11"/>
      <c r="Y293" s="17"/>
      <c r="Z293" s="17"/>
      <c r="AA293" s="70"/>
      <c r="AB293" s="70"/>
      <c r="AC293" s="70"/>
      <c r="AD293" s="43"/>
      <c r="AE293" s="38"/>
      <c r="AF293" s="11"/>
      <c r="AG293" s="6"/>
      <c r="AH293" s="6"/>
      <c r="AI293" s="6"/>
      <c r="AJ293" s="43"/>
      <c r="AK293" s="38"/>
      <c r="AL293" s="11"/>
      <c r="AM293" s="6"/>
      <c r="AN293" s="6"/>
      <c r="AO293" s="6"/>
      <c r="AP293" s="43"/>
    </row>
    <row r="294" spans="1:42">
      <c r="A294" s="37">
        <v>275</v>
      </c>
      <c r="B294" s="139"/>
      <c r="C294" s="152" t="s">
        <v>1154</v>
      </c>
      <c r="D294" s="33"/>
      <c r="E294" s="33"/>
      <c r="F294" s="33"/>
      <c r="G294" s="33"/>
      <c r="H294" s="77" t="s">
        <v>1155</v>
      </c>
      <c r="I294" s="185" t="s">
        <v>1156</v>
      </c>
      <c r="J294" s="145" t="s">
        <v>1157</v>
      </c>
      <c r="K294" s="35"/>
      <c r="L294" s="17"/>
      <c r="M294" s="17"/>
      <c r="N294" s="17"/>
      <c r="O294" s="51"/>
      <c r="P294" s="51"/>
      <c r="Q294" s="51"/>
      <c r="R294" s="60"/>
      <c r="S294" s="51"/>
      <c r="T294" s="53"/>
      <c r="U294" s="53"/>
      <c r="V294" s="60"/>
      <c r="W294" s="38"/>
      <c r="X294" s="11"/>
      <c r="Y294" s="17"/>
      <c r="Z294" s="17"/>
      <c r="AA294" s="70"/>
      <c r="AB294" s="70"/>
      <c r="AC294" s="70"/>
      <c r="AD294" s="43"/>
      <c r="AE294" s="38"/>
      <c r="AF294" s="11"/>
      <c r="AG294" s="6"/>
      <c r="AH294" s="6"/>
      <c r="AI294" s="6"/>
      <c r="AJ294" s="43"/>
      <c r="AK294" s="38"/>
      <c r="AL294" s="11"/>
      <c r="AM294" s="6"/>
      <c r="AN294" s="6"/>
      <c r="AO294" s="6"/>
      <c r="AP294" s="43"/>
    </row>
    <row r="295" spans="1:42">
      <c r="A295" s="37">
        <v>276</v>
      </c>
      <c r="B295" s="139"/>
      <c r="C295" s="152" t="s">
        <v>1407</v>
      </c>
      <c r="D295" s="33"/>
      <c r="E295" s="33"/>
      <c r="F295" s="33"/>
      <c r="G295" s="33"/>
      <c r="H295" s="77" t="s">
        <v>1632</v>
      </c>
      <c r="I295" s="185" t="s">
        <v>975</v>
      </c>
      <c r="J295" s="145"/>
      <c r="K295" s="35"/>
      <c r="L295" s="17"/>
      <c r="M295" s="17"/>
      <c r="N295" s="17"/>
      <c r="O295" s="51"/>
      <c r="P295" s="51"/>
      <c r="Q295" s="51"/>
      <c r="R295" s="60"/>
      <c r="S295" s="51"/>
      <c r="T295" s="53"/>
      <c r="U295" s="53"/>
      <c r="V295" s="60"/>
      <c r="W295" s="38"/>
      <c r="X295" s="11"/>
      <c r="Y295" s="17"/>
      <c r="Z295" s="17"/>
      <c r="AA295" s="70"/>
      <c r="AB295" s="70"/>
      <c r="AC295" s="70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>
      <c r="A296" s="37">
        <v>277</v>
      </c>
      <c r="B296" s="139"/>
      <c r="C296" s="152" t="s">
        <v>717</v>
      </c>
      <c r="D296" s="33"/>
      <c r="E296" s="33"/>
      <c r="F296" s="33"/>
      <c r="G296" s="33"/>
      <c r="H296" s="77" t="s">
        <v>749</v>
      </c>
      <c r="I296" s="185" t="s">
        <v>1049</v>
      </c>
      <c r="J296" s="146" t="s">
        <v>748</v>
      </c>
      <c r="K296" s="35"/>
      <c r="L296" s="17">
        <v>11560</v>
      </c>
      <c r="M296" s="17">
        <v>578</v>
      </c>
      <c r="N296" s="17">
        <v>12138</v>
      </c>
      <c r="O296" s="51"/>
      <c r="P296" s="51"/>
      <c r="Q296" s="51"/>
      <c r="R296" s="60"/>
      <c r="S296" s="51"/>
      <c r="T296" s="53"/>
      <c r="U296" s="53"/>
      <c r="V296" s="60"/>
      <c r="W296" s="38"/>
      <c r="X296" s="11"/>
      <c r="Y296" s="17"/>
      <c r="Z296" s="17"/>
      <c r="AA296" s="70"/>
      <c r="AB296" s="70"/>
      <c r="AC296" s="70"/>
      <c r="AD296" s="43"/>
      <c r="AE296" s="38"/>
      <c r="AF296" s="11"/>
      <c r="AG296" s="6"/>
      <c r="AH296" s="6"/>
      <c r="AI296" s="6"/>
      <c r="AJ296" s="43"/>
      <c r="AK296" s="38"/>
      <c r="AL296" s="11"/>
      <c r="AM296" s="6"/>
      <c r="AN296" s="6"/>
      <c r="AO296" s="6"/>
      <c r="AP296" s="43"/>
    </row>
    <row r="297" spans="1:42" ht="27">
      <c r="A297" s="37">
        <v>278</v>
      </c>
      <c r="B297" s="154"/>
      <c r="C297" s="152" t="s">
        <v>1903</v>
      </c>
      <c r="D297" s="33"/>
      <c r="E297" s="33"/>
      <c r="F297" s="33"/>
      <c r="G297" s="33"/>
      <c r="H297" s="77" t="s">
        <v>1437</v>
      </c>
      <c r="I297" s="185" t="s">
        <v>1208</v>
      </c>
      <c r="J297" s="146" t="s">
        <v>1226</v>
      </c>
      <c r="K297" s="125"/>
      <c r="L297" s="6"/>
      <c r="M297" s="6"/>
      <c r="N297" s="6"/>
      <c r="O297" s="51"/>
      <c r="P297" s="51"/>
      <c r="Q297" s="51"/>
      <c r="R297" s="60"/>
      <c r="S297" s="51"/>
      <c r="T297" s="51"/>
      <c r="U297" s="51"/>
      <c r="V297" s="60"/>
      <c r="W297" s="38"/>
      <c r="X297" s="11"/>
      <c r="Y297" s="17"/>
      <c r="Z297" s="17"/>
      <c r="AA297" s="70"/>
      <c r="AB297" s="70"/>
      <c r="AC297" s="70"/>
      <c r="AD297" s="43"/>
      <c r="AE297" s="38"/>
      <c r="AF297" s="11"/>
      <c r="AG297" s="6"/>
      <c r="AH297" s="6"/>
      <c r="AI297" s="6"/>
      <c r="AJ297" s="43"/>
      <c r="AK297" s="38"/>
      <c r="AL297" s="11"/>
      <c r="AM297" s="6"/>
      <c r="AN297" s="6"/>
      <c r="AO297" s="6"/>
      <c r="AP297" s="43"/>
    </row>
    <row r="298" spans="1:42">
      <c r="A298" s="37">
        <v>279</v>
      </c>
      <c r="B298" s="139"/>
      <c r="C298" s="152" t="s">
        <v>486</v>
      </c>
      <c r="D298" s="33"/>
      <c r="E298" s="33"/>
      <c r="F298" s="33"/>
      <c r="G298" s="33"/>
      <c r="H298" s="77" t="s">
        <v>1020</v>
      </c>
      <c r="I298" s="185" t="s">
        <v>1021</v>
      </c>
      <c r="J298" s="146" t="s">
        <v>1019</v>
      </c>
      <c r="K298" s="125"/>
      <c r="L298" s="6"/>
      <c r="M298" s="6"/>
      <c r="N298" s="6"/>
      <c r="O298" s="51"/>
      <c r="P298" s="51"/>
      <c r="Q298" s="51"/>
      <c r="R298" s="60"/>
      <c r="S298" s="54"/>
      <c r="T298" s="54"/>
      <c r="U298" s="54"/>
      <c r="V298" s="60"/>
      <c r="W298" s="38"/>
      <c r="X298" s="11"/>
      <c r="Y298" s="17"/>
      <c r="Z298" s="17"/>
      <c r="AA298" s="98"/>
      <c r="AB298" s="98"/>
      <c r="AC298" s="98"/>
      <c r="AD298" s="43"/>
      <c r="AE298" s="38"/>
      <c r="AF298" s="11"/>
      <c r="AG298" s="99"/>
      <c r="AH298" s="99"/>
      <c r="AI298" s="99"/>
      <c r="AJ298" s="43"/>
      <c r="AK298" s="38"/>
      <c r="AL298" s="11"/>
      <c r="AM298" s="6"/>
      <c r="AN298" s="6"/>
      <c r="AO298" s="6"/>
      <c r="AP298" s="43"/>
    </row>
    <row r="299" spans="1:42">
      <c r="A299" s="37"/>
      <c r="B299" s="139"/>
      <c r="C299" s="152" t="s">
        <v>2090</v>
      </c>
      <c r="D299" s="33"/>
      <c r="E299" s="33"/>
      <c r="F299" s="33"/>
      <c r="G299" s="33"/>
      <c r="H299" s="77" t="s">
        <v>2091</v>
      </c>
      <c r="I299" s="185" t="s">
        <v>1913</v>
      </c>
      <c r="J299" s="146"/>
      <c r="K299" s="125"/>
      <c r="L299" s="6"/>
      <c r="M299" s="6"/>
      <c r="N299" s="6"/>
      <c r="O299" s="51"/>
      <c r="P299" s="51"/>
      <c r="Q299" s="51"/>
      <c r="R299" s="60"/>
      <c r="S299" s="54"/>
      <c r="T299" s="54"/>
      <c r="U299" s="54"/>
      <c r="V299" s="60"/>
      <c r="W299" s="38"/>
      <c r="X299" s="11"/>
      <c r="Y299" s="17"/>
      <c r="Z299" s="17"/>
      <c r="AA299" s="98"/>
      <c r="AB299" s="98"/>
      <c r="AC299" s="98"/>
      <c r="AD299" s="43"/>
      <c r="AE299" s="38"/>
      <c r="AF299" s="11"/>
      <c r="AG299" s="99"/>
      <c r="AH299" s="99"/>
      <c r="AI299" s="99"/>
      <c r="AJ299" s="43"/>
      <c r="AK299" s="38"/>
      <c r="AL299" s="11"/>
      <c r="AM299" s="6"/>
      <c r="AN299" s="6"/>
      <c r="AO299" s="6"/>
      <c r="AP299" s="43"/>
    </row>
    <row r="300" spans="1:42">
      <c r="A300" s="37">
        <v>280</v>
      </c>
      <c r="B300" s="139"/>
      <c r="C300" s="152" t="s">
        <v>1899</v>
      </c>
      <c r="D300" s="33"/>
      <c r="E300" s="33"/>
      <c r="F300" s="33"/>
      <c r="G300" s="33"/>
      <c r="H300" s="77" t="s">
        <v>1900</v>
      </c>
      <c r="I300" s="185" t="s">
        <v>1002</v>
      </c>
      <c r="J300" s="146"/>
      <c r="K300" s="35"/>
      <c r="L300" s="17">
        <v>67200</v>
      </c>
      <c r="M300" s="17">
        <v>3360</v>
      </c>
      <c r="N300" s="17">
        <v>70560</v>
      </c>
      <c r="O300" s="51"/>
      <c r="P300" s="51"/>
      <c r="Q300" s="51"/>
      <c r="R300" s="60"/>
      <c r="S300" s="51"/>
      <c r="T300" s="53"/>
      <c r="U300" s="53"/>
      <c r="V300" s="60"/>
      <c r="W300" s="38"/>
      <c r="X300" s="11"/>
      <c r="Y300" s="17"/>
      <c r="Z300" s="17"/>
      <c r="AA300" s="70"/>
      <c r="AB300" s="70"/>
      <c r="AC300" s="70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281</v>
      </c>
      <c r="B301" s="139"/>
      <c r="C301" s="152" t="s">
        <v>1714</v>
      </c>
      <c r="D301" s="33"/>
      <c r="E301" s="33"/>
      <c r="F301" s="33"/>
      <c r="G301" s="33"/>
      <c r="H301" s="77" t="s">
        <v>1545</v>
      </c>
      <c r="I301" s="185" t="s">
        <v>1010</v>
      </c>
      <c r="J301" s="146" t="s">
        <v>1009</v>
      </c>
      <c r="K301" s="125"/>
      <c r="L301" s="6"/>
      <c r="M301" s="6"/>
      <c r="N301" s="6"/>
      <c r="O301" s="51"/>
      <c r="P301" s="51"/>
      <c r="Q301" s="51"/>
      <c r="R301" s="60"/>
      <c r="S301" s="51"/>
      <c r="T301" s="51"/>
      <c r="U301" s="51"/>
      <c r="V301" s="60"/>
      <c r="W301" s="38"/>
      <c r="X301" s="11"/>
      <c r="Y301" s="17"/>
      <c r="Z301" s="17"/>
      <c r="AA301" s="70"/>
      <c r="AB301" s="70"/>
      <c r="AC301" s="70"/>
      <c r="AD301" s="43"/>
      <c r="AE301" s="38"/>
      <c r="AF301" s="11"/>
      <c r="AG301" s="6"/>
      <c r="AH301" s="6"/>
      <c r="AI301" s="6"/>
      <c r="AJ301" s="43"/>
      <c r="AK301" s="38"/>
      <c r="AL301" s="11"/>
      <c r="AM301" s="6"/>
      <c r="AN301" s="6"/>
      <c r="AO301" s="6"/>
      <c r="AP301" s="43"/>
    </row>
    <row r="302" spans="1:42">
      <c r="A302" s="37">
        <v>282</v>
      </c>
      <c r="B302" s="139"/>
      <c r="C302" s="152" t="s">
        <v>1771</v>
      </c>
      <c r="D302" s="33"/>
      <c r="E302" s="33"/>
      <c r="F302" s="33"/>
      <c r="G302" s="33"/>
      <c r="H302" s="77" t="s">
        <v>1532</v>
      </c>
      <c r="I302" s="185" t="s">
        <v>1533</v>
      </c>
      <c r="J302" s="146" t="s">
        <v>1531</v>
      </c>
      <c r="K302" s="125"/>
      <c r="L302" s="6"/>
      <c r="M302" s="6"/>
      <c r="N302" s="6"/>
      <c r="O302" s="51"/>
      <c r="P302" s="51"/>
      <c r="Q302" s="51"/>
      <c r="R302" s="60"/>
      <c r="S302" s="51"/>
      <c r="T302" s="51"/>
      <c r="U302" s="51"/>
      <c r="V302" s="60"/>
      <c r="W302" s="38"/>
      <c r="X302" s="11"/>
      <c r="Y302" s="17"/>
      <c r="Z302" s="17"/>
      <c r="AA302" s="70"/>
      <c r="AB302" s="70"/>
      <c r="AC302" s="70"/>
      <c r="AD302" s="43"/>
      <c r="AE302" s="38"/>
      <c r="AF302" s="11"/>
      <c r="AG302" s="6"/>
      <c r="AH302" s="6"/>
      <c r="AI302" s="6"/>
      <c r="AJ302" s="43"/>
      <c r="AK302" s="38"/>
      <c r="AL302" s="11"/>
      <c r="AM302" s="6"/>
      <c r="AN302" s="6"/>
      <c r="AO302" s="6"/>
      <c r="AP302" s="43"/>
    </row>
    <row r="303" spans="1:42">
      <c r="A303" s="37">
        <v>283</v>
      </c>
      <c r="B303" s="139"/>
      <c r="C303" s="152" t="s">
        <v>647</v>
      </c>
      <c r="D303" s="33"/>
      <c r="E303" s="33"/>
      <c r="F303" s="33"/>
      <c r="G303" s="33"/>
      <c r="H303" s="77" t="s">
        <v>871</v>
      </c>
      <c r="I303" s="185" t="s">
        <v>998</v>
      </c>
      <c r="J303" s="146"/>
      <c r="K303" s="125"/>
      <c r="L303" s="6">
        <v>0</v>
      </c>
      <c r="M303" s="6">
        <v>0</v>
      </c>
      <c r="N303" s="6">
        <v>0</v>
      </c>
      <c r="O303" s="51"/>
      <c r="P303" s="51"/>
      <c r="Q303" s="51"/>
      <c r="R303" s="60"/>
      <c r="S303" s="52"/>
      <c r="T303" s="52"/>
      <c r="U303" s="52"/>
      <c r="V303" s="60"/>
      <c r="W303" s="38"/>
      <c r="X303" s="11"/>
      <c r="Y303" s="17"/>
      <c r="Z303" s="35"/>
      <c r="AA303" s="75"/>
      <c r="AB303" s="75"/>
      <c r="AC303" s="75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>
      <c r="A304" s="37">
        <v>284</v>
      </c>
      <c r="B304" s="139"/>
      <c r="C304" s="152" t="s">
        <v>1085</v>
      </c>
      <c r="D304" s="33"/>
      <c r="E304" s="33"/>
      <c r="F304" s="33"/>
      <c r="G304" s="33"/>
      <c r="H304" s="77" t="s">
        <v>872</v>
      </c>
      <c r="I304" s="185" t="s">
        <v>1086</v>
      </c>
      <c r="J304" s="146"/>
      <c r="K304" s="125"/>
      <c r="L304" s="6"/>
      <c r="M304" s="6"/>
      <c r="N304" s="6"/>
      <c r="O304" s="51"/>
      <c r="P304" s="51"/>
      <c r="Q304" s="51"/>
      <c r="R304" s="60"/>
      <c r="S304" s="52"/>
      <c r="T304" s="52"/>
      <c r="U304" s="52"/>
      <c r="V304" s="60"/>
      <c r="W304" s="38"/>
      <c r="X304" s="11"/>
      <c r="Y304" s="17"/>
      <c r="Z304" s="35"/>
      <c r="AA304" s="75"/>
      <c r="AB304" s="75"/>
      <c r="AC304" s="75"/>
      <c r="AD304" s="43"/>
      <c r="AE304" s="38"/>
      <c r="AF304" s="11"/>
      <c r="AG304" s="6"/>
      <c r="AH304" s="6"/>
      <c r="AI304" s="6"/>
      <c r="AJ304" s="43"/>
      <c r="AK304" s="38"/>
      <c r="AL304" s="11"/>
      <c r="AM304" s="6"/>
      <c r="AN304" s="6"/>
      <c r="AO304" s="6"/>
      <c r="AP304" s="43"/>
    </row>
    <row r="305" spans="1:42" ht="27">
      <c r="A305" s="37">
        <v>286</v>
      </c>
      <c r="B305" s="139"/>
      <c r="C305" s="152" t="s">
        <v>469</v>
      </c>
      <c r="D305" s="33"/>
      <c r="E305" s="33"/>
      <c r="F305" s="33"/>
      <c r="G305" s="33"/>
      <c r="H305" s="77" t="s">
        <v>756</v>
      </c>
      <c r="I305" s="185" t="s">
        <v>1089</v>
      </c>
      <c r="J305" s="145" t="s">
        <v>730</v>
      </c>
      <c r="K305" s="125"/>
      <c r="L305" s="6">
        <v>25000</v>
      </c>
      <c r="M305" s="6">
        <v>1250</v>
      </c>
      <c r="N305" s="6">
        <v>26250</v>
      </c>
      <c r="O305" s="51"/>
      <c r="P305" s="51"/>
      <c r="Q305" s="51"/>
      <c r="R305" s="60"/>
      <c r="S305" s="52"/>
      <c r="T305" s="52"/>
      <c r="U305" s="52"/>
      <c r="V305" s="60"/>
      <c r="W305" s="38"/>
      <c r="X305" s="11"/>
      <c r="Y305" s="17"/>
      <c r="Z305" s="17"/>
      <c r="AA305" s="71"/>
      <c r="AB305" s="71"/>
      <c r="AC305" s="71"/>
      <c r="AD305" s="43"/>
      <c r="AE305" s="38"/>
      <c r="AF305" s="11"/>
      <c r="AG305" s="6"/>
      <c r="AH305" s="6"/>
      <c r="AI305" s="6"/>
      <c r="AJ305" s="43"/>
      <c r="AK305" s="38"/>
      <c r="AL305" s="11"/>
      <c r="AM305" s="6"/>
      <c r="AN305" s="6"/>
      <c r="AO305" s="6"/>
      <c r="AP305" s="43"/>
    </row>
    <row r="306" spans="1:42">
      <c r="A306" s="37">
        <v>287</v>
      </c>
      <c r="B306" s="139"/>
      <c r="C306" s="152" t="s">
        <v>1613</v>
      </c>
      <c r="D306" s="33"/>
      <c r="E306" s="33"/>
      <c r="F306" s="33"/>
      <c r="G306" s="33"/>
      <c r="H306" s="141" t="s">
        <v>1399</v>
      </c>
      <c r="I306" s="189" t="s">
        <v>1106</v>
      </c>
      <c r="J306" s="145" t="s">
        <v>1398</v>
      </c>
      <c r="K306" s="125"/>
      <c r="L306" s="6"/>
      <c r="M306" s="6"/>
      <c r="N306" s="6"/>
      <c r="O306" s="51"/>
      <c r="P306" s="51"/>
      <c r="Q306" s="51"/>
      <c r="R306" s="60"/>
      <c r="S306" s="55"/>
      <c r="T306" s="55"/>
      <c r="U306" s="55"/>
      <c r="V306" s="60"/>
      <c r="W306" s="38"/>
      <c r="X306" s="11"/>
      <c r="Y306" s="17"/>
      <c r="Z306" s="17"/>
      <c r="AA306" s="73"/>
      <c r="AB306" s="73"/>
      <c r="AC306" s="73"/>
      <c r="AD306" s="43"/>
      <c r="AE306" s="38"/>
      <c r="AF306" s="11"/>
      <c r="AG306" s="84"/>
      <c r="AH306" s="84"/>
      <c r="AI306" s="84"/>
      <c r="AJ306" s="43"/>
      <c r="AK306" s="38"/>
      <c r="AL306" s="11"/>
      <c r="AM306" s="6"/>
      <c r="AN306" s="6"/>
      <c r="AO306" s="6"/>
      <c r="AP306" s="43"/>
    </row>
    <row r="307" spans="1:42" ht="24">
      <c r="A307" s="37">
        <v>289</v>
      </c>
      <c r="B307" s="139"/>
      <c r="C307" s="152" t="s">
        <v>1146</v>
      </c>
      <c r="D307" s="33"/>
      <c r="E307" s="33"/>
      <c r="F307" s="33"/>
      <c r="G307" s="33"/>
      <c r="H307" s="145" t="s">
        <v>1147</v>
      </c>
      <c r="I307" s="190" t="s">
        <v>1148</v>
      </c>
      <c r="J307" s="146"/>
      <c r="K307" s="125"/>
      <c r="L307" s="6"/>
      <c r="M307" s="6"/>
      <c r="N307" s="6"/>
      <c r="O307" s="51"/>
      <c r="P307" s="51"/>
      <c r="Q307" s="51"/>
      <c r="R307" s="60"/>
      <c r="S307" s="55"/>
      <c r="T307" s="55"/>
      <c r="U307" s="55"/>
      <c r="V307" s="60"/>
      <c r="W307" s="38"/>
      <c r="X307" s="11"/>
      <c r="Y307" s="17"/>
      <c r="Z307" s="17"/>
      <c r="AA307" s="73"/>
      <c r="AB307" s="73"/>
      <c r="AC307" s="73"/>
      <c r="AD307" s="43"/>
      <c r="AE307" s="38"/>
      <c r="AF307" s="11"/>
      <c r="AG307" s="84"/>
      <c r="AH307" s="84"/>
      <c r="AI307" s="84"/>
      <c r="AJ307" s="43"/>
      <c r="AK307" s="38"/>
      <c r="AL307" s="11"/>
      <c r="AM307" s="6"/>
      <c r="AN307" s="6"/>
      <c r="AO307" s="6"/>
      <c r="AP307" s="43"/>
    </row>
    <row r="308" spans="1:42">
      <c r="A308" s="37">
        <v>290</v>
      </c>
      <c r="B308" s="139"/>
      <c r="C308" s="152" t="s">
        <v>1447</v>
      </c>
      <c r="D308" s="33"/>
      <c r="E308" s="33"/>
      <c r="F308" s="33"/>
      <c r="G308" s="33"/>
      <c r="H308" s="77" t="s">
        <v>1448</v>
      </c>
      <c r="I308" s="185"/>
      <c r="J308" s="146"/>
      <c r="K308" s="125"/>
      <c r="L308" s="6">
        <v>22860</v>
      </c>
      <c r="M308" s="6">
        <v>1143</v>
      </c>
      <c r="N308" s="6">
        <v>24003</v>
      </c>
      <c r="O308" s="51"/>
      <c r="P308" s="51"/>
      <c r="Q308" s="51"/>
      <c r="R308" s="60"/>
      <c r="S308" s="52"/>
      <c r="T308" s="52"/>
      <c r="U308" s="52"/>
      <c r="V308" s="60"/>
      <c r="W308" s="38"/>
      <c r="X308" s="11"/>
      <c r="Y308" s="17"/>
      <c r="Z308" s="17"/>
      <c r="AA308" s="75"/>
      <c r="AB308" s="75"/>
      <c r="AC308" s="75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 s="108" customFormat="1">
      <c r="A309" s="37">
        <v>291</v>
      </c>
      <c r="B309" s="139"/>
      <c r="C309" s="152" t="s">
        <v>1243</v>
      </c>
      <c r="D309" s="33"/>
      <c r="E309" s="33"/>
      <c r="F309" s="33"/>
      <c r="G309" s="33"/>
      <c r="H309" s="77" t="s">
        <v>1244</v>
      </c>
      <c r="I309" s="185" t="s">
        <v>1084</v>
      </c>
      <c r="J309" s="148" t="s">
        <v>2126</v>
      </c>
      <c r="K309" s="125"/>
      <c r="L309" s="6"/>
      <c r="M309" s="6"/>
      <c r="N309" s="6"/>
      <c r="O309" s="105"/>
      <c r="P309" s="105"/>
      <c r="Q309" s="105"/>
      <c r="R309" s="106"/>
      <c r="S309" s="105"/>
      <c r="T309" s="105"/>
      <c r="U309" s="105"/>
      <c r="V309" s="106"/>
      <c r="W309" s="81"/>
      <c r="X309" s="82"/>
      <c r="Y309" s="104"/>
      <c r="Z309" s="104"/>
      <c r="AA309" s="105"/>
      <c r="AB309" s="105"/>
      <c r="AC309" s="105"/>
      <c r="AD309" s="107"/>
      <c r="AE309" s="81"/>
      <c r="AF309" s="82"/>
      <c r="AG309" s="105"/>
      <c r="AH309" s="105"/>
      <c r="AI309" s="105"/>
      <c r="AJ309" s="107"/>
      <c r="AK309" s="81"/>
      <c r="AL309" s="82"/>
      <c r="AM309" s="105"/>
      <c r="AN309" s="105"/>
      <c r="AO309" s="105"/>
      <c r="AP309" s="107"/>
    </row>
    <row r="310" spans="1:42">
      <c r="A310" s="37">
        <v>292</v>
      </c>
      <c r="B310" s="139"/>
      <c r="C310" s="152" t="s">
        <v>855</v>
      </c>
      <c r="D310" s="33"/>
      <c r="E310" s="33"/>
      <c r="F310" s="33"/>
      <c r="G310" s="33"/>
      <c r="H310" s="77" t="s">
        <v>1485</v>
      </c>
      <c r="I310" s="185" t="s">
        <v>1130</v>
      </c>
      <c r="J310" s="145" t="s">
        <v>1987</v>
      </c>
      <c r="K310" s="125"/>
      <c r="L310" s="6">
        <v>33085</v>
      </c>
      <c r="M310" s="6">
        <v>1654.25</v>
      </c>
      <c r="N310" s="5"/>
      <c r="O310" s="51"/>
      <c r="P310" s="51"/>
      <c r="Q310" s="51"/>
      <c r="R310" s="60"/>
      <c r="S310" s="51"/>
      <c r="T310" s="51"/>
      <c r="U310" s="51"/>
      <c r="V310" s="60"/>
      <c r="W310" s="38"/>
      <c r="X310" s="11"/>
      <c r="Y310" s="17"/>
      <c r="Z310" s="17"/>
      <c r="AA310" s="70"/>
      <c r="AB310" s="70"/>
      <c r="AC310" s="70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293</v>
      </c>
      <c r="B311" s="139"/>
      <c r="C311" s="152" t="s">
        <v>2148</v>
      </c>
      <c r="D311" s="33"/>
      <c r="E311" s="33"/>
      <c r="F311" s="33"/>
      <c r="G311" s="33"/>
      <c r="H311" s="77" t="s">
        <v>2149</v>
      </c>
      <c r="I311" s="185" t="s">
        <v>1179</v>
      </c>
      <c r="J311" s="146" t="s">
        <v>1178</v>
      </c>
      <c r="K311" s="125"/>
      <c r="L311" s="6">
        <v>240</v>
      </c>
      <c r="M311" s="6">
        <v>12</v>
      </c>
      <c r="N311" s="6">
        <v>252</v>
      </c>
      <c r="O311" s="51"/>
      <c r="P311" s="51"/>
      <c r="Q311" s="51"/>
      <c r="R311" s="60"/>
      <c r="S311" s="51"/>
      <c r="T311" s="51"/>
      <c r="U311" s="51"/>
      <c r="V311" s="60"/>
      <c r="W311" s="38"/>
      <c r="X311" s="11"/>
      <c r="Y311" s="17"/>
      <c r="Z311" s="17"/>
      <c r="AA311" s="70"/>
      <c r="AB311" s="70"/>
      <c r="AC311" s="70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>
      <c r="A312" s="37">
        <v>294</v>
      </c>
      <c r="B312" s="139"/>
      <c r="C312" s="152" t="s">
        <v>934</v>
      </c>
      <c r="D312" s="33"/>
      <c r="E312" s="33"/>
      <c r="F312" s="33"/>
      <c r="G312" s="33"/>
      <c r="H312" s="77" t="s">
        <v>935</v>
      </c>
      <c r="I312" s="185" t="s">
        <v>999</v>
      </c>
      <c r="J312" s="146"/>
      <c r="K312" s="125"/>
      <c r="L312" s="6"/>
      <c r="M312" s="6"/>
      <c r="N312" s="6"/>
      <c r="O312" s="51"/>
      <c r="P312" s="51"/>
      <c r="Q312" s="51"/>
      <c r="R312" s="60"/>
      <c r="S312" s="51"/>
      <c r="T312" s="51"/>
      <c r="U312" s="51"/>
      <c r="V312" s="60"/>
      <c r="W312" s="38"/>
      <c r="X312" s="11"/>
      <c r="Y312" s="17"/>
      <c r="Z312" s="17"/>
      <c r="AA312" s="70"/>
      <c r="AB312" s="70"/>
      <c r="AC312" s="70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>
      <c r="A313" s="37">
        <v>295</v>
      </c>
      <c r="B313" s="139"/>
      <c r="C313" s="152" t="s">
        <v>834</v>
      </c>
      <c r="D313" s="33"/>
      <c r="E313" s="33"/>
      <c r="F313" s="33"/>
      <c r="G313" s="33"/>
      <c r="H313" s="77" t="s">
        <v>1955</v>
      </c>
      <c r="I313" s="185" t="s">
        <v>1049</v>
      </c>
      <c r="J313" s="146"/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38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296</v>
      </c>
      <c r="B314" s="139"/>
      <c r="C314" s="152" t="s">
        <v>1954</v>
      </c>
      <c r="D314" s="33"/>
      <c r="E314" s="33"/>
      <c r="F314" s="33"/>
      <c r="G314" s="33"/>
      <c r="H314" s="77" t="s">
        <v>1956</v>
      </c>
      <c r="I314" s="185" t="s">
        <v>999</v>
      </c>
      <c r="J314" s="146"/>
      <c r="K314" s="125"/>
      <c r="L314" s="6">
        <v>20360</v>
      </c>
      <c r="M314" s="6">
        <v>1018</v>
      </c>
      <c r="N314" s="5"/>
      <c r="O314" s="85"/>
      <c r="P314" s="85"/>
      <c r="Q314" s="85"/>
      <c r="R314" s="60"/>
      <c r="S314" s="64"/>
      <c r="T314" s="80"/>
      <c r="U314" s="80"/>
      <c r="V314" s="60"/>
      <c r="W314" s="38"/>
      <c r="X314" s="11"/>
      <c r="Y314" s="17"/>
      <c r="Z314" s="17"/>
      <c r="AA314" s="79"/>
      <c r="AB314" s="78"/>
      <c r="AC314" s="78"/>
      <c r="AD314" s="43"/>
      <c r="AE314" s="39"/>
      <c r="AF314" s="11"/>
      <c r="AG314" s="6"/>
      <c r="AH314" s="6"/>
      <c r="AI314" s="6"/>
      <c r="AJ314" s="43"/>
      <c r="AK314" s="39"/>
      <c r="AL314" s="11"/>
      <c r="AM314" s="6"/>
      <c r="AN314" s="6"/>
      <c r="AO314" s="6"/>
      <c r="AP314" s="43"/>
    </row>
    <row r="315" spans="1:42">
      <c r="A315" s="37">
        <v>297</v>
      </c>
      <c r="B315" s="139"/>
      <c r="C315" s="152" t="s">
        <v>2007</v>
      </c>
      <c r="D315" s="33"/>
      <c r="E315" s="33"/>
      <c r="F315" s="33"/>
      <c r="G315" s="33"/>
      <c r="H315" s="77" t="s">
        <v>1058</v>
      </c>
      <c r="I315" s="185" t="s">
        <v>1056</v>
      </c>
      <c r="J315" s="146" t="s">
        <v>924</v>
      </c>
      <c r="K315" s="125"/>
      <c r="L315" s="6"/>
      <c r="M315" s="6"/>
      <c r="N315" s="5"/>
      <c r="O315" s="85"/>
      <c r="P315" s="85"/>
      <c r="Q315" s="85"/>
      <c r="R315" s="60"/>
      <c r="S315" s="64"/>
      <c r="T315" s="80"/>
      <c r="U315" s="80"/>
      <c r="V315" s="60"/>
      <c r="W315" s="38"/>
      <c r="X315" s="11"/>
      <c r="Y315" s="17"/>
      <c r="Z315" s="17"/>
      <c r="AA315" s="79"/>
      <c r="AB315" s="78"/>
      <c r="AC315" s="78"/>
      <c r="AD315" s="43"/>
      <c r="AE315" s="39"/>
      <c r="AF315" s="11"/>
      <c r="AG315" s="6"/>
      <c r="AH315" s="6"/>
      <c r="AI315" s="6"/>
      <c r="AJ315" s="43"/>
      <c r="AK315" s="39"/>
      <c r="AL315" s="11"/>
      <c r="AM315" s="6"/>
      <c r="AN315" s="6"/>
      <c r="AO315" s="6"/>
      <c r="AP315" s="43"/>
    </row>
    <row r="316" spans="1:42" ht="27">
      <c r="A316" s="37">
        <v>298</v>
      </c>
      <c r="B316" s="139"/>
      <c r="C316" s="152" t="s">
        <v>1984</v>
      </c>
      <c r="D316" s="33"/>
      <c r="E316" s="33"/>
      <c r="F316" s="33"/>
      <c r="G316" s="33"/>
      <c r="H316" s="77" t="s">
        <v>1566</v>
      </c>
      <c r="I316" s="185" t="s">
        <v>1323</v>
      </c>
      <c r="J316" s="146" t="s">
        <v>1985</v>
      </c>
      <c r="K316" s="125"/>
      <c r="L316" s="6"/>
      <c r="M316" s="6"/>
      <c r="N316" s="5"/>
      <c r="O316" s="85"/>
      <c r="P316" s="85"/>
      <c r="Q316" s="85"/>
      <c r="R316" s="60"/>
      <c r="S316" s="64"/>
      <c r="T316" s="80"/>
      <c r="U316" s="80"/>
      <c r="V316" s="60"/>
      <c r="W316" s="38"/>
      <c r="X316" s="11"/>
      <c r="Y316" s="17"/>
      <c r="Z316" s="17"/>
      <c r="AA316" s="79"/>
      <c r="AB316" s="78"/>
      <c r="AC316" s="78"/>
      <c r="AD316" s="43"/>
      <c r="AE316" s="39"/>
      <c r="AF316" s="11"/>
      <c r="AG316" s="6"/>
      <c r="AH316" s="6"/>
      <c r="AI316" s="6"/>
      <c r="AJ316" s="43"/>
      <c r="AK316" s="39"/>
      <c r="AL316" s="11"/>
      <c r="AM316" s="6"/>
      <c r="AN316" s="6"/>
      <c r="AO316" s="6"/>
      <c r="AP316" s="43"/>
    </row>
    <row r="317" spans="1:42">
      <c r="A317" s="37">
        <v>299</v>
      </c>
      <c r="B317" s="139"/>
      <c r="C317" s="152" t="s">
        <v>1160</v>
      </c>
      <c r="D317" s="33"/>
      <c r="E317" s="33"/>
      <c r="F317" s="33"/>
      <c r="G317" s="33"/>
      <c r="H317" s="77" t="s">
        <v>955</v>
      </c>
      <c r="I317" s="185" t="s">
        <v>1098</v>
      </c>
      <c r="J317" s="146" t="s">
        <v>79</v>
      </c>
      <c r="K317" s="125"/>
      <c r="L317" s="6"/>
      <c r="M317" s="6"/>
      <c r="N317" s="5"/>
      <c r="O317" s="85"/>
      <c r="P317" s="85"/>
      <c r="Q317" s="85"/>
      <c r="R317" s="60"/>
      <c r="S317" s="64"/>
      <c r="T317" s="80"/>
      <c r="U317" s="80"/>
      <c r="V317" s="60"/>
      <c r="W317" s="38"/>
      <c r="X317" s="11"/>
      <c r="Y317" s="17"/>
      <c r="Z317" s="17"/>
      <c r="AA317" s="79"/>
      <c r="AB317" s="78"/>
      <c r="AC317" s="78"/>
      <c r="AD317" s="43"/>
      <c r="AE317" s="39"/>
      <c r="AF317" s="11"/>
      <c r="AG317" s="6"/>
      <c r="AH317" s="6"/>
      <c r="AI317" s="6"/>
      <c r="AJ317" s="43"/>
      <c r="AK317" s="39"/>
      <c r="AL317" s="11"/>
      <c r="AM317" s="6"/>
      <c r="AN317" s="6"/>
      <c r="AO317" s="6"/>
      <c r="AP317" s="43"/>
    </row>
    <row r="318" spans="1:42">
      <c r="A318" s="37">
        <v>300</v>
      </c>
      <c r="B318" s="139"/>
      <c r="C318" s="152" t="s">
        <v>2030</v>
      </c>
      <c r="D318" s="33"/>
      <c r="E318" s="33"/>
      <c r="F318" s="33"/>
      <c r="G318" s="33"/>
      <c r="H318" s="77" t="s">
        <v>2031</v>
      </c>
      <c r="I318" s="185" t="s">
        <v>1098</v>
      </c>
      <c r="J318" s="146"/>
      <c r="K318" s="125"/>
      <c r="L318" s="6">
        <v>540</v>
      </c>
      <c r="M318" s="6">
        <v>27</v>
      </c>
      <c r="N318" s="6">
        <v>567</v>
      </c>
      <c r="O318" s="51"/>
      <c r="P318" s="51"/>
      <c r="Q318" s="51"/>
      <c r="R318" s="60"/>
      <c r="S318" s="52"/>
      <c r="T318" s="56"/>
      <c r="U318" s="56"/>
      <c r="V318" s="60"/>
      <c r="W318" s="38"/>
      <c r="X318" s="11"/>
      <c r="Y318" s="17"/>
      <c r="Z318" s="17"/>
      <c r="AA318" s="76"/>
      <c r="AB318" s="76"/>
      <c r="AC318" s="76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301</v>
      </c>
      <c r="B319" s="139"/>
      <c r="C319" s="152" t="s">
        <v>1451</v>
      </c>
      <c r="D319" s="33"/>
      <c r="E319" s="33"/>
      <c r="F319" s="33"/>
      <c r="G319" s="33"/>
      <c r="H319" s="77" t="s">
        <v>1452</v>
      </c>
      <c r="I319" s="185" t="s">
        <v>1098</v>
      </c>
      <c r="J319" s="146" t="s">
        <v>698</v>
      </c>
      <c r="K319" s="125"/>
      <c r="L319" s="6"/>
      <c r="M319" s="6"/>
      <c r="N319" s="6"/>
      <c r="O319" s="51"/>
      <c r="P319" s="51"/>
      <c r="Q319" s="51"/>
      <c r="R319" s="60"/>
      <c r="S319" s="52"/>
      <c r="T319" s="56"/>
      <c r="U319" s="56"/>
      <c r="V319" s="60"/>
      <c r="W319" s="38"/>
      <c r="X319" s="11"/>
      <c r="Y319" s="17"/>
      <c r="Z319" s="17"/>
      <c r="AA319" s="76"/>
      <c r="AB319" s="76"/>
      <c r="AC319" s="76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302</v>
      </c>
      <c r="B320" s="139"/>
      <c r="C320" s="152" t="s">
        <v>461</v>
      </c>
      <c r="D320" s="33"/>
      <c r="E320" s="33"/>
      <c r="F320" s="33"/>
      <c r="G320" s="33"/>
      <c r="H320" s="77" t="s">
        <v>861</v>
      </c>
      <c r="I320" s="185" t="s">
        <v>998</v>
      </c>
      <c r="J320" s="146"/>
      <c r="K320" s="125"/>
      <c r="L320" s="6">
        <v>600</v>
      </c>
      <c r="M320" s="6">
        <v>30</v>
      </c>
      <c r="N320" s="6">
        <v>630</v>
      </c>
      <c r="O320" s="51"/>
      <c r="P320" s="51"/>
      <c r="Q320" s="51"/>
      <c r="R320" s="60"/>
      <c r="S320" s="52"/>
      <c r="T320" s="56"/>
      <c r="U320" s="56"/>
      <c r="V320" s="60"/>
      <c r="W320" s="38"/>
      <c r="X320" s="11"/>
      <c r="Y320" s="17"/>
      <c r="Z320" s="17"/>
      <c r="AA320" s="76"/>
      <c r="AB320" s="76"/>
      <c r="AC320" s="76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303</v>
      </c>
      <c r="B321" s="139"/>
      <c r="C321" s="152" t="s">
        <v>818</v>
      </c>
      <c r="D321" s="33"/>
      <c r="E321" s="33"/>
      <c r="F321" s="33"/>
      <c r="G321" s="33"/>
      <c r="H321" s="77" t="s">
        <v>862</v>
      </c>
      <c r="I321" s="185"/>
      <c r="J321" s="146"/>
      <c r="K321" s="125"/>
      <c r="L321" s="6"/>
      <c r="M321" s="6"/>
      <c r="N321" s="6"/>
      <c r="O321" s="51"/>
      <c r="P321" s="51"/>
      <c r="Q321" s="51"/>
      <c r="R321" s="60"/>
      <c r="S321" s="52"/>
      <c r="T321" s="56"/>
      <c r="U321" s="56"/>
      <c r="V321" s="60"/>
      <c r="W321" s="38"/>
      <c r="X321" s="11"/>
      <c r="Y321" s="17"/>
      <c r="Z321" s="17"/>
      <c r="AA321" s="76"/>
      <c r="AB321" s="76"/>
      <c r="AC321" s="76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 ht="24">
      <c r="A322" s="37">
        <v>304</v>
      </c>
      <c r="B322" s="139"/>
      <c r="C322" s="152" t="s">
        <v>2003</v>
      </c>
      <c r="D322" s="33"/>
      <c r="E322" s="33"/>
      <c r="F322" s="33"/>
      <c r="G322" s="33"/>
      <c r="H322" s="145" t="s">
        <v>2020</v>
      </c>
      <c r="I322" s="185" t="s">
        <v>1134</v>
      </c>
      <c r="J322" s="146" t="s">
        <v>758</v>
      </c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81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 ht="27">
      <c r="A323" s="37">
        <v>305</v>
      </c>
      <c r="B323" s="139"/>
      <c r="C323" s="152" t="s">
        <v>1856</v>
      </c>
      <c r="D323" s="33"/>
      <c r="E323" s="33"/>
      <c r="F323" s="33"/>
      <c r="G323" s="33"/>
      <c r="H323" s="77" t="s">
        <v>1888</v>
      </c>
      <c r="I323" s="185" t="s">
        <v>1134</v>
      </c>
      <c r="J323" s="146" t="s">
        <v>1406</v>
      </c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81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306</v>
      </c>
      <c r="B324" s="139"/>
      <c r="C324" s="152" t="s">
        <v>1377</v>
      </c>
      <c r="D324" s="33"/>
      <c r="E324" s="33"/>
      <c r="F324" s="33"/>
      <c r="G324" s="33"/>
      <c r="H324" s="77" t="s">
        <v>1575</v>
      </c>
      <c r="I324" s="185" t="s">
        <v>1390</v>
      </c>
      <c r="J324" s="146" t="s">
        <v>1389</v>
      </c>
      <c r="K324" s="125"/>
      <c r="L324" s="6"/>
      <c r="M324" s="6"/>
      <c r="N324" s="6"/>
      <c r="O324" s="51"/>
      <c r="P324" s="51"/>
      <c r="Q324" s="51"/>
      <c r="R324" s="60"/>
      <c r="S324" s="51"/>
      <c r="T324" s="51"/>
      <c r="U324" s="51"/>
      <c r="V324" s="60"/>
      <c r="W324" s="81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>
      <c r="A325" s="37">
        <v>307</v>
      </c>
      <c r="B325" s="139"/>
      <c r="C325" s="152" t="s">
        <v>2102</v>
      </c>
      <c r="D325" s="33"/>
      <c r="E325" s="33"/>
      <c r="F325" s="33"/>
      <c r="G325" s="33"/>
      <c r="H325" s="145" t="s">
        <v>1522</v>
      </c>
      <c r="I325" s="185" t="s">
        <v>1134</v>
      </c>
      <c r="J325" s="146" t="s">
        <v>758</v>
      </c>
      <c r="K325" s="125"/>
      <c r="L325" s="6">
        <v>22905</v>
      </c>
      <c r="M325" s="6">
        <v>1145.25</v>
      </c>
      <c r="N325" s="6">
        <v>24050.25</v>
      </c>
      <c r="O325" s="51"/>
      <c r="P325" s="51"/>
      <c r="Q325" s="51"/>
      <c r="R325" s="60"/>
      <c r="S325" s="52"/>
      <c r="T325" s="52"/>
      <c r="U325" s="52"/>
      <c r="V325" s="60"/>
      <c r="W325" s="38"/>
      <c r="X325" s="11"/>
      <c r="Y325" s="17"/>
      <c r="Z325" s="17"/>
      <c r="AA325" s="71"/>
      <c r="AB325" s="71"/>
      <c r="AC325" s="71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 ht="27">
      <c r="A326" s="37">
        <v>308</v>
      </c>
      <c r="B326" s="139"/>
      <c r="C326" s="152" t="s">
        <v>1995</v>
      </c>
      <c r="D326" s="33"/>
      <c r="E326" s="33"/>
      <c r="F326" s="33"/>
      <c r="G326" s="33"/>
      <c r="H326" s="77" t="s">
        <v>884</v>
      </c>
      <c r="I326" s="185" t="s">
        <v>1419</v>
      </c>
      <c r="J326" s="146" t="s">
        <v>802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>
      <c r="A327" s="37">
        <v>309</v>
      </c>
      <c r="B327" s="139"/>
      <c r="C327" s="152" t="s">
        <v>1476</v>
      </c>
      <c r="D327" s="33"/>
      <c r="E327" s="33"/>
      <c r="F327" s="33"/>
      <c r="G327" s="33"/>
      <c r="H327" s="77" t="s">
        <v>1477</v>
      </c>
      <c r="I327" s="185" t="s">
        <v>1168</v>
      </c>
      <c r="J327" s="146"/>
      <c r="K327" s="125"/>
      <c r="L327" s="6"/>
      <c r="M327" s="6"/>
      <c r="N327" s="6"/>
      <c r="O327" s="51"/>
      <c r="P327" s="51"/>
      <c r="Q327" s="51"/>
      <c r="R327" s="60"/>
      <c r="S327" s="51"/>
      <c r="T327" s="51"/>
      <c r="U327" s="51"/>
      <c r="V327" s="60"/>
      <c r="W327" s="38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>
      <c r="A328" s="37">
        <v>310</v>
      </c>
      <c r="B328" s="139"/>
      <c r="C328" s="152" t="s">
        <v>801</v>
      </c>
      <c r="D328" s="33"/>
      <c r="E328" s="33"/>
      <c r="F328" s="33"/>
      <c r="G328" s="33"/>
      <c r="H328" s="77" t="s">
        <v>803</v>
      </c>
      <c r="I328" s="185" t="s">
        <v>1229</v>
      </c>
      <c r="J328" s="146" t="s">
        <v>802</v>
      </c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38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311</v>
      </c>
      <c r="B329" s="139"/>
      <c r="C329" s="152" t="s">
        <v>616</v>
      </c>
      <c r="D329" s="33"/>
      <c r="E329" s="33"/>
      <c r="F329" s="33"/>
      <c r="G329" s="33"/>
      <c r="H329" s="77" t="s">
        <v>1321</v>
      </c>
      <c r="I329" s="185" t="s">
        <v>1084</v>
      </c>
      <c r="J329" s="146" t="s">
        <v>1322</v>
      </c>
      <c r="K329" s="125"/>
      <c r="L329" s="6"/>
      <c r="M329" s="6"/>
      <c r="N329" s="6"/>
      <c r="O329" s="51"/>
      <c r="P329" s="51"/>
      <c r="Q329" s="51"/>
      <c r="R329" s="60"/>
      <c r="S329" s="51"/>
      <c r="T329" s="51"/>
      <c r="U329" s="51"/>
      <c r="V329" s="60"/>
      <c r="W329" s="38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>
      <c r="A330" s="37">
        <v>312</v>
      </c>
      <c r="B330" s="139"/>
      <c r="C330" s="152" t="s">
        <v>1859</v>
      </c>
      <c r="D330" s="33"/>
      <c r="E330" s="33"/>
      <c r="F330" s="33"/>
      <c r="G330" s="33"/>
      <c r="H330" s="77" t="s">
        <v>922</v>
      </c>
      <c r="I330" s="185" t="s">
        <v>983</v>
      </c>
      <c r="J330" s="146"/>
      <c r="K330" s="125"/>
      <c r="L330" s="6"/>
      <c r="M330" s="6"/>
      <c r="N330" s="6"/>
      <c r="O330" s="51"/>
      <c r="P330" s="51"/>
      <c r="Q330" s="51"/>
      <c r="R330" s="60"/>
      <c r="S330" s="51"/>
      <c r="T330" s="51"/>
      <c r="U330" s="51"/>
      <c r="V330" s="60"/>
      <c r="W330" s="38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>
      <c r="A331" s="37">
        <v>313</v>
      </c>
      <c r="B331" s="139"/>
      <c r="C331" s="168" t="s">
        <v>994</v>
      </c>
      <c r="D331" s="33"/>
      <c r="E331" s="33"/>
      <c r="F331" s="33"/>
      <c r="G331" s="33"/>
      <c r="H331" s="77" t="s">
        <v>995</v>
      </c>
      <c r="I331" s="185" t="s">
        <v>1221</v>
      </c>
      <c r="J331" s="146"/>
      <c r="K331" s="125"/>
      <c r="L331" s="6"/>
      <c r="M331" s="6"/>
      <c r="N331" s="6"/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>
        <v>314</v>
      </c>
      <c r="B332" s="139"/>
      <c r="C332" s="152" t="s">
        <v>1317</v>
      </c>
      <c r="D332" s="33"/>
      <c r="E332" s="33"/>
      <c r="F332" s="33"/>
      <c r="G332" s="33"/>
      <c r="H332" s="77" t="s">
        <v>1142</v>
      </c>
      <c r="I332" s="185" t="s">
        <v>1220</v>
      </c>
      <c r="J332" s="146"/>
      <c r="K332" s="125"/>
      <c r="L332" s="6"/>
      <c r="M332" s="6"/>
      <c r="N332" s="6"/>
      <c r="O332" s="51"/>
      <c r="P332" s="51"/>
      <c r="Q332" s="51"/>
      <c r="R332" s="60"/>
      <c r="S332" s="88"/>
      <c r="T332" s="88"/>
      <c r="U332" s="88"/>
      <c r="V332" s="60"/>
      <c r="W332" s="38"/>
      <c r="X332" s="11"/>
      <c r="Y332" s="17"/>
      <c r="Z332" s="87"/>
      <c r="AA332" s="72"/>
      <c r="AB332" s="72"/>
      <c r="AC332" s="72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315</v>
      </c>
      <c r="B333" s="139"/>
      <c r="C333" s="152" t="s">
        <v>1597</v>
      </c>
      <c r="D333" s="33"/>
      <c r="E333" s="33"/>
      <c r="F333" s="33"/>
      <c r="G333" s="33"/>
      <c r="H333" s="77" t="s">
        <v>980</v>
      </c>
      <c r="I333" s="185" t="s">
        <v>1023</v>
      </c>
      <c r="J333" s="146"/>
      <c r="K333" s="125"/>
      <c r="L333" s="6"/>
      <c r="M333" s="6"/>
      <c r="N333" s="6"/>
      <c r="O333" s="51"/>
      <c r="P333" s="51"/>
      <c r="Q333" s="51"/>
      <c r="R333" s="60"/>
      <c r="S333" s="51"/>
      <c r="T333" s="51"/>
      <c r="U333" s="51"/>
      <c r="V333" s="60"/>
      <c r="W333" s="38"/>
      <c r="X333" s="11"/>
      <c r="Y333" s="17"/>
      <c r="Z333" s="17"/>
      <c r="AA333" s="70"/>
      <c r="AB333" s="70"/>
      <c r="AC333" s="70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316</v>
      </c>
      <c r="B334" s="139"/>
      <c r="C334" s="152" t="s">
        <v>664</v>
      </c>
      <c r="D334" s="33"/>
      <c r="E334" s="33"/>
      <c r="F334" s="33"/>
      <c r="G334" s="33"/>
      <c r="H334" s="77" t="s">
        <v>981</v>
      </c>
      <c r="I334" s="185" t="s">
        <v>1061</v>
      </c>
      <c r="J334" s="185" t="s">
        <v>1061</v>
      </c>
      <c r="K334" s="125"/>
      <c r="L334" s="6">
        <v>480</v>
      </c>
      <c r="M334" s="6">
        <v>24</v>
      </c>
      <c r="N334" s="6">
        <v>504</v>
      </c>
      <c r="O334" s="51"/>
      <c r="P334" s="51"/>
      <c r="Q334" s="51"/>
      <c r="R334" s="60"/>
      <c r="S334" s="51"/>
      <c r="T334" s="51"/>
      <c r="U334" s="51"/>
      <c r="V334" s="60"/>
      <c r="W334" s="38"/>
      <c r="X334" s="11"/>
      <c r="Y334" s="17"/>
      <c r="Z334" s="17"/>
      <c r="AA334" s="70"/>
      <c r="AB334" s="70"/>
      <c r="AC334" s="70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 ht="27">
      <c r="A335" s="37">
        <v>317</v>
      </c>
      <c r="B335" s="139"/>
      <c r="C335" s="152" t="s">
        <v>1269</v>
      </c>
      <c r="D335" s="33"/>
      <c r="E335" s="33"/>
      <c r="F335" s="33"/>
      <c r="G335" s="33"/>
      <c r="H335" s="77" t="s">
        <v>950</v>
      </c>
      <c r="I335" s="185" t="s">
        <v>1101</v>
      </c>
      <c r="J335" s="146" t="s">
        <v>951</v>
      </c>
      <c r="K335" s="125"/>
      <c r="L335" s="6"/>
      <c r="M335" s="6"/>
      <c r="N335" s="6"/>
      <c r="O335" s="51"/>
      <c r="P335" s="51"/>
      <c r="Q335" s="51"/>
      <c r="R335" s="60"/>
      <c r="S335" s="51"/>
      <c r="T335" s="51"/>
      <c r="U335" s="51"/>
      <c r="V335" s="60"/>
      <c r="W335" s="38"/>
      <c r="X335" s="11"/>
      <c r="Y335" s="17"/>
      <c r="Z335" s="17"/>
      <c r="AA335" s="70"/>
      <c r="AB335" s="70"/>
      <c r="AC335" s="70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 ht="27">
      <c r="A336" s="37">
        <v>318</v>
      </c>
      <c r="B336" s="139"/>
      <c r="C336" s="152" t="s">
        <v>952</v>
      </c>
      <c r="D336" s="33"/>
      <c r="E336" s="33"/>
      <c r="F336" s="33"/>
      <c r="G336" s="33"/>
      <c r="H336" s="77" t="s">
        <v>953</v>
      </c>
      <c r="I336" s="185" t="s">
        <v>1199</v>
      </c>
      <c r="J336" s="146" t="s">
        <v>954</v>
      </c>
      <c r="K336" s="125"/>
      <c r="L336" s="6"/>
      <c r="M336" s="6"/>
      <c r="N336" s="6"/>
      <c r="O336" s="51"/>
      <c r="P336" s="51"/>
      <c r="Q336" s="51"/>
      <c r="R336" s="60"/>
      <c r="S336" s="51"/>
      <c r="T336" s="51"/>
      <c r="U336" s="51"/>
      <c r="V336" s="60"/>
      <c r="W336" s="38"/>
      <c r="X336" s="11"/>
      <c r="Y336" s="17"/>
      <c r="Z336" s="17"/>
      <c r="AA336" s="70"/>
      <c r="AB336" s="70"/>
      <c r="AC336" s="70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319</v>
      </c>
      <c r="B337" s="139"/>
      <c r="C337" s="152" t="s">
        <v>1685</v>
      </c>
      <c r="D337" s="33"/>
      <c r="E337" s="33"/>
      <c r="F337" s="33"/>
      <c r="G337" s="33"/>
      <c r="H337" s="77" t="s">
        <v>1988</v>
      </c>
      <c r="I337" s="185" t="s">
        <v>1053</v>
      </c>
      <c r="J337" s="146" t="s">
        <v>1989</v>
      </c>
      <c r="K337" s="125"/>
      <c r="L337" s="6">
        <v>24900</v>
      </c>
      <c r="M337" s="6">
        <v>1245</v>
      </c>
      <c r="N337" s="6">
        <v>26145</v>
      </c>
      <c r="O337" s="51"/>
      <c r="P337" s="51"/>
      <c r="Q337" s="51"/>
      <c r="R337" s="60"/>
      <c r="S337" s="51"/>
      <c r="T337" s="51"/>
      <c r="U337" s="51"/>
      <c r="V337" s="60"/>
      <c r="W337" s="81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 ht="27">
      <c r="A338" s="37">
        <v>320</v>
      </c>
      <c r="B338" s="139"/>
      <c r="C338" s="152" t="s">
        <v>1554</v>
      </c>
      <c r="D338" s="33"/>
      <c r="E338" s="33"/>
      <c r="F338" s="33"/>
      <c r="G338" s="33"/>
      <c r="H338" s="77" t="s">
        <v>1555</v>
      </c>
      <c r="I338" s="185" t="s">
        <v>1546</v>
      </c>
      <c r="J338" s="146" t="s">
        <v>1534</v>
      </c>
      <c r="K338" s="125"/>
      <c r="L338" s="6"/>
      <c r="M338" s="6"/>
      <c r="N338" s="6"/>
      <c r="O338" s="51"/>
      <c r="P338" s="51"/>
      <c r="Q338" s="51"/>
      <c r="R338" s="60"/>
      <c r="S338" s="51"/>
      <c r="T338" s="51"/>
      <c r="U338" s="51"/>
      <c r="V338" s="60"/>
      <c r="W338" s="81"/>
      <c r="X338" s="11"/>
      <c r="Y338" s="17"/>
      <c r="Z338" s="17"/>
      <c r="AA338" s="70"/>
      <c r="AB338" s="70"/>
      <c r="AC338" s="70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321</v>
      </c>
      <c r="B339" s="139"/>
      <c r="C339" s="152" t="s">
        <v>670</v>
      </c>
      <c r="D339" s="33"/>
      <c r="E339" s="33"/>
      <c r="F339" s="33"/>
      <c r="G339" s="33"/>
      <c r="H339" s="77" t="s">
        <v>885</v>
      </c>
      <c r="I339" s="185" t="s">
        <v>1057</v>
      </c>
      <c r="J339" s="146" t="s">
        <v>761</v>
      </c>
      <c r="K339" s="125"/>
      <c r="L339" s="6"/>
      <c r="M339" s="6"/>
      <c r="N339" s="6"/>
      <c r="O339" s="51"/>
      <c r="P339" s="51"/>
      <c r="Q339" s="51"/>
      <c r="R339" s="60"/>
      <c r="S339" s="51"/>
      <c r="T339" s="51"/>
      <c r="U339" s="51"/>
      <c r="V339" s="60"/>
      <c r="W339" s="81"/>
      <c r="X339" s="11"/>
      <c r="Y339" s="17"/>
      <c r="Z339" s="17"/>
      <c r="AA339" s="70"/>
      <c r="AB339" s="70"/>
      <c r="AC339" s="70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 ht="20.100000000000001" customHeight="1">
      <c r="A340" s="37">
        <v>322</v>
      </c>
      <c r="B340" s="139"/>
      <c r="C340" s="152" t="s">
        <v>1608</v>
      </c>
      <c r="D340" s="33"/>
      <c r="E340" s="33"/>
      <c r="F340" s="33"/>
      <c r="G340" s="33"/>
      <c r="H340" s="77" t="s">
        <v>1526</v>
      </c>
      <c r="I340" s="185" t="s">
        <v>1130</v>
      </c>
      <c r="J340" s="146"/>
      <c r="K340" s="125"/>
      <c r="L340" s="6">
        <v>600</v>
      </c>
      <c r="M340" s="6">
        <v>30</v>
      </c>
      <c r="N340" s="6">
        <v>630</v>
      </c>
      <c r="O340" s="51"/>
      <c r="P340" s="51"/>
      <c r="Q340" s="51"/>
      <c r="R340" s="60"/>
      <c r="S340" s="51"/>
      <c r="T340" s="51"/>
      <c r="U340" s="51"/>
      <c r="V340" s="60"/>
      <c r="W340" s="38"/>
      <c r="X340" s="11"/>
      <c r="Y340" s="17"/>
      <c r="Z340" s="17"/>
      <c r="AA340" s="70"/>
      <c r="AB340" s="70"/>
      <c r="AC340" s="70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 ht="20.100000000000001" customHeight="1">
      <c r="A341" s="37"/>
      <c r="B341" s="139"/>
      <c r="C341" s="152" t="s">
        <v>1976</v>
      </c>
      <c r="D341" s="33"/>
      <c r="E341" s="33"/>
      <c r="F341" s="33"/>
      <c r="G341" s="33"/>
      <c r="H341" s="77" t="s">
        <v>1977</v>
      </c>
      <c r="I341" s="185" t="s">
        <v>1095</v>
      </c>
      <c r="J341" s="146"/>
      <c r="K341" s="125"/>
      <c r="L341" s="6"/>
      <c r="M341" s="6"/>
      <c r="N341" s="6"/>
      <c r="O341" s="51"/>
      <c r="P341" s="51"/>
      <c r="Q341" s="51"/>
      <c r="R341" s="60"/>
      <c r="S341" s="51"/>
      <c r="T341" s="51"/>
      <c r="U341" s="51"/>
      <c r="V341" s="60"/>
      <c r="W341" s="38"/>
      <c r="X341" s="11"/>
      <c r="Y341" s="17"/>
      <c r="Z341" s="17"/>
      <c r="AA341" s="70"/>
      <c r="AB341" s="70"/>
      <c r="AC341" s="70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323</v>
      </c>
      <c r="B342" s="139"/>
      <c r="C342" s="152" t="s">
        <v>673</v>
      </c>
      <c r="D342" s="33"/>
      <c r="E342" s="33"/>
      <c r="F342" s="33"/>
      <c r="G342" s="33"/>
      <c r="H342" s="77" t="s">
        <v>667</v>
      </c>
      <c r="I342" s="185" t="s">
        <v>1051</v>
      </c>
      <c r="J342" s="146" t="s">
        <v>779</v>
      </c>
      <c r="K342" s="125"/>
      <c r="L342" s="6">
        <v>480</v>
      </c>
      <c r="M342" s="6">
        <v>24</v>
      </c>
      <c r="N342" s="6">
        <v>504</v>
      </c>
      <c r="O342" s="51"/>
      <c r="P342" s="51"/>
      <c r="Q342" s="51"/>
      <c r="R342" s="60"/>
      <c r="S342" s="51"/>
      <c r="T342" s="51"/>
      <c r="U342" s="51"/>
      <c r="V342" s="60"/>
      <c r="W342" s="38"/>
      <c r="X342" s="11"/>
      <c r="Y342" s="17"/>
      <c r="Z342" s="17"/>
      <c r="AA342" s="70"/>
      <c r="AB342" s="70"/>
      <c r="AC342" s="70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324</v>
      </c>
      <c r="B343" s="139"/>
      <c r="C343" s="152" t="s">
        <v>916</v>
      </c>
      <c r="D343" s="33"/>
      <c r="E343" s="33"/>
      <c r="F343" s="33"/>
      <c r="G343" s="33"/>
      <c r="H343" s="77" t="s">
        <v>762</v>
      </c>
      <c r="I343" s="185" t="s">
        <v>1015</v>
      </c>
      <c r="J343" s="146" t="s">
        <v>763</v>
      </c>
      <c r="K343" s="125"/>
      <c r="L343" s="6"/>
      <c r="M343" s="6"/>
      <c r="N343" s="6"/>
      <c r="O343" s="51"/>
      <c r="P343" s="51"/>
      <c r="Q343" s="51"/>
      <c r="R343" s="60"/>
      <c r="S343" s="52"/>
      <c r="T343" s="52"/>
      <c r="U343" s="52"/>
      <c r="V343" s="60"/>
      <c r="W343" s="81"/>
      <c r="X343" s="11"/>
      <c r="Y343" s="17"/>
      <c r="Z343" s="17"/>
      <c r="AA343" s="71"/>
      <c r="AB343" s="71"/>
      <c r="AC343" s="71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325</v>
      </c>
      <c r="B344" s="139"/>
      <c r="C344" s="152" t="s">
        <v>1905</v>
      </c>
      <c r="D344" s="33"/>
      <c r="E344" s="33"/>
      <c r="F344" s="33"/>
      <c r="G344" s="33"/>
      <c r="H344" s="77" t="s">
        <v>1904</v>
      </c>
      <c r="I344" s="185" t="s">
        <v>984</v>
      </c>
      <c r="J344" s="146"/>
      <c r="K344" s="125"/>
      <c r="L344" s="6"/>
      <c r="M344" s="6"/>
      <c r="N344" s="6"/>
      <c r="O344" s="51"/>
      <c r="P344" s="51"/>
      <c r="Q344" s="51"/>
      <c r="R344" s="60"/>
      <c r="S344" s="52"/>
      <c r="T344" s="52"/>
      <c r="U344" s="52"/>
      <c r="V344" s="60"/>
      <c r="W344" s="38"/>
      <c r="X344" s="11"/>
      <c r="Y344" s="17"/>
      <c r="Z344" s="17"/>
      <c r="AA344" s="71"/>
      <c r="AB344" s="71"/>
      <c r="AC344" s="71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/>
      <c r="B345" s="139"/>
      <c r="C345" s="152" t="s">
        <v>1969</v>
      </c>
      <c r="D345" s="33"/>
      <c r="E345" s="33"/>
      <c r="F345" s="33"/>
      <c r="G345" s="33"/>
      <c r="H345" s="77" t="s">
        <v>1970</v>
      </c>
      <c r="I345" s="185" t="s">
        <v>982</v>
      </c>
      <c r="J345" s="146"/>
      <c r="K345" s="125"/>
      <c r="L345" s="6"/>
      <c r="M345" s="6"/>
      <c r="N345" s="6"/>
      <c r="O345" s="51"/>
      <c r="P345" s="51"/>
      <c r="Q345" s="51"/>
      <c r="R345" s="60"/>
      <c r="S345" s="52"/>
      <c r="T345" s="52"/>
      <c r="U345" s="52"/>
      <c r="V345" s="60"/>
      <c r="W345" s="38"/>
      <c r="X345" s="11"/>
      <c r="Y345" s="17"/>
      <c r="Z345" s="17"/>
      <c r="AA345" s="71"/>
      <c r="AB345" s="71"/>
      <c r="AC345" s="71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326</v>
      </c>
      <c r="B346" s="139"/>
      <c r="C346" s="152" t="s">
        <v>1333</v>
      </c>
      <c r="D346" s="33"/>
      <c r="E346" s="33"/>
      <c r="F346" s="33"/>
      <c r="G346" s="33"/>
      <c r="H346" s="77" t="s">
        <v>1337</v>
      </c>
      <c r="I346" s="185" t="s">
        <v>1102</v>
      </c>
      <c r="J346" s="146"/>
      <c r="K346" s="125"/>
      <c r="L346" s="6"/>
      <c r="M346" s="6"/>
      <c r="N346" s="6"/>
      <c r="O346" s="51"/>
      <c r="P346" s="51"/>
      <c r="Q346" s="51"/>
      <c r="R346" s="60"/>
      <c r="S346" s="52"/>
      <c r="T346" s="52"/>
      <c r="U346" s="52"/>
      <c r="V346" s="60"/>
      <c r="W346" s="38"/>
      <c r="X346" s="11"/>
      <c r="Y346" s="17"/>
      <c r="Z346" s="17"/>
      <c r="AA346" s="71"/>
      <c r="AB346" s="71"/>
      <c r="AC346" s="71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327</v>
      </c>
      <c r="B347" s="139"/>
      <c r="C347" s="152" t="s">
        <v>1314</v>
      </c>
      <c r="D347" s="33"/>
      <c r="E347" s="33"/>
      <c r="F347" s="33"/>
      <c r="G347" s="33"/>
      <c r="H347" s="77" t="s">
        <v>1140</v>
      </c>
      <c r="I347" s="185" t="s">
        <v>983</v>
      </c>
      <c r="J347" s="146" t="s">
        <v>796</v>
      </c>
      <c r="K347" s="35"/>
      <c r="L347" s="17">
        <v>22000</v>
      </c>
      <c r="M347" s="17">
        <v>1100</v>
      </c>
      <c r="N347" s="17">
        <v>23100</v>
      </c>
      <c r="O347" s="51"/>
      <c r="P347" s="51"/>
      <c r="Q347" s="51"/>
      <c r="R347" s="60"/>
      <c r="S347" s="51"/>
      <c r="T347" s="53"/>
      <c r="U347" s="53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328</v>
      </c>
      <c r="B348" s="139"/>
      <c r="C348" s="152" t="s">
        <v>1034</v>
      </c>
      <c r="D348" s="33"/>
      <c r="E348" s="33"/>
      <c r="F348" s="33"/>
      <c r="G348" s="33"/>
      <c r="H348" s="145" t="s">
        <v>1568</v>
      </c>
      <c r="I348" s="190" t="s">
        <v>1033</v>
      </c>
      <c r="J348" s="146"/>
      <c r="K348" s="125"/>
      <c r="L348" s="6">
        <v>600</v>
      </c>
      <c r="M348" s="6">
        <v>30</v>
      </c>
      <c r="N348" s="6">
        <v>630</v>
      </c>
      <c r="O348" s="51"/>
      <c r="P348" s="51"/>
      <c r="Q348" s="51"/>
      <c r="R348" s="60"/>
      <c r="S348" s="51"/>
      <c r="T348" s="51"/>
      <c r="U348" s="51"/>
      <c r="V348" s="60"/>
      <c r="W348" s="38"/>
      <c r="X348" s="11"/>
      <c r="Y348" s="17"/>
      <c r="Z348" s="17"/>
      <c r="AA348" s="70"/>
      <c r="AB348" s="70"/>
      <c r="AC348" s="70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329</v>
      </c>
      <c r="B349" s="139"/>
      <c r="C349" s="152" t="s">
        <v>636</v>
      </c>
      <c r="D349" s="33"/>
      <c r="E349" s="33"/>
      <c r="F349" s="33"/>
      <c r="G349" s="33"/>
      <c r="H349" s="113" t="s">
        <v>1679</v>
      </c>
      <c r="I349" s="192" t="s">
        <v>1680</v>
      </c>
      <c r="J349" s="146" t="s">
        <v>1681</v>
      </c>
      <c r="K349" s="125"/>
      <c r="L349" s="6">
        <v>0</v>
      </c>
      <c r="M349" s="6">
        <v>0</v>
      </c>
      <c r="N349" s="6">
        <v>0</v>
      </c>
      <c r="O349" s="51"/>
      <c r="P349" s="51"/>
      <c r="Q349" s="51"/>
      <c r="R349" s="60"/>
      <c r="S349" s="51"/>
      <c r="T349" s="51"/>
      <c r="U349" s="51"/>
      <c r="V349" s="60"/>
      <c r="W349" s="38"/>
      <c r="X349" s="11"/>
      <c r="Y349" s="17"/>
      <c r="Z349" s="17"/>
      <c r="AA349" s="70"/>
      <c r="AB349" s="70"/>
      <c r="AC349" s="70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330</v>
      </c>
      <c r="B350" s="139"/>
      <c r="C350" s="152" t="s">
        <v>2226</v>
      </c>
      <c r="D350" s="33"/>
      <c r="E350" s="33"/>
      <c r="F350" s="33"/>
      <c r="G350" s="33"/>
      <c r="H350" s="77" t="s">
        <v>2092</v>
      </c>
      <c r="I350" s="185" t="s">
        <v>983</v>
      </c>
      <c r="J350" s="146"/>
      <c r="K350" s="125"/>
      <c r="L350" s="6">
        <v>25400</v>
      </c>
      <c r="M350" s="6">
        <v>1270</v>
      </c>
      <c r="N350" s="6">
        <v>26670</v>
      </c>
      <c r="O350" s="51"/>
      <c r="P350" s="51"/>
      <c r="Q350" s="51"/>
      <c r="R350" s="60"/>
      <c r="S350" s="51"/>
      <c r="T350" s="51"/>
      <c r="U350" s="51"/>
      <c r="V350" s="60"/>
      <c r="W350" s="38"/>
      <c r="X350" s="11"/>
      <c r="Y350" s="17"/>
      <c r="Z350" s="17"/>
      <c r="AA350" s="70"/>
      <c r="AB350" s="70"/>
      <c r="AC350" s="70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331</v>
      </c>
      <c r="B351" s="139"/>
      <c r="C351" s="152" t="s">
        <v>2054</v>
      </c>
      <c r="D351" s="33"/>
      <c r="E351" s="33"/>
      <c r="F351" s="33"/>
      <c r="G351" s="33"/>
      <c r="H351" s="77" t="s">
        <v>2279</v>
      </c>
      <c r="I351" s="185" t="s">
        <v>1645</v>
      </c>
      <c r="J351" s="146"/>
      <c r="K351" s="125"/>
      <c r="L351" s="6"/>
      <c r="M351" s="6"/>
      <c r="N351" s="6"/>
      <c r="O351" s="51"/>
      <c r="P351" s="51"/>
      <c r="Q351" s="51"/>
      <c r="R351" s="60"/>
      <c r="S351" s="57"/>
      <c r="T351" s="57"/>
      <c r="U351" s="57"/>
      <c r="V351" s="60"/>
      <c r="W351" s="38"/>
      <c r="X351" s="11"/>
      <c r="Y351" s="17"/>
      <c r="Z351" s="17"/>
      <c r="AA351" s="89"/>
      <c r="AB351" s="89"/>
      <c r="AC351" s="89"/>
      <c r="AD351" s="43"/>
      <c r="AE351" s="38"/>
      <c r="AF351" s="11"/>
      <c r="AG351" s="6"/>
      <c r="AH351" s="6"/>
      <c r="AI351" s="6"/>
      <c r="AJ351" s="43"/>
      <c r="AK351" s="38"/>
      <c r="AL351" s="11"/>
      <c r="AM351" s="6"/>
      <c r="AN351" s="6"/>
      <c r="AO351" s="6"/>
      <c r="AP351" s="43"/>
    </row>
    <row r="352" spans="1:42">
      <c r="A352" s="37">
        <v>332</v>
      </c>
      <c r="B352" s="139"/>
      <c r="C352" s="152" t="s">
        <v>1484</v>
      </c>
      <c r="D352" s="33"/>
      <c r="E352" s="33"/>
      <c r="F352" s="33"/>
      <c r="G352" s="33"/>
      <c r="H352" s="77" t="s">
        <v>1469</v>
      </c>
      <c r="I352" s="185" t="s">
        <v>982</v>
      </c>
      <c r="J352" s="146"/>
      <c r="K352" s="125"/>
      <c r="L352" s="6">
        <v>19160</v>
      </c>
      <c r="M352" s="6">
        <v>958</v>
      </c>
      <c r="N352" s="6">
        <v>20118</v>
      </c>
      <c r="O352" s="51"/>
      <c r="P352" s="51"/>
      <c r="Q352" s="51"/>
      <c r="R352" s="60"/>
      <c r="S352" s="88"/>
      <c r="T352" s="88"/>
      <c r="U352" s="88"/>
      <c r="V352" s="60"/>
      <c r="W352" s="38"/>
      <c r="X352" s="11"/>
      <c r="Y352" s="17"/>
      <c r="Z352" s="17"/>
      <c r="AA352" s="72"/>
      <c r="AB352" s="72"/>
      <c r="AC352" s="72"/>
      <c r="AD352" s="43"/>
      <c r="AE352" s="38"/>
      <c r="AF352" s="11"/>
      <c r="AG352" s="6"/>
      <c r="AH352" s="6"/>
      <c r="AI352" s="6"/>
      <c r="AJ352" s="43"/>
      <c r="AK352" s="38"/>
      <c r="AL352" s="11"/>
      <c r="AM352" s="6"/>
      <c r="AN352" s="6"/>
      <c r="AO352" s="6"/>
      <c r="AP352" s="43"/>
    </row>
    <row r="353" spans="1:42">
      <c r="A353" s="37">
        <v>333</v>
      </c>
      <c r="B353" s="139"/>
      <c r="C353" s="152" t="s">
        <v>1201</v>
      </c>
      <c r="D353" s="33"/>
      <c r="E353" s="33"/>
      <c r="F353" s="33"/>
      <c r="G353" s="33"/>
      <c r="H353" s="77" t="s">
        <v>1225</v>
      </c>
      <c r="I353" s="185" t="s">
        <v>982</v>
      </c>
      <c r="J353" s="146"/>
      <c r="K353" s="125"/>
      <c r="L353" s="6"/>
      <c r="M353" s="6"/>
      <c r="N353" s="6"/>
      <c r="O353" s="51"/>
      <c r="P353" s="51"/>
      <c r="Q353" s="51"/>
      <c r="R353" s="60"/>
      <c r="S353" s="88"/>
      <c r="T353" s="88"/>
      <c r="U353" s="88"/>
      <c r="V353" s="60"/>
      <c r="W353" s="38"/>
      <c r="X353" s="11"/>
      <c r="Y353" s="17"/>
      <c r="Z353" s="17"/>
      <c r="AA353" s="72"/>
      <c r="AB353" s="72"/>
      <c r="AC353" s="72"/>
      <c r="AD353" s="43"/>
      <c r="AE353" s="38"/>
      <c r="AF353" s="11"/>
      <c r="AG353" s="6"/>
      <c r="AH353" s="6"/>
      <c r="AI353" s="6"/>
      <c r="AJ353" s="43"/>
      <c r="AK353" s="38"/>
      <c r="AL353" s="11"/>
      <c r="AM353" s="6"/>
      <c r="AN353" s="6"/>
      <c r="AO353" s="6"/>
      <c r="AP353" s="43"/>
    </row>
    <row r="354" spans="1:42">
      <c r="A354" s="37">
        <v>334</v>
      </c>
      <c r="B354" s="139"/>
      <c r="C354" s="152" t="s">
        <v>2132</v>
      </c>
      <c r="D354" s="33"/>
      <c r="E354" s="33"/>
      <c r="F354" s="33"/>
      <c r="G354" s="33"/>
      <c r="H354" s="77" t="s">
        <v>1175</v>
      </c>
      <c r="I354" s="185" t="s">
        <v>999</v>
      </c>
      <c r="J354" s="146"/>
      <c r="K354" s="125"/>
      <c r="L354" s="6"/>
      <c r="M354" s="6"/>
      <c r="N354" s="6"/>
      <c r="O354" s="51"/>
      <c r="P354" s="51"/>
      <c r="Q354" s="51"/>
      <c r="R354" s="60"/>
      <c r="S354" s="88"/>
      <c r="T354" s="88"/>
      <c r="U354" s="88"/>
      <c r="V354" s="60"/>
      <c r="W354" s="38"/>
      <c r="X354" s="11"/>
      <c r="Y354" s="17"/>
      <c r="Z354" s="17"/>
      <c r="AA354" s="72"/>
      <c r="AB354" s="72"/>
      <c r="AC354" s="72"/>
      <c r="AD354" s="43"/>
      <c r="AE354" s="38"/>
      <c r="AF354" s="11"/>
      <c r="AG354" s="6"/>
      <c r="AH354" s="6"/>
      <c r="AI354" s="6"/>
      <c r="AJ354" s="43"/>
      <c r="AK354" s="38"/>
      <c r="AL354" s="11"/>
      <c r="AM354" s="6"/>
      <c r="AN354" s="6"/>
      <c r="AO354" s="6"/>
      <c r="AP354" s="43"/>
    </row>
    <row r="355" spans="1:42">
      <c r="A355" s="37">
        <v>335</v>
      </c>
      <c r="B355" s="139"/>
      <c r="C355" s="152" t="s">
        <v>1339</v>
      </c>
      <c r="D355" s="33"/>
      <c r="E355" s="33"/>
      <c r="F355" s="33"/>
      <c r="G355" s="33"/>
      <c r="H355" s="77" t="s">
        <v>1340</v>
      </c>
      <c r="I355" s="185" t="s">
        <v>999</v>
      </c>
      <c r="J355" s="146" t="s">
        <v>1341</v>
      </c>
      <c r="K355" s="125"/>
      <c r="L355" s="6"/>
      <c r="M355" s="6"/>
      <c r="N355" s="6"/>
      <c r="O355" s="51"/>
      <c r="P355" s="51"/>
      <c r="Q355" s="51"/>
      <c r="R355" s="60"/>
      <c r="S355" s="88"/>
      <c r="T355" s="88"/>
      <c r="U355" s="88"/>
      <c r="V355" s="60"/>
      <c r="W355" s="38"/>
      <c r="X355" s="11"/>
      <c r="Y355" s="17"/>
      <c r="Z355" s="17"/>
      <c r="AA355" s="72"/>
      <c r="AB355" s="72"/>
      <c r="AC355" s="72"/>
      <c r="AD355" s="43"/>
      <c r="AE355" s="38"/>
      <c r="AF355" s="11"/>
      <c r="AG355" s="6"/>
      <c r="AH355" s="6"/>
      <c r="AI355" s="6"/>
      <c r="AJ355" s="43"/>
      <c r="AK355" s="38"/>
      <c r="AL355" s="11"/>
      <c r="AM355" s="6"/>
      <c r="AN355" s="6"/>
      <c r="AO355" s="6"/>
      <c r="AP355" s="43"/>
    </row>
    <row r="356" spans="1:42">
      <c r="A356" s="37">
        <v>336</v>
      </c>
      <c r="B356" s="139"/>
      <c r="C356" s="152" t="s">
        <v>938</v>
      </c>
      <c r="D356" s="33"/>
      <c r="E356" s="33"/>
      <c r="F356" s="33"/>
      <c r="G356" s="33"/>
      <c r="H356" s="77" t="s">
        <v>939</v>
      </c>
      <c r="I356" s="185" t="s">
        <v>982</v>
      </c>
      <c r="J356" s="146"/>
      <c r="K356" s="125"/>
      <c r="L356" s="6"/>
      <c r="M356" s="6"/>
      <c r="N356" s="6"/>
      <c r="O356" s="51"/>
      <c r="P356" s="51"/>
      <c r="Q356" s="51"/>
      <c r="R356" s="60"/>
      <c r="S356" s="51"/>
      <c r="T356" s="51"/>
      <c r="U356" s="51"/>
      <c r="V356" s="60"/>
      <c r="W356" s="38"/>
      <c r="X356" s="11"/>
      <c r="Y356" s="17"/>
      <c r="Z356" s="17"/>
      <c r="AA356" s="70"/>
      <c r="AB356" s="70"/>
      <c r="AC356" s="70"/>
      <c r="AD356" s="43"/>
      <c r="AE356" s="38"/>
      <c r="AF356" s="11"/>
      <c r="AG356" s="6"/>
      <c r="AH356" s="6"/>
      <c r="AI356" s="6"/>
      <c r="AJ356" s="43"/>
      <c r="AK356" s="38"/>
      <c r="AL356" s="11"/>
      <c r="AM356" s="6"/>
      <c r="AN356" s="6"/>
      <c r="AO356" s="6"/>
      <c r="AP356" s="43"/>
    </row>
    <row r="357" spans="1:42">
      <c r="A357" s="37">
        <v>337</v>
      </c>
      <c r="B357" s="139"/>
      <c r="C357" s="152" t="s">
        <v>518</v>
      </c>
      <c r="D357" s="33"/>
      <c r="E357" s="33"/>
      <c r="F357" s="33"/>
      <c r="G357" s="33"/>
      <c r="H357" s="77" t="s">
        <v>1604</v>
      </c>
      <c r="I357" s="185" t="s">
        <v>1008</v>
      </c>
      <c r="J357" s="146"/>
      <c r="K357" s="125"/>
      <c r="L357" s="6"/>
      <c r="M357" s="6"/>
      <c r="N357" s="6"/>
      <c r="O357" s="51"/>
      <c r="P357" s="51"/>
      <c r="Q357" s="51"/>
      <c r="R357" s="60"/>
      <c r="S357" s="51"/>
      <c r="T357" s="51"/>
      <c r="U357" s="51"/>
      <c r="V357" s="60"/>
      <c r="W357" s="38"/>
      <c r="X357" s="11"/>
      <c r="Y357" s="17"/>
      <c r="Z357" s="17"/>
      <c r="AA357" s="70"/>
      <c r="AB357" s="70"/>
      <c r="AC357" s="70"/>
      <c r="AD357" s="43"/>
      <c r="AE357" s="38"/>
      <c r="AF357" s="11"/>
      <c r="AG357" s="6"/>
      <c r="AH357" s="6"/>
      <c r="AI357" s="6"/>
      <c r="AJ357" s="43"/>
      <c r="AK357" s="38"/>
      <c r="AL357" s="11"/>
      <c r="AM357" s="6"/>
      <c r="AN357" s="6"/>
      <c r="AO357" s="6"/>
      <c r="AP357" s="43"/>
    </row>
    <row r="358" spans="1:42">
      <c r="A358" s="37">
        <v>338</v>
      </c>
      <c r="B358" s="139"/>
      <c r="C358" s="152" t="s">
        <v>627</v>
      </c>
      <c r="D358" s="33"/>
      <c r="E358" s="33"/>
      <c r="F358" s="33"/>
      <c r="G358" s="33"/>
      <c r="H358" s="77" t="s">
        <v>1111</v>
      </c>
      <c r="I358" s="185" t="s">
        <v>982</v>
      </c>
      <c r="J358" s="146"/>
      <c r="K358" s="35"/>
      <c r="L358" s="17"/>
      <c r="M358" s="17"/>
      <c r="N358" s="17"/>
      <c r="O358" s="51"/>
      <c r="P358" s="51"/>
      <c r="Q358" s="51"/>
      <c r="R358" s="60"/>
      <c r="S358" s="54"/>
      <c r="T358" s="58"/>
      <c r="U358" s="58"/>
      <c r="V358" s="60"/>
      <c r="W358" s="38"/>
      <c r="X358" s="11"/>
      <c r="Y358" s="17"/>
      <c r="Z358" s="17"/>
      <c r="AA358" s="70"/>
      <c r="AB358" s="70"/>
      <c r="AC358" s="70"/>
      <c r="AD358" s="43"/>
      <c r="AE358" s="38"/>
      <c r="AF358" s="11"/>
      <c r="AG358" s="6"/>
      <c r="AH358" s="6"/>
      <c r="AI358" s="6"/>
      <c r="AJ358" s="43"/>
      <c r="AK358" s="38"/>
      <c r="AL358" s="11"/>
      <c r="AM358" s="6"/>
      <c r="AN358" s="6"/>
      <c r="AO358" s="6"/>
      <c r="AP358" s="43"/>
    </row>
    <row r="359" spans="1:42">
      <c r="A359" s="37">
        <v>339</v>
      </c>
      <c r="B359" s="139"/>
      <c r="C359" s="152" t="s">
        <v>1530</v>
      </c>
      <c r="D359" s="33"/>
      <c r="E359" s="33"/>
      <c r="F359" s="33"/>
      <c r="G359" s="33"/>
      <c r="H359" s="77" t="s">
        <v>1528</v>
      </c>
      <c r="I359" s="185" t="s">
        <v>1527</v>
      </c>
      <c r="J359" s="146" t="s">
        <v>1529</v>
      </c>
      <c r="K359" s="35"/>
      <c r="L359" s="17"/>
      <c r="M359" s="17"/>
      <c r="N359" s="17"/>
      <c r="O359" s="51"/>
      <c r="P359" s="51"/>
      <c r="Q359" s="51"/>
      <c r="R359" s="60"/>
      <c r="S359" s="54"/>
      <c r="T359" s="58"/>
      <c r="U359" s="58"/>
      <c r="V359" s="60"/>
      <c r="W359" s="38"/>
      <c r="X359" s="11"/>
      <c r="Y359" s="17"/>
      <c r="Z359" s="17"/>
      <c r="AA359" s="70"/>
      <c r="AB359" s="70"/>
      <c r="AC359" s="70"/>
      <c r="AD359" s="43"/>
      <c r="AE359" s="38"/>
      <c r="AF359" s="11"/>
      <c r="AG359" s="6"/>
      <c r="AH359" s="6"/>
      <c r="AI359" s="6"/>
      <c r="AJ359" s="43"/>
      <c r="AK359" s="38"/>
      <c r="AL359" s="11"/>
      <c r="AM359" s="6"/>
      <c r="AN359" s="6"/>
      <c r="AO359" s="6"/>
      <c r="AP359" s="43"/>
    </row>
    <row r="360" spans="1:42">
      <c r="A360" s="37">
        <v>340</v>
      </c>
      <c r="B360" s="139"/>
      <c r="C360" s="152" t="s">
        <v>1616</v>
      </c>
      <c r="D360" s="33"/>
      <c r="E360" s="33"/>
      <c r="F360" s="33"/>
      <c r="G360" s="33"/>
      <c r="H360" s="77" t="s">
        <v>1618</v>
      </c>
      <c r="I360" s="185" t="s">
        <v>1619</v>
      </c>
      <c r="J360" s="146" t="s">
        <v>1617</v>
      </c>
      <c r="K360" s="35"/>
      <c r="L360" s="17">
        <v>12400</v>
      </c>
      <c r="M360" s="17">
        <v>620</v>
      </c>
      <c r="N360" s="17">
        <v>13020</v>
      </c>
      <c r="O360" s="51"/>
      <c r="P360" s="51"/>
      <c r="Q360" s="51"/>
      <c r="R360" s="60"/>
      <c r="S360" s="51"/>
      <c r="T360" s="53"/>
      <c r="U360" s="53"/>
      <c r="V360" s="60"/>
      <c r="W360" s="38"/>
      <c r="X360" s="11"/>
      <c r="Y360" s="17"/>
      <c r="Z360" s="17"/>
      <c r="AA360" s="70"/>
      <c r="AB360" s="70"/>
      <c r="AC360" s="70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>
      <c r="A361" s="37">
        <v>341</v>
      </c>
      <c r="B361" s="139"/>
      <c r="C361" s="152" t="s">
        <v>1119</v>
      </c>
      <c r="D361" s="33"/>
      <c r="E361" s="33"/>
      <c r="F361" s="33"/>
      <c r="G361" s="33"/>
      <c r="H361" s="77" t="s">
        <v>757</v>
      </c>
      <c r="I361" s="185"/>
      <c r="J361" s="146" t="s">
        <v>926</v>
      </c>
      <c r="K361" s="35"/>
      <c r="L361" s="17">
        <v>12400</v>
      </c>
      <c r="M361" s="17">
        <v>620</v>
      </c>
      <c r="N361" s="17">
        <v>13020</v>
      </c>
      <c r="O361" s="51"/>
      <c r="P361" s="51"/>
      <c r="Q361" s="51"/>
      <c r="R361" s="60"/>
      <c r="S361" s="51"/>
      <c r="T361" s="53"/>
      <c r="U361" s="53"/>
      <c r="V361" s="60"/>
      <c r="W361" s="118"/>
      <c r="AA361" s="119"/>
      <c r="AB361" s="119"/>
      <c r="AC361" s="119"/>
      <c r="AE361" s="118"/>
      <c r="AG361" s="8"/>
      <c r="AH361" s="8"/>
      <c r="AI361" s="8"/>
      <c r="AK361" s="118"/>
      <c r="AM361" s="8"/>
      <c r="AN361" s="8"/>
      <c r="AO361" s="8"/>
    </row>
    <row r="362" spans="1:42">
      <c r="A362" s="37">
        <v>342</v>
      </c>
      <c r="B362" s="139"/>
      <c r="C362" s="152" t="s">
        <v>956</v>
      </c>
      <c r="D362" s="33"/>
      <c r="E362" s="33"/>
      <c r="F362" s="33"/>
      <c r="G362" s="33"/>
      <c r="H362" s="77" t="s">
        <v>958</v>
      </c>
      <c r="I362" s="185"/>
      <c r="J362" s="146" t="s">
        <v>957</v>
      </c>
      <c r="K362" s="35"/>
      <c r="L362" s="17"/>
      <c r="M362" s="17"/>
      <c r="N362" s="17"/>
      <c r="O362" s="51"/>
      <c r="P362" s="51"/>
      <c r="Q362" s="51"/>
      <c r="R362" s="60"/>
      <c r="S362" s="51"/>
      <c r="T362" s="53"/>
      <c r="U362" s="53"/>
      <c r="V362" s="60"/>
      <c r="W362" s="118"/>
      <c r="AA362" s="119"/>
      <c r="AB362" s="119"/>
      <c r="AC362" s="119"/>
      <c r="AE362" s="118"/>
      <c r="AG362" s="8"/>
      <c r="AH362" s="8"/>
      <c r="AI362" s="8"/>
      <c r="AK362" s="118"/>
      <c r="AM362" s="8"/>
      <c r="AN362" s="8"/>
      <c r="AO362" s="8"/>
    </row>
    <row r="363" spans="1:42">
      <c r="A363" s="37">
        <v>343</v>
      </c>
      <c r="B363" s="139"/>
      <c r="C363" s="152" t="s">
        <v>1391</v>
      </c>
      <c r="D363" s="33"/>
      <c r="E363" s="33"/>
      <c r="F363" s="33"/>
      <c r="G363" s="33"/>
      <c r="H363" s="113" t="s">
        <v>1129</v>
      </c>
      <c r="I363" s="192" t="s">
        <v>1109</v>
      </c>
      <c r="J363" s="146"/>
      <c r="K363" s="35"/>
      <c r="L363" s="17"/>
      <c r="M363" s="17"/>
      <c r="N363" s="17"/>
      <c r="O363" s="51"/>
      <c r="P363" s="51"/>
      <c r="Q363" s="51"/>
      <c r="R363" s="60"/>
      <c r="S363" s="51"/>
      <c r="T363" s="53"/>
      <c r="U363" s="53"/>
      <c r="V363" s="60"/>
      <c r="W363" s="118"/>
      <c r="AA363" s="119"/>
      <c r="AB363" s="119"/>
      <c r="AC363" s="119"/>
      <c r="AE363" s="118"/>
      <c r="AG363" s="8"/>
      <c r="AH363" s="8"/>
      <c r="AI363" s="8"/>
      <c r="AK363" s="118"/>
      <c r="AM363" s="8"/>
      <c r="AN363" s="8"/>
      <c r="AO363" s="8"/>
    </row>
    <row r="364" spans="1:42">
      <c r="A364" s="37">
        <v>344</v>
      </c>
      <c r="B364" s="139"/>
      <c r="C364" s="152" t="s">
        <v>1629</v>
      </c>
      <c r="D364" s="33"/>
      <c r="E364" s="33"/>
      <c r="F364" s="33"/>
      <c r="G364" s="33"/>
      <c r="H364" s="113" t="s">
        <v>1630</v>
      </c>
      <c r="I364" s="192" t="s">
        <v>1109</v>
      </c>
      <c r="J364" s="146" t="s">
        <v>1631</v>
      </c>
      <c r="K364" s="35"/>
      <c r="L364" s="17"/>
      <c r="M364" s="17"/>
      <c r="N364" s="17"/>
      <c r="O364" s="51"/>
      <c r="P364" s="51"/>
      <c r="Q364" s="51"/>
      <c r="R364" s="60"/>
      <c r="S364" s="51"/>
      <c r="T364" s="53"/>
      <c r="U364" s="53"/>
      <c r="V364" s="60"/>
      <c r="W364" s="118"/>
      <c r="AA364" s="119"/>
      <c r="AB364" s="119"/>
      <c r="AC364" s="119"/>
      <c r="AE364" s="118"/>
      <c r="AG364" s="8"/>
      <c r="AH364" s="8"/>
      <c r="AI364" s="8"/>
      <c r="AK364" s="118"/>
      <c r="AM364" s="8"/>
      <c r="AN364" s="8"/>
      <c r="AO364" s="8"/>
    </row>
    <row r="365" spans="1:42" ht="27">
      <c r="A365" s="37">
        <v>345</v>
      </c>
      <c r="B365" s="139"/>
      <c r="C365" s="152" t="s">
        <v>674</v>
      </c>
      <c r="D365" s="33"/>
      <c r="E365" s="33"/>
      <c r="F365" s="33"/>
      <c r="G365" s="33"/>
      <c r="H365" s="77" t="s">
        <v>886</v>
      </c>
      <c r="I365" s="185"/>
      <c r="J365" s="146"/>
      <c r="K365" s="35"/>
      <c r="L365" s="17">
        <v>12400</v>
      </c>
      <c r="M365" s="17">
        <v>620</v>
      </c>
      <c r="N365" s="17">
        <v>13020</v>
      </c>
      <c r="O365" s="51"/>
      <c r="P365" s="51"/>
      <c r="Q365" s="51"/>
      <c r="R365" s="60"/>
      <c r="S365" s="51"/>
      <c r="T365" s="53"/>
      <c r="U365" s="53"/>
      <c r="V365" s="60"/>
      <c r="W365" s="118"/>
      <c r="AA365" s="119"/>
      <c r="AB365" s="119"/>
      <c r="AC365" s="119"/>
      <c r="AE365" s="118"/>
      <c r="AG365" s="8"/>
      <c r="AH365" s="8"/>
      <c r="AI365" s="8"/>
      <c r="AK365" s="118"/>
      <c r="AM365" s="8"/>
      <c r="AN365" s="8"/>
      <c r="AO365" s="8"/>
    </row>
    <row r="366" spans="1:42">
      <c r="A366" s="37">
        <v>346</v>
      </c>
      <c r="B366" s="139"/>
      <c r="C366" s="152" t="s">
        <v>765</v>
      </c>
      <c r="D366" s="33"/>
      <c r="E366" s="33"/>
      <c r="F366" s="33"/>
      <c r="G366" s="33"/>
      <c r="H366" s="77" t="s">
        <v>887</v>
      </c>
      <c r="I366" s="185" t="s">
        <v>1114</v>
      </c>
      <c r="J366" s="146" t="s">
        <v>780</v>
      </c>
      <c r="K366" s="35"/>
      <c r="L366" s="17">
        <v>12400</v>
      </c>
      <c r="M366" s="17">
        <v>620</v>
      </c>
      <c r="N366" s="17">
        <v>13020</v>
      </c>
      <c r="O366" s="51"/>
      <c r="P366" s="51"/>
      <c r="Q366" s="51"/>
      <c r="R366" s="60"/>
      <c r="S366" s="51"/>
      <c r="T366" s="53"/>
      <c r="U366" s="53"/>
      <c r="V366" s="60"/>
      <c r="W366" s="118"/>
      <c r="AA366" s="119"/>
      <c r="AB366" s="119"/>
      <c r="AC366" s="119"/>
      <c r="AE366" s="118"/>
      <c r="AG366" s="8"/>
      <c r="AH366" s="8"/>
      <c r="AI366" s="8"/>
      <c r="AK366" s="118"/>
      <c r="AM366" s="8"/>
      <c r="AN366" s="8"/>
      <c r="AO366" s="8"/>
    </row>
    <row r="367" spans="1:42">
      <c r="A367" s="37">
        <v>347</v>
      </c>
      <c r="B367" s="139"/>
      <c r="C367" s="152" t="s">
        <v>710</v>
      </c>
      <c r="D367" s="33"/>
      <c r="E367" s="33"/>
      <c r="F367" s="33"/>
      <c r="G367" s="33"/>
      <c r="H367" s="77" t="s">
        <v>888</v>
      </c>
      <c r="I367" s="185"/>
      <c r="J367" s="146" t="s">
        <v>734</v>
      </c>
      <c r="K367" s="35"/>
      <c r="L367" s="17"/>
      <c r="M367" s="17"/>
      <c r="N367" s="17"/>
      <c r="O367" s="51"/>
      <c r="P367" s="51"/>
      <c r="Q367" s="51"/>
      <c r="R367" s="60"/>
      <c r="S367" s="51"/>
      <c r="T367" s="53"/>
      <c r="U367" s="53"/>
      <c r="V367" s="60"/>
      <c r="W367" s="118"/>
      <c r="AA367" s="119"/>
      <c r="AB367" s="119"/>
      <c r="AC367" s="119"/>
      <c r="AE367" s="118"/>
      <c r="AG367" s="8"/>
      <c r="AH367" s="8"/>
      <c r="AI367" s="8"/>
      <c r="AK367" s="118"/>
      <c r="AM367" s="8"/>
      <c r="AN367" s="8"/>
      <c r="AO367" s="8"/>
    </row>
    <row r="368" spans="1:42">
      <c r="A368" s="37">
        <v>348</v>
      </c>
      <c r="B368" s="139"/>
      <c r="C368" s="152" t="s">
        <v>1772</v>
      </c>
      <c r="D368" s="33"/>
      <c r="E368" s="33"/>
      <c r="F368" s="33"/>
      <c r="G368" s="33"/>
      <c r="H368" s="77" t="s">
        <v>1773</v>
      </c>
      <c r="I368" s="185"/>
      <c r="J368" s="146" t="s">
        <v>182</v>
      </c>
      <c r="K368" s="35"/>
      <c r="L368" s="17">
        <v>12400</v>
      </c>
      <c r="M368" s="17">
        <v>620</v>
      </c>
      <c r="N368" s="17">
        <v>13020</v>
      </c>
      <c r="O368" s="51"/>
      <c r="P368" s="51"/>
      <c r="Q368" s="51"/>
      <c r="R368" s="60"/>
      <c r="S368" s="51"/>
      <c r="T368" s="53"/>
      <c r="U368" s="53"/>
      <c r="V368" s="60"/>
      <c r="W368" s="118"/>
      <c r="AA368" s="119"/>
      <c r="AB368" s="119"/>
      <c r="AC368" s="119"/>
      <c r="AE368" s="118"/>
      <c r="AG368" s="8"/>
      <c r="AH368" s="8"/>
      <c r="AI368" s="8"/>
      <c r="AK368" s="118"/>
      <c r="AM368" s="8"/>
      <c r="AN368" s="8"/>
      <c r="AO368" s="8"/>
    </row>
    <row r="369" spans="1:42">
      <c r="A369" s="37">
        <v>349</v>
      </c>
      <c r="B369" s="139"/>
      <c r="C369" s="152" t="s">
        <v>462</v>
      </c>
      <c r="D369" s="33"/>
      <c r="E369" s="33"/>
      <c r="F369" s="33"/>
      <c r="G369" s="33"/>
      <c r="H369" s="77" t="s">
        <v>1674</v>
      </c>
      <c r="I369" s="185" t="s">
        <v>1675</v>
      </c>
      <c r="J369" s="146" t="s">
        <v>729</v>
      </c>
      <c r="K369" s="125"/>
      <c r="L369" s="6">
        <v>7020</v>
      </c>
      <c r="M369" s="6">
        <v>351</v>
      </c>
      <c r="N369" s="6">
        <v>7371</v>
      </c>
      <c r="O369" s="51"/>
      <c r="P369" s="51"/>
      <c r="Q369" s="51"/>
      <c r="R369" s="60"/>
      <c r="S369" s="51"/>
      <c r="T369" s="51"/>
      <c r="U369" s="51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350</v>
      </c>
      <c r="B370" s="139"/>
      <c r="C370" s="152" t="s">
        <v>363</v>
      </c>
      <c r="D370" s="33"/>
      <c r="E370" s="33"/>
      <c r="F370" s="33"/>
      <c r="G370" s="33"/>
      <c r="H370" s="77" t="s">
        <v>1676</v>
      </c>
      <c r="I370" s="185" t="s">
        <v>1114</v>
      </c>
      <c r="J370" s="146" t="s">
        <v>729</v>
      </c>
      <c r="K370" s="125"/>
      <c r="L370" s="6">
        <v>480</v>
      </c>
      <c r="M370" s="6">
        <v>24</v>
      </c>
      <c r="N370" s="6">
        <v>504</v>
      </c>
      <c r="O370" s="51"/>
      <c r="P370" s="51"/>
      <c r="Q370" s="51"/>
      <c r="R370" s="60"/>
      <c r="S370" s="52"/>
      <c r="T370" s="52"/>
      <c r="U370" s="52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351</v>
      </c>
      <c r="B371" s="139"/>
      <c r="C371" s="152" t="s">
        <v>464</v>
      </c>
      <c r="D371" s="33"/>
      <c r="E371" s="33"/>
      <c r="F371" s="33"/>
      <c r="G371" s="33"/>
      <c r="H371" s="77" t="s">
        <v>889</v>
      </c>
      <c r="I371" s="185" t="s">
        <v>1033</v>
      </c>
      <c r="J371" s="146" t="s">
        <v>811</v>
      </c>
      <c r="K371" s="125"/>
      <c r="L371" s="6"/>
      <c r="M371" s="6"/>
      <c r="N371" s="6"/>
      <c r="O371" s="51"/>
      <c r="P371" s="51"/>
      <c r="Q371" s="51"/>
      <c r="R371" s="60"/>
      <c r="S371" s="52"/>
      <c r="T371" s="52"/>
      <c r="U371" s="52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 ht="27">
      <c r="A372" s="37">
        <v>352</v>
      </c>
      <c r="B372" s="139"/>
      <c r="C372" s="152" t="s">
        <v>320</v>
      </c>
      <c r="D372" s="33"/>
      <c r="E372" s="33"/>
      <c r="F372" s="33"/>
      <c r="G372" s="33"/>
      <c r="H372" s="77" t="s">
        <v>1013</v>
      </c>
      <c r="I372" s="185" t="s">
        <v>1014</v>
      </c>
      <c r="J372" s="146" t="s">
        <v>1012</v>
      </c>
      <c r="K372" s="35"/>
      <c r="L372" s="17">
        <v>21600</v>
      </c>
      <c r="M372" s="17">
        <v>1080</v>
      </c>
      <c r="N372" s="17">
        <v>22680</v>
      </c>
      <c r="O372" s="51"/>
      <c r="P372" s="51"/>
      <c r="Q372" s="51"/>
      <c r="R372" s="60"/>
      <c r="S372" s="97"/>
      <c r="T372" s="97"/>
      <c r="U372" s="97"/>
      <c r="V372" s="60"/>
      <c r="W372" s="38"/>
      <c r="X372" s="11"/>
      <c r="Y372" s="17"/>
      <c r="Z372" s="17"/>
      <c r="AA372" s="98"/>
      <c r="AB372" s="98"/>
      <c r="AC372" s="98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 ht="27">
      <c r="A373" s="37">
        <v>354</v>
      </c>
      <c r="B373" s="139"/>
      <c r="C373" s="152" t="s">
        <v>1623</v>
      </c>
      <c r="D373" s="33"/>
      <c r="E373" s="33"/>
      <c r="F373" s="33"/>
      <c r="G373" s="33"/>
      <c r="H373" s="77" t="s">
        <v>1621</v>
      </c>
      <c r="I373" s="185" t="s">
        <v>1031</v>
      </c>
      <c r="J373" s="146" t="s">
        <v>1622</v>
      </c>
      <c r="K373" s="35"/>
      <c r="L373" s="17"/>
      <c r="M373" s="17"/>
      <c r="N373" s="17"/>
      <c r="O373" s="51"/>
      <c r="P373" s="51"/>
      <c r="Q373" s="51"/>
      <c r="R373" s="60"/>
      <c r="S373" s="97"/>
      <c r="T373" s="97"/>
      <c r="U373" s="97"/>
      <c r="V373" s="60"/>
      <c r="W373" s="38"/>
      <c r="X373" s="11"/>
      <c r="Y373" s="17"/>
      <c r="Z373" s="17"/>
      <c r="AA373" s="98"/>
      <c r="AB373" s="98"/>
      <c r="AC373" s="98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355</v>
      </c>
      <c r="B374" s="139"/>
      <c r="C374" s="152" t="s">
        <v>1768</v>
      </c>
      <c r="D374" s="33"/>
      <c r="E374" s="33"/>
      <c r="F374" s="33"/>
      <c r="G374" s="33"/>
      <c r="H374" s="77" t="s">
        <v>1744</v>
      </c>
      <c r="I374" s="185" t="s">
        <v>1743</v>
      </c>
      <c r="J374" s="146" t="s">
        <v>1742</v>
      </c>
      <c r="K374" s="35"/>
      <c r="L374" s="17"/>
      <c r="M374" s="17"/>
      <c r="N374" s="17"/>
      <c r="O374" s="51"/>
      <c r="P374" s="51"/>
      <c r="Q374" s="51"/>
      <c r="R374" s="60"/>
      <c r="S374" s="97"/>
      <c r="T374" s="97"/>
      <c r="U374" s="97"/>
      <c r="V374" s="60"/>
      <c r="W374" s="38"/>
      <c r="X374" s="11"/>
      <c r="Y374" s="17"/>
      <c r="Z374" s="17"/>
      <c r="AA374" s="98"/>
      <c r="AB374" s="98"/>
      <c r="AC374" s="98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 ht="27">
      <c r="A375" s="37">
        <v>356</v>
      </c>
      <c r="B375" s="139"/>
      <c r="C375" s="152" t="s">
        <v>2101</v>
      </c>
      <c r="D375" s="33"/>
      <c r="E375" s="33"/>
      <c r="F375" s="33"/>
      <c r="G375" s="33"/>
      <c r="H375" s="77" t="s">
        <v>937</v>
      </c>
      <c r="I375" s="185" t="s">
        <v>1015</v>
      </c>
      <c r="J375" s="146" t="s">
        <v>317</v>
      </c>
      <c r="K375" s="35"/>
      <c r="L375" s="17"/>
      <c r="M375" s="17"/>
      <c r="N375" s="17"/>
      <c r="O375" s="51"/>
      <c r="P375" s="51"/>
      <c r="Q375" s="51"/>
      <c r="R375" s="60"/>
      <c r="S375" s="97"/>
      <c r="T375" s="97"/>
      <c r="U375" s="97"/>
      <c r="V375" s="60"/>
      <c r="W375" s="38"/>
      <c r="X375" s="11"/>
      <c r="Y375" s="17"/>
      <c r="Z375" s="17"/>
      <c r="AA375" s="98"/>
      <c r="AB375" s="98"/>
      <c r="AC375" s="98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357</v>
      </c>
      <c r="B376" s="139"/>
      <c r="C376" s="152" t="s">
        <v>1318</v>
      </c>
      <c r="D376" s="33"/>
      <c r="E376" s="33"/>
      <c r="F376" s="33"/>
      <c r="G376" s="33"/>
      <c r="H376" s="77" t="s">
        <v>790</v>
      </c>
      <c r="I376" s="185" t="s">
        <v>1030</v>
      </c>
      <c r="J376" s="146" t="s">
        <v>789</v>
      </c>
      <c r="K376" s="35"/>
      <c r="L376" s="17">
        <v>3915</v>
      </c>
      <c r="M376" s="17">
        <v>195.75</v>
      </c>
      <c r="N376" s="17">
        <v>4110.75</v>
      </c>
      <c r="O376" s="51"/>
      <c r="P376" s="51"/>
      <c r="Q376" s="51"/>
      <c r="R376" s="60"/>
      <c r="S376" s="51"/>
      <c r="T376" s="53"/>
      <c r="U376" s="53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358</v>
      </c>
      <c r="B377" s="139"/>
      <c r="C377" s="152" t="s">
        <v>737</v>
      </c>
      <c r="D377" s="33"/>
      <c r="E377" s="33"/>
      <c r="F377" s="33"/>
      <c r="G377" s="33"/>
      <c r="H377" s="77" t="s">
        <v>890</v>
      </c>
      <c r="I377" s="185"/>
      <c r="J377" s="146"/>
      <c r="K377" s="125"/>
      <c r="L377" s="6">
        <v>400</v>
      </c>
      <c r="M377" s="6">
        <v>20</v>
      </c>
      <c r="N377" s="6">
        <v>420</v>
      </c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359</v>
      </c>
      <c r="B378" s="139"/>
      <c r="C378" s="152" t="s">
        <v>661</v>
      </c>
      <c r="D378" s="33"/>
      <c r="E378" s="33"/>
      <c r="F378" s="33"/>
      <c r="G378" s="33"/>
      <c r="H378" s="77" t="s">
        <v>891</v>
      </c>
      <c r="I378" s="185" t="s">
        <v>1108</v>
      </c>
      <c r="J378" s="146" t="s">
        <v>718</v>
      </c>
      <c r="K378" s="35"/>
      <c r="L378" s="17">
        <v>24130</v>
      </c>
      <c r="M378" s="17">
        <v>1206.5</v>
      </c>
      <c r="N378" s="17">
        <v>25336.5</v>
      </c>
      <c r="O378" s="51"/>
      <c r="P378" s="51"/>
      <c r="Q378" s="51"/>
      <c r="R378" s="60"/>
      <c r="S378" s="51"/>
      <c r="T378" s="53"/>
      <c r="U378" s="53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360</v>
      </c>
      <c r="B379" s="139"/>
      <c r="C379" s="152" t="s">
        <v>1309</v>
      </c>
      <c r="D379" s="33"/>
      <c r="E379" s="33"/>
      <c r="F379" s="33"/>
      <c r="G379" s="33"/>
      <c r="H379" s="77" t="s">
        <v>1310</v>
      </c>
      <c r="I379" s="185" t="s">
        <v>1039</v>
      </c>
      <c r="J379" s="146"/>
      <c r="K379" s="128"/>
      <c r="L379" s="6"/>
      <c r="M379" s="6"/>
      <c r="N379" s="6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361</v>
      </c>
      <c r="B380" s="139"/>
      <c r="C380" s="172" t="s">
        <v>1968</v>
      </c>
      <c r="D380" s="204"/>
      <c r="E380" s="204"/>
      <c r="F380" s="204"/>
      <c r="G380" s="204"/>
      <c r="H380" s="77" t="s">
        <v>1957</v>
      </c>
      <c r="I380" s="185" t="s">
        <v>1728</v>
      </c>
      <c r="J380" s="146"/>
      <c r="K380" s="128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362</v>
      </c>
      <c r="B381" s="139"/>
      <c r="C381" s="173" t="s">
        <v>1463</v>
      </c>
      <c r="D381" s="204"/>
      <c r="E381" s="204"/>
      <c r="F381" s="204"/>
      <c r="G381" s="204"/>
      <c r="H381" s="141" t="s">
        <v>1464</v>
      </c>
      <c r="I381" s="189" t="s">
        <v>1465</v>
      </c>
      <c r="J381" s="146"/>
      <c r="K381" s="128"/>
      <c r="L381" s="6"/>
      <c r="M381" s="6"/>
      <c r="N381" s="6"/>
      <c r="O381" s="51"/>
      <c r="P381" s="51"/>
      <c r="Q381" s="51"/>
      <c r="R381" s="60"/>
      <c r="S381" s="51"/>
      <c r="T381" s="51"/>
      <c r="U381" s="51"/>
      <c r="V381" s="60"/>
      <c r="W381" s="38"/>
      <c r="X381" s="11"/>
      <c r="Y381" s="17"/>
      <c r="Z381" s="17"/>
      <c r="AA381" s="70"/>
      <c r="AB381" s="70"/>
      <c r="AC381" s="70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363</v>
      </c>
      <c r="B382" s="139"/>
      <c r="C382" s="152" t="s">
        <v>318</v>
      </c>
      <c r="D382" s="33"/>
      <c r="E382" s="33"/>
      <c r="F382" s="33"/>
      <c r="G382" s="33"/>
      <c r="H382" s="77" t="s">
        <v>892</v>
      </c>
      <c r="I382" s="185" t="s">
        <v>1041</v>
      </c>
      <c r="J382" s="146" t="s">
        <v>729</v>
      </c>
      <c r="K382" s="125"/>
      <c r="L382" s="6">
        <v>17185</v>
      </c>
      <c r="M382" s="6">
        <v>859.25</v>
      </c>
      <c r="N382" s="6">
        <v>18044.25</v>
      </c>
      <c r="O382" s="51"/>
      <c r="P382" s="51"/>
      <c r="Q382" s="51"/>
      <c r="R382" s="60"/>
      <c r="S382" s="51"/>
      <c r="T382" s="51"/>
      <c r="U382" s="51"/>
      <c r="V382" s="60"/>
      <c r="W382" s="38"/>
      <c r="X382" s="11"/>
      <c r="Y382" s="17"/>
      <c r="Z382" s="17"/>
      <c r="AA382" s="70"/>
      <c r="AB382" s="70"/>
      <c r="AC382" s="70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364</v>
      </c>
      <c r="B383" s="139"/>
      <c r="C383" s="152" t="s">
        <v>1895</v>
      </c>
      <c r="D383" s="33"/>
      <c r="E383" s="33"/>
      <c r="F383" s="33"/>
      <c r="G383" s="33"/>
      <c r="H383" s="77" t="s">
        <v>1896</v>
      </c>
      <c r="I383" s="185" t="s">
        <v>1620</v>
      </c>
      <c r="J383" s="145" t="s">
        <v>1157</v>
      </c>
      <c r="K383" s="125"/>
      <c r="L383" s="6"/>
      <c r="M383" s="6"/>
      <c r="N383" s="6"/>
      <c r="O383" s="51"/>
      <c r="P383" s="51"/>
      <c r="Q383" s="51"/>
      <c r="R383" s="60"/>
      <c r="S383" s="52"/>
      <c r="T383" s="52"/>
      <c r="U383" s="52"/>
      <c r="V383" s="60"/>
      <c r="W383" s="38"/>
      <c r="X383" s="11"/>
      <c r="Y383" s="17"/>
      <c r="Z383" s="17"/>
      <c r="AA383" s="75"/>
      <c r="AB383" s="75"/>
      <c r="AC383" s="75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365</v>
      </c>
      <c r="B384" s="139"/>
      <c r="C384" s="152" t="s">
        <v>1677</v>
      </c>
      <c r="D384" s="33"/>
      <c r="E384" s="33"/>
      <c r="F384" s="33"/>
      <c r="G384" s="33"/>
      <c r="H384" s="77" t="s">
        <v>1678</v>
      </c>
      <c r="I384" s="185" t="s">
        <v>1026</v>
      </c>
      <c r="J384" s="145"/>
      <c r="K384" s="125"/>
      <c r="L384" s="6"/>
      <c r="M384" s="6"/>
      <c r="N384" s="6"/>
      <c r="O384" s="51"/>
      <c r="P384" s="51"/>
      <c r="Q384" s="51"/>
      <c r="R384" s="60"/>
      <c r="S384" s="52"/>
      <c r="T384" s="52"/>
      <c r="U384" s="52"/>
      <c r="V384" s="60"/>
      <c r="W384" s="38"/>
      <c r="X384" s="11"/>
      <c r="Y384" s="17"/>
      <c r="Z384" s="17"/>
      <c r="AA384" s="75"/>
      <c r="AB384" s="75"/>
      <c r="AC384" s="75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366</v>
      </c>
      <c r="B385" s="139"/>
      <c r="C385" s="152" t="s">
        <v>457</v>
      </c>
      <c r="D385" s="33"/>
      <c r="E385" s="33"/>
      <c r="F385" s="33"/>
      <c r="G385" s="33"/>
      <c r="H385" s="77" t="s">
        <v>893</v>
      </c>
      <c r="I385" s="185"/>
      <c r="J385" s="148"/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369</v>
      </c>
      <c r="B386" s="155"/>
      <c r="C386" s="152" t="s">
        <v>645</v>
      </c>
      <c r="D386" s="33"/>
      <c r="E386" s="33"/>
      <c r="F386" s="33"/>
      <c r="G386" s="33"/>
      <c r="H386" s="77" t="s">
        <v>747</v>
      </c>
      <c r="I386" s="185"/>
      <c r="J386" s="148" t="s">
        <v>746</v>
      </c>
      <c r="K386" s="125"/>
      <c r="L386" s="6"/>
      <c r="M386" s="6"/>
      <c r="N386" s="5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370</v>
      </c>
      <c r="B387" s="155"/>
      <c r="C387" s="152" t="s">
        <v>1816</v>
      </c>
      <c r="D387" s="33"/>
      <c r="E387" s="33"/>
      <c r="F387" s="33"/>
      <c r="G387" s="33"/>
      <c r="H387" s="77" t="s">
        <v>1998</v>
      </c>
      <c r="I387" s="185" t="s">
        <v>1033</v>
      </c>
      <c r="J387" s="146" t="s">
        <v>1115</v>
      </c>
      <c r="K387" s="125"/>
      <c r="L387" s="6"/>
      <c r="M387" s="6"/>
      <c r="N387" s="5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371</v>
      </c>
      <c r="B388" s="155"/>
      <c r="C388" s="152" t="s">
        <v>662</v>
      </c>
      <c r="D388" s="33"/>
      <c r="E388" s="33"/>
      <c r="F388" s="33"/>
      <c r="G388" s="33"/>
      <c r="H388" s="77" t="s">
        <v>1971</v>
      </c>
      <c r="I388" s="185" t="s">
        <v>982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/>
      <c r="B389" s="155"/>
      <c r="C389" s="152" t="s">
        <v>2056</v>
      </c>
      <c r="D389" s="33"/>
      <c r="E389" s="33"/>
      <c r="F389" s="33"/>
      <c r="G389" s="33"/>
      <c r="H389" s="77" t="s">
        <v>2049</v>
      </c>
      <c r="I389" s="185" t="s">
        <v>982</v>
      </c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372</v>
      </c>
      <c r="B390" s="155"/>
      <c r="C390" s="152" t="s">
        <v>663</v>
      </c>
      <c r="D390" s="33"/>
      <c r="E390" s="33"/>
      <c r="F390" s="33"/>
      <c r="G390" s="33"/>
      <c r="H390" s="77" t="s">
        <v>894</v>
      </c>
      <c r="I390" s="185" t="s">
        <v>982</v>
      </c>
      <c r="J390" s="146"/>
      <c r="K390" s="125"/>
      <c r="L390" s="6">
        <v>18760</v>
      </c>
      <c r="M390" s="6">
        <v>938</v>
      </c>
      <c r="N390" s="6">
        <v>19698</v>
      </c>
      <c r="O390" s="51"/>
      <c r="P390" s="51"/>
      <c r="Q390" s="51"/>
      <c r="R390" s="60"/>
      <c r="S390" s="88"/>
      <c r="T390" s="88"/>
      <c r="U390" s="88"/>
      <c r="V390" s="60"/>
      <c r="W390" s="38"/>
      <c r="X390" s="11"/>
      <c r="Y390" s="17"/>
      <c r="Z390" s="17"/>
      <c r="AA390" s="72"/>
      <c r="AB390" s="72"/>
      <c r="AC390" s="72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373</v>
      </c>
      <c r="B391" s="155"/>
      <c r="C391" s="152" t="s">
        <v>2045</v>
      </c>
      <c r="D391" s="33"/>
      <c r="E391" s="33"/>
      <c r="F391" s="33"/>
      <c r="G391" s="33"/>
      <c r="H391" s="77" t="s">
        <v>2046</v>
      </c>
      <c r="I391" s="185" t="s">
        <v>982</v>
      </c>
      <c r="J391" s="146" t="s">
        <v>744</v>
      </c>
      <c r="K391" s="125"/>
      <c r="L391" s="6"/>
      <c r="M391" s="6"/>
      <c r="N391" s="6"/>
      <c r="O391" s="51"/>
      <c r="P391" s="51"/>
      <c r="Q391" s="51"/>
      <c r="R391" s="60"/>
      <c r="S391" s="88"/>
      <c r="T391" s="88"/>
      <c r="U391" s="88"/>
      <c r="V391" s="60"/>
      <c r="W391" s="38"/>
      <c r="X391" s="11"/>
      <c r="Y391" s="17"/>
      <c r="Z391" s="17"/>
      <c r="AA391" s="72"/>
      <c r="AB391" s="72"/>
      <c r="AC391" s="72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374</v>
      </c>
      <c r="B392" s="155"/>
      <c r="C392" s="152" t="s">
        <v>1928</v>
      </c>
      <c r="D392" s="33"/>
      <c r="E392" s="33"/>
      <c r="F392" s="33"/>
      <c r="G392" s="33"/>
      <c r="H392" s="77" t="s">
        <v>1556</v>
      </c>
      <c r="I392" s="185" t="s">
        <v>982</v>
      </c>
      <c r="J392" s="146" t="s">
        <v>744</v>
      </c>
      <c r="K392" s="125"/>
      <c r="L392" s="6">
        <v>15390</v>
      </c>
      <c r="M392" s="6">
        <v>769.5</v>
      </c>
      <c r="N392" s="6">
        <v>16159.5</v>
      </c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375</v>
      </c>
      <c r="B393" s="155"/>
      <c r="C393" s="152" t="s">
        <v>841</v>
      </c>
      <c r="D393" s="33"/>
      <c r="E393" s="33"/>
      <c r="F393" s="33"/>
      <c r="G393" s="33"/>
      <c r="H393" s="77" t="s">
        <v>851</v>
      </c>
      <c r="I393" s="185"/>
      <c r="J393" s="146"/>
      <c r="K393" s="125"/>
      <c r="L393" s="6"/>
      <c r="M393" s="6"/>
      <c r="N393" s="6"/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376</v>
      </c>
      <c r="B394" s="155"/>
      <c r="C394" s="152" t="s">
        <v>644</v>
      </c>
      <c r="D394" s="33"/>
      <c r="E394" s="33"/>
      <c r="F394" s="33"/>
      <c r="G394" s="33"/>
      <c r="H394" s="77" t="s">
        <v>745</v>
      </c>
      <c r="I394" s="185"/>
      <c r="J394" s="146" t="s">
        <v>700</v>
      </c>
      <c r="K394" s="125"/>
      <c r="L394" s="6"/>
      <c r="M394" s="6"/>
      <c r="N394" s="6"/>
      <c r="O394" s="51"/>
      <c r="P394" s="51"/>
      <c r="Q394" s="51"/>
      <c r="R394" s="60"/>
      <c r="S394" s="51"/>
      <c r="T394" s="51"/>
      <c r="U394" s="51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377</v>
      </c>
      <c r="B395" s="155"/>
      <c r="C395" s="152" t="s">
        <v>2032</v>
      </c>
      <c r="D395" s="33"/>
      <c r="E395" s="33"/>
      <c r="F395" s="33"/>
      <c r="G395" s="33"/>
      <c r="H395" s="77" t="s">
        <v>2033</v>
      </c>
      <c r="I395" s="185" t="s">
        <v>999</v>
      </c>
      <c r="J395" s="146"/>
      <c r="K395" s="125"/>
      <c r="L395" s="6"/>
      <c r="M395" s="6"/>
      <c r="N395" s="6"/>
      <c r="O395" s="51"/>
      <c r="P395" s="51"/>
      <c r="Q395" s="51"/>
      <c r="R395" s="60"/>
      <c r="S395" s="51"/>
      <c r="T395" s="51"/>
      <c r="U395" s="51"/>
      <c r="V395" s="60"/>
      <c r="W395" s="38"/>
      <c r="X395" s="11"/>
      <c r="Y395" s="17"/>
      <c r="Z395" s="17"/>
      <c r="AA395" s="70"/>
      <c r="AB395" s="70"/>
      <c r="AC395" s="70"/>
      <c r="AD395" s="43"/>
      <c r="AE395" s="38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>
      <c r="A396" s="37">
        <v>378</v>
      </c>
      <c r="B396" s="155"/>
      <c r="C396" s="152" t="s">
        <v>2034</v>
      </c>
      <c r="D396" s="33"/>
      <c r="E396" s="33"/>
      <c r="F396" s="33"/>
      <c r="G396" s="33"/>
      <c r="H396" s="115" t="s">
        <v>1809</v>
      </c>
      <c r="I396" s="194" t="s">
        <v>982</v>
      </c>
      <c r="J396" s="146"/>
      <c r="K396" s="125"/>
      <c r="L396" s="6"/>
      <c r="M396" s="6"/>
      <c r="N396" s="6"/>
      <c r="O396" s="51"/>
      <c r="P396" s="51"/>
      <c r="Q396" s="51"/>
      <c r="R396" s="60"/>
      <c r="S396" s="51"/>
      <c r="T396" s="51"/>
      <c r="U396" s="51"/>
      <c r="V396" s="60"/>
      <c r="W396" s="38"/>
      <c r="X396" s="11"/>
      <c r="Y396" s="17"/>
      <c r="Z396" s="17"/>
      <c r="AA396" s="70"/>
      <c r="AB396" s="70"/>
      <c r="AC396" s="70"/>
      <c r="AD396" s="43"/>
      <c r="AE396" s="38"/>
      <c r="AF396" s="11"/>
      <c r="AG396" s="6"/>
      <c r="AH396" s="6"/>
      <c r="AI396" s="6"/>
      <c r="AJ396" s="43"/>
      <c r="AK396" s="38"/>
      <c r="AL396" s="11"/>
      <c r="AM396" s="6"/>
      <c r="AN396" s="6"/>
      <c r="AO396" s="6"/>
      <c r="AP396" s="43"/>
    </row>
    <row r="397" spans="1:42">
      <c r="A397" s="37">
        <v>379</v>
      </c>
      <c r="B397" s="155"/>
      <c r="C397" s="152" t="s">
        <v>1564</v>
      </c>
      <c r="D397" s="33"/>
      <c r="E397" s="33"/>
      <c r="F397" s="33"/>
      <c r="G397" s="33"/>
      <c r="H397" s="115" t="s">
        <v>1862</v>
      </c>
      <c r="I397" s="194" t="s">
        <v>982</v>
      </c>
      <c r="J397" s="146"/>
      <c r="K397" s="125"/>
      <c r="L397" s="6"/>
      <c r="M397" s="6"/>
      <c r="N397" s="6"/>
      <c r="O397" s="51"/>
      <c r="P397" s="51"/>
      <c r="Q397" s="51"/>
      <c r="R397" s="60"/>
      <c r="S397" s="51"/>
      <c r="T397" s="51"/>
      <c r="U397" s="51"/>
      <c r="V397" s="60"/>
      <c r="W397" s="38"/>
      <c r="X397" s="11"/>
      <c r="Y397" s="17"/>
      <c r="Z397" s="17"/>
      <c r="AA397" s="70"/>
      <c r="AB397" s="70"/>
      <c r="AC397" s="70"/>
      <c r="AD397" s="43"/>
      <c r="AE397" s="38"/>
      <c r="AF397" s="11"/>
      <c r="AG397" s="6"/>
      <c r="AH397" s="6"/>
      <c r="AI397" s="6"/>
      <c r="AJ397" s="43"/>
      <c r="AK397" s="38"/>
      <c r="AL397" s="11"/>
      <c r="AM397" s="6"/>
      <c r="AN397" s="6"/>
      <c r="AO397" s="6"/>
      <c r="AP397" s="43"/>
    </row>
    <row r="398" spans="1:42">
      <c r="A398" s="37">
        <v>380</v>
      </c>
      <c r="B398" s="155"/>
      <c r="C398" s="152" t="s">
        <v>2010</v>
      </c>
      <c r="D398" s="33"/>
      <c r="E398" s="33"/>
      <c r="F398" s="33"/>
      <c r="G398" s="33"/>
      <c r="H398" s="115" t="s">
        <v>1861</v>
      </c>
      <c r="I398" s="194" t="s">
        <v>982</v>
      </c>
      <c r="J398" s="146"/>
      <c r="K398" s="125"/>
      <c r="L398" s="6"/>
      <c r="M398" s="6"/>
      <c r="N398" s="6"/>
      <c r="O398" s="51"/>
      <c r="P398" s="51"/>
      <c r="Q398" s="51"/>
      <c r="R398" s="60"/>
      <c r="S398" s="51"/>
      <c r="T398" s="51"/>
      <c r="U398" s="51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381</v>
      </c>
      <c r="B399" s="155"/>
      <c r="C399" s="152" t="s">
        <v>709</v>
      </c>
      <c r="D399" s="33"/>
      <c r="E399" s="33"/>
      <c r="F399" s="33"/>
      <c r="G399" s="33"/>
      <c r="H399" s="77" t="s">
        <v>895</v>
      </c>
      <c r="I399" s="194" t="s">
        <v>982</v>
      </c>
      <c r="J399" s="146"/>
      <c r="K399" s="125"/>
      <c r="L399" s="6"/>
      <c r="M399" s="6"/>
      <c r="N399" s="6"/>
      <c r="O399" s="51"/>
      <c r="P399" s="51"/>
      <c r="Q399" s="51"/>
      <c r="R399" s="60"/>
      <c r="S399" s="51"/>
      <c r="T399" s="51"/>
      <c r="U399" s="51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382</v>
      </c>
      <c r="B400" s="155"/>
      <c r="C400" s="152" t="s">
        <v>680</v>
      </c>
      <c r="D400" s="33"/>
      <c r="E400" s="33"/>
      <c r="F400" s="33"/>
      <c r="G400" s="33"/>
      <c r="H400" s="77" t="s">
        <v>1450</v>
      </c>
      <c r="I400" s="185" t="s">
        <v>1210</v>
      </c>
      <c r="J400" s="146"/>
      <c r="K400" s="125"/>
      <c r="L400" s="6">
        <v>24950</v>
      </c>
      <c r="M400" s="6">
        <v>1247.5</v>
      </c>
      <c r="N400" s="6">
        <v>26197.5</v>
      </c>
      <c r="O400" s="51"/>
      <c r="P400" s="51"/>
      <c r="Q400" s="51"/>
      <c r="R400" s="60"/>
      <c r="S400" s="51"/>
      <c r="T400" s="51"/>
      <c r="U400" s="51"/>
      <c r="V400" s="60"/>
      <c r="W400" s="38"/>
      <c r="X400" s="11"/>
      <c r="Y400" s="17"/>
      <c r="Z400" s="17"/>
      <c r="AA400" s="70"/>
      <c r="AB400" s="70"/>
      <c r="AC400" s="70"/>
      <c r="AD400" s="43"/>
      <c r="AE400" s="81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383</v>
      </c>
      <c r="B401" s="155"/>
      <c r="C401" s="152" t="s">
        <v>1004</v>
      </c>
      <c r="D401" s="33"/>
      <c r="E401" s="33"/>
      <c r="F401" s="33"/>
      <c r="G401" s="33"/>
      <c r="H401" s="77" t="s">
        <v>1003</v>
      </c>
      <c r="I401" s="185" t="s">
        <v>1005</v>
      </c>
      <c r="J401" s="146"/>
      <c r="K401" s="125"/>
      <c r="L401" s="6">
        <v>540</v>
      </c>
      <c r="M401" s="6">
        <v>27</v>
      </c>
      <c r="N401" s="6">
        <v>567</v>
      </c>
      <c r="O401" s="51"/>
      <c r="P401" s="51"/>
      <c r="Q401" s="51"/>
      <c r="R401" s="60"/>
      <c r="S401" s="51"/>
      <c r="T401" s="51"/>
      <c r="U401" s="51"/>
      <c r="V401" s="60"/>
      <c r="W401" s="38"/>
      <c r="X401" s="11"/>
      <c r="Y401" s="17"/>
      <c r="Z401" s="17"/>
      <c r="AA401" s="70"/>
      <c r="AB401" s="70"/>
      <c r="AC401" s="70"/>
      <c r="AD401" s="43"/>
      <c r="AE401" s="38"/>
      <c r="AF401" s="11"/>
      <c r="AG401" s="6"/>
      <c r="AH401" s="6"/>
      <c r="AI401" s="6"/>
      <c r="AJ401" s="43"/>
      <c r="AK401" s="38"/>
      <c r="AL401" s="11"/>
      <c r="AM401" s="6"/>
      <c r="AN401" s="6"/>
      <c r="AO401" s="6"/>
      <c r="AP401" s="43"/>
    </row>
    <row r="402" spans="1:42">
      <c r="A402" s="37">
        <v>384</v>
      </c>
      <c r="B402" s="155"/>
      <c r="C402" s="152" t="s">
        <v>482</v>
      </c>
      <c r="D402" s="33"/>
      <c r="E402" s="33"/>
      <c r="F402" s="33"/>
      <c r="G402" s="33"/>
      <c r="H402" s="77" t="s">
        <v>41</v>
      </c>
      <c r="I402" s="185" t="s">
        <v>982</v>
      </c>
      <c r="J402" s="146"/>
      <c r="K402" s="125"/>
      <c r="L402" s="6"/>
      <c r="M402" s="6"/>
      <c r="N402" s="6"/>
      <c r="O402" s="51"/>
      <c r="P402" s="51"/>
      <c r="Q402" s="51"/>
      <c r="R402" s="60"/>
      <c r="S402" s="51"/>
      <c r="T402" s="51"/>
      <c r="U402" s="51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385</v>
      </c>
      <c r="B403" s="155"/>
      <c r="C403" s="152" t="s">
        <v>678</v>
      </c>
      <c r="D403" s="33"/>
      <c r="E403" s="33"/>
      <c r="F403" s="33"/>
      <c r="G403" s="33"/>
      <c r="H403" s="77" t="s">
        <v>864</v>
      </c>
      <c r="I403" s="185"/>
      <c r="J403" s="146" t="s">
        <v>865</v>
      </c>
      <c r="K403" s="35"/>
      <c r="L403" s="17"/>
      <c r="M403" s="17"/>
      <c r="N403" s="17"/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386</v>
      </c>
      <c r="B404" s="155"/>
      <c r="C404" s="152" t="s">
        <v>2071</v>
      </c>
      <c r="D404" s="33"/>
      <c r="E404" s="33"/>
      <c r="F404" s="33"/>
      <c r="G404" s="33"/>
      <c r="H404" s="77" t="s">
        <v>2072</v>
      </c>
      <c r="I404" s="185" t="s">
        <v>999</v>
      </c>
      <c r="J404" s="145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 ht="27">
      <c r="A405" s="37">
        <v>387</v>
      </c>
      <c r="B405" s="155"/>
      <c r="C405" s="152" t="s">
        <v>1143</v>
      </c>
      <c r="D405" s="33"/>
      <c r="E405" s="33"/>
      <c r="F405" s="33"/>
      <c r="G405" s="33"/>
      <c r="H405" s="77" t="s">
        <v>1144</v>
      </c>
      <c r="I405" s="185" t="s">
        <v>1848</v>
      </c>
      <c r="J405" s="148"/>
      <c r="K405" s="125"/>
      <c r="L405" s="6">
        <v>240</v>
      </c>
      <c r="M405" s="6">
        <v>12</v>
      </c>
      <c r="N405" s="6">
        <v>252</v>
      </c>
      <c r="O405" s="51"/>
      <c r="P405" s="51"/>
      <c r="Q405" s="51"/>
      <c r="R405" s="60"/>
      <c r="S405" s="51"/>
      <c r="T405" s="51"/>
      <c r="U405" s="51"/>
      <c r="V405" s="60"/>
      <c r="W405" s="81"/>
      <c r="X405" s="11"/>
      <c r="Y405" s="17"/>
      <c r="Z405" s="17"/>
      <c r="AA405" s="70"/>
      <c r="AB405" s="70"/>
      <c r="AC405" s="70"/>
      <c r="AD405" s="43"/>
      <c r="AE405" s="38"/>
      <c r="AF405" s="11"/>
      <c r="AG405" s="84"/>
      <c r="AH405" s="84"/>
      <c r="AI405" s="84"/>
      <c r="AJ405" s="43"/>
      <c r="AK405" s="38"/>
      <c r="AL405" s="11"/>
      <c r="AM405" s="6"/>
      <c r="AN405" s="6"/>
      <c r="AO405" s="6"/>
      <c r="AP405" s="43"/>
    </row>
    <row r="406" spans="1:42">
      <c r="A406" s="37">
        <v>388</v>
      </c>
      <c r="B406" s="155"/>
      <c r="C406" s="152" t="s">
        <v>1997</v>
      </c>
      <c r="D406" s="33"/>
      <c r="E406" s="33"/>
      <c r="F406" s="33"/>
      <c r="G406" s="33"/>
      <c r="H406" s="77" t="s">
        <v>1849</v>
      </c>
      <c r="I406" s="185" t="s">
        <v>1109</v>
      </c>
      <c r="J406" s="148"/>
      <c r="K406" s="125"/>
      <c r="L406" s="6"/>
      <c r="M406" s="6"/>
      <c r="N406" s="6"/>
      <c r="O406" s="51"/>
      <c r="P406" s="51"/>
      <c r="Q406" s="51"/>
      <c r="R406" s="60"/>
      <c r="S406" s="51"/>
      <c r="T406" s="51"/>
      <c r="U406" s="51"/>
      <c r="V406" s="60"/>
      <c r="W406" s="81"/>
      <c r="X406" s="11"/>
      <c r="Y406" s="17"/>
      <c r="Z406" s="17"/>
      <c r="AA406" s="70"/>
      <c r="AB406" s="70"/>
      <c r="AC406" s="70"/>
      <c r="AD406" s="43"/>
      <c r="AE406" s="38"/>
      <c r="AF406" s="11"/>
      <c r="AG406" s="84"/>
      <c r="AH406" s="84"/>
      <c r="AI406" s="84"/>
      <c r="AJ406" s="43"/>
      <c r="AK406" s="38"/>
      <c r="AL406" s="11"/>
      <c r="AM406" s="6"/>
      <c r="AN406" s="6"/>
      <c r="AO406" s="6"/>
      <c r="AP406" s="43"/>
    </row>
    <row r="407" spans="1:42" ht="27">
      <c r="A407" s="37">
        <v>389</v>
      </c>
      <c r="B407" s="155"/>
      <c r="C407" s="152" t="s">
        <v>2109</v>
      </c>
      <c r="D407" s="33"/>
      <c r="E407" s="33"/>
      <c r="F407" s="33"/>
      <c r="G407" s="33"/>
      <c r="H407" s="77" t="s">
        <v>2110</v>
      </c>
      <c r="I407" s="185" t="s">
        <v>975</v>
      </c>
      <c r="J407" s="145"/>
      <c r="K407" s="35"/>
      <c r="L407" s="17"/>
      <c r="M407" s="17"/>
      <c r="N407" s="17"/>
      <c r="O407" s="51"/>
      <c r="P407" s="51"/>
      <c r="Q407" s="51"/>
      <c r="R407" s="60"/>
      <c r="S407" s="51"/>
      <c r="T407" s="53"/>
      <c r="U407" s="53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390</v>
      </c>
      <c r="B408" s="155"/>
      <c r="C408" s="152" t="s">
        <v>1792</v>
      </c>
      <c r="D408" s="33"/>
      <c r="E408" s="33"/>
      <c r="F408" s="33"/>
      <c r="G408" s="33"/>
      <c r="H408" s="77" t="s">
        <v>1793</v>
      </c>
      <c r="I408" s="185" t="s">
        <v>975</v>
      </c>
      <c r="J408" s="145" t="s">
        <v>1794</v>
      </c>
      <c r="K408" s="35"/>
      <c r="L408" s="17"/>
      <c r="M408" s="17"/>
      <c r="N408" s="17"/>
      <c r="O408" s="51"/>
      <c r="P408" s="51"/>
      <c r="Q408" s="51"/>
      <c r="R408" s="60"/>
      <c r="S408" s="51"/>
      <c r="T408" s="53"/>
      <c r="U408" s="53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391</v>
      </c>
      <c r="B409" s="155"/>
      <c r="C409" s="152" t="s">
        <v>1510</v>
      </c>
      <c r="D409" s="33"/>
      <c r="E409" s="33"/>
      <c r="F409" s="33"/>
      <c r="G409" s="33"/>
      <c r="H409" s="77" t="s">
        <v>1449</v>
      </c>
      <c r="I409" s="185"/>
      <c r="J409" s="145"/>
      <c r="K409" s="35"/>
      <c r="L409" s="17"/>
      <c r="M409" s="17"/>
      <c r="N409" s="17"/>
      <c r="O409" s="51"/>
      <c r="P409" s="51"/>
      <c r="Q409" s="51"/>
      <c r="R409" s="60"/>
      <c r="S409" s="51"/>
      <c r="T409" s="53"/>
      <c r="U409" s="53"/>
      <c r="V409" s="60"/>
      <c r="W409" s="38"/>
      <c r="X409" s="11"/>
      <c r="Y409" s="17"/>
      <c r="Z409" s="17"/>
      <c r="AA409" s="70"/>
      <c r="AB409" s="70"/>
      <c r="AC409" s="70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392</v>
      </c>
      <c r="B410" s="155"/>
      <c r="C410" s="152" t="s">
        <v>1309</v>
      </c>
      <c r="D410" s="33"/>
      <c r="E410" s="33"/>
      <c r="F410" s="33"/>
      <c r="G410" s="33"/>
      <c r="H410" s="77" t="s">
        <v>1548</v>
      </c>
      <c r="I410" s="185"/>
      <c r="J410" s="145" t="s">
        <v>773</v>
      </c>
      <c r="K410" s="35"/>
      <c r="L410" s="17"/>
      <c r="M410" s="17"/>
      <c r="N410" s="17"/>
      <c r="O410" s="51"/>
      <c r="P410" s="51"/>
      <c r="Q410" s="51"/>
      <c r="R410" s="60"/>
      <c r="S410" s="51"/>
      <c r="T410" s="53"/>
      <c r="U410" s="53"/>
      <c r="V410" s="60"/>
      <c r="W410" s="38"/>
      <c r="X410" s="11"/>
      <c r="Y410" s="17"/>
      <c r="Z410" s="17"/>
      <c r="AA410" s="70"/>
      <c r="AB410" s="70"/>
      <c r="AC410" s="70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393</v>
      </c>
      <c r="B411" s="155"/>
      <c r="C411" s="152" t="s">
        <v>226</v>
      </c>
      <c r="D411" s="33"/>
      <c r="E411" s="33"/>
      <c r="F411" s="33"/>
      <c r="G411" s="33"/>
      <c r="H411" s="77" t="s">
        <v>11</v>
      </c>
      <c r="I411" s="185" t="s">
        <v>1098</v>
      </c>
      <c r="J411" s="146" t="s">
        <v>827</v>
      </c>
      <c r="K411" s="125"/>
      <c r="L411" s="6"/>
      <c r="M411" s="6"/>
      <c r="N411" s="6"/>
      <c r="O411" s="51"/>
      <c r="P411" s="51"/>
      <c r="Q411" s="51"/>
      <c r="R411" s="60"/>
      <c r="S411" s="94"/>
      <c r="T411" s="94"/>
      <c r="U411" s="94"/>
      <c r="V411" s="60"/>
      <c r="W411" s="38"/>
      <c r="X411" s="11"/>
      <c r="Y411" s="17"/>
      <c r="Z411" s="17"/>
      <c r="AA411" s="95"/>
      <c r="AB411" s="95"/>
      <c r="AC411" s="95"/>
      <c r="AD411" s="43"/>
      <c r="AE411" s="38"/>
      <c r="AF411" s="11"/>
      <c r="AG411" s="6"/>
      <c r="AH411" s="6"/>
      <c r="AI411" s="6"/>
      <c r="AJ411" s="43"/>
      <c r="AK411" s="38"/>
      <c r="AL411" s="11"/>
      <c r="AM411" s="84"/>
      <c r="AN411" s="84"/>
      <c r="AO411" s="84"/>
      <c r="AP411" s="43"/>
    </row>
    <row r="412" spans="1:42">
      <c r="A412" s="37">
        <v>394</v>
      </c>
      <c r="B412" s="155"/>
      <c r="C412" s="152" t="s">
        <v>1515</v>
      </c>
      <c r="D412" s="33"/>
      <c r="E412" s="33"/>
      <c r="F412" s="33"/>
      <c r="G412" s="33"/>
      <c r="H412" s="77" t="s">
        <v>1644</v>
      </c>
      <c r="I412" s="185" t="s">
        <v>1810</v>
      </c>
      <c r="J412" s="146" t="s">
        <v>797</v>
      </c>
      <c r="K412" s="35"/>
      <c r="L412" s="17">
        <v>24000</v>
      </c>
      <c r="M412" s="17">
        <v>1200</v>
      </c>
      <c r="N412" s="17">
        <v>25200</v>
      </c>
      <c r="O412" s="51"/>
      <c r="P412" s="51"/>
      <c r="Q412" s="51"/>
      <c r="R412" s="60"/>
      <c r="S412" s="51"/>
      <c r="T412" s="53"/>
      <c r="U412" s="53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395</v>
      </c>
      <c r="B413" s="155"/>
      <c r="C413" s="152" t="s">
        <v>2097</v>
      </c>
      <c r="D413" s="33"/>
      <c r="E413" s="33"/>
      <c r="F413" s="33"/>
      <c r="G413" s="33"/>
      <c r="H413" s="249" t="s">
        <v>2096</v>
      </c>
      <c r="I413" s="185" t="s">
        <v>1721</v>
      </c>
      <c r="J413" s="146" t="s">
        <v>2239</v>
      </c>
      <c r="K413" s="35"/>
      <c r="L413" s="17"/>
      <c r="M413" s="17"/>
      <c r="N413" s="17"/>
      <c r="O413" s="51"/>
      <c r="P413" s="51"/>
      <c r="Q413" s="51"/>
      <c r="R413" s="60"/>
      <c r="S413" s="51"/>
      <c r="T413" s="53"/>
      <c r="U413" s="53"/>
      <c r="V413" s="60"/>
      <c r="W413" s="38"/>
      <c r="X413" s="11"/>
      <c r="Y413" s="17"/>
      <c r="Z413" s="17"/>
      <c r="AA413" s="70"/>
      <c r="AB413" s="70"/>
      <c r="AC413" s="70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396</v>
      </c>
      <c r="B414" s="155"/>
      <c r="C414" s="152" t="s">
        <v>1817</v>
      </c>
      <c r="D414" s="33"/>
      <c r="E414" s="33"/>
      <c r="F414" s="33"/>
      <c r="G414" s="33"/>
      <c r="H414" s="112" t="s">
        <v>1825</v>
      </c>
      <c r="I414" s="185" t="s">
        <v>982</v>
      </c>
      <c r="J414" s="146"/>
      <c r="K414" s="35"/>
      <c r="L414" s="17"/>
      <c r="M414" s="17"/>
      <c r="N414" s="17"/>
      <c r="O414" s="51"/>
      <c r="P414" s="51"/>
      <c r="Q414" s="51"/>
      <c r="R414" s="60"/>
      <c r="S414" s="51"/>
      <c r="T414" s="53"/>
      <c r="U414" s="53"/>
      <c r="V414" s="60"/>
      <c r="W414" s="38"/>
      <c r="X414" s="11"/>
      <c r="Y414" s="17"/>
      <c r="Z414" s="17"/>
      <c r="AA414" s="70"/>
      <c r="AB414" s="70"/>
      <c r="AC414" s="70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397</v>
      </c>
      <c r="B415" s="155"/>
      <c r="C415" s="152" t="s">
        <v>2093</v>
      </c>
      <c r="D415" s="33"/>
      <c r="E415" s="33"/>
      <c r="F415" s="33"/>
      <c r="G415" s="33"/>
      <c r="H415" s="77" t="s">
        <v>2094</v>
      </c>
      <c r="I415" s="185" t="s">
        <v>1061</v>
      </c>
      <c r="J415" s="146"/>
      <c r="K415" s="125"/>
      <c r="L415" s="6">
        <v>17920</v>
      </c>
      <c r="M415" s="6">
        <v>896</v>
      </c>
      <c r="N415" s="6">
        <v>18816</v>
      </c>
      <c r="O415" s="51"/>
      <c r="P415" s="51"/>
      <c r="Q415" s="51"/>
      <c r="R415" s="60"/>
      <c r="S415" s="51"/>
      <c r="T415" s="51"/>
      <c r="U415" s="51"/>
      <c r="V415" s="60"/>
      <c r="W415" s="38"/>
      <c r="X415" s="11"/>
      <c r="Y415" s="17"/>
      <c r="Z415" s="17"/>
      <c r="AA415" s="70"/>
      <c r="AB415" s="70"/>
      <c r="AC415" s="70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398</v>
      </c>
      <c r="B416" s="155"/>
      <c r="C416" s="152" t="s">
        <v>2008</v>
      </c>
      <c r="D416" s="33"/>
      <c r="E416" s="33"/>
      <c r="F416" s="33"/>
      <c r="G416" s="33"/>
      <c r="H416" s="77" t="s">
        <v>1839</v>
      </c>
      <c r="I416" s="185" t="s">
        <v>1840</v>
      </c>
      <c r="J416" s="146"/>
      <c r="K416" s="125"/>
      <c r="L416" s="6"/>
      <c r="M416" s="6"/>
      <c r="N416" s="6"/>
      <c r="O416" s="51"/>
      <c r="P416" s="51"/>
      <c r="Q416" s="51"/>
      <c r="R416" s="60"/>
      <c r="S416" s="51"/>
      <c r="T416" s="51"/>
      <c r="U416" s="51"/>
      <c r="V416" s="60"/>
      <c r="W416" s="38"/>
      <c r="X416" s="11"/>
      <c r="Y416" s="17"/>
      <c r="Z416" s="17"/>
      <c r="AA416" s="70"/>
      <c r="AB416" s="70"/>
      <c r="AC416" s="70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399</v>
      </c>
      <c r="B417" s="155"/>
      <c r="C417" s="152" t="s">
        <v>631</v>
      </c>
      <c r="D417" s="33"/>
      <c r="E417" s="33"/>
      <c r="F417" s="33"/>
      <c r="G417" s="33"/>
      <c r="H417" s="77" t="s">
        <v>728</v>
      </c>
      <c r="I417" s="185" t="s">
        <v>987</v>
      </c>
      <c r="J417" s="146"/>
      <c r="K417" s="125"/>
      <c r="L417" s="6"/>
      <c r="M417" s="6"/>
      <c r="N417" s="6"/>
      <c r="O417" s="51"/>
      <c r="P417" s="51"/>
      <c r="Q417" s="51"/>
      <c r="R417" s="60"/>
      <c r="S417" s="51"/>
      <c r="T417" s="51"/>
      <c r="U417" s="51"/>
      <c r="V417" s="60"/>
      <c r="W417" s="38"/>
      <c r="X417" s="11"/>
      <c r="Y417" s="17"/>
      <c r="Z417" s="17"/>
      <c r="AA417" s="70"/>
      <c r="AB417" s="70"/>
      <c r="AC417" s="70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/>
      <c r="B418" s="155"/>
      <c r="C418" s="152" t="s">
        <v>2222</v>
      </c>
      <c r="D418" s="33"/>
      <c r="E418" s="33"/>
      <c r="F418" s="33"/>
      <c r="G418" s="33"/>
      <c r="H418" s="77" t="s">
        <v>2223</v>
      </c>
      <c r="I418" s="185" t="s">
        <v>2224</v>
      </c>
      <c r="J418" s="146"/>
      <c r="K418" s="125"/>
      <c r="L418" s="6"/>
      <c r="M418" s="6"/>
      <c r="N418" s="6"/>
      <c r="O418" s="51"/>
      <c r="P418" s="51"/>
      <c r="Q418" s="51"/>
      <c r="R418" s="60"/>
      <c r="S418" s="51"/>
      <c r="T418" s="51"/>
      <c r="U418" s="51"/>
      <c r="V418" s="60"/>
      <c r="W418" s="38"/>
      <c r="X418" s="11"/>
      <c r="Y418" s="17"/>
      <c r="Z418" s="17"/>
      <c r="AA418" s="70"/>
      <c r="AB418" s="70"/>
      <c r="AC418" s="70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400</v>
      </c>
      <c r="B419" s="155"/>
      <c r="C419" s="152" t="s">
        <v>2236</v>
      </c>
      <c r="D419" s="33"/>
      <c r="E419" s="33"/>
      <c r="F419" s="33"/>
      <c r="G419" s="33"/>
      <c r="H419" s="77" t="s">
        <v>2237</v>
      </c>
      <c r="I419" s="185" t="s">
        <v>2238</v>
      </c>
      <c r="J419" s="146"/>
      <c r="K419" s="125"/>
      <c r="L419" s="6"/>
      <c r="M419" s="6"/>
      <c r="N419" s="6"/>
      <c r="O419" s="51"/>
      <c r="P419" s="51"/>
      <c r="Q419" s="51"/>
      <c r="R419" s="60"/>
      <c r="S419" s="54"/>
      <c r="T419" s="54"/>
      <c r="U419" s="54"/>
      <c r="V419" s="60"/>
      <c r="W419" s="38"/>
      <c r="X419" s="11"/>
      <c r="Y419" s="17"/>
      <c r="Z419" s="87"/>
      <c r="AA419" s="86"/>
      <c r="AB419" s="86"/>
      <c r="AC419" s="86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401</v>
      </c>
      <c r="B420" s="155"/>
      <c r="C420" s="152" t="s">
        <v>1879</v>
      </c>
      <c r="D420" s="33"/>
      <c r="E420" s="33"/>
      <c r="F420" s="33"/>
      <c r="G420" s="33"/>
      <c r="H420" s="77" t="s">
        <v>1882</v>
      </c>
      <c r="I420" s="185" t="s">
        <v>1881</v>
      </c>
      <c r="J420" s="146" t="s">
        <v>1880</v>
      </c>
      <c r="K420" s="125"/>
      <c r="L420" s="6"/>
      <c r="M420" s="6"/>
      <c r="N420" s="6"/>
      <c r="O420" s="51"/>
      <c r="P420" s="51"/>
      <c r="Q420" s="51"/>
      <c r="R420" s="60"/>
      <c r="S420" s="54"/>
      <c r="T420" s="54"/>
      <c r="U420" s="54"/>
      <c r="V420" s="60"/>
      <c r="W420" s="38"/>
      <c r="X420" s="11"/>
      <c r="Y420" s="17"/>
      <c r="Z420" s="87"/>
      <c r="AA420" s="86"/>
      <c r="AB420" s="86"/>
      <c r="AC420" s="86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402</v>
      </c>
      <c r="B421" s="155"/>
      <c r="C421" s="152" t="s">
        <v>483</v>
      </c>
      <c r="D421" s="33"/>
      <c r="E421" s="33"/>
      <c r="F421" s="33"/>
      <c r="G421" s="33"/>
      <c r="H421" s="77" t="s">
        <v>42</v>
      </c>
      <c r="I421" s="185" t="s">
        <v>982</v>
      </c>
      <c r="J421" s="146"/>
      <c r="K421" s="125"/>
      <c r="L421" s="6">
        <v>24900</v>
      </c>
      <c r="M421" s="6">
        <v>1245</v>
      </c>
      <c r="N421" s="6">
        <v>26145</v>
      </c>
      <c r="O421" s="51"/>
      <c r="P421" s="51"/>
      <c r="Q421" s="51"/>
      <c r="R421" s="60"/>
      <c r="S421" s="51"/>
      <c r="T421" s="51"/>
      <c r="U421" s="51"/>
      <c r="V421" s="60"/>
      <c r="W421" s="38"/>
      <c r="X421" s="11"/>
      <c r="Y421" s="17"/>
      <c r="Z421" s="17"/>
      <c r="AA421" s="70"/>
      <c r="AB421" s="70"/>
      <c r="AC421" s="70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/>
      <c r="B422" s="155"/>
      <c r="C422" s="152" t="s">
        <v>2043</v>
      </c>
      <c r="D422" s="33"/>
      <c r="E422" s="33"/>
      <c r="F422" s="33"/>
      <c r="G422" s="33"/>
      <c r="H422" s="77" t="s">
        <v>2044</v>
      </c>
      <c r="I422" s="185" t="s">
        <v>2055</v>
      </c>
      <c r="J422" s="146"/>
      <c r="K422" s="125"/>
      <c r="L422" s="6"/>
      <c r="M422" s="6"/>
      <c r="N422" s="6"/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403</v>
      </c>
      <c r="B423" s="155"/>
      <c r="C423" s="152" t="s">
        <v>633</v>
      </c>
      <c r="D423" s="33"/>
      <c r="E423" s="33"/>
      <c r="F423" s="33"/>
      <c r="G423" s="33"/>
      <c r="H423" s="77" t="s">
        <v>1507</v>
      </c>
      <c r="I423" s="185"/>
      <c r="J423" s="146"/>
      <c r="K423" s="125"/>
      <c r="L423" s="6">
        <v>81800</v>
      </c>
      <c r="M423" s="6">
        <v>4090</v>
      </c>
      <c r="N423" s="6">
        <v>85890</v>
      </c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404</v>
      </c>
      <c r="B424" s="155"/>
      <c r="C424" s="152" t="s">
        <v>1873</v>
      </c>
      <c r="D424" s="33"/>
      <c r="E424" s="33"/>
      <c r="F424" s="33"/>
      <c r="G424" s="33"/>
      <c r="H424" s="77" t="s">
        <v>1901</v>
      </c>
      <c r="I424" s="185" t="s">
        <v>1061</v>
      </c>
      <c r="J424" s="146" t="s">
        <v>1174</v>
      </c>
      <c r="K424" s="125"/>
      <c r="L424" s="6">
        <v>16870</v>
      </c>
      <c r="M424" s="6">
        <v>843.5</v>
      </c>
      <c r="N424" s="6">
        <v>17713.5</v>
      </c>
      <c r="O424" s="51"/>
      <c r="P424" s="51"/>
      <c r="Q424" s="51"/>
      <c r="R424" s="60"/>
      <c r="S424" s="88"/>
      <c r="T424" s="88"/>
      <c r="U424" s="88"/>
      <c r="V424" s="60"/>
      <c r="W424" s="38"/>
      <c r="X424" s="11"/>
      <c r="Y424" s="17"/>
      <c r="Z424" s="87"/>
      <c r="AA424" s="72"/>
      <c r="AB424" s="72"/>
      <c r="AC424" s="72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405</v>
      </c>
      <c r="B425" s="155"/>
      <c r="C425" s="152" t="s">
        <v>1579</v>
      </c>
      <c r="D425" s="33"/>
      <c r="E425" s="33"/>
      <c r="F425" s="33"/>
      <c r="G425" s="33"/>
      <c r="H425" s="77" t="s">
        <v>1580</v>
      </c>
      <c r="I425" s="185" t="s">
        <v>1039</v>
      </c>
      <c r="J425" s="146" t="s">
        <v>715</v>
      </c>
      <c r="K425" s="125"/>
      <c r="L425" s="6"/>
      <c r="M425" s="6"/>
      <c r="N425" s="6"/>
      <c r="O425" s="51"/>
      <c r="P425" s="51"/>
      <c r="Q425" s="51"/>
      <c r="R425" s="60"/>
      <c r="S425" s="88"/>
      <c r="T425" s="88"/>
      <c r="U425" s="88"/>
      <c r="V425" s="60"/>
      <c r="W425" s="38"/>
      <c r="X425" s="11"/>
      <c r="Y425" s="17"/>
      <c r="Z425" s="87"/>
      <c r="AA425" s="72"/>
      <c r="AB425" s="72"/>
      <c r="AC425" s="72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406</v>
      </c>
      <c r="B426" s="155"/>
      <c r="C426" s="152" t="s">
        <v>1517</v>
      </c>
      <c r="D426" s="33"/>
      <c r="E426" s="33"/>
      <c r="F426" s="33"/>
      <c r="G426" s="33"/>
      <c r="H426" s="77" t="s">
        <v>1518</v>
      </c>
      <c r="I426" s="185" t="s">
        <v>982</v>
      </c>
      <c r="J426" s="146"/>
      <c r="K426" s="125"/>
      <c r="L426" s="6"/>
      <c r="M426" s="6"/>
      <c r="N426" s="6"/>
      <c r="O426" s="51"/>
      <c r="P426" s="51"/>
      <c r="Q426" s="51"/>
      <c r="R426" s="60"/>
      <c r="S426" s="88"/>
      <c r="T426" s="88"/>
      <c r="U426" s="88"/>
      <c r="V426" s="60"/>
      <c r="W426" s="38"/>
      <c r="X426" s="11"/>
      <c r="Y426" s="17"/>
      <c r="Z426" s="87"/>
      <c r="AA426" s="72"/>
      <c r="AB426" s="72"/>
      <c r="AC426" s="72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407</v>
      </c>
      <c r="B427" s="155"/>
      <c r="C427" s="152" t="s">
        <v>2057</v>
      </c>
      <c r="D427" s="33"/>
      <c r="E427" s="33"/>
      <c r="F427" s="33"/>
      <c r="G427" s="33"/>
      <c r="H427" s="77" t="s">
        <v>1865</v>
      </c>
      <c r="I427" s="185" t="s">
        <v>982</v>
      </c>
      <c r="J427" s="146"/>
      <c r="K427" s="125"/>
      <c r="L427" s="6"/>
      <c r="M427" s="6"/>
      <c r="N427" s="6"/>
      <c r="O427" s="51"/>
      <c r="P427" s="51"/>
      <c r="Q427" s="51"/>
      <c r="R427" s="60"/>
      <c r="S427" s="88"/>
      <c r="T427" s="88"/>
      <c r="U427" s="88"/>
      <c r="V427" s="60"/>
      <c r="W427" s="38"/>
      <c r="X427" s="11"/>
      <c r="Y427" s="17"/>
      <c r="Z427" s="87"/>
      <c r="AA427" s="72"/>
      <c r="AB427" s="72"/>
      <c r="AC427" s="72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408</v>
      </c>
      <c r="B428" s="155"/>
      <c r="C428" s="152" t="s">
        <v>2058</v>
      </c>
      <c r="D428" s="33"/>
      <c r="E428" s="33"/>
      <c r="F428" s="33"/>
      <c r="G428" s="33"/>
      <c r="H428" s="77" t="s">
        <v>1523</v>
      </c>
      <c r="I428" s="185" t="s">
        <v>1781</v>
      </c>
      <c r="J428" s="146"/>
      <c r="K428" s="125"/>
      <c r="L428" s="6"/>
      <c r="M428" s="6"/>
      <c r="N428" s="6"/>
      <c r="O428" s="51"/>
      <c r="P428" s="51"/>
      <c r="Q428" s="51"/>
      <c r="R428" s="60"/>
      <c r="S428" s="88"/>
      <c r="T428" s="88"/>
      <c r="U428" s="88"/>
      <c r="V428" s="60"/>
      <c r="W428" s="38"/>
      <c r="X428" s="11"/>
      <c r="Y428" s="17"/>
      <c r="Z428" s="87"/>
      <c r="AA428" s="72"/>
      <c r="AB428" s="72"/>
      <c r="AC428" s="72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409</v>
      </c>
      <c r="B429" s="155"/>
      <c r="C429" s="152" t="s">
        <v>671</v>
      </c>
      <c r="D429" s="33"/>
      <c r="E429" s="33"/>
      <c r="F429" s="33"/>
      <c r="G429" s="33"/>
      <c r="H429" s="77" t="s">
        <v>863</v>
      </c>
      <c r="I429" s="185"/>
      <c r="J429" s="146"/>
      <c r="K429" s="125"/>
      <c r="L429" s="6"/>
      <c r="M429" s="6"/>
      <c r="N429" s="6"/>
      <c r="O429" s="51"/>
      <c r="P429" s="51"/>
      <c r="Q429" s="51"/>
      <c r="R429" s="60"/>
      <c r="S429" s="88"/>
      <c r="T429" s="88"/>
      <c r="U429" s="88"/>
      <c r="V429" s="60"/>
      <c r="W429" s="38"/>
      <c r="X429" s="11"/>
      <c r="Y429" s="17"/>
      <c r="Z429" s="87"/>
      <c r="AA429" s="72"/>
      <c r="AB429" s="72"/>
      <c r="AC429" s="72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410</v>
      </c>
      <c r="B430" s="155"/>
      <c r="C430" s="152" t="s">
        <v>960</v>
      </c>
      <c r="D430" s="33"/>
      <c r="E430" s="33"/>
      <c r="F430" s="33"/>
      <c r="G430" s="33"/>
      <c r="H430" s="77" t="s">
        <v>1267</v>
      </c>
      <c r="I430" s="185" t="s">
        <v>982</v>
      </c>
      <c r="J430" s="146"/>
      <c r="K430" s="35"/>
      <c r="L430" s="17"/>
      <c r="M430" s="17"/>
      <c r="N430" s="17"/>
      <c r="O430" s="51"/>
      <c r="P430" s="51"/>
      <c r="Q430" s="51"/>
      <c r="R430" s="60"/>
      <c r="S430" s="52"/>
      <c r="T430" s="52"/>
      <c r="U430" s="52"/>
      <c r="V430" s="60"/>
      <c r="W430" s="38"/>
      <c r="X430" s="11"/>
      <c r="Y430" s="17"/>
      <c r="Z430" s="17"/>
      <c r="AA430" s="71"/>
      <c r="AB430" s="71"/>
      <c r="AC430" s="71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411</v>
      </c>
      <c r="B431" s="155"/>
      <c r="C431" s="152" t="s">
        <v>1350</v>
      </c>
      <c r="D431" s="33"/>
      <c r="E431" s="33"/>
      <c r="F431" s="33"/>
      <c r="G431" s="33"/>
      <c r="H431" s="77" t="s">
        <v>1351</v>
      </c>
      <c r="I431" s="185"/>
      <c r="J431" s="146"/>
      <c r="K431" s="35"/>
      <c r="L431" s="17"/>
      <c r="M431" s="17"/>
      <c r="N431" s="17"/>
      <c r="O431" s="51"/>
      <c r="P431" s="51"/>
      <c r="Q431" s="51"/>
      <c r="R431" s="60"/>
      <c r="S431" s="52"/>
      <c r="T431" s="52"/>
      <c r="U431" s="52"/>
      <c r="V431" s="60"/>
      <c r="W431" s="38"/>
      <c r="X431" s="11"/>
      <c r="Y431" s="17"/>
      <c r="Z431" s="17"/>
      <c r="AA431" s="71"/>
      <c r="AB431" s="71"/>
      <c r="AC431" s="71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412</v>
      </c>
      <c r="B432" s="155"/>
      <c r="C432" s="152" t="s">
        <v>485</v>
      </c>
      <c r="D432" s="33"/>
      <c r="E432" s="33"/>
      <c r="F432" s="33"/>
      <c r="G432" s="33"/>
      <c r="H432" s="77" t="s">
        <v>1151</v>
      </c>
      <c r="I432" s="185" t="s">
        <v>1068</v>
      </c>
      <c r="J432" s="145" t="s">
        <v>1157</v>
      </c>
      <c r="K432" s="125"/>
      <c r="L432" s="6">
        <v>22860</v>
      </c>
      <c r="M432" s="6">
        <v>1143</v>
      </c>
      <c r="N432" s="6">
        <v>24003</v>
      </c>
      <c r="O432" s="51"/>
      <c r="P432" s="51"/>
      <c r="Q432" s="51"/>
      <c r="R432" s="60"/>
      <c r="S432" s="51"/>
      <c r="T432" s="51"/>
      <c r="U432" s="51"/>
      <c r="V432" s="60"/>
      <c r="W432" s="38"/>
      <c r="X432" s="11"/>
      <c r="Y432" s="17"/>
      <c r="Z432" s="17"/>
      <c r="AA432" s="70"/>
      <c r="AB432" s="70"/>
      <c r="AC432" s="70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413</v>
      </c>
      <c r="B433" s="155"/>
      <c r="C433" s="152" t="s">
        <v>1595</v>
      </c>
      <c r="D433" s="33"/>
      <c r="E433" s="33"/>
      <c r="F433" s="33"/>
      <c r="G433" s="33"/>
      <c r="H433" s="77" t="s">
        <v>1149</v>
      </c>
      <c r="I433" s="185" t="s">
        <v>977</v>
      </c>
      <c r="J433" s="146"/>
      <c r="K433" s="125"/>
      <c r="L433" s="6"/>
      <c r="M433" s="6"/>
      <c r="N433" s="6"/>
      <c r="O433" s="51"/>
      <c r="P433" s="51"/>
      <c r="Q433" s="51"/>
      <c r="R433" s="60"/>
      <c r="S433" s="51"/>
      <c r="T433" s="51"/>
      <c r="U433" s="51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414</v>
      </c>
      <c r="B434" s="155"/>
      <c r="C434" s="152" t="s">
        <v>1846</v>
      </c>
      <c r="D434" s="33"/>
      <c r="E434" s="33"/>
      <c r="F434" s="33"/>
      <c r="G434" s="33"/>
      <c r="H434" s="77" t="s">
        <v>896</v>
      </c>
      <c r="I434" s="185"/>
      <c r="J434" s="146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415</v>
      </c>
      <c r="B435" s="155"/>
      <c r="C435" s="152" t="s">
        <v>840</v>
      </c>
      <c r="D435" s="33"/>
      <c r="E435" s="33"/>
      <c r="F435" s="33"/>
      <c r="G435" s="33"/>
      <c r="H435" s="77" t="s">
        <v>1150</v>
      </c>
      <c r="I435" s="185"/>
      <c r="J435" s="146"/>
      <c r="K435" s="125"/>
      <c r="L435" s="6"/>
      <c r="M435" s="6"/>
      <c r="N435" s="6"/>
      <c r="O435" s="51"/>
      <c r="P435" s="51"/>
      <c r="Q435" s="51"/>
      <c r="R435" s="60"/>
      <c r="S435" s="51"/>
      <c r="T435" s="51"/>
      <c r="U435" s="51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416</v>
      </c>
      <c r="B436" s="155"/>
      <c r="C436" s="152" t="s">
        <v>1353</v>
      </c>
      <c r="D436" s="33"/>
      <c r="E436" s="33"/>
      <c r="F436" s="33"/>
      <c r="G436" s="33"/>
      <c r="H436" s="77" t="s">
        <v>1184</v>
      </c>
      <c r="I436" s="185" t="s">
        <v>982</v>
      </c>
      <c r="J436" s="146"/>
      <c r="K436" s="125"/>
      <c r="L436" s="6"/>
      <c r="M436" s="6"/>
      <c r="N436" s="6"/>
      <c r="O436" s="51"/>
      <c r="P436" s="51"/>
      <c r="Q436" s="51"/>
      <c r="R436" s="60"/>
      <c r="S436" s="51"/>
      <c r="T436" s="51"/>
      <c r="U436" s="51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417</v>
      </c>
      <c r="B437" s="155"/>
      <c r="C437" s="152" t="s">
        <v>822</v>
      </c>
      <c r="D437" s="33"/>
      <c r="E437" s="33"/>
      <c r="F437" s="33"/>
      <c r="G437" s="33"/>
      <c r="H437" s="77" t="s">
        <v>1036</v>
      </c>
      <c r="I437" s="185" t="s">
        <v>977</v>
      </c>
      <c r="J437" s="146"/>
      <c r="K437" s="125"/>
      <c r="L437" s="6"/>
      <c r="M437" s="6"/>
      <c r="N437" s="6"/>
      <c r="O437" s="51"/>
      <c r="P437" s="51"/>
      <c r="Q437" s="51"/>
      <c r="R437" s="60"/>
      <c r="S437" s="51"/>
      <c r="T437" s="51"/>
      <c r="U437" s="51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418</v>
      </c>
      <c r="B438" s="155"/>
      <c r="C438" s="152" t="s">
        <v>672</v>
      </c>
      <c r="D438" s="33"/>
      <c r="E438" s="33"/>
      <c r="F438" s="33"/>
      <c r="G438" s="33"/>
      <c r="H438" s="112" t="s">
        <v>897</v>
      </c>
      <c r="I438" s="186"/>
      <c r="J438" s="146" t="s">
        <v>713</v>
      </c>
      <c r="K438" s="127">
        <v>338152</v>
      </c>
      <c r="L438" s="6"/>
      <c r="M438" s="6"/>
      <c r="N438" s="6"/>
      <c r="O438" s="51"/>
      <c r="P438" s="51"/>
      <c r="Q438" s="51"/>
      <c r="R438" s="60"/>
      <c r="S438" s="51"/>
      <c r="T438" s="51"/>
      <c r="U438" s="51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419</v>
      </c>
      <c r="B439" s="155"/>
      <c r="C439" s="152" t="s">
        <v>1256</v>
      </c>
      <c r="D439" s="33"/>
      <c r="E439" s="33"/>
      <c r="F439" s="33"/>
      <c r="G439" s="33"/>
      <c r="H439" s="77" t="s">
        <v>968</v>
      </c>
      <c r="I439" s="185" t="s">
        <v>982</v>
      </c>
      <c r="J439" s="146"/>
      <c r="K439" s="127"/>
      <c r="L439" s="6"/>
      <c r="M439" s="6"/>
      <c r="N439" s="6"/>
      <c r="O439" s="51"/>
      <c r="P439" s="51"/>
      <c r="Q439" s="51"/>
      <c r="R439" s="60"/>
      <c r="S439" s="51"/>
      <c r="T439" s="51"/>
      <c r="U439" s="51"/>
      <c r="V439" s="60"/>
      <c r="W439" s="38"/>
      <c r="X439" s="11"/>
      <c r="Y439" s="17"/>
      <c r="Z439" s="17"/>
      <c r="AA439" s="70"/>
      <c r="AB439" s="70"/>
      <c r="AC439" s="70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420</v>
      </c>
      <c r="B440" s="155"/>
      <c r="C440" s="152" t="s">
        <v>1307</v>
      </c>
      <c r="D440" s="33"/>
      <c r="E440" s="33"/>
      <c r="F440" s="33"/>
      <c r="G440" s="33"/>
      <c r="H440" s="77" t="s">
        <v>1308</v>
      </c>
      <c r="I440" s="185" t="s">
        <v>982</v>
      </c>
      <c r="J440" s="146"/>
      <c r="K440" s="125"/>
      <c r="L440" s="6"/>
      <c r="M440" s="6"/>
      <c r="N440" s="6"/>
      <c r="O440" s="51"/>
      <c r="P440" s="51"/>
      <c r="Q440" s="51"/>
      <c r="R440" s="60"/>
      <c r="S440" s="51"/>
      <c r="T440" s="51"/>
      <c r="U440" s="51"/>
      <c r="V440" s="60"/>
      <c r="W440" s="38"/>
      <c r="X440" s="11"/>
      <c r="Y440" s="17"/>
      <c r="Z440" s="17"/>
      <c r="AA440" s="70"/>
      <c r="AB440" s="70"/>
      <c r="AC440" s="70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421</v>
      </c>
      <c r="B441" s="155"/>
      <c r="C441" s="152" t="s">
        <v>1875</v>
      </c>
      <c r="D441" s="33"/>
      <c r="E441" s="33"/>
      <c r="F441" s="33"/>
      <c r="G441" s="33"/>
      <c r="H441" s="77" t="s">
        <v>1876</v>
      </c>
      <c r="I441" s="185" t="s">
        <v>982</v>
      </c>
      <c r="J441" s="146"/>
      <c r="K441" s="125"/>
      <c r="L441" s="6"/>
      <c r="M441" s="6"/>
      <c r="N441" s="6"/>
      <c r="O441" s="51"/>
      <c r="P441" s="51"/>
      <c r="Q441" s="51"/>
      <c r="R441" s="60"/>
      <c r="S441" s="51"/>
      <c r="T441" s="51"/>
      <c r="U441" s="51"/>
      <c r="V441" s="60"/>
      <c r="W441" s="38"/>
      <c r="X441" s="11"/>
      <c r="Y441" s="17"/>
      <c r="Z441" s="17"/>
      <c r="AA441" s="70"/>
      <c r="AB441" s="70"/>
      <c r="AC441" s="70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422</v>
      </c>
      <c r="B442" s="155"/>
      <c r="C442" s="152" t="s">
        <v>650</v>
      </c>
      <c r="D442" s="33"/>
      <c r="E442" s="33"/>
      <c r="F442" s="33"/>
      <c r="G442" s="33"/>
      <c r="H442" s="77" t="s">
        <v>642</v>
      </c>
      <c r="I442" s="185"/>
      <c r="J442" s="146" t="s">
        <v>700</v>
      </c>
      <c r="K442" s="125"/>
      <c r="L442" s="6"/>
      <c r="M442" s="6"/>
      <c r="N442" s="6"/>
      <c r="O442" s="51"/>
      <c r="P442" s="51"/>
      <c r="Q442" s="51"/>
      <c r="R442" s="60"/>
      <c r="S442" s="88"/>
      <c r="T442" s="88"/>
      <c r="U442" s="88"/>
      <c r="V442" s="60"/>
      <c r="W442" s="38"/>
      <c r="X442" s="11"/>
      <c r="Y442" s="17"/>
      <c r="Z442" s="87"/>
      <c r="AA442" s="72"/>
      <c r="AB442" s="72"/>
      <c r="AC442" s="72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423</v>
      </c>
      <c r="B443" s="155"/>
      <c r="C443" s="152" t="s">
        <v>659</v>
      </c>
      <c r="D443" s="33"/>
      <c r="E443" s="33"/>
      <c r="F443" s="33"/>
      <c r="G443" s="33"/>
      <c r="H443" s="77" t="s">
        <v>898</v>
      </c>
      <c r="I443" s="185"/>
      <c r="J443" s="146"/>
      <c r="K443" s="125"/>
      <c r="L443" s="6"/>
      <c r="M443" s="6"/>
      <c r="N443" s="6"/>
      <c r="O443" s="51"/>
      <c r="P443" s="51"/>
      <c r="Q443" s="51"/>
      <c r="R443" s="60"/>
      <c r="S443" s="51"/>
      <c r="T443" s="51"/>
      <c r="U443" s="51"/>
      <c r="V443" s="60"/>
      <c r="W443" s="38"/>
      <c r="X443" s="11"/>
      <c r="Y443" s="17"/>
      <c r="Z443" s="17"/>
      <c r="AA443" s="70"/>
      <c r="AB443" s="70"/>
      <c r="AC443" s="70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424</v>
      </c>
      <c r="B444" s="155"/>
      <c r="C444" s="152" t="s">
        <v>1614</v>
      </c>
      <c r="D444" s="33"/>
      <c r="E444" s="33"/>
      <c r="F444" s="33"/>
      <c r="G444" s="33"/>
      <c r="H444" s="77" t="s">
        <v>1633</v>
      </c>
      <c r="I444" s="185" t="s">
        <v>1615</v>
      </c>
      <c r="J444" s="148"/>
      <c r="K444" s="125"/>
      <c r="L444" s="6"/>
      <c r="M444" s="6"/>
      <c r="N444" s="6"/>
      <c r="O444" s="51"/>
      <c r="P444" s="51"/>
      <c r="Q444" s="51"/>
      <c r="R444" s="60"/>
      <c r="S444" s="51"/>
      <c r="T444" s="51"/>
      <c r="U444" s="51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11"/>
      <c r="AM444" s="6"/>
      <c r="AN444" s="6"/>
      <c r="AO444" s="6"/>
      <c r="AP444" s="43"/>
    </row>
    <row r="445" spans="1:42">
      <c r="A445" s="37">
        <v>425</v>
      </c>
      <c r="B445" s="155"/>
      <c r="C445" s="168" t="s">
        <v>2088</v>
      </c>
      <c r="D445" s="33"/>
      <c r="E445" s="33"/>
      <c r="F445" s="33"/>
      <c r="G445" s="33"/>
      <c r="H445" s="77" t="s">
        <v>2089</v>
      </c>
      <c r="I445" s="185" t="s">
        <v>982</v>
      </c>
      <c r="J445" s="148"/>
      <c r="K445" s="35"/>
      <c r="L445" s="17"/>
      <c r="M445" s="17"/>
      <c r="N445" s="11"/>
      <c r="O445" s="51"/>
      <c r="P445" s="51"/>
      <c r="Q445" s="51"/>
      <c r="R445" s="60"/>
      <c r="S445" s="51"/>
      <c r="T445" s="53"/>
      <c r="U445" s="53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11"/>
      <c r="AM445" s="6"/>
      <c r="AN445" s="6"/>
      <c r="AO445" s="6"/>
      <c r="AP445" s="43"/>
    </row>
    <row r="446" spans="1:42">
      <c r="A446" s="37">
        <v>426</v>
      </c>
      <c r="B446" s="155"/>
      <c r="C446" s="152" t="s">
        <v>1331</v>
      </c>
      <c r="D446" s="33"/>
      <c r="E446" s="33"/>
      <c r="F446" s="33"/>
      <c r="G446" s="33"/>
      <c r="H446" s="77" t="s">
        <v>1332</v>
      </c>
      <c r="I446" s="185" t="s">
        <v>982</v>
      </c>
      <c r="J446" s="148"/>
      <c r="K446" s="35"/>
      <c r="L446" s="17"/>
      <c r="M446" s="17"/>
      <c r="N446" s="11"/>
      <c r="O446" s="51"/>
      <c r="P446" s="51"/>
      <c r="Q446" s="51"/>
      <c r="R446" s="60"/>
      <c r="S446" s="51"/>
      <c r="T446" s="53"/>
      <c r="U446" s="53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427</v>
      </c>
      <c r="B447" s="155"/>
      <c r="C447" s="152" t="s">
        <v>2050</v>
      </c>
      <c r="D447" s="33"/>
      <c r="E447" s="33"/>
      <c r="F447" s="33"/>
      <c r="G447" s="33"/>
      <c r="H447" s="77" t="s">
        <v>1897</v>
      </c>
      <c r="I447" s="185" t="s">
        <v>984</v>
      </c>
      <c r="J447" s="148"/>
      <c r="K447" s="35"/>
      <c r="L447" s="17"/>
      <c r="M447" s="17"/>
      <c r="N447" s="11"/>
      <c r="O447" s="51"/>
      <c r="P447" s="51"/>
      <c r="Q447" s="51"/>
      <c r="R447" s="60"/>
      <c r="S447" s="51"/>
      <c r="T447" s="53"/>
      <c r="U447" s="53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>
      <c r="A448" s="37">
        <v>428</v>
      </c>
      <c r="B448" s="155"/>
      <c r="C448" s="152" t="s">
        <v>1563</v>
      </c>
      <c r="D448" s="33"/>
      <c r="E448" s="33"/>
      <c r="F448" s="33"/>
      <c r="G448" s="33"/>
      <c r="H448" s="77" t="s">
        <v>1412</v>
      </c>
      <c r="I448" s="185" t="s">
        <v>982</v>
      </c>
      <c r="J448" s="145"/>
      <c r="K448" s="125"/>
      <c r="L448" s="6"/>
      <c r="M448" s="6"/>
      <c r="N448" s="6"/>
      <c r="O448" s="51"/>
      <c r="P448" s="51"/>
      <c r="Q448" s="51"/>
      <c r="R448" s="60"/>
      <c r="S448" s="51"/>
      <c r="T448" s="51"/>
      <c r="U448" s="51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>
      <c r="A449" s="37">
        <v>429</v>
      </c>
      <c r="B449" s="155"/>
      <c r="C449" s="169" t="s">
        <v>1211</v>
      </c>
      <c r="D449" s="33"/>
      <c r="E449" s="33"/>
      <c r="F449" s="33"/>
      <c r="G449" s="33"/>
      <c r="H449" s="77" t="s">
        <v>1180</v>
      </c>
      <c r="I449" s="185" t="s">
        <v>1061</v>
      </c>
      <c r="J449" s="146" t="s">
        <v>752</v>
      </c>
      <c r="K449" s="125"/>
      <c r="L449" s="6"/>
      <c r="M449" s="6"/>
      <c r="N449" s="6"/>
      <c r="O449" s="51"/>
      <c r="P449" s="51"/>
      <c r="Q449" s="51"/>
      <c r="R449" s="60"/>
      <c r="S449" s="52"/>
      <c r="T449" s="52"/>
      <c r="U449" s="52"/>
      <c r="V449" s="60"/>
      <c r="W449" s="38"/>
      <c r="X449" s="11"/>
      <c r="Y449" s="17"/>
      <c r="Z449" s="17"/>
      <c r="AA449" s="72"/>
      <c r="AB449" s="72"/>
      <c r="AC449" s="72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>
      <c r="A450" s="37">
        <v>430</v>
      </c>
      <c r="B450" s="155"/>
      <c r="C450" s="168" t="s">
        <v>1212</v>
      </c>
      <c r="D450" s="33"/>
      <c r="E450" s="33"/>
      <c r="F450" s="33"/>
      <c r="G450" s="33"/>
      <c r="H450" s="77" t="s">
        <v>973</v>
      </c>
      <c r="I450" s="185" t="s">
        <v>999</v>
      </c>
      <c r="J450" s="146" t="s">
        <v>752</v>
      </c>
      <c r="K450" s="125"/>
      <c r="L450" s="6"/>
      <c r="M450" s="6"/>
      <c r="N450" s="6"/>
      <c r="O450" s="51"/>
      <c r="P450" s="51"/>
      <c r="Q450" s="51"/>
      <c r="R450" s="60"/>
      <c r="S450" s="52"/>
      <c r="T450" s="52"/>
      <c r="U450" s="52"/>
      <c r="V450" s="60"/>
      <c r="W450" s="38"/>
      <c r="X450" s="11"/>
      <c r="Y450" s="17"/>
      <c r="Z450" s="17"/>
      <c r="AA450" s="72"/>
      <c r="AB450" s="72"/>
      <c r="AC450" s="72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431</v>
      </c>
      <c r="B451" s="155"/>
      <c r="C451" s="168" t="s">
        <v>1360</v>
      </c>
      <c r="D451" s="33"/>
      <c r="E451" s="33"/>
      <c r="F451" s="33"/>
      <c r="G451" s="33"/>
      <c r="H451" s="77" t="s">
        <v>1361</v>
      </c>
      <c r="I451" s="185" t="s">
        <v>1362</v>
      </c>
      <c r="J451" s="146" t="s">
        <v>752</v>
      </c>
      <c r="K451" s="125"/>
      <c r="L451" s="6"/>
      <c r="M451" s="6"/>
      <c r="N451" s="6"/>
      <c r="O451" s="51"/>
      <c r="P451" s="51"/>
      <c r="Q451" s="51"/>
      <c r="R451" s="60"/>
      <c r="S451" s="52"/>
      <c r="T451" s="52"/>
      <c r="U451" s="52"/>
      <c r="V451" s="60"/>
      <c r="W451" s="38"/>
      <c r="X451" s="11"/>
      <c r="Y451" s="17"/>
      <c r="Z451" s="17"/>
      <c r="AA451" s="72"/>
      <c r="AB451" s="72"/>
      <c r="AC451" s="72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432</v>
      </c>
      <c r="B452" s="155"/>
      <c r="C452" s="168" t="s">
        <v>794</v>
      </c>
      <c r="D452" s="33"/>
      <c r="E452" s="33"/>
      <c r="F452" s="33"/>
      <c r="G452" s="33"/>
      <c r="H452" s="77" t="s">
        <v>899</v>
      </c>
      <c r="I452" s="185"/>
      <c r="J452" s="146"/>
      <c r="K452" s="125"/>
      <c r="L452" s="6"/>
      <c r="M452" s="6"/>
      <c r="N452" s="6"/>
      <c r="O452" s="51"/>
      <c r="P452" s="51"/>
      <c r="Q452" s="51"/>
      <c r="R452" s="60"/>
      <c r="S452" s="52"/>
      <c r="T452" s="52"/>
      <c r="U452" s="52"/>
      <c r="V452" s="60"/>
      <c r="W452" s="38"/>
      <c r="X452" s="11"/>
      <c r="Y452" s="17"/>
      <c r="Z452" s="17"/>
      <c r="AA452" s="72"/>
      <c r="AB452" s="72"/>
      <c r="AC452" s="72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>
      <c r="A453" s="37">
        <v>433</v>
      </c>
      <c r="B453" s="155"/>
      <c r="C453" s="168" t="s">
        <v>1319</v>
      </c>
      <c r="D453" s="33"/>
      <c r="E453" s="33"/>
      <c r="F453" s="33"/>
      <c r="G453" s="33"/>
      <c r="H453" s="77" t="s">
        <v>1320</v>
      </c>
      <c r="I453" s="185" t="s">
        <v>975</v>
      </c>
      <c r="J453" s="146"/>
      <c r="K453" s="125"/>
      <c r="L453" s="6"/>
      <c r="M453" s="6"/>
      <c r="N453" s="6"/>
      <c r="O453" s="51"/>
      <c r="P453" s="51"/>
      <c r="Q453" s="51"/>
      <c r="R453" s="60"/>
      <c r="S453" s="52"/>
      <c r="T453" s="52"/>
      <c r="U453" s="52"/>
      <c r="V453" s="60"/>
      <c r="W453" s="38"/>
      <c r="X453" s="11"/>
      <c r="Y453" s="17"/>
      <c r="Z453" s="17"/>
      <c r="AA453" s="72"/>
      <c r="AB453" s="72"/>
      <c r="AC453" s="72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434</v>
      </c>
      <c r="B454" s="155"/>
      <c r="C454" s="168" t="s">
        <v>1254</v>
      </c>
      <c r="D454" s="33"/>
      <c r="E454" s="33"/>
      <c r="F454" s="33"/>
      <c r="G454" s="33"/>
      <c r="H454" s="77" t="s">
        <v>1255</v>
      </c>
      <c r="I454" s="185" t="s">
        <v>975</v>
      </c>
      <c r="J454" s="146"/>
      <c r="K454" s="35"/>
      <c r="L454" s="17"/>
      <c r="M454" s="17"/>
      <c r="N454" s="17"/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31"/>
      <c r="AM454" s="6"/>
      <c r="AN454" s="6"/>
      <c r="AO454" s="6"/>
      <c r="AP454" s="43"/>
    </row>
    <row r="455" spans="1:42">
      <c r="A455" s="37"/>
      <c r="B455" s="155"/>
      <c r="C455" s="168" t="s">
        <v>1958</v>
      </c>
      <c r="D455" s="33"/>
      <c r="E455" s="33"/>
      <c r="F455" s="33"/>
      <c r="G455" s="33"/>
      <c r="H455" s="77" t="s">
        <v>1959</v>
      </c>
      <c r="I455" s="185" t="s">
        <v>1808</v>
      </c>
      <c r="J455" s="146"/>
      <c r="K455" s="35"/>
      <c r="L455" s="17"/>
      <c r="M455" s="17"/>
      <c r="N455" s="17"/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31"/>
      <c r="AM455" s="6"/>
      <c r="AN455" s="6"/>
      <c r="AO455" s="6"/>
      <c r="AP455" s="43"/>
    </row>
    <row r="456" spans="1:42">
      <c r="A456" s="37">
        <v>435</v>
      </c>
      <c r="B456" s="155"/>
      <c r="C456" s="152" t="s">
        <v>1593</v>
      </c>
      <c r="D456" s="33"/>
      <c r="E456" s="33"/>
      <c r="F456" s="33"/>
      <c r="G456" s="33"/>
      <c r="H456" s="77" t="s">
        <v>1594</v>
      </c>
      <c r="I456" s="185" t="s">
        <v>1810</v>
      </c>
      <c r="J456" s="145"/>
      <c r="K456" s="125"/>
      <c r="L456" s="6"/>
      <c r="M456" s="6"/>
      <c r="N456" s="6"/>
      <c r="O456" s="51"/>
      <c r="P456" s="51"/>
      <c r="Q456" s="51"/>
      <c r="R456" s="60"/>
      <c r="S456" s="51"/>
      <c r="T456" s="51"/>
      <c r="U456" s="51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436</v>
      </c>
      <c r="B457" s="155"/>
      <c r="C457" s="152" t="s">
        <v>2248</v>
      </c>
      <c r="D457" s="33"/>
      <c r="E457" s="33"/>
      <c r="F457" s="33"/>
      <c r="G457" s="33"/>
      <c r="H457" s="77" t="s">
        <v>2038</v>
      </c>
      <c r="I457" s="185" t="s">
        <v>1810</v>
      </c>
      <c r="J457" s="145"/>
      <c r="K457" s="125"/>
      <c r="L457" s="6"/>
      <c r="M457" s="6"/>
      <c r="N457" s="6"/>
      <c r="O457" s="51"/>
      <c r="P457" s="51"/>
      <c r="Q457" s="51"/>
      <c r="R457" s="60"/>
      <c r="S457" s="51"/>
      <c r="T457" s="51"/>
      <c r="U457" s="51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 ht="27">
      <c r="A458" s="37">
        <v>437</v>
      </c>
      <c r="B458" s="155"/>
      <c r="C458" s="152" t="s">
        <v>1490</v>
      </c>
      <c r="D458" s="33"/>
      <c r="E458" s="33"/>
      <c r="F458" s="33"/>
      <c r="G458" s="33"/>
      <c r="H458" s="77" t="s">
        <v>1316</v>
      </c>
      <c r="I458" s="185" t="s">
        <v>1365</v>
      </c>
      <c r="J458" s="145" t="s">
        <v>927</v>
      </c>
      <c r="K458" s="125"/>
      <c r="L458" s="6"/>
      <c r="M458" s="6"/>
      <c r="N458" s="6"/>
      <c r="O458" s="51"/>
      <c r="P458" s="51"/>
      <c r="Q458" s="51"/>
      <c r="R458" s="60"/>
      <c r="S458" s="51"/>
      <c r="T458" s="51"/>
      <c r="U458" s="51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 ht="27">
      <c r="A459" s="37"/>
      <c r="B459" s="155"/>
      <c r="C459" s="152" t="s">
        <v>1993</v>
      </c>
      <c r="D459" s="33"/>
      <c r="E459" s="33"/>
      <c r="F459" s="33"/>
      <c r="G459" s="33"/>
      <c r="H459" s="77" t="s">
        <v>1994</v>
      </c>
      <c r="I459" s="185" t="s">
        <v>1365</v>
      </c>
      <c r="J459" s="145"/>
      <c r="K459" s="125"/>
      <c r="L459" s="6"/>
      <c r="M459" s="6"/>
      <c r="N459" s="6"/>
      <c r="O459" s="51"/>
      <c r="P459" s="51"/>
      <c r="Q459" s="51"/>
      <c r="R459" s="60"/>
      <c r="S459" s="51"/>
      <c r="T459" s="51"/>
      <c r="U459" s="51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438</v>
      </c>
      <c r="B460" s="155"/>
      <c r="C460" s="152" t="s">
        <v>1769</v>
      </c>
      <c r="D460" s="33"/>
      <c r="E460" s="33"/>
      <c r="F460" s="33"/>
      <c r="G460" s="33"/>
      <c r="H460" s="77" t="s">
        <v>1803</v>
      </c>
      <c r="I460" s="185"/>
      <c r="J460" s="148" t="s">
        <v>726</v>
      </c>
      <c r="K460" s="35"/>
      <c r="L460" s="17"/>
      <c r="M460" s="17"/>
      <c r="N460" s="11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439</v>
      </c>
      <c r="B461" s="155"/>
      <c r="C461" s="152" t="s">
        <v>1682</v>
      </c>
      <c r="D461" s="33"/>
      <c r="E461" s="33"/>
      <c r="F461" s="33"/>
      <c r="G461" s="33"/>
      <c r="H461" s="77" t="s">
        <v>1683</v>
      </c>
      <c r="I461" s="185" t="s">
        <v>1684</v>
      </c>
      <c r="J461" s="146"/>
      <c r="K461" s="125"/>
      <c r="L461" s="6">
        <v>51240</v>
      </c>
      <c r="M461" s="6">
        <v>2562</v>
      </c>
      <c r="N461" s="6">
        <v>53802</v>
      </c>
      <c r="O461" s="6"/>
      <c r="P461" s="6"/>
      <c r="Q461" s="6"/>
      <c r="R461" s="35"/>
      <c r="S461" s="6"/>
      <c r="T461" s="6"/>
      <c r="U461" s="6"/>
      <c r="V461" s="35"/>
      <c r="W461" s="38"/>
      <c r="X461" s="11"/>
      <c r="Y461" s="17"/>
      <c r="Z461" s="17"/>
      <c r="AA461" s="6"/>
      <c r="AB461" s="6"/>
      <c r="AC461" s="6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/>
      <c r="B462" s="155"/>
      <c r="C462" s="152" t="s">
        <v>2086</v>
      </c>
      <c r="D462" s="33"/>
      <c r="E462" s="33"/>
      <c r="F462" s="33"/>
      <c r="G462" s="33"/>
      <c r="H462" s="77" t="s">
        <v>2087</v>
      </c>
      <c r="I462" s="185" t="s">
        <v>982</v>
      </c>
      <c r="J462" s="146"/>
      <c r="K462" s="125"/>
      <c r="L462" s="6"/>
      <c r="M462" s="6"/>
      <c r="N462" s="6"/>
      <c r="O462" s="6"/>
      <c r="P462" s="6"/>
      <c r="Q462" s="6"/>
      <c r="R462" s="35"/>
      <c r="S462" s="6"/>
      <c r="T462" s="6"/>
      <c r="U462" s="6"/>
      <c r="V462" s="35"/>
      <c r="W462" s="38"/>
      <c r="X462" s="11"/>
      <c r="Y462" s="17"/>
      <c r="Z462" s="17"/>
      <c r="AA462" s="6"/>
      <c r="AB462" s="6"/>
      <c r="AC462" s="6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440</v>
      </c>
      <c r="B463" s="155"/>
      <c r="C463" s="152" t="s">
        <v>2186</v>
      </c>
      <c r="D463" s="33"/>
      <c r="E463" s="33"/>
      <c r="F463" s="33"/>
      <c r="G463" s="33"/>
      <c r="H463" s="77" t="s">
        <v>2187</v>
      </c>
      <c r="I463" s="185" t="s">
        <v>982</v>
      </c>
      <c r="J463" s="146"/>
      <c r="K463" s="125"/>
      <c r="L463" s="6"/>
      <c r="M463" s="6"/>
      <c r="N463" s="6"/>
      <c r="O463" s="6"/>
      <c r="P463" s="6"/>
      <c r="Q463" s="6"/>
      <c r="R463" s="35"/>
      <c r="S463" s="6"/>
      <c r="T463" s="6"/>
      <c r="U463" s="6"/>
      <c r="V463" s="35"/>
      <c r="W463" s="38"/>
      <c r="X463" s="11"/>
      <c r="Y463" s="17"/>
      <c r="Z463" s="17"/>
      <c r="AA463" s="6"/>
      <c r="AB463" s="6"/>
      <c r="AC463" s="6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 ht="27">
      <c r="A464" s="37">
        <v>441</v>
      </c>
      <c r="B464" s="155"/>
      <c r="C464" s="152" t="s">
        <v>1776</v>
      </c>
      <c r="D464" s="33"/>
      <c r="E464" s="33"/>
      <c r="F464" s="33"/>
      <c r="G464" s="33"/>
      <c r="H464" s="77" t="s">
        <v>1777</v>
      </c>
      <c r="I464" s="185" t="s">
        <v>1076</v>
      </c>
      <c r="J464" s="146"/>
      <c r="K464" s="125"/>
      <c r="L464" s="6"/>
      <c r="M464" s="6"/>
      <c r="N464" s="6"/>
      <c r="O464" s="6"/>
      <c r="P464" s="6"/>
      <c r="Q464" s="6"/>
      <c r="R464" s="35"/>
      <c r="S464" s="6"/>
      <c r="T464" s="6"/>
      <c r="U464" s="6"/>
      <c r="V464" s="35"/>
      <c r="W464" s="38"/>
      <c r="X464" s="11"/>
      <c r="Y464" s="17"/>
      <c r="Z464" s="17"/>
      <c r="AA464" s="6"/>
      <c r="AB464" s="6"/>
      <c r="AC464" s="6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442</v>
      </c>
      <c r="B465" s="155"/>
      <c r="C465" s="152" t="s">
        <v>508</v>
      </c>
      <c r="D465" s="33"/>
      <c r="E465" s="33"/>
      <c r="F465" s="33"/>
      <c r="G465" s="33"/>
      <c r="H465" s="77" t="s">
        <v>1444</v>
      </c>
      <c r="I465" s="185" t="s">
        <v>982</v>
      </c>
      <c r="J465" s="146"/>
      <c r="K465" s="35"/>
      <c r="L465" s="17">
        <v>2200</v>
      </c>
      <c r="M465" s="17">
        <v>110</v>
      </c>
      <c r="N465" s="17">
        <v>2310</v>
      </c>
      <c r="O465" s="51"/>
      <c r="P465" s="51"/>
      <c r="Q465" s="51"/>
      <c r="R465" s="60"/>
      <c r="S465" s="51"/>
      <c r="T465" s="53"/>
      <c r="U465" s="53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443</v>
      </c>
      <c r="B466" s="155"/>
      <c r="C466" s="152" t="s">
        <v>936</v>
      </c>
      <c r="D466" s="33"/>
      <c r="E466" s="33"/>
      <c r="F466" s="33"/>
      <c r="G466" s="33"/>
      <c r="H466" s="77" t="s">
        <v>1027</v>
      </c>
      <c r="I466" s="185" t="s">
        <v>1810</v>
      </c>
      <c r="J466" s="146"/>
      <c r="K466" s="35"/>
      <c r="L466" s="17"/>
      <c r="M466" s="17"/>
      <c r="N466" s="17"/>
      <c r="O466" s="51"/>
      <c r="P466" s="51"/>
      <c r="Q466" s="51"/>
      <c r="R466" s="60"/>
      <c r="S466" s="51"/>
      <c r="T466" s="53"/>
      <c r="U466" s="53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444</v>
      </c>
      <c r="B467" s="155"/>
      <c r="C467" s="152" t="s">
        <v>806</v>
      </c>
      <c r="D467" s="33"/>
      <c r="E467" s="33"/>
      <c r="F467" s="33"/>
      <c r="G467" s="33"/>
      <c r="H467" s="77" t="s">
        <v>807</v>
      </c>
      <c r="I467" s="185" t="s">
        <v>982</v>
      </c>
      <c r="J467" s="146"/>
      <c r="K467" s="35"/>
      <c r="L467" s="17">
        <v>51900</v>
      </c>
      <c r="M467" s="17">
        <v>2595</v>
      </c>
      <c r="N467" s="17">
        <v>54495</v>
      </c>
      <c r="O467" s="51"/>
      <c r="P467" s="51"/>
      <c r="Q467" s="51"/>
      <c r="R467" s="60"/>
      <c r="S467" s="51"/>
      <c r="T467" s="53"/>
      <c r="U467" s="53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445</v>
      </c>
      <c r="B468" s="155"/>
      <c r="C468" s="152" t="s">
        <v>1972</v>
      </c>
      <c r="D468" s="33"/>
      <c r="E468" s="33"/>
      <c r="F468" s="33"/>
      <c r="G468" s="33"/>
      <c r="H468" s="77" t="s">
        <v>1973</v>
      </c>
      <c r="I468" s="185" t="s">
        <v>977</v>
      </c>
      <c r="J468" s="146"/>
      <c r="K468" s="35"/>
      <c r="L468" s="17"/>
      <c r="M468" s="17"/>
      <c r="N468" s="17"/>
      <c r="O468" s="51"/>
      <c r="P468" s="51"/>
      <c r="Q468" s="51"/>
      <c r="R468" s="60"/>
      <c r="S468" s="51"/>
      <c r="T468" s="53"/>
      <c r="U468" s="53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446</v>
      </c>
      <c r="B469" s="155"/>
      <c r="C469" s="152" t="s">
        <v>1866</v>
      </c>
      <c r="D469" s="33"/>
      <c r="E469" s="33"/>
      <c r="F469" s="33"/>
      <c r="G469" s="33"/>
      <c r="H469" s="77" t="s">
        <v>1867</v>
      </c>
      <c r="I469" s="185" t="s">
        <v>977</v>
      </c>
      <c r="J469" s="146"/>
      <c r="K469" s="35"/>
      <c r="L469" s="17"/>
      <c r="M469" s="17"/>
      <c r="N469" s="17"/>
      <c r="O469" s="51"/>
      <c r="P469" s="51"/>
      <c r="Q469" s="51"/>
      <c r="R469" s="60"/>
      <c r="S469" s="51"/>
      <c r="T469" s="53"/>
      <c r="U469" s="53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447</v>
      </c>
      <c r="B470" s="155"/>
      <c r="C470" s="173" t="s">
        <v>945</v>
      </c>
      <c r="D470" s="163"/>
      <c r="E470" s="163"/>
      <c r="F470" s="163"/>
      <c r="G470" s="163"/>
      <c r="H470" s="164" t="s">
        <v>946</v>
      </c>
      <c r="I470" s="199" t="s">
        <v>977</v>
      </c>
      <c r="J470" s="146"/>
      <c r="K470" s="35"/>
      <c r="L470" s="17"/>
      <c r="M470" s="17"/>
      <c r="N470" s="17"/>
      <c r="O470" s="51"/>
      <c r="P470" s="51"/>
      <c r="Q470" s="51"/>
      <c r="R470" s="60"/>
      <c r="S470" s="51"/>
      <c r="T470" s="53"/>
      <c r="U470" s="53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448</v>
      </c>
      <c r="B471" s="155"/>
      <c r="C471" s="172" t="s">
        <v>1960</v>
      </c>
      <c r="D471" s="267"/>
      <c r="E471" s="267"/>
      <c r="F471" s="267"/>
      <c r="G471" s="267"/>
      <c r="H471" s="268" t="s">
        <v>1961</v>
      </c>
      <c r="I471" s="185" t="s">
        <v>999</v>
      </c>
      <c r="J471" s="146" t="s">
        <v>1863</v>
      </c>
      <c r="K471" s="35"/>
      <c r="L471" s="17"/>
      <c r="M471" s="17"/>
      <c r="N471" s="17"/>
      <c r="O471" s="51"/>
      <c r="P471" s="51"/>
      <c r="Q471" s="51"/>
      <c r="R471" s="60"/>
      <c r="S471" s="51"/>
      <c r="T471" s="53"/>
      <c r="U471" s="53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449</v>
      </c>
      <c r="B472" s="155"/>
      <c r="C472" s="152" t="s">
        <v>1219</v>
      </c>
      <c r="D472" s="33"/>
      <c r="E472" s="33"/>
      <c r="F472" s="33"/>
      <c r="G472" s="33"/>
      <c r="H472" s="77" t="s">
        <v>914</v>
      </c>
      <c r="I472" s="185"/>
      <c r="J472" s="146"/>
      <c r="K472" s="125"/>
      <c r="L472" s="6">
        <v>0</v>
      </c>
      <c r="M472" s="6">
        <v>0</v>
      </c>
      <c r="N472" s="6">
        <v>0</v>
      </c>
      <c r="O472" s="51"/>
      <c r="P472" s="51"/>
      <c r="Q472" s="51"/>
      <c r="R472" s="60"/>
      <c r="S472" s="51"/>
      <c r="T472" s="51"/>
      <c r="U472" s="51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450</v>
      </c>
      <c r="B473" s="155"/>
      <c r="C473" s="152" t="s">
        <v>1481</v>
      </c>
      <c r="D473" s="33"/>
      <c r="E473" s="33"/>
      <c r="F473" s="33"/>
      <c r="G473" s="33"/>
      <c r="H473" s="77" t="s">
        <v>1046</v>
      </c>
      <c r="I473" s="185" t="s">
        <v>977</v>
      </c>
      <c r="J473" s="146"/>
      <c r="K473" s="125"/>
      <c r="L473" s="6"/>
      <c r="M473" s="6"/>
      <c r="N473" s="6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451</v>
      </c>
      <c r="B474" s="155"/>
      <c r="C474" s="152" t="s">
        <v>1197</v>
      </c>
      <c r="D474" s="33"/>
      <c r="E474" s="33"/>
      <c r="F474" s="33"/>
      <c r="G474" s="33"/>
      <c r="H474" s="77" t="s">
        <v>1198</v>
      </c>
      <c r="I474" s="185" t="s">
        <v>982</v>
      </c>
      <c r="J474" s="146"/>
      <c r="K474" s="125"/>
      <c r="L474" s="6"/>
      <c r="M474" s="6"/>
      <c r="N474" s="6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452</v>
      </c>
      <c r="B475" s="155"/>
      <c r="C475" s="152" t="s">
        <v>1831</v>
      </c>
      <c r="D475" s="33"/>
      <c r="E475" s="33"/>
      <c r="F475" s="33"/>
      <c r="G475" s="33"/>
      <c r="H475" s="77" t="s">
        <v>1832</v>
      </c>
      <c r="I475" s="185"/>
      <c r="J475" s="145" t="s">
        <v>702</v>
      </c>
      <c r="K475" s="125"/>
      <c r="L475" s="6"/>
      <c r="M475" s="6"/>
      <c r="N475" s="6"/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453</v>
      </c>
      <c r="B476" s="155"/>
      <c r="C476" s="152" t="s">
        <v>804</v>
      </c>
      <c r="D476" s="33"/>
      <c r="E476" s="33"/>
      <c r="F476" s="33"/>
      <c r="G476" s="33"/>
      <c r="H476" s="77" t="s">
        <v>900</v>
      </c>
      <c r="I476" s="185"/>
      <c r="J476" s="145" t="s">
        <v>805</v>
      </c>
      <c r="K476" s="125"/>
      <c r="L476" s="6"/>
      <c r="M476" s="6"/>
      <c r="N476" s="6"/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454</v>
      </c>
      <c r="B477" s="155"/>
      <c r="C477" s="152" t="s">
        <v>1487</v>
      </c>
      <c r="D477" s="33"/>
      <c r="E477" s="33"/>
      <c r="F477" s="33"/>
      <c r="G477" s="33"/>
      <c r="H477" s="77" t="s">
        <v>1488</v>
      </c>
      <c r="I477" s="185"/>
      <c r="J477" s="145"/>
      <c r="K477" s="125"/>
      <c r="L477" s="6"/>
      <c r="M477" s="6"/>
      <c r="N477" s="6"/>
      <c r="O477" s="51"/>
      <c r="P477" s="51"/>
      <c r="Q477" s="51"/>
      <c r="R477" s="60"/>
      <c r="S477" s="51"/>
      <c r="T477" s="51"/>
      <c r="U477" s="51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455</v>
      </c>
      <c r="B478" s="155"/>
      <c r="C478" s="152" t="s">
        <v>1467</v>
      </c>
      <c r="D478" s="33"/>
      <c r="E478" s="33"/>
      <c r="F478" s="33"/>
      <c r="G478" s="33"/>
      <c r="H478" s="77" t="s">
        <v>1468</v>
      </c>
      <c r="I478" s="185" t="s">
        <v>977</v>
      </c>
      <c r="J478" s="146"/>
      <c r="K478" s="125"/>
      <c r="L478" s="6">
        <v>68760</v>
      </c>
      <c r="M478" s="6">
        <v>3438</v>
      </c>
      <c r="N478" s="6">
        <v>72198</v>
      </c>
      <c r="O478" s="51"/>
      <c r="P478" s="51"/>
      <c r="Q478" s="51"/>
      <c r="R478" s="60"/>
      <c r="S478" s="51"/>
      <c r="T478" s="51"/>
      <c r="U478" s="51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456</v>
      </c>
      <c r="B479" s="155"/>
      <c r="C479" s="152" t="s">
        <v>1557</v>
      </c>
      <c r="D479" s="33"/>
      <c r="E479" s="33"/>
      <c r="F479" s="33"/>
      <c r="G479" s="33"/>
      <c r="H479" s="77" t="s">
        <v>1558</v>
      </c>
      <c r="I479" s="185" t="s">
        <v>977</v>
      </c>
      <c r="J479" s="146" t="s">
        <v>720</v>
      </c>
      <c r="K479" s="125"/>
      <c r="L479" s="6"/>
      <c r="M479" s="6"/>
      <c r="N479" s="6"/>
      <c r="O479" s="51"/>
      <c r="P479" s="51"/>
      <c r="Q479" s="51"/>
      <c r="R479" s="60"/>
      <c r="S479" s="51"/>
      <c r="T479" s="51"/>
      <c r="U479" s="51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457</v>
      </c>
      <c r="B480" s="155"/>
      <c r="C480" s="152" t="s">
        <v>1926</v>
      </c>
      <c r="D480" s="33"/>
      <c r="E480" s="33"/>
      <c r="F480" s="33"/>
      <c r="G480" s="33"/>
      <c r="H480" s="77" t="s">
        <v>1927</v>
      </c>
      <c r="I480" s="185" t="s">
        <v>1040</v>
      </c>
      <c r="J480" s="146"/>
      <c r="K480" s="125"/>
      <c r="L480" s="6"/>
      <c r="M480" s="6"/>
      <c r="N480" s="6"/>
      <c r="O480" s="51"/>
      <c r="P480" s="51"/>
      <c r="Q480" s="51"/>
      <c r="R480" s="60"/>
      <c r="S480" s="51"/>
      <c r="T480" s="51"/>
      <c r="U480" s="51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458</v>
      </c>
      <c r="B481" s="155"/>
      <c r="C481" s="152" t="s">
        <v>1696</v>
      </c>
      <c r="D481" s="33"/>
      <c r="E481" s="33"/>
      <c r="F481" s="33"/>
      <c r="G481" s="33"/>
      <c r="H481" s="112" t="s">
        <v>1200</v>
      </c>
      <c r="I481" s="186" t="s">
        <v>982</v>
      </c>
      <c r="J481" s="146" t="s">
        <v>866</v>
      </c>
      <c r="K481" s="125"/>
      <c r="L481" s="6">
        <v>2535</v>
      </c>
      <c r="M481" s="6">
        <v>126.75</v>
      </c>
      <c r="N481" s="6">
        <v>2661.75</v>
      </c>
      <c r="O481" s="51"/>
      <c r="P481" s="51"/>
      <c r="Q481" s="51"/>
      <c r="R481" s="60"/>
      <c r="S481" s="51"/>
      <c r="T481" s="51"/>
      <c r="U481" s="51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459</v>
      </c>
      <c r="B482" s="155"/>
      <c r="C482" s="152" t="s">
        <v>629</v>
      </c>
      <c r="D482" s="33"/>
      <c r="E482" s="33"/>
      <c r="F482" s="33"/>
      <c r="G482" s="33"/>
      <c r="H482" s="77" t="s">
        <v>778</v>
      </c>
      <c r="I482" s="185" t="s">
        <v>975</v>
      </c>
      <c r="J482" s="150" t="s">
        <v>701</v>
      </c>
      <c r="K482" s="35"/>
      <c r="L482" s="17">
        <v>10100</v>
      </c>
      <c r="M482" s="17">
        <v>505</v>
      </c>
      <c r="N482" s="17">
        <v>10605</v>
      </c>
      <c r="O482" s="51"/>
      <c r="P482" s="51"/>
      <c r="Q482" s="51"/>
      <c r="R482" s="60"/>
      <c r="S482" s="52"/>
      <c r="T482" s="52"/>
      <c r="U482" s="52"/>
      <c r="V482" s="60"/>
      <c r="W482" s="38"/>
      <c r="X482" s="11"/>
      <c r="Y482" s="17"/>
      <c r="Z482" s="83"/>
      <c r="AA482" s="71"/>
      <c r="AB482" s="71"/>
      <c r="AC482" s="71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460</v>
      </c>
      <c r="B483" s="155"/>
      <c r="C483" s="152" t="s">
        <v>1237</v>
      </c>
      <c r="D483" s="33"/>
      <c r="E483" s="33"/>
      <c r="F483" s="33"/>
      <c r="G483" s="33"/>
      <c r="H483" s="77" t="s">
        <v>1443</v>
      </c>
      <c r="I483" s="185" t="s">
        <v>982</v>
      </c>
      <c r="J483" s="146"/>
      <c r="K483" s="35"/>
      <c r="L483" s="17">
        <v>51900</v>
      </c>
      <c r="M483" s="17">
        <v>2595</v>
      </c>
      <c r="N483" s="17">
        <v>54495</v>
      </c>
      <c r="O483" s="51"/>
      <c r="P483" s="51"/>
      <c r="Q483" s="51"/>
      <c r="R483" s="60"/>
      <c r="S483" s="51"/>
      <c r="T483" s="53"/>
      <c r="U483" s="53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>
      <c r="A484" s="37">
        <v>461</v>
      </c>
      <c r="B484" s="155"/>
      <c r="C484" s="152" t="s">
        <v>2052</v>
      </c>
      <c r="D484" s="33"/>
      <c r="E484" s="33"/>
      <c r="F484" s="33"/>
      <c r="G484" s="33"/>
      <c r="H484" s="77" t="s">
        <v>1668</v>
      </c>
      <c r="I484" s="185" t="s">
        <v>982</v>
      </c>
      <c r="J484" s="146"/>
      <c r="K484" s="125"/>
      <c r="L484" s="6">
        <v>22905</v>
      </c>
      <c r="M484" s="6">
        <v>1145.25</v>
      </c>
      <c r="N484" s="5"/>
      <c r="O484" s="51"/>
      <c r="P484" s="51"/>
      <c r="Q484" s="51"/>
      <c r="R484" s="60"/>
      <c r="S484" s="51"/>
      <c r="T484" s="51"/>
      <c r="U484" s="51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>
      <c r="A485" s="37">
        <v>462</v>
      </c>
      <c r="B485" s="155"/>
      <c r="C485" s="152" t="s">
        <v>920</v>
      </c>
      <c r="D485" s="33"/>
      <c r="E485" s="33"/>
      <c r="F485" s="33"/>
      <c r="G485" s="33"/>
      <c r="H485" s="77" t="s">
        <v>2292</v>
      </c>
      <c r="I485" s="185" t="s">
        <v>982</v>
      </c>
      <c r="J485" s="148"/>
      <c r="K485" s="125"/>
      <c r="L485" s="6"/>
      <c r="M485" s="6"/>
      <c r="N485" s="5"/>
      <c r="O485" s="51"/>
      <c r="P485" s="51"/>
      <c r="Q485" s="51"/>
      <c r="R485" s="60"/>
      <c r="S485" s="51"/>
      <c r="T485" s="51"/>
      <c r="U485" s="51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463</v>
      </c>
      <c r="B486" s="155"/>
      <c r="C486" s="152" t="s">
        <v>792</v>
      </c>
      <c r="D486" s="33"/>
      <c r="E486" s="33"/>
      <c r="F486" s="33"/>
      <c r="G486" s="33"/>
      <c r="H486" s="77" t="s">
        <v>1811</v>
      </c>
      <c r="I486" s="185" t="s">
        <v>982</v>
      </c>
      <c r="J486" s="148"/>
      <c r="K486" s="125"/>
      <c r="L486" s="6"/>
      <c r="M486" s="6"/>
      <c r="N486" s="5"/>
      <c r="O486" s="51"/>
      <c r="P486" s="51"/>
      <c r="Q486" s="51"/>
      <c r="R486" s="60"/>
      <c r="S486" s="51"/>
      <c r="T486" s="51"/>
      <c r="U486" s="51"/>
      <c r="V486" s="60"/>
      <c r="W486" s="38"/>
      <c r="X486" s="11"/>
      <c r="Y486" s="17"/>
      <c r="Z486" s="17"/>
      <c r="AA486" s="70"/>
      <c r="AB486" s="70"/>
      <c r="AC486" s="70"/>
      <c r="AD486" s="43"/>
      <c r="AE486" s="38"/>
      <c r="AF486" s="11"/>
      <c r="AG486" s="6"/>
      <c r="AH486" s="6"/>
      <c r="AI486" s="6"/>
      <c r="AJ486" s="43"/>
      <c r="AK486" s="38"/>
      <c r="AL486" s="11"/>
      <c r="AM486" s="6"/>
      <c r="AN486" s="6"/>
      <c r="AO486" s="6"/>
      <c r="AP486" s="43"/>
    </row>
    <row r="487" spans="1:42">
      <c r="A487" s="37">
        <v>464</v>
      </c>
      <c r="B487" s="155"/>
      <c r="C487" s="152" t="s">
        <v>634</v>
      </c>
      <c r="D487" s="33"/>
      <c r="E487" s="33"/>
      <c r="F487" s="33"/>
      <c r="G487" s="33"/>
      <c r="H487" s="77" t="s">
        <v>901</v>
      </c>
      <c r="I487" s="185" t="s">
        <v>1812</v>
      </c>
      <c r="J487" s="148" t="s">
        <v>784</v>
      </c>
      <c r="K487" s="125"/>
      <c r="L487" s="6"/>
      <c r="M487" s="6"/>
      <c r="N487" s="5"/>
      <c r="O487" s="51"/>
      <c r="P487" s="51"/>
      <c r="Q487" s="51"/>
      <c r="R487" s="60"/>
      <c r="S487" s="51"/>
      <c r="T487" s="51"/>
      <c r="U487" s="51"/>
      <c r="V487" s="60"/>
      <c r="W487" s="38"/>
      <c r="X487" s="11"/>
      <c r="Y487" s="17"/>
      <c r="Z487" s="17"/>
      <c r="AA487" s="70"/>
      <c r="AB487" s="70"/>
      <c r="AC487" s="70"/>
      <c r="AD487" s="43"/>
      <c r="AE487" s="38"/>
      <c r="AF487" s="11"/>
      <c r="AG487" s="6"/>
      <c r="AH487" s="6"/>
      <c r="AI487" s="6"/>
      <c r="AJ487" s="43"/>
      <c r="AK487" s="38"/>
      <c r="AL487" s="11"/>
      <c r="AM487" s="6"/>
      <c r="AN487" s="6"/>
      <c r="AO487" s="6"/>
      <c r="AP487" s="43"/>
    </row>
    <row r="488" spans="1:42">
      <c r="A488" s="37">
        <v>465</v>
      </c>
      <c r="B488" s="155"/>
      <c r="C488" s="168" t="s">
        <v>799</v>
      </c>
      <c r="D488" s="33"/>
      <c r="E488" s="33"/>
      <c r="F488" s="33"/>
      <c r="G488" s="33"/>
      <c r="H488" s="77" t="s">
        <v>902</v>
      </c>
      <c r="I488" s="185" t="s">
        <v>977</v>
      </c>
      <c r="J488" s="148" t="s">
        <v>798</v>
      </c>
      <c r="K488" s="125"/>
      <c r="L488" s="6"/>
      <c r="M488" s="6"/>
      <c r="N488" s="5"/>
      <c r="O488" s="51"/>
      <c r="P488" s="51"/>
      <c r="Q488" s="51"/>
      <c r="R488" s="60"/>
      <c r="S488" s="63"/>
      <c r="T488" s="63"/>
      <c r="U488" s="63"/>
      <c r="V488" s="60"/>
      <c r="W488" s="38"/>
      <c r="X488" s="11"/>
      <c r="Y488" s="17"/>
      <c r="Z488" s="96"/>
      <c r="AA488" s="86"/>
      <c r="AB488" s="86"/>
      <c r="AC488" s="86"/>
      <c r="AD488" s="43"/>
      <c r="AE488" s="38"/>
      <c r="AF488" s="11"/>
      <c r="AG488" s="6"/>
      <c r="AH488" s="6"/>
      <c r="AI488" s="6"/>
      <c r="AJ488" s="43"/>
      <c r="AK488" s="38"/>
      <c r="AL488" s="11"/>
      <c r="AM488" s="6"/>
      <c r="AN488" s="6"/>
      <c r="AO488" s="6"/>
      <c r="AP488" s="43"/>
    </row>
    <row r="489" spans="1:42">
      <c r="A489" s="37">
        <v>466</v>
      </c>
      <c r="B489" s="155"/>
      <c r="C489" s="152" t="s">
        <v>509</v>
      </c>
      <c r="D489" s="33"/>
      <c r="E489" s="33"/>
      <c r="F489" s="33"/>
      <c r="G489" s="33"/>
      <c r="H489" s="77" t="s">
        <v>1763</v>
      </c>
      <c r="I489" s="185" t="s">
        <v>986</v>
      </c>
      <c r="J489" s="146" t="s">
        <v>1505</v>
      </c>
      <c r="K489" s="125"/>
      <c r="L489" s="6">
        <v>144</v>
      </c>
      <c r="M489" s="6">
        <v>7.2</v>
      </c>
      <c r="N489" s="6">
        <v>151.19999999999999</v>
      </c>
      <c r="O489" s="51"/>
      <c r="P489" s="51"/>
      <c r="Q489" s="51"/>
      <c r="R489" s="60"/>
      <c r="S489" s="51"/>
      <c r="T489" s="51"/>
      <c r="U489" s="51"/>
      <c r="V489" s="60"/>
      <c r="W489" s="38"/>
      <c r="X489" s="11"/>
      <c r="Y489" s="17"/>
      <c r="Z489" s="17"/>
      <c r="AA489" s="70"/>
      <c r="AB489" s="70"/>
      <c r="AC489" s="70"/>
      <c r="AD489" s="43"/>
      <c r="AE489" s="38"/>
      <c r="AF489" s="11"/>
      <c r="AG489" s="6"/>
      <c r="AH489" s="6"/>
      <c r="AI489" s="6"/>
      <c r="AJ489" s="43"/>
      <c r="AK489" s="38"/>
      <c r="AL489" s="11"/>
      <c r="AM489" s="6"/>
      <c r="AN489" s="6"/>
      <c r="AO489" s="6"/>
      <c r="AP489" s="43"/>
    </row>
    <row r="490" spans="1:42">
      <c r="A490" s="37">
        <v>467</v>
      </c>
      <c r="B490" s="155"/>
      <c r="C490" s="152" t="s">
        <v>370</v>
      </c>
      <c r="D490" s="33"/>
      <c r="E490" s="33"/>
      <c r="F490" s="33"/>
      <c r="G490" s="33"/>
      <c r="H490" s="77" t="s">
        <v>903</v>
      </c>
      <c r="I490" s="185" t="s">
        <v>986</v>
      </c>
      <c r="J490" s="146" t="s">
        <v>733</v>
      </c>
      <c r="K490" s="35"/>
      <c r="L490" s="17">
        <v>3840</v>
      </c>
      <c r="M490" s="17">
        <v>192</v>
      </c>
      <c r="N490" s="17">
        <v>4032</v>
      </c>
      <c r="O490" s="51"/>
      <c r="P490" s="51"/>
      <c r="Q490" s="51"/>
      <c r="R490" s="60"/>
      <c r="S490" s="51"/>
      <c r="T490" s="53"/>
      <c r="U490" s="53"/>
      <c r="V490" s="60"/>
      <c r="W490" s="38"/>
      <c r="X490" s="11"/>
      <c r="Y490" s="17"/>
      <c r="Z490" s="17"/>
      <c r="AA490" s="70"/>
      <c r="AB490" s="70"/>
      <c r="AC490" s="70"/>
      <c r="AD490" s="43"/>
      <c r="AE490" s="38"/>
      <c r="AF490" s="11"/>
      <c r="AG490" s="6"/>
      <c r="AH490" s="6"/>
      <c r="AI490" s="6"/>
      <c r="AJ490" s="43"/>
      <c r="AK490" s="38"/>
      <c r="AL490" s="11"/>
      <c r="AM490" s="6"/>
      <c r="AN490" s="6"/>
      <c r="AO490" s="6"/>
      <c r="AP490" s="43"/>
    </row>
    <row r="491" spans="1:42">
      <c r="A491" s="37">
        <v>468</v>
      </c>
      <c r="B491" s="155"/>
      <c r="C491" s="152" t="s">
        <v>504</v>
      </c>
      <c r="D491" s="33"/>
      <c r="E491" s="33"/>
      <c r="F491" s="33"/>
      <c r="G491" s="33"/>
      <c r="H491" s="77" t="s">
        <v>669</v>
      </c>
      <c r="I491" s="185" t="s">
        <v>982</v>
      </c>
      <c r="J491" s="146"/>
      <c r="K491" s="35"/>
      <c r="L491" s="17"/>
      <c r="M491" s="17"/>
      <c r="N491" s="17"/>
      <c r="O491" s="51"/>
      <c r="P491" s="51"/>
      <c r="Q491" s="51"/>
      <c r="R491" s="60"/>
      <c r="S491" s="51"/>
      <c r="T491" s="53"/>
      <c r="U491" s="53"/>
      <c r="V491" s="60"/>
      <c r="W491" s="38"/>
      <c r="X491" s="11"/>
      <c r="Y491" s="17"/>
      <c r="Z491" s="17"/>
      <c r="AA491" s="70"/>
      <c r="AB491" s="70"/>
      <c r="AC491" s="70"/>
      <c r="AD491" s="43"/>
      <c r="AE491" s="38"/>
      <c r="AF491" s="11"/>
      <c r="AG491" s="6"/>
      <c r="AH491" s="6"/>
      <c r="AI491" s="6"/>
      <c r="AJ491" s="43"/>
      <c r="AK491" s="38"/>
      <c r="AL491" s="11"/>
      <c r="AM491" s="6"/>
      <c r="AN491" s="6"/>
      <c r="AO491" s="6"/>
      <c r="AP491" s="43"/>
    </row>
    <row r="492" spans="1:42">
      <c r="A492" s="37">
        <v>469</v>
      </c>
      <c r="B492" s="155"/>
      <c r="C492" s="152" t="s">
        <v>2103</v>
      </c>
      <c r="D492" s="33"/>
      <c r="E492" s="33"/>
      <c r="F492" s="33"/>
      <c r="G492" s="33"/>
      <c r="H492" s="77" t="s">
        <v>2104</v>
      </c>
      <c r="I492" s="185" t="s">
        <v>977</v>
      </c>
      <c r="J492" s="146"/>
      <c r="K492" s="35"/>
      <c r="L492" s="17"/>
      <c r="M492" s="17"/>
      <c r="N492" s="17"/>
      <c r="O492" s="51"/>
      <c r="P492" s="51"/>
      <c r="Q492" s="51"/>
      <c r="R492" s="60"/>
      <c r="S492" s="51"/>
      <c r="T492" s="53"/>
      <c r="U492" s="53"/>
      <c r="V492" s="60"/>
      <c r="W492" s="38"/>
      <c r="X492" s="11"/>
      <c r="Y492" s="17"/>
      <c r="Z492" s="17"/>
      <c r="AA492" s="70"/>
      <c r="AB492" s="70"/>
      <c r="AC492" s="70"/>
      <c r="AD492" s="43"/>
      <c r="AE492" s="38"/>
      <c r="AF492" s="11"/>
      <c r="AG492" s="6"/>
      <c r="AH492" s="6"/>
      <c r="AI492" s="6"/>
      <c r="AJ492" s="43"/>
      <c r="AK492" s="38"/>
      <c r="AL492" s="11"/>
      <c r="AM492" s="6"/>
      <c r="AN492" s="6"/>
      <c r="AO492" s="6"/>
      <c r="AP492" s="43"/>
    </row>
    <row r="493" spans="1:42">
      <c r="A493" s="37">
        <v>470</v>
      </c>
      <c r="B493" s="155"/>
      <c r="C493" s="152" t="s">
        <v>1161</v>
      </c>
      <c r="D493" s="33"/>
      <c r="E493" s="33"/>
      <c r="F493" s="33"/>
      <c r="G493" s="33"/>
      <c r="H493" s="77" t="s">
        <v>1162</v>
      </c>
      <c r="I493" s="185" t="s">
        <v>982</v>
      </c>
      <c r="J493" s="146"/>
      <c r="K493" s="125"/>
      <c r="L493" s="6">
        <v>20520</v>
      </c>
      <c r="M493" s="6">
        <v>1026</v>
      </c>
      <c r="N493" s="6">
        <v>21546</v>
      </c>
      <c r="O493" s="51"/>
      <c r="P493" s="51"/>
      <c r="Q493" s="51"/>
      <c r="R493" s="60"/>
      <c r="S493" s="51"/>
      <c r="T493" s="51"/>
      <c r="U493" s="51"/>
      <c r="V493" s="60"/>
      <c r="W493" s="38"/>
      <c r="X493" s="11"/>
      <c r="Y493" s="17"/>
      <c r="Z493" s="17"/>
      <c r="AA493" s="70"/>
      <c r="AB493" s="70"/>
      <c r="AC493" s="70"/>
      <c r="AD493" s="43"/>
      <c r="AE493" s="38"/>
      <c r="AF493" s="11"/>
      <c r="AG493" s="6"/>
      <c r="AH493" s="6"/>
      <c r="AI493" s="6"/>
      <c r="AJ493" s="43"/>
      <c r="AK493" s="38"/>
      <c r="AL493" s="11"/>
      <c r="AM493" s="6"/>
      <c r="AN493" s="6"/>
      <c r="AO493" s="6"/>
      <c r="AP493" s="43"/>
    </row>
    <row r="494" spans="1:42" ht="27">
      <c r="A494" s="37">
        <v>471</v>
      </c>
      <c r="B494" s="155"/>
      <c r="C494" s="152" t="s">
        <v>1363</v>
      </c>
      <c r="D494" s="33"/>
      <c r="E494" s="33"/>
      <c r="F494" s="33"/>
      <c r="G494" s="33"/>
      <c r="H494" s="77" t="s">
        <v>1364</v>
      </c>
      <c r="I494" s="185" t="s">
        <v>1365</v>
      </c>
      <c r="J494" s="145" t="s">
        <v>927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X494" s="11"/>
      <c r="Y494" s="17"/>
      <c r="Z494" s="17"/>
      <c r="AA494" s="70"/>
      <c r="AB494" s="70"/>
      <c r="AC494" s="70"/>
      <c r="AD494" s="43"/>
      <c r="AE494" s="38"/>
      <c r="AF494" s="11"/>
      <c r="AG494" s="6"/>
      <c r="AH494" s="6"/>
      <c r="AI494" s="6"/>
      <c r="AJ494" s="43"/>
      <c r="AK494" s="38"/>
      <c r="AL494" s="11"/>
      <c r="AM494" s="6"/>
      <c r="AN494" s="6"/>
      <c r="AO494" s="6"/>
      <c r="AP494" s="43"/>
    </row>
    <row r="495" spans="1:42" ht="27">
      <c r="A495" s="37">
        <v>472</v>
      </c>
      <c r="B495" s="155"/>
      <c r="C495" s="152" t="s">
        <v>1722</v>
      </c>
      <c r="D495" s="33"/>
      <c r="E495" s="33"/>
      <c r="F495" s="33"/>
      <c r="G495" s="33"/>
      <c r="H495" s="77" t="s">
        <v>1723</v>
      </c>
      <c r="I495" s="185" t="s">
        <v>1724</v>
      </c>
      <c r="J495" s="146" t="s">
        <v>965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X495" s="11"/>
      <c r="Y495" s="17"/>
      <c r="Z495" s="17"/>
      <c r="AA495" s="70"/>
      <c r="AB495" s="70"/>
      <c r="AC495" s="70"/>
      <c r="AD495" s="43"/>
      <c r="AE495" s="38"/>
      <c r="AF495" s="11"/>
      <c r="AG495" s="6"/>
      <c r="AH495" s="6"/>
      <c r="AI495" s="6"/>
      <c r="AJ495" s="43"/>
      <c r="AK495" s="38"/>
      <c r="AL495" s="11"/>
      <c r="AM495" s="6"/>
      <c r="AN495" s="6"/>
      <c r="AO495" s="6"/>
      <c r="AP495" s="43"/>
    </row>
    <row r="496" spans="1:42">
      <c r="A496" s="37">
        <v>473</v>
      </c>
      <c r="B496" s="155"/>
      <c r="C496" s="152" t="s">
        <v>668</v>
      </c>
      <c r="D496" s="33"/>
      <c r="E496" s="33"/>
      <c r="F496" s="33"/>
      <c r="G496" s="33"/>
      <c r="H496" s="77" t="s">
        <v>0</v>
      </c>
      <c r="I496" s="185" t="s">
        <v>982</v>
      </c>
      <c r="J496" s="146"/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X496" s="11"/>
      <c r="Y496" s="17"/>
      <c r="Z496" s="17"/>
      <c r="AA496" s="70"/>
      <c r="AB496" s="70"/>
      <c r="AC496" s="70"/>
      <c r="AD496" s="43"/>
      <c r="AE496" s="38"/>
      <c r="AF496" s="11"/>
      <c r="AG496" s="6"/>
      <c r="AH496" s="6"/>
      <c r="AI496" s="6"/>
      <c r="AJ496" s="43"/>
      <c r="AK496" s="38"/>
      <c r="AL496" s="11"/>
      <c r="AM496" s="6"/>
      <c r="AN496" s="6"/>
      <c r="AO496" s="6"/>
      <c r="AP496" s="43"/>
    </row>
    <row r="497" spans="1:42">
      <c r="A497" s="37">
        <v>474</v>
      </c>
      <c r="B497" s="155"/>
      <c r="C497" s="152" t="s">
        <v>635</v>
      </c>
      <c r="D497" s="33"/>
      <c r="E497" s="33"/>
      <c r="F497" s="33"/>
      <c r="G497" s="33"/>
      <c r="H497" s="77" t="s">
        <v>904</v>
      </c>
      <c r="I497" s="185" t="s">
        <v>1550</v>
      </c>
      <c r="J497" s="146" t="s">
        <v>732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475</v>
      </c>
      <c r="B498" s="155"/>
      <c r="C498" s="152" t="s">
        <v>1752</v>
      </c>
      <c r="D498" s="33"/>
      <c r="E498" s="33"/>
      <c r="F498" s="33"/>
      <c r="G498" s="33"/>
      <c r="H498" s="77" t="s">
        <v>1805</v>
      </c>
      <c r="I498" s="185" t="s">
        <v>1883</v>
      </c>
      <c r="J498" s="146"/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476</v>
      </c>
      <c r="B499" s="155"/>
      <c r="C499" s="152" t="s">
        <v>1753</v>
      </c>
      <c r="D499" s="33"/>
      <c r="E499" s="33"/>
      <c r="F499" s="33"/>
      <c r="G499" s="33"/>
      <c r="H499" s="77" t="s">
        <v>1754</v>
      </c>
      <c r="I499" s="185" t="s">
        <v>1755</v>
      </c>
      <c r="J499" s="146" t="s">
        <v>1756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 ht="27">
      <c r="A500" s="37">
        <v>477</v>
      </c>
      <c r="B500" s="155"/>
      <c r="C500" s="152" t="s">
        <v>1123</v>
      </c>
      <c r="D500" s="33"/>
      <c r="E500" s="33"/>
      <c r="F500" s="33"/>
      <c r="G500" s="33"/>
      <c r="H500" s="77" t="s">
        <v>1324</v>
      </c>
      <c r="I500" s="185" t="s">
        <v>992</v>
      </c>
      <c r="J500" s="146" t="s">
        <v>847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 ht="27">
      <c r="A501" s="37">
        <v>478</v>
      </c>
      <c r="B501" s="155"/>
      <c r="C501" s="152" t="s">
        <v>704</v>
      </c>
      <c r="D501" s="33"/>
      <c r="E501" s="33"/>
      <c r="F501" s="33"/>
      <c r="G501" s="33"/>
      <c r="H501" s="77" t="s">
        <v>1577</v>
      </c>
      <c r="I501" s="185" t="s">
        <v>1250</v>
      </c>
      <c r="J501" s="146" t="s">
        <v>1251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479</v>
      </c>
      <c r="B502" s="142"/>
      <c r="C502" s="152" t="s">
        <v>1357</v>
      </c>
      <c r="D502" s="33"/>
      <c r="E502" s="33"/>
      <c r="F502" s="33"/>
      <c r="G502" s="33"/>
      <c r="H502" s="77" t="s">
        <v>1403</v>
      </c>
      <c r="I502" s="185" t="s">
        <v>1359</v>
      </c>
      <c r="J502" s="148" t="s">
        <v>1358</v>
      </c>
      <c r="K502" s="126"/>
      <c r="L502" s="93"/>
      <c r="M502" s="93"/>
      <c r="N502" s="93"/>
      <c r="O502" s="51"/>
      <c r="P502" s="51"/>
      <c r="Q502" s="51"/>
      <c r="R502" s="60"/>
      <c r="S502" s="51"/>
      <c r="T502" s="51"/>
      <c r="U502" s="51"/>
      <c r="V502" s="60"/>
      <c r="W502" s="38"/>
      <c r="X502" s="11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 ht="27">
      <c r="A503" s="37">
        <v>480</v>
      </c>
      <c r="B503" s="155"/>
      <c r="C503" s="152" t="s">
        <v>1325</v>
      </c>
      <c r="D503" s="33"/>
      <c r="E503" s="33"/>
      <c r="F503" s="33"/>
      <c r="G503" s="33"/>
      <c r="H503" s="77" t="s">
        <v>1667</v>
      </c>
      <c r="I503" s="185" t="s">
        <v>1327</v>
      </c>
      <c r="J503" s="146" t="s">
        <v>1326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>
      <c r="A504" s="37">
        <v>481</v>
      </c>
      <c r="B504" s="155"/>
      <c r="C504" s="152" t="s">
        <v>1375</v>
      </c>
      <c r="D504" s="33"/>
      <c r="E504" s="33"/>
      <c r="F504" s="33"/>
      <c r="G504" s="33"/>
      <c r="H504" s="77" t="s">
        <v>722</v>
      </c>
      <c r="I504" s="185" t="s">
        <v>1038</v>
      </c>
      <c r="J504" s="146" t="s">
        <v>721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AA504" s="119"/>
      <c r="AB504" s="119"/>
      <c r="AC504" s="119"/>
      <c r="AE504" s="118"/>
      <c r="AG504" s="8"/>
      <c r="AH504" s="8"/>
      <c r="AI504" s="8"/>
      <c r="AK504" s="118"/>
      <c r="AM504" s="8"/>
      <c r="AN504" s="8"/>
      <c r="AO504" s="8"/>
    </row>
    <row r="505" spans="1:42">
      <c r="A505" s="37">
        <v>482</v>
      </c>
      <c r="B505" s="155"/>
      <c r="C505" s="152" t="s">
        <v>1996</v>
      </c>
      <c r="D505" s="33"/>
      <c r="E505" s="33"/>
      <c r="F505" s="33"/>
      <c r="G505" s="33"/>
      <c r="H505" s="77" t="s">
        <v>1909</v>
      </c>
      <c r="I505" s="185" t="s">
        <v>1028</v>
      </c>
      <c r="J505" s="146" t="s">
        <v>1264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AA505" s="119"/>
      <c r="AB505" s="119"/>
      <c r="AC505" s="119"/>
      <c r="AE505" s="118"/>
      <c r="AG505" s="8"/>
      <c r="AH505" s="8"/>
      <c r="AI505" s="8"/>
      <c r="AK505" s="118"/>
      <c r="AM505" s="8"/>
      <c r="AN505" s="8"/>
      <c r="AO505" s="8"/>
    </row>
    <row r="506" spans="1:42">
      <c r="A506" s="37">
        <v>483</v>
      </c>
      <c r="B506" s="155"/>
      <c r="C506" s="152" t="s">
        <v>1262</v>
      </c>
      <c r="D506" s="33"/>
      <c r="E506" s="33"/>
      <c r="F506" s="33"/>
      <c r="G506" s="33"/>
      <c r="H506" s="77" t="s">
        <v>1908</v>
      </c>
      <c r="I506" s="185" t="s">
        <v>1028</v>
      </c>
      <c r="J506" s="146" t="s">
        <v>1263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AA506" s="119"/>
      <c r="AB506" s="119"/>
      <c r="AC506" s="119"/>
      <c r="AE506" s="118"/>
      <c r="AG506" s="8"/>
      <c r="AH506" s="8"/>
      <c r="AI506" s="8"/>
      <c r="AK506" s="118"/>
      <c r="AM506" s="8"/>
      <c r="AN506" s="8"/>
      <c r="AO506" s="8"/>
    </row>
    <row r="507" spans="1:42">
      <c r="A507" s="37">
        <v>484</v>
      </c>
      <c r="B507" s="155"/>
      <c r="C507" s="152" t="s">
        <v>1906</v>
      </c>
      <c r="D507" s="33"/>
      <c r="E507" s="33"/>
      <c r="F507" s="33"/>
      <c r="G507" s="33"/>
      <c r="H507" s="77" t="s">
        <v>1907</v>
      </c>
      <c r="I507" s="185" t="s">
        <v>1028</v>
      </c>
      <c r="J507" s="146" t="s">
        <v>1910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AA507" s="119"/>
      <c r="AB507" s="119"/>
      <c r="AC507" s="119"/>
      <c r="AE507" s="118"/>
      <c r="AG507" s="8"/>
      <c r="AH507" s="8"/>
      <c r="AI507" s="8"/>
      <c r="AK507" s="118"/>
      <c r="AM507" s="8"/>
      <c r="AN507" s="8"/>
      <c r="AO507" s="8"/>
    </row>
    <row r="508" spans="1:42">
      <c r="A508" s="37">
        <v>485</v>
      </c>
      <c r="B508" s="155"/>
      <c r="C508" s="168" t="s">
        <v>814</v>
      </c>
      <c r="D508" s="33"/>
      <c r="E508" s="33"/>
      <c r="F508" s="33"/>
      <c r="G508" s="33"/>
      <c r="H508" s="77" t="s">
        <v>815</v>
      </c>
      <c r="I508" s="185"/>
      <c r="J508" s="146" t="s">
        <v>813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AA508" s="119"/>
      <c r="AB508" s="119"/>
      <c r="AC508" s="119"/>
      <c r="AE508" s="118"/>
      <c r="AG508" s="8"/>
      <c r="AH508" s="8"/>
      <c r="AI508" s="8"/>
      <c r="AK508" s="118"/>
      <c r="AM508" s="8"/>
      <c r="AN508" s="8"/>
      <c r="AO508" s="8"/>
    </row>
    <row r="509" spans="1:42">
      <c r="A509" s="37">
        <v>486</v>
      </c>
      <c r="B509" s="155"/>
      <c r="C509" s="152" t="s">
        <v>785</v>
      </c>
      <c r="D509" s="33"/>
      <c r="E509" s="33"/>
      <c r="F509" s="33"/>
      <c r="G509" s="33"/>
      <c r="H509" s="77" t="s">
        <v>1213</v>
      </c>
      <c r="I509" s="185" t="s">
        <v>1026</v>
      </c>
      <c r="J509" s="146" t="s">
        <v>786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AA509" s="119"/>
      <c r="AB509" s="119"/>
      <c r="AC509" s="119"/>
      <c r="AE509" s="118"/>
      <c r="AG509" s="8"/>
      <c r="AH509" s="8"/>
      <c r="AI509" s="8"/>
      <c r="AK509" s="118"/>
      <c r="AM509" s="8"/>
      <c r="AN509" s="8"/>
      <c r="AO509" s="8"/>
    </row>
    <row r="510" spans="1:42" ht="27">
      <c r="A510" s="37">
        <v>487</v>
      </c>
      <c r="B510" s="155"/>
      <c r="C510" s="152" t="s">
        <v>1376</v>
      </c>
      <c r="D510" s="33"/>
      <c r="E510" s="33"/>
      <c r="F510" s="33"/>
      <c r="G510" s="33"/>
      <c r="H510" s="77" t="s">
        <v>1380</v>
      </c>
      <c r="I510" s="185" t="s">
        <v>1381</v>
      </c>
      <c r="J510" s="146" t="s">
        <v>1382</v>
      </c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488</v>
      </c>
      <c r="B511" s="155"/>
      <c r="C511" s="152" t="s">
        <v>1242</v>
      </c>
      <c r="D511" s="33"/>
      <c r="E511" s="33"/>
      <c r="F511" s="33"/>
      <c r="G511" s="33"/>
      <c r="H511" s="77" t="s">
        <v>1245</v>
      </c>
      <c r="I511" s="185" t="s">
        <v>1246</v>
      </c>
      <c r="J511" s="146" t="s">
        <v>1247</v>
      </c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AA511" s="119"/>
      <c r="AB511" s="119"/>
      <c r="AC511" s="119"/>
      <c r="AE511" s="118"/>
      <c r="AG511" s="8"/>
      <c r="AH511" s="8"/>
      <c r="AI511" s="8"/>
      <c r="AK511" s="118"/>
      <c r="AM511" s="8"/>
      <c r="AN511" s="8"/>
      <c r="AO511" s="8"/>
    </row>
    <row r="512" spans="1:42">
      <c r="A512" s="37">
        <v>489</v>
      </c>
      <c r="B512" s="155"/>
      <c r="C512" s="152" t="s">
        <v>836</v>
      </c>
      <c r="D512" s="33"/>
      <c r="E512" s="33"/>
      <c r="F512" s="33"/>
      <c r="G512" s="33"/>
      <c r="H512" s="77" t="s">
        <v>905</v>
      </c>
      <c r="I512" s="185" t="s">
        <v>1061</v>
      </c>
      <c r="J512" s="146" t="s">
        <v>719</v>
      </c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AA512" s="119"/>
      <c r="AB512" s="119"/>
      <c r="AC512" s="119"/>
      <c r="AE512" s="118"/>
      <c r="AG512" s="8"/>
      <c r="AH512" s="8"/>
      <c r="AI512" s="8"/>
      <c r="AK512" s="118"/>
      <c r="AM512" s="8"/>
      <c r="AN512" s="8"/>
      <c r="AO512" s="8"/>
    </row>
    <row r="513" spans="1:42">
      <c r="A513" s="37">
        <v>490</v>
      </c>
      <c r="B513" s="155"/>
      <c r="C513" s="152" t="s">
        <v>1265</v>
      </c>
      <c r="D513" s="33"/>
      <c r="E513" s="33"/>
      <c r="F513" s="33"/>
      <c r="G513" s="33"/>
      <c r="H513" s="77" t="s">
        <v>1266</v>
      </c>
      <c r="I513" s="185" t="s">
        <v>1246</v>
      </c>
      <c r="J513" s="146" t="s">
        <v>719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AA513" s="119"/>
      <c r="AB513" s="119"/>
      <c r="AC513" s="119"/>
      <c r="AE513" s="118"/>
      <c r="AG513" s="8"/>
      <c r="AH513" s="8"/>
      <c r="AI513" s="8"/>
      <c r="AK513" s="118"/>
      <c r="AM513" s="8"/>
      <c r="AN513" s="8"/>
      <c r="AO513" s="8"/>
    </row>
    <row r="514" spans="1:42">
      <c r="A514" s="37">
        <v>491</v>
      </c>
      <c r="B514" s="155"/>
      <c r="C514" s="152" t="s">
        <v>793</v>
      </c>
      <c r="D514" s="33"/>
      <c r="E514" s="33"/>
      <c r="F514" s="33"/>
      <c r="G514" s="33"/>
      <c r="H514" s="77" t="s">
        <v>844</v>
      </c>
      <c r="I514" s="185" t="s">
        <v>993</v>
      </c>
      <c r="J514" s="146" t="s">
        <v>845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AA514" s="119"/>
      <c r="AB514" s="119"/>
      <c r="AC514" s="119"/>
      <c r="AE514" s="118"/>
      <c r="AG514" s="8"/>
      <c r="AH514" s="8"/>
      <c r="AI514" s="8"/>
      <c r="AK514" s="118"/>
      <c r="AM514" s="8"/>
      <c r="AN514" s="8"/>
      <c r="AO514" s="8"/>
    </row>
    <row r="515" spans="1:42">
      <c r="A515" s="37">
        <v>492</v>
      </c>
      <c r="B515" s="155"/>
      <c r="C515" s="152" t="s">
        <v>842</v>
      </c>
      <c r="D515" s="33"/>
      <c r="E515" s="33"/>
      <c r="F515" s="33"/>
      <c r="G515" s="33"/>
      <c r="H515" s="77" t="s">
        <v>843</v>
      </c>
      <c r="I515" s="185" t="s">
        <v>993</v>
      </c>
      <c r="J515" s="146" t="s">
        <v>845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493</v>
      </c>
      <c r="B516" s="155"/>
      <c r="C516" s="152" t="s">
        <v>948</v>
      </c>
      <c r="D516" s="33"/>
      <c r="E516" s="33"/>
      <c r="F516" s="33"/>
      <c r="G516" s="33"/>
      <c r="H516" s="77" t="s">
        <v>949</v>
      </c>
      <c r="I516" s="185" t="s">
        <v>993</v>
      </c>
      <c r="J516" s="146" t="s">
        <v>845</v>
      </c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494</v>
      </c>
      <c r="B517" s="155"/>
      <c r="C517" s="152" t="s">
        <v>1549</v>
      </c>
      <c r="D517" s="33"/>
      <c r="E517" s="33"/>
      <c r="F517" s="33"/>
      <c r="G517" s="33"/>
      <c r="H517" s="77" t="s">
        <v>2311</v>
      </c>
      <c r="I517" s="185" t="s">
        <v>1550</v>
      </c>
      <c r="J517" s="146" t="s">
        <v>1551</v>
      </c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495</v>
      </c>
      <c r="B518" s="155"/>
      <c r="C518" s="152" t="s">
        <v>1113</v>
      </c>
      <c r="D518" s="33"/>
      <c r="E518" s="33"/>
      <c r="F518" s="33"/>
      <c r="G518" s="33"/>
      <c r="H518" s="77" t="s">
        <v>1636</v>
      </c>
      <c r="I518" s="185"/>
      <c r="J518" s="146" t="s">
        <v>1635</v>
      </c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 ht="27">
      <c r="A519" s="37">
        <v>496</v>
      </c>
      <c r="B519" s="155"/>
      <c r="C519" s="152" t="s">
        <v>630</v>
      </c>
      <c r="D519" s="33"/>
      <c r="E519" s="33"/>
      <c r="F519" s="33"/>
      <c r="G519" s="33"/>
      <c r="H519" s="77" t="s">
        <v>1658</v>
      </c>
      <c r="I519" s="185" t="s">
        <v>1659</v>
      </c>
      <c r="J519" s="146" t="s">
        <v>1660</v>
      </c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497</v>
      </c>
      <c r="B520" s="155"/>
      <c r="C520" s="152" t="s">
        <v>1789</v>
      </c>
      <c r="D520" s="33"/>
      <c r="E520" s="33"/>
      <c r="F520" s="33"/>
      <c r="G520" s="33"/>
      <c r="H520" s="77" t="s">
        <v>1790</v>
      </c>
      <c r="I520" s="185" t="s">
        <v>1024</v>
      </c>
      <c r="J520" s="146" t="s">
        <v>1791</v>
      </c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498</v>
      </c>
      <c r="B521" s="155"/>
      <c r="C521" s="152" t="s">
        <v>688</v>
      </c>
      <c r="D521" s="33"/>
      <c r="E521" s="33"/>
      <c r="F521" s="33"/>
      <c r="G521" s="33"/>
      <c r="H521" s="77" t="s">
        <v>849</v>
      </c>
      <c r="I521" s="185"/>
      <c r="J521" s="146"/>
      <c r="K521" s="35"/>
      <c r="L521" s="17"/>
      <c r="M521" s="17"/>
      <c r="N521" s="17"/>
      <c r="O521" s="51"/>
      <c r="P521" s="51"/>
      <c r="Q521" s="51"/>
      <c r="R521" s="60"/>
      <c r="S521" s="51"/>
      <c r="T521" s="53"/>
      <c r="U521" s="53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499</v>
      </c>
      <c r="B522" s="155"/>
      <c r="C522" s="152" t="s">
        <v>653</v>
      </c>
      <c r="D522" s="33"/>
      <c r="E522" s="33"/>
      <c r="F522" s="33"/>
      <c r="G522" s="33"/>
      <c r="H522" s="77" t="s">
        <v>906</v>
      </c>
      <c r="I522" s="185"/>
      <c r="J522" s="146"/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500</v>
      </c>
      <c r="B523" s="155"/>
      <c r="C523" s="152" t="s">
        <v>648</v>
      </c>
      <c r="D523" s="33"/>
      <c r="E523" s="33"/>
      <c r="F523" s="33"/>
      <c r="G523" s="33"/>
      <c r="H523" s="77" t="s">
        <v>907</v>
      </c>
      <c r="I523" s="185"/>
      <c r="J523" s="146"/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501</v>
      </c>
      <c r="B524" s="155"/>
      <c r="C524" s="152" t="s">
        <v>1573</v>
      </c>
      <c r="D524" s="33"/>
      <c r="E524" s="33"/>
      <c r="F524" s="33"/>
      <c r="G524" s="33"/>
      <c r="H524" s="77" t="s">
        <v>1571</v>
      </c>
      <c r="I524" s="185"/>
      <c r="J524" s="146" t="s">
        <v>768</v>
      </c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502</v>
      </c>
      <c r="B525" s="155"/>
      <c r="C525" s="152" t="s">
        <v>1574</v>
      </c>
      <c r="D525" s="33"/>
      <c r="E525" s="33"/>
      <c r="F525" s="33"/>
      <c r="G525" s="33"/>
      <c r="H525" s="77" t="s">
        <v>1572</v>
      </c>
      <c r="I525" s="185" t="s">
        <v>1022</v>
      </c>
      <c r="J525" s="146" t="s">
        <v>768</v>
      </c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503</v>
      </c>
      <c r="B526" s="155"/>
      <c r="C526" s="152" t="s">
        <v>1091</v>
      </c>
      <c r="D526" s="33"/>
      <c r="E526" s="33"/>
      <c r="F526" s="33"/>
      <c r="G526" s="33"/>
      <c r="H526" s="77" t="s">
        <v>1217</v>
      </c>
      <c r="I526" s="185"/>
      <c r="J526" s="146" t="s">
        <v>1092</v>
      </c>
      <c r="K526" s="125"/>
      <c r="L526" s="6"/>
      <c r="M526" s="6"/>
      <c r="N526" s="6"/>
      <c r="O526" s="51"/>
      <c r="P526" s="51"/>
      <c r="Q526" s="51"/>
      <c r="R526" s="60"/>
      <c r="S526" s="51"/>
      <c r="T526" s="51"/>
      <c r="U526" s="51"/>
      <c r="V526" s="60"/>
      <c r="W526" s="38"/>
      <c r="X526" s="11"/>
      <c r="Y526" s="17"/>
      <c r="Z526" s="17"/>
      <c r="AA526" s="70"/>
      <c r="AB526" s="70"/>
      <c r="AC526" s="70"/>
      <c r="AD526" s="43"/>
      <c r="AE526" s="38"/>
      <c r="AF526" s="11"/>
      <c r="AG526" s="6"/>
      <c r="AH526" s="6"/>
      <c r="AI526" s="6"/>
      <c r="AJ526" s="43"/>
      <c r="AK526" s="38"/>
      <c r="AL526" s="11"/>
      <c r="AM526" s="6"/>
      <c r="AN526" s="6"/>
      <c r="AO526" s="6"/>
      <c r="AP526" s="43"/>
    </row>
    <row r="527" spans="1:42">
      <c r="A527" s="37">
        <v>504</v>
      </c>
      <c r="B527" s="155"/>
      <c r="C527" s="152" t="s">
        <v>1215</v>
      </c>
      <c r="D527" s="33"/>
      <c r="E527" s="33"/>
      <c r="F527" s="33"/>
      <c r="G527" s="33"/>
      <c r="H527" s="77" t="s">
        <v>1216</v>
      </c>
      <c r="I527" s="185"/>
      <c r="J527" s="146" t="s">
        <v>1092</v>
      </c>
      <c r="K527" s="125"/>
      <c r="L527" s="6"/>
      <c r="M527" s="6"/>
      <c r="N527" s="6"/>
      <c r="O527" s="51"/>
      <c r="P527" s="51"/>
      <c r="Q527" s="51"/>
      <c r="R527" s="60"/>
      <c r="S527" s="51"/>
      <c r="T527" s="51"/>
      <c r="U527" s="51"/>
      <c r="V527" s="60"/>
      <c r="W527" s="38"/>
      <c r="X527" s="11"/>
      <c r="Y527" s="17"/>
      <c r="Z527" s="17"/>
      <c r="AA527" s="70"/>
      <c r="AB527" s="70"/>
      <c r="AC527" s="70"/>
      <c r="AD527" s="43"/>
      <c r="AE527" s="38"/>
      <c r="AF527" s="11"/>
      <c r="AG527" s="6"/>
      <c r="AH527" s="6"/>
      <c r="AI527" s="6"/>
      <c r="AJ527" s="43"/>
      <c r="AK527" s="38"/>
      <c r="AL527" s="11"/>
      <c r="AM527" s="6"/>
      <c r="AN527" s="6"/>
      <c r="AO527" s="6"/>
      <c r="AP527" s="43"/>
    </row>
    <row r="528" spans="1:42" ht="27">
      <c r="A528" s="37">
        <v>505</v>
      </c>
      <c r="B528" s="155"/>
      <c r="C528" s="152" t="s">
        <v>1552</v>
      </c>
      <c r="D528" s="33"/>
      <c r="E528" s="33"/>
      <c r="F528" s="33"/>
      <c r="G528" s="33"/>
      <c r="H528" s="77" t="s">
        <v>1553</v>
      </c>
      <c r="I528" s="185" t="s">
        <v>993</v>
      </c>
      <c r="J528" s="146" t="s">
        <v>1092</v>
      </c>
      <c r="K528" s="125"/>
      <c r="L528" s="6"/>
      <c r="M528" s="6"/>
      <c r="N528" s="6"/>
      <c r="O528" s="51"/>
      <c r="P528" s="51"/>
      <c r="Q528" s="51"/>
      <c r="R528" s="60"/>
      <c r="S528" s="51"/>
      <c r="T528" s="51"/>
      <c r="U528" s="51"/>
      <c r="V528" s="60"/>
      <c r="W528" s="38"/>
      <c r="X528" s="11"/>
      <c r="Y528" s="17"/>
      <c r="Z528" s="17"/>
      <c r="AA528" s="70"/>
      <c r="AB528" s="70"/>
      <c r="AC528" s="70"/>
      <c r="AD528" s="43"/>
      <c r="AE528" s="38"/>
      <c r="AF528" s="11"/>
      <c r="AG528" s="6"/>
      <c r="AH528" s="6"/>
      <c r="AI528" s="6"/>
      <c r="AJ528" s="43"/>
      <c r="AK528" s="38"/>
      <c r="AL528" s="11"/>
      <c r="AM528" s="6"/>
      <c r="AN528" s="6"/>
      <c r="AO528" s="6"/>
      <c r="AP528" s="43"/>
    </row>
    <row r="529" spans="1:42">
      <c r="A529" s="37">
        <v>506</v>
      </c>
      <c r="B529" s="155"/>
      <c r="C529" s="152" t="s">
        <v>1716</v>
      </c>
      <c r="D529" s="33"/>
      <c r="E529" s="33"/>
      <c r="F529" s="33"/>
      <c r="G529" s="33"/>
      <c r="H529" s="77" t="s">
        <v>1902</v>
      </c>
      <c r="I529" s="185" t="s">
        <v>1711</v>
      </c>
      <c r="J529" s="146"/>
      <c r="K529" s="125"/>
      <c r="L529" s="6"/>
      <c r="M529" s="6"/>
      <c r="N529" s="6"/>
      <c r="O529" s="51"/>
      <c r="P529" s="51"/>
      <c r="Q529" s="51"/>
      <c r="R529" s="60"/>
      <c r="S529" s="51"/>
      <c r="T529" s="51"/>
      <c r="U529" s="51"/>
      <c r="V529" s="60"/>
      <c r="W529" s="38"/>
      <c r="X529" s="11"/>
      <c r="Y529" s="17"/>
      <c r="Z529" s="17"/>
      <c r="AA529" s="70"/>
      <c r="AB529" s="70"/>
      <c r="AC529" s="70"/>
      <c r="AD529" s="43"/>
      <c r="AE529" s="38"/>
      <c r="AF529" s="11"/>
      <c r="AG529" s="6"/>
      <c r="AH529" s="6"/>
      <c r="AI529" s="6"/>
      <c r="AJ529" s="43"/>
      <c r="AK529" s="38"/>
      <c r="AL529" s="11"/>
      <c r="AM529" s="6"/>
      <c r="AN529" s="6"/>
      <c r="AO529" s="6"/>
      <c r="AP529" s="43"/>
    </row>
    <row r="530" spans="1:42">
      <c r="A530" s="37">
        <v>507</v>
      </c>
      <c r="B530" s="155"/>
      <c r="C530" s="152" t="s">
        <v>1396</v>
      </c>
      <c r="D530" s="33"/>
      <c r="E530" s="33"/>
      <c r="F530" s="33"/>
      <c r="G530" s="33"/>
      <c r="H530" s="222" t="s">
        <v>1397</v>
      </c>
      <c r="I530" s="223"/>
      <c r="J530" s="146"/>
      <c r="K530" s="125"/>
      <c r="L530" s="6"/>
      <c r="M530" s="6"/>
      <c r="N530" s="6"/>
      <c r="O530" s="51"/>
      <c r="P530" s="51"/>
      <c r="Q530" s="51"/>
      <c r="R530" s="60"/>
      <c r="S530" s="51"/>
      <c r="T530" s="51"/>
      <c r="U530" s="51"/>
      <c r="V530" s="60"/>
      <c r="W530" s="38"/>
      <c r="X530" s="11"/>
      <c r="Y530" s="17"/>
      <c r="Z530" s="17"/>
      <c r="AA530" s="70"/>
      <c r="AB530" s="70"/>
      <c r="AC530" s="70"/>
      <c r="AD530" s="43"/>
      <c r="AE530" s="38"/>
      <c r="AF530" s="11"/>
      <c r="AG530" s="6"/>
      <c r="AH530" s="6"/>
      <c r="AI530" s="6"/>
      <c r="AJ530" s="43"/>
      <c r="AK530" s="38"/>
      <c r="AL530" s="11"/>
      <c r="AM530" s="6"/>
      <c r="AN530" s="6"/>
      <c r="AO530" s="6"/>
      <c r="AP530" s="43"/>
    </row>
    <row r="531" spans="1:42">
      <c r="A531" s="37">
        <v>508</v>
      </c>
      <c r="B531" s="155"/>
      <c r="C531" s="152" t="s">
        <v>817</v>
      </c>
      <c r="D531" s="33"/>
      <c r="E531" s="33"/>
      <c r="F531" s="33"/>
      <c r="G531" s="33"/>
      <c r="H531" s="113" t="s">
        <v>908</v>
      </c>
      <c r="I531" s="192"/>
      <c r="J531" s="146"/>
      <c r="K531" s="125"/>
      <c r="L531" s="6"/>
      <c r="M531" s="6"/>
      <c r="N531" s="6"/>
      <c r="O531" s="51"/>
      <c r="P531" s="51"/>
      <c r="Q531" s="51"/>
      <c r="R531" s="60"/>
      <c r="S531" s="51"/>
      <c r="T531" s="51"/>
      <c r="U531" s="51"/>
      <c r="V531" s="60"/>
      <c r="W531" s="38"/>
      <c r="X531" s="11"/>
      <c r="Y531" s="17"/>
      <c r="Z531" s="17"/>
      <c r="AA531" s="70"/>
      <c r="AB531" s="70"/>
      <c r="AC531" s="70"/>
      <c r="AD531" s="43"/>
      <c r="AE531" s="38"/>
      <c r="AF531" s="11"/>
      <c r="AG531" s="6"/>
      <c r="AH531" s="6"/>
      <c r="AI531" s="6"/>
      <c r="AJ531" s="43"/>
      <c r="AK531" s="38"/>
      <c r="AL531" s="11"/>
      <c r="AM531" s="6"/>
      <c r="AN531" s="6"/>
      <c r="AO531" s="6"/>
      <c r="AP531" s="43"/>
    </row>
    <row r="532" spans="1:42">
      <c r="A532" s="37">
        <v>509</v>
      </c>
      <c r="B532" s="155"/>
      <c r="C532" s="152" t="s">
        <v>649</v>
      </c>
      <c r="D532" s="33"/>
      <c r="E532" s="33"/>
      <c r="F532" s="33"/>
      <c r="G532" s="33"/>
      <c r="H532" s="77" t="s">
        <v>641</v>
      </c>
      <c r="I532" s="185" t="s">
        <v>982</v>
      </c>
      <c r="J532" s="146"/>
      <c r="K532" s="125"/>
      <c r="L532" s="6"/>
      <c r="M532" s="6"/>
      <c r="N532" s="6"/>
      <c r="O532" s="51"/>
      <c r="P532" s="51"/>
      <c r="Q532" s="51"/>
      <c r="R532" s="60"/>
      <c r="S532" s="51"/>
      <c r="T532" s="51"/>
      <c r="U532" s="51"/>
      <c r="V532" s="60"/>
      <c r="W532" s="38"/>
      <c r="X532" s="11"/>
      <c r="Y532" s="17"/>
      <c r="Z532" s="17"/>
      <c r="AA532" s="70"/>
      <c r="AB532" s="70"/>
      <c r="AC532" s="70"/>
      <c r="AD532" s="43"/>
      <c r="AE532" s="38"/>
      <c r="AF532" s="11"/>
      <c r="AG532" s="6"/>
      <c r="AH532" s="6"/>
      <c r="AI532" s="6"/>
      <c r="AJ532" s="43"/>
      <c r="AK532" s="38"/>
      <c r="AL532" s="11"/>
      <c r="AM532" s="6"/>
      <c r="AN532" s="6"/>
      <c r="AO532" s="6"/>
      <c r="AP532" s="43"/>
    </row>
    <row r="533" spans="1:42">
      <c r="A533" s="37">
        <v>510</v>
      </c>
      <c r="B533" s="155"/>
      <c r="C533" s="152" t="s">
        <v>1712</v>
      </c>
      <c r="D533" s="33"/>
      <c r="E533" s="33"/>
      <c r="F533" s="33"/>
      <c r="G533" s="33"/>
      <c r="H533" s="77" t="s">
        <v>1725</v>
      </c>
      <c r="I533" s="185" t="s">
        <v>1727</v>
      </c>
      <c r="J533" s="146" t="s">
        <v>1726</v>
      </c>
      <c r="K533" s="125"/>
      <c r="L533" s="6"/>
      <c r="M533" s="6"/>
      <c r="N533" s="6"/>
      <c r="O533" s="51"/>
      <c r="P533" s="51"/>
      <c r="Q533" s="51"/>
      <c r="R533" s="60"/>
      <c r="S533" s="51"/>
      <c r="T533" s="51"/>
      <c r="U533" s="51"/>
      <c r="V533" s="60"/>
      <c r="W533" s="38"/>
      <c r="X533" s="11"/>
      <c r="Y533" s="17"/>
      <c r="Z533" s="17"/>
      <c r="AA533" s="70"/>
      <c r="AB533" s="70"/>
      <c r="AC533" s="70"/>
      <c r="AD533" s="43"/>
      <c r="AE533" s="38"/>
      <c r="AF533" s="11"/>
      <c r="AG533" s="6"/>
      <c r="AH533" s="6"/>
      <c r="AI533" s="6"/>
      <c r="AJ533" s="43"/>
      <c r="AK533" s="38"/>
      <c r="AL533" s="11"/>
      <c r="AM533" s="6"/>
      <c r="AN533" s="6"/>
      <c r="AO533" s="6"/>
      <c r="AP533" s="43"/>
    </row>
    <row r="534" spans="1:42">
      <c r="A534" s="37">
        <v>511</v>
      </c>
      <c r="B534" s="155"/>
      <c r="C534" s="152" t="s">
        <v>1713</v>
      </c>
      <c r="D534" s="33"/>
      <c r="E534" s="33"/>
      <c r="F534" s="33"/>
      <c r="G534" s="33"/>
      <c r="H534" s="77" t="s">
        <v>1765</v>
      </c>
      <c r="I534" s="185"/>
      <c r="J534" s="146" t="s">
        <v>1764</v>
      </c>
      <c r="K534" s="125"/>
      <c r="L534" s="6"/>
      <c r="M534" s="6"/>
      <c r="N534" s="6"/>
      <c r="O534" s="51"/>
      <c r="P534" s="51"/>
      <c r="Q534" s="51"/>
      <c r="R534" s="60"/>
      <c r="S534" s="51"/>
      <c r="T534" s="51"/>
      <c r="U534" s="51"/>
      <c r="V534" s="60"/>
      <c r="W534" s="38"/>
      <c r="X534" s="11"/>
      <c r="Y534" s="17"/>
      <c r="Z534" s="17"/>
      <c r="AA534" s="70"/>
      <c r="AB534" s="70"/>
      <c r="AC534" s="70"/>
      <c r="AD534" s="43"/>
      <c r="AE534" s="38"/>
      <c r="AF534" s="11"/>
      <c r="AG534" s="6"/>
      <c r="AH534" s="6"/>
      <c r="AI534" s="6"/>
      <c r="AJ534" s="43"/>
      <c r="AK534" s="38"/>
      <c r="AL534" s="11"/>
      <c r="AM534" s="6"/>
      <c r="AN534" s="6"/>
      <c r="AO534" s="6"/>
      <c r="AP534" s="43"/>
    </row>
    <row r="535" spans="1:42">
      <c r="A535" s="37">
        <v>512</v>
      </c>
      <c r="B535" s="155"/>
      <c r="C535" s="152" t="s">
        <v>690</v>
      </c>
      <c r="D535" s="33"/>
      <c r="E535" s="33"/>
      <c r="F535" s="33"/>
      <c r="G535" s="33"/>
      <c r="H535" s="77" t="s">
        <v>691</v>
      </c>
      <c r="I535" s="185"/>
      <c r="J535" s="146" t="s">
        <v>769</v>
      </c>
      <c r="K535" s="125"/>
      <c r="L535" s="6"/>
      <c r="M535" s="6"/>
      <c r="N535" s="6"/>
      <c r="O535" s="51"/>
      <c r="P535" s="51"/>
      <c r="Q535" s="51"/>
      <c r="R535" s="60"/>
      <c r="S535" s="51"/>
      <c r="T535" s="51"/>
      <c r="U535" s="51"/>
      <c r="V535" s="60"/>
      <c r="W535" s="38"/>
      <c r="X535" s="11"/>
      <c r="Y535" s="17"/>
      <c r="Z535" s="17"/>
      <c r="AA535" s="70"/>
      <c r="AB535" s="70"/>
      <c r="AC535" s="70"/>
      <c r="AD535" s="43"/>
      <c r="AE535" s="38"/>
      <c r="AF535" s="11"/>
      <c r="AG535" s="6"/>
      <c r="AH535" s="6"/>
      <c r="AI535" s="6"/>
      <c r="AJ535" s="43"/>
      <c r="AK535" s="38"/>
      <c r="AL535" s="11"/>
      <c r="AM535" s="6"/>
      <c r="AN535" s="6"/>
      <c r="AO535" s="6"/>
      <c r="AP535" s="43"/>
    </row>
    <row r="536" spans="1:42">
      <c r="A536" s="37">
        <v>513</v>
      </c>
      <c r="B536" s="155"/>
      <c r="C536" s="152" t="s">
        <v>676</v>
      </c>
      <c r="D536" s="33"/>
      <c r="E536" s="33"/>
      <c r="F536" s="33"/>
      <c r="G536" s="33"/>
      <c r="H536" s="111" t="s">
        <v>909</v>
      </c>
      <c r="I536" s="194"/>
      <c r="J536" s="145" t="s">
        <v>777</v>
      </c>
      <c r="K536" s="125"/>
      <c r="L536" s="6"/>
      <c r="M536" s="6"/>
      <c r="N536" s="6"/>
      <c r="O536" s="51"/>
      <c r="P536" s="51"/>
      <c r="Q536" s="51"/>
      <c r="R536" s="60"/>
      <c r="S536" s="51"/>
      <c r="T536" s="51"/>
      <c r="U536" s="51"/>
      <c r="V536" s="60"/>
      <c r="W536" s="38"/>
      <c r="X536" s="11"/>
      <c r="Y536" s="17"/>
      <c r="Z536" s="17"/>
      <c r="AA536" s="70"/>
      <c r="AB536" s="70"/>
      <c r="AC536" s="70"/>
      <c r="AD536" s="43"/>
      <c r="AE536" s="38"/>
      <c r="AF536" s="11"/>
      <c r="AG536" s="6"/>
      <c r="AH536" s="6"/>
      <c r="AI536" s="6"/>
      <c r="AJ536" s="43"/>
      <c r="AK536" s="38"/>
      <c r="AL536" s="11"/>
      <c r="AM536" s="6"/>
      <c r="AN536" s="6"/>
      <c r="AO536" s="6"/>
      <c r="AP536" s="43"/>
    </row>
    <row r="537" spans="1:42">
      <c r="A537" s="37">
        <v>514</v>
      </c>
      <c r="B537" s="155"/>
      <c r="C537" s="152" t="s">
        <v>735</v>
      </c>
      <c r="D537" s="33"/>
      <c r="E537" s="33"/>
      <c r="F537" s="33"/>
      <c r="G537" s="33"/>
      <c r="H537" s="111" t="s">
        <v>750</v>
      </c>
      <c r="I537" s="194" t="s">
        <v>977</v>
      </c>
      <c r="J537" s="145" t="s">
        <v>751</v>
      </c>
      <c r="K537" s="125"/>
      <c r="L537" s="6"/>
      <c r="M537" s="6"/>
      <c r="N537" s="6"/>
      <c r="O537" s="51"/>
      <c r="P537" s="51"/>
      <c r="Q537" s="51"/>
      <c r="R537" s="60"/>
      <c r="S537" s="51"/>
      <c r="T537" s="116"/>
      <c r="U537" s="116"/>
      <c r="V537" s="117"/>
      <c r="W537" s="118"/>
      <c r="AA537" s="119"/>
      <c r="AB537" s="119"/>
      <c r="AC537" s="119"/>
      <c r="AE537" s="118"/>
      <c r="AG537" s="8"/>
      <c r="AH537" s="8"/>
      <c r="AI537" s="8"/>
      <c r="AK537" s="118"/>
      <c r="AM537" s="8"/>
      <c r="AN537" s="8"/>
      <c r="AO537" s="8"/>
    </row>
    <row r="538" spans="1:42">
      <c r="A538" s="37">
        <v>515</v>
      </c>
      <c r="B538" s="155"/>
      <c r="C538" s="152" t="s">
        <v>1815</v>
      </c>
      <c r="D538" s="33"/>
      <c r="E538" s="33"/>
      <c r="F538" s="33"/>
      <c r="G538" s="33"/>
      <c r="H538" s="111" t="s">
        <v>910</v>
      </c>
      <c r="I538" s="194" t="s">
        <v>1741</v>
      </c>
      <c r="J538" s="145" t="s">
        <v>791</v>
      </c>
      <c r="K538" s="125"/>
      <c r="L538" s="6"/>
      <c r="M538" s="6"/>
      <c r="N538" s="6"/>
      <c r="O538" s="51"/>
      <c r="P538" s="51"/>
      <c r="Q538" s="51"/>
      <c r="R538" s="60"/>
      <c r="S538" s="51"/>
      <c r="T538" s="116"/>
      <c r="U538" s="116"/>
      <c r="V538" s="117"/>
      <c r="W538" s="118"/>
      <c r="AA538" s="119"/>
      <c r="AB538" s="119"/>
      <c r="AC538" s="119"/>
      <c r="AE538" s="118"/>
      <c r="AG538" s="8"/>
      <c r="AH538" s="8"/>
      <c r="AI538" s="8"/>
      <c r="AK538" s="118"/>
      <c r="AM538" s="8"/>
      <c r="AN538" s="8"/>
      <c r="AO538" s="8"/>
    </row>
    <row r="539" spans="1:42">
      <c r="A539" s="37">
        <v>516</v>
      </c>
      <c r="B539" s="155"/>
      <c r="C539" s="152" t="s">
        <v>1828</v>
      </c>
      <c r="D539" s="33"/>
      <c r="E539" s="33"/>
      <c r="F539" s="33"/>
      <c r="G539" s="33"/>
      <c r="H539" s="113" t="s">
        <v>1830</v>
      </c>
      <c r="I539" s="192" t="s">
        <v>1246</v>
      </c>
      <c r="J539" s="145"/>
      <c r="K539" s="125"/>
      <c r="L539" s="6"/>
      <c r="M539" s="6"/>
      <c r="N539" s="6"/>
      <c r="O539" s="51"/>
      <c r="P539" s="51"/>
      <c r="Q539" s="51"/>
      <c r="R539" s="60"/>
      <c r="S539" s="51"/>
      <c r="T539" s="116"/>
      <c r="U539" s="116"/>
      <c r="V539" s="117"/>
      <c r="W539" s="118"/>
      <c r="AA539" s="119"/>
      <c r="AB539" s="119"/>
      <c r="AC539" s="119"/>
      <c r="AE539" s="118"/>
      <c r="AG539" s="8"/>
      <c r="AH539" s="8"/>
      <c r="AI539" s="8"/>
      <c r="AK539" s="118"/>
      <c r="AM539" s="8"/>
      <c r="AN539" s="8"/>
      <c r="AO539" s="8"/>
    </row>
    <row r="540" spans="1:42">
      <c r="A540" s="37">
        <v>517</v>
      </c>
      <c r="B540" s="156"/>
      <c r="C540" s="152" t="s">
        <v>1433</v>
      </c>
      <c r="D540" s="33"/>
      <c r="E540" s="33"/>
      <c r="F540" s="33"/>
      <c r="G540" s="33"/>
      <c r="H540" s="77" t="s">
        <v>1445</v>
      </c>
      <c r="I540" s="194" t="s">
        <v>1434</v>
      </c>
      <c r="J540" s="145" t="s">
        <v>1157</v>
      </c>
      <c r="K540" s="125"/>
      <c r="L540" s="6"/>
      <c r="M540" s="6"/>
      <c r="N540" s="6"/>
      <c r="O540" s="51"/>
      <c r="P540" s="51"/>
      <c r="Q540" s="51"/>
      <c r="R540" s="60"/>
      <c r="S540" s="51"/>
      <c r="T540" s="116"/>
      <c r="U540" s="116"/>
      <c r="V540" s="117"/>
      <c r="W540" s="118"/>
      <c r="AA540" s="119"/>
      <c r="AB540" s="119"/>
      <c r="AC540" s="119"/>
      <c r="AE540" s="118"/>
      <c r="AG540" s="8"/>
      <c r="AH540" s="8"/>
      <c r="AI540" s="8"/>
      <c r="AK540" s="118"/>
      <c r="AM540" s="8"/>
      <c r="AN540" s="8"/>
      <c r="AO540" s="8"/>
    </row>
    <row r="541" spans="1:42">
      <c r="A541" s="37">
        <v>518</v>
      </c>
      <c r="B541" s="156" t="s">
        <v>296</v>
      </c>
      <c r="C541" s="152" t="s">
        <v>1889</v>
      </c>
      <c r="D541" s="33"/>
      <c r="E541" s="33"/>
      <c r="F541" s="33"/>
      <c r="G541" s="33"/>
      <c r="H541" s="77" t="s">
        <v>1841</v>
      </c>
      <c r="I541" s="194" t="s">
        <v>1029</v>
      </c>
      <c r="J541" s="145"/>
      <c r="K541" s="125"/>
      <c r="L541" s="6"/>
      <c r="M541" s="6"/>
      <c r="N541" s="6"/>
      <c r="O541" s="51"/>
      <c r="P541" s="51"/>
      <c r="Q541" s="51"/>
      <c r="R541" s="60"/>
      <c r="S541" s="51"/>
      <c r="T541" s="116"/>
      <c r="U541" s="116"/>
      <c r="V541" s="117"/>
      <c r="W541" s="118"/>
      <c r="AA541" s="119"/>
      <c r="AB541" s="119"/>
      <c r="AC541" s="119"/>
      <c r="AE541" s="118"/>
      <c r="AG541" s="8"/>
      <c r="AH541" s="8"/>
      <c r="AI541" s="8"/>
      <c r="AK541" s="118"/>
      <c r="AM541" s="8"/>
      <c r="AN541" s="8"/>
      <c r="AO541" s="8"/>
    </row>
    <row r="542" spans="1:42">
      <c r="A542" s="37"/>
      <c r="B542" s="156"/>
      <c r="C542" s="152" t="s">
        <v>2064</v>
      </c>
      <c r="D542" s="33"/>
      <c r="E542" s="33"/>
      <c r="F542" s="33"/>
      <c r="G542" s="33"/>
      <c r="H542" s="77" t="s">
        <v>2065</v>
      </c>
      <c r="I542" s="194" t="s">
        <v>2066</v>
      </c>
      <c r="J542" s="145"/>
      <c r="K542" s="125"/>
      <c r="L542" s="6"/>
      <c r="M542" s="6"/>
      <c r="N542" s="6"/>
      <c r="O542" s="51"/>
      <c r="P542" s="51"/>
      <c r="Q542" s="51"/>
      <c r="R542" s="60"/>
      <c r="S542" s="51"/>
      <c r="T542" s="116"/>
      <c r="U542" s="116"/>
      <c r="V542" s="117"/>
      <c r="W542" s="118"/>
      <c r="AA542" s="119"/>
      <c r="AB542" s="119"/>
      <c r="AC542" s="119"/>
      <c r="AE542" s="118"/>
      <c r="AG542" s="8"/>
      <c r="AH542" s="8"/>
      <c r="AI542" s="8"/>
      <c r="AK542" s="118"/>
      <c r="AM542" s="8"/>
      <c r="AN542" s="8"/>
      <c r="AO542" s="8"/>
    </row>
    <row r="543" spans="1:42">
      <c r="A543" s="37">
        <v>519</v>
      </c>
      <c r="B543" s="156" t="s">
        <v>296</v>
      </c>
      <c r="C543" s="152" t="s">
        <v>1104</v>
      </c>
      <c r="D543" s="33"/>
      <c r="E543" s="33"/>
      <c r="F543" s="33"/>
      <c r="G543" s="33"/>
      <c r="H543" s="77" t="s">
        <v>1431</v>
      </c>
      <c r="I543" s="194" t="s">
        <v>1105</v>
      </c>
      <c r="J543" s="145" t="s">
        <v>1157</v>
      </c>
      <c r="K543" s="125"/>
      <c r="L543" s="6"/>
      <c r="M543" s="6"/>
      <c r="N543" s="6"/>
      <c r="O543" s="51"/>
      <c r="P543" s="51"/>
      <c r="Q543" s="51"/>
      <c r="R543" s="60"/>
      <c r="S543" s="51"/>
      <c r="T543" s="116"/>
      <c r="U543" s="116"/>
      <c r="V543" s="117"/>
      <c r="W543" s="118"/>
      <c r="AA543" s="119"/>
      <c r="AB543" s="119"/>
      <c r="AC543" s="119"/>
      <c r="AE543" s="118"/>
      <c r="AG543" s="8"/>
      <c r="AH543" s="8"/>
      <c r="AI543" s="8"/>
      <c r="AK543" s="118"/>
      <c r="AM543" s="8"/>
      <c r="AN543" s="8"/>
      <c r="AO543" s="8"/>
    </row>
    <row r="544" spans="1:42">
      <c r="A544" s="37">
        <v>520</v>
      </c>
      <c r="B544" s="156" t="s">
        <v>296</v>
      </c>
      <c r="C544" s="152" t="s">
        <v>1799</v>
      </c>
      <c r="D544" s="33"/>
      <c r="E544" s="33"/>
      <c r="F544" s="33"/>
      <c r="G544" s="33"/>
      <c r="H544" s="77" t="s">
        <v>1800</v>
      </c>
      <c r="I544" s="185" t="s">
        <v>1801</v>
      </c>
      <c r="J544" s="145"/>
      <c r="K544" s="125"/>
      <c r="L544" s="6"/>
      <c r="M544" s="6"/>
      <c r="N544" s="6"/>
      <c r="O544" s="51"/>
      <c r="P544" s="51"/>
      <c r="Q544" s="51"/>
      <c r="R544" s="60"/>
      <c r="S544" s="51"/>
      <c r="T544" s="116"/>
      <c r="U544" s="116"/>
      <c r="V544" s="117"/>
      <c r="W544" s="118"/>
      <c r="AA544" s="119"/>
      <c r="AB544" s="119"/>
      <c r="AC544" s="119"/>
      <c r="AE544" s="118"/>
      <c r="AG544" s="8"/>
      <c r="AH544" s="8"/>
      <c r="AI544" s="8"/>
      <c r="AK544" s="118"/>
      <c r="AM544" s="8"/>
      <c r="AN544" s="8"/>
      <c r="AO544" s="8"/>
    </row>
    <row r="545" spans="1:41">
      <c r="A545" s="37">
        <v>521</v>
      </c>
      <c r="B545" s="156" t="s">
        <v>296</v>
      </c>
      <c r="C545" s="152" t="s">
        <v>826</v>
      </c>
      <c r="D545" s="33"/>
      <c r="E545" s="33"/>
      <c r="F545" s="33"/>
      <c r="G545" s="33"/>
      <c r="H545" s="77" t="s">
        <v>1576</v>
      </c>
      <c r="I545" s="185" t="s">
        <v>1059</v>
      </c>
      <c r="J545" s="145"/>
      <c r="K545" s="125"/>
      <c r="L545" s="6"/>
      <c r="M545" s="6"/>
      <c r="N545" s="6"/>
      <c r="O545" s="51"/>
      <c r="P545" s="51"/>
      <c r="Q545" s="51"/>
      <c r="R545" s="60"/>
      <c r="S545" s="51"/>
      <c r="T545" s="116"/>
      <c r="U545" s="116"/>
      <c r="V545" s="117"/>
      <c r="W545" s="118"/>
      <c r="AA545" s="119"/>
      <c r="AB545" s="119"/>
      <c r="AC545" s="119"/>
      <c r="AE545" s="118"/>
      <c r="AG545" s="8"/>
      <c r="AH545" s="8"/>
      <c r="AI545" s="8"/>
      <c r="AK545" s="118"/>
      <c r="AM545" s="8"/>
      <c r="AN545" s="8"/>
      <c r="AO545" s="8"/>
    </row>
    <row r="546" spans="1:41">
      <c r="A546" s="37">
        <v>522</v>
      </c>
      <c r="B546" s="156" t="s">
        <v>296</v>
      </c>
      <c r="C546" s="152" t="s">
        <v>656</v>
      </c>
      <c r="D546" s="33"/>
      <c r="E546" s="33"/>
      <c r="F546" s="33"/>
      <c r="G546" s="33"/>
      <c r="H546" s="77" t="s">
        <v>911</v>
      </c>
      <c r="I546" s="185" t="s">
        <v>982</v>
      </c>
      <c r="J546" s="145" t="s">
        <v>788</v>
      </c>
      <c r="K546" s="125"/>
      <c r="L546" s="6"/>
      <c r="M546" s="6"/>
      <c r="N546" s="6"/>
      <c r="O546" s="51"/>
      <c r="P546" s="51"/>
      <c r="Q546" s="51"/>
      <c r="R546" s="60"/>
      <c r="S546" s="51"/>
      <c r="T546" s="116"/>
      <c r="U546" s="116"/>
      <c r="V546" s="117"/>
      <c r="W546" s="118"/>
      <c r="AA546" s="119"/>
      <c r="AB546" s="119"/>
      <c r="AC546" s="119"/>
      <c r="AE546" s="118"/>
      <c r="AG546" s="8"/>
      <c r="AH546" s="8"/>
      <c r="AI546" s="8"/>
      <c r="AK546" s="118"/>
      <c r="AM546" s="8"/>
      <c r="AN546" s="8"/>
      <c r="AO546" s="8"/>
    </row>
    <row r="547" spans="1:41">
      <c r="A547" s="37"/>
      <c r="B547" s="156"/>
      <c r="C547" s="152" t="s">
        <v>2069</v>
      </c>
      <c r="D547" s="33"/>
      <c r="E547" s="33"/>
      <c r="F547" s="33"/>
      <c r="G547" s="33"/>
      <c r="H547" s="77" t="s">
        <v>911</v>
      </c>
      <c r="I547" s="185" t="s">
        <v>982</v>
      </c>
      <c r="J547" s="145"/>
      <c r="K547" s="125"/>
      <c r="L547" s="6"/>
      <c r="M547" s="6"/>
      <c r="N547" s="6"/>
      <c r="O547" s="51"/>
      <c r="P547" s="51"/>
      <c r="Q547" s="51"/>
      <c r="R547" s="60"/>
      <c r="S547" s="51"/>
      <c r="T547" s="116"/>
      <c r="U547" s="116"/>
      <c r="V547" s="117"/>
      <c r="W547" s="118"/>
      <c r="AA547" s="119"/>
      <c r="AB547" s="119"/>
      <c r="AC547" s="119"/>
      <c r="AE547" s="118"/>
      <c r="AG547" s="8"/>
      <c r="AH547" s="8"/>
      <c r="AI547" s="8"/>
      <c r="AK547" s="118"/>
      <c r="AM547" s="8"/>
      <c r="AN547" s="8"/>
      <c r="AO547" s="8"/>
    </row>
    <row r="548" spans="1:41">
      <c r="A548" s="37">
        <v>523</v>
      </c>
      <c r="B548" s="156"/>
      <c r="C548" s="152" t="s">
        <v>2068</v>
      </c>
      <c r="D548" s="33"/>
      <c r="E548" s="33"/>
      <c r="F548" s="33"/>
      <c r="G548" s="33"/>
      <c r="H548" s="77" t="s">
        <v>2067</v>
      </c>
      <c r="I548" s="185" t="s">
        <v>982</v>
      </c>
      <c r="J548" s="145" t="s">
        <v>788</v>
      </c>
      <c r="K548" s="125"/>
      <c r="L548" s="6"/>
      <c r="M548" s="6"/>
      <c r="N548" s="6"/>
      <c r="O548" s="51"/>
      <c r="P548" s="51"/>
      <c r="Q548" s="51"/>
      <c r="R548" s="60"/>
      <c r="S548" s="51"/>
      <c r="T548" s="62"/>
      <c r="U548" s="62"/>
    </row>
    <row r="549" spans="1:41">
      <c r="A549" s="37">
        <v>524</v>
      </c>
      <c r="B549" s="156"/>
      <c r="C549" s="152" t="s">
        <v>1762</v>
      </c>
      <c r="D549" s="33"/>
      <c r="E549" s="33"/>
      <c r="F549" s="33"/>
      <c r="G549" s="33"/>
      <c r="H549" s="147" t="s">
        <v>1767</v>
      </c>
      <c r="I549" s="185"/>
      <c r="J549" s="145"/>
      <c r="K549" s="125"/>
      <c r="L549" s="6"/>
      <c r="M549" s="6"/>
      <c r="N549" s="6"/>
      <c r="O549" s="51"/>
      <c r="P549" s="51"/>
      <c r="Q549" s="51"/>
      <c r="R549" s="60"/>
      <c r="S549" s="51"/>
      <c r="T549" s="62"/>
      <c r="U549" s="62"/>
    </row>
    <row r="550" spans="1:41">
      <c r="A550" s="37">
        <v>525</v>
      </c>
      <c r="B550" s="156" t="s">
        <v>296</v>
      </c>
      <c r="C550" s="152" t="s">
        <v>1344</v>
      </c>
      <c r="D550" s="33"/>
      <c r="E550" s="33"/>
      <c r="F550" s="33"/>
      <c r="G550" s="33"/>
      <c r="H550" s="147" t="s">
        <v>1345</v>
      </c>
      <c r="I550" s="200"/>
      <c r="J550" s="145"/>
      <c r="K550" s="125"/>
      <c r="L550" s="6"/>
      <c r="M550" s="6"/>
      <c r="N550" s="6"/>
      <c r="O550" s="51"/>
      <c r="P550" s="51"/>
      <c r="Q550" s="51"/>
      <c r="R550" s="60"/>
      <c r="S550" s="51"/>
    </row>
    <row r="551" spans="1:41">
      <c r="A551" s="37">
        <v>526</v>
      </c>
      <c r="B551" s="156" t="s">
        <v>296</v>
      </c>
      <c r="C551" s="152" t="s">
        <v>1346</v>
      </c>
      <c r="D551" s="33"/>
      <c r="E551" s="33"/>
      <c r="F551" s="33"/>
      <c r="G551" s="33"/>
      <c r="H551" s="147" t="s">
        <v>1347</v>
      </c>
      <c r="I551" s="200"/>
      <c r="J551" s="145"/>
      <c r="K551" s="125"/>
      <c r="L551" s="6"/>
      <c r="M551" s="6"/>
      <c r="N551" s="6"/>
      <c r="O551" s="51"/>
      <c r="P551" s="51"/>
      <c r="Q551" s="51"/>
      <c r="R551" s="60"/>
      <c r="S551" s="51"/>
    </row>
    <row r="552" spans="1:41">
      <c r="A552" s="37">
        <v>527</v>
      </c>
      <c r="B552" s="156" t="s">
        <v>296</v>
      </c>
      <c r="C552" s="152" t="s">
        <v>292</v>
      </c>
      <c r="D552" s="33"/>
      <c r="E552" s="33"/>
      <c r="F552" s="33"/>
      <c r="G552" s="33"/>
      <c r="H552" s="147" t="s">
        <v>852</v>
      </c>
      <c r="I552" s="200"/>
      <c r="J552" s="145"/>
      <c r="K552" s="125"/>
      <c r="L552" s="6"/>
      <c r="M552" s="6"/>
      <c r="N552" s="6"/>
      <c r="O552" s="51"/>
      <c r="P552" s="51"/>
      <c r="Q552" s="51"/>
      <c r="R552" s="60"/>
      <c r="S552" s="51"/>
    </row>
    <row r="553" spans="1:41">
      <c r="A553" s="37">
        <v>528</v>
      </c>
      <c r="B553" s="156" t="s">
        <v>296</v>
      </c>
      <c r="C553" s="152" t="s">
        <v>1348</v>
      </c>
      <c r="D553" s="33"/>
      <c r="E553" s="33"/>
      <c r="F553" s="33"/>
      <c r="G553" s="33"/>
      <c r="H553" s="147" t="s">
        <v>1349</v>
      </c>
      <c r="I553" s="200"/>
      <c r="J553" s="145"/>
      <c r="K553" s="125"/>
      <c r="L553" s="6"/>
      <c r="M553" s="6"/>
      <c r="N553" s="6"/>
      <c r="O553" s="51"/>
      <c r="P553" s="51"/>
      <c r="Q553" s="51"/>
      <c r="R553" s="60"/>
      <c r="S553" s="51"/>
    </row>
    <row r="554" spans="1:41">
      <c r="A554" s="37">
        <v>529</v>
      </c>
      <c r="C554" s="174"/>
    </row>
    <row r="555" spans="1:41">
      <c r="A555" s="37">
        <v>530</v>
      </c>
      <c r="C555" s="174"/>
    </row>
    <row r="556" spans="1:41">
      <c r="A556" s="37">
        <v>531</v>
      </c>
      <c r="C556" s="174"/>
    </row>
    <row r="557" spans="1:41">
      <c r="A557" s="37">
        <v>532</v>
      </c>
      <c r="C557" s="174"/>
    </row>
    <row r="558" spans="1:41">
      <c r="A558" s="37">
        <v>533</v>
      </c>
      <c r="C558" s="174"/>
    </row>
    <row r="559" spans="1:41">
      <c r="A559" s="37">
        <v>534</v>
      </c>
      <c r="C559" s="174"/>
    </row>
    <row r="560" spans="1:41">
      <c r="A560" s="37">
        <v>535</v>
      </c>
      <c r="C560" s="174"/>
    </row>
    <row r="561" spans="1:3">
      <c r="A561" s="37">
        <v>536</v>
      </c>
      <c r="C561" s="174"/>
    </row>
    <row r="562" spans="1:3">
      <c r="A562" s="37">
        <v>537</v>
      </c>
      <c r="C562" s="174"/>
    </row>
    <row r="563" spans="1:3">
      <c r="A563" s="37">
        <v>538</v>
      </c>
      <c r="C563" s="174"/>
    </row>
    <row r="564" spans="1:3">
      <c r="A564" s="37">
        <v>539</v>
      </c>
      <c r="C564" s="174"/>
    </row>
    <row r="565" spans="1:3">
      <c r="A565" s="37">
        <v>540</v>
      </c>
      <c r="C565" s="174"/>
    </row>
    <row r="566" spans="1:3">
      <c r="A566" s="37">
        <v>541</v>
      </c>
      <c r="C566" s="174"/>
    </row>
    <row r="567" spans="1:3">
      <c r="A567" s="37">
        <v>542</v>
      </c>
      <c r="C567" s="174"/>
    </row>
    <row r="568" spans="1:3">
      <c r="A568" s="37">
        <v>543</v>
      </c>
      <c r="C568" s="174"/>
    </row>
    <row r="569" spans="1:3">
      <c r="A569" s="37">
        <v>544</v>
      </c>
      <c r="C569" s="174"/>
    </row>
    <row r="570" spans="1:3">
      <c r="A570" s="37">
        <v>545</v>
      </c>
      <c r="C570" s="174"/>
    </row>
    <row r="571" spans="1:3">
      <c r="A571" s="37">
        <v>546</v>
      </c>
      <c r="C571" s="174"/>
    </row>
    <row r="572" spans="1:3">
      <c r="A572" s="37">
        <v>547</v>
      </c>
      <c r="C572" s="174"/>
    </row>
    <row r="573" spans="1:3">
      <c r="A573" s="37">
        <v>548</v>
      </c>
      <c r="C573" s="174"/>
    </row>
    <row r="574" spans="1:3">
      <c r="A574" s="37">
        <v>549</v>
      </c>
      <c r="C574" s="174"/>
    </row>
    <row r="575" spans="1:3">
      <c r="A575" s="37">
        <v>550</v>
      </c>
      <c r="C575" s="174"/>
    </row>
  </sheetData>
  <sortState xmlns:xlrd2="http://schemas.microsoft.com/office/spreadsheetml/2017/richdata2" ref="A317:L387">
    <sortCondition ref="C317:C387"/>
  </sortState>
  <phoneticPr fontId="12" type="noConversion"/>
  <conditionalFormatting sqref="C81">
    <cfRule type="duplicateValues" dxfId="91" priority="13"/>
  </conditionalFormatting>
  <conditionalFormatting sqref="C98 C85">
    <cfRule type="duplicateValues" dxfId="90" priority="309"/>
  </conditionalFormatting>
  <conditionalFormatting sqref="C104">
    <cfRule type="duplicateValues" dxfId="89" priority="11"/>
  </conditionalFormatting>
  <conditionalFormatting sqref="C182">
    <cfRule type="duplicateValues" dxfId="88" priority="6"/>
    <cfRule type="duplicateValues" dxfId="87" priority="7"/>
  </conditionalFormatting>
  <conditionalFormatting sqref="C196:C198 C175:C177 C155 C127">
    <cfRule type="duplicateValues" dxfId="86" priority="361"/>
  </conditionalFormatting>
  <conditionalFormatting sqref="C212">
    <cfRule type="duplicateValues" dxfId="85" priority="15"/>
  </conditionalFormatting>
  <conditionalFormatting sqref="C213">
    <cfRule type="duplicateValues" dxfId="84" priority="14"/>
  </conditionalFormatting>
  <conditionalFormatting sqref="C219">
    <cfRule type="duplicateValues" dxfId="83" priority="8"/>
  </conditionalFormatting>
  <conditionalFormatting sqref="C220 C173">
    <cfRule type="duplicateValues" dxfId="82" priority="29"/>
  </conditionalFormatting>
  <conditionalFormatting sqref="C224">
    <cfRule type="duplicateValues" dxfId="81" priority="17"/>
  </conditionalFormatting>
  <conditionalFormatting sqref="C228 C170:C171 C129:C130 C202">
    <cfRule type="duplicateValues" dxfId="80" priority="344"/>
  </conditionalFormatting>
  <conditionalFormatting sqref="C253">
    <cfRule type="duplicateValues" dxfId="79" priority="39"/>
  </conditionalFormatting>
  <conditionalFormatting sqref="C263">
    <cfRule type="duplicateValues" dxfId="78" priority="12"/>
  </conditionalFormatting>
  <conditionalFormatting sqref="C267 C36 C100 C31">
    <cfRule type="duplicateValues" dxfId="77" priority="256"/>
  </conditionalFormatting>
  <conditionalFormatting sqref="C278:C279">
    <cfRule type="duplicateValues" dxfId="76" priority="248"/>
  </conditionalFormatting>
  <conditionalFormatting sqref="C283">
    <cfRule type="duplicateValues" dxfId="75" priority="433"/>
  </conditionalFormatting>
  <conditionalFormatting sqref="C287">
    <cfRule type="duplicateValues" dxfId="74" priority="1"/>
  </conditionalFormatting>
  <conditionalFormatting sqref="C296">
    <cfRule type="duplicateValues" dxfId="73" priority="33"/>
  </conditionalFormatting>
  <conditionalFormatting sqref="C299">
    <cfRule type="duplicateValues" dxfId="72" priority="3"/>
  </conditionalFormatting>
  <conditionalFormatting sqref="C344:C346 C325">
    <cfRule type="duplicateValues" dxfId="71" priority="41"/>
  </conditionalFormatting>
  <conditionalFormatting sqref="C350">
    <cfRule type="duplicateValues" dxfId="70" priority="2"/>
  </conditionalFormatting>
  <conditionalFormatting sqref="C364">
    <cfRule type="duplicateValues" dxfId="69" priority="16"/>
  </conditionalFormatting>
  <conditionalFormatting sqref="C368">
    <cfRule type="duplicateValues" dxfId="68" priority="30"/>
  </conditionalFormatting>
  <conditionalFormatting sqref="C375">
    <cfRule type="duplicateValues" dxfId="67" priority="31"/>
  </conditionalFormatting>
  <conditionalFormatting sqref="C393">
    <cfRule type="duplicateValues" dxfId="66" priority="32"/>
  </conditionalFormatting>
  <conditionalFormatting sqref="C407:C408">
    <cfRule type="duplicateValues" dxfId="65" priority="10"/>
  </conditionalFormatting>
  <conditionalFormatting sqref="C410">
    <cfRule type="duplicateValues" dxfId="64" priority="18"/>
  </conditionalFormatting>
  <conditionalFormatting sqref="C419:C420">
    <cfRule type="duplicateValues" dxfId="63" priority="431"/>
  </conditionalFormatting>
  <conditionalFormatting sqref="C456 C150 C310 C448 C458:C459">
    <cfRule type="duplicateValues" dxfId="62" priority="430"/>
  </conditionalFormatting>
  <conditionalFormatting sqref="C457">
    <cfRule type="duplicateValues" dxfId="61" priority="9"/>
  </conditionalFormatting>
  <conditionalFormatting sqref="C462">
    <cfRule type="duplicateValues" dxfId="60" priority="4"/>
  </conditionalFormatting>
  <conditionalFormatting sqref="C471">
    <cfRule type="duplicateValues" dxfId="59" priority="5"/>
  </conditionalFormatting>
  <conditionalFormatting sqref="C475:C477">
    <cfRule type="duplicateValues" dxfId="58" priority="27"/>
  </conditionalFormatting>
  <conditionalFormatting sqref="C478:C487 C369:C392 C347:C349 C203:C207 C199:C201 C168:C169 C209 C172 C221:C223 C446:C447 C252:C256 C229:C246 C259:C262 C268:C277 C311:C324 C326:C330 C248:C250 C489:C507 C297:C298 C2 C4:C25 C78:C80 C101:C103 C75:C76 C99 C174 C120:C122 C124:C126 C131 C128 C82:C97 C27:C30 C32:C35 C37:C73 C332:C343 C214:C218 C133:C149 C151:C154 C156:C164 C118 C166 C178:C181 C460:C461 C511:C512 C509 C280:C282 C284:C286 C514:C516 C421:C444 C394:C406 C546:C549 C521:C542 C225:C227 C365:C367 C211 C411:C418 C264:C266 C409 C183:C195 C105:C116 C472:C474 C463:C470 C300:C309 C351:C363 C288:C295">
    <cfRule type="duplicateValues" dxfId="57" priority="453"/>
  </conditionalFormatting>
  <conditionalFormatting sqref="C510">
    <cfRule type="duplicateValues" dxfId="56" priority="20"/>
  </conditionalFormatting>
  <conditionalFormatting sqref="C513">
    <cfRule type="duplicateValues" dxfId="55" priority="22"/>
  </conditionalFormatting>
  <conditionalFormatting sqref="C517:C520">
    <cfRule type="duplicateValues" dxfId="54" priority="19"/>
  </conditionalFormatting>
  <conditionalFormatting sqref="C541:C545">
    <cfRule type="duplicateValues" dxfId="53" priority="429"/>
  </conditionalFormatting>
  <conditionalFormatting sqref="C550:C553">
    <cfRule type="duplicateValues" dxfId="52" priority="247"/>
  </conditionalFormatting>
  <conditionalFormatting sqref="C554:C1048576">
    <cfRule type="duplicateValues" dxfId="51" priority="244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83AD-8198-4829-A268-49895ADAE0B7}">
  <sheetPr>
    <pageSetUpPr fitToPage="1"/>
  </sheetPr>
  <dimension ref="B1:W29"/>
  <sheetViews>
    <sheetView zoomScale="80" zoomScaleNormal="80" zoomScaleSheetLayoutView="75" workbookViewId="0">
      <selection activeCell="D18" sqref="D1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2254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1762</v>
      </c>
      <c r="E3" s="261">
        <v>140</v>
      </c>
      <c r="F3" s="261"/>
      <c r="G3" s="262" t="str">
        <f>IFERROR(INDEX(온라인_반찬!$C$2:$H$604,MATCH($D3,온라인_반찬!$C$2:$C$604,0),6),"")</f>
        <v>쌀(국산)90%, 귀리(국산.친환경)5%, 정제수</v>
      </c>
      <c r="H3" s="263">
        <f>IFERROR(INDEX(온라인_반찬!$D$2:$J$597,MATCH($D3,온라인_반찬!$C$2:$C$597,0),6),"")</f>
        <v>0</v>
      </c>
      <c r="I3" s="264" t="s">
        <v>2252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1466</v>
      </c>
      <c r="E4" s="123">
        <v>150</v>
      </c>
      <c r="F4" s="124"/>
      <c r="G4" s="113" t="str">
        <f>IFERROR(INDEX(온라인_반찬!$C$2:$H$604,MATCH($D4,온라인_반찬!$C$2:$C$604,0),6),"")</f>
        <v>미역(국산)10%, 팽이버섯(국산)8%,  미소된장(국산), 멸치육수농축액, 정제수, 소금</v>
      </c>
      <c r="H4" s="101" t="str">
        <f>IFERROR(INDEX(온라인_반찬!$D$2:$J$597,MATCH($D4,온라인_반찬!$C$2:$C$597,0),6),"")</f>
        <v>.5.</v>
      </c>
      <c r="I4" s="109" t="s">
        <v>2252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329" t="s">
        <v>621</v>
      </c>
      <c r="D5" s="103" t="s">
        <v>2160</v>
      </c>
      <c r="E5" s="123">
        <v>50</v>
      </c>
      <c r="F5" s="124"/>
      <c r="G5" s="113" t="str">
        <f>IFERROR(INDEX(온라인_반찬!$C$2:$H$604,MATCH($D5,온라인_반찬!$C$2:$C$604,0),6),"")</f>
        <v>돈까스 [돼지고기(국산)50%, 독일빅빵가루 (밀:미국산,캐나다산), 쇼트닝, 정제소금, 난백분, 소금, 후추, 설탕, 마늘분말] 97%, 대두유 3%</v>
      </c>
      <c r="H5" s="101" t="str">
        <f>IFERROR(INDEX(온라인_반찬!$D$2:$J$597,MATCH($D5,온라인_반찬!$C$2:$C$597,0),6),"")</f>
        <v>1.2.5.6.10.</v>
      </c>
      <c r="I5" s="109" t="s">
        <v>2252</v>
      </c>
      <c r="J5" s="102"/>
      <c r="K5" s="101"/>
      <c r="L5" s="129" t="str">
        <f>IFERROR(INDEX(온라인_반찬!$C$2:$J$597,MATCH($D5,온라인_반찬!$C$2:$C$597,0),8),"")</f>
        <v>173374 쉐프솔루션 진짜통등심돈까스(130g*20입 2.6Kg/EA)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330"/>
      <c r="D6" s="103" t="s">
        <v>1206</v>
      </c>
      <c r="E6" s="123">
        <v>20</v>
      </c>
      <c r="F6" s="124"/>
      <c r="G6" s="113" t="str">
        <f>IFERROR(INDEX(온라인_반찬!$C$2:$H$604,MATCH($D6,온라인_반찬!$C$2:$C$604,0),6),"")</f>
        <v>돈까스소스[토마토페이스트:중국산, 사과농축액:중국산, 정제수, 식초,소금], 양파, 대두유, 정제수</v>
      </c>
      <c r="H6" s="101" t="str">
        <f>IFERROR(INDEX(온라인_반찬!$D$2:$J$597,MATCH($D6,온라인_반찬!$C$2:$C$597,0),6),"")</f>
        <v>.5.6.12.16.18.</v>
      </c>
      <c r="I6" s="109" t="s">
        <v>2252</v>
      </c>
      <c r="J6" s="102"/>
      <c r="K6" s="101"/>
      <c r="L6" s="129" t="str">
        <f>IFERROR(INDEX(온라인_반찬!$C$2:$J$597,MATCH($D6,온라인_반찬!$C$2:$C$597,0),8),"")</f>
        <v>돈까스소스(면사랑, 청정원)</v>
      </c>
      <c r="M6" s="120"/>
      <c r="N6" s="120"/>
      <c r="R6" s="120"/>
      <c r="S6" s="287"/>
      <c r="T6" s="287"/>
      <c r="U6" s="287"/>
      <c r="V6" s="287"/>
      <c r="W6" s="287"/>
    </row>
    <row r="7" spans="2:23" ht="39.950000000000003" customHeight="1">
      <c r="B7" s="323"/>
      <c r="C7" s="244" t="s">
        <v>622</v>
      </c>
      <c r="D7" s="103" t="s">
        <v>1085</v>
      </c>
      <c r="E7" s="123">
        <v>40</v>
      </c>
      <c r="F7" s="124"/>
      <c r="G7" s="113" t="str">
        <f>IFERROR(INDEX(온라인_반찬!$C$2:$H$604,MATCH($D7,온라인_반찬!$C$2:$C$604,0),6),"")</f>
        <v>밀떡(밀:수입산)60%, 소고기(호주산)20%, 양파, 팽이버섯, 당근, , 대두유, 간장, 설탕, 참기름, 참깨</v>
      </c>
      <c r="H7" s="101" t="str">
        <f>IFERROR(INDEX(온라인_반찬!$D$2:$J$597,MATCH($D7,온라인_반찬!$C$2:$C$597,0),6),"")</f>
        <v>.5.6.16.21.</v>
      </c>
      <c r="I7" s="109" t="s">
        <v>2252</v>
      </c>
      <c r="J7" s="102"/>
      <c r="K7" s="101"/>
      <c r="L7" s="129">
        <f>IFERROR(INDEX(온라인_반찬!$C$2:$J$597,MATCH($D7,온라인_반찬!$C$2:$C$597,0),8),"")</f>
        <v>0</v>
      </c>
      <c r="M7" s="120" t="s">
        <v>810</v>
      </c>
      <c r="N7" s="120"/>
      <c r="P7" s="120" t="s">
        <v>1249</v>
      </c>
      <c r="R7" s="120"/>
      <c r="S7" s="120" t="s">
        <v>915</v>
      </c>
    </row>
    <row r="8" spans="2:23" ht="39.950000000000003" customHeight="1">
      <c r="B8" s="323"/>
      <c r="C8" s="160" t="s">
        <v>290</v>
      </c>
      <c r="D8" s="103" t="s">
        <v>1772</v>
      </c>
      <c r="E8" s="123">
        <v>25</v>
      </c>
      <c r="F8" s="124"/>
      <c r="G8" s="113" t="str">
        <f>IFERROR(INDEX(온라인_반찬!$C$2:$H$604,MATCH($D8,온라인_반찬!$C$2:$C$604,0),6),"")</f>
        <v>양배추(국내산)50%, 당근(국내산)45%, 소금, 레몬즙, 머스터드소스, 설탕, 마늘, 올리브오일</v>
      </c>
      <c r="H8" s="101">
        <f>IFERROR(INDEX(온라인_반찬!$D$2:$J$597,MATCH($D8,온라인_반찬!$C$2:$C$597,0),6),"")</f>
        <v>0</v>
      </c>
      <c r="I8" s="109" t="s">
        <v>2252</v>
      </c>
      <c r="J8" s="102"/>
      <c r="K8" s="101"/>
      <c r="L8" s="129" t="str">
        <f>IFERROR(INDEX(온라인_반찬!$C$2:$J$597,MATCH($D8,온라인_반찬!$C$2:$C$597,0),8),"")</f>
        <v>새송이버섯 수율 45~50% (총알새송이는 수율 다름)</v>
      </c>
      <c r="M8" s="120" t="s">
        <v>687</v>
      </c>
      <c r="N8" s="120"/>
      <c r="P8" s="120" t="s">
        <v>1268</v>
      </c>
      <c r="R8" s="120"/>
      <c r="S8" s="120" t="s">
        <v>832</v>
      </c>
    </row>
    <row r="9" spans="2:23" ht="39.950000000000003" customHeight="1">
      <c r="B9" s="323"/>
      <c r="C9" s="245" t="s">
        <v>819</v>
      </c>
      <c r="D9" s="103" t="s">
        <v>631</v>
      </c>
      <c r="E9" s="123">
        <v>25</v>
      </c>
      <c r="F9" s="123"/>
      <c r="G9" s="113" t="str">
        <f>IFERROR(INDEX(온라인_반찬!$C$2:$H$604,MATCH($D9,온라인_반찬!$C$2:$C$604,0),6),"")</f>
        <v>무(국산)85.2%, 고추가루(국산), 밀가루풀(국산), 파, 마늘, 새우젓 등 양념(국산)</v>
      </c>
      <c r="H9" s="101" t="str">
        <f>IFERROR(INDEX(온라인_반찬!$D$2:$J$597,MATCH($D9,온라인_반찬!$C$2:$C$597,0),6),"")</f>
        <v>.6.9.</v>
      </c>
      <c r="I9" s="109" t="s">
        <v>2252</v>
      </c>
      <c r="J9" s="102"/>
      <c r="K9" s="101"/>
      <c r="L9" s="129">
        <f>IFERROR(INDEX(온라인_반찬!$C$2:$J$597,MATCH($D9,온라인_반찬!$C$2:$C$597,0),8),"")</f>
        <v>0</v>
      </c>
      <c r="M9" s="120" t="s">
        <v>1393</v>
      </c>
      <c r="N9" s="120"/>
      <c r="P9" s="120" t="s">
        <v>1404</v>
      </c>
      <c r="R9" s="120"/>
      <c r="S9" s="120" t="s">
        <v>1647</v>
      </c>
    </row>
    <row r="10" spans="2:23" ht="39.950000000000003" customHeight="1" thickBot="1">
      <c r="B10" s="324"/>
      <c r="C10" s="161" t="s">
        <v>97</v>
      </c>
      <c r="D10" s="210"/>
      <c r="E10" s="131"/>
      <c r="F10" s="132"/>
      <c r="G10" s="274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3" t="s">
        <v>2129</v>
      </c>
      <c r="C11" s="250" t="s">
        <v>620</v>
      </c>
      <c r="D11" s="260" t="s">
        <v>1762</v>
      </c>
      <c r="E11" s="224">
        <v>150</v>
      </c>
      <c r="F11" s="224"/>
      <c r="G11" s="225" t="str">
        <f>IFERROR(INDEX(온라인_반찬!$C$2:$H$604,MATCH($D11,온라인_반찬!$C$2:$C$604,0),6),"")</f>
        <v>쌀(국산)90%, 귀리(국산.친환경)5%, 정제수</v>
      </c>
      <c r="H11" s="226">
        <f>IFERROR(INDEX(온라인_반찬!$D$2:$J$597,MATCH($D11,온라인_반찬!$C$2:$C$597,0),6),"")</f>
        <v>0</v>
      </c>
      <c r="I11" s="227" t="s">
        <v>2253</v>
      </c>
      <c r="J11" s="265"/>
      <c r="K11" s="263"/>
      <c r="L11" s="228">
        <f>IFERROR(INDEX(온라인_반찬!$C$2:$J$597,MATCH($D11,온라인_반찬!$C$2:$C$597,0),8),"")</f>
        <v>0</v>
      </c>
      <c r="M11" s="120" t="s">
        <v>1395</v>
      </c>
      <c r="N11" s="120"/>
      <c r="O11" s="120"/>
      <c r="P11" s="120" t="s">
        <v>1456</v>
      </c>
      <c r="S11" s="120" t="s">
        <v>1648</v>
      </c>
    </row>
    <row r="12" spans="2:23" ht="39.950000000000003" customHeight="1">
      <c r="B12" s="323"/>
      <c r="C12" s="244" t="s">
        <v>624</v>
      </c>
      <c r="D12" s="103" t="s">
        <v>1466</v>
      </c>
      <c r="E12" s="123">
        <v>160</v>
      </c>
      <c r="F12" s="124"/>
      <c r="G12" s="113" t="str">
        <f>IFERROR(INDEX(온라인_반찬!$C$2:$H$604,MATCH($D12,온라인_반찬!$C$2:$C$604,0),6),"")</f>
        <v>미역(국산)10%, 팽이버섯(국산)8%,  미소된장(국산), 멸치육수농축액, 정제수, 소금</v>
      </c>
      <c r="H12" s="101" t="str">
        <f>IFERROR(INDEX(온라인_반찬!$D$2:$J$597,MATCH($D12,온라인_반찬!$C$2:$C$597,0),6),"")</f>
        <v>.5.</v>
      </c>
      <c r="I12" s="109" t="s">
        <v>2253</v>
      </c>
      <c r="J12" s="102"/>
      <c r="K12" s="101"/>
      <c r="L12" s="129">
        <f>IFERROR(INDEX(온라인_반찬!$C$2:$J$597,MATCH($D12,온라인_반찬!$C$2:$C$597,0),8),"")</f>
        <v>0</v>
      </c>
      <c r="M12" s="120" t="s">
        <v>1835</v>
      </c>
      <c r="N12" s="120"/>
      <c r="O12" s="120"/>
      <c r="P12" s="120" t="s">
        <v>1885</v>
      </c>
      <c r="S12" s="120" t="s">
        <v>1886</v>
      </c>
    </row>
    <row r="13" spans="2:23" ht="39.950000000000003" customHeight="1">
      <c r="B13" s="323"/>
      <c r="C13" s="329" t="s">
        <v>621</v>
      </c>
      <c r="D13" s="103" t="s">
        <v>2160</v>
      </c>
      <c r="E13" s="123">
        <v>70</v>
      </c>
      <c r="F13" s="124"/>
      <c r="G13" s="113" t="str">
        <f>IFERROR(INDEX(온라인_반찬!$C$2:$H$604,MATCH($D13,온라인_반찬!$C$2:$C$604,0),6),"")</f>
        <v>돈까스 [돼지고기(국산)50%, 독일빅빵가루 (밀:미국산,캐나다산), 쇼트닝, 정제소금, 난백분, 소금, 후추, 설탕, 마늘분말] 97%, 대두유 3%</v>
      </c>
      <c r="H13" s="101" t="str">
        <f>IFERROR(INDEX(온라인_반찬!$D$2:$J$597,MATCH($D13,온라인_반찬!$C$2:$C$597,0),6),"")</f>
        <v>1.2.5.6.10.</v>
      </c>
      <c r="I13" s="109" t="s">
        <v>2253</v>
      </c>
      <c r="J13" s="102"/>
      <c r="K13" s="101"/>
      <c r="L13" s="129" t="str">
        <f>IFERROR(INDEX(온라인_반찬!$C$2:$J$597,MATCH($D13,온라인_반찬!$C$2:$C$597,0),8),"")</f>
        <v>173374 쉐프솔루션 진짜통등심돈까스(130g*20입 2.6Kg/EA)</v>
      </c>
      <c r="M13" s="120"/>
      <c r="N13" s="120"/>
      <c r="O13" s="120"/>
    </row>
    <row r="14" spans="2:23" ht="39.950000000000003" customHeight="1">
      <c r="B14" s="323"/>
      <c r="C14" s="330"/>
      <c r="D14" s="103" t="s">
        <v>1206</v>
      </c>
      <c r="E14" s="123">
        <v>25</v>
      </c>
      <c r="F14" s="124"/>
      <c r="G14" s="113" t="str">
        <f>IFERROR(INDEX(온라인_반찬!$C$2:$H$604,MATCH($D14,온라인_반찬!$C$2:$C$604,0),6),"")</f>
        <v>돈까스소스[토마토페이스트:중국산, 사과농축액:중국산, 정제수, 식초,소금], 양파, 대두유, 정제수</v>
      </c>
      <c r="H14" s="101" t="str">
        <f>IFERROR(INDEX(온라인_반찬!$D$2:$J$597,MATCH($D14,온라인_반찬!$C$2:$C$597,0),6),"")</f>
        <v>.5.6.12.16.18.</v>
      </c>
      <c r="I14" s="109" t="s">
        <v>2253</v>
      </c>
      <c r="J14" s="102"/>
      <c r="K14" s="101"/>
      <c r="L14" s="129" t="str">
        <f>IFERROR(INDEX(온라인_반찬!$C$2:$J$597,MATCH($D14,온라인_반찬!$C$2:$C$597,0),8),"")</f>
        <v>돈까스소스(면사랑, 청정원)</v>
      </c>
      <c r="M14" s="120"/>
      <c r="N14" s="120"/>
      <c r="O14" s="120"/>
    </row>
    <row r="15" spans="2:23" ht="39.950000000000003" customHeight="1">
      <c r="B15" s="323"/>
      <c r="C15" s="244" t="s">
        <v>622</v>
      </c>
      <c r="D15" s="103" t="s">
        <v>1085</v>
      </c>
      <c r="E15" s="123">
        <v>50</v>
      </c>
      <c r="F15" s="124"/>
      <c r="G15" s="113" t="str">
        <f>IFERROR(INDEX(온라인_반찬!$C$2:$H$604,MATCH($D15,온라인_반찬!$C$2:$C$604,0),6),"")</f>
        <v>밀떡(밀:수입산)60%, 소고기(호주산)20%, 양파, 팽이버섯, 당근, , 대두유, 간장, 설탕, 참기름, 참깨</v>
      </c>
      <c r="H15" s="101" t="str">
        <f>IFERROR(INDEX(온라인_반찬!$D$2:$J$597,MATCH($D15,온라인_반찬!$C$2:$C$597,0),6),"")</f>
        <v>.5.6.16.21.</v>
      </c>
      <c r="I15" s="109" t="s">
        <v>2253</v>
      </c>
      <c r="J15" s="102"/>
      <c r="K15" s="101"/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160" t="s">
        <v>290</v>
      </c>
      <c r="D16" s="103" t="s">
        <v>1772</v>
      </c>
      <c r="E16" s="123">
        <v>35</v>
      </c>
      <c r="F16" s="124"/>
      <c r="G16" s="113" t="str">
        <f>IFERROR(INDEX(온라인_반찬!$C$2:$H$604,MATCH($D16,온라인_반찬!$C$2:$C$604,0),6),"")</f>
        <v>양배추(국내산)50%, 당근(국내산)45%, 소금, 레몬즙, 머스터드소스, 설탕, 마늘, 올리브오일</v>
      </c>
      <c r="H16" s="101">
        <f>IFERROR(INDEX(온라인_반찬!$D$2:$J$597,MATCH($D16,온라인_반찬!$C$2:$C$597,0),6),"")</f>
        <v>0</v>
      </c>
      <c r="I16" s="109" t="s">
        <v>2253</v>
      </c>
      <c r="J16" s="102"/>
      <c r="K16" s="101"/>
      <c r="L16" s="129" t="str">
        <f>IFERROR(INDEX(온라인_반찬!$C$2:$J$597,MATCH($D16,온라인_반찬!$C$2:$C$597,0),8),"")</f>
        <v>새송이버섯 수율 45~50% (총알새송이는 수율 다름)</v>
      </c>
      <c r="M16" s="120"/>
      <c r="N16" s="120"/>
      <c r="O16" s="120"/>
    </row>
    <row r="17" spans="2:15" ht="39.950000000000003" customHeight="1">
      <c r="B17" s="323"/>
      <c r="C17" s="245" t="s">
        <v>819</v>
      </c>
      <c r="D17" s="103" t="s">
        <v>631</v>
      </c>
      <c r="E17" s="123">
        <v>35</v>
      </c>
      <c r="F17" s="123"/>
      <c r="G17" s="113" t="str">
        <f>IFERROR(INDEX(온라인_반찬!$C$2:$H$604,MATCH($D17,온라인_반찬!$C$2:$C$604,0),6),"")</f>
        <v>무(국산)85.2%, 고추가루(국산), 밀가루풀(국산), 파, 마늘, 새우젓 등 양념(국산)</v>
      </c>
      <c r="H17" s="101" t="str">
        <f>IFERROR(INDEX(온라인_반찬!$D$2:$J$597,MATCH($D17,온라인_반찬!$C$2:$C$597,0),6),"")</f>
        <v>.6.9.</v>
      </c>
      <c r="I17" s="109" t="s">
        <v>2253</v>
      </c>
      <c r="J17" s="102"/>
      <c r="K17" s="101"/>
      <c r="L17" s="129">
        <f>IFERROR(INDEX(온라인_반찬!$C$2:$J$597,MATCH($D17,온라인_반찬!$C$2:$C$597,0),8),"")</f>
        <v>0</v>
      </c>
      <c r="M17" s="120"/>
      <c r="N17" s="120"/>
      <c r="O17" s="120"/>
    </row>
    <row r="18" spans="2:15" ht="39.950000000000003" customHeight="1">
      <c r="B18" s="323"/>
      <c r="C18" s="221" t="s">
        <v>1392</v>
      </c>
      <c r="D18" s="103" t="s">
        <v>2035</v>
      </c>
      <c r="E18" s="123"/>
      <c r="F18" s="123">
        <v>1</v>
      </c>
      <c r="G18" s="113" t="s">
        <v>2289</v>
      </c>
      <c r="H18" s="101" t="str">
        <f>IFERROR(INDEX(온라인_반찬!$D$2:$J$597,MATCH($D18,온라인_반찬!$C$2:$C$597,0),6),"")</f>
        <v/>
      </c>
      <c r="I18" s="109" t="s">
        <v>2253</v>
      </c>
      <c r="J18" s="102"/>
      <c r="K18" s="101"/>
      <c r="L18" s="165" t="str">
        <f>IFERROR(INDEX(온라인_반찬!$C$2:$J$597,MATCH($D18,온라인_반찬!$C$2:$C$597,0),8),"")</f>
        <v/>
      </c>
      <c r="M18" s="120"/>
      <c r="N18" s="120"/>
      <c r="O18" s="120"/>
    </row>
    <row r="19" spans="2:15" ht="39.950000000000003" customHeight="1" thickBot="1">
      <c r="B19" s="324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6" t="s">
        <v>1602</v>
      </c>
      <c r="C20" s="100" t="s">
        <v>620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2252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29" t="s">
        <v>622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2252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330"/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2252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623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2252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14" t="s">
        <v>819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2252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>
      <c r="B25" s="327"/>
      <c r="C25" s="160" t="s">
        <v>102</v>
      </c>
      <c r="D25" s="162"/>
      <c r="E25" s="123"/>
      <c r="F25" s="123"/>
      <c r="G25" s="113" t="str">
        <f>IFERROR(INDEX(온라인_반찬!$C$2:$H$604,MATCH($D25,온라인_반찬!$C$2:$C$604,0),6),"")</f>
        <v/>
      </c>
      <c r="H25" s="101" t="str">
        <f>IFERROR(INDEX(온라인_반찬!$D$2:$J$597,MATCH($D25,온라인_반찬!$C$2:$C$597,0),6),"")</f>
        <v/>
      </c>
      <c r="I25" s="109" t="s">
        <v>2252</v>
      </c>
      <c r="J25" s="158"/>
      <c r="K25" s="158"/>
      <c r="L25" s="129" t="str">
        <f>IFERROR(INDEX(온라인_반찬!$C$2:$J$597,MATCH($D25,온라인_반찬!$C$2:$C$597,0),8),"")</f>
        <v/>
      </c>
      <c r="M25" s="120"/>
    </row>
    <row r="26" spans="2:15" ht="39.950000000000003" customHeight="1" thickBot="1">
      <c r="B26" s="328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E44D-FD2D-4111-9787-6E50781665C3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6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2257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1344</v>
      </c>
      <c r="E3" s="261">
        <v>140</v>
      </c>
      <c r="F3" s="261"/>
      <c r="G3" s="262" t="str">
        <f>IFERROR(INDEX(온라인_반찬!$C$2:$H$604,MATCH($D3,온라인_반찬!$C$2:$C$604,0),6),"")</f>
        <v>쌀(국산)90%, 찰흑미(국산.친환경)5%, 정제수</v>
      </c>
      <c r="H3" s="263">
        <f>IFERROR(INDEX(온라인_반찬!$D$2:$J$597,MATCH($D3,온라인_반찬!$C$2:$C$597,0),6),"")</f>
        <v>0</v>
      </c>
      <c r="I3" s="264" t="s">
        <v>2255</v>
      </c>
      <c r="J3" s="265">
        <v>1688</v>
      </c>
      <c r="K3" s="263">
        <v>268220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699</v>
      </c>
      <c r="E4" s="123">
        <v>150</v>
      </c>
      <c r="F4" s="124"/>
      <c r="G4" s="113" t="str">
        <f>IFERROR(INDEX(온라인_반찬!$C$2:$H$604,MATCH($D4,온라인_반찬!$C$2:$C$604,0),6),"")</f>
        <v>열갈이(국산)10%, 소고기(호주산)7%, 무(국산)5%, 콩나물(원료수입산)5%, 정제수, 된장, 대파, 마늘, 국간장, 멸치육수농축액, 소금</v>
      </c>
      <c r="H4" s="101" t="str">
        <f>IFERROR(INDEX(온라인_반찬!$D$2:$J$597,MATCH($D4,온라인_반찬!$C$2:$C$597,0),6),"")</f>
        <v>.5.16.</v>
      </c>
      <c r="I4" s="109" t="s">
        <v>2255</v>
      </c>
      <c r="J4" s="102">
        <v>1616</v>
      </c>
      <c r="K4" s="101">
        <v>261090</v>
      </c>
      <c r="L4" s="129" t="str">
        <f>IFERROR(INDEX(온라인_반찬!$C$2:$J$597,MATCH($D4,온라인_반찬!$C$2:$C$597,0),8),"")</f>
        <v>멸치육수농축액(면사랑) 40g / 45g )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1338</v>
      </c>
      <c r="E5" s="123">
        <v>60</v>
      </c>
      <c r="F5" s="124"/>
      <c r="G5" s="113" t="str">
        <f>IFERROR(INDEX(온라인_반찬!$C$2:$H$604,MATCH($D5,온라인_반찬!$C$2:$C$604,0),6),"")</f>
        <v>닭고기(닭다리살, 닭가슴살:국산)80%,양파, 당근, 파, 마늘, 정제수, 간장, 데리야끼소스(시판용), 후추, 소금</v>
      </c>
      <c r="H5" s="101" t="str">
        <f>IFERROR(INDEX(온라인_반찬!$D$2:$J$597,MATCH($D5,온라인_반찬!$C$2:$C$597,0),6),"")</f>
        <v>.1.2.5.6.15.21.</v>
      </c>
      <c r="I5" s="109" t="s">
        <v>2255</v>
      </c>
      <c r="J5" s="102">
        <v>1688</v>
      </c>
      <c r="K5" s="101">
        <v>130530</v>
      </c>
      <c r="L5" s="129" t="str">
        <f>IFERROR(INDEX(온라인_반찬!$C$2:$J$597,MATCH($D5,온라인_반찬!$C$2:$C$597,0),8),"")</f>
        <v>데리야끼소스(오뚜기)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934</v>
      </c>
      <c r="E6" s="123">
        <v>12</v>
      </c>
      <c r="F6" s="124"/>
      <c r="G6" s="113" t="str">
        <f>IFERROR(INDEX(온라인_반찬!$C$2:$H$604,MATCH($D6,온라인_반찬!$C$2:$C$604,0),6),"")</f>
        <v>어묵(원료수입산)90%, 대두유, 간장, 설탕</v>
      </c>
      <c r="H6" s="101" t="str">
        <f>IFERROR(INDEX(온라인_반찬!$D$2:$J$597,MATCH($D6,온라인_반찬!$C$2:$C$597,0),6),"")</f>
        <v>.5.6.21.</v>
      </c>
      <c r="I6" s="109" t="s">
        <v>2255</v>
      </c>
      <c r="J6" s="102">
        <v>1688</v>
      </c>
      <c r="K6" s="101">
        <v>24592</v>
      </c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2222</v>
      </c>
      <c r="E7" s="123">
        <v>35</v>
      </c>
      <c r="F7" s="124"/>
      <c r="G7" s="113" t="str">
        <f>IFERROR(INDEX(온라인_반찬!$C$2:$H$604,MATCH($D7,온라인_반찬!$C$2:$C$604,0),6),"")</f>
        <v>참치캔(가다랑어:베트산)7%, 깍두기[무(국내산),고춧가루(국내산)],대두유, 소금,참기름,참깨</v>
      </c>
      <c r="H7" s="101" t="str">
        <f>IFERROR(INDEX(온라인_반찬!$D$2:$J$597,MATCH($D7,온라인_반찬!$C$2:$C$597,0),6),"")</f>
        <v>.5.6.9.21.</v>
      </c>
      <c r="I7" s="109" t="s">
        <v>2255</v>
      </c>
      <c r="J7" s="102">
        <v>1688</v>
      </c>
      <c r="K7" s="101">
        <v>69010</v>
      </c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1113</v>
      </c>
      <c r="E8" s="123">
        <v>25</v>
      </c>
      <c r="F8" s="123"/>
      <c r="G8" s="113" t="str">
        <f>IFERROR(INDEX(온라인_반찬!$C$2:$H$604,MATCH($D8,온라인_반찬!$C$2:$C$604,0),6),"")</f>
        <v>배추(국내산)64%, 무채(무:국내산)8%, 양파, 정제수, 생강, 마늘, 생강, 배, 쪽파, 정제염</v>
      </c>
      <c r="H8" s="101">
        <f>IFERROR(INDEX(온라인_반찬!$D$2:$J$597,MATCH($D8,온라인_반찬!$C$2:$C$597,0),6),"")</f>
        <v>0</v>
      </c>
      <c r="I8" s="109" t="s">
        <v>2255</v>
      </c>
      <c r="J8" s="102">
        <v>1688</v>
      </c>
      <c r="K8" s="101">
        <v>48875</v>
      </c>
      <c r="L8" s="129" t="str">
        <f>IFERROR(INDEX(온라인_반찬!$C$2:$J$597,MATCH($D8,온라인_반찬!$C$2:$C$597,0),8),"")</f>
        <v>백김치(정우식품)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2290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1" t="s">
        <v>2129</v>
      </c>
      <c r="C10" s="250" t="s">
        <v>620</v>
      </c>
      <c r="D10" s="260" t="s">
        <v>1344</v>
      </c>
      <c r="E10" s="224">
        <v>150</v>
      </c>
      <c r="F10" s="224"/>
      <c r="G10" s="225" t="str">
        <f>IFERROR(INDEX(온라인_반찬!$C$2:$H$604,MATCH($D10,온라인_반찬!$C$2:$C$604,0),6),"")</f>
        <v>쌀(국산)90%, 찰흑미(국산.친환경)5%, 정제수</v>
      </c>
      <c r="H10" s="226">
        <f>IFERROR(INDEX(온라인_반찬!$D$2:$J$597,MATCH($D10,온라인_반찬!$C$2:$C$597,0),6),"")</f>
        <v>0</v>
      </c>
      <c r="I10" s="227" t="s">
        <v>2256</v>
      </c>
      <c r="J10" s="265">
        <v>92</v>
      </c>
      <c r="K10" s="263">
        <v>10800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31"/>
      <c r="C11" s="244" t="s">
        <v>624</v>
      </c>
      <c r="D11" s="276" t="s">
        <v>2243</v>
      </c>
      <c r="E11" s="277">
        <v>160</v>
      </c>
      <c r="F11" s="278"/>
      <c r="G11" s="279" t="s">
        <v>2258</v>
      </c>
      <c r="H11" s="280" t="s">
        <v>2244</v>
      </c>
      <c r="I11" s="109" t="s">
        <v>2256</v>
      </c>
      <c r="J11" s="102">
        <v>164</v>
      </c>
      <c r="K11" s="101">
        <v>26330</v>
      </c>
      <c r="L11" s="129" t="str">
        <f>IFERROR(INDEX(온라인_반찬!$C$2:$J$597,MATCH($D11,온라인_반찬!$C$2:$C$597,0),8),"")</f>
        <v/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31"/>
      <c r="C12" s="244" t="s">
        <v>621</v>
      </c>
      <c r="D12" s="103" t="s">
        <v>1338</v>
      </c>
      <c r="E12" s="123">
        <v>80</v>
      </c>
      <c r="F12" s="124"/>
      <c r="G12" s="113" t="str">
        <f>IFERROR(INDEX(온라인_반찬!$C$2:$H$604,MATCH($D12,온라인_반찬!$C$2:$C$604,0),6),"")</f>
        <v>닭고기(닭다리살, 닭가슴살:국산)80%,양파, 당근, 파, 마늘, 정제수, 간장, 데리야끼소스(시판용), 후추, 소금</v>
      </c>
      <c r="H12" s="101" t="str">
        <f>IFERROR(INDEX(온라인_반찬!$D$2:$J$597,MATCH($D12,온라인_반찬!$C$2:$C$597,0),6),"")</f>
        <v>.1.2.5.6.15.21.</v>
      </c>
      <c r="I12" s="109" t="s">
        <v>2256</v>
      </c>
      <c r="J12" s="102">
        <v>92</v>
      </c>
      <c r="K12" s="101">
        <v>8264</v>
      </c>
      <c r="L12" s="129" t="str">
        <f>IFERROR(INDEX(온라인_반찬!$C$2:$J$597,MATCH($D12,온라인_반찬!$C$2:$C$597,0),8),"")</f>
        <v>데리야끼소스(오뚜기)</v>
      </c>
      <c r="M12" s="120"/>
      <c r="N12" s="120"/>
    </row>
    <row r="13" spans="2:23" ht="39.950000000000003" customHeight="1">
      <c r="B13" s="331"/>
      <c r="C13" s="244" t="s">
        <v>622</v>
      </c>
      <c r="D13" s="103" t="s">
        <v>934</v>
      </c>
      <c r="E13" s="123">
        <v>15</v>
      </c>
      <c r="F13" s="124"/>
      <c r="G13" s="113" t="str">
        <f>IFERROR(INDEX(온라인_반찬!$C$2:$H$604,MATCH($D13,온라인_반찬!$C$2:$C$604,0),6),"")</f>
        <v>어묵(원료수입산)90%, 대두유, 간장, 설탕</v>
      </c>
      <c r="H13" s="101" t="str">
        <f>IFERROR(INDEX(온라인_반찬!$D$2:$J$597,MATCH($D13,온라인_반찬!$C$2:$C$597,0),6),"")</f>
        <v>.5.6.21.</v>
      </c>
      <c r="I13" s="109" t="s">
        <v>2256</v>
      </c>
      <c r="J13" s="102">
        <v>92</v>
      </c>
      <c r="K13" s="101">
        <v>1410</v>
      </c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31"/>
      <c r="C14" s="160" t="s">
        <v>290</v>
      </c>
      <c r="D14" s="103" t="s">
        <v>2222</v>
      </c>
      <c r="E14" s="123">
        <v>40</v>
      </c>
      <c r="F14" s="124"/>
      <c r="G14" s="113" t="str">
        <f>IFERROR(INDEX(온라인_반찬!$C$2:$H$604,MATCH($D14,온라인_반찬!$C$2:$C$604,0),6),"")</f>
        <v>참치캔(가다랑어:베트산)7%, 깍두기[무(국내산),고춧가루(국내산)],대두유, 소금,참기름,참깨</v>
      </c>
      <c r="H14" s="101" t="str">
        <f>IFERROR(INDEX(온라인_반찬!$D$2:$J$597,MATCH($D14,온라인_반찬!$C$2:$C$597,0),6),"")</f>
        <v>.5.6.9.21.</v>
      </c>
      <c r="I14" s="109" t="s">
        <v>2256</v>
      </c>
      <c r="J14" s="102">
        <v>92</v>
      </c>
      <c r="K14" s="101">
        <v>3760</v>
      </c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31"/>
      <c r="C15" s="245" t="s">
        <v>819</v>
      </c>
      <c r="D15" s="103" t="s">
        <v>1113</v>
      </c>
      <c r="E15" s="123">
        <v>35</v>
      </c>
      <c r="F15" s="123"/>
      <c r="G15" s="113" t="str">
        <f>IFERROR(INDEX(온라인_반찬!$C$2:$H$604,MATCH($D15,온라인_반찬!$C$2:$C$604,0),6),"")</f>
        <v>배추(국내산)64%, 무채(무:국내산)8%, 양파, 정제수, 생강, 마늘, 생강, 배, 쪽파, 정제염</v>
      </c>
      <c r="H15" s="101">
        <f>IFERROR(INDEX(온라인_반찬!$D$2:$J$597,MATCH($D15,온라인_반찬!$C$2:$C$597,0),6),"")</f>
        <v>0</v>
      </c>
      <c r="I15" s="109" t="s">
        <v>2256</v>
      </c>
      <c r="J15" s="102">
        <v>92</v>
      </c>
      <c r="K15" s="101">
        <v>3290</v>
      </c>
      <c r="L15" s="129" t="str">
        <f>IFERROR(INDEX(온라인_반찬!$C$2:$J$597,MATCH($D15,온라인_반찬!$C$2:$C$597,0),8),"")</f>
        <v>백김치(정우식품)</v>
      </c>
      <c r="M15" s="120"/>
      <c r="N15" s="120"/>
      <c r="O15" s="120"/>
    </row>
    <row r="16" spans="2:23" ht="39.950000000000003" customHeight="1">
      <c r="B16" s="331"/>
      <c r="C16" s="221" t="s">
        <v>1392</v>
      </c>
      <c r="D16" s="103" t="s">
        <v>1446</v>
      </c>
      <c r="E16" s="123"/>
      <c r="F16" s="123">
        <v>2</v>
      </c>
      <c r="G16" s="113" t="str">
        <f>IFERROR(INDEX(온라인_반찬!$C$2:$H$604,MATCH($D16,온라인_반찬!$C$2:$C$604,0),6),"")</f>
        <v>등갈비(돼지고기:스페인산)75%, 파인애플(전처리용), 파, 마늘, 생강가루, 월계수잎, 정제수, 간장, 설탕, 맛술, 물엿, 참기름, 후추</v>
      </c>
      <c r="H16" s="101" t="str">
        <f>IFERROR(INDEX(온라인_반찬!$D$2:$J$597,MATCH($D16,온라인_반찬!$C$2:$C$597,0),6),"")</f>
        <v>.5.10.19..21.</v>
      </c>
      <c r="I16" s="109" t="s">
        <v>2256</v>
      </c>
      <c r="J16" s="102">
        <v>28</v>
      </c>
      <c r="K16" s="101">
        <v>60</v>
      </c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32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2255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2255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2255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2255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2255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2255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4C4F-4476-4CBF-94D9-FC1D87276B3B}">
  <sheetPr>
    <pageSetUpPr fitToPage="1"/>
  </sheetPr>
  <dimension ref="B1:W27"/>
  <sheetViews>
    <sheetView zoomScale="80" zoomScaleNormal="80" zoomScaleSheetLayoutView="75" workbookViewId="0">
      <selection activeCell="M12" sqref="M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2130</v>
      </c>
      <c r="E3" s="261">
        <v>140</v>
      </c>
      <c r="F3" s="261"/>
      <c r="G3" s="262" t="str">
        <f>IFERROR(INDEX(온라인_반찬!$C$2:$H$604,MATCH($D3,온라인_반찬!$C$2:$C$604,0),6),"")</f>
        <v>쌀(국산)95%, 정제수</v>
      </c>
      <c r="H3" s="263">
        <f>IFERROR(INDEX(온라인_반찬!$D$2:$J$597,MATCH($D3,온라인_반찬!$C$2:$C$597,0),6),"")</f>
        <v>0</v>
      </c>
      <c r="I3" s="264" t="s">
        <v>2260</v>
      </c>
      <c r="J3" s="265">
        <v>1866</v>
      </c>
      <c r="K3" s="263">
        <v>294620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1164</v>
      </c>
      <c r="E4" s="123">
        <v>150</v>
      </c>
      <c r="F4" s="124"/>
      <c r="G4" s="113" t="str">
        <f>IFERROR(INDEX(온라인_반찬!$C$2:$H$604,MATCH($D4,온라인_반찬!$C$2:$C$604,0),6),"")</f>
        <v>순살동태(러시아산)7.2%, 무(국산)13%,콩나물, 쑥갓, 양파, 대파, 마늘, 멸치육수농축액, 국간장, 소금</v>
      </c>
      <c r="H4" s="101" t="str">
        <f>IFERROR(INDEX(온라인_반찬!$D$2:$J$597,MATCH($D4,온라인_반찬!$C$2:$C$597,0),6),"")</f>
        <v>.5.9.10.</v>
      </c>
      <c r="I4" s="109" t="s">
        <v>2260</v>
      </c>
      <c r="J4" s="102">
        <v>1866</v>
      </c>
      <c r="K4" s="101">
        <v>303510</v>
      </c>
      <c r="L4" s="129" t="str">
        <f>IFERROR(INDEX(온라인_반찬!$C$2:$J$597,MATCH($D4,온라인_반찬!$C$2:$C$597,0),8),"")</f>
        <v>40g / 50g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2225</v>
      </c>
      <c r="E5" s="123">
        <v>60</v>
      </c>
      <c r="F5" s="124"/>
      <c r="G5" s="113" t="str">
        <f>IFERROR(INDEX(온라인_반찬!$C$2:$H$604,MATCH($D5,온라인_반찬!$C$2:$C$604,0),6),"")</f>
        <v>돼지고기 (국산)70%, 양파, 부추, 당근, 마늘, 대두유, 춘장(원료수입산), 짜장가루, 후추, 참기름, 참깨</v>
      </c>
      <c r="H5" s="101" t="str">
        <f>IFERROR(INDEX(온라인_반찬!$D$2:$J$597,MATCH($D5,온라인_반찬!$C$2:$C$597,0),6),"")</f>
        <v>.1.2.5.6.10.15.16.21.</v>
      </c>
      <c r="I5" s="109" t="s">
        <v>2260</v>
      </c>
      <c r="J5" s="102">
        <v>1866</v>
      </c>
      <c r="K5" s="101">
        <v>142360</v>
      </c>
      <c r="L5" s="129" t="str">
        <f>IFERROR(INDEX(온라인_반찬!$C$2:$J$597,MATCH($D5,온라인_반찬!$C$2:$C$597,0),8),"")</f>
        <v>춘장(신송식품), 짜장분말(오뚜기)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2263</v>
      </c>
      <c r="E6" s="123"/>
      <c r="F6" s="124">
        <v>2</v>
      </c>
      <c r="G6" s="113" t="str">
        <f>IFERROR(INDEX(온라인_반찬!$C$2:$H$604,MATCH($D6,온라인_반찬!$C$2:$C$604,0),6),"")</f>
        <v>만두[전분가공품(원료수입산)23.23%, 돼지고기(국산)19.72%, 부추(중국,국산)14.87%]95%, 간장, 참기름</v>
      </c>
      <c r="H6" s="101" t="str">
        <f>IFERROR(INDEX(온라인_반찬!$D$2:$J$597,MATCH($D6,온라인_반찬!$C$2:$C$597,0),6),"")</f>
        <v>.1.2.5.6.10.16.18.21.</v>
      </c>
      <c r="I6" s="109" t="s">
        <v>2260</v>
      </c>
      <c r="J6" s="102">
        <v>1866</v>
      </c>
      <c r="K6" s="101">
        <v>4595</v>
      </c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1123</v>
      </c>
      <c r="E7" s="123">
        <v>40</v>
      </c>
      <c r="F7" s="124"/>
      <c r="G7" s="113" t="str">
        <f>IFERROR(INDEX(온라인_반찬!$C$2:$H$604,MATCH($D7,온라인_반찬!$C$2:$C$604,0),6),"")</f>
        <v>방울토마토(국산)30%, 보코치니치즈(모짜렐라치즈:미국산)25%, 파인애플청크(수입산), 망고(페루산, 베트남산), 바질페스토(캐슈넛미량함유), 올리브오일, 소금, 레몬</v>
      </c>
      <c r="H7" s="101" t="str">
        <f>IFERROR(INDEX(온라인_반찬!$D$2:$J$597,MATCH($D7,온라인_반찬!$C$2:$C$597,0),6),"")</f>
        <v>.2.4.12.</v>
      </c>
      <c r="I7" s="109" t="s">
        <v>2260</v>
      </c>
      <c r="J7" s="102">
        <v>1866</v>
      </c>
      <c r="K7" s="101">
        <v>88750</v>
      </c>
      <c r="L7" s="129" t="str">
        <f>IFERROR(INDEX(온라인_반찬!$C$2:$J$597,MATCH($D7,온라인_반찬!$C$2:$C$597,0),8),"")</f>
        <v>바질페스토(몬티)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2260</v>
      </c>
      <c r="J8" s="102">
        <v>1866</v>
      </c>
      <c r="K8" s="101">
        <v>53550</v>
      </c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2130</v>
      </c>
      <c r="E10" s="224">
        <v>150</v>
      </c>
      <c r="F10" s="224"/>
      <c r="G10" s="225" t="str">
        <f>IFERROR(INDEX(온라인_반찬!$C$2:$H$604,MATCH($D10,온라인_반찬!$C$2:$C$604,0),6),"")</f>
        <v>쌀(국산)95%, 정제수</v>
      </c>
      <c r="H10" s="226">
        <f>IFERROR(INDEX(온라인_반찬!$D$2:$J$597,MATCH($D10,온라인_반찬!$C$2:$C$597,0),6),"")</f>
        <v>0</v>
      </c>
      <c r="I10" s="227" t="s">
        <v>2261</v>
      </c>
      <c r="J10" s="265">
        <v>92</v>
      </c>
      <c r="K10" s="263">
        <v>10950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1164</v>
      </c>
      <c r="E11" s="123">
        <v>160</v>
      </c>
      <c r="F11" s="124"/>
      <c r="G11" s="113" t="str">
        <f>IFERROR(INDEX(온라인_반찬!$C$2:$H$604,MATCH($D11,온라인_반찬!$C$2:$C$604,0),6),"")</f>
        <v>순살동태(러시아산)7.2%, 무(국산)13%,콩나물, 쑥갓, 양파, 대파, 마늘, 멸치육수농축액, 국간장, 소금</v>
      </c>
      <c r="H11" s="101" t="str">
        <f>IFERROR(INDEX(온라인_반찬!$D$2:$J$597,MATCH($D11,온라인_반찬!$C$2:$C$597,0),6),"")</f>
        <v>.5.9.10.</v>
      </c>
      <c r="I11" s="109" t="s">
        <v>2261</v>
      </c>
      <c r="J11" s="102">
        <v>92</v>
      </c>
      <c r="K11" s="101">
        <v>11210</v>
      </c>
      <c r="L11" s="129" t="str">
        <f>IFERROR(INDEX(온라인_반찬!$C$2:$J$597,MATCH($D11,온라인_반찬!$C$2:$C$597,0),8),"")</f>
        <v>40g / 50g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2225</v>
      </c>
      <c r="E12" s="123">
        <v>80</v>
      </c>
      <c r="F12" s="124"/>
      <c r="G12" s="113" t="str">
        <f>IFERROR(INDEX(온라인_반찬!$C$2:$H$604,MATCH($D12,온라인_반찬!$C$2:$C$604,0),6),"")</f>
        <v>돼지고기 (국산)70%, 양파, 부추, 당근, 마늘, 대두유, 춘장(원료수입산), 짜장가루, 후추, 참기름, 참깨</v>
      </c>
      <c r="H12" s="101" t="str">
        <f>IFERROR(INDEX(온라인_반찬!$D$2:$J$597,MATCH($D12,온라인_반찬!$C$2:$C$597,0),6),"")</f>
        <v>.1.2.5.6.10.15.16.21.</v>
      </c>
      <c r="I12" s="109" t="s">
        <v>2261</v>
      </c>
      <c r="J12" s="102">
        <v>92</v>
      </c>
      <c r="K12" s="101">
        <v>8264</v>
      </c>
      <c r="L12" s="129" t="str">
        <f>IFERROR(INDEX(온라인_반찬!$C$2:$J$597,MATCH($D12,온라인_반찬!$C$2:$C$597,0),8),"")</f>
        <v>춘장(신송식품), 짜장분말(오뚜기)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2263</v>
      </c>
      <c r="E13" s="123"/>
      <c r="F13" s="124">
        <v>3</v>
      </c>
      <c r="G13" s="113" t="str">
        <f>IFERROR(INDEX(온라인_반찬!$C$2:$H$604,MATCH($D13,온라인_반찬!$C$2:$C$604,0),6),"")</f>
        <v>만두[전분가공품(원료수입산)23.23%, 돼지고기(국산)19.72%, 부추(중국,국산)14.87%]95%, 간장, 참기름</v>
      </c>
      <c r="H13" s="101" t="str">
        <f>IFERROR(INDEX(온라인_반찬!$D$2:$J$597,MATCH($D13,온라인_반찬!$C$2:$C$597,0),6),"")</f>
        <v>.1.2.5.6.10.16.18.21.</v>
      </c>
      <c r="I13" s="109" t="s">
        <v>2261</v>
      </c>
      <c r="J13" s="102">
        <v>92</v>
      </c>
      <c r="K13" s="101">
        <v>294.40000000000003</v>
      </c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1123</v>
      </c>
      <c r="E14" s="123">
        <v>45</v>
      </c>
      <c r="F14" s="124"/>
      <c r="G14" s="113" t="str">
        <f>IFERROR(INDEX(온라인_반찬!$C$2:$H$604,MATCH($D14,온라인_반찬!$C$2:$C$604,0),6),"")</f>
        <v>방울토마토(국산)30%, 보코치니치즈(모짜렐라치즈:미국산)25%, 파인애플청크(수입산), 망고(페루산, 베트남산), 바질페스토(캐슈넛미량함유), 올리브오일, 소금, 레몬</v>
      </c>
      <c r="H14" s="101" t="str">
        <f>IFERROR(INDEX(온라인_반찬!$D$2:$J$597,MATCH($D14,온라인_반찬!$C$2:$C$597,0),6),"")</f>
        <v>.2.4.12.</v>
      </c>
      <c r="I14" s="109" t="s">
        <v>2261</v>
      </c>
      <c r="J14" s="102">
        <v>92</v>
      </c>
      <c r="K14" s="101">
        <v>4230</v>
      </c>
      <c r="L14" s="129" t="str">
        <f>IFERROR(INDEX(온라인_반찬!$C$2:$J$597,MATCH($D14,온라인_반찬!$C$2:$C$597,0),8),"")</f>
        <v>바질페스토(몬티)</v>
      </c>
      <c r="M14" s="120"/>
      <c r="N14" s="120"/>
    </row>
    <row r="15" spans="2:23" ht="39.950000000000003" customHeight="1">
      <c r="B15" s="323"/>
      <c r="C15" s="245" t="s">
        <v>819</v>
      </c>
      <c r="D15" s="103" t="s">
        <v>631</v>
      </c>
      <c r="E15" s="123">
        <v>35</v>
      </c>
      <c r="F15" s="123"/>
      <c r="G15" s="113" t="str">
        <f>IFERROR(INDEX(온라인_반찬!$C$2:$H$604,MATCH($D15,온라인_반찬!$C$2:$C$604,0),6),"")</f>
        <v>무(국산)85.2%, 고추가루(국산), 밀가루풀(국산), 파, 마늘, 새우젓 등 양념(국산)</v>
      </c>
      <c r="H15" s="101" t="str">
        <f>IFERROR(INDEX(온라인_반찬!$D$2:$J$597,MATCH($D15,온라인_반찬!$C$2:$C$597,0),6),"")</f>
        <v>.6.9.</v>
      </c>
      <c r="I15" s="109" t="s">
        <v>2261</v>
      </c>
      <c r="J15" s="102">
        <v>92</v>
      </c>
      <c r="K15" s="101">
        <v>3290</v>
      </c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2035</v>
      </c>
      <c r="E16" s="123"/>
      <c r="F16" s="123">
        <v>1</v>
      </c>
      <c r="G16" s="113" t="s">
        <v>2291</v>
      </c>
      <c r="H16" s="101" t="str">
        <f>IFERROR(INDEX(온라인_반찬!$D$2:$J$597,MATCH($D16,온라인_반찬!$C$2:$C$597,0),6),"")</f>
        <v/>
      </c>
      <c r="I16" s="109" t="s">
        <v>2261</v>
      </c>
      <c r="J16" s="102">
        <v>28</v>
      </c>
      <c r="K16" s="101">
        <v>30</v>
      </c>
      <c r="L16" s="165" t="str">
        <f>IFERROR(INDEX(온라인_반찬!$C$2:$J$597,MATCH($D16,온라인_반찬!$C$2:$C$597,0),8),"")</f>
        <v/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2260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2260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2260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2260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2260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2260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3241-347F-47B8-98C1-B113D553EFA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2266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1346</v>
      </c>
      <c r="E3" s="261">
        <v>140</v>
      </c>
      <c r="F3" s="261"/>
      <c r="G3" s="262" t="str">
        <f>IFERROR(INDEX(온라인_반찬!$C$2:$H$604,MATCH($D3,온라인_반찬!$C$2:$C$604,0),6),"")</f>
        <v>쌀(국산)90%, 찰보리(국산.친환경)5%, 정제수</v>
      </c>
      <c r="H3" s="263">
        <f>IFERROR(INDEX(온라인_반찬!$D$2:$J$597,MATCH($D3,온라인_반찬!$C$2:$C$597,0),6),"")</f>
        <v>0</v>
      </c>
      <c r="I3" s="264" t="s">
        <v>2264</v>
      </c>
      <c r="J3" s="265">
        <v>1866</v>
      </c>
      <c r="K3" s="263">
        <v>294790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1218</v>
      </c>
      <c r="E4" s="123">
        <v>150</v>
      </c>
      <c r="F4" s="124"/>
      <c r="G4" s="113" t="str">
        <f>IFERROR(INDEX(온라인_반찬!$C$2:$H$604,MATCH($D4,온라인_반찬!$C$2:$C$604,0),6),"")</f>
        <v>두부(콩:미국,캐나다,호주등)13%, 모둠버섯[새송이(국산), 표고(중국산),]10%, 양파, 파, 마늘, 된장, 멸치육수농축액, 정제수, 소금</v>
      </c>
      <c r="H4" s="101" t="str">
        <f>IFERROR(INDEX(온라인_반찬!$D$2:$J$597,MATCH($D4,온라인_반찬!$C$2:$C$597,0),6),"")</f>
        <v>.5.</v>
      </c>
      <c r="I4" s="109" t="s">
        <v>2264</v>
      </c>
      <c r="J4" s="102">
        <v>1866</v>
      </c>
      <c r="K4" s="101">
        <v>288570</v>
      </c>
      <c r="L4" s="129" t="str">
        <f>IFERROR(INDEX(온라인_반찬!$C$2:$J$597,MATCH($D4,온라인_반찬!$C$2:$C$597,0),8),"")</f>
        <v>판두부(이츠웰)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1489</v>
      </c>
      <c r="E5" s="123">
        <v>75</v>
      </c>
      <c r="F5" s="124"/>
      <c r="G5" s="113" t="str">
        <f>IFERROR(INDEX(온라인_반찬!$C$2:$H$604,MATCH($D5,온라인_반찬!$C$2:$C$604,0),6),"")</f>
        <v>소고기(호주산)50%, 낙지(베트남산,인도네시아산)5%, 모둠버섯(느타리:국산, 팽이버섯:국산)15%, 알배추, 양파, 당근, 대파, 마늘, 간장, 정제수, 소금, 후추, 참기름</v>
      </c>
      <c r="H5" s="101" t="str">
        <f>IFERROR(INDEX(온라인_반찬!$D$2:$J$597,MATCH($D5,온라인_반찬!$C$2:$C$597,0),6),"")</f>
        <v>.5.16.21.</v>
      </c>
      <c r="I5" s="109" t="s">
        <v>2264</v>
      </c>
      <c r="J5" s="102">
        <v>1866</v>
      </c>
      <c r="K5" s="101">
        <v>174482.5</v>
      </c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2226</v>
      </c>
      <c r="E6" s="123">
        <v>30</v>
      </c>
      <c r="F6" s="124"/>
      <c r="G6" s="113" t="str">
        <f>IFERROR(INDEX(온라인_반찬!$C$2:$H$604,MATCH($D6,온라인_반찬!$C$2:$C$604,0),6),"")</f>
        <v>메추리알(국산)77.3%, 표고버섯(원료수입)5%, 정제수, 통후추, 월계수잎, 간장, 설탕, 물엿, 참기름</v>
      </c>
      <c r="H6" s="101" t="str">
        <f>IFERROR(INDEX(온라인_반찬!$D$2:$J$597,MATCH($D6,온라인_반찬!$C$2:$C$597,0),6),"")</f>
        <v>.1.5.21.</v>
      </c>
      <c r="I6" s="109" t="s">
        <v>2264</v>
      </c>
      <c r="J6" s="102">
        <v>1866</v>
      </c>
      <c r="K6" s="101">
        <v>67345</v>
      </c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920</v>
      </c>
      <c r="E7" s="123">
        <v>25</v>
      </c>
      <c r="F7" s="124"/>
      <c r="G7" s="113" t="str">
        <f>IFERROR(INDEX(온라인_반찬!$C$2:$H$604,MATCH($D7,온라인_반찬!$C$2:$C$604,0),6),"")</f>
        <v>시금치(국산)90%, 홍파프리카, 마늘, 파, 소금, 국간장, 참기름, 참깨</v>
      </c>
      <c r="H7" s="101" t="str">
        <f>IFERROR(INDEX(온라인_반찬!$D$2:$J$597,MATCH($D7,온라인_반찬!$C$2:$C$597,0),6),"")</f>
        <v>.5.21.</v>
      </c>
      <c r="I7" s="109" t="s">
        <v>2264</v>
      </c>
      <c r="J7" s="102">
        <v>1866</v>
      </c>
      <c r="K7" s="101">
        <v>58762.5</v>
      </c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630</v>
      </c>
      <c r="E8" s="123">
        <v>25</v>
      </c>
      <c r="F8" s="123"/>
      <c r="G8" s="113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IFERROR(INDEX(온라인_반찬!$D$2:$J$597,MATCH($D8,온라인_반찬!$C$2:$C$597,0),6),"")</f>
        <v>.9.12.</v>
      </c>
      <c r="I8" s="109" t="s">
        <v>2264</v>
      </c>
      <c r="J8" s="102">
        <v>1866</v>
      </c>
      <c r="K8" s="101">
        <v>52000</v>
      </c>
      <c r="L8" s="129" t="str">
        <f>IFERROR(INDEX(온라인_반찬!$C$2:$J$597,MATCH($D8,온라인_반찬!$C$2:$C$597,0),8),"")</f>
        <v>토마토김치(종가집)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2293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3" t="s">
        <v>2129</v>
      </c>
      <c r="C10" s="250" t="s">
        <v>620</v>
      </c>
      <c r="D10" s="260" t="s">
        <v>1346</v>
      </c>
      <c r="E10" s="224">
        <v>150</v>
      </c>
      <c r="F10" s="224"/>
      <c r="G10" s="225" t="str">
        <f>IFERROR(INDEX(온라인_반찬!$C$2:$H$604,MATCH($D10,온라인_반찬!$C$2:$C$604,0),6),"")</f>
        <v>쌀(국산)90%, 찰보리(국산.친환경)5%, 정제수</v>
      </c>
      <c r="H10" s="226">
        <f>IFERROR(INDEX(온라인_반찬!$D$2:$J$597,MATCH($D10,온라인_반찬!$C$2:$C$597,0),6),"")</f>
        <v>0</v>
      </c>
      <c r="I10" s="227" t="s">
        <v>2265</v>
      </c>
      <c r="J10" s="265">
        <v>72</v>
      </c>
      <c r="K10" s="263">
        <v>7800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33"/>
      <c r="C11" s="244" t="s">
        <v>624</v>
      </c>
      <c r="D11" s="276" t="s">
        <v>2246</v>
      </c>
      <c r="E11" s="277">
        <v>160</v>
      </c>
      <c r="F11" s="278"/>
      <c r="G11" s="279" t="s">
        <v>2267</v>
      </c>
      <c r="H11" s="280" t="s">
        <v>2245</v>
      </c>
      <c r="I11" s="109" t="s">
        <v>2265</v>
      </c>
      <c r="J11" s="102">
        <v>144</v>
      </c>
      <c r="K11" s="101">
        <v>23130</v>
      </c>
      <c r="L11" s="129" t="str">
        <f>IFERROR(INDEX(온라인_반찬!$C$2:$J$597,MATCH($D11,온라인_반찬!$C$2:$C$597,0),8),"")</f>
        <v/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33"/>
      <c r="C12" s="244" t="s">
        <v>621</v>
      </c>
      <c r="D12" s="103" t="s">
        <v>1489</v>
      </c>
      <c r="E12" s="123">
        <v>95</v>
      </c>
      <c r="F12" s="124"/>
      <c r="G12" s="113" t="str">
        <f>IFERROR(INDEX(온라인_반찬!$C$2:$H$604,MATCH($D12,온라인_반찬!$C$2:$C$604,0),6),"")</f>
        <v>소고기(호주산)50%, 낙지(베트남산,인도네시아산)5%, 모둠버섯(느타리:국산, 팽이버섯:국산)15%, 알배추, 양파, 당근, 대파, 마늘, 간장, 정제수, 소금, 후추, 참기름</v>
      </c>
      <c r="H12" s="101" t="str">
        <f>IFERROR(INDEX(온라인_반찬!$D$2:$J$597,MATCH($D12,온라인_반찬!$C$2:$C$597,0),6),"")</f>
        <v>.5.16.21.</v>
      </c>
      <c r="I12" s="109" t="s">
        <v>2265</v>
      </c>
      <c r="J12" s="102">
        <v>72</v>
      </c>
      <c r="K12" s="101">
        <v>7723.5</v>
      </c>
      <c r="L12" s="129">
        <f>IFERROR(INDEX(온라인_반찬!$C$2:$J$597,MATCH($D12,온라인_반찬!$C$2:$C$597,0),8),"")</f>
        <v>0</v>
      </c>
      <c r="M12" s="120"/>
      <c r="N12" s="120"/>
    </row>
    <row r="13" spans="2:23" ht="39.950000000000003" customHeight="1">
      <c r="B13" s="333"/>
      <c r="C13" s="244" t="s">
        <v>622</v>
      </c>
      <c r="D13" s="103" t="s">
        <v>2226</v>
      </c>
      <c r="E13" s="123">
        <v>40</v>
      </c>
      <c r="F13" s="124"/>
      <c r="G13" s="113" t="str">
        <f>IFERROR(INDEX(온라인_반찬!$C$2:$H$604,MATCH($D13,온라인_반찬!$C$2:$C$604,0),6),"")</f>
        <v>메추리알(국산)77.3%, 표고버섯(원료수입)5%, 정제수, 통후추, 월계수잎, 간장, 설탕, 물엿, 참기름</v>
      </c>
      <c r="H13" s="101" t="str">
        <f>IFERROR(INDEX(온라인_반찬!$D$2:$J$597,MATCH($D13,온라인_반찬!$C$2:$C$597,0),6),"")</f>
        <v>.1.5.21.</v>
      </c>
      <c r="I13" s="109" t="s">
        <v>2265</v>
      </c>
      <c r="J13" s="102">
        <v>72</v>
      </c>
      <c r="K13" s="101">
        <v>2960</v>
      </c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33"/>
      <c r="C14" s="160" t="s">
        <v>290</v>
      </c>
      <c r="D14" s="103" t="s">
        <v>920</v>
      </c>
      <c r="E14" s="123">
        <v>35</v>
      </c>
      <c r="F14" s="124"/>
      <c r="G14" s="113" t="str">
        <f>IFERROR(INDEX(온라인_반찬!$C$2:$H$604,MATCH($D14,온라인_반찬!$C$2:$C$604,0),6),"")</f>
        <v>시금치(국산)90%, 홍파프리카, 마늘, 파, 소금, 국간장, 참기름, 참깨</v>
      </c>
      <c r="H14" s="101" t="str">
        <f>IFERROR(INDEX(온라인_반찬!$D$2:$J$597,MATCH($D14,온라인_반찬!$C$2:$C$597,0),6),"")</f>
        <v>.5.21.</v>
      </c>
      <c r="I14" s="109" t="s">
        <v>2265</v>
      </c>
      <c r="J14" s="102">
        <v>72</v>
      </c>
      <c r="K14" s="101">
        <v>2590</v>
      </c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33"/>
      <c r="C15" s="245" t="s">
        <v>819</v>
      </c>
      <c r="D15" s="103" t="s">
        <v>630</v>
      </c>
      <c r="E15" s="123">
        <v>35</v>
      </c>
      <c r="F15" s="123"/>
      <c r="G15" s="113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IFERROR(INDEX(온라인_반찬!$D$2:$J$597,MATCH($D15,온라인_반찬!$C$2:$C$597,0),6),"")</f>
        <v>.9.12.</v>
      </c>
      <c r="I15" s="109" t="s">
        <v>2265</v>
      </c>
      <c r="J15" s="102">
        <v>72</v>
      </c>
      <c r="K15" s="101">
        <v>2590</v>
      </c>
      <c r="L15" s="129" t="str">
        <f>IFERROR(INDEX(온라인_반찬!$C$2:$J$597,MATCH($D15,온라인_반찬!$C$2:$C$597,0),8),"")</f>
        <v>토마토김치(종가집)</v>
      </c>
      <c r="M15" s="120"/>
      <c r="N15" s="120"/>
      <c r="O15" s="120"/>
    </row>
    <row r="16" spans="2:23" ht="39.950000000000003" customHeight="1">
      <c r="B16" s="333"/>
      <c r="C16" s="221" t="s">
        <v>1392</v>
      </c>
      <c r="D16" s="103" t="s">
        <v>1565</v>
      </c>
      <c r="E16" s="123">
        <v>80</v>
      </c>
      <c r="F16" s="123"/>
      <c r="G16" s="113" t="str">
        <f>IFERROR(INDEX(온라인_반찬!$C$2:$H$604,MATCH($D16,온라인_반찬!$C$2:$C$604,0),6),"")</f>
        <v>순살치킨[닭고기(닭다리살:브라질산)64.76%,밀가루(밀:호주산,미국산),옥수수전분(옥수수:외국산), 대두유]85%, 케찹, 물엿, 참기름</v>
      </c>
      <c r="H16" s="101" t="str">
        <f>IFERROR(INDEX(온라인_반찬!$D$2:$J$597,MATCH($D16,온라인_반찬!$C$2:$C$597,0),6),"")</f>
        <v>.1.2.5.6.12.15.21.</v>
      </c>
      <c r="I16" s="109" t="s">
        <v>2265</v>
      </c>
      <c r="J16" s="102">
        <v>28</v>
      </c>
      <c r="K16" s="101">
        <v>2580</v>
      </c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3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2264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2264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2264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2264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2264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2264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53F0-5B4C-4A40-A8D9-FE5870C856D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1348</v>
      </c>
      <c r="E3" s="261">
        <v>140</v>
      </c>
      <c r="F3" s="261"/>
      <c r="G3" s="262" t="str">
        <f>IFERROR(INDEX(온라인_반찬!$C$2:$H$604,MATCH($D3,온라인_반찬!$C$2:$C$604,0),6),"")</f>
        <v>쌀(국산)90%, 현미(국산.친환경)5%, 정제수</v>
      </c>
      <c r="H3" s="263">
        <f>IFERROR(INDEX(온라인_반찬!$D$2:$J$597,MATCH($D3,온라인_반찬!$C$2:$C$597,0),6),"")</f>
        <v>0</v>
      </c>
      <c r="I3" s="264" t="s">
        <v>2268</v>
      </c>
      <c r="J3" s="265">
        <v>1866</v>
      </c>
      <c r="K3" s="263">
        <v>294710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2270</v>
      </c>
      <c r="E4" s="123">
        <v>150</v>
      </c>
      <c r="F4" s="124"/>
      <c r="G4" s="113" t="str">
        <f>IFERROR(INDEX(온라인_반찬!$C$2:$H$604,MATCH($D4,온라인_반찬!$C$2:$C$604,0),6),"")</f>
        <v xml:space="preserve">무(국산)18.3%, 소고기(호주산)10.7%, 양파, 대파, 마늘, 정제수, 소금, 멸치육수농축액, 국간장, 후추 </v>
      </c>
      <c r="H4" s="101" t="str">
        <f>IFERROR(INDEX(온라인_반찬!$D$2:$J$597,MATCH($D4,온라인_반찬!$C$2:$C$597,0),6),"")</f>
        <v>.5.16.</v>
      </c>
      <c r="I4" s="109" t="s">
        <v>2268</v>
      </c>
      <c r="J4" s="102">
        <v>1794</v>
      </c>
      <c r="K4" s="101">
        <v>288580</v>
      </c>
      <c r="L4" s="129" t="str">
        <f>IFERROR(INDEX(온라인_반찬!$C$2:$J$597,MATCH($D4,온라인_반찬!$C$2:$C$597,0),8),"")</f>
        <v>40g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846</v>
      </c>
      <c r="E5" s="123">
        <v>110</v>
      </c>
      <c r="F5" s="124"/>
      <c r="G5" s="113" t="str">
        <f>IFERROR(INDEX(온라인_반찬!$C$2:$H$604,MATCH($D5,온라인_반찬!$C$2:$C$604,0),6),"")</f>
        <v>닭고기(국산)14.5%, 양파(국산)20.8%, 감자, 당근, 코코넛밀크(코코넛75%, 정제수)20%, 카레분말11.1%, 정제수, 대두유</v>
      </c>
      <c r="H5" s="101" t="str">
        <f>IFERROR(INDEX(온라인_반찬!$D$2:$J$597,MATCH($D5,온라인_반찬!$C$2:$C$597,0),6),"")</f>
        <v>.2.5.6.12.15.16.18.</v>
      </c>
      <c r="I5" s="109" t="s">
        <v>2268</v>
      </c>
      <c r="J5" s="102">
        <v>1866</v>
      </c>
      <c r="K5" s="101">
        <v>253335</v>
      </c>
      <c r="L5" s="129" t="str">
        <f>IFERROR(INDEX(온라인_반찬!$C$2:$J$597,MATCH($D5,온라인_반찬!$C$2:$C$597,0),8),"")</f>
        <v>코코넛밀크(몬), 카레분말(오뚜기)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2021</v>
      </c>
      <c r="E6" s="123"/>
      <c r="F6" s="124">
        <v>2</v>
      </c>
      <c r="G6" s="113" t="str">
        <f>IFERROR(INDEX(온라인_반찬!$C$2:$H$604,MATCH($D6,온라인_반찬!$C$2:$C$604,0),6),"")</f>
        <v>새우튀김[흰다리새우30%, 빵가루(밀가루.쇼트닝.설탕.효모.옥수수전분.정제소금 등)베트남산</v>
      </c>
      <c r="H6" s="101" t="str">
        <f>IFERROR(INDEX(온라인_반찬!$D$2:$J$597,MATCH($D6,온라인_반찬!$C$2:$C$597,0),6),"")</f>
        <v>.1.5.6.9.</v>
      </c>
      <c r="I6" s="109" t="s">
        <v>2268</v>
      </c>
      <c r="J6" s="102">
        <v>1866</v>
      </c>
      <c r="K6" s="101">
        <v>4404.8000000000011</v>
      </c>
      <c r="L6" s="129" t="str">
        <f>IFERROR(INDEX(온라인_반찬!$C$2:$J$597,MATCH($D6,온라인_반찬!$C$2:$C$597,0),8),"")</f>
        <v>새우튀김(이츠웰)/개당20g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1368</v>
      </c>
      <c r="E7" s="123">
        <v>35</v>
      </c>
      <c r="F7" s="124"/>
      <c r="G7" s="113" t="str">
        <f>IFERROR(INDEX(온라인_반찬!$C$2:$H$604,MATCH($D7,온라인_반찬!$C$2:$C$604,0),6),"")</f>
        <v>청포묵(원료수입산)90%, 계란지단(국산), 오이, 당근, 소금, 간장, 참기름, 참깨</v>
      </c>
      <c r="H7" s="101" t="str">
        <f>IFERROR(INDEX(온라인_반찬!$D$2:$J$597,MATCH($D7,온라인_반찬!$C$2:$C$597,0),6),"")</f>
        <v>.1.5.21.</v>
      </c>
      <c r="I7" s="109" t="s">
        <v>2268</v>
      </c>
      <c r="J7" s="102">
        <v>1866</v>
      </c>
      <c r="K7" s="101">
        <v>77167.5</v>
      </c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630</v>
      </c>
      <c r="E8" s="123">
        <v>25</v>
      </c>
      <c r="F8" s="123"/>
      <c r="G8" s="113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IFERROR(INDEX(온라인_반찬!$D$2:$J$597,MATCH($D8,온라인_반찬!$C$2:$C$597,0),6),"")</f>
        <v>.9.12.</v>
      </c>
      <c r="I8" s="109" t="s">
        <v>2268</v>
      </c>
      <c r="J8" s="102">
        <v>1866</v>
      </c>
      <c r="K8" s="101">
        <v>52025</v>
      </c>
      <c r="L8" s="129" t="str">
        <f>IFERROR(INDEX(온라인_반찬!$C$2:$J$597,MATCH($D8,온라인_반찬!$C$2:$C$597,0),8),"")</f>
        <v>토마토김치(종가집)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2294</v>
      </c>
      <c r="H9" s="166"/>
      <c r="I9" s="137"/>
      <c r="J9" s="134">
        <v>1</v>
      </c>
      <c r="K9" s="134">
        <v>0.25</v>
      </c>
      <c r="L9" s="135"/>
      <c r="M9" s="120"/>
      <c r="N9" s="120"/>
    </row>
    <row r="10" spans="2:23" ht="39.950000000000003" customHeight="1">
      <c r="B10" s="323" t="s">
        <v>2129</v>
      </c>
      <c r="C10" s="250" t="s">
        <v>620</v>
      </c>
      <c r="D10" s="260" t="s">
        <v>1348</v>
      </c>
      <c r="E10" s="224">
        <v>150</v>
      </c>
      <c r="F10" s="224"/>
      <c r="G10" s="225" t="str">
        <f>IFERROR(INDEX(온라인_반찬!$C$2:$H$604,MATCH($D10,온라인_반찬!$C$2:$C$604,0),6),"")</f>
        <v>쌀(국산)90%, 현미(국산.친환경)5%, 정제수</v>
      </c>
      <c r="H10" s="226">
        <f>IFERROR(INDEX(온라인_반찬!$D$2:$J$597,MATCH($D10,온라인_반찬!$C$2:$C$597,0),6),"")</f>
        <v>0</v>
      </c>
      <c r="I10" s="227" t="s">
        <v>2269</v>
      </c>
      <c r="J10" s="265">
        <v>92</v>
      </c>
      <c r="K10" s="263">
        <v>10950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276" t="s">
        <v>1826</v>
      </c>
      <c r="E11" s="277">
        <v>160</v>
      </c>
      <c r="F11" s="278"/>
      <c r="G11" s="279" t="str">
        <f>IFERROR(INDEX(온라인_반찬!$C$2:$H$604,MATCH($D11,온라인_반찬!$C$2:$C$604,0),6),"")</f>
        <v xml:space="preserve">무(국산)18.3%, 소고기(호주산)10.7%, 양파, 대파, 마늘, 정제수, 소금, 고춧가루, 멸치육수농축액, 국간장, 후추 </v>
      </c>
      <c r="H11" s="280" t="str">
        <f>IFERROR(INDEX(온라인_반찬!$D$2:$J$597,MATCH($D11,온라인_반찬!$C$2:$C$597,0),6),"")</f>
        <v>.5.16.</v>
      </c>
      <c r="I11" s="109" t="s">
        <v>2269</v>
      </c>
      <c r="J11" s="102">
        <v>164</v>
      </c>
      <c r="K11" s="101">
        <v>26330</v>
      </c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846</v>
      </c>
      <c r="E12" s="123">
        <v>120</v>
      </c>
      <c r="F12" s="124"/>
      <c r="G12" s="113" t="str">
        <f>IFERROR(INDEX(온라인_반찬!$C$2:$H$604,MATCH($D12,온라인_반찬!$C$2:$C$604,0),6),"")</f>
        <v>닭고기(국산)14.5%, 양파(국산)20.8%, 감자, 당근, 코코넛밀크(코코넛75%, 정제수)20%, 카레분말11.1%, 정제수, 대두유</v>
      </c>
      <c r="H12" s="101" t="str">
        <f>IFERROR(INDEX(온라인_반찬!$D$2:$J$597,MATCH($D12,온라인_반찬!$C$2:$C$597,0),6),"")</f>
        <v>.2.5.6.12.15.16.18.</v>
      </c>
      <c r="I12" s="109" t="s">
        <v>2269</v>
      </c>
      <c r="J12" s="102">
        <v>92</v>
      </c>
      <c r="K12" s="101">
        <v>12396</v>
      </c>
      <c r="L12" s="129" t="str">
        <f>IFERROR(INDEX(온라인_반찬!$C$2:$J$597,MATCH($D12,온라인_반찬!$C$2:$C$597,0),8),"")</f>
        <v>코코넛밀크(몬), 카레분말(오뚜기)</v>
      </c>
      <c r="M12" s="120"/>
      <c r="N12" s="120"/>
    </row>
    <row r="13" spans="2:23" ht="39.950000000000003" customHeight="1">
      <c r="B13" s="323"/>
      <c r="C13" s="244" t="s">
        <v>622</v>
      </c>
      <c r="D13" s="103" t="s">
        <v>2021</v>
      </c>
      <c r="E13" s="123"/>
      <c r="F13" s="124">
        <v>2</v>
      </c>
      <c r="G13" s="113" t="str">
        <f>IFERROR(INDEX(온라인_반찬!$C$2:$H$604,MATCH($D13,온라인_반찬!$C$2:$C$604,0),6),"")</f>
        <v>새우튀김[흰다리새우30%, 빵가루(밀가루.쇼트닝.설탕.효모.옥수수전분.정제소금 등)베트남산</v>
      </c>
      <c r="H13" s="101" t="str">
        <f>IFERROR(INDEX(온라인_반찬!$D$2:$J$597,MATCH($D13,온라인_반찬!$C$2:$C$597,0),6),"")</f>
        <v>.1.5.6.9.</v>
      </c>
      <c r="I13" s="109" t="s">
        <v>2269</v>
      </c>
      <c r="J13" s="102">
        <v>92</v>
      </c>
      <c r="K13" s="101">
        <v>230</v>
      </c>
      <c r="L13" s="129" t="str">
        <f>IFERROR(INDEX(온라인_반찬!$C$2:$J$597,MATCH($D13,온라인_반찬!$C$2:$C$597,0),8),"")</f>
        <v>새우튀김(이츠웰)/개당20g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1368</v>
      </c>
      <c r="E14" s="123">
        <v>40</v>
      </c>
      <c r="F14" s="124"/>
      <c r="G14" s="113" t="str">
        <f>IFERROR(INDEX(온라인_반찬!$C$2:$H$604,MATCH($D14,온라인_반찬!$C$2:$C$604,0),6),"")</f>
        <v>청포묵(원료수입산)90%, 계란지단(국산), 오이, 당근, 소금, 간장, 참기름, 참깨</v>
      </c>
      <c r="H14" s="101" t="str">
        <f>IFERROR(INDEX(온라인_반찬!$D$2:$J$597,MATCH($D14,온라인_반찬!$C$2:$C$597,0),6),"")</f>
        <v>.1.5.21.</v>
      </c>
      <c r="I14" s="109" t="s">
        <v>2269</v>
      </c>
      <c r="J14" s="102">
        <v>92</v>
      </c>
      <c r="K14" s="101">
        <v>3760</v>
      </c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630</v>
      </c>
      <c r="E15" s="123">
        <v>35</v>
      </c>
      <c r="F15" s="123"/>
      <c r="G15" s="113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IFERROR(INDEX(온라인_반찬!$D$2:$J$597,MATCH($D15,온라인_반찬!$C$2:$C$597,0),6),"")</f>
        <v>.9.12.</v>
      </c>
      <c r="I15" s="109" t="s">
        <v>2269</v>
      </c>
      <c r="J15" s="102">
        <v>92</v>
      </c>
      <c r="K15" s="101">
        <v>3290</v>
      </c>
      <c r="L15" s="129" t="str">
        <f>IFERROR(INDEX(온라인_반찬!$C$2:$J$597,MATCH($D15,온라인_반찬!$C$2:$C$597,0),8),"")</f>
        <v>토마토김치(종가집)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1759</v>
      </c>
      <c r="E16" s="123">
        <v>90</v>
      </c>
      <c r="F16" s="123"/>
      <c r="G16" s="113" t="str">
        <f>IFERROR(INDEX(온라인_반찬!$C$2:$H$604,MATCH($D16,온라인_반찬!$C$2:$C$604,0),6),"")</f>
        <v>돼지고기(사태:국산)62%, 파인애플(전처리용), 채소(무, 양파, 당근:국산)18%, 대파, 마늘, 생강가루, 월계수잎, 정제수, 고춧가루, 간장, 설탕, 맛술, 물엿, 참기름, 후추</v>
      </c>
      <c r="H16" s="101" t="str">
        <f>IFERROR(INDEX(온라인_반찬!$D$2:$J$597,MATCH($D16,온라인_반찬!$C$2:$C$597,0),6),"")</f>
        <v>.5.10.19.21.</v>
      </c>
      <c r="I16" s="109" t="s">
        <v>2269</v>
      </c>
      <c r="J16" s="102">
        <v>28</v>
      </c>
      <c r="K16" s="101">
        <v>2890</v>
      </c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2268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2268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2268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2268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2268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2268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1119-C9C0-4F04-8586-F649E1FBA07F}">
  <sheetPr>
    <pageSetUpPr fitToPage="1"/>
  </sheetPr>
  <dimension ref="B1:W27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2328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1762</v>
      </c>
      <c r="E3" s="261">
        <v>140</v>
      </c>
      <c r="F3" s="261"/>
      <c r="G3" s="262" t="str">
        <f>IFERROR(INDEX(온라인_반찬!$C$2:$H$604,MATCH($D3,온라인_반찬!$C$2:$C$604,0),6),"")</f>
        <v>쌀(국산)90%, 귀리(국산.친환경)5%, 정제수</v>
      </c>
      <c r="H3" s="263">
        <f>IFERROR(INDEX(온라인_반찬!$D$2:$J$597,MATCH($D3,온라인_반찬!$C$2:$C$597,0),6),"")</f>
        <v>0</v>
      </c>
      <c r="I3" s="264" t="s">
        <v>2272</v>
      </c>
      <c r="J3" s="265">
        <v>1866</v>
      </c>
      <c r="K3" s="263">
        <v>294760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697</v>
      </c>
      <c r="E4" s="123">
        <v>150</v>
      </c>
      <c r="F4" s="124"/>
      <c r="G4" s="113" t="str">
        <f>IFERROR(INDEX(온라인_반찬!$C$2:$H$604,MATCH($D4,온라인_반찬!$C$2:$C$604,0),6),"")</f>
        <v>불린미역(국산)23%, 정제수, 참기름, 국간장, 밥새우, 멸치육수농축액, 마늘, 소금</v>
      </c>
      <c r="H4" s="101" t="str">
        <f>IFERROR(INDEX(온라인_반찬!$D$2:$J$597,MATCH($D4,온라인_반찬!$C$2:$C$597,0),6),"")</f>
        <v>.5.9.</v>
      </c>
      <c r="I4" s="109" t="s">
        <v>2272</v>
      </c>
      <c r="J4" s="102">
        <v>1866</v>
      </c>
      <c r="K4" s="101">
        <v>303700</v>
      </c>
      <c r="L4" s="129" t="str">
        <f>IFERROR(INDEX(온라인_반찬!$C$2:$J$597,MATCH($D4,온라인_반찬!$C$2:$C$597,0),8),"")</f>
        <v>25g / 30g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736</v>
      </c>
      <c r="E5" s="123">
        <v>60</v>
      </c>
      <c r="F5" s="124"/>
      <c r="G5" s="113" t="str">
        <f>IFERROR(INDEX(온라인_반찬!$C$2:$H$604,MATCH($D5,온라인_반찬!$C$2:$C$604,0),6),"")</f>
        <v>돈후지(국산)85%, 갈비양념, 간장, 설탕, 양파, 파, 마늘, 후추, 참기름</v>
      </c>
      <c r="H5" s="101" t="str">
        <f>IFERROR(INDEX(온라인_반찬!$D$2:$J$597,MATCH($D5,온라인_반찬!$C$2:$C$597,0),6),"")</f>
        <v>.5.6.10.21.</v>
      </c>
      <c r="I5" s="109" t="s">
        <v>2272</v>
      </c>
      <c r="J5" s="102">
        <v>1866</v>
      </c>
      <c r="K5" s="101">
        <v>133330</v>
      </c>
      <c r="L5" s="129" t="str">
        <f>IFERROR(INDEX(온라인_반찬!$C$2:$J$597,MATCH($D5,온라인_반찬!$C$2:$C$597,0),8),"")</f>
        <v>돼지갈비양념장(백설)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1451</v>
      </c>
      <c r="E6" s="123"/>
      <c r="F6" s="124">
        <v>1</v>
      </c>
      <c r="G6" s="113" t="str">
        <f>IFERROR(INDEX(온라인_반찬!$C$2:$H$604,MATCH($D6,온라인_반찬!$C$2:$C$604,0),6),"")</f>
        <v>계란(국산)46.2%, 쪽파, 당근, 정제수, 우유, 소금</v>
      </c>
      <c r="H6" s="101" t="str">
        <f>IFERROR(INDEX(온라인_반찬!$D$2:$J$597,MATCH($D6,온라인_반찬!$C$2:$C$597,0),6),"")</f>
        <v>.1.2.</v>
      </c>
      <c r="I6" s="109" t="s">
        <v>2272</v>
      </c>
      <c r="J6" s="102">
        <v>1866</v>
      </c>
      <c r="K6" s="101">
        <v>2723.7</v>
      </c>
      <c r="L6" s="129" t="str">
        <f>IFERROR(INDEX(온라인_반찬!$C$2:$J$597,MATCH($D6,온라인_반찬!$C$2:$C$597,0),8),"")</f>
        <v xml:space="preserve">1판에 64조각 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2045</v>
      </c>
      <c r="E7" s="123">
        <v>20</v>
      </c>
      <c r="F7" s="124"/>
      <c r="G7" s="113" t="str">
        <f>IFERROR(INDEX(온라인_반찬!$C$2:$H$604,MATCH($D7,온라인_반찬!$C$2:$C$604,0),6),"")</f>
        <v>검은콩(중국산)82%, 멸치(국내산)3%,  간장, 물엿, 설탕, 참기름, 참깨</v>
      </c>
      <c r="H7" s="101" t="str">
        <f>IFERROR(INDEX(온라인_반찬!$D$2:$J$597,MATCH($D7,온라인_반찬!$C$2:$C$597,0),6),"")</f>
        <v>.5.21.</v>
      </c>
      <c r="I7" s="109" t="s">
        <v>2272</v>
      </c>
      <c r="J7" s="102">
        <v>1866</v>
      </c>
      <c r="K7" s="101">
        <v>44940</v>
      </c>
      <c r="L7" s="129" t="str">
        <f>IFERROR(INDEX(온라인_반찬!$C$2:$J$597,MATCH($D7,온라인_반찬!$C$2:$C$597,0),8),"")</f>
        <v>콩자반(반찬단지)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2272</v>
      </c>
      <c r="J8" s="102">
        <v>1866</v>
      </c>
      <c r="K8" s="101">
        <v>53512.5</v>
      </c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1762</v>
      </c>
      <c r="E10" s="224">
        <v>150</v>
      </c>
      <c r="F10" s="224"/>
      <c r="G10" s="225" t="str">
        <f>IFERROR(INDEX(온라인_반찬!$C$2:$H$604,MATCH($D10,온라인_반찬!$C$2:$C$604,0),6),"")</f>
        <v>쌀(국산)90%, 귀리(국산.친환경)5%, 정제수</v>
      </c>
      <c r="H10" s="226">
        <f>IFERROR(INDEX(온라인_반찬!$D$2:$J$597,MATCH($D10,온라인_반찬!$C$2:$C$597,0),6),"")</f>
        <v>0</v>
      </c>
      <c r="I10" s="227" t="s">
        <v>2273</v>
      </c>
      <c r="J10" s="265">
        <v>92</v>
      </c>
      <c r="K10" s="263">
        <v>10950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697</v>
      </c>
      <c r="E11" s="123">
        <v>160</v>
      </c>
      <c r="F11" s="124"/>
      <c r="G11" s="113" t="str">
        <f>IFERROR(INDEX(온라인_반찬!$C$2:$H$604,MATCH($D11,온라인_반찬!$C$2:$C$604,0),6),"")</f>
        <v>불린미역(국산)23%, 정제수, 참기름, 국간장, 밥새우, 멸치육수농축액, 마늘, 소금</v>
      </c>
      <c r="H11" s="101" t="str">
        <f>IFERROR(INDEX(온라인_반찬!$D$2:$J$597,MATCH($D11,온라인_반찬!$C$2:$C$597,0),6),"")</f>
        <v>.5.9.</v>
      </c>
      <c r="I11" s="109" t="s">
        <v>2273</v>
      </c>
      <c r="J11" s="102">
        <v>92</v>
      </c>
      <c r="K11" s="101">
        <v>11210</v>
      </c>
      <c r="L11" s="129" t="str">
        <f>IFERROR(INDEX(온라인_반찬!$C$2:$J$597,MATCH($D11,온라인_반찬!$C$2:$C$597,0),8),"")</f>
        <v>25g / 30g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276" t="s">
        <v>2247</v>
      </c>
      <c r="E12" s="277">
        <v>80</v>
      </c>
      <c r="F12" s="278"/>
      <c r="G12" s="279" t="s">
        <v>2274</v>
      </c>
      <c r="H12" s="280" t="str">
        <f>IFERROR(INDEX(온라인_반찬!$D$2:$J$597,MATCH($D12,온라인_반찬!$C$2:$C$597,0),6),"")</f>
        <v>.5.6.10.19.21.</v>
      </c>
      <c r="I12" s="109" t="s">
        <v>2273</v>
      </c>
      <c r="J12" s="102">
        <v>92</v>
      </c>
      <c r="K12" s="101">
        <v>8264</v>
      </c>
      <c r="L12" s="129">
        <f>IFERROR(INDEX(온라인_반찬!$C$2:$J$597,MATCH($D12,온라인_반찬!$C$2:$C$597,0),8),"")</f>
        <v>0</v>
      </c>
      <c r="M12" s="120"/>
      <c r="N12" s="120"/>
    </row>
    <row r="13" spans="2:23" ht="39.950000000000003" customHeight="1">
      <c r="B13" s="323"/>
      <c r="C13" s="244" t="s">
        <v>622</v>
      </c>
      <c r="D13" s="103" t="s">
        <v>1451</v>
      </c>
      <c r="E13" s="123"/>
      <c r="F13" s="124">
        <v>2</v>
      </c>
      <c r="G13" s="113" t="str">
        <f>IFERROR(INDEX(온라인_반찬!$C$2:$H$604,MATCH($D13,온라인_반찬!$C$2:$C$604,0),6),"")</f>
        <v>계란(국산)46.2%, 쪽파, 당근, 정제수, 우유, 소금</v>
      </c>
      <c r="H13" s="101" t="str">
        <f>IFERROR(INDEX(온라인_반찬!$D$2:$J$597,MATCH($D13,온라인_반찬!$C$2:$C$597,0),6),"")</f>
        <v>.1.2.</v>
      </c>
      <c r="I13" s="109" t="s">
        <v>2273</v>
      </c>
      <c r="J13" s="102">
        <v>92</v>
      </c>
      <c r="K13" s="101">
        <v>202.4</v>
      </c>
      <c r="L13" s="129" t="str">
        <f>IFERROR(INDEX(온라인_반찬!$C$2:$J$597,MATCH($D13,온라인_반찬!$C$2:$C$597,0),8),"")</f>
        <v xml:space="preserve">1판에 64조각 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2045</v>
      </c>
      <c r="E14" s="123">
        <v>23</v>
      </c>
      <c r="F14" s="124"/>
      <c r="G14" s="113" t="str">
        <f>IFERROR(INDEX(온라인_반찬!$C$2:$H$604,MATCH($D14,온라인_반찬!$C$2:$C$604,0),6),"")</f>
        <v>검은콩(중국산)82%, 멸치(국내산)3%,  간장, 물엿, 설탕, 참기름, 참깨</v>
      </c>
      <c r="H14" s="101" t="str">
        <f>IFERROR(INDEX(온라인_반찬!$D$2:$J$597,MATCH($D14,온라인_반찬!$C$2:$C$597,0),6),"")</f>
        <v>.5.21.</v>
      </c>
      <c r="I14" s="109" t="s">
        <v>2273</v>
      </c>
      <c r="J14" s="102">
        <v>92</v>
      </c>
      <c r="K14" s="101">
        <v>2162</v>
      </c>
      <c r="L14" s="129" t="str">
        <f>IFERROR(INDEX(온라인_반찬!$C$2:$J$597,MATCH($D14,온라인_반찬!$C$2:$C$597,0),8),"")</f>
        <v>콩자반(반찬단지)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631</v>
      </c>
      <c r="E15" s="123">
        <v>35</v>
      </c>
      <c r="F15" s="123"/>
      <c r="G15" s="113" t="str">
        <f>IFERROR(INDEX(온라인_반찬!$C$2:$H$604,MATCH($D15,온라인_반찬!$C$2:$C$604,0),6),"")</f>
        <v>무(국산)85.2%, 고추가루(국산), 밀가루풀(국산), 파, 마늘, 새우젓 등 양념(국산)</v>
      </c>
      <c r="H15" s="101" t="str">
        <f>IFERROR(INDEX(온라인_반찬!$D$2:$J$597,MATCH($D15,온라인_반찬!$C$2:$C$597,0),6),"")</f>
        <v>.6.9.</v>
      </c>
      <c r="I15" s="109" t="s">
        <v>2273</v>
      </c>
      <c r="J15" s="102">
        <v>92</v>
      </c>
      <c r="K15" s="101">
        <v>3290</v>
      </c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2035</v>
      </c>
      <c r="E16" s="123">
        <v>100</v>
      </c>
      <c r="F16" s="123"/>
      <c r="G16" s="113" t="s">
        <v>2295</v>
      </c>
      <c r="H16" s="101" t="str">
        <f>IFERROR(INDEX(온라인_반찬!$D$2:$J$597,MATCH($D16,온라인_반찬!$C$2:$C$597,0),6),"")</f>
        <v/>
      </c>
      <c r="I16" s="109" t="s">
        <v>2273</v>
      </c>
      <c r="J16" s="102">
        <v>28</v>
      </c>
      <c r="K16" s="101">
        <v>3000</v>
      </c>
      <c r="L16" s="165" t="str">
        <f>IFERROR(INDEX(온라인_반찬!$C$2:$J$597,MATCH($D16,온라인_반찬!$C$2:$C$597,0),8),"")</f>
        <v/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2272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2272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2272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2272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2272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2272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8BDF-0386-4E91-9505-5735F37C10A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2278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1344</v>
      </c>
      <c r="E3" s="261">
        <v>140</v>
      </c>
      <c r="F3" s="261"/>
      <c r="G3" s="262" t="str">
        <f>IFERROR(INDEX(온라인_반찬!$C$2:$H$604,MATCH($D3,온라인_반찬!$C$2:$C$604,0),6),"")</f>
        <v>쌀(국산)90%, 찰흑미(국산.친환경)5%, 정제수</v>
      </c>
      <c r="H3" s="263">
        <f>IFERROR(INDEX(온라인_반찬!$D$2:$J$597,MATCH($D3,온라인_반찬!$C$2:$C$597,0),6),"")</f>
        <v>0</v>
      </c>
      <c r="I3" s="264" t="s">
        <v>2276</v>
      </c>
      <c r="J3" s="265">
        <v>1880</v>
      </c>
      <c r="K3" s="263">
        <v>297810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2147</v>
      </c>
      <c r="E4" s="123">
        <v>150</v>
      </c>
      <c r="F4" s="124"/>
      <c r="G4" s="113" t="str">
        <f>IFERROR(INDEX(온라인_반찬!$C$2:$H$604,MATCH($D4,온라인_반찬!$C$2:$C$604,0),6),"")</f>
        <v>냉이(국산)7.8%, 모둠채소[느타리버섯(국산)), 무(국산), 양파(국산) ]13%, 파, 마늘, 된장, 정제수, 멸치육수농축액, 소금</v>
      </c>
      <c r="H4" s="101" t="str">
        <f>IFERROR(INDEX(온라인_반찬!$D$2:$J$597,MATCH($D4,온라인_반찬!$C$2:$C$597,0),6),"")</f>
        <v>.5.18.</v>
      </c>
      <c r="I4" s="109" t="s">
        <v>2276</v>
      </c>
      <c r="J4" s="102">
        <v>1880</v>
      </c>
      <c r="K4" s="101">
        <v>306630</v>
      </c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2054</v>
      </c>
      <c r="E5" s="123">
        <v>50</v>
      </c>
      <c r="F5" s="124"/>
      <c r="G5" s="113" t="str">
        <f>IFERROR(INDEX(온라인_반찬!$C$2:$H$604,MATCH($D5,온라인_반찬!$C$2:$C$604,0),6),"")</f>
        <v>소고기다짐육(호주산)60%, 스크램블에그(계란:국내산)30%, 부추(국내산), 대두유, 간장, 맛술, 설탕, 후추, 참기름, 참깨</v>
      </c>
      <c r="H5" s="101" t="str">
        <f>IFERROR(INDEX(온라인_반찬!$D$2:$J$597,MATCH($D5,온라인_반찬!$C$2:$C$597,0),6),"")</f>
        <v>.1.2.5.16.21.</v>
      </c>
      <c r="I5" s="109" t="s">
        <v>2276</v>
      </c>
      <c r="J5" s="102">
        <v>1808</v>
      </c>
      <c r="K5" s="101">
        <v>112465</v>
      </c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1899</v>
      </c>
      <c r="E6" s="123">
        <v>30</v>
      </c>
      <c r="F6" s="124"/>
      <c r="G6" s="113" t="str">
        <f>IFERROR(INDEX(온라인_반찬!$C$2:$H$604,MATCH($D6,온라인_반찬!$C$2:$C$604,0),6),"")</f>
        <v>표고탕수[표고버섯채(중국산:46.88%), 밀가루:미국산]78%, 강정소스(케찹, 설탕, 물엿, 참기름), 해바라기씨(중국산)</v>
      </c>
      <c r="H6" s="101" t="str">
        <f>IFERROR(INDEX(온라인_반찬!$D$2:$J$597,MATCH($D6,온라인_반찬!$C$2:$C$597,0),6),"")</f>
        <v>.1.5.6.18.21.</v>
      </c>
      <c r="I6" s="109" t="s">
        <v>2276</v>
      </c>
      <c r="J6" s="102">
        <v>1880</v>
      </c>
      <c r="K6" s="101">
        <v>68170</v>
      </c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1993</v>
      </c>
      <c r="E7" s="123">
        <v>30</v>
      </c>
      <c r="F7" s="124"/>
      <c r="G7" s="113" t="str">
        <f>IFERROR(INDEX(온라인_반찬!$C$2:$H$604,MATCH($D7,온라인_반찬!$C$2:$C$604,0),6),"")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7" s="101" t="str">
        <f>IFERROR(INDEX(온라인_반찬!$D$2:$J$597,MATCH($D7,온라인_반찬!$C$2:$C$597,0),6),"")</f>
        <v>.1.2.5.6.8.12.21.</v>
      </c>
      <c r="I7" s="109" t="s">
        <v>2276</v>
      </c>
      <c r="J7" s="102">
        <v>1880</v>
      </c>
      <c r="K7" s="101">
        <v>67220</v>
      </c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1113</v>
      </c>
      <c r="E8" s="123">
        <v>25</v>
      </c>
      <c r="F8" s="123"/>
      <c r="G8" s="113" t="str">
        <f>IFERROR(INDEX(온라인_반찬!$C$2:$H$604,MATCH($D8,온라인_반찬!$C$2:$C$604,0),6),"")</f>
        <v>배추(국내산)64%, 무채(무:국내산)8%, 양파, 정제수, 생강, 마늘, 생강, 배, 쪽파, 정제염</v>
      </c>
      <c r="H8" s="101">
        <f>IFERROR(INDEX(온라인_반찬!$D$2:$J$597,MATCH($D8,온라인_반찬!$C$2:$C$597,0),6),"")</f>
        <v>0</v>
      </c>
      <c r="I8" s="109" t="s">
        <v>2276</v>
      </c>
      <c r="J8" s="102">
        <v>1808</v>
      </c>
      <c r="K8" s="101">
        <v>46887</v>
      </c>
      <c r="L8" s="129" t="str">
        <f>IFERROR(INDEX(온라인_반찬!$C$2:$J$597,MATCH($D8,온라인_반찬!$C$2:$C$597,0),8),"")</f>
        <v>백김치(정우식품)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1344</v>
      </c>
      <c r="E10" s="224">
        <v>150</v>
      </c>
      <c r="F10" s="224"/>
      <c r="G10" s="225" t="str">
        <f>IFERROR(INDEX(온라인_반찬!$C$2:$H$604,MATCH($D10,온라인_반찬!$C$2:$C$604,0),6),"")</f>
        <v>쌀(국산)90%, 찰흑미(국산.친환경)5%, 정제수</v>
      </c>
      <c r="H10" s="226">
        <f>IFERROR(INDEX(온라인_반찬!$D$2:$J$597,MATCH($D10,온라인_반찬!$C$2:$C$597,0),6),"")</f>
        <v>0</v>
      </c>
      <c r="I10" s="227" t="s">
        <v>2277</v>
      </c>
      <c r="J10" s="265">
        <v>64</v>
      </c>
      <c r="K10" s="263">
        <v>6300</v>
      </c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2147</v>
      </c>
      <c r="E11" s="123">
        <v>160</v>
      </c>
      <c r="F11" s="124"/>
      <c r="G11" s="113" t="str">
        <f>IFERROR(INDEX(온라인_반찬!$C$2:$H$604,MATCH($D11,온라인_반찬!$C$2:$C$604,0),6),"")</f>
        <v>냉이(국산)7.8%, 모둠채소[느타리버섯(국산)), 무(국산), 양파(국산) ]13%, 파, 마늘, 된장, 정제수, 멸치육수농축액, 소금</v>
      </c>
      <c r="H11" s="101" t="str">
        <f>IFERROR(INDEX(온라인_반찬!$D$2:$J$597,MATCH($D11,온라인_반찬!$C$2:$C$597,0),6),"")</f>
        <v>.5.18.</v>
      </c>
      <c r="I11" s="109" t="s">
        <v>2277</v>
      </c>
      <c r="J11" s="102">
        <v>64</v>
      </c>
      <c r="K11" s="101">
        <v>6560</v>
      </c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276" t="s">
        <v>2075</v>
      </c>
      <c r="E12" s="277">
        <v>80</v>
      </c>
      <c r="F12" s="278"/>
      <c r="G12" s="279" t="str">
        <f>IFERROR(INDEX(온라인_반찬!$C$2:$H$604,MATCH($D12,온라인_반찬!$C$2:$C$604,0),6),"")</f>
        <v>소고기(호주산)77%, 새송이버섯(국산)10%, 당근, 대파, 마늘, 간장, 맛술, 참기름, 후추, 참깨</v>
      </c>
      <c r="H12" s="280" t="str">
        <f>IFERROR(INDEX(온라인_반찬!$D$2:$J$597,MATCH($D12,온라인_반찬!$C$2:$C$597,0),6),"")</f>
        <v>.5.16.21.</v>
      </c>
      <c r="I12" s="109" t="s">
        <v>2277</v>
      </c>
      <c r="J12" s="102">
        <v>136</v>
      </c>
      <c r="K12" s="101">
        <v>14800</v>
      </c>
      <c r="L12" s="129">
        <f>IFERROR(INDEX(온라인_반찬!$C$2:$J$597,MATCH($D12,온라인_반찬!$C$2:$C$597,0),8),"")</f>
        <v>0</v>
      </c>
      <c r="M12" s="120"/>
      <c r="N12" s="120"/>
    </row>
    <row r="13" spans="2:23" ht="39.950000000000003" customHeight="1">
      <c r="B13" s="323"/>
      <c r="C13" s="244" t="s">
        <v>622</v>
      </c>
      <c r="D13" s="103" t="s">
        <v>1899</v>
      </c>
      <c r="E13" s="123">
        <v>40</v>
      </c>
      <c r="F13" s="124"/>
      <c r="G13" s="113" t="str">
        <f>IFERROR(INDEX(온라인_반찬!$C$2:$H$604,MATCH($D13,온라인_반찬!$C$2:$C$604,0),6),"")</f>
        <v>표고탕수[표고버섯채(중국산:46.88%), 밀가루:미국산]78%, 강정소스(케찹, 설탕, 물엿, 참기름), 해바라기씨(중국산)</v>
      </c>
      <c r="H13" s="101" t="str">
        <f>IFERROR(INDEX(온라인_반찬!$D$2:$J$597,MATCH($D13,온라인_반찬!$C$2:$C$597,0),6),"")</f>
        <v>.1.5.6.18.21.</v>
      </c>
      <c r="I13" s="109" t="s">
        <v>2277</v>
      </c>
      <c r="J13" s="102">
        <v>64</v>
      </c>
      <c r="K13" s="101">
        <v>2640</v>
      </c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1993</v>
      </c>
      <c r="E14" s="123">
        <v>35</v>
      </c>
      <c r="F14" s="124"/>
      <c r="G14" s="113" t="str">
        <f>IFERROR(INDEX(온라인_반찬!$C$2:$H$604,MATCH($D14,온라인_반찬!$C$2:$C$604,0),6),"")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14" s="101" t="str">
        <f>IFERROR(INDEX(온라인_반찬!$D$2:$J$597,MATCH($D14,온라인_반찬!$C$2:$C$597,0),6),"")</f>
        <v>.1.2.5.6.8.12.21.</v>
      </c>
      <c r="I14" s="109" t="s">
        <v>2277</v>
      </c>
      <c r="J14" s="102">
        <v>64</v>
      </c>
      <c r="K14" s="101">
        <v>2310</v>
      </c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276" t="s">
        <v>1549</v>
      </c>
      <c r="E15" s="277">
        <v>35</v>
      </c>
      <c r="F15" s="277"/>
      <c r="G15" s="279" t="str">
        <f>IFERROR(INDEX(온라인_반찬!$C$2:$H$604,MATCH($D15,온라인_반찬!$C$2:$C$604,0),6),"")</f>
        <v>절임열무51%(열무,식염, 고춧가루, 양파, 대파, 전용풀. 마늘, 다시마농축액.새우액젓.생강:국산)</v>
      </c>
      <c r="H15" s="280" t="str">
        <f>IFERROR(INDEX(온라인_반찬!$D$2:$J$597,MATCH($D15,온라인_반찬!$C$2:$C$597,0),6),"")</f>
        <v>.9.</v>
      </c>
      <c r="I15" s="109" t="s">
        <v>2277</v>
      </c>
      <c r="J15" s="102">
        <v>136</v>
      </c>
      <c r="K15" s="101">
        <v>5910</v>
      </c>
      <c r="L15" s="129" t="str">
        <f>IFERROR(INDEX(온라인_반찬!$C$2:$J$597,MATCH($D15,온라인_반찬!$C$2:$C$597,0),8),"")</f>
        <v>열무김치(종가김치)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1608</v>
      </c>
      <c r="E16" s="123">
        <v>100</v>
      </c>
      <c r="F16" s="123"/>
      <c r="G16" s="113" t="str">
        <f>IFERROR(INDEX(온라인_반찬!$C$2:$H$604,MATCH($D16,온라인_반찬!$C$2:$C$604,0),6),"")</f>
        <v>누들떡(밀:수입산)45%, 어묵(원료수입산)10%, 비엔나소세지(돼지고기,닭고기:국산), 메추리알(국산)., 양파, 당근, 파, 마늘, 정제수, 고추장, 설탕, 간장, 물엿</v>
      </c>
      <c r="H16" s="101" t="str">
        <f>IFERROR(INDEX(온라인_반찬!$D$2:$J$597,MATCH($D16,온라인_반찬!$C$2:$C$597,0),6),"")</f>
        <v>.1.5.6.10.15.</v>
      </c>
      <c r="I16" s="109" t="s">
        <v>2277</v>
      </c>
      <c r="J16" s="102">
        <v>0</v>
      </c>
      <c r="K16" s="101">
        <v>0</v>
      </c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2276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2276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2276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2276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2276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2276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6A3D-5749-42F8-9CF5-04D88FC5B207}">
  <sheetPr>
    <tabColor rgb="FFFFFF00"/>
    <pageSetUpPr fitToPage="1"/>
  </sheetPr>
  <dimension ref="B1:W27"/>
  <sheetViews>
    <sheetView zoomScale="80" zoomScaleNormal="80" zoomScaleSheetLayoutView="75" workbookViewId="0">
      <selection activeCell="J9" sqref="J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2130</v>
      </c>
      <c r="E3" s="261">
        <v>140</v>
      </c>
      <c r="F3" s="261"/>
      <c r="G3" s="262" t="str">
        <f>IFERROR(INDEX(온라인_반찬!$C$2:$H$604,MATCH($D3,온라인_반찬!$C$2:$C$604,0),6),"")</f>
        <v>쌀(국산)95%, 정제수</v>
      </c>
      <c r="H3" s="263">
        <f>IFERROR(INDEX(온라인_반찬!$D$2:$J$597,MATCH($D3,온라인_반찬!$C$2:$C$597,0),6),"")</f>
        <v>0</v>
      </c>
      <c r="I3" s="264" t="s">
        <v>2280</v>
      </c>
      <c r="J3" s="265">
        <v>1775</v>
      </c>
      <c r="K3" s="263">
        <v>281350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848</v>
      </c>
      <c r="E4" s="123">
        <v>150</v>
      </c>
      <c r="F4" s="124"/>
      <c r="G4" s="113" t="str">
        <f>IFERROR(INDEX(온라인_반찬!$C$2:$H$604,MATCH($D4,온라인_반찬!$C$2:$C$604,0),6),"")</f>
        <v>조랭이떡(쌀:수입산)25%, 소고기(호주산)3.5%, 계란(국내산)1%, 대파, 마늘, 국간장, 정제수, 소금</v>
      </c>
      <c r="H4" s="101" t="str">
        <f>IFERROR(INDEX(온라인_반찬!$D$2:$J$597,MATCH($D4,온라인_반찬!$C$2:$C$597,0),6),"")</f>
        <v>.1.5.16.</v>
      </c>
      <c r="I4" s="109" t="s">
        <v>2280</v>
      </c>
      <c r="J4" s="102">
        <v>1775</v>
      </c>
      <c r="K4" s="101">
        <v>289520</v>
      </c>
      <c r="L4" s="129" t="str">
        <f>IFERROR(INDEX(온라인_반찬!$C$2:$J$597,MATCH($D4,온라인_반찬!$C$2:$C$597,0),8),"")</f>
        <v>40g / 50g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2227</v>
      </c>
      <c r="E5" s="123">
        <v>75</v>
      </c>
      <c r="F5" s="124"/>
      <c r="G5" s="113" t="str">
        <f>IFERROR(INDEX(온라인_반찬!$C$2:$H$604,MATCH($D5,온라인_반찬!$C$2:$C$604,0),6),"")</f>
        <v>닭정육(국내산)78%, 감자(국내산), 토마토(국내산), 양파, 토마토홀, 대두유, 치킨스톡, 고추장(미량), 마늘, 정제수, 소금, 후추</v>
      </c>
      <c r="H5" s="101" t="str">
        <f>IFERROR(INDEX(온라인_반찬!$D$2:$J$597,MATCH($D5,온라인_반찬!$C$2:$C$597,0),6),"")</f>
        <v>.5.6.12.15.</v>
      </c>
      <c r="I5" s="109" t="s">
        <v>2280</v>
      </c>
      <c r="J5" s="102">
        <v>1775</v>
      </c>
      <c r="K5" s="101">
        <v>155890</v>
      </c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2003</v>
      </c>
      <c r="E6" s="123">
        <v>40</v>
      </c>
      <c r="F6" s="124"/>
      <c r="G6" s="113" t="str">
        <f>IFERROR(INDEX(온라인_반찬!$C$2:$H$604,MATCH($D6,온라인_반찬!$C$2:$C$604,0),6),"")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6" s="101" t="str">
        <f>IFERROR(INDEX(온라인_반찬!$D$2:$J$597,MATCH($D6,온라인_반찬!$C$2:$C$597,0),6),"")</f>
        <v>.5.6.10.12.15.16.21.</v>
      </c>
      <c r="I6" s="109" t="s">
        <v>2280</v>
      </c>
      <c r="J6" s="102">
        <v>1775</v>
      </c>
      <c r="K6" s="101">
        <v>94400</v>
      </c>
      <c r="L6" s="129" t="str">
        <f>IFERROR(INDEX(온라인_반찬!$C$2:$J$597,MATCH($D6,온라인_반찬!$C$2:$C$597,0),8),"")</f>
        <v>칼집비엔나소시지(이츠웰)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1161</v>
      </c>
      <c r="E7" s="123">
        <v>25</v>
      </c>
      <c r="F7" s="124"/>
      <c r="G7" s="113" t="str">
        <f>IFERROR(INDEX(온라인_반찬!$C$2:$H$604,MATCH($D7,온라인_반찬!$C$2:$C$604,0),6),"")</f>
        <v>콩나물(원료수입산)90%, 당근, 부추, 마늘, 대파, 참치액, 소금, 참기름, 참깨</v>
      </c>
      <c r="H7" s="101" t="str">
        <f>IFERROR(INDEX(온라인_반찬!$D$2:$J$597,MATCH($D7,온라인_반찬!$C$2:$C$597,0),6),"")</f>
        <v>.5.21.</v>
      </c>
      <c r="I7" s="109" t="s">
        <v>2280</v>
      </c>
      <c r="J7" s="102">
        <v>1775</v>
      </c>
      <c r="K7" s="101">
        <v>57300</v>
      </c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2280</v>
      </c>
      <c r="J8" s="102">
        <v>1775</v>
      </c>
      <c r="K8" s="101">
        <v>51087.5</v>
      </c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2287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6" t="s">
        <v>2283</v>
      </c>
      <c r="C10" s="100" t="s">
        <v>620</v>
      </c>
      <c r="D10" s="162" t="s">
        <v>656</v>
      </c>
      <c r="E10" s="123"/>
      <c r="F10" s="123">
        <v>2</v>
      </c>
      <c r="G10" s="113" t="str">
        <f>IFERROR(INDEX(온라인_반찬!$C$2:$H$604,MATCH($D10,온라인_반찬!$C$2:$C$604,0),6),"")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IFERROR(INDEX(온라인_반찬!$D$2:$J$597,MATCH($D10,온라인_반찬!$C$2:$C$597,0),6),"")</f>
        <v>.5.21.</v>
      </c>
      <c r="I10" s="109" t="s">
        <v>2280</v>
      </c>
      <c r="J10" s="158">
        <v>95</v>
      </c>
      <c r="K10" s="158">
        <v>11380</v>
      </c>
      <c r="L10" s="129" t="str">
        <f>IFERROR(INDEX(온라인_반찬!$C$2:$J$597,MATCH($D10,온라인_반찬!$C$2:$C$597,0),8),"")</f>
        <v>노리풍후리가케(이엔푸드)</v>
      </c>
      <c r="M10" s="120"/>
    </row>
    <row r="11" spans="2:23" ht="39.950000000000003" customHeight="1">
      <c r="B11" s="327"/>
      <c r="C11" s="329" t="s">
        <v>622</v>
      </c>
      <c r="D11" s="162" t="s">
        <v>1107</v>
      </c>
      <c r="E11" s="123">
        <v>100</v>
      </c>
      <c r="F11" s="123"/>
      <c r="G11" s="113" t="str">
        <f>IFERROR(INDEX(온라인_반찬!$C$2:$H$604,MATCH($D11,온라인_반찬!$C$2:$C$604,0),6),"")</f>
        <v>스파게티면(듀럼밀100%)97%, 올리브오일3%</v>
      </c>
      <c r="H11" s="101" t="str">
        <f>IFERROR(INDEX(온라인_반찬!$D$2:$J$597,MATCH($D11,온라인_반찬!$C$2:$C$597,0),6),"")</f>
        <v>.6.</v>
      </c>
      <c r="I11" s="109" t="s">
        <v>2280</v>
      </c>
      <c r="J11" s="158">
        <v>95</v>
      </c>
      <c r="K11" s="158">
        <v>13540</v>
      </c>
      <c r="L11" s="129">
        <f>IFERROR(INDEX(온라인_반찬!$C$2:$J$597,MATCH($D11,온라인_반찬!$C$2:$C$597,0),8),"")</f>
        <v>0</v>
      </c>
      <c r="M11" s="120"/>
    </row>
    <row r="12" spans="2:23" ht="39.950000000000003" customHeight="1">
      <c r="B12" s="327"/>
      <c r="C12" s="330"/>
      <c r="D12" s="162" t="s">
        <v>1181</v>
      </c>
      <c r="E12" s="123">
        <v>120</v>
      </c>
      <c r="F12" s="123"/>
      <c r="G12" s="113" t="str">
        <f>IFERROR(INDEX(온라인_반찬!$C$2:$H$604,MATCH($D12,온라인_반찬!$C$2:$C$604,0),6),"")</f>
        <v>양파, 피망, 토마토소스[과채가공품(토마토:이탈리아산),토마토페이스트(토마토:중국산)], 올리브오일, 후추, 파슬리가루</v>
      </c>
      <c r="H12" s="101" t="str">
        <f>IFERROR(INDEX(온라인_반찬!$D$2:$J$597,MATCH($D12,온라인_반찬!$C$2:$C$597,0),6),"")</f>
        <v>.5.12.</v>
      </c>
      <c r="I12" s="109" t="s">
        <v>2280</v>
      </c>
      <c r="J12" s="158">
        <v>95</v>
      </c>
      <c r="K12" s="158">
        <v>274</v>
      </c>
      <c r="L12" s="129" t="str">
        <f>IFERROR(INDEX(온라인_반찬!$C$2:$J$597,MATCH($D12,온라인_반찬!$C$2:$C$597,0),8),"")</f>
        <v xml:space="preserve">토마토소스(이츠웰) </v>
      </c>
      <c r="M12" s="120"/>
    </row>
    <row r="13" spans="2:23" ht="39.950000000000003" customHeight="1">
      <c r="B13" s="327"/>
      <c r="C13" s="160" t="s">
        <v>623</v>
      </c>
      <c r="D13" s="162" t="s">
        <v>2018</v>
      </c>
      <c r="E13" s="123"/>
      <c r="F13" s="123">
        <v>1</v>
      </c>
      <c r="G13" s="113" t="str">
        <f>IFERROR(INDEX(온라인_반찬!$C$2:$H$604,MATCH($D13,온라인_반찬!$C$2:$C$604,0),6),"")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101" t="str">
        <f>IFERROR(INDEX(온라인_반찬!$D$2:$J$597,MATCH($D13,온라인_반찬!$C$2:$C$597,0),6),"")</f>
        <v>.1.2.5.6.12.16.</v>
      </c>
      <c r="I13" s="109" t="s">
        <v>2280</v>
      </c>
      <c r="J13" s="158">
        <v>95</v>
      </c>
      <c r="K13" s="158">
        <v>100</v>
      </c>
      <c r="L13" s="129" t="str">
        <f>IFERROR(INDEX(온라인_반찬!$C$2:$J$597,MATCH($D13,온라인_반찬!$C$2:$C$597,0),8),"")</f>
        <v>과드라불고기피자(M&amp;F)</v>
      </c>
      <c r="M13" s="120"/>
    </row>
    <row r="14" spans="2:23" ht="39.950000000000003" customHeight="1">
      <c r="B14" s="327"/>
      <c r="C14" s="114" t="s">
        <v>819</v>
      </c>
      <c r="D14" s="162" t="s">
        <v>703</v>
      </c>
      <c r="E14" s="123">
        <v>30</v>
      </c>
      <c r="F14" s="123"/>
      <c r="G14" s="113" t="str">
        <f>IFERROR(INDEX(온라인_반찬!$C$2:$H$604,MATCH($D14,온라인_반찬!$C$2:$C$604,0),6),"")</f>
        <v>{동물복지닭고기(닭가슴살:국산)63.38%, 정제수, 정제소금, 치킨브레더[옥수수전분(옥수수:외국산), 밀가루(밀:미극산,호주산)], 마늘, 양파, 정제소금, 대두유}</v>
      </c>
      <c r="H14" s="101" t="str">
        <f>IFERROR(INDEX(온라인_반찬!$D$2:$J$597,MATCH($D14,온라인_반찬!$C$2:$C$597,0),6),"")</f>
        <v>.2.5.6.12.15.16.18.</v>
      </c>
      <c r="I14" s="109" t="s">
        <v>2280</v>
      </c>
      <c r="J14" s="158">
        <v>95</v>
      </c>
      <c r="K14" s="158">
        <v>3355</v>
      </c>
      <c r="L14" s="129">
        <f>IFERROR(INDEX(온라인_반찬!$C$2:$J$597,MATCH($D14,온라인_반찬!$C$2:$C$597,0),8),"")</f>
        <v>0</v>
      </c>
      <c r="M14" s="120"/>
    </row>
    <row r="15" spans="2:23" ht="39.950000000000003" customHeight="1">
      <c r="B15" s="327"/>
      <c r="C15" s="160" t="s">
        <v>102</v>
      </c>
      <c r="D15" s="162" t="s">
        <v>690</v>
      </c>
      <c r="E15" s="123">
        <v>25</v>
      </c>
      <c r="F15" s="123"/>
      <c r="G15" s="113" t="str">
        <f>IFERROR(INDEX(온라인_반찬!$C$2:$H$604,MATCH($D15,온라인_반찬!$C$2:$C$604,0),6),"")</f>
        <v>절임오이(오이:중국산, 정제염, 정제수, 화이트식초)</v>
      </c>
      <c r="H15" s="101">
        <f>IFERROR(INDEX(온라인_반찬!$D$2:$J$597,MATCH($D15,온라인_반찬!$C$2:$C$597,0),6),"")</f>
        <v>0</v>
      </c>
      <c r="I15" s="109" t="s">
        <v>2280</v>
      </c>
      <c r="J15" s="158">
        <v>95</v>
      </c>
      <c r="K15" s="158">
        <v>2675</v>
      </c>
      <c r="L15" s="129" t="str">
        <f>IFERROR(INDEX(온라인_반찬!$C$2:$J$597,MATCH($D15,온라인_반찬!$C$2:$C$597,0),8),"")</f>
        <v>오이피클(이츠웰)</v>
      </c>
      <c r="M15" s="120"/>
    </row>
    <row r="16" spans="2:23" ht="39.950000000000003" customHeight="1" thickBot="1">
      <c r="B16" s="328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23" t="s">
        <v>2129</v>
      </c>
      <c r="C17" s="250" t="s">
        <v>620</v>
      </c>
      <c r="D17" s="260" t="s">
        <v>2130</v>
      </c>
      <c r="E17" s="224">
        <v>150</v>
      </c>
      <c r="F17" s="224"/>
      <c r="G17" s="225" t="str">
        <f>IFERROR(INDEX(온라인_반찬!$C$2:$H$604,MATCH($D17,온라인_반찬!$C$2:$C$604,0),6),"")</f>
        <v>쌀(국산)95%, 정제수</v>
      </c>
      <c r="H17" s="226">
        <f>IFERROR(INDEX(온라인_반찬!$D$2:$J$597,MATCH($D17,온라인_반찬!$C$2:$C$597,0),6),"")</f>
        <v>0</v>
      </c>
      <c r="I17" s="227" t="s">
        <v>2281</v>
      </c>
      <c r="J17" s="265">
        <v>72</v>
      </c>
      <c r="K17" s="263">
        <v>7800</v>
      </c>
      <c r="L17" s="228">
        <f>IFERROR(INDEX(온라인_반찬!$C$2:$J$597,MATCH($D17,온라인_반찬!$C$2:$C$597,0),8),"")</f>
        <v>0</v>
      </c>
      <c r="M17" s="120" t="s">
        <v>1395</v>
      </c>
      <c r="N17" s="120"/>
      <c r="O17" s="120"/>
      <c r="P17" s="120" t="s">
        <v>1456</v>
      </c>
      <c r="S17" s="120" t="s">
        <v>1648</v>
      </c>
    </row>
    <row r="18" spans="2:19" ht="39.950000000000003" customHeight="1">
      <c r="B18" s="323"/>
      <c r="C18" s="244" t="s">
        <v>624</v>
      </c>
      <c r="D18" s="103" t="s">
        <v>848</v>
      </c>
      <c r="E18" s="123">
        <v>160</v>
      </c>
      <c r="F18" s="124"/>
      <c r="G18" s="113" t="str">
        <f>IFERROR(INDEX(온라인_반찬!$C$2:$H$604,MATCH($D18,온라인_반찬!$C$2:$C$604,0),6),"")</f>
        <v>조랭이떡(쌀:수입산)25%, 소고기(호주산)3.5%, 계란(국내산)1%, 대파, 마늘, 국간장, 정제수, 소금</v>
      </c>
      <c r="H18" s="101" t="str">
        <f>IFERROR(INDEX(온라인_반찬!$D$2:$J$597,MATCH($D18,온라인_반찬!$C$2:$C$597,0),6),"")</f>
        <v>.1.5.16.</v>
      </c>
      <c r="I18" s="109" t="s">
        <v>2281</v>
      </c>
      <c r="J18" s="102">
        <v>72</v>
      </c>
      <c r="K18" s="101">
        <v>8010</v>
      </c>
      <c r="L18" s="129" t="str">
        <f>IFERROR(INDEX(온라인_반찬!$C$2:$J$597,MATCH($D18,온라인_반찬!$C$2:$C$597,0),8),"")</f>
        <v>40g / 50g</v>
      </c>
      <c r="M18" s="120" t="s">
        <v>1835</v>
      </c>
      <c r="N18" s="120"/>
      <c r="O18" s="120"/>
      <c r="P18" s="120" t="s">
        <v>1885</v>
      </c>
      <c r="S18" s="120" t="s">
        <v>1886</v>
      </c>
    </row>
    <row r="19" spans="2:19" ht="39.950000000000003" customHeight="1">
      <c r="B19" s="323"/>
      <c r="C19" s="244" t="s">
        <v>621</v>
      </c>
      <c r="D19" s="276" t="s">
        <v>2227</v>
      </c>
      <c r="E19" s="277">
        <v>95</v>
      </c>
      <c r="F19" s="278"/>
      <c r="G19" s="279" t="s">
        <v>2335</v>
      </c>
      <c r="H19" s="280" t="str">
        <f>IFERROR(INDEX(온라인_반찬!$D$2:$J$597,MATCH($D19,온라인_반찬!$C$2:$C$597,0),6),"")</f>
        <v>.5.6.12.15.</v>
      </c>
      <c r="I19" s="109" t="s">
        <v>2281</v>
      </c>
      <c r="J19" s="102">
        <v>72</v>
      </c>
      <c r="K19" s="101">
        <v>8130</v>
      </c>
      <c r="L19" s="129">
        <f>IFERROR(INDEX(온라인_반찬!$C$2:$J$597,MATCH($D19,온라인_반찬!$C$2:$C$597,0),8),"")</f>
        <v>0</v>
      </c>
      <c r="M19" s="120"/>
      <c r="N19" s="120"/>
    </row>
    <row r="20" spans="2:19" ht="39.950000000000003" customHeight="1">
      <c r="B20" s="323"/>
      <c r="C20" s="244" t="s">
        <v>622</v>
      </c>
      <c r="D20" s="103" t="s">
        <v>2003</v>
      </c>
      <c r="E20" s="123">
        <v>45</v>
      </c>
      <c r="F20" s="124"/>
      <c r="G20" s="113" t="str">
        <f>IFERROR(INDEX(온라인_반찬!$C$2:$H$604,MATCH($D20,온라인_반찬!$C$2:$C$604,0),6),"")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20" s="101" t="str">
        <f>IFERROR(INDEX(온라인_반찬!$D$2:$J$597,MATCH($D20,온라인_반찬!$C$2:$C$597,0),6),"")</f>
        <v>.5.6.10.12.15.16.21.</v>
      </c>
      <c r="I20" s="109" t="s">
        <v>2281</v>
      </c>
      <c r="J20" s="102">
        <v>72</v>
      </c>
      <c r="K20" s="101">
        <v>3700</v>
      </c>
      <c r="L20" s="129" t="str">
        <f>IFERROR(INDEX(온라인_반찬!$C$2:$J$597,MATCH($D20,온라인_반찬!$C$2:$C$597,0),8),"")</f>
        <v>칼집비엔나소시지(이츠웰)</v>
      </c>
      <c r="M20" s="120"/>
      <c r="N20" s="120"/>
      <c r="O20" s="120"/>
    </row>
    <row r="21" spans="2:19" ht="39.950000000000003" customHeight="1">
      <c r="B21" s="323"/>
      <c r="C21" s="160" t="s">
        <v>290</v>
      </c>
      <c r="D21" s="103" t="s">
        <v>1161</v>
      </c>
      <c r="E21" s="123">
        <v>40</v>
      </c>
      <c r="F21" s="124"/>
      <c r="G21" s="113" t="str">
        <f>IFERROR(INDEX(온라인_반찬!$C$2:$H$604,MATCH($D21,온라인_반찬!$C$2:$C$604,0),6),"")</f>
        <v>콩나물(원료수입산)90%, 당근, 부추, 마늘, 대파, 참치액, 소금, 참기름, 참깨</v>
      </c>
      <c r="H21" s="101" t="str">
        <f>IFERROR(INDEX(온라인_반찬!$D$2:$J$597,MATCH($D21,온라인_반찬!$C$2:$C$597,0),6),"")</f>
        <v>.5.21.</v>
      </c>
      <c r="I21" s="109" t="s">
        <v>2281</v>
      </c>
      <c r="J21" s="102">
        <v>72</v>
      </c>
      <c r="K21" s="101">
        <v>2960</v>
      </c>
      <c r="L21" s="129">
        <f>IFERROR(INDEX(온라인_반찬!$C$2:$J$597,MATCH($D21,온라인_반찬!$C$2:$C$597,0),8),"")</f>
        <v>0</v>
      </c>
      <c r="M21" s="120"/>
      <c r="N21" s="120"/>
      <c r="O21" s="120"/>
    </row>
    <row r="22" spans="2:19" ht="39.950000000000003" customHeight="1">
      <c r="B22" s="323"/>
      <c r="C22" s="245" t="s">
        <v>819</v>
      </c>
      <c r="D22" s="103" t="s">
        <v>631</v>
      </c>
      <c r="E22" s="123">
        <v>35</v>
      </c>
      <c r="F22" s="123"/>
      <c r="G22" s="113" t="str">
        <f>IFERROR(INDEX(온라인_반찬!$C$2:$H$604,MATCH($D22,온라인_반찬!$C$2:$C$604,0),6),"")</f>
        <v>무(국산)85.2%, 고추가루(국산), 밀가루풀(국산), 파, 마늘, 새우젓 등 양념(국산)</v>
      </c>
      <c r="H22" s="101" t="str">
        <f>IFERROR(INDEX(온라인_반찬!$D$2:$J$597,MATCH($D22,온라인_반찬!$C$2:$C$597,0),6),"")</f>
        <v>.6.9.</v>
      </c>
      <c r="I22" s="109" t="s">
        <v>2281</v>
      </c>
      <c r="J22" s="102">
        <v>72</v>
      </c>
      <c r="K22" s="101">
        <v>2590</v>
      </c>
      <c r="L22" s="129">
        <f>IFERROR(INDEX(온라인_반찬!$C$2:$J$597,MATCH($D22,온라인_반찬!$C$2:$C$597,0),8),"")</f>
        <v>0</v>
      </c>
      <c r="M22" s="120"/>
      <c r="N22" s="120"/>
      <c r="O22" s="120"/>
    </row>
    <row r="23" spans="2:19" ht="39.950000000000003" customHeight="1">
      <c r="B23" s="323"/>
      <c r="C23" s="221" t="s">
        <v>1392</v>
      </c>
      <c r="D23" s="103" t="s">
        <v>2035</v>
      </c>
      <c r="E23" s="123"/>
      <c r="F23" s="123">
        <v>1</v>
      </c>
      <c r="G23" s="113" t="s">
        <v>2367</v>
      </c>
      <c r="H23" s="101" t="str">
        <f>IFERROR(INDEX(온라인_반찬!$D$2:$J$597,MATCH($D23,온라인_반찬!$C$2:$C$597,0),6),"")</f>
        <v/>
      </c>
      <c r="I23" s="109" t="s">
        <v>2281</v>
      </c>
      <c r="J23" s="102">
        <v>28</v>
      </c>
      <c r="K23" s="101">
        <v>30</v>
      </c>
      <c r="L23" s="165" t="str">
        <f>IFERROR(INDEX(온라인_반찬!$C$2:$J$597,MATCH($D23,온라인_반찬!$C$2:$C$597,0),8),"")</f>
        <v/>
      </c>
      <c r="M23" s="120"/>
      <c r="N23" s="120"/>
      <c r="O23" s="120"/>
    </row>
    <row r="24" spans="2:19" ht="39.950000000000003" customHeight="1" thickBot="1">
      <c r="B24" s="324"/>
      <c r="C24" s="161" t="s">
        <v>97</v>
      </c>
      <c r="D24" s="210"/>
      <c r="E24" s="131"/>
      <c r="F24" s="132"/>
      <c r="G24" s="214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>
      <c r="L25" s="32"/>
    </row>
    <row r="27" spans="2:19">
      <c r="E27"/>
      <c r="F27" s="121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BBDF-A33B-4564-903F-0F5A1ED498E0}">
  <sheetPr>
    <tabColor rgb="FF00FFFF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2286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1346</v>
      </c>
      <c r="E3" s="261">
        <v>140</v>
      </c>
      <c r="F3" s="261"/>
      <c r="G3" s="262" t="str">
        <f>IFERROR(INDEX(온라인_반찬!$C$2:$H$604,MATCH($D3,온라인_반찬!$C$2:$C$604,0),6),"")</f>
        <v>쌀(국산)90%, 찰보리(국산.친환경)5%, 정제수</v>
      </c>
      <c r="H3" s="263">
        <f>IFERROR(INDEX(온라인_반찬!$D$2:$J$597,MATCH($D3,온라인_반찬!$C$2:$C$597,0),6),"")</f>
        <v>0</v>
      </c>
      <c r="I3" s="264" t="s">
        <v>2284</v>
      </c>
      <c r="J3" s="265">
        <v>1786</v>
      </c>
      <c r="K3" s="263">
        <v>282690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655</v>
      </c>
      <c r="E4" s="123">
        <v>150</v>
      </c>
      <c r="F4" s="124"/>
      <c r="G4" s="113" t="str">
        <f>IFERROR(INDEX(온라인_반찬!$C$2:$H$604,MATCH($D4,온라인_반찬!$C$2:$C$604,0),6),"")</f>
        <v>콩나물(콩:외국산)16% , 황태채(러시아산)5%, 대파, 마늘, 참기름, 정제수, 소금</v>
      </c>
      <c r="H4" s="101" t="str">
        <f>IFERROR(INDEX(온라인_반찬!$D$2:$J$597,MATCH($D4,온라인_반찬!$C$2:$C$597,0),6),"")</f>
        <v>.5.21.</v>
      </c>
      <c r="I4" s="109" t="s">
        <v>2284</v>
      </c>
      <c r="J4" s="102">
        <v>1786</v>
      </c>
      <c r="K4" s="101">
        <v>290850</v>
      </c>
      <c r="L4" s="129" t="str">
        <f>IFERROR(INDEX(온라인_반찬!$C$2:$J$597,MATCH($D4,온라인_반찬!$C$2:$C$597,0),8),"")</f>
        <v>30g / 35g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1417</v>
      </c>
      <c r="E5" s="123">
        <v>60</v>
      </c>
      <c r="F5" s="124"/>
      <c r="G5" s="113" t="str">
        <f>IFERROR(INDEX(온라인_반찬!$C$2:$H$604,MATCH($D5,온라인_반찬!$C$2:$C$604,0),6),"")</f>
        <v>당면(원료수입산)60%, 소고기(호주산)25%, 양파, 당근, 표고버섯, 부추, 대두유, 간장, 설탕, 참기름, 참깨</v>
      </c>
      <c r="H5" s="101" t="str">
        <f>IFERROR(INDEX(온라인_반찬!$D$2:$J$597,MATCH($D5,온라인_반찬!$C$2:$C$597,0),6),"")</f>
        <v>.5.6.21.</v>
      </c>
      <c r="I5" s="109" t="s">
        <v>2284</v>
      </c>
      <c r="J5" s="102">
        <v>1786</v>
      </c>
      <c r="K5" s="101">
        <v>136945</v>
      </c>
      <c r="L5" s="129" t="str">
        <f>IFERROR(INDEX(온라인_반찬!$C$2:$J$597,MATCH($D5,온라인_반찬!$C$2:$C$597,0),8),"")</f>
        <v>잡채용 고기는 1Kg당 55인분(불고기용으로 주문)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329" t="s">
        <v>622</v>
      </c>
      <c r="D6" s="103" t="s">
        <v>1254</v>
      </c>
      <c r="E6" s="123"/>
      <c r="F6" s="124">
        <v>2</v>
      </c>
      <c r="G6" s="113" t="str">
        <f>IFERROR(INDEX(온라인_반찬!$C$2:$H$604,MATCH($D6,온라인_반찬!$C$2:$C$604,0),6),"")</f>
        <v>두부(대두:미국, 캐나다, 호주등), 대두유</v>
      </c>
      <c r="H6" s="101" t="str">
        <f>IFERROR(INDEX(온라인_반찬!$D$2:$J$597,MATCH($D6,온라인_반찬!$C$2:$C$597,0),6),"")</f>
        <v>.5.</v>
      </c>
      <c r="I6" s="109" t="s">
        <v>2284</v>
      </c>
      <c r="J6" s="102">
        <v>1714</v>
      </c>
      <c r="K6" s="101">
        <v>4191.3</v>
      </c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330"/>
      <c r="D7" s="103" t="s">
        <v>2186</v>
      </c>
      <c r="E7" s="123">
        <v>10</v>
      </c>
      <c r="F7" s="124"/>
      <c r="G7" s="113" t="str">
        <f>IFERROR(INDEX(온라인_반찬!$C$2:$H$604,MATCH($D7,온라인_반찬!$C$2:$C$604,0),6),"")</f>
        <v>달래(국산)5%, 마늘, 정제수, 간장, 참기름, 참깨</v>
      </c>
      <c r="H7" s="101" t="str">
        <f>IFERROR(INDEX(온라인_반찬!$D$2:$J$597,MATCH($D7,온라인_반찬!$C$2:$C$597,0),6),"")</f>
        <v>.5.21.</v>
      </c>
      <c r="I7" s="109" t="s">
        <v>2284</v>
      </c>
      <c r="J7" s="102">
        <v>1714</v>
      </c>
      <c r="K7" s="101">
        <v>19095</v>
      </c>
      <c r="L7" s="129">
        <f>IFERROR(INDEX(온라인_반찬!$C$2:$J$597,MATCH($D7,온라인_반찬!$C$2:$C$597,0),8),"")</f>
        <v>0</v>
      </c>
      <c r="M7" s="120"/>
      <c r="N7" s="120"/>
      <c r="O7" s="120"/>
      <c r="Q7" s="120"/>
      <c r="R7" s="120"/>
    </row>
    <row r="8" spans="2:23" ht="39.950000000000003" customHeight="1">
      <c r="B8" s="323"/>
      <c r="C8" s="160" t="s">
        <v>290</v>
      </c>
      <c r="D8" s="103" t="s">
        <v>799</v>
      </c>
      <c r="E8" s="123"/>
      <c r="F8" s="124">
        <v>1</v>
      </c>
      <c r="G8" s="113" t="str">
        <f>IFERROR(INDEX(온라인_반찬!$C$2:$H$604,MATCH($D8,온라인_반찬!$C$2:$C$604,0),6),"")</f>
        <v>김(국산), 카놀라유(원료:외국산), 참기름, 정제소금</v>
      </c>
      <c r="H8" s="101" t="str">
        <f>IFERROR(INDEX(온라인_반찬!$D$2:$J$597,MATCH($D8,온라인_반찬!$C$2:$C$597,0),6),"")</f>
        <v>.21.</v>
      </c>
      <c r="I8" s="109" t="s">
        <v>2284</v>
      </c>
      <c r="J8" s="102">
        <v>1606</v>
      </c>
      <c r="K8" s="101">
        <v>1826.2000000000012</v>
      </c>
      <c r="L8" s="129" t="str">
        <f>IFERROR(INDEX(온라인_반찬!$C$2:$J$597,MATCH($D8,온라인_반찬!$C$2:$C$597,0),8),"")</f>
        <v>양반김(동원)</v>
      </c>
      <c r="M8" s="120" t="s">
        <v>687</v>
      </c>
      <c r="N8" s="120"/>
      <c r="P8" s="120" t="s">
        <v>1268</v>
      </c>
      <c r="R8" s="120"/>
      <c r="S8" s="120" t="s">
        <v>832</v>
      </c>
    </row>
    <row r="9" spans="2:23" ht="39.950000000000003" customHeight="1">
      <c r="B9" s="323"/>
      <c r="C9" s="245" t="s">
        <v>819</v>
      </c>
      <c r="D9" s="103" t="s">
        <v>630</v>
      </c>
      <c r="E9" s="123">
        <v>25</v>
      </c>
      <c r="F9" s="123"/>
      <c r="G9" s="113" t="str">
        <f>IFERROR(INDEX(온라인_반찬!$C$2:$H$604,MATCH($D9,온라인_반찬!$C$2:$C$604,0),6),"")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IFERROR(INDEX(온라인_반찬!$D$2:$J$597,MATCH($D9,온라인_반찬!$C$2:$C$597,0),6),"")</f>
        <v>.9.12.</v>
      </c>
      <c r="I9" s="109" t="s">
        <v>2284</v>
      </c>
      <c r="J9" s="102">
        <v>1786</v>
      </c>
      <c r="K9" s="101">
        <v>49800</v>
      </c>
      <c r="L9" s="129" t="str">
        <f>IFERROR(INDEX(온라인_반찬!$C$2:$J$597,MATCH($D9,온라인_반찬!$C$2:$C$597,0),8),"")</f>
        <v>토마토김치(종가집)</v>
      </c>
      <c r="M9" s="120" t="s">
        <v>1393</v>
      </c>
      <c r="N9" s="120"/>
      <c r="P9" s="120" t="s">
        <v>1404</v>
      </c>
      <c r="R9" s="120"/>
      <c r="S9" s="120" t="s">
        <v>1647</v>
      </c>
    </row>
    <row r="10" spans="2:23" ht="39.950000000000003" customHeight="1" thickBot="1">
      <c r="B10" s="324"/>
      <c r="C10" s="161" t="s">
        <v>97</v>
      </c>
      <c r="D10" s="210"/>
      <c r="E10" s="131"/>
      <c r="F10" s="132"/>
      <c r="G10" s="274" t="s">
        <v>2369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5" t="s">
        <v>1602</v>
      </c>
      <c r="C11" s="100" t="s">
        <v>620</v>
      </c>
      <c r="D11" s="162" t="s">
        <v>2069</v>
      </c>
      <c r="E11" s="123">
        <v>140</v>
      </c>
      <c r="F11" s="123"/>
      <c r="G11" s="113" t="str">
        <f>IFERROR(INDEX(온라인_반찬!$C$2:$H$604,MATCH($D11,온라인_반찬!$C$2:$C$604,0),6),"")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IFERROR(INDEX(온라인_반찬!$D$2:$J$597,MATCH($D11,온라인_반찬!$C$2:$C$597,0),6),"")</f>
        <v>.5.21.</v>
      </c>
      <c r="I11" s="109" t="s">
        <v>2284</v>
      </c>
      <c r="J11" s="158">
        <v>86</v>
      </c>
      <c r="K11" s="158">
        <v>13660</v>
      </c>
      <c r="L11" s="129">
        <f>IFERROR(INDEX(온라인_반찬!$C$2:$J$597,MATCH($D11,온라인_반찬!$C$2:$C$597,0),8),"")</f>
        <v>0</v>
      </c>
      <c r="M11" s="120"/>
    </row>
    <row r="12" spans="2:23" ht="39.950000000000003" customHeight="1">
      <c r="B12" s="336"/>
      <c r="C12" s="160" t="s">
        <v>622</v>
      </c>
      <c r="D12" s="162" t="s">
        <v>1243</v>
      </c>
      <c r="E12" s="123"/>
      <c r="F12" s="123">
        <v>3</v>
      </c>
      <c r="G12" s="113" t="str">
        <f>IFERROR(INDEX(온라인_반찬!$C$2:$H$604,MATCH($D12,온라인_반찬!$C$2:$C$604,0),6),"")</f>
        <v>닭고기(국내산)56.83%, 크루스토브레딩(캐나다산:밀가루,식물성유지,설탕소금). 버터믹스, 정제수, 양파, 마늘, 후추</v>
      </c>
      <c r="H12" s="101" t="str">
        <f>IFERROR(INDEX(온라인_반찬!$D$2:$J$597,MATCH($D12,온라인_반찬!$C$2:$C$597,0),6),"")</f>
        <v>.1.2.5.6.15.16.</v>
      </c>
      <c r="I12" s="109" t="s">
        <v>2284</v>
      </c>
      <c r="J12" s="158">
        <v>86</v>
      </c>
      <c r="K12" s="158">
        <v>284</v>
      </c>
      <c r="L12" s="129" t="str">
        <f>IFERROR(INDEX(온라인_반찬!$C$2:$J$597,MATCH($D12,온라인_반찬!$C$2:$C$597,0),8),"")</f>
        <v>43ea까지 / 용가리치킨(하림)</v>
      </c>
      <c r="M12" s="120"/>
    </row>
    <row r="13" spans="2:23" ht="39.950000000000003" customHeight="1">
      <c r="B13" s="336"/>
      <c r="C13" s="160" t="s">
        <v>623</v>
      </c>
      <c r="D13" s="162" t="s">
        <v>673</v>
      </c>
      <c r="E13" s="123"/>
      <c r="F13" s="123">
        <v>1</v>
      </c>
      <c r="G13" s="113" t="str">
        <f>IFERROR(INDEX(온라인_반찬!$C$2:$H$604,MATCH($D13,온라인_반찬!$C$2:$C$604,0),6),"")</f>
        <v>딤섬[(새우살36.62%, 정제수, 밀전분 11.47%, 타피오카전분 7.94%, 관자 5.64%, 대두유)원산지: 베트남산]</v>
      </c>
      <c r="H13" s="101" t="str">
        <f>IFERROR(INDEX(온라인_반찬!$D$2:$J$597,MATCH($D13,온라인_반찬!$C$2:$C$597,0),6),"")</f>
        <v>.5.6.9.18.</v>
      </c>
      <c r="I13" s="109" t="s">
        <v>2284</v>
      </c>
      <c r="J13" s="158">
        <v>86</v>
      </c>
      <c r="K13" s="158">
        <v>89</v>
      </c>
      <c r="L13" s="129" t="str">
        <f>IFERROR(INDEX(온라인_반찬!$C$2:$J$597,MATCH($D13,온라인_반찬!$C$2:$C$597,0),8),"")</f>
        <v>관자쇼마이(세미원푸드)</v>
      </c>
      <c r="M13" s="120"/>
    </row>
    <row r="14" spans="2:23" ht="39.950000000000003" customHeight="1">
      <c r="B14" s="336"/>
      <c r="C14" s="114" t="s">
        <v>819</v>
      </c>
      <c r="D14" s="162" t="s">
        <v>2288</v>
      </c>
      <c r="E14" s="123"/>
      <c r="F14" s="123">
        <v>2</v>
      </c>
      <c r="G14" s="113" t="str">
        <f>IFERROR(INDEX(온라인_반찬!$C$2:$H$604,MATCH($D14,온라인_반찬!$C$2:$C$604,0),6),"")</f>
        <v>빵류{밀가루(밀:미국산.호주산),카스타드크림[설탕,물엿,카놀라유(외국산),유청분말(외국산),마가린(팜유:말레이시아산),대두유,전란액(국내산)등]}</v>
      </c>
      <c r="H14" s="101" t="str">
        <f>IFERROR(INDEX(온라인_반찬!$D$2:$J$597,MATCH($D14,온라인_반찬!$C$2:$C$597,0),6),"")</f>
        <v>.1.2.5.6.</v>
      </c>
      <c r="I14" s="109" t="s">
        <v>2284</v>
      </c>
      <c r="J14" s="158">
        <v>86</v>
      </c>
      <c r="K14" s="158">
        <v>198</v>
      </c>
      <c r="L14" s="129">
        <f>IFERROR(INDEX(온라인_반찬!$C$2:$J$597,MATCH($D14,온라인_반찬!$C$2:$C$597,0),8),"")</f>
        <v>0</v>
      </c>
      <c r="M14" s="120"/>
    </row>
    <row r="15" spans="2:23" ht="39.950000000000003" customHeight="1">
      <c r="B15" s="336"/>
      <c r="C15" s="160" t="s">
        <v>102</v>
      </c>
      <c r="D15" s="162" t="s">
        <v>2035</v>
      </c>
      <c r="E15" s="123">
        <v>30</v>
      </c>
      <c r="F15" s="123"/>
      <c r="G15" s="113" t="s">
        <v>2368</v>
      </c>
      <c r="H15" s="101" t="str">
        <f>IFERROR(INDEX(온라인_반찬!$D$2:$J$597,MATCH($D15,온라인_반찬!$C$2:$C$597,0),6),"")</f>
        <v/>
      </c>
      <c r="I15" s="109" t="s">
        <v>2284</v>
      </c>
      <c r="J15" s="158">
        <v>86</v>
      </c>
      <c r="K15" s="158">
        <v>2995</v>
      </c>
      <c r="L15" s="129" t="str">
        <f>IFERROR(INDEX(온라인_반찬!$C$2:$J$597,MATCH($D15,온라인_반찬!$C$2:$C$597,0),8),"")</f>
        <v/>
      </c>
      <c r="M15" s="120"/>
    </row>
    <row r="16" spans="2:23" ht="39.950000000000003" customHeight="1" thickBot="1">
      <c r="B16" s="337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23" t="s">
        <v>2129</v>
      </c>
      <c r="C17" s="250" t="s">
        <v>620</v>
      </c>
      <c r="D17" s="260" t="s">
        <v>1346</v>
      </c>
      <c r="E17" s="224">
        <v>150</v>
      </c>
      <c r="F17" s="224"/>
      <c r="G17" s="225" t="str">
        <f>IFERROR(INDEX(온라인_반찬!$C$2:$H$604,MATCH($D17,온라인_반찬!$C$2:$C$604,0),6),"")</f>
        <v>쌀(국산)90%, 찰보리(국산.친환경)5%, 정제수</v>
      </c>
      <c r="H17" s="226">
        <f>IFERROR(INDEX(온라인_반찬!$D$2:$J$597,MATCH($D17,온라인_반찬!$C$2:$C$597,0),6),"")</f>
        <v>0</v>
      </c>
      <c r="I17" s="227" t="s">
        <v>2285</v>
      </c>
      <c r="J17" s="265">
        <v>72</v>
      </c>
      <c r="K17" s="263">
        <v>7800</v>
      </c>
      <c r="L17" s="228">
        <f>IFERROR(INDEX(온라인_반찬!$C$2:$J$597,MATCH($D17,온라인_반찬!$C$2:$C$597,0),8),"")</f>
        <v>0</v>
      </c>
      <c r="M17" s="120" t="s">
        <v>1395</v>
      </c>
      <c r="N17" s="120"/>
      <c r="O17" s="120"/>
      <c r="P17" s="120" t="s">
        <v>1456</v>
      </c>
      <c r="S17" s="120" t="s">
        <v>1648</v>
      </c>
    </row>
    <row r="18" spans="2:19" ht="39.950000000000003" customHeight="1">
      <c r="B18" s="323"/>
      <c r="C18" s="244" t="s">
        <v>624</v>
      </c>
      <c r="D18" s="103" t="s">
        <v>655</v>
      </c>
      <c r="E18" s="123">
        <v>160</v>
      </c>
      <c r="F18" s="124"/>
      <c r="G18" s="113" t="str">
        <f>IFERROR(INDEX(온라인_반찬!$C$2:$H$604,MATCH($D18,온라인_반찬!$C$2:$C$604,0),6),"")</f>
        <v>콩나물(콩:외국산)16% , 황태채(러시아산)5%, 대파, 마늘, 참기름, 정제수, 소금</v>
      </c>
      <c r="H18" s="101" t="str">
        <f>IFERROR(INDEX(온라인_반찬!$D$2:$J$597,MATCH($D18,온라인_반찬!$C$2:$C$597,0),6),"")</f>
        <v>.5.21.</v>
      </c>
      <c r="I18" s="109" t="s">
        <v>2285</v>
      </c>
      <c r="J18" s="102">
        <v>72</v>
      </c>
      <c r="K18" s="101">
        <v>8010</v>
      </c>
      <c r="L18" s="129" t="str">
        <f>IFERROR(INDEX(온라인_반찬!$C$2:$J$597,MATCH($D18,온라인_반찬!$C$2:$C$597,0),8),"")</f>
        <v>30g / 35g</v>
      </c>
      <c r="M18" s="120" t="s">
        <v>1835</v>
      </c>
      <c r="N18" s="120"/>
      <c r="O18" s="120"/>
      <c r="P18" s="120" t="s">
        <v>1885</v>
      </c>
      <c r="S18" s="120" t="s">
        <v>1886</v>
      </c>
    </row>
    <row r="19" spans="2:19" ht="39.950000000000003" customHeight="1">
      <c r="B19" s="323"/>
      <c r="C19" s="244" t="s">
        <v>621</v>
      </c>
      <c r="D19" s="103" t="s">
        <v>1417</v>
      </c>
      <c r="E19" s="123">
        <v>80</v>
      </c>
      <c r="F19" s="124"/>
      <c r="G19" s="113" t="str">
        <f>IFERROR(INDEX(온라인_반찬!$C$2:$H$604,MATCH($D19,온라인_반찬!$C$2:$C$604,0),6),"")</f>
        <v>당면(원료수입산)60%, 소고기(호주산)25%, 양파, 당근, 표고버섯, 부추, 대두유, 간장, 설탕, 참기름, 참깨</v>
      </c>
      <c r="H19" s="101" t="str">
        <f>IFERROR(INDEX(온라인_반찬!$D$2:$J$597,MATCH($D19,온라인_반찬!$C$2:$C$597,0),6),"")</f>
        <v>.5.6.21.</v>
      </c>
      <c r="I19" s="109" t="s">
        <v>2285</v>
      </c>
      <c r="J19" s="102">
        <v>72</v>
      </c>
      <c r="K19" s="101">
        <v>6504</v>
      </c>
      <c r="L19" s="129" t="str">
        <f>IFERROR(INDEX(온라인_반찬!$C$2:$J$597,MATCH($D19,온라인_반찬!$C$2:$C$597,0),8),"")</f>
        <v>잡채용 고기는 1Kg당 55인분(불고기용으로 주문)</v>
      </c>
      <c r="M19" s="120">
        <v>7800</v>
      </c>
      <c r="N19" s="120">
        <v>8010</v>
      </c>
      <c r="O19">
        <v>6504</v>
      </c>
      <c r="P19">
        <v>5920</v>
      </c>
      <c r="Q19">
        <v>79.2</v>
      </c>
      <c r="R19">
        <v>2590</v>
      </c>
      <c r="S19">
        <v>2590</v>
      </c>
    </row>
    <row r="20" spans="2:19" ht="39.950000000000003" customHeight="1">
      <c r="B20" s="323"/>
      <c r="C20" s="244" t="s">
        <v>622</v>
      </c>
      <c r="D20" s="276" t="s">
        <v>2248</v>
      </c>
      <c r="E20" s="277">
        <v>70</v>
      </c>
      <c r="F20" s="278"/>
      <c r="G20" s="279" t="str">
        <f>IFERROR(INDEX(온라인_반찬!$C$2:$H$604,MATCH($D20,온라인_반찬!$C$2:$C$604,0),6),"")</f>
        <v>두부(대두:미국.캐나다.호주 등), 들기름, 간장, 두반장, 고춧가루, 마늘, 파, 맛술, 전분물, 참깨</v>
      </c>
      <c r="H20" s="280" t="str">
        <f>IFERROR(INDEX(온라인_반찬!$D$2:$J$597,MATCH($D20,온라인_반찬!$C$2:$C$597,0),6),"")</f>
        <v>.5.21.22.</v>
      </c>
      <c r="I20" s="109" t="s">
        <v>2285</v>
      </c>
      <c r="J20" s="102">
        <v>144</v>
      </c>
      <c r="K20" s="101">
        <v>12400</v>
      </c>
      <c r="L20" s="129">
        <f>IFERROR(INDEX(온라인_반찬!$C$2:$J$597,MATCH($D20,온라인_반찬!$C$2:$C$597,0),8),"")</f>
        <v>0</v>
      </c>
      <c r="M20" s="120"/>
      <c r="N20" s="120"/>
      <c r="O20" s="120"/>
    </row>
    <row r="21" spans="2:19" ht="39.950000000000003" customHeight="1">
      <c r="B21" s="323"/>
      <c r="C21" s="160" t="s">
        <v>290</v>
      </c>
      <c r="D21" s="103" t="s">
        <v>799</v>
      </c>
      <c r="E21" s="123"/>
      <c r="F21" s="124">
        <v>1</v>
      </c>
      <c r="G21" s="113" t="str">
        <f>IFERROR(INDEX(온라인_반찬!$C$2:$H$604,MATCH($D21,온라인_반찬!$C$2:$C$604,0),6),"")</f>
        <v>김(국산), 카놀라유(원료:외국산), 참기름, 정제소금</v>
      </c>
      <c r="H21" s="101" t="str">
        <f>IFERROR(INDEX(온라인_반찬!$D$2:$J$597,MATCH($D21,온라인_반찬!$C$2:$C$597,0),6),"")</f>
        <v>.21.</v>
      </c>
      <c r="I21" s="109" t="s">
        <v>2285</v>
      </c>
      <c r="J21" s="102">
        <v>72</v>
      </c>
      <c r="K21" s="101">
        <v>79.2</v>
      </c>
      <c r="L21" s="129" t="str">
        <f>IFERROR(INDEX(온라인_반찬!$C$2:$J$597,MATCH($D21,온라인_반찬!$C$2:$C$597,0),8),"")</f>
        <v>양반김(동원)</v>
      </c>
      <c r="M21" s="120"/>
      <c r="N21" s="120"/>
      <c r="O21" s="120"/>
    </row>
    <row r="22" spans="2:19" ht="39.950000000000003" customHeight="1">
      <c r="B22" s="323"/>
      <c r="C22" s="245" t="s">
        <v>819</v>
      </c>
      <c r="D22" s="103" t="s">
        <v>630</v>
      </c>
      <c r="E22" s="123">
        <v>35</v>
      </c>
      <c r="F22" s="123"/>
      <c r="G22" s="113" t="str">
        <f>IFERROR(INDEX(온라인_반찬!$C$2:$H$604,MATCH($D22,온라인_반찬!$C$2:$C$604,0),6),"")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IFERROR(INDEX(온라인_반찬!$D$2:$J$597,MATCH($D22,온라인_반찬!$C$2:$C$597,0),6),"")</f>
        <v>.9.12.</v>
      </c>
      <c r="I22" s="109" t="s">
        <v>2285</v>
      </c>
      <c r="J22" s="102">
        <v>72</v>
      </c>
      <c r="K22" s="101">
        <v>2590</v>
      </c>
      <c r="L22" s="129" t="str">
        <f>IFERROR(INDEX(온라인_반찬!$C$2:$J$597,MATCH($D22,온라인_반찬!$C$2:$C$597,0),8),"")</f>
        <v>토마토김치(종가집)</v>
      </c>
      <c r="M22" s="120"/>
      <c r="N22" s="120"/>
      <c r="O22" s="120"/>
    </row>
    <row r="23" spans="2:19" ht="39.950000000000003" customHeight="1">
      <c r="B23" s="323"/>
      <c r="C23" s="221" t="s">
        <v>1392</v>
      </c>
      <c r="D23" s="103" t="s">
        <v>1376</v>
      </c>
      <c r="E23" s="123"/>
      <c r="F23" s="123">
        <v>3</v>
      </c>
      <c r="G23" s="113" t="str">
        <f>IFERROR(INDEX(온라인_반찬!$C$2:$H$604,MATCH($D23,온라인_반찬!$C$2:$C$604,0),6),"")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23" s="101" t="str">
        <f>IFERROR(INDEX(온라인_반찬!$D$2:$J$597,MATCH($D23,온라인_반찬!$C$2:$C$597,0),6),"")</f>
        <v>.2.5.6.</v>
      </c>
      <c r="I23" s="109" t="s">
        <v>2285</v>
      </c>
      <c r="J23" s="102">
        <v>28</v>
      </c>
      <c r="K23" s="101">
        <v>90</v>
      </c>
      <c r="L23" s="165" t="str">
        <f>IFERROR(INDEX(온라인_반찬!$C$2:$J$597,MATCH($D23,온라인_반찬!$C$2:$C$597,0),8),"")</f>
        <v>모짜렐라치즈볼(맘스터치)</v>
      </c>
      <c r="M23" s="120"/>
      <c r="N23" s="120"/>
      <c r="O23" s="120"/>
    </row>
    <row r="24" spans="2:19" ht="39.950000000000003" customHeight="1" thickBot="1">
      <c r="B24" s="324"/>
      <c r="C24" s="161" t="s">
        <v>97</v>
      </c>
      <c r="D24" s="210"/>
      <c r="E24" s="131"/>
      <c r="F24" s="132"/>
      <c r="G24" s="214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>
      <c r="L25" s="32"/>
    </row>
    <row r="27" spans="2:19">
      <c r="E27"/>
      <c r="F27" s="121"/>
    </row>
  </sheetData>
  <mergeCells count="6">
    <mergeCell ref="B1:L1"/>
    <mergeCell ref="B3:B10"/>
    <mergeCell ref="S5:W5"/>
    <mergeCell ref="B17:B24"/>
    <mergeCell ref="B11:B16"/>
    <mergeCell ref="C6:C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22A0-8C2C-44E9-BE99-1F6ACC580365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2299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1348</v>
      </c>
      <c r="E3" s="261">
        <v>140</v>
      </c>
      <c r="F3" s="261"/>
      <c r="G3" s="262" t="str">
        <f>IFERROR(INDEX(온라인_반찬!$C$2:$H$604,MATCH($D3,온라인_반찬!$C$2:$C$604,0),6),"")</f>
        <v>쌀(국산)90%, 현미(국산.친환경)5%, 정제수</v>
      </c>
      <c r="H3" s="263">
        <f>IFERROR(INDEX(온라인_반찬!$D$2:$J$597,MATCH($D3,온라인_반찬!$C$2:$C$597,0),6),"")</f>
        <v>0</v>
      </c>
      <c r="I3" s="264" t="s">
        <v>2297</v>
      </c>
      <c r="J3" s="265">
        <v>1870</v>
      </c>
      <c r="K3" s="263">
        <v>296140</v>
      </c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2300</v>
      </c>
      <c r="E4" s="123">
        <v>150</v>
      </c>
      <c r="F4" s="124"/>
      <c r="G4" s="113" t="str">
        <f>IFERROR(INDEX(온라인_반찬!$C$2:$H$604,MATCH($D4,온라인_반찬!$C$2:$C$604,0),6),"")</f>
        <v>불린미역(미역:국산)18.3%, 소고기(호주산)5%, 마늘, 정제수, 밥새우, 멸치육수농축액, 소금, 국간장</v>
      </c>
      <c r="H4" s="101" t="str">
        <f>IFERROR(INDEX(온라인_반찬!$D$2:$J$597,MATCH($D4,온라인_반찬!$C$2:$C$597,0),6),"")</f>
        <v>.5.9.16.</v>
      </c>
      <c r="I4" s="109" t="s">
        <v>2297</v>
      </c>
      <c r="J4" s="102">
        <v>1870</v>
      </c>
      <c r="K4" s="101">
        <v>305120</v>
      </c>
      <c r="L4" s="129" t="str">
        <f>IFERROR(INDEX(온라인_반찬!$C$2:$J$597,MATCH($D4,온라인_반찬!$C$2:$C$597,0),8),"")</f>
        <v>40g / 50g 멸치육수농축액(면사랑)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329" t="s">
        <v>621</v>
      </c>
      <c r="D5" s="103" t="s">
        <v>1223</v>
      </c>
      <c r="E5" s="123">
        <v>40</v>
      </c>
      <c r="F5" s="124"/>
      <c r="G5" s="113" t="str">
        <f>IFERROR(INDEX(온라인_반찬!$C$2:$H$604,MATCH($D5,온라인_반찬!$C$2:$C$604,0),6),"")</f>
        <v>팝콘피쉬볼[명태살(러시아산)63.06%, 옥수수전분, 밀가루, 베이킹파우더, 정제수, 정제소금]97%, 대두유(원료수입산)</v>
      </c>
      <c r="H5" s="101" t="str">
        <f>IFERROR(INDEX(온라인_반찬!$D$2:$J$597,MATCH($D5,온라인_반찬!$C$2:$C$597,0),6),"")</f>
        <v>.1.5.6.9.11.12.</v>
      </c>
      <c r="I5" s="109" t="s">
        <v>2297</v>
      </c>
      <c r="J5" s="102">
        <v>1870</v>
      </c>
      <c r="K5" s="101">
        <v>95195</v>
      </c>
      <c r="L5" s="129" t="str">
        <f>IFERROR(INDEX(온라인_반찬!$C$2:$J$597,MATCH($D5,온라인_반찬!$C$2:$C$597,0),8),"")</f>
        <v>팝콘피쉬볼(그린푸드) 개당12g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330"/>
      <c r="D6" s="103" t="s">
        <v>1236</v>
      </c>
      <c r="E6" s="123">
        <v>20</v>
      </c>
      <c r="F6" s="124"/>
      <c r="G6" s="113" t="str">
        <f>IFERROR(INDEX(온라인_반찬!$C$2:$H$604,MATCH($D6,온라인_반찬!$C$2:$C$604,0),6),"")</f>
        <v>후르츠칵테일(과채가공품:필리핀산)11%, 식초, 간장, 설탕, 전분, 정제수</v>
      </c>
      <c r="H6" s="101" t="str">
        <f>IFERROR(INDEX(온라인_반찬!$D$2:$J$597,MATCH($D6,온라인_반찬!$C$2:$C$597,0),6),"")</f>
        <v>.5.</v>
      </c>
      <c r="I6" s="109" t="s">
        <v>2297</v>
      </c>
      <c r="J6" s="102">
        <v>1870</v>
      </c>
      <c r="K6" s="101">
        <v>42230</v>
      </c>
      <c r="L6" s="129" t="str">
        <f>IFERROR(INDEX(온라인_반찬!$C$2:$J$597,MATCH($D6,온라인_반찬!$C$2:$C$597,0),8),"")</f>
        <v>후르츠칵테일(리치스)</v>
      </c>
      <c r="M6" s="120"/>
      <c r="N6" s="120"/>
      <c r="R6" s="120"/>
      <c r="S6" s="287"/>
      <c r="T6" s="287"/>
      <c r="U6" s="287"/>
      <c r="V6" s="287"/>
      <c r="W6" s="287"/>
    </row>
    <row r="7" spans="2:23" ht="39.950000000000003" customHeight="1">
      <c r="B7" s="323"/>
      <c r="C7" s="244" t="s">
        <v>622</v>
      </c>
      <c r="D7" s="103" t="s">
        <v>1154</v>
      </c>
      <c r="E7" s="123">
        <v>35</v>
      </c>
      <c r="F7" s="124"/>
      <c r="G7" s="113" t="str">
        <f>IFERROR(INDEX(온라인_반찬!$C$2:$H$604,MATCH($D7,온라인_반찬!$C$2:$C$604,0),6),"")</f>
        <v>감자(국산)90%, 햄(돼지고기:국내산 88.07%)5%, 대두유, 대파, 마늘, 소금, 참기름, 참깨</v>
      </c>
      <c r="H7" s="101" t="str">
        <f>IFERROR(INDEX(온라인_반찬!$D$2:$J$597,MATCH($D7,온라인_반찬!$C$2:$C$597,0),6),"")</f>
        <v>.2.5.10.21.</v>
      </c>
      <c r="I7" s="109" t="s">
        <v>2297</v>
      </c>
      <c r="J7" s="102">
        <v>1870</v>
      </c>
      <c r="K7" s="101">
        <v>77760</v>
      </c>
      <c r="L7" s="129" t="str">
        <f>IFERROR(INDEX(온라인_반찬!$C$2:$J$597,MATCH($D7,온라인_반찬!$C$2:$C$597,0),8),"")</f>
        <v>우리 슬라이스햄(이츠웰)</v>
      </c>
      <c r="M7" s="120" t="s">
        <v>810</v>
      </c>
      <c r="N7" s="120"/>
      <c r="P7" s="120" t="s">
        <v>1249</v>
      </c>
      <c r="R7" s="120"/>
      <c r="S7" s="120" t="s">
        <v>915</v>
      </c>
    </row>
    <row r="8" spans="2:23" ht="39.950000000000003" customHeight="1">
      <c r="B8" s="323"/>
      <c r="C8" s="160" t="s">
        <v>290</v>
      </c>
      <c r="D8" s="103" t="s">
        <v>1875</v>
      </c>
      <c r="E8" s="123">
        <v>25</v>
      </c>
      <c r="F8" s="124"/>
      <c r="G8" s="113" t="str">
        <f>IFERROR(INDEX(온라인_반찬!$C$2:$H$604,MATCH($D8,온라인_반찬!$C$2:$C$604,0),6),"")</f>
        <v>오이(국산)82%, 참나물(국산)4.5%, 파, 마늘, 고추가루, 소금, 설탕, 식초, 참깨</v>
      </c>
      <c r="H8" s="101" t="str">
        <f>IFERROR(INDEX(온라인_반찬!$D$2:$J$597,MATCH($D8,온라인_반찬!$C$2:$C$597,0),6),"")</f>
        <v>.5.21.</v>
      </c>
      <c r="I8" s="109" t="s">
        <v>2297</v>
      </c>
      <c r="J8" s="102">
        <v>1870</v>
      </c>
      <c r="K8" s="101">
        <v>55325</v>
      </c>
      <c r="L8" s="129">
        <f>IFERROR(INDEX(온라인_반찬!$C$2:$J$597,MATCH($D8,온라인_반찬!$C$2:$C$597,0),8),"")</f>
        <v>0</v>
      </c>
      <c r="M8" s="120" t="s">
        <v>687</v>
      </c>
      <c r="N8" s="120"/>
      <c r="P8" s="120" t="s">
        <v>1268</v>
      </c>
      <c r="R8" s="120"/>
      <c r="S8" s="120" t="s">
        <v>832</v>
      </c>
    </row>
    <row r="9" spans="2:23" ht="39.950000000000003" customHeight="1">
      <c r="B9" s="323"/>
      <c r="C9" s="245" t="s">
        <v>819</v>
      </c>
      <c r="D9" s="103" t="s">
        <v>630</v>
      </c>
      <c r="E9" s="123">
        <v>25</v>
      </c>
      <c r="F9" s="123"/>
      <c r="G9" s="113" t="str">
        <f>IFERROR(INDEX(온라인_반찬!$C$2:$H$604,MATCH($D9,온라인_반찬!$C$2:$C$604,0),6),"")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IFERROR(INDEX(온라인_반찬!$D$2:$J$597,MATCH($D9,온라인_반찬!$C$2:$C$597,0),6),"")</f>
        <v>.9.12.</v>
      </c>
      <c r="I9" s="109" t="s">
        <v>2297</v>
      </c>
      <c r="J9" s="102">
        <v>1870</v>
      </c>
      <c r="K9" s="101">
        <v>52200</v>
      </c>
      <c r="L9" s="129" t="str">
        <f>IFERROR(INDEX(온라인_반찬!$C$2:$J$597,MATCH($D9,온라인_반찬!$C$2:$C$597,0),8),"")</f>
        <v>토마토김치(종가집)</v>
      </c>
      <c r="M9" s="120" t="s">
        <v>1393</v>
      </c>
      <c r="N9" s="120"/>
      <c r="P9" s="120" t="s">
        <v>1404</v>
      </c>
      <c r="R9" s="120"/>
      <c r="S9" s="120" t="s">
        <v>1647</v>
      </c>
    </row>
    <row r="10" spans="2:23" ht="50.1" customHeight="1" thickBot="1">
      <c r="B10" s="324"/>
      <c r="C10" s="161" t="s">
        <v>97</v>
      </c>
      <c r="D10" s="210"/>
      <c r="E10" s="131"/>
      <c r="F10" s="132"/>
      <c r="G10" s="274" t="s">
        <v>2370</v>
      </c>
      <c r="H10" s="166"/>
      <c r="I10" s="137"/>
      <c r="J10" s="134">
        <v>1</v>
      </c>
      <c r="K10" s="134">
        <v>0.25</v>
      </c>
      <c r="L10" s="135"/>
      <c r="M10" s="120"/>
      <c r="N10" s="120"/>
      <c r="O10" s="120"/>
      <c r="Q10" s="120"/>
      <c r="R10" s="120"/>
    </row>
    <row r="11" spans="2:23" ht="39.950000000000003" customHeight="1">
      <c r="B11" s="323" t="s">
        <v>2129</v>
      </c>
      <c r="C11" s="250" t="s">
        <v>620</v>
      </c>
      <c r="D11" s="260" t="s">
        <v>1348</v>
      </c>
      <c r="E11" s="224">
        <v>150</v>
      </c>
      <c r="F11" s="224"/>
      <c r="G11" s="225" t="str">
        <f>IFERROR(INDEX(온라인_반찬!$C$2:$H$604,MATCH($D11,온라인_반찬!$C$2:$C$604,0),6),"")</f>
        <v>쌀(국산)90%, 현미(국산.친환경)5%, 정제수</v>
      </c>
      <c r="H11" s="226">
        <f>IFERROR(INDEX(온라인_반찬!$D$2:$J$597,MATCH($D11,온라인_반찬!$C$2:$C$597,0),6),"")</f>
        <v>0</v>
      </c>
      <c r="I11" s="227" t="s">
        <v>2298</v>
      </c>
      <c r="J11" s="265">
        <v>92</v>
      </c>
      <c r="K11" s="263">
        <v>10950</v>
      </c>
      <c r="L11" s="228">
        <f>IFERROR(INDEX(온라인_반찬!$C$2:$J$597,MATCH($D11,온라인_반찬!$C$2:$C$597,0),8),"")</f>
        <v>0</v>
      </c>
      <c r="M11" s="120" t="s">
        <v>1395</v>
      </c>
      <c r="N11" s="120"/>
      <c r="O11" s="120"/>
      <c r="P11" s="120" t="s">
        <v>1456</v>
      </c>
      <c r="S11" s="120" t="s">
        <v>1648</v>
      </c>
    </row>
    <row r="12" spans="2:23" ht="39.950000000000003" customHeight="1">
      <c r="B12" s="323"/>
      <c r="C12" s="244" t="s">
        <v>624</v>
      </c>
      <c r="D12" s="103" t="s">
        <v>2300</v>
      </c>
      <c r="E12" s="123">
        <v>160</v>
      </c>
      <c r="F12" s="124"/>
      <c r="G12" s="113" t="str">
        <f>IFERROR(INDEX(온라인_반찬!$C$2:$H$604,MATCH($D12,온라인_반찬!$C$2:$C$604,0),6),"")</f>
        <v>불린미역(미역:국산)18.3%, 소고기(호주산)5%, 마늘, 정제수, 밥새우, 멸치육수농축액, 소금, 국간장</v>
      </c>
      <c r="H12" s="101" t="str">
        <f>IFERROR(INDEX(온라인_반찬!$D$2:$J$597,MATCH($D12,온라인_반찬!$C$2:$C$597,0),6),"")</f>
        <v>.5.9.16.</v>
      </c>
      <c r="I12" s="109" t="s">
        <v>2298</v>
      </c>
      <c r="J12" s="102">
        <v>92</v>
      </c>
      <c r="K12" s="101">
        <v>11210</v>
      </c>
      <c r="L12" s="129" t="str">
        <f>IFERROR(INDEX(온라인_반찬!$C$2:$J$597,MATCH($D12,온라인_반찬!$C$2:$C$597,0),8),"")</f>
        <v>40g / 50g 멸치육수농축액(면사랑)</v>
      </c>
      <c r="M12" s="120" t="s">
        <v>1835</v>
      </c>
      <c r="N12" s="120"/>
      <c r="O12" s="120"/>
      <c r="P12" s="120" t="s">
        <v>1885</v>
      </c>
      <c r="S12" s="120" t="s">
        <v>1886</v>
      </c>
    </row>
    <row r="13" spans="2:23" ht="39.950000000000003" customHeight="1">
      <c r="B13" s="323"/>
      <c r="C13" s="329" t="s">
        <v>621</v>
      </c>
      <c r="D13" s="103" t="s">
        <v>1223</v>
      </c>
      <c r="E13" s="123">
        <v>50</v>
      </c>
      <c r="F13" s="124"/>
      <c r="G13" s="113" t="str">
        <f>IFERROR(INDEX(온라인_반찬!$C$2:$H$604,MATCH($D13,온라인_반찬!$C$2:$C$604,0),6),"")</f>
        <v>팝콘피쉬볼[명태살(러시아산)63.06%, 옥수수전분, 밀가루, 베이킹파우더, 정제수, 정제소금]97%, 대두유(원료수입산)</v>
      </c>
      <c r="H13" s="101" t="str">
        <f>IFERROR(INDEX(온라인_반찬!$D$2:$J$597,MATCH($D13,온라인_반찬!$C$2:$C$597,0),6),"")</f>
        <v>.1.5.6.9.11.12.</v>
      </c>
      <c r="I13" s="109" t="s">
        <v>2298</v>
      </c>
      <c r="J13" s="102">
        <v>92</v>
      </c>
      <c r="K13" s="101">
        <v>5165</v>
      </c>
      <c r="L13" s="129" t="str">
        <f>IFERROR(INDEX(온라인_반찬!$C$2:$J$597,MATCH($D13,온라인_반찬!$C$2:$C$597,0),8),"")</f>
        <v>팝콘피쉬볼(그린푸드) 개당12g</v>
      </c>
      <c r="M13" s="120"/>
      <c r="N13" s="120"/>
    </row>
    <row r="14" spans="2:23" ht="39.950000000000003" customHeight="1">
      <c r="B14" s="323"/>
      <c r="C14" s="330"/>
      <c r="D14" s="103" t="s">
        <v>1236</v>
      </c>
      <c r="E14" s="123">
        <v>25</v>
      </c>
      <c r="F14" s="124"/>
      <c r="G14" s="113" t="str">
        <f>IFERROR(INDEX(온라인_반찬!$C$2:$H$604,MATCH($D14,온라인_반찬!$C$2:$C$604,0),6),"")</f>
        <v>후르츠칵테일(과채가공품:필리핀산)11%, 식초, 간장, 설탕, 전분, 정제수</v>
      </c>
      <c r="H14" s="101" t="str">
        <f>IFERROR(INDEX(온라인_반찬!$D$2:$J$597,MATCH($D14,온라인_반찬!$C$2:$C$597,0),6),"")</f>
        <v>.5.</v>
      </c>
      <c r="I14" s="109" t="s">
        <v>2298</v>
      </c>
      <c r="J14" s="102">
        <v>92</v>
      </c>
      <c r="K14" s="101">
        <v>2350</v>
      </c>
      <c r="L14" s="129" t="str">
        <f>IFERROR(INDEX(온라인_반찬!$C$2:$J$597,MATCH($D14,온라인_반찬!$C$2:$C$597,0),8),"")</f>
        <v>후르츠칵테일(리치스)</v>
      </c>
      <c r="M14" s="120"/>
      <c r="N14" s="120"/>
      <c r="O14" s="120"/>
    </row>
    <row r="15" spans="2:23" ht="39.950000000000003" customHeight="1">
      <c r="B15" s="323"/>
      <c r="C15" s="244" t="s">
        <v>622</v>
      </c>
      <c r="D15" s="103" t="s">
        <v>1154</v>
      </c>
      <c r="E15" s="123">
        <v>40</v>
      </c>
      <c r="F15" s="124"/>
      <c r="G15" s="113" t="str">
        <f>IFERROR(INDEX(온라인_반찬!$C$2:$H$604,MATCH($D15,온라인_반찬!$C$2:$C$604,0),6),"")</f>
        <v>감자(국산)90%, 햄(돼지고기:국내산 88.07%)5%, 대두유, 대파, 마늘, 소금, 참기름, 참깨</v>
      </c>
      <c r="H15" s="101" t="str">
        <f>IFERROR(INDEX(온라인_반찬!$D$2:$J$597,MATCH($D15,온라인_반찬!$C$2:$C$597,0),6),"")</f>
        <v>.2.5.10.21.</v>
      </c>
      <c r="I15" s="109" t="s">
        <v>2298</v>
      </c>
      <c r="J15" s="102">
        <v>92</v>
      </c>
      <c r="K15" s="101">
        <v>3760</v>
      </c>
      <c r="L15" s="129" t="str">
        <f>IFERROR(INDEX(온라인_반찬!$C$2:$J$597,MATCH($D15,온라인_반찬!$C$2:$C$597,0),8),"")</f>
        <v>우리 슬라이스햄(이츠웰)</v>
      </c>
      <c r="M15" s="120"/>
      <c r="N15" s="120"/>
      <c r="O15" s="120"/>
    </row>
    <row r="16" spans="2:23" ht="39.950000000000003" customHeight="1">
      <c r="B16" s="323"/>
      <c r="C16" s="160" t="s">
        <v>290</v>
      </c>
      <c r="D16" s="276" t="s">
        <v>1875</v>
      </c>
      <c r="E16" s="277">
        <v>35</v>
      </c>
      <c r="F16" s="278"/>
      <c r="G16" s="279" t="str">
        <f>IFERROR(INDEX(온라인_반찬!$C$2:$H$604,MATCH($D16,온라인_반찬!$C$2:$C$604,0),6),"")</f>
        <v>오이(국산)82%, 참나물(국산)4.5%, 파, 마늘, 고추가루, 소금, 설탕, 식초, 참깨</v>
      </c>
      <c r="H16" s="280" t="str">
        <f>IFERROR(INDEX(온라인_반찬!$D$2:$J$597,MATCH($D16,온라인_반찬!$C$2:$C$597,0),6),"")</f>
        <v>.5.21.</v>
      </c>
      <c r="I16" s="109" t="s">
        <v>2298</v>
      </c>
      <c r="J16" s="102">
        <v>164</v>
      </c>
      <c r="K16" s="101">
        <v>6890</v>
      </c>
      <c r="L16" s="129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>
      <c r="B17" s="323"/>
      <c r="C17" s="245" t="s">
        <v>819</v>
      </c>
      <c r="D17" s="103" t="s">
        <v>630</v>
      </c>
      <c r="E17" s="123">
        <v>35</v>
      </c>
      <c r="F17" s="123"/>
      <c r="G17" s="113" t="str">
        <f>IFERROR(INDEX(온라인_반찬!$C$2:$H$604,MATCH($D17,온라인_반찬!$C$2:$C$604,0),6),"")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IFERROR(INDEX(온라인_반찬!$D$2:$J$597,MATCH($D17,온라인_반찬!$C$2:$C$597,0),6),"")</f>
        <v>.9.12.</v>
      </c>
      <c r="I17" s="109" t="s">
        <v>2298</v>
      </c>
      <c r="J17" s="102">
        <v>92</v>
      </c>
      <c r="K17" s="101">
        <v>3290</v>
      </c>
      <c r="L17" s="129" t="str">
        <f>IFERROR(INDEX(온라인_반찬!$C$2:$J$597,MATCH($D17,온라인_반찬!$C$2:$C$597,0),8),"")</f>
        <v>토마토김치(종가집)</v>
      </c>
      <c r="M17" s="120"/>
      <c r="N17" s="120"/>
      <c r="O17" s="120"/>
    </row>
    <row r="18" spans="2:15" ht="39.950000000000003" customHeight="1">
      <c r="B18" s="323"/>
      <c r="C18" s="221" t="s">
        <v>1392</v>
      </c>
      <c r="D18" s="103" t="s">
        <v>1196</v>
      </c>
      <c r="E18" s="123">
        <v>80</v>
      </c>
      <c r="F18" s="123"/>
      <c r="G18" s="113" t="str">
        <f>IFERROR(INDEX(온라인_반찬!$C$2:$H$604,MATCH($D18,온라인_반찬!$C$2:$C$604,0),6),"")</f>
        <v>소고기(부채살:호주산)65%, 무, 당근, 파, 마늘, 정제수, 간장, 설탕, 맛술, 후추, 참기름, 참깨</v>
      </c>
      <c r="H18" s="101" t="str">
        <f>IFERROR(INDEX(온라인_반찬!$D$2:$J$597,MATCH($D18,온라인_반찬!$C$2:$C$597,0),6),"")</f>
        <v>.5.6.18.21.</v>
      </c>
      <c r="I18" s="109" t="s">
        <v>2298</v>
      </c>
      <c r="J18" s="102">
        <v>28</v>
      </c>
      <c r="K18" s="101">
        <v>2580</v>
      </c>
      <c r="L18" s="165">
        <f>IFERROR(INDEX(온라인_반찬!$C$2:$J$597,MATCH($D18,온라인_반찬!$C$2:$C$597,0),8),"")</f>
        <v>0</v>
      </c>
      <c r="M18" s="120"/>
      <c r="N18" s="120"/>
      <c r="O18" s="120"/>
    </row>
    <row r="19" spans="2:15" ht="39.950000000000003" customHeight="1" thickBot="1">
      <c r="B19" s="324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6" t="s">
        <v>1602</v>
      </c>
      <c r="C20" s="100" t="s">
        <v>620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2297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29" t="s">
        <v>622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2297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330"/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2297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623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2297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14" t="s">
        <v>819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2297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>
      <c r="B25" s="327"/>
      <c r="C25" s="160" t="s">
        <v>102</v>
      </c>
      <c r="D25" s="162"/>
      <c r="E25" s="123"/>
      <c r="F25" s="123"/>
      <c r="G25" s="113" t="str">
        <f>IFERROR(INDEX(온라인_반찬!$C$2:$H$604,MATCH($D25,온라인_반찬!$C$2:$C$604,0),6),"")</f>
        <v/>
      </c>
      <c r="H25" s="101" t="str">
        <f>IFERROR(INDEX(온라인_반찬!$D$2:$J$597,MATCH($D25,온라인_반찬!$C$2:$C$597,0),6),"")</f>
        <v/>
      </c>
      <c r="I25" s="109" t="s">
        <v>2297</v>
      </c>
      <c r="J25" s="158"/>
      <c r="K25" s="158"/>
      <c r="L25" s="129" t="str">
        <f>IFERROR(INDEX(온라인_반찬!$C$2:$J$597,MATCH($D25,온라인_반찬!$C$2:$C$597,0),8),"")</f>
        <v/>
      </c>
      <c r="M25" s="120"/>
    </row>
    <row r="26" spans="2:15" ht="39.950000000000003" customHeight="1" thickBot="1">
      <c r="B26" s="328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3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C880-068B-4D6D-9974-5915D7C09A57}">
  <sheetPr>
    <pageSetUpPr fitToPage="1"/>
  </sheetPr>
  <dimension ref="B1:W27"/>
  <sheetViews>
    <sheetView zoomScale="80" zoomScaleNormal="80" zoomScaleSheetLayoutView="75" workbookViewId="0"/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2301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1762</v>
      </c>
      <c r="E3" s="261">
        <v>140</v>
      </c>
      <c r="F3" s="261"/>
      <c r="G3" s="262" t="str">
        <f>IFERROR(INDEX(온라인_반찬!$C$2:$H$604,MATCH($D3,온라인_반찬!$C$2:$C$604,0),6),"")</f>
        <v>쌀(국산)90%, 귀리(국산.친환경)5%, 정제수</v>
      </c>
      <c r="H3" s="263">
        <f>IFERROR(INDEX(온라인_반찬!$D$2:$J$597,MATCH($D3,온라인_반찬!$C$2:$C$597,0),6),"")</f>
        <v>0</v>
      </c>
      <c r="I3" s="264" t="s">
        <v>2302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1408</v>
      </c>
      <c r="E4" s="123">
        <v>150</v>
      </c>
      <c r="F4" s="124"/>
      <c r="G4" s="113" t="str">
        <f>IFERROR(INDEX(온라인_반찬!$C$2:$H$604,MATCH($D4,온라인_반찬!$C$2:$C$604,0),6),"")</f>
        <v>논우렁살(우렁:베트남산), 모둠채소(호박, 양파, 감자:국산)25%, 두부(콩:미국,호주,캐나다등)8%, 파, 마늘, 된장, 멸치육수농축액, 정제수, 소금</v>
      </c>
      <c r="H4" s="101" t="str">
        <f>IFERROR(INDEX(온라인_반찬!$D$2:$J$597,MATCH($D4,온라인_반찬!$C$2:$C$597,0),6),"")</f>
        <v>.5.</v>
      </c>
      <c r="I4" s="109" t="s">
        <v>2302</v>
      </c>
      <c r="J4" s="102"/>
      <c r="K4" s="101"/>
      <c r="L4" s="129" t="str">
        <f>IFERROR(INDEX(온라인_반찬!$C$2:$J$597,MATCH($D4,온라인_반찬!$C$2:$C$597,0),8),"")</f>
        <v>50g / 60g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2229</v>
      </c>
      <c r="E5" s="123">
        <v>60</v>
      </c>
      <c r="F5" s="124"/>
      <c r="G5" s="113" t="str">
        <f>IFERROR(INDEX(온라인_반찬!$C$2:$H$604,MATCH($D5,온라인_반찬!$C$2:$C$604,0),6),"")</f>
        <v>돼지고기(국산)80%, 피망(국내산)5%, 양파, 당근, 마늘, 간장, 굴소스, 대두유, , 후추, 참기름, 참깨</v>
      </c>
      <c r="H5" s="101" t="str">
        <f>IFERROR(INDEX(온라인_반찬!$D$2:$J$597,MATCH($D5,온라인_반찬!$C$2:$C$597,0),6),"")</f>
        <v>.5.10.18.21.</v>
      </c>
      <c r="I5" s="109" t="s">
        <v>2302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2148</v>
      </c>
      <c r="E6" s="123">
        <v>35</v>
      </c>
      <c r="F6" s="124"/>
      <c r="G6" s="113" t="str">
        <f>IFERROR(INDEX(온라인_반찬!$C$2:$H$604,MATCH($D6,온라인_반찬!$C$2:$C$604,0),6),"")</f>
        <v>구운어묵(원료수입)75%,  양파(국산) , 당근, 파, 마늘, 대두유, 간장, 참기름, 참깨</v>
      </c>
      <c r="H6" s="101" t="str">
        <f>IFERROR(INDEX(온라인_반찬!$D$2:$J$597,MATCH($D6,온라인_반찬!$C$2:$C$597,0),6),"")</f>
        <v>.2.5.6.10.12.16.21.</v>
      </c>
      <c r="I6" s="109" t="s">
        <v>2302</v>
      </c>
      <c r="J6" s="102"/>
      <c r="K6" s="101"/>
      <c r="L6" s="129" t="str">
        <f>IFERROR(INDEX(온라인_반찬!$C$2:$J$597,MATCH($D6,온라인_반찬!$C$2:$C$597,0),8),"")</f>
        <v>구운어묵(대림)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2304</v>
      </c>
      <c r="E7" s="123">
        <v>35</v>
      </c>
      <c r="F7" s="124"/>
      <c r="G7" s="113" t="str">
        <f>IFERROR(INDEX(온라인_반찬!$C$2:$H$604,MATCH($D7,온라인_반찬!$C$2:$C$604,0),6),"")</f>
        <v>스위트콘 [옥수수:62.71% (원산지:태국)]81%, 양파(국산)7%, 파프리카(국산)7%, 소금, 설탕, 마요네즈</v>
      </c>
      <c r="H7" s="101" t="str">
        <f>IFERROR(INDEX(온라인_반찬!$D$2:$J$597,MATCH($D7,온라인_반찬!$C$2:$C$597,0),6),"")</f>
        <v>.1.5.16.</v>
      </c>
      <c r="I7" s="109" t="s">
        <v>2302</v>
      </c>
      <c r="J7" s="102"/>
      <c r="K7" s="101"/>
      <c r="L7" s="129" t="str">
        <f>IFERROR(INDEX(온라인_반찬!$C$2:$J$597,MATCH($D7,온라인_반찬!$C$2:$C$597,0),8),"")</f>
        <v>스위트콘 (리치즈), 마요네즈(오뚜기)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2302</v>
      </c>
      <c r="J8" s="102"/>
      <c r="K8" s="101"/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1762</v>
      </c>
      <c r="E10" s="224">
        <v>150</v>
      </c>
      <c r="F10" s="224"/>
      <c r="G10" s="225" t="str">
        <f>IFERROR(INDEX(온라인_반찬!$C$2:$H$604,MATCH($D10,온라인_반찬!$C$2:$C$604,0),6),"")</f>
        <v>쌀(국산)90%, 귀리(국산.친환경)5%, 정제수</v>
      </c>
      <c r="H10" s="226">
        <f>IFERROR(INDEX(온라인_반찬!$D$2:$J$597,MATCH($D10,온라인_반찬!$C$2:$C$597,0),6),"")</f>
        <v>0</v>
      </c>
      <c r="I10" s="227" t="s">
        <v>2303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276" t="s">
        <v>1408</v>
      </c>
      <c r="E11" s="277">
        <v>160</v>
      </c>
      <c r="F11" s="278"/>
      <c r="G11" s="279" t="s">
        <v>2306</v>
      </c>
      <c r="H11" s="280" t="str">
        <f>IFERROR(INDEX(온라인_반찬!$D$2:$J$597,MATCH($D11,온라인_반찬!$C$2:$C$597,0),6),"")</f>
        <v>.5.</v>
      </c>
      <c r="I11" s="109" t="s">
        <v>2303</v>
      </c>
      <c r="J11" s="102"/>
      <c r="K11" s="101"/>
      <c r="L11" s="129" t="str">
        <f>IFERROR(INDEX(온라인_반찬!$C$2:$J$597,MATCH($D11,온라인_반찬!$C$2:$C$597,0),8),"")</f>
        <v>50g / 60g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2229</v>
      </c>
      <c r="E12" s="123">
        <v>80</v>
      </c>
      <c r="F12" s="124"/>
      <c r="G12" s="113" t="str">
        <f>IFERROR(INDEX(온라인_반찬!$C$2:$H$604,MATCH($D12,온라인_반찬!$C$2:$C$604,0),6),"")</f>
        <v>돼지고기(국산)80%, 피망(국내산)5%, 양파, 당근, 마늘, 간장, 굴소스, 대두유, , 후추, 참기름, 참깨</v>
      </c>
      <c r="H12" s="101" t="str">
        <f>IFERROR(INDEX(온라인_반찬!$D$2:$J$597,MATCH($D12,온라인_반찬!$C$2:$C$597,0),6),"")</f>
        <v>.5.10.18.21.</v>
      </c>
      <c r="I12" s="109" t="s">
        <v>2303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276" t="s">
        <v>2148</v>
      </c>
      <c r="E13" s="277">
        <v>40</v>
      </c>
      <c r="F13" s="278"/>
      <c r="G13" s="279" t="s">
        <v>2305</v>
      </c>
      <c r="H13" s="280" t="str">
        <f>IFERROR(INDEX(온라인_반찬!$D$2:$J$597,MATCH($D13,온라인_반찬!$C$2:$C$597,0),6),"")</f>
        <v>.2.5.6.10.12.16.21.</v>
      </c>
      <c r="I13" s="109" t="s">
        <v>2303</v>
      </c>
      <c r="J13" s="102"/>
      <c r="K13" s="101"/>
      <c r="L13" s="129" t="str">
        <f>IFERROR(INDEX(온라인_반찬!$C$2:$J$597,MATCH($D13,온라인_반찬!$C$2:$C$597,0),8),"")</f>
        <v>구운어묵(대림)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2304</v>
      </c>
      <c r="E14" s="123">
        <v>40</v>
      </c>
      <c r="F14" s="124"/>
      <c r="G14" s="113" t="str">
        <f>IFERROR(INDEX(온라인_반찬!$C$2:$H$604,MATCH($D14,온라인_반찬!$C$2:$C$604,0),6),"")</f>
        <v>스위트콘 [옥수수:62.71% (원산지:태국)]81%, 양파(국산)7%, 파프리카(국산)7%, 소금, 설탕, 마요네즈</v>
      </c>
      <c r="H14" s="101" t="str">
        <f>IFERROR(INDEX(온라인_반찬!$D$2:$J$597,MATCH($D14,온라인_반찬!$C$2:$C$597,0),6),"")</f>
        <v>.1.5.16.</v>
      </c>
      <c r="I14" s="109" t="s">
        <v>2303</v>
      </c>
      <c r="J14" s="102"/>
      <c r="K14" s="101"/>
      <c r="L14" s="129" t="str">
        <f>IFERROR(INDEX(온라인_반찬!$C$2:$J$597,MATCH($D14,온라인_반찬!$C$2:$C$597,0),8),"")</f>
        <v>스위트콘 (리치즈), 마요네즈(오뚜기)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631</v>
      </c>
      <c r="E15" s="123">
        <v>35</v>
      </c>
      <c r="F15" s="123"/>
      <c r="G15" s="113" t="str">
        <f>IFERROR(INDEX(온라인_반찬!$C$2:$H$604,MATCH($D15,온라인_반찬!$C$2:$C$604,0),6),"")</f>
        <v>무(국산)85.2%, 고추가루(국산), 밀가루풀(국산), 파, 마늘, 새우젓 등 양념(국산)</v>
      </c>
      <c r="H15" s="101" t="str">
        <f>IFERROR(INDEX(온라인_반찬!$D$2:$J$597,MATCH($D15,온라인_반찬!$C$2:$C$597,0),6),"")</f>
        <v>.6.9.</v>
      </c>
      <c r="I15" s="109" t="s">
        <v>2303</v>
      </c>
      <c r="J15" s="102"/>
      <c r="K15" s="101"/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2035</v>
      </c>
      <c r="E16" s="123"/>
      <c r="F16" s="123"/>
      <c r="G16" s="113" t="str">
        <f>IFERROR(INDEX(온라인_반찬!$C$2:$H$604,MATCH($D16,온라인_반찬!$C$2:$C$604,0),6),"")</f>
        <v/>
      </c>
      <c r="H16" s="101" t="str">
        <f>IFERROR(INDEX(온라인_반찬!$D$2:$J$597,MATCH($D16,온라인_반찬!$C$2:$C$597,0),6),"")</f>
        <v/>
      </c>
      <c r="I16" s="109" t="s">
        <v>2303</v>
      </c>
      <c r="J16" s="102"/>
      <c r="K16" s="101"/>
      <c r="L16" s="165" t="str">
        <f>IFERROR(INDEX(온라인_반찬!$C$2:$J$597,MATCH($D16,온라인_반찬!$C$2:$C$597,0),8),"")</f>
        <v/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2302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2302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2302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2302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2302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2302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A094-2614-4C81-9488-28B6B80CC76D}">
  <sheetPr>
    <pageSetUpPr fitToPage="1"/>
  </sheetPr>
  <dimension ref="B1:W28"/>
  <sheetViews>
    <sheetView topLeftCell="A2"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2309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1344</v>
      </c>
      <c r="E3" s="261">
        <v>140</v>
      </c>
      <c r="F3" s="261"/>
      <c r="G3" s="262" t="str">
        <f>IFERROR(INDEX(온라인_반찬!$C$2:$H$604,MATCH($D3,온라인_반찬!$C$2:$C$604,0),6),"")</f>
        <v>쌀(국산)90%, 찰흑미(국산.친환경)5%, 정제수</v>
      </c>
      <c r="H3" s="263">
        <f>IFERROR(INDEX(온라인_반찬!$D$2:$J$597,MATCH($D3,온라인_반찬!$C$2:$C$597,0),6),"")</f>
        <v>0</v>
      </c>
      <c r="I3" s="264" t="s">
        <v>2307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1305</v>
      </c>
      <c r="E4" s="123">
        <v>150</v>
      </c>
      <c r="F4" s="124"/>
      <c r="G4" s="113" t="str">
        <f>IFERROR(INDEX(온라인_반찬!$C$2:$H$604,MATCH($D4,온라인_반찬!$C$2:$C$604,0),6),"")</f>
        <v>어묵(원료수입산)15%, 양배추(국산)10%,  양파, 대파, 마늘, 정제수, 국간장, 소금</v>
      </c>
      <c r="H4" s="101" t="str">
        <f>IFERROR(INDEX(온라인_반찬!$D$2:$J$597,MATCH($D4,온라인_반찬!$C$2:$C$597,0),6),"")</f>
        <v>.5.</v>
      </c>
      <c r="I4" s="109" t="s">
        <v>2307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2143</v>
      </c>
      <c r="E5" s="123">
        <v>70</v>
      </c>
      <c r="F5" s="124"/>
      <c r="G5" s="113" t="str">
        <f>IFERROR(INDEX(온라인_반찬!$C$2:$H$604,MATCH($D5,온라인_반찬!$C$2:$C$604,0),6),"")</f>
        <v>닭고기(국내산)85%, 양파, 당근, 마늘, 카레가루, 소금, 후추, 참깨</v>
      </c>
      <c r="H5" s="101" t="str">
        <f>IFERROR(INDEX(온라인_반찬!$D$2:$J$597,MATCH($D5,온라인_반찬!$C$2:$C$597,0),6),"")</f>
        <v>.2.5.6.12.15.16.18.</v>
      </c>
      <c r="I5" s="109" t="s">
        <v>2307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1895</v>
      </c>
      <c r="E6" s="123">
        <v>35</v>
      </c>
      <c r="F6" s="124"/>
      <c r="G6" s="113" t="str">
        <f>IFERROR(INDEX(온라인_반찬!$C$2:$H$604,MATCH($D6,온라인_반찬!$C$2:$C$604,0),6),"")</f>
        <v>계란(국산)90%, 베이컨(돼지고기:외국산)5%, 대두유, 우유, 소금, 백후추</v>
      </c>
      <c r="H6" s="101" t="str">
        <f>IFERROR(INDEX(온라인_반찬!$D$2:$J$597,MATCH($D6,온라인_반찬!$C$2:$C$597,0),6),"")</f>
        <v>.1.2.5.10.</v>
      </c>
      <c r="I6" s="109" t="s">
        <v>2307</v>
      </c>
      <c r="J6" s="102"/>
      <c r="K6" s="101"/>
      <c r="L6" s="129" t="str">
        <f>IFERROR(INDEX(온라인_반찬!$C$2:$J$597,MATCH($D6,온라인_반찬!$C$2:$C$597,0),8),"")</f>
        <v>우리 슬라이스햄(이츠웰)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1563</v>
      </c>
      <c r="E7" s="123">
        <v>30</v>
      </c>
      <c r="F7" s="124"/>
      <c r="G7" s="113" t="str">
        <f>IFERROR(INDEX(온라인_반찬!$C$2:$H$604,MATCH($D7,온라인_반찬!$C$2:$C$604,0),6),"")</f>
        <v>호박(국산)70%, 느타리버섯(국산)15%, 당근, 파, 마늘, 대두유, 소금, 참치액, 참기름, 참깨</v>
      </c>
      <c r="H7" s="101" t="str">
        <f>IFERROR(INDEX(온라인_반찬!$D$2:$J$597,MATCH($D7,온라인_반찬!$C$2:$C$597,0),6),"")</f>
        <v>.5.21.</v>
      </c>
      <c r="I7" s="109" t="s">
        <v>2307</v>
      </c>
      <c r="J7" s="102"/>
      <c r="K7" s="101"/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1113</v>
      </c>
      <c r="E8" s="123">
        <v>25</v>
      </c>
      <c r="F8" s="123"/>
      <c r="G8" s="113" t="str">
        <f>IFERROR(INDEX(온라인_반찬!$C$2:$H$604,MATCH($D8,온라인_반찬!$C$2:$C$604,0),6),"")</f>
        <v>배추(국내산)64%, 무채(무:국내산)8%, 양파, 정제수, 생강, 마늘, 생강, 배, 쪽파, 정제염</v>
      </c>
      <c r="H8" s="101">
        <f>IFERROR(INDEX(온라인_반찬!$D$2:$J$597,MATCH($D8,온라인_반찬!$C$2:$C$597,0),6),"")</f>
        <v>0</v>
      </c>
      <c r="I8" s="109" t="s">
        <v>2307</v>
      </c>
      <c r="J8" s="102"/>
      <c r="K8" s="101"/>
      <c r="L8" s="129" t="str">
        <f>IFERROR(INDEX(온라인_반찬!$C$2:$J$597,MATCH($D8,온라인_반찬!$C$2:$C$597,0),8),"")</f>
        <v>백김치(정우식품)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2310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1344</v>
      </c>
      <c r="E10" s="224">
        <v>150</v>
      </c>
      <c r="F10" s="224"/>
      <c r="G10" s="225" t="str">
        <f>IFERROR(INDEX(온라인_반찬!$C$2:$H$604,MATCH($D10,온라인_반찬!$C$2:$C$604,0),6),"")</f>
        <v>쌀(국산)90%, 찰흑미(국산.친환경)5%, 정제수</v>
      </c>
      <c r="H10" s="226">
        <f>IFERROR(INDEX(온라인_반찬!$D$2:$J$597,MATCH($D10,온라인_반찬!$C$2:$C$597,0),6),"")</f>
        <v>0</v>
      </c>
      <c r="I10" s="227" t="s">
        <v>2308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276" t="s">
        <v>1305</v>
      </c>
      <c r="E11" s="277">
        <v>160</v>
      </c>
      <c r="F11" s="278"/>
      <c r="G11" s="279" t="s">
        <v>2312</v>
      </c>
      <c r="H11" s="280" t="str">
        <f>IFERROR(INDEX(온라인_반찬!$D$2:$J$597,MATCH($D11,온라인_반찬!$C$2:$C$597,0),6),"")</f>
        <v>.5.</v>
      </c>
      <c r="I11" s="109" t="s">
        <v>2308</v>
      </c>
      <c r="J11" s="102"/>
      <c r="K11" s="101"/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2143</v>
      </c>
      <c r="E12" s="123">
        <v>90</v>
      </c>
      <c r="F12" s="124"/>
      <c r="G12" s="113" t="str">
        <f>IFERROR(INDEX(온라인_반찬!$C$2:$H$604,MATCH($D12,온라인_반찬!$C$2:$C$604,0),6),"")</f>
        <v>닭고기(국내산)85%, 양파, 당근, 마늘, 카레가루, 소금, 후추, 참깨</v>
      </c>
      <c r="H12" s="101" t="str">
        <f>IFERROR(INDEX(온라인_반찬!$D$2:$J$597,MATCH($D12,온라인_반찬!$C$2:$C$597,0),6),"")</f>
        <v>.2.5.6.12.15.16.18.</v>
      </c>
      <c r="I12" s="109" t="s">
        <v>2308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1895</v>
      </c>
      <c r="E13" s="123">
        <v>40</v>
      </c>
      <c r="F13" s="124"/>
      <c r="G13" s="113" t="str">
        <f>IFERROR(INDEX(온라인_반찬!$C$2:$H$604,MATCH($D13,온라인_반찬!$C$2:$C$604,0),6),"")</f>
        <v>계란(국산)90%, 베이컨(돼지고기:외국산)5%, 대두유, 우유, 소금, 백후추</v>
      </c>
      <c r="H13" s="101" t="str">
        <f>IFERROR(INDEX(온라인_반찬!$D$2:$J$597,MATCH($D13,온라인_반찬!$C$2:$C$597,0),6),"")</f>
        <v>.1.2.5.10.</v>
      </c>
      <c r="I13" s="109" t="s">
        <v>2308</v>
      </c>
      <c r="J13" s="102"/>
      <c r="K13" s="101"/>
      <c r="L13" s="129" t="str">
        <f>IFERROR(INDEX(온라인_반찬!$C$2:$J$597,MATCH($D13,온라인_반찬!$C$2:$C$597,0),8),"")</f>
        <v>우리 슬라이스햄(이츠웰)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1563</v>
      </c>
      <c r="E14" s="123">
        <v>35</v>
      </c>
      <c r="F14" s="124"/>
      <c r="G14" s="113" t="str">
        <f>IFERROR(INDEX(온라인_반찬!$C$2:$H$604,MATCH($D14,온라인_반찬!$C$2:$C$604,0),6),"")</f>
        <v>호박(국산)70%, 느타리버섯(국산)15%, 당근, 파, 마늘, 대두유, 소금, 참치액, 참기름, 참깨</v>
      </c>
      <c r="H14" s="101" t="str">
        <f>IFERROR(INDEX(온라인_반찬!$D$2:$J$597,MATCH($D14,온라인_반찬!$C$2:$C$597,0),6),"")</f>
        <v>.5.21.</v>
      </c>
      <c r="I14" s="109" t="s">
        <v>2308</v>
      </c>
      <c r="J14" s="102"/>
      <c r="K14" s="101"/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276" t="s">
        <v>1549</v>
      </c>
      <c r="E15" s="277">
        <v>35</v>
      </c>
      <c r="F15" s="277"/>
      <c r="G15" s="279" t="str">
        <f>IFERROR(INDEX(온라인_반찬!$C$2:$H$604,MATCH($D15,온라인_반찬!$C$2:$C$604,0),6),"")</f>
        <v>절임열무51%(열무,식염, 고춧가루, 양파, 대파, 전용풀. 마늘, 다시마농축액.새우액젓.생강:국산)</v>
      </c>
      <c r="H15" s="280" t="str">
        <f>IFERROR(INDEX(온라인_반찬!$D$2:$J$597,MATCH($D15,온라인_반찬!$C$2:$C$597,0),6),"")</f>
        <v>.9.</v>
      </c>
      <c r="I15" s="109" t="s">
        <v>2308</v>
      </c>
      <c r="J15" s="102"/>
      <c r="K15" s="101"/>
      <c r="L15" s="129" t="str">
        <f>IFERROR(INDEX(온라인_반찬!$C$2:$J$597,MATCH($D15,온라인_반찬!$C$2:$C$597,0),8),"")</f>
        <v>열무김치(종가김치)</v>
      </c>
      <c r="M15" s="120"/>
      <c r="N15" s="120"/>
      <c r="O15" s="120"/>
    </row>
    <row r="16" spans="2:23" ht="39.950000000000003" customHeight="1">
      <c r="B16" s="323"/>
      <c r="C16" s="338" t="s">
        <v>1392</v>
      </c>
      <c r="D16" s="103" t="s">
        <v>1578</v>
      </c>
      <c r="E16" s="123">
        <v>60</v>
      </c>
      <c r="F16" s="124"/>
      <c r="G16" s="113" t="str">
        <f>IFERROR(INDEX(온라인_반찬!$C$2:$H$604,MATCH($D16,온라인_반찬!$C$2:$C$604,0),6),"")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6" s="101" t="str">
        <f>IFERROR(INDEX(온라인_반찬!$D$2:$J$597,MATCH($D16,온라인_반찬!$C$2:$C$597,0),6),"")</f>
        <v>.1.5.6.10.</v>
      </c>
      <c r="I16" s="109" t="s">
        <v>2308</v>
      </c>
      <c r="J16" s="102"/>
      <c r="K16" s="101"/>
      <c r="L16" s="129" t="str">
        <f>IFERROR(INDEX(온라인_반찬!$C$2:$J$597,MATCH($D16,온라인_반찬!$C$2:$C$597,0),8),"")</f>
        <v>450g/900g/목화솜 등심탕수육(이츠웰.하늘푸드)</v>
      </c>
      <c r="M16" s="120"/>
      <c r="N16" s="120"/>
      <c r="O16" s="120"/>
    </row>
    <row r="17" spans="2:15" ht="39.950000000000003" customHeight="1">
      <c r="B17" s="323"/>
      <c r="C17" s="339"/>
      <c r="D17" s="103" t="s">
        <v>1232</v>
      </c>
      <c r="E17" s="123">
        <v>25</v>
      </c>
      <c r="F17" s="123"/>
      <c r="G17" s="113" t="str">
        <f>IFERROR(INDEX(온라인_반찬!$C$2:$H$604,MATCH($D17,온라인_반찬!$C$2:$C$604,0),6),"")</f>
        <v>파프리카(국산)5%, 완두콩, 마늘, 정제수, 대두유, 케첩, 설탕, 식초, 전분(외국산)</v>
      </c>
      <c r="H17" s="101" t="str">
        <f>IFERROR(INDEX(온라인_반찬!$D$2:$J$597,MATCH($D17,온라인_반찬!$C$2:$C$597,0),6),"")</f>
        <v>.5.12.</v>
      </c>
      <c r="I17" s="109" t="s">
        <v>2308</v>
      </c>
      <c r="J17" s="102"/>
      <c r="K17" s="101"/>
      <c r="L17" s="165" t="str">
        <f>IFERROR(INDEX(온라인_반찬!$C$2:$J$597,MATCH($D17,온라인_반찬!$C$2:$C$597,0),8),"")</f>
        <v>칠리소스(이츠웰), 케찹(오뚜기)</v>
      </c>
      <c r="M17" s="120"/>
      <c r="N17" s="120"/>
      <c r="O17" s="120"/>
    </row>
    <row r="18" spans="2:15" ht="39.950000000000003" customHeight="1" thickBot="1">
      <c r="B18" s="324"/>
      <c r="C18" s="161" t="s">
        <v>97</v>
      </c>
      <c r="D18" s="210"/>
      <c r="E18" s="131"/>
      <c r="F18" s="132"/>
      <c r="G18" s="214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26" t="s">
        <v>1602</v>
      </c>
      <c r="C19" s="100" t="s">
        <v>620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2307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29" t="s">
        <v>622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2307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30"/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2307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60" t="s">
        <v>623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2307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14" t="s">
        <v>819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2307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60" t="s">
        <v>102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2307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 thickBot="1">
      <c r="B25" s="328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0E23-EBAD-45EA-93F7-C20CE1202C63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2315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2130</v>
      </c>
      <c r="E3" s="261">
        <v>140</v>
      </c>
      <c r="F3" s="261"/>
      <c r="G3" s="262" t="str">
        <f>IFERROR(INDEX(온라인_반찬!$C$2:$H$604,MATCH($D3,온라인_반찬!$C$2:$C$604,0),6),"")</f>
        <v>쌀(국산)95%, 정제수</v>
      </c>
      <c r="H3" s="263">
        <f>IFERROR(INDEX(온라인_반찬!$D$2:$J$597,MATCH($D3,온라인_반찬!$C$2:$C$597,0),6),"")</f>
        <v>0</v>
      </c>
      <c r="I3" s="264" t="s">
        <v>2313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2316</v>
      </c>
      <c r="E4" s="123">
        <v>150</v>
      </c>
      <c r="F4" s="124"/>
      <c r="G4" s="113" t="str">
        <f>IFERROR(INDEX(온라인_반찬!$C$2:$H$604,MATCH($D4,온라인_반찬!$C$2:$C$604,0),6),"")</f>
        <v>계란(국산)13%, 채소[양파, 당근, 부추:국산]10%, 정제수, 멸치육수농축액, 대파, 마늘, 소금</v>
      </c>
      <c r="H4" s="101" t="str">
        <f>IFERROR(INDEX(온라인_반찬!$D$2:$J$597,MATCH($D4,온라인_반찬!$C$2:$C$597,0),6),"")</f>
        <v>.1.5.</v>
      </c>
      <c r="I4" s="109" t="s">
        <v>2313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2231</v>
      </c>
      <c r="E5" s="123">
        <v>60</v>
      </c>
      <c r="F5" s="124"/>
      <c r="G5" s="113" t="str">
        <f>IFERROR(INDEX(온라인_반찬!$C$2:$H$604,MATCH($D5,온라인_반찬!$C$2:$C$604,0),6),"")</f>
        <v>소고기(호주산)78%, 미소된장[국내생산(대두:외국산,쌀:외국산)], 정제수, 양파, 피망, 마늘, 간장, 설탕, 맛술, 후추, 참기름, 참깨</v>
      </c>
      <c r="H5" s="101" t="str">
        <f>IFERROR(INDEX(온라인_반찬!$D$2:$J$597,MATCH($D5,온라인_반찬!$C$2:$C$597,0),6),"")</f>
        <v>.5.16.21.</v>
      </c>
      <c r="I5" s="109" t="s">
        <v>2313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2317</v>
      </c>
      <c r="E6" s="123"/>
      <c r="F6" s="124">
        <v>2</v>
      </c>
      <c r="G6" s="113" t="str">
        <f>IFERROR(INDEX(온라인_반찬!$C$2:$H$604,MATCH($D6,온라인_반찬!$C$2:$C$604,0),6),"")</f>
        <v>이츠웰찰당면(고구마전분:중국산), 튀김가루(밀가루(밀:미국산), 옥수수전분(옥수수:외국산), 옥수수가루, 정제소금, 혼합식용유(대두유, 현미유, 팜올레인유), 부추, 김, 당근, 마늘, 간장,설탕, 후추가루</v>
      </c>
      <c r="H6" s="101" t="str">
        <f>IFERROR(INDEX(온라인_반찬!$D$2:$J$597,MATCH($D6,온라인_반찬!$C$2:$C$597,0),6),"")</f>
        <v>.5.6.16.</v>
      </c>
      <c r="I6" s="109" t="s">
        <v>2313</v>
      </c>
      <c r="J6" s="102"/>
      <c r="K6" s="101"/>
      <c r="L6" s="129" t="str">
        <f>IFERROR(INDEX(온라인_반찬!$C$2:$J$597,MATCH($D6,온라인_반찬!$C$2:$C$597,0),8),"")</f>
        <v>김말이(크레잇)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1905</v>
      </c>
      <c r="E7" s="123">
        <v>20</v>
      </c>
      <c r="F7" s="124"/>
      <c r="G7" s="113" t="str">
        <f>IFERROR(INDEX(온라인_반찬!$C$2:$H$604,MATCH($D7,온라인_반찬!$C$2:$C$604,0),6),"")</f>
        <v xml:space="preserve"> 건새우(국산)23%, 마늘쫑(중국산)68%, 간장, 설탕, 물엿, 참깨</v>
      </c>
      <c r="H7" s="101" t="str">
        <f>IFERROR(INDEX(온라인_반찬!$D$2:$J$597,MATCH($D7,온라인_반찬!$C$2:$C$597,0),6),"")</f>
        <v>.5.9.21.</v>
      </c>
      <c r="I7" s="109" t="s">
        <v>2313</v>
      </c>
      <c r="J7" s="102"/>
      <c r="K7" s="101"/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2313</v>
      </c>
      <c r="J8" s="102"/>
      <c r="K8" s="101"/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2318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2130</v>
      </c>
      <c r="E10" s="224">
        <v>150</v>
      </c>
      <c r="F10" s="224"/>
      <c r="G10" s="225" t="str">
        <f>IFERROR(INDEX(온라인_반찬!$C$2:$H$604,MATCH($D10,온라인_반찬!$C$2:$C$604,0),6),"")</f>
        <v>쌀(국산)95%, 정제수</v>
      </c>
      <c r="H10" s="226">
        <f>IFERROR(INDEX(온라인_반찬!$D$2:$J$597,MATCH($D10,온라인_반찬!$C$2:$C$597,0),6),"")</f>
        <v>0</v>
      </c>
      <c r="I10" s="227" t="s">
        <v>2314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2316</v>
      </c>
      <c r="E11" s="123">
        <v>160</v>
      </c>
      <c r="F11" s="124"/>
      <c r="G11" s="113" t="str">
        <f>IFERROR(INDEX(온라인_반찬!$C$2:$H$604,MATCH($D11,온라인_반찬!$C$2:$C$604,0),6),"")</f>
        <v>계란(국산)13%, 채소[양파, 당근, 부추:국산]10%, 정제수, 멸치육수농축액, 대파, 마늘, 소금</v>
      </c>
      <c r="H11" s="101" t="str">
        <f>IFERROR(INDEX(온라인_반찬!$D$2:$J$597,MATCH($D11,온라인_반찬!$C$2:$C$597,0),6),"")</f>
        <v>.1.5.</v>
      </c>
      <c r="I11" s="109" t="s">
        <v>2314</v>
      </c>
      <c r="J11" s="102"/>
      <c r="K11" s="101"/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276" t="s">
        <v>1774</v>
      </c>
      <c r="E12" s="277">
        <v>80</v>
      </c>
      <c r="F12" s="278"/>
      <c r="G12" s="279" t="str">
        <f>IFERROR(INDEX(온라인_반찬!$C$2:$H$604,MATCH($D12,온라인_반찬!$C$2:$C$604,0),6),"")</f>
        <v>돼지고기(국산)65%, 양파(국산)10%, 당근, 대파, 마늘, 고추장, 간장, , 맛술, 후추, 설탕, 참기름, 참깨</v>
      </c>
      <c r="H12" s="280" t="str">
        <f>IFERROR(INDEX(온라인_반찬!$D$2:$J$597,MATCH($D12,온라인_반찬!$C$2:$C$597,0),6),"")</f>
        <v>.5.6.10.21.</v>
      </c>
      <c r="I12" s="109" t="s">
        <v>2314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2317</v>
      </c>
      <c r="E13" s="123"/>
      <c r="F13" s="124">
        <v>3</v>
      </c>
      <c r="G13" s="113" t="str">
        <f>IFERROR(INDEX(온라인_반찬!$C$2:$H$604,MATCH($D13,온라인_반찬!$C$2:$C$604,0),6),"")</f>
        <v>이츠웰찰당면(고구마전분:중국산), 튀김가루(밀가루(밀:미국산), 옥수수전분(옥수수:외국산), 옥수수가루, 정제소금, 혼합식용유(대두유, 현미유, 팜올레인유), 부추, 김, 당근, 마늘, 간장,설탕, 후추가루</v>
      </c>
      <c r="H13" s="101" t="str">
        <f>IFERROR(INDEX(온라인_반찬!$D$2:$J$597,MATCH($D13,온라인_반찬!$C$2:$C$597,0),6),"")</f>
        <v>.5.6.16.</v>
      </c>
      <c r="I13" s="109" t="s">
        <v>2314</v>
      </c>
      <c r="J13" s="102"/>
      <c r="K13" s="101"/>
      <c r="L13" s="129" t="str">
        <f>IFERROR(INDEX(온라인_반찬!$C$2:$J$597,MATCH($D13,온라인_반찬!$C$2:$C$597,0),8),"")</f>
        <v>김말이(크레잇)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1905</v>
      </c>
      <c r="E14" s="123">
        <v>23</v>
      </c>
      <c r="F14" s="124"/>
      <c r="G14" s="113" t="str">
        <f>IFERROR(INDEX(온라인_반찬!$C$2:$H$604,MATCH($D14,온라인_반찬!$C$2:$C$604,0),6),"")</f>
        <v xml:space="preserve"> 건새우(국산)23%, 마늘쫑(중국산)68%, 간장, 설탕, 물엿, 참깨</v>
      </c>
      <c r="H14" s="101" t="str">
        <f>IFERROR(INDEX(온라인_반찬!$D$2:$J$597,MATCH($D14,온라인_반찬!$C$2:$C$597,0),6),"")</f>
        <v>.5.9.21.</v>
      </c>
      <c r="I14" s="109" t="s">
        <v>2314</v>
      </c>
      <c r="J14" s="102"/>
      <c r="K14" s="101"/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631</v>
      </c>
      <c r="E15" s="123">
        <v>35</v>
      </c>
      <c r="F15" s="123"/>
      <c r="G15" s="113" t="str">
        <f>IFERROR(INDEX(온라인_반찬!$C$2:$H$604,MATCH($D15,온라인_반찬!$C$2:$C$604,0),6),"")</f>
        <v>무(국산)85.2%, 고추가루(국산), 밀가루풀(국산), 파, 마늘, 새우젓 등 양념(국산)</v>
      </c>
      <c r="H15" s="101" t="str">
        <f>IFERROR(INDEX(온라인_반찬!$D$2:$J$597,MATCH($D15,온라인_반찬!$C$2:$C$597,0),6),"")</f>
        <v>.6.9.</v>
      </c>
      <c r="I15" s="109" t="s">
        <v>2314</v>
      </c>
      <c r="J15" s="102"/>
      <c r="K15" s="101"/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2035</v>
      </c>
      <c r="E16" s="123"/>
      <c r="F16" s="123"/>
      <c r="G16" s="113" t="str">
        <f>IFERROR(INDEX(온라인_반찬!$C$2:$H$604,MATCH($D16,온라인_반찬!$C$2:$C$604,0),6),"")</f>
        <v/>
      </c>
      <c r="H16" s="101" t="str">
        <f>IFERROR(INDEX(온라인_반찬!$D$2:$J$597,MATCH($D16,온라인_반찬!$C$2:$C$597,0),6),"")</f>
        <v/>
      </c>
      <c r="I16" s="109" t="s">
        <v>2314</v>
      </c>
      <c r="J16" s="102"/>
      <c r="K16" s="101"/>
      <c r="L16" s="165" t="str">
        <f>IFERROR(INDEX(온라인_반찬!$C$2:$J$597,MATCH($D16,온라인_반찬!$C$2:$C$597,0),8),"")</f>
        <v/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2313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2313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2313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2313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2313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2313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2375-DD1C-4591-B5F2-6F87EF2D518F}">
  <sheetPr>
    <pageSetUpPr fitToPage="1"/>
  </sheetPr>
  <dimension ref="B1:W29"/>
  <sheetViews>
    <sheetView zoomScale="80" zoomScaleNormal="80" zoomScaleSheetLayoutView="75" workbookViewId="0">
      <selection activeCell="H13" sqref="H1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2321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826</v>
      </c>
      <c r="E3" s="261">
        <v>60</v>
      </c>
      <c r="F3" s="261"/>
      <c r="G3" s="262" t="str">
        <f>IFERROR(INDEX(온라인_반찬!$C$2:$H$604,MATCH($D3,온라인_반찬!$C$2:$C$604,0),6),"")</f>
        <v>쌀밥(쌀:국산)85%, 소민찌(소고기:호주산)2.5%, 감자, 당근, 양파, 피망, 대두유, 간장, 소금, 참기름, 참깨</v>
      </c>
      <c r="H3" s="263" t="str">
        <f>IFERROR(INDEX(온라인_반찬!$D$2:$J$597,MATCH($D3,온라인_반찬!$C$2:$C$597,0),6),"")</f>
        <v>.1.5.16.18.21.</v>
      </c>
      <c r="I3" s="264" t="s">
        <v>2319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329" t="s">
        <v>2322</v>
      </c>
      <c r="D4" s="103" t="s">
        <v>1107</v>
      </c>
      <c r="E4" s="123">
        <v>100</v>
      </c>
      <c r="F4" s="124"/>
      <c r="G4" s="113" t="str">
        <f>IFERROR(INDEX(온라인_반찬!$C$2:$H$604,MATCH($D4,온라인_반찬!$C$2:$C$604,0),6),"")</f>
        <v>스파게티면(듀럼밀100%)97%, 올리브오일3%</v>
      </c>
      <c r="H4" s="101" t="str">
        <f>IFERROR(INDEX(온라인_반찬!$D$2:$J$597,MATCH($D4,온라인_반찬!$C$2:$C$597,0),6),"")</f>
        <v>.6.</v>
      </c>
      <c r="I4" s="109" t="s">
        <v>2319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330"/>
      <c r="D5" s="103" t="s">
        <v>1770</v>
      </c>
      <c r="E5" s="123">
        <v>120</v>
      </c>
      <c r="F5" s="124"/>
      <c r="G5" s="113" t="str">
        <f>IFERROR(INDEX(온라인_반찬!$C$2:$H$604,MATCH($D5,온라인_반찬!$C$2:$C$604,0),6),"")</f>
        <v>미트소스[소고기(호주산)10%,돼지고기(국산)8%,토마토페이스트(토마토:미국산)10%], 양파, 피망, 토마토스파게티소스, 올리브오일, 후추, 파슬리가루</v>
      </c>
      <c r="H5" s="101" t="str">
        <f>IFERROR(INDEX(온라인_반찬!$D$2:$J$597,MATCH($D5,온라인_반찬!$C$2:$C$597,0),6),"")</f>
        <v>.1.5.6.10.12.15.</v>
      </c>
      <c r="I5" s="109" t="s">
        <v>2319</v>
      </c>
      <c r="J5" s="102"/>
      <c r="K5" s="101"/>
      <c r="L5" s="129" t="str">
        <f>IFERROR(INDEX(온라인_반찬!$C$2:$J$597,MATCH($D5,온라인_반찬!$C$2:$C$597,0),8),"")</f>
        <v>미트소스(이츠웰), 토마토소스(오뚜기)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2323</v>
      </c>
      <c r="D6" s="103" t="s">
        <v>1653</v>
      </c>
      <c r="E6" s="123">
        <v>55</v>
      </c>
      <c r="F6" s="124"/>
      <c r="G6" s="113" t="str">
        <f>IFERROR(INDEX(온라인_반찬!$C$2:$H$604,MATCH($D6,온라인_반찬!$C$2:$C$604,0),6),"")</f>
        <v>순살치킨[닭고기(닭다리살:브라질산)64.76%,밀가루(밀:호주산,미국산),옥수수전분(옥수수:외국산), 대두유]98%, 눈꽃치즈(모짜렐라99%)2%</v>
      </c>
      <c r="H6" s="101" t="str">
        <f>IFERROR(INDEX(온라인_반찬!$D$2:$J$597,MATCH($D6,온라인_반찬!$C$2:$C$597,0),6),"")</f>
        <v>.1.2.5.6.15.16.</v>
      </c>
      <c r="I6" s="109" t="s">
        <v>2319</v>
      </c>
      <c r="J6" s="102"/>
      <c r="K6" s="101"/>
      <c r="L6" s="129" t="str">
        <f>IFERROR(INDEX(온라인_반찬!$C$2:$J$597,MATCH($D6,온라인_반찬!$C$2:$C$597,0),8),"")</f>
        <v>순살치킨가라아게(하림)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2324</v>
      </c>
      <c r="D7" s="103" t="s">
        <v>1996</v>
      </c>
      <c r="E7" s="123"/>
      <c r="F7" s="124">
        <v>1</v>
      </c>
      <c r="G7" s="113" t="str">
        <f>IFERROR(INDEX(온라인_반찬!$C$2:$H$604,MATCH($D7,온라인_반찬!$C$2:$C$604,0),6),"")</f>
        <v>밀가루(밀)42.91%, 팥28%, 정제수, 설탕 8.68%, 팜유1.04%,/원산지:중국</v>
      </c>
      <c r="H7" s="101" t="str">
        <f>IFERROR(INDEX(온라인_반찬!$D$2:$J$597,MATCH($D7,온라인_반찬!$C$2:$C$597,0),6),"")</f>
        <v>.5.17.</v>
      </c>
      <c r="I7" s="109" t="s">
        <v>2319</v>
      </c>
      <c r="J7" s="102"/>
      <c r="K7" s="101"/>
      <c r="L7" s="129" t="str">
        <f>IFERROR(INDEX(온라인_반찬!$C$2:$J$597,MATCH($D7,온라인_반찬!$C$2:$C$597,0),8),"")</f>
        <v>이솝찐빵(세미원푸드)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4" t="s">
        <v>2325</v>
      </c>
      <c r="D8" s="103" t="s">
        <v>659</v>
      </c>
      <c r="E8" s="123">
        <v>25</v>
      </c>
      <c r="F8" s="123"/>
      <c r="G8" s="113" t="str">
        <f>IFERROR(INDEX(온라인_반찬!$C$2:$H$604,MATCH($D8,온라인_반찬!$C$2:$C$604,0),6),"")</f>
        <v>무(국산)35%, 양배추, 적채, 오이, 정제수, 식초, 소금, 설탕</v>
      </c>
      <c r="H8" s="101">
        <f>IFERROR(INDEX(온라인_반찬!$D$2:$J$597,MATCH($D8,온라인_반찬!$C$2:$C$597,0),6),"")</f>
        <v>0</v>
      </c>
      <c r="I8" s="109" t="s">
        <v>2319</v>
      </c>
      <c r="J8" s="102"/>
      <c r="K8" s="101"/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>
      <c r="B9" s="323"/>
      <c r="C9" s="160" t="s">
        <v>2326</v>
      </c>
      <c r="D9" s="103" t="s">
        <v>793</v>
      </c>
      <c r="E9" s="123"/>
      <c r="F9" s="123">
        <v>1</v>
      </c>
      <c r="G9" s="113" t="str">
        <f>IFERROR(INDEX(온라인_반찬!$C$2:$H$604,MATCH($D9,온라인_반찬!$C$2:$C$604,0),6),"")</f>
        <v>원유(국산)72.8%, 탈지분유(국산)2.4%, 딸기젤리시럽(딸기:국산)15%, 백설탕</v>
      </c>
      <c r="H9" s="101" t="str">
        <f>IFERROR(INDEX(온라인_반찬!$D$2:$J$597,MATCH($D9,온라인_반찬!$C$2:$C$597,0),6),"")</f>
        <v>.2.</v>
      </c>
      <c r="I9" s="109" t="s">
        <v>2319</v>
      </c>
      <c r="J9" s="102"/>
      <c r="K9" s="101"/>
      <c r="L9" s="129" t="str">
        <f>IFERROR(INDEX(온라인_반찬!$C$2:$J$597,MATCH($D9,온라인_반찬!$C$2:$C$597,0),8),"")</f>
        <v>짜요짜요(서울우유)/짜먹는요구르트</v>
      </c>
      <c r="M9" s="120"/>
      <c r="N9" s="120"/>
      <c r="P9" s="120"/>
      <c r="R9" s="120"/>
      <c r="S9" s="120"/>
    </row>
    <row r="10" spans="2:23" ht="39.950000000000003" customHeight="1" thickBot="1">
      <c r="B10" s="324"/>
      <c r="C10" s="161" t="s">
        <v>97</v>
      </c>
      <c r="D10" s="210"/>
      <c r="E10" s="131"/>
      <c r="F10" s="132"/>
      <c r="G10" s="274" t="s">
        <v>2327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3" t="s">
        <v>2129</v>
      </c>
      <c r="C11" s="259" t="s">
        <v>620</v>
      </c>
      <c r="D11" s="260" t="s">
        <v>826</v>
      </c>
      <c r="E11" s="224">
        <v>80</v>
      </c>
      <c r="F11" s="224"/>
      <c r="G11" s="225" t="str">
        <f>IFERROR(INDEX(온라인_반찬!$C$2:$H$604,MATCH($D11,온라인_반찬!$C$2:$C$604,0),6),"")</f>
        <v>쌀밥(쌀:국산)85%, 소민찌(소고기:호주산)2.5%, 감자, 당근, 양파, 피망, 대두유, 간장, 소금, 참기름, 참깨</v>
      </c>
      <c r="H11" s="226" t="str">
        <f>IFERROR(INDEX(온라인_반찬!$D$2:$J$597,MATCH($D11,온라인_반찬!$C$2:$C$597,0),6),"")</f>
        <v>.1.5.16.18.21.</v>
      </c>
      <c r="I11" s="227" t="s">
        <v>2320</v>
      </c>
      <c r="J11" s="265"/>
      <c r="K11" s="263"/>
      <c r="L11" s="228">
        <f>IFERROR(INDEX(온라인_반찬!$C$2:$J$597,MATCH($D11,온라인_반찬!$C$2:$C$597,0),8),"")</f>
        <v>0</v>
      </c>
      <c r="M11" s="120" t="s">
        <v>1395</v>
      </c>
      <c r="N11" s="120"/>
      <c r="O11" s="120"/>
      <c r="P11" s="120" t="s">
        <v>1456</v>
      </c>
      <c r="S11" s="120" t="s">
        <v>1648</v>
      </c>
    </row>
    <row r="12" spans="2:23" ht="39.950000000000003" customHeight="1">
      <c r="B12" s="323"/>
      <c r="C12" s="329" t="s">
        <v>2322</v>
      </c>
      <c r="D12" s="103" t="s">
        <v>1107</v>
      </c>
      <c r="E12" s="123">
        <v>110</v>
      </c>
      <c r="F12" s="124"/>
      <c r="G12" s="113" t="str">
        <f>IFERROR(INDEX(온라인_반찬!$C$2:$H$604,MATCH($D12,온라인_반찬!$C$2:$C$604,0),6),"")</f>
        <v>스파게티면(듀럼밀100%)97%, 올리브오일3%</v>
      </c>
      <c r="H12" s="101" t="str">
        <f>IFERROR(INDEX(온라인_반찬!$D$2:$J$597,MATCH($D12,온라인_반찬!$C$2:$C$597,0),6),"")</f>
        <v>.6.</v>
      </c>
      <c r="I12" s="109" t="s">
        <v>2320</v>
      </c>
      <c r="J12" s="102"/>
      <c r="K12" s="101"/>
      <c r="L12" s="129">
        <f>IFERROR(INDEX(온라인_반찬!$C$2:$J$597,MATCH($D12,온라인_반찬!$C$2:$C$597,0),8),"")</f>
        <v>0</v>
      </c>
      <c r="M12" s="120" t="s">
        <v>1835</v>
      </c>
      <c r="N12" s="120"/>
      <c r="O12" s="120"/>
      <c r="P12" s="120" t="s">
        <v>1885</v>
      </c>
      <c r="S12" s="120" t="s">
        <v>1886</v>
      </c>
    </row>
    <row r="13" spans="2:23" ht="39.950000000000003" customHeight="1">
      <c r="B13" s="323"/>
      <c r="C13" s="330"/>
      <c r="D13" s="103" t="s">
        <v>1770</v>
      </c>
      <c r="E13" s="123">
        <v>130</v>
      </c>
      <c r="F13" s="124"/>
      <c r="G13" s="113" t="str">
        <f>IFERROR(INDEX(온라인_반찬!$C$2:$H$604,MATCH($D13,온라인_반찬!$C$2:$C$604,0),6),"")</f>
        <v>미트소스[소고기(호주산)10%,돼지고기(국산)8%,토마토페이스트(토마토:미국산)10%], 양파, 피망, 토마토스파게티소스, 올리브오일, 후추, 파슬리가루</v>
      </c>
      <c r="H13" s="101" t="str">
        <f>IFERROR(INDEX(온라인_반찬!$D$2:$J$597,MATCH($D13,온라인_반찬!$C$2:$C$597,0),6),"")</f>
        <v>.1.5.6.10.12.15.</v>
      </c>
      <c r="I13" s="109" t="s">
        <v>2320</v>
      </c>
      <c r="J13" s="102"/>
      <c r="K13" s="101"/>
      <c r="L13" s="129" t="str">
        <f>IFERROR(INDEX(온라인_반찬!$C$2:$J$597,MATCH($D13,온라인_반찬!$C$2:$C$597,0),8),"")</f>
        <v>미트소스(이츠웰), 토마토소스(오뚜기)</v>
      </c>
      <c r="M13" s="120"/>
      <c r="N13" s="120"/>
      <c r="O13" s="120"/>
      <c r="P13" s="120"/>
      <c r="S13" s="120"/>
    </row>
    <row r="14" spans="2:23" ht="39.950000000000003" customHeight="1">
      <c r="B14" s="323"/>
      <c r="C14" s="244" t="s">
        <v>2323</v>
      </c>
      <c r="D14" s="103" t="s">
        <v>1653</v>
      </c>
      <c r="E14" s="123">
        <v>70</v>
      </c>
      <c r="F14" s="124"/>
      <c r="G14" s="113" t="str">
        <f>IFERROR(INDEX(온라인_반찬!$C$2:$H$604,MATCH($D14,온라인_반찬!$C$2:$C$604,0),6),"")</f>
        <v>순살치킨[닭고기(닭다리살:브라질산)64.76%,밀가루(밀:호주산,미국산),옥수수전분(옥수수:외국산), 대두유]98%, 눈꽃치즈(모짜렐라99%)2%</v>
      </c>
      <c r="H14" s="101" t="str">
        <f>IFERROR(INDEX(온라인_반찬!$D$2:$J$597,MATCH($D14,온라인_반찬!$C$2:$C$597,0),6),"")</f>
        <v>.1.2.5.6.15.16.</v>
      </c>
      <c r="I14" s="109" t="s">
        <v>2320</v>
      </c>
      <c r="J14" s="102"/>
      <c r="K14" s="101"/>
      <c r="L14" s="129" t="str">
        <f>IFERROR(INDEX(온라인_반찬!$C$2:$J$597,MATCH($D14,온라인_반찬!$C$2:$C$597,0),8),"")</f>
        <v>순살치킨가라아게(하림)</v>
      </c>
      <c r="M14" s="120"/>
      <c r="N14" s="120"/>
      <c r="O14" s="120"/>
    </row>
    <row r="15" spans="2:23" ht="39.950000000000003" customHeight="1">
      <c r="B15" s="323"/>
      <c r="C15" s="160" t="s">
        <v>2324</v>
      </c>
      <c r="D15" s="103" t="s">
        <v>1996</v>
      </c>
      <c r="E15" s="123"/>
      <c r="F15" s="124">
        <v>1</v>
      </c>
      <c r="G15" s="113" t="str">
        <f>IFERROR(INDEX(온라인_반찬!$C$2:$H$604,MATCH($D15,온라인_반찬!$C$2:$C$604,0),6),"")</f>
        <v>밀가루(밀)42.91%, 팥28%, 정제수, 설탕 8.68%, 팜유1.04%,/원산지:중국</v>
      </c>
      <c r="H15" s="101" t="str">
        <f>IFERROR(INDEX(온라인_반찬!$D$2:$J$597,MATCH($D15,온라인_반찬!$C$2:$C$597,0),6),"")</f>
        <v>.5.17.</v>
      </c>
      <c r="I15" s="109" t="s">
        <v>2320</v>
      </c>
      <c r="J15" s="102"/>
      <c r="K15" s="101"/>
      <c r="L15" s="129" t="str">
        <f>IFERROR(INDEX(온라인_반찬!$C$2:$J$597,MATCH($D15,온라인_반찬!$C$2:$C$597,0),8),"")</f>
        <v>이솝찐빵(세미원푸드)</v>
      </c>
      <c r="M15" s="120"/>
      <c r="N15" s="120"/>
      <c r="O15" s="120"/>
    </row>
    <row r="16" spans="2:23" ht="39.950000000000003" customHeight="1">
      <c r="B16" s="323"/>
      <c r="C16" s="244" t="s">
        <v>2325</v>
      </c>
      <c r="D16" s="103" t="s">
        <v>659</v>
      </c>
      <c r="E16" s="123">
        <v>30</v>
      </c>
      <c r="F16" s="124"/>
      <c r="G16" s="113" t="str">
        <f>IFERROR(INDEX(온라인_반찬!$C$2:$H$604,MATCH($D16,온라인_반찬!$C$2:$C$604,0),6),"")</f>
        <v>무(국산)35%, 양배추, 적채, 오이, 정제수, 식초, 소금, 설탕</v>
      </c>
      <c r="H16" s="101">
        <f>IFERROR(INDEX(온라인_반찬!$D$2:$J$597,MATCH($D16,온라인_반찬!$C$2:$C$597,0),6),"")</f>
        <v>0</v>
      </c>
      <c r="I16" s="109" t="s">
        <v>2320</v>
      </c>
      <c r="J16" s="102"/>
      <c r="K16" s="101"/>
      <c r="L16" s="129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>
      <c r="B17" s="323"/>
      <c r="C17" s="160" t="s">
        <v>2326</v>
      </c>
      <c r="D17" s="103" t="s">
        <v>793</v>
      </c>
      <c r="E17" s="123"/>
      <c r="F17" s="123">
        <v>1</v>
      </c>
      <c r="G17" s="113" t="str">
        <f>IFERROR(INDEX(온라인_반찬!$C$2:$H$604,MATCH($D17,온라인_반찬!$C$2:$C$604,0),6),"")</f>
        <v>원유(국산)72.8%, 탈지분유(국산)2.4%, 딸기젤리시럽(딸기:국산)15%, 백설탕</v>
      </c>
      <c r="H17" s="101" t="str">
        <f>IFERROR(INDEX(온라인_반찬!$D$2:$J$597,MATCH($D17,온라인_반찬!$C$2:$C$597,0),6),"")</f>
        <v>.2.</v>
      </c>
      <c r="I17" s="109" t="s">
        <v>2320</v>
      </c>
      <c r="J17" s="102"/>
      <c r="K17" s="101"/>
      <c r="L17" s="129" t="str">
        <f>IFERROR(INDEX(온라인_반찬!$C$2:$J$597,MATCH($D17,온라인_반찬!$C$2:$C$597,0),8),"")</f>
        <v>짜요짜요(서울우유)/짜먹는요구르트</v>
      </c>
      <c r="M17" s="120"/>
      <c r="N17" s="120"/>
      <c r="O17" s="120"/>
    </row>
    <row r="18" spans="2:15" ht="39.950000000000003" customHeight="1">
      <c r="B18" s="323"/>
      <c r="C18" s="221" t="s">
        <v>1392</v>
      </c>
      <c r="D18" s="103" t="s">
        <v>1475</v>
      </c>
      <c r="E18" s="123"/>
      <c r="F18" s="123">
        <v>1</v>
      </c>
      <c r="G18" s="113" t="str">
        <f>IFERROR(INDEX(온라인_반찬!$C$2:$H$604,MATCH($D18,온라인_반찬!$C$2:$C$604,0),6),"")</f>
        <v>전복(국산)97%, 버터, 소금, 파슬리가루</v>
      </c>
      <c r="H18" s="101" t="str">
        <f>IFERROR(INDEX(온라인_반찬!$D$2:$J$597,MATCH($D18,온라인_반찬!$C$2:$C$597,0),6),"")</f>
        <v>.2.18.</v>
      </c>
      <c r="I18" s="109" t="s">
        <v>2320</v>
      </c>
      <c r="J18" s="102"/>
      <c r="K18" s="101"/>
      <c r="L18" s="165">
        <f>IFERROR(INDEX(온라인_반찬!$C$2:$J$597,MATCH($D18,온라인_반찬!$C$2:$C$597,0),8),"")</f>
        <v>0</v>
      </c>
      <c r="M18" s="120"/>
      <c r="N18" s="120"/>
      <c r="O18" s="120"/>
    </row>
    <row r="19" spans="2:15" ht="39.950000000000003" customHeight="1" thickBot="1">
      <c r="B19" s="324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6" t="s">
        <v>1602</v>
      </c>
      <c r="C20" s="100" t="s">
        <v>620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2319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29" t="s">
        <v>622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2319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330"/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2319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623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2319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14" t="s">
        <v>819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2319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>
      <c r="B25" s="327"/>
      <c r="C25" s="160" t="s">
        <v>102</v>
      </c>
      <c r="D25" s="162"/>
      <c r="E25" s="123"/>
      <c r="F25" s="123"/>
      <c r="G25" s="113" t="str">
        <f>IFERROR(INDEX(온라인_반찬!$C$2:$H$604,MATCH($D25,온라인_반찬!$C$2:$C$604,0),6),"")</f>
        <v/>
      </c>
      <c r="H25" s="101" t="str">
        <f>IFERROR(INDEX(온라인_반찬!$D$2:$J$597,MATCH($D25,온라인_반찬!$C$2:$C$597,0),6),"")</f>
        <v/>
      </c>
      <c r="I25" s="109" t="s">
        <v>2319</v>
      </c>
      <c r="J25" s="158"/>
      <c r="K25" s="158"/>
      <c r="L25" s="129" t="str">
        <f>IFERROR(INDEX(온라인_반찬!$C$2:$J$597,MATCH($D25,온라인_반찬!$C$2:$C$597,0),8),"")</f>
        <v/>
      </c>
      <c r="M25" s="120"/>
    </row>
    <row r="26" spans="2:15" ht="39.950000000000003" customHeight="1" thickBot="1">
      <c r="B26" s="328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4:C5"/>
    <mergeCell ref="C12:C1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BA5A-D152-426B-94B2-C261E79D6F3F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2342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1348</v>
      </c>
      <c r="E3" s="261">
        <v>140</v>
      </c>
      <c r="F3" s="261"/>
      <c r="G3" s="262" t="str">
        <f>IFERROR(INDEX(온라인_반찬!$C$2:$H$604,MATCH($D3,온라인_반찬!$C$2:$C$604,0),6),"")</f>
        <v>쌀(국산)90%, 현미(국산.친환경)5%, 정제수</v>
      </c>
      <c r="H3" s="263">
        <f>IFERROR(INDEX(온라인_반찬!$D$2:$J$597,MATCH($D3,온라인_반찬!$C$2:$C$597,0),6),"")</f>
        <v>0</v>
      </c>
      <c r="I3" s="264" t="s">
        <v>2336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618</v>
      </c>
      <c r="E4" s="123">
        <v>150</v>
      </c>
      <c r="F4" s="124"/>
      <c r="G4" s="113" t="str">
        <f>IFERROR(INDEX(온라인_반찬!$C$2:$H$604,MATCH($D4,온라인_반찬!$C$2:$C$604,0),6),"")</f>
        <v>무(국산_)18.3%, 유부(원료수입산)7%, 정제수, 국간장, 파, 마늘, 소금</v>
      </c>
      <c r="H4" s="101" t="str">
        <f>IFERROR(INDEX(온라인_반찬!$D$2:$J$597,MATCH($D4,온라인_반찬!$C$2:$C$597,0),6),"")</f>
        <v>.5.</v>
      </c>
      <c r="I4" s="109" t="s">
        <v>2336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1782</v>
      </c>
      <c r="E5" s="123">
        <v>60</v>
      </c>
      <c r="F5" s="124"/>
      <c r="G5" s="113" t="str">
        <f>IFERROR(INDEX(온라인_반찬!$C$2:$H$604,MATCH($D5,온라인_반찬!$C$2:$C$604,0),6),"")</f>
        <v>메추리알(국산)70%, 소고기(호주산)7%, 정제수, 맛술, 통후추, 월계수잎, 간장, 설탕, 물엿, 참기름, 참깨</v>
      </c>
      <c r="H5" s="101" t="str">
        <f>IFERROR(INDEX(온라인_반찬!$D$2:$J$597,MATCH($D5,온라인_반찬!$C$2:$C$597,0),6),"")</f>
        <v>.1.5.16.21.</v>
      </c>
      <c r="I5" s="109" t="s">
        <v>2336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1586</v>
      </c>
      <c r="E6" s="123"/>
      <c r="F6" s="124">
        <v>1</v>
      </c>
      <c r="G6" s="113" t="str">
        <f>IFERROR(INDEX(온라인_반찬!$C$2:$H$604,MATCH($D6,온라인_반찬!$C$2:$C$604,0),6),"")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101" t="str">
        <f>IFERROR(INDEX(온라인_반찬!$D$2:$J$597,MATCH($D6,온라인_반찬!$C$2:$C$597,0),6),"")</f>
        <v>.1.2.5.6.10.12.16.</v>
      </c>
      <c r="I6" s="109" t="s">
        <v>2336</v>
      </c>
      <c r="J6" s="102"/>
      <c r="K6" s="101"/>
      <c r="L6" s="129" t="str">
        <f>IFERROR(INDEX(온라인_반찬!$C$2:$J$597,MATCH($D6,온라인_반찬!$C$2:$C$597,0),8),"")</f>
        <v>계란옷 입은 고기완자(사옹원)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2052</v>
      </c>
      <c r="E7" s="123">
        <v>25</v>
      </c>
      <c r="F7" s="124"/>
      <c r="G7" s="113" t="str">
        <f>IFERROR(INDEX(온라인_반찬!$C$2:$H$604,MATCH($D7,온라인_반찬!$C$2:$C$604,0),6),"")</f>
        <v>숙주(원료수입산)90%, 당근, 마늘, 대파, 참치액, 소금, 참기름, 참깨</v>
      </c>
      <c r="H7" s="101" t="str">
        <f>IFERROR(INDEX(온라인_반찬!$D$2:$J$597,MATCH($D7,온라인_반찬!$C$2:$C$597,0),6),"")</f>
        <v>.5.21.</v>
      </c>
      <c r="I7" s="109" t="s">
        <v>2336</v>
      </c>
      <c r="J7" s="102"/>
      <c r="K7" s="101"/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630</v>
      </c>
      <c r="E8" s="123">
        <v>25</v>
      </c>
      <c r="F8" s="123"/>
      <c r="G8" s="113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IFERROR(INDEX(온라인_반찬!$D$2:$J$597,MATCH($D8,온라인_반찬!$C$2:$C$597,0),6),"")</f>
        <v>.9.12.</v>
      </c>
      <c r="I8" s="109" t="s">
        <v>2336</v>
      </c>
      <c r="J8" s="102"/>
      <c r="K8" s="101"/>
      <c r="L8" s="129" t="str">
        <f>IFERROR(INDEX(온라인_반찬!$C$2:$J$597,MATCH($D8,온라인_반찬!$C$2:$C$597,0),8),"")</f>
        <v>토마토김치(종가집)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2338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1348</v>
      </c>
      <c r="E10" s="224">
        <v>150</v>
      </c>
      <c r="F10" s="224"/>
      <c r="G10" s="225" t="str">
        <f>IFERROR(INDEX(온라인_반찬!$C$2:$H$604,MATCH($D10,온라인_반찬!$C$2:$C$604,0),6),"")</f>
        <v>쌀(국산)90%, 현미(국산.친환경)5%, 정제수</v>
      </c>
      <c r="H10" s="226">
        <f>IFERROR(INDEX(온라인_반찬!$D$2:$J$597,MATCH($D10,온라인_반찬!$C$2:$C$597,0),6),"")</f>
        <v>0</v>
      </c>
      <c r="I10" s="227" t="s">
        <v>2337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618</v>
      </c>
      <c r="E11" s="123">
        <v>160</v>
      </c>
      <c r="F11" s="124"/>
      <c r="G11" s="113" t="str">
        <f>IFERROR(INDEX(온라인_반찬!$C$2:$H$604,MATCH($D11,온라인_반찬!$C$2:$C$604,0),6),"")</f>
        <v>무(국산_)18.3%, 유부(원료수입산)7%, 정제수, 국간장, 파, 마늘, 소금</v>
      </c>
      <c r="H11" s="101" t="str">
        <f>IFERROR(INDEX(온라인_반찬!$D$2:$J$597,MATCH($D11,온라인_반찬!$C$2:$C$597,0),6),"")</f>
        <v>.5.</v>
      </c>
      <c r="I11" s="109" t="s">
        <v>2337</v>
      </c>
      <c r="J11" s="102"/>
      <c r="K11" s="101"/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1782</v>
      </c>
      <c r="E12" s="123">
        <v>80</v>
      </c>
      <c r="F12" s="124"/>
      <c r="G12" s="113" t="str">
        <f>IFERROR(INDEX(온라인_반찬!$C$2:$H$604,MATCH($D12,온라인_반찬!$C$2:$C$604,0),6),"")</f>
        <v>메추리알(국산)70%, 소고기(호주산)7%, 정제수, 맛술, 통후추, 월계수잎, 간장, 설탕, 물엿, 참기름, 참깨</v>
      </c>
      <c r="H12" s="101" t="str">
        <f>IFERROR(INDEX(온라인_반찬!$D$2:$J$597,MATCH($D12,온라인_반찬!$C$2:$C$597,0),6),"")</f>
        <v>.1.5.16.21.</v>
      </c>
      <c r="I12" s="109" t="s">
        <v>2337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1586</v>
      </c>
      <c r="E13" s="123"/>
      <c r="F13" s="124">
        <v>2</v>
      </c>
      <c r="G13" s="113" t="str">
        <f>IFERROR(INDEX(온라인_반찬!$C$2:$H$604,MATCH($D13,온라인_반찬!$C$2:$C$604,0),6),"")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101" t="str">
        <f>IFERROR(INDEX(온라인_반찬!$D$2:$J$597,MATCH($D13,온라인_반찬!$C$2:$C$597,0),6),"")</f>
        <v>.1.2.5.6.10.12.16.</v>
      </c>
      <c r="I13" s="109" t="s">
        <v>2337</v>
      </c>
      <c r="J13" s="102"/>
      <c r="K13" s="101"/>
      <c r="L13" s="129" t="str">
        <f>IFERROR(INDEX(온라인_반찬!$C$2:$J$597,MATCH($D13,온라인_반찬!$C$2:$C$597,0),8),"")</f>
        <v>계란옷 입은 고기완자(사옹원)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2052</v>
      </c>
      <c r="E14" s="123">
        <v>40</v>
      </c>
      <c r="F14" s="124"/>
      <c r="G14" s="113" t="str">
        <f>IFERROR(INDEX(온라인_반찬!$C$2:$H$604,MATCH($D14,온라인_반찬!$C$2:$C$604,0),6),"")</f>
        <v>숙주(원료수입산)90%, 당근, 마늘, 대파, 참치액, 소금, 참기름, 참깨</v>
      </c>
      <c r="H14" s="101" t="str">
        <f>IFERROR(INDEX(온라인_반찬!$D$2:$J$597,MATCH($D14,온라인_반찬!$C$2:$C$597,0),6),"")</f>
        <v>.5.21.</v>
      </c>
      <c r="I14" s="109" t="s">
        <v>2337</v>
      </c>
      <c r="J14" s="102"/>
      <c r="K14" s="101"/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630</v>
      </c>
      <c r="E15" s="123">
        <v>35</v>
      </c>
      <c r="F15" s="123"/>
      <c r="G15" s="113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IFERROR(INDEX(온라인_반찬!$D$2:$J$597,MATCH($D15,온라인_반찬!$C$2:$C$597,0),6),"")</f>
        <v>.9.12.</v>
      </c>
      <c r="I15" s="109" t="s">
        <v>2337</v>
      </c>
      <c r="J15" s="102"/>
      <c r="K15" s="101"/>
      <c r="L15" s="129" t="str">
        <f>IFERROR(INDEX(온라인_반찬!$C$2:$J$597,MATCH($D15,온라인_반찬!$C$2:$C$597,0),8),"")</f>
        <v>토마토김치(종가집)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2018</v>
      </c>
      <c r="E16" s="123"/>
      <c r="F16" s="123">
        <v>1</v>
      </c>
      <c r="G16" s="113" t="str">
        <f>IFERROR(INDEX(온라인_반찬!$C$2:$H$604,MATCH($D16,온라인_반찬!$C$2:$C$604,0),6),"")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6" s="101" t="str">
        <f>IFERROR(INDEX(온라인_반찬!$D$2:$J$597,MATCH($D16,온라인_반찬!$C$2:$C$597,0),6),"")</f>
        <v>.1.2.5.6.12.16.</v>
      </c>
      <c r="I16" s="109" t="s">
        <v>2337</v>
      </c>
      <c r="J16" s="102"/>
      <c r="K16" s="101"/>
      <c r="L16" s="165" t="str">
        <f>IFERROR(INDEX(온라인_반찬!$C$2:$J$597,MATCH($D16,온라인_반찬!$C$2:$C$597,0),8),"")</f>
        <v>과드라불고기피자(M&amp;F)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2336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2336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2336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2336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2336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2336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78D8-6735-433B-8077-A92A73F571F5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2339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1762</v>
      </c>
      <c r="E3" s="261">
        <v>140</v>
      </c>
      <c r="F3" s="261"/>
      <c r="G3" s="262" t="str">
        <f>IFERROR(INDEX(온라인_반찬!$C$2:$H$604,MATCH($D3,온라인_반찬!$C$2:$C$604,0),6),"")</f>
        <v>쌀(국산)90%, 귀리(국산.친환경)5%, 정제수</v>
      </c>
      <c r="H3" s="263">
        <f>IFERROR(INDEX(온라인_반찬!$D$2:$J$597,MATCH($D3,온라인_반찬!$C$2:$C$597,0),6),"")</f>
        <v>0</v>
      </c>
      <c r="I3" s="264" t="s">
        <v>2340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1700</v>
      </c>
      <c r="E4" s="123">
        <v>150</v>
      </c>
      <c r="F4" s="124"/>
      <c r="G4" s="113" t="str">
        <f>IFERROR(INDEX(온라인_반찬!$C$2:$H$604,MATCH($D4,온라인_반찬!$C$2:$C$604,0),6),"")</f>
        <v>불린미역(국산)23%, 정제수, 거피들깨(중국산), 참기름, 국간장, 밥새우, 멸치육수농축액, 마늘, 소금</v>
      </c>
      <c r="H4" s="101" t="str">
        <f>IFERROR(INDEX(온라인_반찬!$D$2:$J$597,MATCH($D4,온라인_반찬!$C$2:$C$597,0),6),"")</f>
        <v>.5.9.21.22.</v>
      </c>
      <c r="I4" s="109" t="s">
        <v>2340</v>
      </c>
      <c r="J4" s="102"/>
      <c r="K4" s="101"/>
      <c r="L4" s="129" t="str">
        <f>IFERROR(INDEX(온라인_반찬!$C$2:$J$597,MATCH($D4,온라인_반찬!$C$2:$C$597,0),8),"")</f>
        <v>25g / 30g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1176</v>
      </c>
      <c r="E5" s="123">
        <v>60</v>
      </c>
      <c r="F5" s="124"/>
      <c r="G5" s="113" t="str">
        <f>IFERROR(INDEX(온라인_반찬!$C$2:$H$604,MATCH($D5,온라인_반찬!$C$2:$C$604,0),6),"")</f>
        <v>돼지고기(국산)55%, 오징어(원양산)10%, 양파, 당근, 대파, 마늘, 간장, 맛술, 후추, 설탕, 참기름, 참깨</v>
      </c>
      <c r="H5" s="101" t="str">
        <f>IFERROR(INDEX(온라인_반찬!$D$2:$J$597,MATCH($D5,온라인_반찬!$C$2:$C$597,0),6),"")</f>
        <v>.5.6.10.17.21.</v>
      </c>
      <c r="I5" s="109" t="s">
        <v>2340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670</v>
      </c>
      <c r="E6" s="123">
        <v>35</v>
      </c>
      <c r="F6" s="124"/>
      <c r="G6" s="113" t="str">
        <f>IFERROR(INDEX(온라인_반찬!$C$2:$H$604,MATCH($D6,온라인_반찬!$C$2:$C$604,0),6),"")</f>
        <v>고구마(중국산), 쌀가루(쌀:국산), 튀김가루(밀:미국산), 정제수, 소금, 대두유</v>
      </c>
      <c r="H6" s="101" t="str">
        <f>IFERROR(INDEX(온라인_반찬!$D$2:$J$597,MATCH($D6,온라인_반찬!$C$2:$C$597,0),6),"")</f>
        <v>.1.6.</v>
      </c>
      <c r="I6" s="109" t="s">
        <v>2340</v>
      </c>
      <c r="J6" s="102"/>
      <c r="K6" s="101"/>
      <c r="L6" s="129" t="str">
        <f>IFERROR(INDEX(온라인_반찬!$C$2:$J$597,MATCH($D6,온라인_반찬!$C$2:$C$597,0),8),"")</f>
        <v>고구마튀김(맘으로)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329" t="s">
        <v>290</v>
      </c>
      <c r="D7" s="103" t="s">
        <v>671</v>
      </c>
      <c r="E7" s="123">
        <v>30</v>
      </c>
      <c r="F7" s="124"/>
      <c r="G7" s="113" t="str">
        <f>IFERROR(INDEX(온라인_반찬!$C$2:$H$604,MATCH($D7,온라인_반찬!$C$2:$C$604,0),6),"")</f>
        <v>양배추(국산)99%</v>
      </c>
      <c r="H7" s="101">
        <f>IFERROR(INDEX(온라인_반찬!$D$2:$J$597,MATCH($D7,온라인_반찬!$C$2:$C$597,0),6),"")</f>
        <v>0</v>
      </c>
      <c r="I7" s="109" t="s">
        <v>2340</v>
      </c>
      <c r="J7" s="102"/>
      <c r="K7" s="101"/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330"/>
      <c r="D8" s="103" t="s">
        <v>1211</v>
      </c>
      <c r="E8" s="123">
        <v>10</v>
      </c>
      <c r="F8" s="123"/>
      <c r="G8" s="113" t="str">
        <f>IFERROR(INDEX(온라인_반찬!$C$2:$H$604,MATCH($D8,온라인_반찬!$C$2:$C$604,0),6),"")</f>
        <v>쌈장(대두:미국,캐나다,호주등)93%, 마늘, 파, 마요네즈, 레몬즙, 참기름, 참깨</v>
      </c>
      <c r="H8" s="101" t="str">
        <f>IFERROR(INDEX(온라인_반찬!$D$2:$J$597,MATCH($D8,온라인_반찬!$C$2:$C$597,0),6),"")</f>
        <v>.1.5.6.21.</v>
      </c>
      <c r="I8" s="109" t="s">
        <v>2340</v>
      </c>
      <c r="J8" s="102"/>
      <c r="K8" s="101"/>
      <c r="L8" s="129" t="str">
        <f>IFERROR(INDEX(온라인_반찬!$C$2:$J$597,MATCH($D8,온라인_반찬!$C$2:$C$597,0),8),"")</f>
        <v>사계절쌈장(해찬들)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>
      <c r="B9" s="323"/>
      <c r="C9" s="245" t="s">
        <v>819</v>
      </c>
      <c r="D9" s="103" t="s">
        <v>631</v>
      </c>
      <c r="E9" s="123">
        <v>25</v>
      </c>
      <c r="F9" s="123"/>
      <c r="G9" s="113" t="str">
        <f>IFERROR(INDEX(온라인_반찬!$C$2:$H$604,MATCH($D9,온라인_반찬!$C$2:$C$604,0),6),"")</f>
        <v>무(국산)85.2%, 고추가루(국산), 밀가루풀(국산), 파, 마늘, 새우젓 등 양념(국산)</v>
      </c>
      <c r="H9" s="101" t="str">
        <f>IFERROR(INDEX(온라인_반찬!$D$2:$J$597,MATCH($D9,온라인_반찬!$C$2:$C$597,0),6),"")</f>
        <v>.6.9.</v>
      </c>
      <c r="I9" s="109" t="s">
        <v>2340</v>
      </c>
      <c r="J9" s="102"/>
      <c r="K9" s="101"/>
      <c r="L9" s="129">
        <f>IFERROR(INDEX(온라인_반찬!$C$2:$J$597,MATCH($D9,온라인_반찬!$C$2:$C$597,0),8),"")</f>
        <v>0</v>
      </c>
      <c r="M9" s="120"/>
      <c r="N9" s="120"/>
      <c r="P9" s="120"/>
      <c r="R9" s="120"/>
      <c r="S9" s="120"/>
    </row>
    <row r="10" spans="2:23" ht="39.950000000000003" customHeight="1" thickBot="1">
      <c r="B10" s="324"/>
      <c r="C10" s="161" t="s">
        <v>97</v>
      </c>
      <c r="D10" s="210"/>
      <c r="E10" s="131"/>
      <c r="F10" s="132"/>
      <c r="G10" s="274" t="s">
        <v>2344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3" t="s">
        <v>2129</v>
      </c>
      <c r="C11" s="259" t="s">
        <v>620</v>
      </c>
      <c r="D11" s="260" t="s">
        <v>1762</v>
      </c>
      <c r="E11" s="224">
        <v>150</v>
      </c>
      <c r="F11" s="224"/>
      <c r="G11" s="225" t="str">
        <f>IFERROR(INDEX(온라인_반찬!$C$2:$H$604,MATCH($D11,온라인_반찬!$C$2:$C$604,0),6),"")</f>
        <v>쌀(국산)90%, 귀리(국산.친환경)5%, 정제수</v>
      </c>
      <c r="H11" s="226">
        <f>IFERROR(INDEX(온라인_반찬!$D$2:$J$597,MATCH($D11,온라인_반찬!$C$2:$C$597,0),6),"")</f>
        <v>0</v>
      </c>
      <c r="I11" s="227" t="s">
        <v>2341</v>
      </c>
      <c r="J11" s="265"/>
      <c r="K11" s="263"/>
      <c r="L11" s="228">
        <f>IFERROR(INDEX(온라인_반찬!$C$2:$J$597,MATCH($D11,온라인_반찬!$C$2:$C$597,0),8),"")</f>
        <v>0</v>
      </c>
      <c r="M11" s="120" t="s">
        <v>1395</v>
      </c>
      <c r="N11" s="120"/>
      <c r="O11" s="120"/>
      <c r="P11" s="120" t="s">
        <v>1456</v>
      </c>
      <c r="S11" s="120" t="s">
        <v>1648</v>
      </c>
    </row>
    <row r="12" spans="2:23" ht="39.950000000000003" customHeight="1">
      <c r="B12" s="323"/>
      <c r="C12" s="244" t="s">
        <v>624</v>
      </c>
      <c r="D12" s="103" t="s">
        <v>1700</v>
      </c>
      <c r="E12" s="123">
        <v>160</v>
      </c>
      <c r="F12" s="124"/>
      <c r="G12" s="113" t="str">
        <f>IFERROR(INDEX(온라인_반찬!$C$2:$H$604,MATCH($D12,온라인_반찬!$C$2:$C$604,0),6),"")</f>
        <v>불린미역(국산)23%, 정제수, 거피들깨(중국산), 참기름, 국간장, 밥새우, 멸치육수농축액, 마늘, 소금</v>
      </c>
      <c r="H12" s="101" t="str">
        <f>IFERROR(INDEX(온라인_반찬!$D$2:$J$597,MATCH($D12,온라인_반찬!$C$2:$C$597,0),6),"")</f>
        <v>.5.9.21.22.</v>
      </c>
      <c r="I12" s="109" t="s">
        <v>2341</v>
      </c>
      <c r="J12" s="102"/>
      <c r="K12" s="101"/>
      <c r="L12" s="129" t="str">
        <f>IFERROR(INDEX(온라인_반찬!$C$2:$J$597,MATCH($D12,온라인_반찬!$C$2:$C$597,0),8),"")</f>
        <v>25g / 30g</v>
      </c>
      <c r="M12" s="120" t="s">
        <v>1835</v>
      </c>
      <c r="N12" s="120"/>
      <c r="O12" s="120"/>
      <c r="P12" s="120" t="s">
        <v>1885</v>
      </c>
      <c r="S12" s="120" t="s">
        <v>1886</v>
      </c>
    </row>
    <row r="13" spans="2:23" ht="39.950000000000003" customHeight="1">
      <c r="B13" s="323"/>
      <c r="C13" s="244" t="s">
        <v>621</v>
      </c>
      <c r="D13" s="276" t="s">
        <v>1176</v>
      </c>
      <c r="E13" s="277">
        <v>80</v>
      </c>
      <c r="F13" s="278"/>
      <c r="G13" s="279" t="s">
        <v>2343</v>
      </c>
      <c r="H13" s="280" t="str">
        <f>IFERROR(INDEX(온라인_반찬!$D$2:$J$597,MATCH($D13,온라인_반찬!$C$2:$C$597,0),6),"")</f>
        <v>.5.6.10.17.21.</v>
      </c>
      <c r="I13" s="109" t="s">
        <v>2341</v>
      </c>
      <c r="J13" s="102"/>
      <c r="K13" s="101"/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23"/>
      <c r="C14" s="244" t="s">
        <v>622</v>
      </c>
      <c r="D14" s="103" t="s">
        <v>670</v>
      </c>
      <c r="E14" s="123">
        <v>40</v>
      </c>
      <c r="F14" s="124"/>
      <c r="G14" s="113" t="str">
        <f>IFERROR(INDEX(온라인_반찬!$C$2:$H$604,MATCH($D14,온라인_반찬!$C$2:$C$604,0),6),"")</f>
        <v>고구마(중국산), 쌀가루(쌀:국산), 튀김가루(밀:미국산), 정제수, 소금, 대두유</v>
      </c>
      <c r="H14" s="101" t="str">
        <f>IFERROR(INDEX(온라인_반찬!$D$2:$J$597,MATCH($D14,온라인_반찬!$C$2:$C$597,0),6),"")</f>
        <v>.1.6.</v>
      </c>
      <c r="I14" s="109" t="s">
        <v>2341</v>
      </c>
      <c r="J14" s="102"/>
      <c r="K14" s="101"/>
      <c r="L14" s="129" t="str">
        <f>IFERROR(INDEX(온라인_반찬!$C$2:$J$597,MATCH($D14,온라인_반찬!$C$2:$C$597,0),8),"")</f>
        <v>고구마튀김(맘으로)</v>
      </c>
      <c r="M14" s="120"/>
      <c r="N14" s="120"/>
      <c r="O14" s="120"/>
    </row>
    <row r="15" spans="2:23" ht="39.950000000000003" customHeight="1">
      <c r="B15" s="323"/>
      <c r="C15" s="329" t="s">
        <v>290</v>
      </c>
      <c r="D15" s="103" t="s">
        <v>671</v>
      </c>
      <c r="E15" s="123">
        <v>40</v>
      </c>
      <c r="F15" s="124"/>
      <c r="G15" s="113" t="str">
        <f>IFERROR(INDEX(온라인_반찬!$C$2:$H$604,MATCH($D15,온라인_반찬!$C$2:$C$604,0),6),"")</f>
        <v>양배추(국산)99%</v>
      </c>
      <c r="H15" s="101">
        <f>IFERROR(INDEX(온라인_반찬!$D$2:$J$597,MATCH($D15,온라인_반찬!$C$2:$C$597,0),6),"")</f>
        <v>0</v>
      </c>
      <c r="I15" s="109" t="s">
        <v>2341</v>
      </c>
      <c r="J15" s="102"/>
      <c r="K15" s="101"/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330"/>
      <c r="D16" s="103" t="s">
        <v>1211</v>
      </c>
      <c r="E16" s="123">
        <v>10</v>
      </c>
      <c r="F16" s="124"/>
      <c r="G16" s="113" t="str">
        <f>IFERROR(INDEX(온라인_반찬!$C$2:$H$604,MATCH($D16,온라인_반찬!$C$2:$C$604,0),6),"")</f>
        <v>쌈장(대두:미국,캐나다,호주등)93%, 마늘, 파, 마요네즈, 레몬즙, 참기름, 참깨</v>
      </c>
      <c r="H16" s="101" t="str">
        <f>IFERROR(INDEX(온라인_반찬!$D$2:$J$597,MATCH($D16,온라인_반찬!$C$2:$C$597,0),6),"")</f>
        <v>.1.5.6.21.</v>
      </c>
      <c r="I16" s="109" t="s">
        <v>2341</v>
      </c>
      <c r="J16" s="102"/>
      <c r="K16" s="101"/>
      <c r="L16" s="129" t="str">
        <f>IFERROR(INDEX(온라인_반찬!$C$2:$J$597,MATCH($D16,온라인_반찬!$C$2:$C$597,0),8),"")</f>
        <v>사계절쌈장(해찬들)</v>
      </c>
      <c r="M16" s="120"/>
      <c r="N16" s="120"/>
      <c r="O16" s="120"/>
    </row>
    <row r="17" spans="2:15" ht="39.950000000000003" customHeight="1">
      <c r="B17" s="323"/>
      <c r="C17" s="245" t="s">
        <v>819</v>
      </c>
      <c r="D17" s="103" t="s">
        <v>631</v>
      </c>
      <c r="E17" s="123">
        <v>35</v>
      </c>
      <c r="F17" s="123"/>
      <c r="G17" s="113" t="str">
        <f>IFERROR(INDEX(온라인_반찬!$C$2:$H$604,MATCH($D17,온라인_반찬!$C$2:$C$604,0),6),"")</f>
        <v>무(국산)85.2%, 고추가루(국산), 밀가루풀(국산), 파, 마늘, 새우젓 등 양념(국산)</v>
      </c>
      <c r="H17" s="101" t="str">
        <f>IFERROR(INDEX(온라인_반찬!$D$2:$J$597,MATCH($D17,온라인_반찬!$C$2:$C$597,0),6),"")</f>
        <v>.6.9.</v>
      </c>
      <c r="I17" s="109" t="s">
        <v>2341</v>
      </c>
      <c r="J17" s="102"/>
      <c r="K17" s="101"/>
      <c r="L17" s="129">
        <f>IFERROR(INDEX(온라인_반찬!$C$2:$J$597,MATCH($D17,온라인_반찬!$C$2:$C$597,0),8),"")</f>
        <v>0</v>
      </c>
      <c r="M17" s="120"/>
      <c r="N17" s="120"/>
      <c r="O17" s="120"/>
    </row>
    <row r="18" spans="2:15" ht="39.950000000000003" customHeight="1">
      <c r="B18" s="323"/>
      <c r="C18" s="221" t="s">
        <v>1392</v>
      </c>
      <c r="D18" s="103" t="s">
        <v>2035</v>
      </c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2341</v>
      </c>
      <c r="J18" s="102"/>
      <c r="K18" s="101"/>
      <c r="L18" s="165" t="str">
        <f>IFERROR(INDEX(온라인_반찬!$C$2:$J$597,MATCH($D18,온라인_반찬!$C$2:$C$597,0),8),"")</f>
        <v/>
      </c>
      <c r="M18" s="120"/>
      <c r="N18" s="120"/>
      <c r="O18" s="120"/>
    </row>
    <row r="19" spans="2:15" ht="39.950000000000003" customHeight="1" thickBot="1">
      <c r="B19" s="324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6" t="s">
        <v>1602</v>
      </c>
      <c r="C20" s="100" t="s">
        <v>620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2340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29" t="s">
        <v>622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2340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330"/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2340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623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2340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14" t="s">
        <v>819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2340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>
      <c r="B25" s="327"/>
      <c r="C25" s="160" t="s">
        <v>102</v>
      </c>
      <c r="D25" s="162"/>
      <c r="E25" s="123"/>
      <c r="F25" s="123"/>
      <c r="G25" s="113" t="str">
        <f>IFERROR(INDEX(온라인_반찬!$C$2:$H$604,MATCH($D25,온라인_반찬!$C$2:$C$604,0),6),"")</f>
        <v/>
      </c>
      <c r="H25" s="101" t="str">
        <f>IFERROR(INDEX(온라인_반찬!$D$2:$J$597,MATCH($D25,온라인_반찬!$C$2:$C$597,0),6),"")</f>
        <v/>
      </c>
      <c r="I25" s="109" t="s">
        <v>2340</v>
      </c>
      <c r="J25" s="158"/>
      <c r="K25" s="158"/>
      <c r="L25" s="129" t="str">
        <f>IFERROR(INDEX(온라인_반찬!$C$2:$J$597,MATCH($D25,온라인_반찬!$C$2:$C$597,0),8),"")</f>
        <v/>
      </c>
      <c r="M25" s="120"/>
    </row>
    <row r="26" spans="2:15" ht="39.950000000000003" customHeight="1" thickBot="1">
      <c r="B26" s="328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7:C8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A1CB-469A-488A-A2EE-9A08AE676421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2347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1344</v>
      </c>
      <c r="E3" s="261">
        <v>140</v>
      </c>
      <c r="F3" s="261"/>
      <c r="G3" s="262" t="str">
        <f>IFERROR(INDEX(온라인_반찬!$C$2:$H$604,MATCH($D3,온라인_반찬!$C$2:$C$604,0),6),"")</f>
        <v>쌀(국산)90%, 찰흑미(국산.친환경)5%, 정제수</v>
      </c>
      <c r="H3" s="263">
        <f>IFERROR(INDEX(온라인_반찬!$D$2:$J$597,MATCH($D3,온라인_반찬!$C$2:$C$597,0),6),"")</f>
        <v>0</v>
      </c>
      <c r="I3" s="264" t="s">
        <v>2345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1638</v>
      </c>
      <c r="E4" s="123">
        <v>150</v>
      </c>
      <c r="F4" s="124"/>
      <c r="G4" s="113" t="str">
        <f>IFERROR(INDEX(온라인_반찬!$C$2:$H$604,MATCH($D4,온라인_반찬!$C$2:$C$604,0),6),"")</f>
        <v>감자(국산)20%, 두부(대두:외국산)5%, 양파, 파, 마늘, 멸치육수농축액, 된장, 정제수, 소금</v>
      </c>
      <c r="H4" s="101" t="str">
        <f>IFERROR(INDEX(온라인_반찬!$D$2:$J$597,MATCH($D4,온라인_반찬!$C$2:$C$597,0),6),"")</f>
        <v>.5.6.9.</v>
      </c>
      <c r="I4" s="109" t="s">
        <v>2345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1836</v>
      </c>
      <c r="E5" s="123">
        <v>75</v>
      </c>
      <c r="F5" s="124"/>
      <c r="G5" s="113" t="str">
        <f>IFERROR(INDEX(온라인_반찬!$C$2:$H$604,MATCH($D5,온라인_반찬!$C$2:$C$604,0),6),"")</f>
        <v>닭정육(닭가슴살, 닭다리살 : 국산)54%, 양배추(국산)10%, 밀떡(밀:수입산)5%, 깻잎(국산)2%, 양파, 당근, 대파, 마늘, 생강가루, 간장, 간장, 후추, 참기름, 참깨</v>
      </c>
      <c r="H5" s="101" t="str">
        <f>IFERROR(INDEX(온라인_반찬!$D$2:$J$597,MATCH($D5,온라인_반찬!$C$2:$C$597,0),6),"")</f>
        <v>.5.6.15.21.</v>
      </c>
      <c r="I5" s="109" t="s">
        <v>2345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1339</v>
      </c>
      <c r="E6" s="123">
        <v>12</v>
      </c>
      <c r="F6" s="124"/>
      <c r="G6" s="113" t="str">
        <f>IFERROR(INDEX(온라인_반찬!$C$2:$H$604,MATCH($D6,온라인_반찬!$C$2:$C$604,0),6),"")</f>
        <v>멸치(국산)60%, 오곡씨리얼(옥수수,통밀,귀리.보리.쌀)20%, 대두유, 간장, 물엿, 참기름, 참깨</v>
      </c>
      <c r="H6" s="101" t="str">
        <f>IFERROR(INDEX(온라인_반찬!$D$2:$J$597,MATCH($D6,온라인_반찬!$C$2:$C$597,0),6),"")</f>
        <v>.5.6.21.</v>
      </c>
      <c r="I6" s="109" t="s">
        <v>2345</v>
      </c>
      <c r="J6" s="102"/>
      <c r="K6" s="101"/>
      <c r="L6" s="129" t="str">
        <f>IFERROR(INDEX(온라인_반찬!$C$2:$J$597,MATCH($D6,온라인_반찬!$C$2:$C$597,0),8),"")</f>
        <v>오곡프레이크(켈로그)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2348</v>
      </c>
      <c r="E7" s="123">
        <v>35</v>
      </c>
      <c r="F7" s="124"/>
      <c r="G7" s="113" t="str">
        <f>IFERROR(INDEX(온라인_반찬!$C$2:$H$604,MATCH($D7,온라인_반찬!$C$2:$C$604,0),6),"")</f>
        <v>무(국산)64.2%, 소고기(호주산)17.3%, 정제수, 맛술, 간장, 물엿, 후추, 참기름, 참깨</v>
      </c>
      <c r="H7" s="101" t="str">
        <f>IFERROR(INDEX(온라인_반찬!$D$2:$J$597,MATCH($D7,온라인_반찬!$C$2:$C$597,0),6),"")</f>
        <v>.5.16.21.</v>
      </c>
      <c r="I7" s="109" t="s">
        <v>2345</v>
      </c>
      <c r="J7" s="102"/>
      <c r="K7" s="101"/>
      <c r="L7" s="129">
        <f>IFERROR(INDEX(온라인_반찬!$C$2:$J$597,MATCH($D7,온라인_반찬!$C$2:$C$597,0),8),"")</f>
        <v>0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1113</v>
      </c>
      <c r="E8" s="123">
        <v>25</v>
      </c>
      <c r="F8" s="123"/>
      <c r="G8" s="113" t="str">
        <f>IFERROR(INDEX(온라인_반찬!$C$2:$H$604,MATCH($D8,온라인_반찬!$C$2:$C$604,0),6),"")</f>
        <v>배추(국내산)64%, 무채(무:국내산)8%, 양파, 정제수, 생강, 마늘, 생강, 배, 쪽파, 정제염</v>
      </c>
      <c r="H8" s="101">
        <f>IFERROR(INDEX(온라인_반찬!$D$2:$J$597,MATCH($D8,온라인_반찬!$C$2:$C$597,0),6),"")</f>
        <v>0</v>
      </c>
      <c r="I8" s="109" t="s">
        <v>2345</v>
      </c>
      <c r="J8" s="102"/>
      <c r="K8" s="101"/>
      <c r="L8" s="129" t="str">
        <f>IFERROR(INDEX(온라인_반찬!$C$2:$J$597,MATCH($D8,온라인_반찬!$C$2:$C$597,0),8),"")</f>
        <v>백김치(정우식품)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1344</v>
      </c>
      <c r="E10" s="224">
        <v>150</v>
      </c>
      <c r="F10" s="224"/>
      <c r="G10" s="225" t="str">
        <f>IFERROR(INDEX(온라인_반찬!$C$2:$H$604,MATCH($D10,온라인_반찬!$C$2:$C$604,0),6),"")</f>
        <v>쌀(국산)90%, 찰흑미(국산.친환경)5%, 정제수</v>
      </c>
      <c r="H10" s="226">
        <f>IFERROR(INDEX(온라인_반찬!$D$2:$J$597,MATCH($D10,온라인_반찬!$C$2:$C$597,0),6),"")</f>
        <v>0</v>
      </c>
      <c r="I10" s="227" t="s">
        <v>2346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1638</v>
      </c>
      <c r="E11" s="123">
        <v>160</v>
      </c>
      <c r="F11" s="124"/>
      <c r="G11" s="113" t="str">
        <f>IFERROR(INDEX(온라인_반찬!$C$2:$H$604,MATCH($D11,온라인_반찬!$C$2:$C$604,0),6),"")</f>
        <v>감자(국산)20%, 두부(대두:외국산)5%, 양파, 파, 마늘, 멸치육수농축액, 된장, 정제수, 소금</v>
      </c>
      <c r="H11" s="101" t="str">
        <f>IFERROR(INDEX(온라인_반찬!$D$2:$J$597,MATCH($D11,온라인_반찬!$C$2:$C$597,0),6),"")</f>
        <v>.5.6.9.</v>
      </c>
      <c r="I11" s="109" t="s">
        <v>2346</v>
      </c>
      <c r="J11" s="102"/>
      <c r="K11" s="101"/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276" t="s">
        <v>1836</v>
      </c>
      <c r="E12" s="277">
        <v>95</v>
      </c>
      <c r="F12" s="278"/>
      <c r="G12" s="279" t="s">
        <v>2349</v>
      </c>
      <c r="H12" s="280" t="str">
        <f>IFERROR(INDEX(온라인_반찬!$D$2:$J$597,MATCH($D12,온라인_반찬!$C$2:$C$597,0),6),"")</f>
        <v>.5.6.15.21.</v>
      </c>
      <c r="I12" s="109" t="s">
        <v>2346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1339</v>
      </c>
      <c r="E13" s="123">
        <v>15</v>
      </c>
      <c r="F13" s="124"/>
      <c r="G13" s="113" t="str">
        <f>IFERROR(INDEX(온라인_반찬!$C$2:$H$604,MATCH($D13,온라인_반찬!$C$2:$C$604,0),6),"")</f>
        <v>멸치(국산)60%, 오곡씨리얼(옥수수,통밀,귀리.보리.쌀)20%, 대두유, 간장, 물엿, 참기름, 참깨</v>
      </c>
      <c r="H13" s="101" t="str">
        <f>IFERROR(INDEX(온라인_반찬!$D$2:$J$597,MATCH($D13,온라인_반찬!$C$2:$C$597,0),6),"")</f>
        <v>.5.6.21.</v>
      </c>
      <c r="I13" s="109" t="s">
        <v>2346</v>
      </c>
      <c r="J13" s="102"/>
      <c r="K13" s="101"/>
      <c r="L13" s="129" t="str">
        <f>IFERROR(INDEX(온라인_반찬!$C$2:$J$597,MATCH($D13,온라인_반찬!$C$2:$C$597,0),8),"")</f>
        <v>오곡프레이크(켈로그)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2348</v>
      </c>
      <c r="E14" s="123">
        <v>40</v>
      </c>
      <c r="F14" s="124"/>
      <c r="G14" s="113" t="str">
        <f>IFERROR(INDEX(온라인_반찬!$C$2:$H$604,MATCH($D14,온라인_반찬!$C$2:$C$604,0),6),"")</f>
        <v>무(국산)64.2%, 소고기(호주산)17.3%, 정제수, 맛술, 간장, 물엿, 후추, 참기름, 참깨</v>
      </c>
      <c r="H14" s="101" t="str">
        <f>IFERROR(INDEX(온라인_반찬!$D$2:$J$597,MATCH($D14,온라인_반찬!$C$2:$C$597,0),6),"")</f>
        <v>.5.16.21.</v>
      </c>
      <c r="I14" s="109" t="s">
        <v>2346</v>
      </c>
      <c r="J14" s="102"/>
      <c r="K14" s="101"/>
      <c r="L14" s="129">
        <f>IFERROR(INDEX(온라인_반찬!$C$2:$J$597,MATCH($D14,온라인_반찬!$C$2:$C$597,0),8),"")</f>
        <v>0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1113</v>
      </c>
      <c r="E15" s="123">
        <v>35</v>
      </c>
      <c r="F15" s="123"/>
      <c r="G15" s="113" t="str">
        <f>IFERROR(INDEX(온라인_반찬!$C$2:$H$604,MATCH($D15,온라인_반찬!$C$2:$C$604,0),6),"")</f>
        <v>배추(국내산)64%, 무채(무:국내산)8%, 양파, 정제수, 생강, 마늘, 생강, 배, 쪽파, 정제염</v>
      </c>
      <c r="H15" s="101">
        <f>IFERROR(INDEX(온라인_반찬!$D$2:$J$597,MATCH($D15,온라인_반찬!$C$2:$C$597,0),6),"")</f>
        <v>0</v>
      </c>
      <c r="I15" s="109" t="s">
        <v>2346</v>
      </c>
      <c r="J15" s="102"/>
      <c r="K15" s="101"/>
      <c r="L15" s="129" t="str">
        <f>IFERROR(INDEX(온라인_반찬!$C$2:$J$597,MATCH($D15,온라인_반찬!$C$2:$C$597,0),8),"")</f>
        <v>백김치(정우식품)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1562</v>
      </c>
      <c r="E16" s="123">
        <v>70</v>
      </c>
      <c r="F16" s="123"/>
      <c r="G16" s="113" t="str">
        <f>IFERROR(INDEX(온라인_반찬!$C$2:$H$604,MATCH($D16,온라인_반찬!$C$2:$C$604,0),6),"")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6" s="101" t="str">
        <f>IFERROR(INDEX(온라인_반찬!$D$2:$J$597,MATCH($D16,온라인_반찬!$C$2:$C$597,0),6),"")</f>
        <v>.5.10.</v>
      </c>
      <c r="I16" s="109" t="s">
        <v>2346</v>
      </c>
      <c r="J16" s="102"/>
      <c r="K16" s="101"/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2345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2345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2345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2345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2345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2345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88B7-BA8E-4437-9193-EA66CE41C0EB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2352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2130</v>
      </c>
      <c r="E3" s="261">
        <v>140</v>
      </c>
      <c r="F3" s="261"/>
      <c r="G3" s="262" t="str">
        <f>IFERROR(INDEX(온라인_반찬!$C$2:$H$604,MATCH($D3,온라인_반찬!$C$2:$C$604,0),6),"")</f>
        <v>쌀(국산)95%, 정제수</v>
      </c>
      <c r="H3" s="263">
        <f>IFERROR(INDEX(온라인_반찬!$D$2:$J$597,MATCH($D3,온라인_반찬!$C$2:$C$597,0),6),"")</f>
        <v>0</v>
      </c>
      <c r="I3" s="264" t="s">
        <v>2350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2353</v>
      </c>
      <c r="E4" s="123">
        <v>150</v>
      </c>
      <c r="F4" s="124"/>
      <c r="G4" s="113" t="str">
        <f>IFERROR(INDEX(온라인_반찬!$C$2:$H$604,MATCH($D4,온라인_반찬!$C$2:$C$604,0),6),"")</f>
        <v>소고기(호주산)14.3%, 사골육수 [잡뼈(한우), 사골(한우), 사골액기스 {정제수, 사골농축액17% (사골:호주산) 천일염}, 정제수], 생대파(국산), 후추, 소금</v>
      </c>
      <c r="H4" s="101" t="str">
        <f>IFERROR(INDEX(온라인_반찬!$D$2:$J$597,MATCH($D4,온라인_반찬!$C$2:$C$597,0),6),"")</f>
        <v>.5.16.</v>
      </c>
      <c r="I4" s="109" t="s">
        <v>2350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329" t="s">
        <v>621</v>
      </c>
      <c r="D5" s="103" t="s">
        <v>770</v>
      </c>
      <c r="E5" s="123">
        <v>30</v>
      </c>
      <c r="F5" s="124"/>
      <c r="G5" s="113" t="str">
        <f>IFERROR(INDEX(온라인_반찬!$C$2:$H$604,MATCH($D5,온라인_반찬!$C$2:$C$604,0),6),"")</f>
        <v>새우[새우(베트남산) 37.33%, 밀(미국산)28.32%, 대두유]100%</v>
      </c>
      <c r="H5" s="101" t="str">
        <f>IFERROR(INDEX(온라인_반찬!$D$2:$J$597,MATCH($D5,온라인_반찬!$C$2:$C$597,0),6),"")</f>
        <v>.5.6.9.</v>
      </c>
      <c r="I5" s="109" t="s">
        <v>2350</v>
      </c>
      <c r="J5" s="102"/>
      <c r="K5" s="101"/>
      <c r="L5" s="129" t="str">
        <f>IFERROR(INDEX(온라인_반찬!$C$2:$J$597,MATCH($D5,온라인_반찬!$C$2:$C$597,0),8),"")</f>
        <v>한입깐쇼새우(이츠웰)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330"/>
      <c r="D6" s="103" t="s">
        <v>1402</v>
      </c>
      <c r="E6" s="123">
        <v>10</v>
      </c>
      <c r="F6" s="124"/>
      <c r="G6" s="113" t="str">
        <f>IFERROR(INDEX(온라인_반찬!$C$2:$H$604,MATCH($D6,온라인_반찬!$C$2:$C$604,0),6),"")</f>
        <v>청피망(국내산), 양파, 당근, 마늘, 레몬즙, 생크림, 마요네즈</v>
      </c>
      <c r="H6" s="101" t="str">
        <f>IFERROR(INDEX(온라인_반찬!$D$2:$J$597,MATCH($D6,온라인_반찬!$C$2:$C$597,0),6),"")</f>
        <v>.1.2.5.6.9.</v>
      </c>
      <c r="I6" s="109" t="s">
        <v>2350</v>
      </c>
      <c r="J6" s="102"/>
      <c r="K6" s="101"/>
      <c r="L6" s="129" t="str">
        <f>IFERROR(INDEX(온라인_반찬!$C$2:$J$597,MATCH($D6,온라인_반찬!$C$2:$C$597,0),8),"")</f>
        <v>한입깐쇼새우(이츠웰)</v>
      </c>
      <c r="M6" s="120"/>
      <c r="N6" s="120"/>
      <c r="R6" s="120"/>
      <c r="S6" s="287"/>
      <c r="T6" s="287"/>
      <c r="U6" s="287"/>
      <c r="V6" s="287"/>
      <c r="W6" s="287"/>
    </row>
    <row r="7" spans="2:23" ht="39.950000000000003" customHeight="1">
      <c r="B7" s="323"/>
      <c r="C7" s="244" t="s">
        <v>622</v>
      </c>
      <c r="D7" s="103" t="s">
        <v>1328</v>
      </c>
      <c r="E7" s="123">
        <v>50</v>
      </c>
      <c r="F7" s="124"/>
      <c r="G7" s="113" t="str">
        <f>IFERROR(INDEX(온라인_반찬!$C$2:$H$604,MATCH($D7,온라인_반찬!$C$2:$C$604,0),6),"")</f>
        <v>누들떡(밀:원료수입산)75%, 양배추, 정제수, 토마토소스(시판용), 케찹, 설탕, 물엿</v>
      </c>
      <c r="H7" s="101" t="str">
        <f>IFERROR(INDEX(온라인_반찬!$D$2:$J$597,MATCH($D7,온라인_반찬!$C$2:$C$597,0),6),"")</f>
        <v>.1.5.6.12.</v>
      </c>
      <c r="I7" s="109" t="s">
        <v>2350</v>
      </c>
      <c r="J7" s="102"/>
      <c r="K7" s="101"/>
      <c r="L7" s="129" t="str">
        <f>IFERROR(INDEX(온라인_반찬!$C$2:$J$597,MATCH($D7,온라인_반찬!$C$2:$C$597,0),8),"")</f>
        <v>누들떡볶이(토담)</v>
      </c>
      <c r="M7" s="120" t="s">
        <v>810</v>
      </c>
      <c r="N7" s="120"/>
      <c r="P7" s="120" t="s">
        <v>1249</v>
      </c>
      <c r="R7" s="120"/>
      <c r="S7" s="120" t="s">
        <v>915</v>
      </c>
    </row>
    <row r="8" spans="2:23" ht="39.950000000000003" customHeight="1">
      <c r="B8" s="323"/>
      <c r="C8" s="160" t="s">
        <v>290</v>
      </c>
      <c r="D8" s="103" t="s">
        <v>2354</v>
      </c>
      <c r="E8" s="123">
        <v>35</v>
      </c>
      <c r="F8" s="124"/>
      <c r="G8" s="113" t="str">
        <f>IFERROR(INDEX(온라인_반찬!$C$2:$H$604,MATCH($D8,온라인_반찬!$C$2:$C$604,0),6),"")</f>
        <v>스위트콘[옥수수62.71%(원산지:태국)]50%, 양배추(국산)30%,  파프리카, 당근, 적채, 마요네즈, 식초, 설탕, 소금</v>
      </c>
      <c r="H8" s="101" t="str">
        <f>IFERROR(INDEX(온라인_반찬!$D$2:$J$597,MATCH($D8,온라인_반찬!$C$2:$C$597,0),6),"")</f>
        <v>.1.5.16.</v>
      </c>
      <c r="I8" s="109" t="s">
        <v>2350</v>
      </c>
      <c r="J8" s="102"/>
      <c r="K8" s="101"/>
      <c r="L8" s="129" t="str">
        <f>IFERROR(INDEX(온라인_반찬!$C$2:$J$597,MATCH($D8,온라인_반찬!$C$2:$C$597,0),8),"")</f>
        <v>마요네즈(오뚜기)</v>
      </c>
      <c r="M8" s="120" t="s">
        <v>687</v>
      </c>
      <c r="N8" s="120"/>
      <c r="P8" s="120" t="s">
        <v>1268</v>
      </c>
      <c r="R8" s="120"/>
      <c r="S8" s="120" t="s">
        <v>832</v>
      </c>
    </row>
    <row r="9" spans="2:23" ht="39.950000000000003" customHeight="1">
      <c r="B9" s="323"/>
      <c r="C9" s="245" t="s">
        <v>819</v>
      </c>
      <c r="D9" s="103" t="s">
        <v>631</v>
      </c>
      <c r="E9" s="123">
        <v>25</v>
      </c>
      <c r="F9" s="123"/>
      <c r="G9" s="113" t="str">
        <f>IFERROR(INDEX(온라인_반찬!$C$2:$H$604,MATCH($D9,온라인_반찬!$C$2:$C$604,0),6),"")</f>
        <v>무(국산)85.2%, 고추가루(국산), 밀가루풀(국산), 파, 마늘, 새우젓 등 양념(국산)</v>
      </c>
      <c r="H9" s="101" t="str">
        <f>IFERROR(INDEX(온라인_반찬!$D$2:$J$597,MATCH($D9,온라인_반찬!$C$2:$C$597,0),6),"")</f>
        <v>.6.9.</v>
      </c>
      <c r="I9" s="109" t="s">
        <v>2350</v>
      </c>
      <c r="J9" s="102"/>
      <c r="K9" s="101"/>
      <c r="L9" s="129">
        <f>IFERROR(INDEX(온라인_반찬!$C$2:$J$597,MATCH($D9,온라인_반찬!$C$2:$C$597,0),8),"")</f>
        <v>0</v>
      </c>
      <c r="M9" s="120" t="s">
        <v>1393</v>
      </c>
      <c r="N9" s="120"/>
      <c r="P9" s="120" t="s">
        <v>1404</v>
      </c>
      <c r="R9" s="120"/>
      <c r="S9" s="120" t="s">
        <v>1647</v>
      </c>
    </row>
    <row r="10" spans="2:23" ht="39.950000000000003" customHeight="1" thickBot="1">
      <c r="B10" s="324"/>
      <c r="C10" s="161" t="s">
        <v>97</v>
      </c>
      <c r="D10" s="210"/>
      <c r="E10" s="131"/>
      <c r="F10" s="132"/>
      <c r="G10" s="274" t="s">
        <v>2355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3" t="s">
        <v>2129</v>
      </c>
      <c r="C11" s="250" t="s">
        <v>620</v>
      </c>
      <c r="D11" s="260" t="s">
        <v>2130</v>
      </c>
      <c r="E11" s="224">
        <v>150</v>
      </c>
      <c r="F11" s="224"/>
      <c r="G11" s="225" t="str">
        <f>IFERROR(INDEX(온라인_반찬!$C$2:$H$604,MATCH($D11,온라인_반찬!$C$2:$C$604,0),6),"")</f>
        <v>쌀(국산)95%, 정제수</v>
      </c>
      <c r="H11" s="226">
        <f>IFERROR(INDEX(온라인_반찬!$D$2:$J$597,MATCH($D11,온라인_반찬!$C$2:$C$597,0),6),"")</f>
        <v>0</v>
      </c>
      <c r="I11" s="227" t="s">
        <v>2351</v>
      </c>
      <c r="J11" s="265"/>
      <c r="K11" s="263"/>
      <c r="L11" s="228">
        <f>IFERROR(INDEX(온라인_반찬!$C$2:$J$597,MATCH($D11,온라인_반찬!$C$2:$C$597,0),8),"")</f>
        <v>0</v>
      </c>
      <c r="M11" s="120" t="s">
        <v>1395</v>
      </c>
      <c r="N11" s="120"/>
      <c r="O11" s="120"/>
      <c r="P11" s="120" t="s">
        <v>1456</v>
      </c>
      <c r="S11" s="120" t="s">
        <v>1648</v>
      </c>
    </row>
    <row r="12" spans="2:23" ht="39.950000000000003" customHeight="1">
      <c r="B12" s="323"/>
      <c r="C12" s="244" t="s">
        <v>624</v>
      </c>
      <c r="D12" s="103" t="s">
        <v>2353</v>
      </c>
      <c r="E12" s="123">
        <v>160</v>
      </c>
      <c r="F12" s="124"/>
      <c r="G12" s="113" t="str">
        <f>IFERROR(INDEX(온라인_반찬!$C$2:$H$604,MATCH($D12,온라인_반찬!$C$2:$C$604,0),6),"")</f>
        <v>소고기(호주산)14.3%, 사골육수 [잡뼈(한우), 사골(한우), 사골액기스 {정제수, 사골농축액17% (사골:호주산) 천일염}, 정제수], 생대파(국산), 후추, 소금</v>
      </c>
      <c r="H12" s="101" t="str">
        <f>IFERROR(INDEX(온라인_반찬!$D$2:$J$597,MATCH($D12,온라인_반찬!$C$2:$C$597,0),6),"")</f>
        <v>.5.16.</v>
      </c>
      <c r="I12" s="109" t="s">
        <v>2351</v>
      </c>
      <c r="J12" s="102"/>
      <c r="K12" s="101"/>
      <c r="L12" s="129">
        <f>IFERROR(INDEX(온라인_반찬!$C$2:$J$597,MATCH($D12,온라인_반찬!$C$2:$C$597,0),8),"")</f>
        <v>0</v>
      </c>
      <c r="M12" s="120" t="s">
        <v>1835</v>
      </c>
      <c r="N12" s="120"/>
      <c r="O12" s="120"/>
      <c r="P12" s="120" t="s">
        <v>1885</v>
      </c>
      <c r="S12" s="120" t="s">
        <v>1886</v>
      </c>
    </row>
    <row r="13" spans="2:23" ht="39.950000000000003" customHeight="1">
      <c r="B13" s="323"/>
      <c r="C13" s="329" t="s">
        <v>621</v>
      </c>
      <c r="D13" s="103" t="s">
        <v>770</v>
      </c>
      <c r="E13" s="123">
        <v>40</v>
      </c>
      <c r="F13" s="124"/>
      <c r="G13" s="113" t="str">
        <f>IFERROR(INDEX(온라인_반찬!$C$2:$H$604,MATCH($D13,온라인_반찬!$C$2:$C$604,0),6),"")</f>
        <v>새우[새우(베트남산) 37.33%, 밀(미국산)28.32%, 대두유]100%</v>
      </c>
      <c r="H13" s="101" t="str">
        <f>IFERROR(INDEX(온라인_반찬!$D$2:$J$597,MATCH($D13,온라인_반찬!$C$2:$C$597,0),6),"")</f>
        <v>.5.6.9.</v>
      </c>
      <c r="I13" s="109" t="s">
        <v>2351</v>
      </c>
      <c r="J13" s="102"/>
      <c r="K13" s="101"/>
      <c r="L13" s="129" t="str">
        <f>IFERROR(INDEX(온라인_반찬!$C$2:$J$597,MATCH($D13,온라인_반찬!$C$2:$C$597,0),8),"")</f>
        <v>한입깐쇼새우(이츠웰)</v>
      </c>
      <c r="M13" s="120"/>
      <c r="N13" s="120"/>
      <c r="O13" s="120"/>
    </row>
    <row r="14" spans="2:23" ht="39.950000000000003" customHeight="1">
      <c r="B14" s="323"/>
      <c r="C14" s="330"/>
      <c r="D14" s="103" t="s">
        <v>1402</v>
      </c>
      <c r="E14" s="123">
        <v>15</v>
      </c>
      <c r="F14" s="124"/>
      <c r="G14" s="113" t="str">
        <f>IFERROR(INDEX(온라인_반찬!$C$2:$H$604,MATCH($D14,온라인_반찬!$C$2:$C$604,0),6),"")</f>
        <v>청피망(국내산), 양파, 당근, 마늘, 레몬즙, 생크림, 마요네즈</v>
      </c>
      <c r="H14" s="101" t="str">
        <f>IFERROR(INDEX(온라인_반찬!$D$2:$J$597,MATCH($D14,온라인_반찬!$C$2:$C$597,0),6),"")</f>
        <v>.1.2.5.6.9.</v>
      </c>
      <c r="I14" s="109" t="s">
        <v>2351</v>
      </c>
      <c r="J14" s="102"/>
      <c r="K14" s="101"/>
      <c r="L14" s="129" t="str">
        <f>IFERROR(INDEX(온라인_반찬!$C$2:$J$597,MATCH($D14,온라인_반찬!$C$2:$C$597,0),8),"")</f>
        <v>한입깐쇼새우(이츠웰)</v>
      </c>
      <c r="M14" s="120"/>
      <c r="N14" s="120"/>
      <c r="O14" s="120"/>
    </row>
    <row r="15" spans="2:23" ht="39.950000000000003" customHeight="1">
      <c r="B15" s="323"/>
      <c r="C15" s="244" t="s">
        <v>622</v>
      </c>
      <c r="D15" s="276" t="s">
        <v>2250</v>
      </c>
      <c r="E15" s="277">
        <v>60</v>
      </c>
      <c r="F15" s="278"/>
      <c r="G15" s="279" t="str">
        <f>IFERROR(INDEX(온라인_반찬!$C$2:$H$604,MATCH($D15,온라인_반찬!$C$2:$C$604,0),6),"")</f>
        <v>누들떡(밀:원료수입산), 어묵(연육(베트남산.중국산),소시지(돼지고기.닭고기:국내산), 대파, 정제수, 마라로제소스[우유(국산).고춧가루(중국산.베트남산)]</v>
      </c>
      <c r="H15" s="280" t="str">
        <f>IFERROR(INDEX(온라인_반찬!$D$2:$J$597,MATCH($D15,온라인_반찬!$C$2:$C$597,0),6),"")</f>
        <v>.2.5.6.15.16.</v>
      </c>
      <c r="I15" s="109" t="s">
        <v>2351</v>
      </c>
      <c r="J15" s="102"/>
      <c r="K15" s="101"/>
      <c r="L15" s="129" t="str">
        <f>IFERROR(INDEX(온라인_반찬!$C$2:$J$597,MATCH($D15,온라인_반찬!$C$2:$C$597,0),8),"")</f>
        <v>마라로제소스(이츠웰)</v>
      </c>
      <c r="M15" s="120"/>
      <c r="N15" s="120"/>
      <c r="O15" s="120"/>
    </row>
    <row r="16" spans="2:23" ht="39.950000000000003" customHeight="1">
      <c r="B16" s="323"/>
      <c r="C16" s="160" t="s">
        <v>290</v>
      </c>
      <c r="D16" s="103" t="s">
        <v>2354</v>
      </c>
      <c r="E16" s="123">
        <v>40</v>
      </c>
      <c r="F16" s="124"/>
      <c r="G16" s="113" t="str">
        <f>IFERROR(INDEX(온라인_반찬!$C$2:$H$604,MATCH($D16,온라인_반찬!$C$2:$C$604,0),6),"")</f>
        <v>스위트콘[옥수수62.71%(원산지:태국)]50%, 양배추(국산)30%,  파프리카, 당근, 적채, 마요네즈, 식초, 설탕, 소금</v>
      </c>
      <c r="H16" s="101" t="str">
        <f>IFERROR(INDEX(온라인_반찬!$D$2:$J$597,MATCH($D16,온라인_반찬!$C$2:$C$597,0),6),"")</f>
        <v>.1.5.16.</v>
      </c>
      <c r="I16" s="109" t="s">
        <v>2351</v>
      </c>
      <c r="J16" s="102"/>
      <c r="K16" s="101"/>
      <c r="L16" s="129" t="str">
        <f>IFERROR(INDEX(온라인_반찬!$C$2:$J$597,MATCH($D16,온라인_반찬!$C$2:$C$597,0),8),"")</f>
        <v>마요네즈(오뚜기)</v>
      </c>
      <c r="M16" s="120"/>
      <c r="N16" s="120"/>
      <c r="O16" s="120"/>
    </row>
    <row r="17" spans="2:15" ht="39.950000000000003" customHeight="1">
      <c r="B17" s="323"/>
      <c r="C17" s="245" t="s">
        <v>819</v>
      </c>
      <c r="D17" s="103" t="s">
        <v>631</v>
      </c>
      <c r="E17" s="123">
        <v>35</v>
      </c>
      <c r="F17" s="123"/>
      <c r="G17" s="113" t="str">
        <f>IFERROR(INDEX(온라인_반찬!$C$2:$H$604,MATCH($D17,온라인_반찬!$C$2:$C$604,0),6),"")</f>
        <v>무(국산)85.2%, 고추가루(국산), 밀가루풀(국산), 파, 마늘, 새우젓 등 양념(국산)</v>
      </c>
      <c r="H17" s="101" t="str">
        <f>IFERROR(INDEX(온라인_반찬!$D$2:$J$597,MATCH($D17,온라인_반찬!$C$2:$C$597,0),6),"")</f>
        <v>.6.9.</v>
      </c>
      <c r="I17" s="109" t="s">
        <v>2351</v>
      </c>
      <c r="J17" s="102"/>
      <c r="K17" s="101"/>
      <c r="L17" s="129">
        <f>IFERROR(INDEX(온라인_반찬!$C$2:$J$597,MATCH($D17,온라인_반찬!$C$2:$C$597,0),8),"")</f>
        <v>0</v>
      </c>
      <c r="M17" s="120"/>
      <c r="N17" s="120"/>
      <c r="O17" s="120"/>
    </row>
    <row r="18" spans="2:15" ht="39.950000000000003" customHeight="1">
      <c r="B18" s="323"/>
      <c r="C18" s="221" t="s">
        <v>1392</v>
      </c>
      <c r="D18" s="103" t="s">
        <v>2035</v>
      </c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2351</v>
      </c>
      <c r="J18" s="102"/>
      <c r="K18" s="101"/>
      <c r="L18" s="165" t="str">
        <f>IFERROR(INDEX(온라인_반찬!$C$2:$J$597,MATCH($D18,온라인_반찬!$C$2:$C$597,0),8),"")</f>
        <v/>
      </c>
      <c r="M18" s="120"/>
      <c r="N18" s="120"/>
      <c r="O18" s="120"/>
    </row>
    <row r="19" spans="2:15" ht="39.950000000000003" customHeight="1" thickBot="1">
      <c r="B19" s="324"/>
      <c r="C19" s="161" t="s">
        <v>97</v>
      </c>
      <c r="D19" s="210"/>
      <c r="E19" s="131"/>
      <c r="F19" s="132"/>
      <c r="G19" s="214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26" t="s">
        <v>1602</v>
      </c>
      <c r="C20" s="100" t="s">
        <v>620</v>
      </c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2350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329" t="s">
        <v>622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2350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330"/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2350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623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2350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>
      <c r="B24" s="327"/>
      <c r="C24" s="114" t="s">
        <v>819</v>
      </c>
      <c r="D24" s="162"/>
      <c r="E24" s="123"/>
      <c r="F24" s="123"/>
      <c r="G24" s="113" t="str">
        <f>IFERROR(INDEX(온라인_반찬!$C$2:$H$604,MATCH($D24,온라인_반찬!$C$2:$C$604,0),6),"")</f>
        <v/>
      </c>
      <c r="H24" s="101" t="str">
        <f>IFERROR(INDEX(온라인_반찬!$D$2:$J$597,MATCH($D24,온라인_반찬!$C$2:$C$597,0),6),"")</f>
        <v/>
      </c>
      <c r="I24" s="109" t="s">
        <v>2350</v>
      </c>
      <c r="J24" s="158"/>
      <c r="K24" s="158"/>
      <c r="L24" s="129" t="str">
        <f>IFERROR(INDEX(온라인_반찬!$C$2:$J$597,MATCH($D24,온라인_반찬!$C$2:$C$597,0),8),"")</f>
        <v/>
      </c>
      <c r="M24" s="120"/>
    </row>
    <row r="25" spans="2:15" ht="39.950000000000003" customHeight="1">
      <c r="B25" s="327"/>
      <c r="C25" s="160" t="s">
        <v>102</v>
      </c>
      <c r="D25" s="162"/>
      <c r="E25" s="123"/>
      <c r="F25" s="123"/>
      <c r="G25" s="113" t="str">
        <f>IFERROR(INDEX(온라인_반찬!$C$2:$H$604,MATCH($D25,온라인_반찬!$C$2:$C$604,0),6),"")</f>
        <v/>
      </c>
      <c r="H25" s="101" t="str">
        <f>IFERROR(INDEX(온라인_반찬!$D$2:$J$597,MATCH($D25,온라인_반찬!$C$2:$C$597,0),6),"")</f>
        <v/>
      </c>
      <c r="I25" s="109" t="s">
        <v>2350</v>
      </c>
      <c r="J25" s="158"/>
      <c r="K25" s="158"/>
      <c r="L25" s="129" t="str">
        <f>IFERROR(INDEX(온라인_반찬!$C$2:$J$597,MATCH($D25,온라인_반찬!$C$2:$C$597,0),8),"")</f>
        <v/>
      </c>
      <c r="M25" s="120"/>
    </row>
    <row r="26" spans="2:15" ht="39.950000000000003" customHeight="1" thickBot="1">
      <c r="B26" s="328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2F8-71D9-4CC0-93CF-194AC6C53E74}">
  <sheetPr>
    <pageSetUpPr fitToPage="1"/>
  </sheetPr>
  <dimension ref="B1:W27"/>
  <sheetViews>
    <sheetView zoomScale="80" zoomScaleNormal="80" zoomScaleSheetLayoutView="75" workbookViewId="0">
      <selection activeCell="E6" sqref="E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2358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1346</v>
      </c>
      <c r="E3" s="261">
        <v>140</v>
      </c>
      <c r="F3" s="261"/>
      <c r="G3" s="262" t="str">
        <f>IFERROR(INDEX(온라인_반찬!$C$2:$H$604,MATCH($D3,온라인_반찬!$C$2:$C$604,0),6),"")</f>
        <v>쌀(국산)90%, 찰보리(국산.친환경)5%, 정제수</v>
      </c>
      <c r="H3" s="263">
        <f>IFERROR(INDEX(온라인_반찬!$D$2:$J$597,MATCH($D3,온라인_반찬!$C$2:$C$597,0),6),"")</f>
        <v>0</v>
      </c>
      <c r="I3" s="264" t="s">
        <v>2356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2151</v>
      </c>
      <c r="E4" s="123">
        <v>150</v>
      </c>
      <c r="F4" s="124"/>
      <c r="G4" s="113" t="str">
        <f>IFERROR(INDEX(온라인_반찬!$C$2:$H$604,MATCH($D4,온라인_반찬!$C$2:$C$604,0),6),"")</f>
        <v>순두부(대두:미국,태나다.중국 등)70%, 정제수, 멸치육수농축액, 국간장</v>
      </c>
      <c r="H4" s="101" t="str">
        <f>IFERROR(INDEX(온라인_반찬!$D$2:$J$597,MATCH($D4,온라인_반찬!$C$2:$C$597,0),6),"")</f>
        <v>.5.</v>
      </c>
      <c r="I4" s="109" t="s">
        <v>2356</v>
      </c>
      <c r="J4" s="102"/>
      <c r="K4" s="101"/>
      <c r="L4" s="129" t="str">
        <f>IFERROR(INDEX(온라인_반찬!$C$2:$J$597,MATCH($D4,온라인_반찬!$C$2:$C$597,0),8),"")</f>
        <v>몽글순두부(풀무원)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1778</v>
      </c>
      <c r="E5" s="123">
        <v>60</v>
      </c>
      <c r="F5" s="124"/>
      <c r="G5" s="113" t="str">
        <f>IFERROR(INDEX(온라인_반찬!$C$2:$H$604,MATCH($D5,온라인_반찬!$C$2:$C$604,0),6),"")</f>
        <v>돼지고기(미국산)83%, 파인애클청크(파인애플:수입산), 양파, 피망, 파프리카, 당근, 스테이크소스, 바베큐소스, 후추, 참기름</v>
      </c>
      <c r="H5" s="101" t="str">
        <f>IFERROR(INDEX(온라인_반찬!$D$2:$J$597,MATCH($D5,온라인_반찬!$C$2:$C$597,0),6),"")</f>
        <v>.5.10.12.13.18.19.21.</v>
      </c>
      <c r="I5" s="109" t="s">
        <v>2356</v>
      </c>
      <c r="J5" s="102"/>
      <c r="K5" s="101"/>
      <c r="L5" s="129" t="str">
        <f>IFERROR(INDEX(온라인_반찬!$C$2:$J$597,MATCH($D5,온라인_반찬!$C$2:$C$597,0),8),"")</f>
        <v>스테이크소스(오뚜기), 바베큐소스(이츠웰)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2234</v>
      </c>
      <c r="E6" s="123">
        <v>35</v>
      </c>
      <c r="F6" s="124"/>
      <c r="G6" s="113" t="str">
        <f>IFERROR(INDEX(온라인_반찬!$C$2:$H$604,MATCH($D6,온라인_반찬!$C$2:$C$604,0),6),"")</f>
        <v>펜네(듀럼밀100%)66%, 명란(미국산), 꼬마새송이버섯(국산), 크림소스, 우유, 후추, 소금, 파슬리가루</v>
      </c>
      <c r="H6" s="101" t="str">
        <f>IFERROR(INDEX(온라인_반찬!$D$2:$J$597,MATCH($D6,온라인_반찬!$C$2:$C$597,0),6),"")</f>
        <v>.1.2.5.6.15.16.</v>
      </c>
      <c r="I6" s="109" t="s">
        <v>2356</v>
      </c>
      <c r="J6" s="102"/>
      <c r="K6" s="101"/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799</v>
      </c>
      <c r="E7" s="123"/>
      <c r="F7" s="124">
        <v>1</v>
      </c>
      <c r="G7" s="113" t="str">
        <f>IFERROR(INDEX(온라인_반찬!$C$2:$H$604,MATCH($D7,온라인_반찬!$C$2:$C$604,0),6),"")</f>
        <v>김(국산), 카놀라유(원료:외국산), 참기름, 정제소금</v>
      </c>
      <c r="H7" s="101" t="str">
        <f>IFERROR(INDEX(온라인_반찬!$D$2:$J$597,MATCH($D7,온라인_반찬!$C$2:$C$597,0),6),"")</f>
        <v>.21.</v>
      </c>
      <c r="I7" s="109" t="s">
        <v>2356</v>
      </c>
      <c r="J7" s="102"/>
      <c r="K7" s="101"/>
      <c r="L7" s="129" t="str">
        <f>IFERROR(INDEX(온라인_반찬!$C$2:$J$597,MATCH($D7,온라인_반찬!$C$2:$C$597,0),8),"")</f>
        <v>양반김(동원)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630</v>
      </c>
      <c r="E8" s="123">
        <v>25</v>
      </c>
      <c r="F8" s="123"/>
      <c r="G8" s="113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IFERROR(INDEX(온라인_반찬!$D$2:$J$597,MATCH($D8,온라인_반찬!$C$2:$C$597,0),6),"")</f>
        <v>.9.12.</v>
      </c>
      <c r="I8" s="109" t="s">
        <v>2356</v>
      </c>
      <c r="J8" s="102"/>
      <c r="K8" s="101"/>
      <c r="L8" s="129" t="str">
        <f>IFERROR(INDEX(온라인_반찬!$C$2:$J$597,MATCH($D8,온라인_반찬!$C$2:$C$597,0),8),"")</f>
        <v>토마토김치(종가집)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2338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1346</v>
      </c>
      <c r="E10" s="224">
        <v>150</v>
      </c>
      <c r="F10" s="224"/>
      <c r="G10" s="225" t="str">
        <f>IFERROR(INDEX(온라인_반찬!$C$2:$H$604,MATCH($D10,온라인_반찬!$C$2:$C$604,0),6),"")</f>
        <v>쌀(국산)90%, 찰보리(국산.친환경)5%, 정제수</v>
      </c>
      <c r="H10" s="226">
        <f>IFERROR(INDEX(온라인_반찬!$D$2:$J$597,MATCH($D10,온라인_반찬!$C$2:$C$597,0),6),"")</f>
        <v>0</v>
      </c>
      <c r="I10" s="227" t="s">
        <v>2357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2151</v>
      </c>
      <c r="E11" s="123">
        <v>160</v>
      </c>
      <c r="F11" s="124"/>
      <c r="G11" s="113" t="str">
        <f>IFERROR(INDEX(온라인_반찬!$C$2:$H$604,MATCH($D11,온라인_반찬!$C$2:$C$604,0),6),"")</f>
        <v>순두부(대두:미국,태나다.중국 등)70%, 정제수, 멸치육수농축액, 국간장</v>
      </c>
      <c r="H11" s="101" t="str">
        <f>IFERROR(INDEX(온라인_반찬!$D$2:$J$597,MATCH($D11,온라인_반찬!$C$2:$C$597,0),6),"")</f>
        <v>.5.</v>
      </c>
      <c r="I11" s="109" t="s">
        <v>2357</v>
      </c>
      <c r="J11" s="102"/>
      <c r="K11" s="101"/>
      <c r="L11" s="129" t="str">
        <f>IFERROR(INDEX(온라인_반찬!$C$2:$J$597,MATCH($D11,온라인_반찬!$C$2:$C$597,0),8),"")</f>
        <v>몽글순두부(풀무원)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1778</v>
      </c>
      <c r="E12" s="123">
        <v>80</v>
      </c>
      <c r="F12" s="124"/>
      <c r="G12" s="113" t="str">
        <f>IFERROR(INDEX(온라인_반찬!$C$2:$H$604,MATCH($D12,온라인_반찬!$C$2:$C$604,0),6),"")</f>
        <v>돼지고기(미국산)83%, 파인애클청크(파인애플:수입산), 양파, 피망, 파프리카, 당근, 스테이크소스, 바베큐소스, 후추, 참기름</v>
      </c>
      <c r="H12" s="101" t="str">
        <f>IFERROR(INDEX(온라인_반찬!$D$2:$J$597,MATCH($D12,온라인_반찬!$C$2:$C$597,0),6),"")</f>
        <v>.5.10.12.13.18.19.21.</v>
      </c>
      <c r="I12" s="109" t="s">
        <v>2357</v>
      </c>
      <c r="J12" s="102"/>
      <c r="K12" s="101"/>
      <c r="L12" s="129" t="str">
        <f>IFERROR(INDEX(온라인_반찬!$C$2:$J$597,MATCH($D12,온라인_반찬!$C$2:$C$597,0),8),"")</f>
        <v>스테이크소스(오뚜기), 바베큐소스(이츠웰)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2234</v>
      </c>
      <c r="E13" s="123">
        <v>40</v>
      </c>
      <c r="F13" s="124"/>
      <c r="G13" s="113" t="str">
        <f>IFERROR(INDEX(온라인_반찬!$C$2:$H$604,MATCH($D13,온라인_반찬!$C$2:$C$604,0),6),"")</f>
        <v>펜네(듀럼밀100%)66%, 명란(미국산), 꼬마새송이버섯(국산), 크림소스, 우유, 후추, 소금, 파슬리가루</v>
      </c>
      <c r="H13" s="101" t="str">
        <f>IFERROR(INDEX(온라인_반찬!$D$2:$J$597,MATCH($D13,온라인_반찬!$C$2:$C$597,0),6),"")</f>
        <v>.1.2.5.6.15.16.</v>
      </c>
      <c r="I13" s="109" t="s">
        <v>2357</v>
      </c>
      <c r="J13" s="102"/>
      <c r="K13" s="101"/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799</v>
      </c>
      <c r="E14" s="123"/>
      <c r="F14" s="124">
        <v>1</v>
      </c>
      <c r="G14" s="113" t="str">
        <f>IFERROR(INDEX(온라인_반찬!$C$2:$H$604,MATCH($D14,온라인_반찬!$C$2:$C$604,0),6),"")</f>
        <v>김(국산), 카놀라유(원료:외국산), 참기름, 정제소금</v>
      </c>
      <c r="H14" s="101" t="str">
        <f>IFERROR(INDEX(온라인_반찬!$D$2:$J$597,MATCH($D14,온라인_반찬!$C$2:$C$597,0),6),"")</f>
        <v>.21.</v>
      </c>
      <c r="I14" s="109" t="s">
        <v>2357</v>
      </c>
      <c r="J14" s="102"/>
      <c r="K14" s="101"/>
      <c r="L14" s="129" t="str">
        <f>IFERROR(INDEX(온라인_반찬!$C$2:$J$597,MATCH($D14,온라인_반찬!$C$2:$C$597,0),8),"")</f>
        <v>양반김(동원)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630</v>
      </c>
      <c r="E15" s="123">
        <v>35</v>
      </c>
      <c r="F15" s="123"/>
      <c r="G15" s="113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IFERROR(INDEX(온라인_반찬!$D$2:$J$597,MATCH($D15,온라인_반찬!$C$2:$C$597,0),6),"")</f>
        <v>.9.12.</v>
      </c>
      <c r="I15" s="109" t="s">
        <v>2357</v>
      </c>
      <c r="J15" s="102"/>
      <c r="K15" s="101"/>
      <c r="L15" s="129" t="str">
        <f>IFERROR(INDEX(온라인_반찬!$C$2:$J$597,MATCH($D15,온라인_반찬!$C$2:$C$597,0),8),"")</f>
        <v>토마토김치(종가집)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1476</v>
      </c>
      <c r="E16" s="123"/>
      <c r="F16" s="123">
        <v>3</v>
      </c>
      <c r="G16" s="113" t="str">
        <f>IFERROR(INDEX(온라인_반찬!$C$2:$H$604,MATCH($D16,온라인_반찬!$C$2:$C$604,0),6),"")</f>
        <v>닭날개(국산)95%, 맛술, 소금, 후추</v>
      </c>
      <c r="H16" s="101" t="str">
        <f>IFERROR(INDEX(온라인_반찬!$D$2:$J$597,MATCH($D16,온라인_반찬!$C$2:$C$597,0),6),"")</f>
        <v>.15.</v>
      </c>
      <c r="I16" s="109" t="s">
        <v>2357</v>
      </c>
      <c r="J16" s="102"/>
      <c r="K16" s="101"/>
      <c r="L16" s="165">
        <f>IFERROR(INDEX(온라인_반찬!$C$2:$J$597,MATCH($D16,온라인_반찬!$C$2:$C$597,0),8),"")</f>
        <v>0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2356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2356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2356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2356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2356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2356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15BB-E324-4A1D-98D8-A56B2F04B8B9}">
  <sheetPr>
    <pageSetUpPr fitToPage="1"/>
  </sheetPr>
  <dimension ref="B1:W27"/>
  <sheetViews>
    <sheetView zoomScale="80" zoomScaleNormal="80" zoomScaleSheetLayoutView="75" workbookViewId="0">
      <selection activeCell="G9" sqref="G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2361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1348</v>
      </c>
      <c r="E3" s="261">
        <v>140</v>
      </c>
      <c r="F3" s="261"/>
      <c r="G3" s="262" t="str">
        <f>IFERROR(INDEX(온라인_반찬!$C$2:$H$604,MATCH($D3,온라인_반찬!$C$2:$C$604,0),6),"")</f>
        <v>쌀(국산)90%, 현미(국산.친환경)5%, 정제수</v>
      </c>
      <c r="H3" s="263">
        <f>IFERROR(INDEX(온라인_반찬!$D$2:$J$597,MATCH($D3,온라인_반찬!$C$2:$C$597,0),6),"")</f>
        <v>0</v>
      </c>
      <c r="I3" s="264" t="s">
        <v>2359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1366</v>
      </c>
      <c r="E4" s="123">
        <v>150</v>
      </c>
      <c r="F4" s="124"/>
      <c r="G4" s="113" t="str">
        <f>IFERROR(INDEX(온라인_반찬!$C$2:$H$604,MATCH($D4,온라인_반찬!$C$2:$C$604,0),6),"")</f>
        <v>소고기(호주산)12%, 알배추(국산)7%, 느타리(국산), 청경채(국산), 대파, 마늘, 간장, 정제수, 소금</v>
      </c>
      <c r="H4" s="101" t="str">
        <f>IFERROR(INDEX(온라인_반찬!$D$2:$J$597,MATCH($D4,온라인_반찬!$C$2:$C$597,0),6),"")</f>
        <v>.5.16.</v>
      </c>
      <c r="I4" s="109" t="s">
        <v>2359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2053</v>
      </c>
      <c r="E5" s="123">
        <v>110</v>
      </c>
      <c r="F5" s="124"/>
      <c r="G5" s="113" t="str">
        <f>IFERROR(INDEX(온라인_반찬!$C$2:$H$604,MATCH($D5,온라인_반찬!$C$2:$C$604,0),6),"")</f>
        <v>양파(국산)15%, 돈민찌(국산)14.9%, 양배추, 감자, 당근, 대파, 마늘, 대두유 ,춘장, 짜장분말, 정제수, 전분</v>
      </c>
      <c r="H5" s="101" t="str">
        <f>IFERROR(INDEX(온라인_반찬!$D$2:$J$597,MATCH($D5,온라인_반찬!$C$2:$C$597,0),6),"")</f>
        <v>.2.5.6.10.15.16.</v>
      </c>
      <c r="I5" s="109" t="s">
        <v>2359</v>
      </c>
      <c r="J5" s="102"/>
      <c r="K5" s="101"/>
      <c r="L5" s="129" t="str">
        <f>IFERROR(INDEX(온라인_반찬!$C$2:$J$597,MATCH($D5,온라인_반찬!$C$2:$C$597,0),8),"")</f>
        <v>짜장분말(오뚜기), 춘장(신송식품)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2236</v>
      </c>
      <c r="E6" s="123"/>
      <c r="F6" s="124">
        <v>1</v>
      </c>
      <c r="G6" s="113" t="str">
        <f>IFERROR(INDEX(온라인_반찬!$C$2:$H$604,MATCH($D6,온라인_반찬!$C$2:$C$604,0),6),"")</f>
        <v>[두부(대두:외국산), 전란액(국산),대파(국산), 양배추, 당근, 대두유]</v>
      </c>
      <c r="H6" s="101" t="str">
        <f>IFERROR(INDEX(온라인_반찬!$D$2:$J$597,MATCH($D6,온라인_반찬!$C$2:$C$597,0),6),"")</f>
        <v>1.5.6.</v>
      </c>
      <c r="I6" s="109" t="s">
        <v>2359</v>
      </c>
      <c r="J6" s="102"/>
      <c r="K6" s="101"/>
      <c r="L6" s="129">
        <f>IFERROR(INDEX(온라인_반찬!$C$2:$J$597,MATCH($D6,온라인_반찬!$C$2:$C$597,0),8),"")</f>
        <v>0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1363</v>
      </c>
      <c r="E7" s="123">
        <v>30</v>
      </c>
      <c r="F7" s="124"/>
      <c r="G7" s="113" t="str">
        <f>IFERROR(INDEX(온라인_반찬!$C$2:$H$604,MATCH($D7,온라인_반찬!$C$2:$C$604,0),6),"")</f>
        <v>콩나물(원료수입산)80%, 크래미[명태연육80.26%(미국산), 감자전분(폴란드산, 국내산), 난백액(국내산), 게엑기스1.36%(국내산)]10%, 당근, 쪽파, 마늘, 허니머스터드, 식초, 설탕, 참기름, 참깨</v>
      </c>
      <c r="H7" s="101" t="str">
        <f>IFERROR(INDEX(온라인_반찬!$D$2:$J$597,MATCH($D7,온라인_반찬!$C$2:$C$597,0),6),"")</f>
        <v>.1.2.5.6.8.12.21.</v>
      </c>
      <c r="I7" s="109" t="s">
        <v>2359</v>
      </c>
      <c r="J7" s="102"/>
      <c r="K7" s="101"/>
      <c r="L7" s="129" t="str">
        <f>IFERROR(INDEX(온라인_반찬!$C$2:$J$597,MATCH($D7,온라인_반찬!$C$2:$C$597,0),8),"")</f>
        <v>크라비아(사조대림)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630</v>
      </c>
      <c r="E8" s="123">
        <v>25</v>
      </c>
      <c r="F8" s="123"/>
      <c r="G8" s="113" t="str">
        <f>IFERROR(INDEX(온라인_반찬!$C$2:$H$604,MATCH($D8,온라인_반찬!$C$2:$C$604,0),6),"")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IFERROR(INDEX(온라인_반찬!$D$2:$J$597,MATCH($D8,온라인_반찬!$C$2:$C$597,0),6),"")</f>
        <v>.9.12.</v>
      </c>
      <c r="I8" s="109" t="s">
        <v>2359</v>
      </c>
      <c r="J8" s="102"/>
      <c r="K8" s="101"/>
      <c r="L8" s="129" t="str">
        <f>IFERROR(INDEX(온라인_반찬!$C$2:$J$597,MATCH($D8,온라인_반찬!$C$2:$C$597,0),8),"")</f>
        <v>토마토김치(종가집)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 t="s">
        <v>2338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1348</v>
      </c>
      <c r="E10" s="224">
        <v>150</v>
      </c>
      <c r="F10" s="224"/>
      <c r="G10" s="225" t="str">
        <f>IFERROR(INDEX(온라인_반찬!$C$2:$H$604,MATCH($D10,온라인_반찬!$C$2:$C$604,0),6),"")</f>
        <v>쌀(국산)90%, 현미(국산.친환경)5%, 정제수</v>
      </c>
      <c r="H10" s="226">
        <f>IFERROR(INDEX(온라인_반찬!$D$2:$J$597,MATCH($D10,온라인_반찬!$C$2:$C$597,0),6),"")</f>
        <v>0</v>
      </c>
      <c r="I10" s="227" t="s">
        <v>2360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103" t="s">
        <v>1366</v>
      </c>
      <c r="E11" s="123">
        <v>160</v>
      </c>
      <c r="F11" s="124"/>
      <c r="G11" s="113" t="str">
        <f>IFERROR(INDEX(온라인_반찬!$C$2:$H$604,MATCH($D11,온라인_반찬!$C$2:$C$604,0),6),"")</f>
        <v>소고기(호주산)12%, 알배추(국산)7%, 느타리(국산), 청경채(국산), 대파, 마늘, 간장, 정제수, 소금</v>
      </c>
      <c r="H11" s="101" t="str">
        <f>IFERROR(INDEX(온라인_반찬!$D$2:$J$597,MATCH($D11,온라인_반찬!$C$2:$C$597,0),6),"")</f>
        <v>.5.16.</v>
      </c>
      <c r="I11" s="109" t="s">
        <v>2360</v>
      </c>
      <c r="J11" s="102"/>
      <c r="K11" s="101"/>
      <c r="L11" s="129">
        <f>IFERROR(INDEX(온라인_반찬!$C$2:$J$597,MATCH($D11,온라인_반찬!$C$2:$C$597,0),8),"")</f>
        <v>0</v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2053</v>
      </c>
      <c r="E12" s="123">
        <v>120</v>
      </c>
      <c r="F12" s="124"/>
      <c r="G12" s="113" t="str">
        <f>IFERROR(INDEX(온라인_반찬!$C$2:$H$604,MATCH($D12,온라인_반찬!$C$2:$C$604,0),6),"")</f>
        <v>양파(국산)15%, 돈민찌(국산)14.9%, 양배추, 감자, 당근, 대파, 마늘, 대두유 ,춘장, 짜장분말, 정제수, 전분</v>
      </c>
      <c r="H12" s="101" t="str">
        <f>IFERROR(INDEX(온라인_반찬!$D$2:$J$597,MATCH($D12,온라인_반찬!$C$2:$C$597,0),6),"")</f>
        <v>.2.5.6.10.15.16.</v>
      </c>
      <c r="I12" s="109" t="s">
        <v>2360</v>
      </c>
      <c r="J12" s="102"/>
      <c r="K12" s="101"/>
      <c r="L12" s="129" t="str">
        <f>IFERROR(INDEX(온라인_반찬!$C$2:$J$597,MATCH($D12,온라인_반찬!$C$2:$C$597,0),8),"")</f>
        <v>짜장분말(오뚜기), 춘장(신송식품)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2236</v>
      </c>
      <c r="E13" s="123"/>
      <c r="F13" s="124">
        <v>2</v>
      </c>
      <c r="G13" s="113" t="str">
        <f>IFERROR(INDEX(온라인_반찬!$C$2:$H$604,MATCH($D13,온라인_반찬!$C$2:$C$604,0),6),"")</f>
        <v>[두부(대두:외국산), 전란액(국산),대파(국산), 양배추, 당근, 대두유]</v>
      </c>
      <c r="H13" s="101" t="str">
        <f>IFERROR(INDEX(온라인_반찬!$D$2:$J$597,MATCH($D13,온라인_반찬!$C$2:$C$597,0),6),"")</f>
        <v>1.5.6.</v>
      </c>
      <c r="I13" s="109" t="s">
        <v>2360</v>
      </c>
      <c r="J13" s="102"/>
      <c r="K13" s="101"/>
      <c r="L13" s="129">
        <f>IFERROR(INDEX(온라인_반찬!$C$2:$J$597,MATCH($D13,온라인_반찬!$C$2:$C$597,0),8),"")</f>
        <v>0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1363</v>
      </c>
      <c r="E14" s="123">
        <v>40</v>
      </c>
      <c r="F14" s="124"/>
      <c r="G14" s="113" t="str">
        <f>IFERROR(INDEX(온라인_반찬!$C$2:$H$604,MATCH($D14,온라인_반찬!$C$2:$C$604,0),6),"")</f>
        <v>콩나물(원료수입산)80%, 크래미[명태연육80.26%(미국산), 감자전분(폴란드산, 국내산), 난백액(국내산), 게엑기스1.36%(국내산)]10%, 당근, 쪽파, 마늘, 허니머스터드, 식초, 설탕, 참기름, 참깨</v>
      </c>
      <c r="H14" s="101" t="str">
        <f>IFERROR(INDEX(온라인_반찬!$D$2:$J$597,MATCH($D14,온라인_반찬!$C$2:$C$597,0),6),"")</f>
        <v>.1.2.5.6.8.12.21.</v>
      </c>
      <c r="I14" s="109" t="s">
        <v>2360</v>
      </c>
      <c r="J14" s="102"/>
      <c r="K14" s="101"/>
      <c r="L14" s="129" t="str">
        <f>IFERROR(INDEX(온라인_반찬!$C$2:$J$597,MATCH($D14,온라인_반찬!$C$2:$C$597,0),8),"")</f>
        <v>크라비아(사조대림)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630</v>
      </c>
      <c r="E15" s="123">
        <v>35</v>
      </c>
      <c r="F15" s="123"/>
      <c r="G15" s="113" t="str">
        <f>IFERROR(INDEX(온라인_반찬!$C$2:$H$604,MATCH($D15,온라인_반찬!$C$2:$C$604,0),6),"")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IFERROR(INDEX(온라인_반찬!$D$2:$J$597,MATCH($D15,온라인_반찬!$C$2:$C$597,0),6),"")</f>
        <v>.9.12.</v>
      </c>
      <c r="I15" s="109" t="s">
        <v>2360</v>
      </c>
      <c r="J15" s="102"/>
      <c r="K15" s="101"/>
      <c r="L15" s="129" t="str">
        <f>IFERROR(INDEX(온라인_반찬!$C$2:$J$597,MATCH($D15,온라인_반찬!$C$2:$C$597,0),8),"")</f>
        <v>토마토김치(종가집)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1715</v>
      </c>
      <c r="E16" s="123">
        <v>70</v>
      </c>
      <c r="F16" s="123"/>
      <c r="G16" s="113" t="str">
        <f>IFERROR(INDEX(온라인_반찬!$C$2:$H$604,MATCH($D16,온라인_반찬!$C$2:$C$604,0),6),"")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6" s="101" t="str">
        <f>IFERROR(INDEX(온라인_반찬!$D$2:$J$597,MATCH($D16,온라인_반찬!$C$2:$C$597,0),6),"")</f>
        <v>.1.5.6.10.18.21.</v>
      </c>
      <c r="I16" s="109" t="s">
        <v>2360</v>
      </c>
      <c r="J16" s="102"/>
      <c r="K16" s="101"/>
      <c r="L16" s="165" t="str">
        <f>IFERROR(INDEX(온라인_반찬!$C$2:$J$597,MATCH($D16,온라인_반찬!$C$2:$C$597,0),8),"")</f>
        <v>훈제오리(에스에프)</v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2359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2359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2359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2359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2359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2359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9C7-C2F3-454F-BAEC-5DC462B0F45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1" t="s">
        <v>2362</v>
      </c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120" t="s">
        <v>1610</v>
      </c>
      <c r="P1" s="248" t="s">
        <v>1664</v>
      </c>
      <c r="S1" s="213" t="s">
        <v>1833</v>
      </c>
    </row>
    <row r="2" spans="2:23" ht="24.95" customHeight="1" thickBot="1">
      <c r="B2" s="251" t="s">
        <v>640</v>
      </c>
      <c r="C2" s="252" t="s">
        <v>293</v>
      </c>
      <c r="D2" s="136" t="s">
        <v>1047</v>
      </c>
      <c r="E2" s="253" t="s">
        <v>374</v>
      </c>
      <c r="F2" s="253" t="s">
        <v>361</v>
      </c>
      <c r="G2" s="136" t="s">
        <v>646</v>
      </c>
      <c r="H2" s="254" t="s">
        <v>979</v>
      </c>
      <c r="I2" s="255" t="s">
        <v>358</v>
      </c>
      <c r="J2" s="256" t="s">
        <v>2073</v>
      </c>
      <c r="K2" s="257" t="s">
        <v>313</v>
      </c>
      <c r="L2" s="258" t="s">
        <v>88</v>
      </c>
      <c r="M2" s="213" t="s">
        <v>1663</v>
      </c>
      <c r="N2" s="120"/>
      <c r="P2" s="248" t="s">
        <v>1665</v>
      </c>
      <c r="R2" s="120"/>
      <c r="S2" s="120" t="s">
        <v>918</v>
      </c>
    </row>
    <row r="3" spans="2:23" ht="39.950000000000003" customHeight="1">
      <c r="B3" s="322" t="s">
        <v>684</v>
      </c>
      <c r="C3" s="259" t="s">
        <v>620</v>
      </c>
      <c r="D3" s="260" t="s">
        <v>1762</v>
      </c>
      <c r="E3" s="261">
        <v>140</v>
      </c>
      <c r="F3" s="261"/>
      <c r="G3" s="262" t="str">
        <f>IFERROR(INDEX(온라인_반찬!$C$2:$H$604,MATCH($D3,온라인_반찬!$C$2:$C$604,0),6),"")</f>
        <v>쌀(국산)90%, 귀리(국산.친환경)5%, 정제수</v>
      </c>
      <c r="H3" s="263">
        <f>IFERROR(INDEX(온라인_반찬!$D$2:$J$597,MATCH($D3,온라인_반찬!$C$2:$C$597,0),6),"")</f>
        <v>0</v>
      </c>
      <c r="I3" s="264" t="s">
        <v>2363</v>
      </c>
      <c r="J3" s="265"/>
      <c r="K3" s="263"/>
      <c r="L3" s="266">
        <f>IFERROR(INDEX(온라인_반찬!$C$2:$J$597,MATCH($D3,온라인_반찬!$C$2:$C$597,0),8),"")</f>
        <v>0</v>
      </c>
      <c r="M3" s="120" t="s">
        <v>838</v>
      </c>
      <c r="N3" s="120"/>
      <c r="O3" s="120" t="s">
        <v>1093</v>
      </c>
      <c r="R3" s="120"/>
      <c r="S3" s="120" t="s">
        <v>1241</v>
      </c>
    </row>
    <row r="4" spans="2:23" ht="39.950000000000003" customHeight="1">
      <c r="B4" s="323"/>
      <c r="C4" s="244" t="s">
        <v>624</v>
      </c>
      <c r="D4" s="103" t="s">
        <v>2240</v>
      </c>
      <c r="E4" s="123">
        <v>150</v>
      </c>
      <c r="F4" s="124"/>
      <c r="G4" s="113" t="str">
        <f>IFERROR(INDEX(온라인_반찬!$C$2:$H$604,MATCH($D4,온라인_반찬!$C$2:$C$604,0),6),"")</f>
        <v>닭고기(국내산)12%, 숙주(녹두:외국산), 파, 마늘, 소금, 치킨스톡</v>
      </c>
      <c r="H4" s="101" t="str">
        <f>IFERROR(INDEX(온라인_반찬!$D$2:$J$597,MATCH($D4,온라인_반찬!$C$2:$C$597,0),6),"")</f>
        <v>.5.16.</v>
      </c>
      <c r="I4" s="109" t="s">
        <v>2363</v>
      </c>
      <c r="J4" s="102"/>
      <c r="K4" s="101"/>
      <c r="L4" s="129">
        <f>IFERROR(INDEX(온라인_반찬!$C$2:$J$597,MATCH($D4,온라인_반찬!$C$2:$C$597,0),8),"")</f>
        <v>0</v>
      </c>
      <c r="M4" s="213" t="s">
        <v>1834</v>
      </c>
      <c r="N4" s="120"/>
      <c r="P4" s="120" t="s">
        <v>1248</v>
      </c>
      <c r="R4" s="120"/>
      <c r="S4" s="120" t="s">
        <v>755</v>
      </c>
    </row>
    <row r="5" spans="2:23" ht="39.950000000000003" customHeight="1">
      <c r="B5" s="323"/>
      <c r="C5" s="244" t="s">
        <v>621</v>
      </c>
      <c r="D5" s="103" t="s">
        <v>654</v>
      </c>
      <c r="E5" s="123">
        <v>60</v>
      </c>
      <c r="F5" s="124"/>
      <c r="G5" s="113" t="str">
        <f>IFERROR(INDEX(온라인_반찬!$C$2:$H$604,MATCH($D5,온라인_반찬!$C$2:$C$604,0),6),"")</f>
        <v xml:space="preserve"> 소고기(호주산)60%, 표고버섯(중국산)18%, 양파, 당근, 대파, 마늘, 간장, 대두유, 소금, 후추, 참기름</v>
      </c>
      <c r="H5" s="101" t="str">
        <f>IFERROR(INDEX(온라인_반찬!$D$2:$J$597,MATCH($D5,온라인_반찬!$C$2:$C$597,0),6),"")</f>
        <v>.5.16.21.</v>
      </c>
      <c r="I5" s="109" t="s">
        <v>2363</v>
      </c>
      <c r="J5" s="102"/>
      <c r="K5" s="101"/>
      <c r="L5" s="129">
        <f>IFERROR(INDEX(온라인_반찬!$C$2:$J$597,MATCH($D5,온라인_반찬!$C$2:$C$597,0),8),"")</f>
        <v>0</v>
      </c>
      <c r="M5" s="120" t="s">
        <v>917</v>
      </c>
      <c r="N5" s="120"/>
      <c r="R5" s="120"/>
      <c r="S5" s="325" t="s">
        <v>1798</v>
      </c>
      <c r="T5" s="325"/>
      <c r="U5" s="325"/>
      <c r="V5" s="325"/>
      <c r="W5" s="325"/>
    </row>
    <row r="6" spans="2:23" ht="39.950000000000003" customHeight="1">
      <c r="B6" s="323"/>
      <c r="C6" s="244" t="s">
        <v>622</v>
      </c>
      <c r="D6" s="103" t="s">
        <v>855</v>
      </c>
      <c r="E6" s="123"/>
      <c r="F6" s="124">
        <v>2</v>
      </c>
      <c r="G6" s="113" t="str">
        <f>IFERROR(INDEX(온라인_반찬!$C$2:$H$604,MATCH($D6,온라인_반찬!$C$2:$C$604,0),6),"")</f>
        <v>돈까스 [돼지고기(국산)29.38%, 닭고기(국산)21.15%, 정제수, 밀가루, 옥수수전분, 정제소금, 흑후추, 마늘], 대두유</v>
      </c>
      <c r="H6" s="101" t="str">
        <f>IFERROR(INDEX(온라인_반찬!$D$2:$J$597,MATCH($D6,온라인_반찬!$C$2:$C$597,0),6),"")</f>
        <v>.1.5.6.10.15.</v>
      </c>
      <c r="I6" s="109" t="s">
        <v>2363</v>
      </c>
      <c r="J6" s="102"/>
      <c r="K6" s="101"/>
      <c r="L6" s="129" t="str">
        <f>IFERROR(INDEX(온라인_반찬!$C$2:$J$597,MATCH($D6,온라인_반찬!$C$2:$C$597,0),8),"")</f>
        <v xml:space="preserve">113128 천일식품 미니돈까스(1Kg/EA) 개당10g / 100개 내외입. </v>
      </c>
      <c r="M6" s="120" t="s">
        <v>810</v>
      </c>
      <c r="N6" s="120"/>
      <c r="P6" s="120" t="s">
        <v>1249</v>
      </c>
      <c r="R6" s="120"/>
      <c r="S6" s="120" t="s">
        <v>915</v>
      </c>
    </row>
    <row r="7" spans="2:23" ht="39.950000000000003" customHeight="1">
      <c r="B7" s="323"/>
      <c r="C7" s="160" t="s">
        <v>290</v>
      </c>
      <c r="D7" s="103" t="s">
        <v>1515</v>
      </c>
      <c r="E7" s="123">
        <v>8</v>
      </c>
      <c r="F7" s="124"/>
      <c r="G7" s="113" t="str">
        <f>IFERROR(INDEX(온라인_반찬!$C$2:$H$604,MATCH($D7,온라인_반찬!$C$2:$C$604,0),6),"")</f>
        <v>건파래김(국산)85.4%, 대두유, 들기름, 설탕, 맛소금, 참깨</v>
      </c>
      <c r="H7" s="101" t="str">
        <f>IFERROR(INDEX(온라인_반찬!$D$2:$J$597,MATCH($D7,온라인_반찬!$C$2:$C$597,0),6),"")</f>
        <v>.5.21.22.</v>
      </c>
      <c r="I7" s="109" t="s">
        <v>2363</v>
      </c>
      <c r="J7" s="102"/>
      <c r="K7" s="101"/>
      <c r="L7" s="129" t="str">
        <f>IFERROR(INDEX(온라인_반찬!$C$2:$J$597,MATCH($D7,온라인_반찬!$C$2:$C$597,0),8),"")</f>
        <v>유아8g / 중구청10g</v>
      </c>
      <c r="M7" s="120" t="s">
        <v>687</v>
      </c>
      <c r="N7" s="120"/>
      <c r="P7" s="120" t="s">
        <v>1268</v>
      </c>
      <c r="R7" s="120"/>
      <c r="S7" s="120" t="s">
        <v>832</v>
      </c>
    </row>
    <row r="8" spans="2:23" ht="39.950000000000003" customHeight="1">
      <c r="B8" s="323"/>
      <c r="C8" s="245" t="s">
        <v>819</v>
      </c>
      <c r="D8" s="103" t="s">
        <v>631</v>
      </c>
      <c r="E8" s="123">
        <v>25</v>
      </c>
      <c r="F8" s="123"/>
      <c r="G8" s="113" t="str">
        <f>IFERROR(INDEX(온라인_반찬!$C$2:$H$604,MATCH($D8,온라인_반찬!$C$2:$C$604,0),6),"")</f>
        <v>무(국산)85.2%, 고추가루(국산), 밀가루풀(국산), 파, 마늘, 새우젓 등 양념(국산)</v>
      </c>
      <c r="H8" s="101" t="str">
        <f>IFERROR(INDEX(온라인_반찬!$D$2:$J$597,MATCH($D8,온라인_반찬!$C$2:$C$597,0),6),"")</f>
        <v>.6.9.</v>
      </c>
      <c r="I8" s="109" t="s">
        <v>2363</v>
      </c>
      <c r="J8" s="102"/>
      <c r="K8" s="101"/>
      <c r="L8" s="129">
        <f>IFERROR(INDEX(온라인_반찬!$C$2:$J$597,MATCH($D8,온라인_반찬!$C$2:$C$597,0),8),"")</f>
        <v>0</v>
      </c>
      <c r="M8" s="120" t="s">
        <v>1393</v>
      </c>
      <c r="N8" s="120"/>
      <c r="P8" s="120" t="s">
        <v>1404</v>
      </c>
      <c r="R8" s="120"/>
      <c r="S8" s="120" t="s">
        <v>1647</v>
      </c>
    </row>
    <row r="9" spans="2:23" ht="39.950000000000003" customHeight="1" thickBot="1">
      <c r="B9" s="324"/>
      <c r="C9" s="161" t="s">
        <v>97</v>
      </c>
      <c r="D9" s="210"/>
      <c r="E9" s="131"/>
      <c r="F9" s="132"/>
      <c r="G9" s="274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3" t="s">
        <v>2129</v>
      </c>
      <c r="C10" s="250" t="s">
        <v>620</v>
      </c>
      <c r="D10" s="260" t="s">
        <v>1762</v>
      </c>
      <c r="E10" s="224">
        <v>150</v>
      </c>
      <c r="F10" s="224"/>
      <c r="G10" s="225" t="str">
        <f>IFERROR(INDEX(온라인_반찬!$C$2:$H$604,MATCH($D10,온라인_반찬!$C$2:$C$604,0),6),"")</f>
        <v>쌀(국산)90%, 귀리(국산.친환경)5%, 정제수</v>
      </c>
      <c r="H10" s="226">
        <f>IFERROR(INDEX(온라인_반찬!$D$2:$J$597,MATCH($D10,온라인_반찬!$C$2:$C$597,0),6),"")</f>
        <v>0</v>
      </c>
      <c r="I10" s="227" t="s">
        <v>2364</v>
      </c>
      <c r="J10" s="265"/>
      <c r="K10" s="263"/>
      <c r="L10" s="228">
        <f>IFERROR(INDEX(온라인_반찬!$C$2:$J$597,MATCH($D10,온라인_반찬!$C$2:$C$597,0),8),"")</f>
        <v>0</v>
      </c>
      <c r="M10" s="120" t="s">
        <v>1395</v>
      </c>
      <c r="N10" s="120"/>
      <c r="O10" s="120"/>
      <c r="P10" s="120" t="s">
        <v>1456</v>
      </c>
      <c r="S10" s="120" t="s">
        <v>1648</v>
      </c>
    </row>
    <row r="11" spans="2:23" ht="39.950000000000003" customHeight="1">
      <c r="B11" s="323"/>
      <c r="C11" s="244" t="s">
        <v>624</v>
      </c>
      <c r="D11" s="276" t="s">
        <v>2251</v>
      </c>
      <c r="E11" s="277">
        <v>160</v>
      </c>
      <c r="F11" s="278"/>
      <c r="G11" s="279" t="s">
        <v>2365</v>
      </c>
      <c r="H11" s="280" t="s">
        <v>2244</v>
      </c>
      <c r="I11" s="109" t="s">
        <v>2364</v>
      </c>
      <c r="J11" s="102"/>
      <c r="K11" s="101"/>
      <c r="L11" s="129" t="str">
        <f>IFERROR(INDEX(온라인_반찬!$C$2:$J$597,MATCH($D11,온라인_반찬!$C$2:$C$597,0),8),"")</f>
        <v/>
      </c>
      <c r="M11" s="120" t="s">
        <v>1835</v>
      </c>
      <c r="N11" s="120"/>
      <c r="O11" s="120"/>
      <c r="P11" s="120" t="s">
        <v>1885</v>
      </c>
      <c r="S11" s="120" t="s">
        <v>1886</v>
      </c>
    </row>
    <row r="12" spans="2:23" ht="39.950000000000003" customHeight="1">
      <c r="B12" s="323"/>
      <c r="C12" s="244" t="s">
        <v>621</v>
      </c>
      <c r="D12" s="103" t="s">
        <v>654</v>
      </c>
      <c r="E12" s="123">
        <v>80</v>
      </c>
      <c r="F12" s="124"/>
      <c r="G12" s="113" t="str">
        <f>IFERROR(INDEX(온라인_반찬!$C$2:$H$604,MATCH($D12,온라인_반찬!$C$2:$C$604,0),6),"")</f>
        <v xml:space="preserve"> 소고기(호주산)60%, 표고버섯(중국산)18%, 양파, 당근, 대파, 마늘, 간장, 대두유, 소금, 후추, 참기름</v>
      </c>
      <c r="H12" s="101" t="str">
        <f>IFERROR(INDEX(온라인_반찬!$D$2:$J$597,MATCH($D12,온라인_반찬!$C$2:$C$597,0),6),"")</f>
        <v>.5.16.21.</v>
      </c>
      <c r="I12" s="109" t="s">
        <v>2364</v>
      </c>
      <c r="J12" s="102"/>
      <c r="K12" s="101"/>
      <c r="L12" s="129">
        <f>IFERROR(INDEX(온라인_반찬!$C$2:$J$597,MATCH($D12,온라인_반찬!$C$2:$C$597,0),8),"")</f>
        <v>0</v>
      </c>
      <c r="M12" s="120"/>
      <c r="N12" s="120"/>
      <c r="O12" s="120"/>
    </row>
    <row r="13" spans="2:23" ht="39.950000000000003" customHeight="1">
      <c r="B13" s="323"/>
      <c r="C13" s="244" t="s">
        <v>622</v>
      </c>
      <c r="D13" s="103" t="s">
        <v>855</v>
      </c>
      <c r="E13" s="123"/>
      <c r="F13" s="124">
        <v>3</v>
      </c>
      <c r="G13" s="113" t="str">
        <f>IFERROR(INDEX(온라인_반찬!$C$2:$H$604,MATCH($D13,온라인_반찬!$C$2:$C$604,0),6),"")</f>
        <v>돈까스 [돼지고기(국산)29.38%, 닭고기(국산)21.15%, 정제수, 밀가루, 옥수수전분, 정제소금, 흑후추, 마늘], 대두유</v>
      </c>
      <c r="H13" s="101" t="str">
        <f>IFERROR(INDEX(온라인_반찬!$D$2:$J$597,MATCH($D13,온라인_반찬!$C$2:$C$597,0),6),"")</f>
        <v>.1.5.6.10.15.</v>
      </c>
      <c r="I13" s="109" t="s">
        <v>2364</v>
      </c>
      <c r="J13" s="102"/>
      <c r="K13" s="101"/>
      <c r="L13" s="129" t="str">
        <f>IFERROR(INDEX(온라인_반찬!$C$2:$J$597,MATCH($D13,온라인_반찬!$C$2:$C$597,0),8),"")</f>
        <v xml:space="preserve">113128 천일식품 미니돈까스(1Kg/EA) 개당10g / 100개 내외입. </v>
      </c>
      <c r="M13" s="120"/>
      <c r="N13" s="120"/>
      <c r="O13" s="120"/>
    </row>
    <row r="14" spans="2:23" ht="39.950000000000003" customHeight="1">
      <c r="B14" s="323"/>
      <c r="C14" s="160" t="s">
        <v>290</v>
      </c>
      <c r="D14" s="103" t="s">
        <v>1515</v>
      </c>
      <c r="E14" s="123">
        <v>10</v>
      </c>
      <c r="F14" s="124"/>
      <c r="G14" s="113" t="str">
        <f>IFERROR(INDEX(온라인_반찬!$C$2:$H$604,MATCH($D14,온라인_반찬!$C$2:$C$604,0),6),"")</f>
        <v>건파래김(국산)85.4%, 대두유, 들기름, 설탕, 맛소금, 참깨</v>
      </c>
      <c r="H14" s="101" t="str">
        <f>IFERROR(INDEX(온라인_반찬!$D$2:$J$597,MATCH($D14,온라인_반찬!$C$2:$C$597,0),6),"")</f>
        <v>.5.21.22.</v>
      </c>
      <c r="I14" s="109" t="s">
        <v>2364</v>
      </c>
      <c r="J14" s="102"/>
      <c r="K14" s="101"/>
      <c r="L14" s="129" t="str">
        <f>IFERROR(INDEX(온라인_반찬!$C$2:$J$597,MATCH($D14,온라인_반찬!$C$2:$C$597,0),8),"")</f>
        <v>유아8g / 중구청10g</v>
      </c>
      <c r="M14" s="120"/>
      <c r="N14" s="120"/>
      <c r="O14" s="120"/>
    </row>
    <row r="15" spans="2:23" ht="39.950000000000003" customHeight="1">
      <c r="B15" s="323"/>
      <c r="C15" s="245" t="s">
        <v>819</v>
      </c>
      <c r="D15" s="103" t="s">
        <v>631</v>
      </c>
      <c r="E15" s="123">
        <v>35</v>
      </c>
      <c r="F15" s="123"/>
      <c r="G15" s="113" t="str">
        <f>IFERROR(INDEX(온라인_반찬!$C$2:$H$604,MATCH($D15,온라인_반찬!$C$2:$C$604,0),6),"")</f>
        <v>무(국산)85.2%, 고추가루(국산), 밀가루풀(국산), 파, 마늘, 새우젓 등 양념(국산)</v>
      </c>
      <c r="H15" s="101" t="str">
        <f>IFERROR(INDEX(온라인_반찬!$D$2:$J$597,MATCH($D15,온라인_반찬!$C$2:$C$597,0),6),"")</f>
        <v>.6.9.</v>
      </c>
      <c r="I15" s="109" t="s">
        <v>2364</v>
      </c>
      <c r="J15" s="102"/>
      <c r="K15" s="101"/>
      <c r="L15" s="129">
        <f>IFERROR(INDEX(온라인_반찬!$C$2:$J$597,MATCH($D15,온라인_반찬!$C$2:$C$597,0),8),"")</f>
        <v>0</v>
      </c>
      <c r="M15" s="120"/>
      <c r="N15" s="120"/>
      <c r="O15" s="120"/>
    </row>
    <row r="16" spans="2:23" ht="39.950000000000003" customHeight="1">
      <c r="B16" s="323"/>
      <c r="C16" s="221" t="s">
        <v>1392</v>
      </c>
      <c r="D16" s="103" t="s">
        <v>2035</v>
      </c>
      <c r="E16" s="123"/>
      <c r="F16" s="123"/>
      <c r="G16" s="113" t="str">
        <f>IFERROR(INDEX(온라인_반찬!$C$2:$H$604,MATCH($D16,온라인_반찬!$C$2:$C$604,0),6),"")</f>
        <v/>
      </c>
      <c r="H16" s="101" t="str">
        <f>IFERROR(INDEX(온라인_반찬!$D$2:$J$597,MATCH($D16,온라인_반찬!$C$2:$C$597,0),6),"")</f>
        <v/>
      </c>
      <c r="I16" s="109" t="s">
        <v>2364</v>
      </c>
      <c r="J16" s="102"/>
      <c r="K16" s="101"/>
      <c r="L16" s="165" t="str">
        <f>IFERROR(INDEX(온라인_반찬!$C$2:$J$597,MATCH($D16,온라인_반찬!$C$2:$C$597,0),8),"")</f>
        <v/>
      </c>
      <c r="M16" s="120"/>
      <c r="N16" s="120"/>
      <c r="O16" s="120"/>
    </row>
    <row r="17" spans="2:15" ht="39.950000000000003" customHeight="1" thickBot="1">
      <c r="B17" s="324"/>
      <c r="C17" s="161" t="s">
        <v>97</v>
      </c>
      <c r="D17" s="210"/>
      <c r="E17" s="131"/>
      <c r="F17" s="132"/>
      <c r="G17" s="214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26" t="s">
        <v>1602</v>
      </c>
      <c r="C18" s="100" t="s">
        <v>620</v>
      </c>
      <c r="D18" s="162"/>
      <c r="E18" s="123"/>
      <c r="F18" s="123"/>
      <c r="G18" s="113" t="str">
        <f>IFERROR(INDEX(온라인_반찬!$C$2:$H$604,MATCH($D18,온라인_반찬!$C$2:$C$604,0),6),"")</f>
        <v/>
      </c>
      <c r="H18" s="101" t="str">
        <f>IFERROR(INDEX(온라인_반찬!$D$2:$J$597,MATCH($D18,온라인_반찬!$C$2:$C$597,0),6),"")</f>
        <v/>
      </c>
      <c r="I18" s="109" t="s">
        <v>2363</v>
      </c>
      <c r="J18" s="158"/>
      <c r="K18" s="158"/>
      <c r="L18" s="129" t="str">
        <f>IFERROR(INDEX(온라인_반찬!$C$2:$J$597,MATCH($D18,온라인_반찬!$C$2:$C$597,0),8),"")</f>
        <v/>
      </c>
      <c r="M18" s="120"/>
    </row>
    <row r="19" spans="2:15" ht="39.950000000000003" customHeight="1">
      <c r="B19" s="327"/>
      <c r="C19" s="329" t="s">
        <v>622</v>
      </c>
      <c r="D19" s="162"/>
      <c r="E19" s="123"/>
      <c r="F19" s="123"/>
      <c r="G19" s="113" t="str">
        <f>IFERROR(INDEX(온라인_반찬!$C$2:$H$604,MATCH($D19,온라인_반찬!$C$2:$C$604,0),6),"")</f>
        <v/>
      </c>
      <c r="H19" s="101" t="str">
        <f>IFERROR(INDEX(온라인_반찬!$D$2:$J$597,MATCH($D19,온라인_반찬!$C$2:$C$597,0),6),"")</f>
        <v/>
      </c>
      <c r="I19" s="109" t="s">
        <v>2363</v>
      </c>
      <c r="J19" s="158"/>
      <c r="K19" s="158"/>
      <c r="L19" s="129" t="str">
        <f>IFERROR(INDEX(온라인_반찬!$C$2:$J$597,MATCH($D19,온라인_반찬!$C$2:$C$597,0),8),"")</f>
        <v/>
      </c>
      <c r="M19" s="120"/>
    </row>
    <row r="20" spans="2:15" ht="39.950000000000003" customHeight="1">
      <c r="B20" s="327"/>
      <c r="C20" s="330"/>
      <c r="D20" s="162"/>
      <c r="E20" s="123"/>
      <c r="F20" s="123"/>
      <c r="G20" s="113" t="str">
        <f>IFERROR(INDEX(온라인_반찬!$C$2:$H$604,MATCH($D20,온라인_반찬!$C$2:$C$604,0),6),"")</f>
        <v/>
      </c>
      <c r="H20" s="101" t="str">
        <f>IFERROR(INDEX(온라인_반찬!$D$2:$J$597,MATCH($D20,온라인_반찬!$C$2:$C$597,0),6),"")</f>
        <v/>
      </c>
      <c r="I20" s="109" t="s">
        <v>2363</v>
      </c>
      <c r="J20" s="158"/>
      <c r="K20" s="158"/>
      <c r="L20" s="129" t="str">
        <f>IFERROR(INDEX(온라인_반찬!$C$2:$J$597,MATCH($D20,온라인_반찬!$C$2:$C$597,0),8),"")</f>
        <v/>
      </c>
      <c r="M20" s="120"/>
    </row>
    <row r="21" spans="2:15" ht="39.950000000000003" customHeight="1">
      <c r="B21" s="327"/>
      <c r="C21" s="160" t="s">
        <v>623</v>
      </c>
      <c r="D21" s="162"/>
      <c r="E21" s="123"/>
      <c r="F21" s="123"/>
      <c r="G21" s="113" t="str">
        <f>IFERROR(INDEX(온라인_반찬!$C$2:$H$604,MATCH($D21,온라인_반찬!$C$2:$C$604,0),6),"")</f>
        <v/>
      </c>
      <c r="H21" s="101" t="str">
        <f>IFERROR(INDEX(온라인_반찬!$D$2:$J$597,MATCH($D21,온라인_반찬!$C$2:$C$597,0),6),"")</f>
        <v/>
      </c>
      <c r="I21" s="109" t="s">
        <v>2363</v>
      </c>
      <c r="J21" s="158"/>
      <c r="K21" s="158"/>
      <c r="L21" s="129" t="str">
        <f>IFERROR(INDEX(온라인_반찬!$C$2:$J$597,MATCH($D21,온라인_반찬!$C$2:$C$597,0),8),"")</f>
        <v/>
      </c>
      <c r="M21" s="120"/>
    </row>
    <row r="22" spans="2:15" ht="39.950000000000003" customHeight="1">
      <c r="B22" s="327"/>
      <c r="C22" s="114" t="s">
        <v>819</v>
      </c>
      <c r="D22" s="162"/>
      <c r="E22" s="123"/>
      <c r="F22" s="123"/>
      <c r="G22" s="113" t="str">
        <f>IFERROR(INDEX(온라인_반찬!$C$2:$H$604,MATCH($D22,온라인_반찬!$C$2:$C$604,0),6),"")</f>
        <v/>
      </c>
      <c r="H22" s="101" t="str">
        <f>IFERROR(INDEX(온라인_반찬!$D$2:$J$597,MATCH($D22,온라인_반찬!$C$2:$C$597,0),6),"")</f>
        <v/>
      </c>
      <c r="I22" s="109" t="s">
        <v>2363</v>
      </c>
      <c r="J22" s="158"/>
      <c r="K22" s="158"/>
      <c r="L22" s="129" t="str">
        <f>IFERROR(INDEX(온라인_반찬!$C$2:$J$597,MATCH($D22,온라인_반찬!$C$2:$C$597,0),8),"")</f>
        <v/>
      </c>
      <c r="M22" s="120"/>
    </row>
    <row r="23" spans="2:15" ht="39.950000000000003" customHeight="1">
      <c r="B23" s="327"/>
      <c r="C23" s="160" t="s">
        <v>102</v>
      </c>
      <c r="D23" s="162"/>
      <c r="E23" s="123"/>
      <c r="F23" s="123"/>
      <c r="G23" s="113" t="str">
        <f>IFERROR(INDEX(온라인_반찬!$C$2:$H$604,MATCH($D23,온라인_반찬!$C$2:$C$604,0),6),"")</f>
        <v/>
      </c>
      <c r="H23" s="101" t="str">
        <f>IFERROR(INDEX(온라인_반찬!$D$2:$J$597,MATCH($D23,온라인_반찬!$C$2:$C$597,0),6),"")</f>
        <v/>
      </c>
      <c r="I23" s="109" t="s">
        <v>2363</v>
      </c>
      <c r="J23" s="158"/>
      <c r="K23" s="158"/>
      <c r="L23" s="129" t="str">
        <f>IFERROR(INDEX(온라인_반찬!$C$2:$J$597,MATCH($D23,온라인_반찬!$C$2:$C$597,0),8),"")</f>
        <v/>
      </c>
      <c r="M23" s="120"/>
    </row>
    <row r="24" spans="2:15" ht="39.950000000000003" customHeight="1" thickBot="1">
      <c r="B24" s="328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666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35</vt:i4>
      </vt:variant>
    </vt:vector>
  </HeadingPairs>
  <TitlesOfParts>
    <vt:vector size="64" baseType="lpstr">
      <vt:lpstr>식단표 (알레르기표기) (석식)</vt:lpstr>
      <vt:lpstr>식단표 (알레르기표기)(유아식)</vt:lpstr>
      <vt:lpstr>온라인_반찬</vt:lpstr>
      <vt:lpstr>03-03</vt:lpstr>
      <vt:lpstr>03-04</vt:lpstr>
      <vt:lpstr>03-05</vt:lpstr>
      <vt:lpstr>03-06</vt:lpstr>
      <vt:lpstr>03-09</vt:lpstr>
      <vt:lpstr>03-10</vt:lpstr>
      <vt:lpstr>03-11</vt:lpstr>
      <vt:lpstr>03-12</vt:lpstr>
      <vt:lpstr>03-13</vt:lpstr>
      <vt:lpstr>03-16</vt:lpstr>
      <vt:lpstr>03-17</vt:lpstr>
      <vt:lpstr>03-18</vt:lpstr>
      <vt:lpstr>03-19</vt:lpstr>
      <vt:lpstr>03-20</vt:lpstr>
      <vt:lpstr>03-23</vt:lpstr>
      <vt:lpstr>03-24</vt:lpstr>
      <vt:lpstr>03-25</vt:lpstr>
      <vt:lpstr>03-26</vt:lpstr>
      <vt:lpstr>03-27</vt:lpstr>
      <vt:lpstr>03-30</vt:lpstr>
      <vt:lpstr>03-31</vt:lpstr>
      <vt:lpstr>급식_반찬</vt:lpstr>
      <vt:lpstr>온라인_국</vt:lpstr>
      <vt:lpstr>급식_국</vt:lpstr>
      <vt:lpstr>급식_밥</vt:lpstr>
      <vt:lpstr>HowToUse</vt:lpstr>
      <vt:lpstr>'03-03'!Print_Area</vt:lpstr>
      <vt:lpstr>'03-04'!Print_Area</vt:lpstr>
      <vt:lpstr>'03-05'!Print_Area</vt:lpstr>
      <vt:lpstr>'03-06'!Print_Area</vt:lpstr>
      <vt:lpstr>'03-09'!Print_Area</vt:lpstr>
      <vt:lpstr>'03-10'!Print_Area</vt:lpstr>
      <vt:lpstr>'03-11'!Print_Area</vt:lpstr>
      <vt:lpstr>'03-12'!Print_Area</vt:lpstr>
      <vt:lpstr>'03-13'!Print_Area</vt:lpstr>
      <vt:lpstr>'03-16'!Print_Area</vt:lpstr>
      <vt:lpstr>'03-17'!Print_Area</vt:lpstr>
      <vt:lpstr>'03-18'!Print_Area</vt:lpstr>
      <vt:lpstr>'03-19'!Print_Area</vt:lpstr>
      <vt:lpstr>'03-20'!Print_Area</vt:lpstr>
      <vt:lpstr>'03-23'!Print_Area</vt:lpstr>
      <vt:lpstr>'03-24'!Print_Area</vt:lpstr>
      <vt:lpstr>'03-25'!Print_Area</vt:lpstr>
      <vt:lpstr>'03-26'!Print_Area</vt:lpstr>
      <vt:lpstr>'03-27'!Print_Area</vt:lpstr>
      <vt:lpstr>'03-30'!Print_Area</vt:lpstr>
      <vt:lpstr>'03-31'!Print_Area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2026-03-15T23:11:58Z</cp:lastPrinted>
  <dcterms:created xsi:type="dcterms:W3CDTF">2018-09-21T05:42:35Z</dcterms:created>
  <dcterms:modified xsi:type="dcterms:W3CDTF">2026-08-18T07:41:53Z</dcterms:modified>
  <cp:version>0906.0200.01</cp:version>
</cp:coreProperties>
</file>