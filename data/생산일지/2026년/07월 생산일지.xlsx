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68AD3C9F-9C1C-4963-BCC8-43170958B4BD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글로벌리더스&amp;석식식단표" sheetId="1325" r:id="rId1"/>
    <sheet name="유아식단표" sheetId="760" r:id="rId2"/>
    <sheet name="온라인_반찬" sheetId="21" r:id="rId3"/>
    <sheet name="07-01" sheetId="1349" r:id="rId4"/>
    <sheet name="07-02" sheetId="1370" r:id="rId5"/>
    <sheet name="07-03" sheetId="1369" r:id="rId6"/>
    <sheet name="07-06" sheetId="1368" r:id="rId7"/>
    <sheet name="07-07" sheetId="1367" r:id="rId8"/>
    <sheet name="07-08" sheetId="1366" r:id="rId9"/>
    <sheet name="07-09" sheetId="1365" r:id="rId10"/>
    <sheet name="07-10" sheetId="1364" r:id="rId11"/>
    <sheet name="07-13" sheetId="1363" r:id="rId12"/>
    <sheet name="07-14" sheetId="1362" r:id="rId13"/>
    <sheet name="07-15" sheetId="1361" r:id="rId14"/>
    <sheet name="07-16" sheetId="1360" r:id="rId15"/>
    <sheet name="07-20" sheetId="1359" r:id="rId16"/>
    <sheet name="07-21" sheetId="1358" r:id="rId17"/>
    <sheet name="07-22" sheetId="1357" r:id="rId18"/>
    <sheet name="07-23" sheetId="1356" r:id="rId19"/>
    <sheet name="07-24" sheetId="1355" r:id="rId20"/>
    <sheet name="07-27" sheetId="1354" r:id="rId21"/>
    <sheet name="07-28" sheetId="1353" r:id="rId22"/>
    <sheet name="07-29" sheetId="1352" r:id="rId23"/>
    <sheet name="07-30" sheetId="1351" r:id="rId24"/>
    <sheet name="07-31" sheetId="1371" r:id="rId25"/>
    <sheet name="07-01 (2)" sheetId="1350" r:id="rId26"/>
    <sheet name="급식_반찬" sheetId="22" r:id="rId27"/>
    <sheet name="HowToUse" sheetId="26" r:id="rId28"/>
  </sheets>
  <externalReferences>
    <externalReference r:id="rId29"/>
  </externalReferences>
  <definedNames>
    <definedName name="_xlnm.Print_Area" localSheetId="3">'07-01'!$A$1:$L$17</definedName>
    <definedName name="_xlnm.Print_Area" localSheetId="25">'07-01 (2)'!$A$1:$L$17</definedName>
    <definedName name="_xlnm.Print_Area" localSheetId="4">'07-02'!$A$1:$L$17</definedName>
    <definedName name="_xlnm.Print_Area" localSheetId="5">'07-03'!$A$1:$L$15</definedName>
    <definedName name="_xlnm.Print_Area" localSheetId="6">'07-06'!$A$1:$L$17</definedName>
    <definedName name="_xlnm.Print_Area" localSheetId="7">'07-07'!$A$1:$L$17</definedName>
    <definedName name="_xlnm.Print_Area" localSheetId="8">'07-08'!$A$1:$L$17</definedName>
    <definedName name="_xlnm.Print_Area" localSheetId="9">'07-09'!$A$1:$L$16</definedName>
    <definedName name="_xlnm.Print_Area" localSheetId="10">'07-10'!$A$1:$L$18</definedName>
    <definedName name="_xlnm.Print_Area" localSheetId="11">'07-13'!$A$1:$L$19</definedName>
    <definedName name="_xlnm.Print_Area" localSheetId="12">'07-14'!$A$1:$L$17</definedName>
    <definedName name="_xlnm.Print_Area" localSheetId="13">'07-15'!$A$1:$L$17</definedName>
    <definedName name="_xlnm.Print_Area" localSheetId="14">'07-16'!$A$1:$L$19</definedName>
    <definedName name="_xlnm.Print_Area" localSheetId="15">'07-20'!$A$1:$L$18</definedName>
    <definedName name="_xlnm.Print_Area" localSheetId="16">'07-21'!$A$1:$L$17</definedName>
    <definedName name="_xlnm.Print_Area" localSheetId="17">'07-22'!$A$1:$L$25</definedName>
    <definedName name="_xlnm.Print_Area" localSheetId="18">'07-23'!$A$1:$L$17</definedName>
    <definedName name="_xlnm.Print_Area" localSheetId="19">'07-24'!$A$1:$L$18</definedName>
    <definedName name="_xlnm.Print_Area" localSheetId="20">'07-27'!$A$1:$L$17</definedName>
    <definedName name="_xlnm.Print_Area" localSheetId="21">'07-28'!$A$1:$L$17</definedName>
    <definedName name="_xlnm.Print_Area" localSheetId="22">'07-29'!$A$1:$L$17</definedName>
    <definedName name="_xlnm.Print_Area" localSheetId="23">'07-30'!$A$1:$L$17</definedName>
    <definedName name="_xlnm.Print_Area" localSheetId="24">'07-31'!$A$1:$L$18</definedName>
    <definedName name="_xlnm.Print_Area" localSheetId="0">'글로벌리더스&amp;석식식단표'!$A$1:$K$53</definedName>
    <definedName name="_xlnm.Print_Area" localSheetId="26">급식_반찬!$A$1:$E$192</definedName>
    <definedName name="_xlnm.Print_Area" localSheetId="2">온라인_반찬!$A$1:$H$90</definedName>
    <definedName name="_xlnm.Print_Area" localSheetId="1">유아식단표!$A$1:$K$53</definedName>
    <definedName name="_xlnm.Print_Titles" localSheetId="2">온라인_반찬!$1:$1</definedName>
    <definedName name="급식국">#REF!</definedName>
    <definedName name="급식밥">#REF!</definedName>
    <definedName name="김치">급식_반찬!$C$27:$C$28</definedName>
    <definedName name="반찬1">온라인_반찬!$C$127:$C$291</definedName>
    <definedName name="반찬2">온라인_반찬!$C$292:$C$389</definedName>
    <definedName name="반찬3">온라인_반찬!$C$375:$C$426</definedName>
    <definedName name="반찬4">온라인_반찬!$C$343:$C$491</definedName>
    <definedName name="온라인국">온라인_반찬!$C$2:$C$90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363" l="1"/>
  <c r="H6" i="1363"/>
  <c r="L6" i="1363"/>
  <c r="G14" i="1360"/>
  <c r="L5" i="1360"/>
  <c r="H5" i="1360"/>
  <c r="G5" i="1360"/>
  <c r="L8" i="1349" l="1"/>
  <c r="L5" i="1349"/>
  <c r="L7" i="1349"/>
  <c r="L4" i="1367" l="1"/>
  <c r="L16" i="1355" l="1"/>
  <c r="H16" i="1355"/>
  <c r="G16" i="1355"/>
  <c r="L16" i="1359"/>
  <c r="H16" i="1359"/>
  <c r="G16" i="1359"/>
  <c r="L22" i="1369"/>
  <c r="H22" i="1369"/>
  <c r="G22" i="1369"/>
  <c r="K12" i="1325"/>
  <c r="L16" i="1371" l="1"/>
  <c r="H16" i="1371"/>
  <c r="G16" i="1371"/>
  <c r="L24" i="1371"/>
  <c r="H24" i="1371"/>
  <c r="G24" i="1371"/>
  <c r="L23" i="1371"/>
  <c r="H23" i="1371"/>
  <c r="G23" i="1371"/>
  <c r="L22" i="1371"/>
  <c r="H22" i="1371"/>
  <c r="G22" i="1371"/>
  <c r="L21" i="1371"/>
  <c r="H21" i="1371"/>
  <c r="G21" i="1371"/>
  <c r="L20" i="1371"/>
  <c r="H20" i="1371"/>
  <c r="G20" i="1371"/>
  <c r="L19" i="1371"/>
  <c r="H19" i="1371"/>
  <c r="G19" i="1371"/>
  <c r="L17" i="1371"/>
  <c r="H17" i="1371"/>
  <c r="G17" i="1371"/>
  <c r="L15" i="1371"/>
  <c r="H15" i="1371"/>
  <c r="G15" i="1371"/>
  <c r="L14" i="1371"/>
  <c r="H14" i="1371"/>
  <c r="G14" i="1371"/>
  <c r="L13" i="1371"/>
  <c r="H13" i="1371"/>
  <c r="G13" i="1371"/>
  <c r="L12" i="1371"/>
  <c r="H12" i="1371"/>
  <c r="G12" i="1371"/>
  <c r="L11" i="1371"/>
  <c r="H11" i="1371"/>
  <c r="G11" i="1371"/>
  <c r="L10" i="1371"/>
  <c r="H10" i="1371"/>
  <c r="G10" i="1371"/>
  <c r="L8" i="1371"/>
  <c r="H8" i="1371"/>
  <c r="G8" i="1371"/>
  <c r="L7" i="1371"/>
  <c r="H7" i="1371"/>
  <c r="G7" i="1371"/>
  <c r="L6" i="1371"/>
  <c r="H6" i="1371"/>
  <c r="G6" i="1371"/>
  <c r="L5" i="1371"/>
  <c r="H5" i="1371"/>
  <c r="G5" i="1371"/>
  <c r="L4" i="1371"/>
  <c r="H4" i="1371"/>
  <c r="G4" i="1371"/>
  <c r="L3" i="1371"/>
  <c r="H3" i="1371"/>
  <c r="G3" i="1371"/>
  <c r="L16" i="1354"/>
  <c r="H16" i="1354"/>
  <c r="G16" i="1354"/>
  <c r="L22" i="1357"/>
  <c r="H22" i="1357"/>
  <c r="G22" i="1357"/>
  <c r="L8" i="1357"/>
  <c r="H8" i="1357"/>
  <c r="G8" i="1357"/>
  <c r="L8" i="1360"/>
  <c r="H8" i="1360"/>
  <c r="G8" i="1360"/>
  <c r="L14" i="1363"/>
  <c r="H14" i="1363"/>
  <c r="G14" i="1363"/>
  <c r="L17" i="1364" l="1"/>
  <c r="H17" i="1364"/>
  <c r="G17" i="1364"/>
  <c r="H13" i="1369"/>
  <c r="G13" i="1369"/>
  <c r="G20" i="1369"/>
  <c r="G19" i="1369"/>
  <c r="G18" i="1369"/>
  <c r="G17" i="1369"/>
  <c r="G16" i="1369"/>
  <c r="L23" i="1370"/>
  <c r="H23" i="1370"/>
  <c r="G23" i="1370"/>
  <c r="L22" i="1370"/>
  <c r="H22" i="1370"/>
  <c r="G22" i="1370"/>
  <c r="L21" i="1370"/>
  <c r="H21" i="1370"/>
  <c r="G21" i="1370"/>
  <c r="L20" i="1370"/>
  <c r="H20" i="1370"/>
  <c r="G20" i="1370"/>
  <c r="L19" i="1370"/>
  <c r="H19" i="1370"/>
  <c r="G19" i="1370"/>
  <c r="L18" i="1370"/>
  <c r="H18" i="1370"/>
  <c r="G18" i="1370"/>
  <c r="L16" i="1370"/>
  <c r="H16" i="1370"/>
  <c r="L15" i="1370"/>
  <c r="H15" i="1370"/>
  <c r="G15" i="1370"/>
  <c r="L14" i="1370"/>
  <c r="H14" i="1370"/>
  <c r="G14" i="1370"/>
  <c r="L13" i="1370"/>
  <c r="H13" i="1370"/>
  <c r="G13" i="1370"/>
  <c r="L12" i="1370"/>
  <c r="H12" i="1370"/>
  <c r="G12" i="1370"/>
  <c r="L11" i="1370"/>
  <c r="H11" i="1370"/>
  <c r="G11" i="1370"/>
  <c r="L10" i="1370"/>
  <c r="H10" i="1370"/>
  <c r="G10" i="1370"/>
  <c r="L8" i="1370"/>
  <c r="H8" i="1370"/>
  <c r="G8" i="1370"/>
  <c r="L7" i="1370"/>
  <c r="H7" i="1370"/>
  <c r="G7" i="1370"/>
  <c r="L6" i="1370"/>
  <c r="H6" i="1370"/>
  <c r="G6" i="1370"/>
  <c r="L5" i="1370"/>
  <c r="H5" i="1370"/>
  <c r="G5" i="1370"/>
  <c r="L4" i="1370"/>
  <c r="H4" i="1370"/>
  <c r="G4" i="1370"/>
  <c r="L3" i="1370"/>
  <c r="H3" i="1370"/>
  <c r="G3" i="1370"/>
  <c r="L14" i="1369"/>
  <c r="L13" i="1369"/>
  <c r="L12" i="1369"/>
  <c r="H12" i="1369"/>
  <c r="G12" i="1369"/>
  <c r="L11" i="1369"/>
  <c r="H11" i="1369"/>
  <c r="G11" i="1369"/>
  <c r="L10" i="1369"/>
  <c r="H10" i="1369"/>
  <c r="G10" i="1369"/>
  <c r="L23" i="1369"/>
  <c r="H23" i="1369"/>
  <c r="G23" i="1369"/>
  <c r="L21" i="1369"/>
  <c r="H21" i="1369"/>
  <c r="G21" i="1369"/>
  <c r="L20" i="1369"/>
  <c r="H20" i="1369"/>
  <c r="L19" i="1369"/>
  <c r="H19" i="1369"/>
  <c r="L18" i="1369"/>
  <c r="H18" i="1369"/>
  <c r="L17" i="1369"/>
  <c r="H17" i="1369"/>
  <c r="L16" i="1369"/>
  <c r="H16" i="1369"/>
  <c r="L8" i="1369"/>
  <c r="H8" i="1369"/>
  <c r="G8" i="1369"/>
  <c r="L7" i="1369"/>
  <c r="H7" i="1369"/>
  <c r="G7" i="1369"/>
  <c r="L6" i="1369"/>
  <c r="H6" i="1369"/>
  <c r="G6" i="1369"/>
  <c r="L5" i="1369"/>
  <c r="H5" i="1369"/>
  <c r="G5" i="1369"/>
  <c r="L4" i="1369"/>
  <c r="H4" i="1369"/>
  <c r="G4" i="1369"/>
  <c r="L3" i="1369"/>
  <c r="H3" i="1369"/>
  <c r="G3" i="1369"/>
  <c r="L23" i="1368"/>
  <c r="H23" i="1368"/>
  <c r="G23" i="1368"/>
  <c r="L22" i="1368"/>
  <c r="H22" i="1368"/>
  <c r="G22" i="1368"/>
  <c r="L21" i="1368"/>
  <c r="H21" i="1368"/>
  <c r="G21" i="1368"/>
  <c r="L20" i="1368"/>
  <c r="H20" i="1368"/>
  <c r="G20" i="1368"/>
  <c r="L19" i="1368"/>
  <c r="H19" i="1368"/>
  <c r="G19" i="1368"/>
  <c r="L18" i="1368"/>
  <c r="H18" i="1368"/>
  <c r="G18" i="1368"/>
  <c r="L16" i="1368"/>
  <c r="H16" i="1368"/>
  <c r="G16" i="1368"/>
  <c r="L15" i="1368"/>
  <c r="H15" i="1368"/>
  <c r="G15" i="1368"/>
  <c r="L14" i="1368"/>
  <c r="H14" i="1368"/>
  <c r="G14" i="1368"/>
  <c r="L13" i="1368"/>
  <c r="H13" i="1368"/>
  <c r="G13" i="1368"/>
  <c r="L12" i="1368"/>
  <c r="H12" i="1368"/>
  <c r="G12" i="1368"/>
  <c r="L11" i="1368"/>
  <c r="H11" i="1368"/>
  <c r="G11" i="1368"/>
  <c r="L10" i="1368"/>
  <c r="H10" i="1368"/>
  <c r="G10" i="1368"/>
  <c r="L8" i="1368"/>
  <c r="H8" i="1368"/>
  <c r="G8" i="1368"/>
  <c r="L7" i="1368"/>
  <c r="H7" i="1368"/>
  <c r="G7" i="1368"/>
  <c r="L6" i="1368"/>
  <c r="H6" i="1368"/>
  <c r="G6" i="1368"/>
  <c r="L5" i="1368"/>
  <c r="H5" i="1368"/>
  <c r="G5" i="1368"/>
  <c r="L4" i="1368"/>
  <c r="H4" i="1368"/>
  <c r="G4" i="1368"/>
  <c r="L3" i="1368"/>
  <c r="H3" i="1368"/>
  <c r="G3" i="1368"/>
  <c r="L23" i="1367"/>
  <c r="H23" i="1367"/>
  <c r="G23" i="1367"/>
  <c r="L22" i="1367"/>
  <c r="H22" i="1367"/>
  <c r="G22" i="1367"/>
  <c r="L21" i="1367"/>
  <c r="H21" i="1367"/>
  <c r="G21" i="1367"/>
  <c r="L20" i="1367"/>
  <c r="H20" i="1367"/>
  <c r="G20" i="1367"/>
  <c r="L19" i="1367"/>
  <c r="H19" i="1367"/>
  <c r="G19" i="1367"/>
  <c r="L18" i="1367"/>
  <c r="H18" i="1367"/>
  <c r="G18" i="1367"/>
  <c r="L16" i="1367"/>
  <c r="H16" i="1367"/>
  <c r="G16" i="1367"/>
  <c r="L15" i="1367"/>
  <c r="H15" i="1367"/>
  <c r="G15" i="1367"/>
  <c r="L14" i="1367"/>
  <c r="H14" i="1367"/>
  <c r="G14" i="1367"/>
  <c r="L13" i="1367"/>
  <c r="H13" i="1367"/>
  <c r="G13" i="1367"/>
  <c r="L12" i="1367"/>
  <c r="H12" i="1367"/>
  <c r="G12" i="1367"/>
  <c r="L11" i="1367"/>
  <c r="H11" i="1367"/>
  <c r="G11" i="1367"/>
  <c r="L10" i="1367"/>
  <c r="H10" i="1367"/>
  <c r="G10" i="1367"/>
  <c r="L8" i="1367"/>
  <c r="H8" i="1367"/>
  <c r="G8" i="1367"/>
  <c r="L7" i="1367"/>
  <c r="H7" i="1367"/>
  <c r="G7" i="1367"/>
  <c r="L6" i="1367"/>
  <c r="H6" i="1367"/>
  <c r="G6" i="1367"/>
  <c r="L5" i="1367"/>
  <c r="H5" i="1367"/>
  <c r="G5" i="1367"/>
  <c r="H4" i="1367"/>
  <c r="G4" i="1367"/>
  <c r="L3" i="1367"/>
  <c r="H3" i="1367"/>
  <c r="G3" i="1367"/>
  <c r="L23" i="1366"/>
  <c r="H23" i="1366"/>
  <c r="G23" i="1366"/>
  <c r="L22" i="1366"/>
  <c r="H22" i="1366"/>
  <c r="G22" i="1366"/>
  <c r="L21" i="1366"/>
  <c r="H21" i="1366"/>
  <c r="G21" i="1366"/>
  <c r="L20" i="1366"/>
  <c r="H20" i="1366"/>
  <c r="G20" i="1366"/>
  <c r="L19" i="1366"/>
  <c r="H19" i="1366"/>
  <c r="G19" i="1366"/>
  <c r="L18" i="1366"/>
  <c r="H18" i="1366"/>
  <c r="G18" i="1366"/>
  <c r="L16" i="1366"/>
  <c r="H16" i="1366"/>
  <c r="G16" i="1366"/>
  <c r="L15" i="1366"/>
  <c r="H15" i="1366"/>
  <c r="G15" i="1366"/>
  <c r="L14" i="1366"/>
  <c r="H14" i="1366"/>
  <c r="G14" i="1366"/>
  <c r="L13" i="1366"/>
  <c r="H13" i="1366"/>
  <c r="G13" i="1366"/>
  <c r="L12" i="1366"/>
  <c r="H12" i="1366"/>
  <c r="G12" i="1366"/>
  <c r="L11" i="1366"/>
  <c r="H11" i="1366"/>
  <c r="G11" i="1366"/>
  <c r="L10" i="1366"/>
  <c r="H10" i="1366"/>
  <c r="G10" i="1366"/>
  <c r="L8" i="1366"/>
  <c r="H8" i="1366"/>
  <c r="G8" i="1366"/>
  <c r="L7" i="1366"/>
  <c r="H7" i="1366"/>
  <c r="G7" i="1366"/>
  <c r="L6" i="1366"/>
  <c r="H6" i="1366"/>
  <c r="G6" i="1366"/>
  <c r="L5" i="1366"/>
  <c r="H5" i="1366"/>
  <c r="G5" i="1366"/>
  <c r="L4" i="1366"/>
  <c r="H4" i="1366"/>
  <c r="G4" i="1366"/>
  <c r="L3" i="1366"/>
  <c r="H3" i="1366"/>
  <c r="G3" i="1366"/>
  <c r="L15" i="1365"/>
  <c r="H15" i="1365"/>
  <c r="G15" i="1365"/>
  <c r="L14" i="1365"/>
  <c r="H14" i="1365"/>
  <c r="G14" i="1365"/>
  <c r="L13" i="1365"/>
  <c r="H13" i="1365"/>
  <c r="G13" i="1365"/>
  <c r="L12" i="1365"/>
  <c r="H12" i="1365"/>
  <c r="G12" i="1365"/>
  <c r="L11" i="1365"/>
  <c r="H11" i="1365"/>
  <c r="G11" i="1365"/>
  <c r="L10" i="1365"/>
  <c r="H10" i="1365"/>
  <c r="G10" i="1365"/>
  <c r="L23" i="1365"/>
  <c r="H23" i="1365"/>
  <c r="L22" i="1365"/>
  <c r="H22" i="1365"/>
  <c r="G22" i="1365"/>
  <c r="L21" i="1365"/>
  <c r="H21" i="1365"/>
  <c r="G21" i="1365"/>
  <c r="L20" i="1365"/>
  <c r="H20" i="1365"/>
  <c r="G20" i="1365"/>
  <c r="L19" i="1365"/>
  <c r="H19" i="1365"/>
  <c r="G19" i="1365"/>
  <c r="L18" i="1365"/>
  <c r="H18" i="1365"/>
  <c r="G18" i="1365"/>
  <c r="L17" i="1365"/>
  <c r="H17" i="1365"/>
  <c r="G17" i="1365"/>
  <c r="L8" i="1365"/>
  <c r="H8" i="1365"/>
  <c r="G8" i="1365"/>
  <c r="L7" i="1365"/>
  <c r="H7" i="1365"/>
  <c r="G7" i="1365"/>
  <c r="L6" i="1365"/>
  <c r="H6" i="1365"/>
  <c r="G6" i="1365"/>
  <c r="L5" i="1365"/>
  <c r="H5" i="1365"/>
  <c r="G5" i="1365"/>
  <c r="L4" i="1365"/>
  <c r="H4" i="1365"/>
  <c r="G4" i="1365"/>
  <c r="L3" i="1365"/>
  <c r="H3" i="1365"/>
  <c r="G3" i="1365"/>
  <c r="L24" i="1364"/>
  <c r="H24" i="1364"/>
  <c r="G24" i="1364"/>
  <c r="L23" i="1364"/>
  <c r="H23" i="1364"/>
  <c r="G23" i="1364"/>
  <c r="L22" i="1364"/>
  <c r="H22" i="1364"/>
  <c r="G22" i="1364"/>
  <c r="L21" i="1364"/>
  <c r="H21" i="1364"/>
  <c r="G21" i="1364"/>
  <c r="L20" i="1364"/>
  <c r="H20" i="1364"/>
  <c r="G20" i="1364"/>
  <c r="L19" i="1364"/>
  <c r="H19" i="1364"/>
  <c r="G19" i="1364"/>
  <c r="L16" i="1364"/>
  <c r="H16" i="1364"/>
  <c r="G16" i="1364"/>
  <c r="L15" i="1364"/>
  <c r="H15" i="1364"/>
  <c r="G15" i="1364"/>
  <c r="L14" i="1364"/>
  <c r="H14" i="1364"/>
  <c r="G14" i="1364"/>
  <c r="L13" i="1364"/>
  <c r="H13" i="1364"/>
  <c r="G13" i="1364"/>
  <c r="L12" i="1364"/>
  <c r="H12" i="1364"/>
  <c r="G12" i="1364"/>
  <c r="L11" i="1364"/>
  <c r="H11" i="1364"/>
  <c r="G11" i="1364"/>
  <c r="L10" i="1364"/>
  <c r="H10" i="1364"/>
  <c r="G10" i="1364"/>
  <c r="L8" i="1364"/>
  <c r="H8" i="1364"/>
  <c r="G8" i="1364"/>
  <c r="L7" i="1364"/>
  <c r="H7" i="1364"/>
  <c r="G7" i="1364"/>
  <c r="L6" i="1364"/>
  <c r="H6" i="1364"/>
  <c r="G6" i="1364"/>
  <c r="L5" i="1364"/>
  <c r="H5" i="1364"/>
  <c r="G5" i="1364"/>
  <c r="L4" i="1364"/>
  <c r="H4" i="1364"/>
  <c r="G4" i="1364"/>
  <c r="L3" i="1364"/>
  <c r="H3" i="1364"/>
  <c r="G3" i="1364"/>
  <c r="L25" i="1363"/>
  <c r="H25" i="1363"/>
  <c r="G25" i="1363"/>
  <c r="L24" i="1363"/>
  <c r="H24" i="1363"/>
  <c r="G24" i="1363"/>
  <c r="L23" i="1363"/>
  <c r="H23" i="1363"/>
  <c r="G23" i="1363"/>
  <c r="L22" i="1363"/>
  <c r="H22" i="1363"/>
  <c r="G22" i="1363"/>
  <c r="L21" i="1363"/>
  <c r="H21" i="1363"/>
  <c r="G21" i="1363"/>
  <c r="L20" i="1363"/>
  <c r="H20" i="1363"/>
  <c r="G20" i="1363"/>
  <c r="L18" i="1363"/>
  <c r="H18" i="1363"/>
  <c r="G18" i="1363"/>
  <c r="L17" i="1363"/>
  <c r="H17" i="1363"/>
  <c r="G17" i="1363"/>
  <c r="L16" i="1363"/>
  <c r="H16" i="1363"/>
  <c r="G16" i="1363"/>
  <c r="L15" i="1363"/>
  <c r="H15" i="1363"/>
  <c r="G15" i="1363"/>
  <c r="L13" i="1363"/>
  <c r="H13" i="1363"/>
  <c r="G13" i="1363"/>
  <c r="L12" i="1363"/>
  <c r="H12" i="1363"/>
  <c r="G12" i="1363"/>
  <c r="L11" i="1363"/>
  <c r="H11" i="1363"/>
  <c r="G11" i="1363"/>
  <c r="L9" i="1363"/>
  <c r="H9" i="1363"/>
  <c r="G9" i="1363"/>
  <c r="L8" i="1363"/>
  <c r="H8" i="1363"/>
  <c r="G8" i="1363"/>
  <c r="L7" i="1363"/>
  <c r="H7" i="1363"/>
  <c r="G7" i="1363"/>
  <c r="L5" i="1363"/>
  <c r="H5" i="1363"/>
  <c r="G5" i="1363"/>
  <c r="L4" i="1363"/>
  <c r="H4" i="1363"/>
  <c r="G4" i="1363"/>
  <c r="L3" i="1363"/>
  <c r="H3" i="1363"/>
  <c r="G3" i="1363"/>
  <c r="L23" i="1362"/>
  <c r="H23" i="1362"/>
  <c r="G23" i="1362"/>
  <c r="L22" i="1362"/>
  <c r="H22" i="1362"/>
  <c r="G22" i="1362"/>
  <c r="L21" i="1362"/>
  <c r="H21" i="1362"/>
  <c r="G21" i="1362"/>
  <c r="L20" i="1362"/>
  <c r="H20" i="1362"/>
  <c r="G20" i="1362"/>
  <c r="L19" i="1362"/>
  <c r="H19" i="1362"/>
  <c r="G19" i="1362"/>
  <c r="L18" i="1362"/>
  <c r="H18" i="1362"/>
  <c r="G18" i="1362"/>
  <c r="L16" i="1362"/>
  <c r="H16" i="1362"/>
  <c r="G16" i="1362"/>
  <c r="L15" i="1362"/>
  <c r="H15" i="1362"/>
  <c r="G15" i="1362"/>
  <c r="L14" i="1362"/>
  <c r="H14" i="1362"/>
  <c r="G14" i="1362"/>
  <c r="L13" i="1362"/>
  <c r="H13" i="1362"/>
  <c r="G13" i="1362"/>
  <c r="L12" i="1362"/>
  <c r="L11" i="1362"/>
  <c r="H11" i="1362"/>
  <c r="G11" i="1362"/>
  <c r="L10" i="1362"/>
  <c r="H10" i="1362"/>
  <c r="G10" i="1362"/>
  <c r="L8" i="1362"/>
  <c r="H8" i="1362"/>
  <c r="G8" i="1362"/>
  <c r="L7" i="1362"/>
  <c r="H7" i="1362"/>
  <c r="G7" i="1362"/>
  <c r="L6" i="1362"/>
  <c r="H6" i="1362"/>
  <c r="G6" i="1362"/>
  <c r="L5" i="1362"/>
  <c r="H5" i="1362"/>
  <c r="G5" i="1362"/>
  <c r="L4" i="1362"/>
  <c r="H4" i="1362"/>
  <c r="G4" i="1362"/>
  <c r="L3" i="1362"/>
  <c r="H3" i="1362"/>
  <c r="G3" i="1362"/>
  <c r="L23" i="1361"/>
  <c r="H23" i="1361"/>
  <c r="G23" i="1361"/>
  <c r="L22" i="1361"/>
  <c r="H22" i="1361"/>
  <c r="G22" i="1361"/>
  <c r="L21" i="1361"/>
  <c r="H21" i="1361"/>
  <c r="G21" i="1361"/>
  <c r="L20" i="1361"/>
  <c r="H20" i="1361"/>
  <c r="G20" i="1361"/>
  <c r="L19" i="1361"/>
  <c r="H19" i="1361"/>
  <c r="G19" i="1361"/>
  <c r="L18" i="1361"/>
  <c r="H18" i="1361"/>
  <c r="G18" i="1361"/>
  <c r="L16" i="1361"/>
  <c r="H16" i="1361"/>
  <c r="G16" i="1361"/>
  <c r="L15" i="1361"/>
  <c r="H15" i="1361"/>
  <c r="G15" i="1361"/>
  <c r="L14" i="1361"/>
  <c r="H14" i="1361"/>
  <c r="G14" i="1361"/>
  <c r="L13" i="1361"/>
  <c r="H13" i="1361"/>
  <c r="G13" i="1361"/>
  <c r="L12" i="1361"/>
  <c r="H12" i="1361"/>
  <c r="L11" i="1361"/>
  <c r="H11" i="1361"/>
  <c r="G11" i="1361"/>
  <c r="L10" i="1361"/>
  <c r="H10" i="1361"/>
  <c r="G10" i="1361"/>
  <c r="L8" i="1361"/>
  <c r="H8" i="1361"/>
  <c r="G8" i="1361"/>
  <c r="L7" i="1361"/>
  <c r="H7" i="1361"/>
  <c r="G7" i="1361"/>
  <c r="L6" i="1361"/>
  <c r="H6" i="1361"/>
  <c r="G6" i="1361"/>
  <c r="L5" i="1361"/>
  <c r="H5" i="1361"/>
  <c r="G5" i="1361"/>
  <c r="L4" i="1361"/>
  <c r="H4" i="1361"/>
  <c r="G4" i="1361"/>
  <c r="L3" i="1361"/>
  <c r="H3" i="1361"/>
  <c r="G3" i="1361"/>
  <c r="L25" i="1360"/>
  <c r="H25" i="1360"/>
  <c r="G25" i="1360"/>
  <c r="L24" i="1360"/>
  <c r="H24" i="1360"/>
  <c r="G24" i="1360"/>
  <c r="L23" i="1360"/>
  <c r="H23" i="1360"/>
  <c r="G23" i="1360"/>
  <c r="L22" i="1360"/>
  <c r="H22" i="1360"/>
  <c r="G22" i="1360"/>
  <c r="L21" i="1360"/>
  <c r="H21" i="1360"/>
  <c r="G21" i="1360"/>
  <c r="L20" i="1360"/>
  <c r="H20" i="1360"/>
  <c r="G20" i="1360"/>
  <c r="L18" i="1360"/>
  <c r="H18" i="1360"/>
  <c r="L17" i="1360"/>
  <c r="H17" i="1360"/>
  <c r="G17" i="1360"/>
  <c r="L16" i="1360"/>
  <c r="H16" i="1360"/>
  <c r="G16" i="1360"/>
  <c r="L15" i="1360"/>
  <c r="H15" i="1360"/>
  <c r="G15" i="1360"/>
  <c r="L12" i="1360"/>
  <c r="H12" i="1360"/>
  <c r="G12" i="1360"/>
  <c r="L11" i="1360"/>
  <c r="H11" i="1360"/>
  <c r="G11" i="1360"/>
  <c r="L9" i="1360"/>
  <c r="H9" i="1360"/>
  <c r="G9" i="1360"/>
  <c r="L7" i="1360"/>
  <c r="H7" i="1360"/>
  <c r="G7" i="1360"/>
  <c r="L6" i="1360"/>
  <c r="H6" i="1360"/>
  <c r="G6" i="1360"/>
  <c r="L4" i="1360"/>
  <c r="H4" i="1360"/>
  <c r="G4" i="1360"/>
  <c r="L3" i="1360"/>
  <c r="H3" i="1360"/>
  <c r="G3" i="1360"/>
  <c r="L24" i="1359"/>
  <c r="H24" i="1359"/>
  <c r="G24" i="1359"/>
  <c r="L23" i="1359"/>
  <c r="H23" i="1359"/>
  <c r="G23" i="1359"/>
  <c r="L22" i="1359"/>
  <c r="H22" i="1359"/>
  <c r="G22" i="1359"/>
  <c r="L21" i="1359"/>
  <c r="H21" i="1359"/>
  <c r="G21" i="1359"/>
  <c r="L20" i="1359"/>
  <c r="H20" i="1359"/>
  <c r="G20" i="1359"/>
  <c r="L19" i="1359"/>
  <c r="H19" i="1359"/>
  <c r="G19" i="1359"/>
  <c r="L17" i="1359"/>
  <c r="H17" i="1359"/>
  <c r="G17" i="1359"/>
  <c r="L15" i="1359"/>
  <c r="H15" i="1359"/>
  <c r="G15" i="1359"/>
  <c r="L14" i="1359"/>
  <c r="H14" i="1359"/>
  <c r="G14" i="1359"/>
  <c r="L13" i="1359"/>
  <c r="H13" i="1359"/>
  <c r="G13" i="1359"/>
  <c r="L12" i="1359"/>
  <c r="H12" i="1359"/>
  <c r="G12" i="1359"/>
  <c r="L11" i="1359"/>
  <c r="H11" i="1359"/>
  <c r="G11" i="1359"/>
  <c r="L10" i="1359"/>
  <c r="H10" i="1359"/>
  <c r="G10" i="1359"/>
  <c r="L8" i="1359"/>
  <c r="H8" i="1359"/>
  <c r="G8" i="1359"/>
  <c r="L7" i="1359"/>
  <c r="H7" i="1359"/>
  <c r="G7" i="1359"/>
  <c r="L6" i="1359"/>
  <c r="H6" i="1359"/>
  <c r="G6" i="1359"/>
  <c r="L5" i="1359"/>
  <c r="H5" i="1359"/>
  <c r="G5" i="1359"/>
  <c r="L4" i="1359"/>
  <c r="H4" i="1359"/>
  <c r="G4" i="1359"/>
  <c r="L3" i="1359"/>
  <c r="H3" i="1359"/>
  <c r="G3" i="1359"/>
  <c r="L23" i="1358"/>
  <c r="H23" i="1358"/>
  <c r="G23" i="1358"/>
  <c r="L22" i="1358"/>
  <c r="H22" i="1358"/>
  <c r="G22" i="1358"/>
  <c r="L21" i="1358"/>
  <c r="H21" i="1358"/>
  <c r="G21" i="1358"/>
  <c r="L20" i="1358"/>
  <c r="H20" i="1358"/>
  <c r="G20" i="1358"/>
  <c r="L19" i="1358"/>
  <c r="H19" i="1358"/>
  <c r="G19" i="1358"/>
  <c r="L18" i="1358"/>
  <c r="H18" i="1358"/>
  <c r="G18" i="1358"/>
  <c r="L16" i="1358"/>
  <c r="H16" i="1358"/>
  <c r="G16" i="1358"/>
  <c r="L15" i="1358"/>
  <c r="H15" i="1358"/>
  <c r="G15" i="1358"/>
  <c r="L14" i="1358"/>
  <c r="H14" i="1358"/>
  <c r="G14" i="1358"/>
  <c r="L13" i="1358"/>
  <c r="L12" i="1358"/>
  <c r="H12" i="1358"/>
  <c r="G12" i="1358"/>
  <c r="L11" i="1358"/>
  <c r="H11" i="1358"/>
  <c r="G11" i="1358"/>
  <c r="L10" i="1358"/>
  <c r="H10" i="1358"/>
  <c r="G10" i="1358"/>
  <c r="L8" i="1358"/>
  <c r="H8" i="1358"/>
  <c r="G8" i="1358"/>
  <c r="L7" i="1358"/>
  <c r="H7" i="1358"/>
  <c r="G7" i="1358"/>
  <c r="L6" i="1358"/>
  <c r="H6" i="1358"/>
  <c r="G6" i="1358"/>
  <c r="L5" i="1358"/>
  <c r="H5" i="1358"/>
  <c r="G5" i="1358"/>
  <c r="L4" i="1358"/>
  <c r="H4" i="1358"/>
  <c r="G4" i="1358"/>
  <c r="L3" i="1358"/>
  <c r="H3" i="1358"/>
  <c r="G3" i="1358"/>
  <c r="L15" i="1357"/>
  <c r="H15" i="1357"/>
  <c r="G15" i="1357"/>
  <c r="L14" i="1357"/>
  <c r="H14" i="1357"/>
  <c r="G14" i="1357"/>
  <c r="L13" i="1357"/>
  <c r="H13" i="1357"/>
  <c r="G13" i="1357"/>
  <c r="L12" i="1357"/>
  <c r="H12" i="1357"/>
  <c r="G12" i="1357"/>
  <c r="L11" i="1357"/>
  <c r="H11" i="1357"/>
  <c r="G11" i="1357"/>
  <c r="L24" i="1357"/>
  <c r="H24" i="1357"/>
  <c r="G24" i="1357"/>
  <c r="L23" i="1357"/>
  <c r="H23" i="1357"/>
  <c r="G23" i="1357"/>
  <c r="L21" i="1357"/>
  <c r="H21" i="1357"/>
  <c r="G21" i="1357"/>
  <c r="L20" i="1357"/>
  <c r="H20" i="1357"/>
  <c r="G20" i="1357"/>
  <c r="L19" i="1357"/>
  <c r="H19" i="1357"/>
  <c r="G19" i="1357"/>
  <c r="L18" i="1357"/>
  <c r="H18" i="1357"/>
  <c r="G18" i="1357"/>
  <c r="L17" i="1357"/>
  <c r="H17" i="1357"/>
  <c r="G17" i="1357"/>
  <c r="L9" i="1357"/>
  <c r="H9" i="1357"/>
  <c r="G9" i="1357"/>
  <c r="L7" i="1357"/>
  <c r="H7" i="1357"/>
  <c r="G7" i="1357"/>
  <c r="L6" i="1357"/>
  <c r="H6" i="1357"/>
  <c r="G6" i="1357"/>
  <c r="L5" i="1357"/>
  <c r="H5" i="1357"/>
  <c r="G5" i="1357"/>
  <c r="L4" i="1357"/>
  <c r="H4" i="1357"/>
  <c r="G4" i="1357"/>
  <c r="L3" i="1357"/>
  <c r="H3" i="1357"/>
  <c r="G3" i="1357"/>
  <c r="L23" i="1356"/>
  <c r="H23" i="1356"/>
  <c r="G23" i="1356"/>
  <c r="L22" i="1356"/>
  <c r="H22" i="1356"/>
  <c r="G22" i="1356"/>
  <c r="L21" i="1356"/>
  <c r="H21" i="1356"/>
  <c r="G21" i="1356"/>
  <c r="L20" i="1356"/>
  <c r="H20" i="1356"/>
  <c r="G20" i="1356"/>
  <c r="L19" i="1356"/>
  <c r="H19" i="1356"/>
  <c r="G19" i="1356"/>
  <c r="L18" i="1356"/>
  <c r="H18" i="1356"/>
  <c r="G18" i="1356"/>
  <c r="L16" i="1356"/>
  <c r="H16" i="1356"/>
  <c r="G16" i="1356"/>
  <c r="L15" i="1356"/>
  <c r="H15" i="1356"/>
  <c r="G15" i="1356"/>
  <c r="L14" i="1356"/>
  <c r="H14" i="1356"/>
  <c r="G14" i="1356"/>
  <c r="L13" i="1356"/>
  <c r="H13" i="1356"/>
  <c r="G13" i="1356"/>
  <c r="L12" i="1356"/>
  <c r="H12" i="1356"/>
  <c r="G12" i="1356"/>
  <c r="L11" i="1356"/>
  <c r="H11" i="1356"/>
  <c r="G11" i="1356"/>
  <c r="L10" i="1356"/>
  <c r="H10" i="1356"/>
  <c r="G10" i="1356"/>
  <c r="L8" i="1356"/>
  <c r="H8" i="1356"/>
  <c r="G8" i="1356"/>
  <c r="L7" i="1356"/>
  <c r="H7" i="1356"/>
  <c r="G7" i="1356"/>
  <c r="L6" i="1356"/>
  <c r="H6" i="1356"/>
  <c r="G6" i="1356"/>
  <c r="L5" i="1356"/>
  <c r="H5" i="1356"/>
  <c r="G5" i="1356"/>
  <c r="L4" i="1356"/>
  <c r="H4" i="1356"/>
  <c r="G4" i="1356"/>
  <c r="L3" i="1356"/>
  <c r="H3" i="1356"/>
  <c r="G3" i="1356"/>
  <c r="L24" i="1355"/>
  <c r="H24" i="1355"/>
  <c r="G24" i="1355"/>
  <c r="L23" i="1355"/>
  <c r="H23" i="1355"/>
  <c r="G23" i="1355"/>
  <c r="L22" i="1355"/>
  <c r="H22" i="1355"/>
  <c r="G22" i="1355"/>
  <c r="L21" i="1355"/>
  <c r="H21" i="1355"/>
  <c r="G21" i="1355"/>
  <c r="L20" i="1355"/>
  <c r="H20" i="1355"/>
  <c r="G20" i="1355"/>
  <c r="L19" i="1355"/>
  <c r="H19" i="1355"/>
  <c r="G19" i="1355"/>
  <c r="L17" i="1355"/>
  <c r="H17" i="1355"/>
  <c r="G17" i="1355"/>
  <c r="L15" i="1355"/>
  <c r="H15" i="1355"/>
  <c r="G15" i="1355"/>
  <c r="L14" i="1355"/>
  <c r="H14" i="1355"/>
  <c r="G14" i="1355"/>
  <c r="L13" i="1355"/>
  <c r="H13" i="1355"/>
  <c r="G13" i="1355"/>
  <c r="L12" i="1355"/>
  <c r="H12" i="1355"/>
  <c r="G12" i="1355"/>
  <c r="L11" i="1355"/>
  <c r="H11" i="1355"/>
  <c r="G11" i="1355"/>
  <c r="L10" i="1355"/>
  <c r="H10" i="1355"/>
  <c r="G10" i="1355"/>
  <c r="L8" i="1355"/>
  <c r="H8" i="1355"/>
  <c r="G8" i="1355"/>
  <c r="L7" i="1355"/>
  <c r="H7" i="1355"/>
  <c r="G7" i="1355"/>
  <c r="L6" i="1355"/>
  <c r="H6" i="1355"/>
  <c r="G6" i="1355"/>
  <c r="L5" i="1355"/>
  <c r="H5" i="1355"/>
  <c r="G5" i="1355"/>
  <c r="L4" i="1355"/>
  <c r="H4" i="1355"/>
  <c r="G4" i="1355"/>
  <c r="L3" i="1355"/>
  <c r="H3" i="1355"/>
  <c r="G3" i="1355"/>
  <c r="L23" i="1354"/>
  <c r="H23" i="1354"/>
  <c r="G23" i="1354"/>
  <c r="L22" i="1354"/>
  <c r="H22" i="1354"/>
  <c r="G22" i="1354"/>
  <c r="L21" i="1354"/>
  <c r="H21" i="1354"/>
  <c r="G21" i="1354"/>
  <c r="L20" i="1354"/>
  <c r="H20" i="1354"/>
  <c r="G20" i="1354"/>
  <c r="L19" i="1354"/>
  <c r="H19" i="1354"/>
  <c r="G19" i="1354"/>
  <c r="L18" i="1354"/>
  <c r="H18" i="1354"/>
  <c r="G18" i="1354"/>
  <c r="L15" i="1354"/>
  <c r="H15" i="1354"/>
  <c r="G15" i="1354"/>
  <c r="L14" i="1354"/>
  <c r="H14" i="1354"/>
  <c r="G14" i="1354"/>
  <c r="L13" i="1354"/>
  <c r="H13" i="1354"/>
  <c r="G13" i="1354"/>
  <c r="L12" i="1354"/>
  <c r="H12" i="1354"/>
  <c r="G12" i="1354"/>
  <c r="L11" i="1354"/>
  <c r="H11" i="1354"/>
  <c r="G11" i="1354"/>
  <c r="L10" i="1354"/>
  <c r="H10" i="1354"/>
  <c r="G10" i="1354"/>
  <c r="L8" i="1354"/>
  <c r="H8" i="1354"/>
  <c r="G8" i="1354"/>
  <c r="L7" i="1354"/>
  <c r="H7" i="1354"/>
  <c r="G7" i="1354"/>
  <c r="L6" i="1354"/>
  <c r="H6" i="1354"/>
  <c r="G6" i="1354"/>
  <c r="L5" i="1354"/>
  <c r="H5" i="1354"/>
  <c r="G5" i="1354"/>
  <c r="L4" i="1354"/>
  <c r="H4" i="1354"/>
  <c r="G4" i="1354"/>
  <c r="L3" i="1354"/>
  <c r="H3" i="1354"/>
  <c r="G3" i="1354"/>
  <c r="L23" i="1353"/>
  <c r="H23" i="1353"/>
  <c r="G23" i="1353"/>
  <c r="L22" i="1353"/>
  <c r="H22" i="1353"/>
  <c r="G22" i="1353"/>
  <c r="L21" i="1353"/>
  <c r="H21" i="1353"/>
  <c r="G21" i="1353"/>
  <c r="L20" i="1353"/>
  <c r="H20" i="1353"/>
  <c r="G20" i="1353"/>
  <c r="L19" i="1353"/>
  <c r="H19" i="1353"/>
  <c r="G19" i="1353"/>
  <c r="L18" i="1353"/>
  <c r="H18" i="1353"/>
  <c r="G18" i="1353"/>
  <c r="L16" i="1353"/>
  <c r="H16" i="1353"/>
  <c r="G16" i="1353"/>
  <c r="L15" i="1353"/>
  <c r="H15" i="1353"/>
  <c r="G15" i="1353"/>
  <c r="L14" i="1353"/>
  <c r="H14" i="1353"/>
  <c r="L13" i="1353"/>
  <c r="H13" i="1353"/>
  <c r="G13" i="1353"/>
  <c r="L12" i="1353"/>
  <c r="H12" i="1353"/>
  <c r="G12" i="1353"/>
  <c r="L11" i="1353"/>
  <c r="H11" i="1353"/>
  <c r="G11" i="1353"/>
  <c r="L10" i="1353"/>
  <c r="H10" i="1353"/>
  <c r="G10" i="1353"/>
  <c r="L8" i="1353"/>
  <c r="H8" i="1353"/>
  <c r="G8" i="1353"/>
  <c r="L7" i="1353"/>
  <c r="H7" i="1353"/>
  <c r="G7" i="1353"/>
  <c r="L6" i="1353"/>
  <c r="H6" i="1353"/>
  <c r="G6" i="1353"/>
  <c r="L5" i="1353"/>
  <c r="H5" i="1353"/>
  <c r="G5" i="1353"/>
  <c r="L4" i="1353"/>
  <c r="H4" i="1353"/>
  <c r="G4" i="1353"/>
  <c r="L3" i="1353"/>
  <c r="H3" i="1353"/>
  <c r="G3" i="1353"/>
  <c r="L23" i="1352"/>
  <c r="H23" i="1352"/>
  <c r="G23" i="1352"/>
  <c r="L22" i="1352"/>
  <c r="H22" i="1352"/>
  <c r="G22" i="1352"/>
  <c r="L21" i="1352"/>
  <c r="H21" i="1352"/>
  <c r="G21" i="1352"/>
  <c r="L20" i="1352"/>
  <c r="H20" i="1352"/>
  <c r="G20" i="1352"/>
  <c r="L19" i="1352"/>
  <c r="H19" i="1352"/>
  <c r="G19" i="1352"/>
  <c r="L18" i="1352"/>
  <c r="H18" i="1352"/>
  <c r="G18" i="1352"/>
  <c r="L16" i="1352"/>
  <c r="H16" i="1352"/>
  <c r="G16" i="1352"/>
  <c r="L15" i="1352"/>
  <c r="H15" i="1352"/>
  <c r="G15" i="1352"/>
  <c r="L14" i="1352"/>
  <c r="H14" i="1352"/>
  <c r="G14" i="1352"/>
  <c r="L13" i="1352"/>
  <c r="H13" i="1352"/>
  <c r="G13" i="1352"/>
  <c r="L12" i="1352"/>
  <c r="H12" i="1352"/>
  <c r="G12" i="1352"/>
  <c r="L11" i="1352"/>
  <c r="H11" i="1352"/>
  <c r="G11" i="1352"/>
  <c r="L10" i="1352"/>
  <c r="H10" i="1352"/>
  <c r="G10" i="1352"/>
  <c r="L8" i="1352"/>
  <c r="H8" i="1352"/>
  <c r="G8" i="1352"/>
  <c r="L7" i="1352"/>
  <c r="H7" i="1352"/>
  <c r="G7" i="1352"/>
  <c r="L6" i="1352"/>
  <c r="H6" i="1352"/>
  <c r="G6" i="1352"/>
  <c r="L5" i="1352"/>
  <c r="H5" i="1352"/>
  <c r="G5" i="1352"/>
  <c r="L4" i="1352"/>
  <c r="H4" i="1352"/>
  <c r="G4" i="1352"/>
  <c r="L3" i="1352"/>
  <c r="H3" i="1352"/>
  <c r="G3" i="1352"/>
  <c r="L23" i="1351"/>
  <c r="H23" i="1351"/>
  <c r="G23" i="1351"/>
  <c r="L22" i="1351"/>
  <c r="H22" i="1351"/>
  <c r="G22" i="1351"/>
  <c r="L21" i="1351"/>
  <c r="H21" i="1351"/>
  <c r="G21" i="1351"/>
  <c r="L20" i="1351"/>
  <c r="H20" i="1351"/>
  <c r="G20" i="1351"/>
  <c r="L19" i="1351"/>
  <c r="H19" i="1351"/>
  <c r="G19" i="1351"/>
  <c r="L18" i="1351"/>
  <c r="H18" i="1351"/>
  <c r="G18" i="1351"/>
  <c r="L16" i="1351"/>
  <c r="H16" i="1351"/>
  <c r="G16" i="1351"/>
  <c r="L15" i="1351"/>
  <c r="H15" i="1351"/>
  <c r="G15" i="1351"/>
  <c r="L14" i="1351"/>
  <c r="H14" i="1351"/>
  <c r="G14" i="1351"/>
  <c r="L13" i="1351"/>
  <c r="H13" i="1351"/>
  <c r="G13" i="1351"/>
  <c r="L12" i="1351"/>
  <c r="H12" i="1351"/>
  <c r="G12" i="1351"/>
  <c r="L11" i="1351"/>
  <c r="H11" i="1351"/>
  <c r="L10" i="1351"/>
  <c r="H10" i="1351"/>
  <c r="G10" i="1351"/>
  <c r="L8" i="1351"/>
  <c r="H8" i="1351"/>
  <c r="G8" i="1351"/>
  <c r="L7" i="1351"/>
  <c r="H7" i="1351"/>
  <c r="G7" i="1351"/>
  <c r="L6" i="1351"/>
  <c r="H6" i="1351"/>
  <c r="G6" i="1351"/>
  <c r="L5" i="1351"/>
  <c r="H5" i="1351"/>
  <c r="G5" i="1351"/>
  <c r="L4" i="1351"/>
  <c r="H4" i="1351"/>
  <c r="G4" i="1351"/>
  <c r="L3" i="1351"/>
  <c r="H3" i="1351"/>
  <c r="G3" i="1351"/>
  <c r="L23" i="1350"/>
  <c r="H23" i="1350"/>
  <c r="G23" i="1350"/>
  <c r="L22" i="1350"/>
  <c r="H22" i="1350"/>
  <c r="G22" i="1350"/>
  <c r="L21" i="1350"/>
  <c r="H21" i="1350"/>
  <c r="G21" i="1350"/>
  <c r="L20" i="1350"/>
  <c r="H20" i="1350"/>
  <c r="G20" i="1350"/>
  <c r="L19" i="1350"/>
  <c r="H19" i="1350"/>
  <c r="G19" i="1350"/>
  <c r="L18" i="1350"/>
  <c r="H18" i="1350"/>
  <c r="G18" i="1350"/>
  <c r="L16" i="1350"/>
  <c r="H16" i="1350"/>
  <c r="G16" i="1350"/>
  <c r="L15" i="1350"/>
  <c r="H15" i="1350"/>
  <c r="G15" i="1350"/>
  <c r="L14" i="1350"/>
  <c r="H14" i="1350"/>
  <c r="G14" i="1350"/>
  <c r="L13" i="1350"/>
  <c r="H13" i="1350"/>
  <c r="G13" i="1350"/>
  <c r="L12" i="1350"/>
  <c r="H12" i="1350"/>
  <c r="G12" i="1350"/>
  <c r="L11" i="1350"/>
  <c r="H11" i="1350"/>
  <c r="G11" i="1350"/>
  <c r="L10" i="1350"/>
  <c r="H10" i="1350"/>
  <c r="G10" i="1350"/>
  <c r="L8" i="1350"/>
  <c r="H8" i="1350"/>
  <c r="G8" i="1350"/>
  <c r="L7" i="1350"/>
  <c r="H7" i="1350"/>
  <c r="G7" i="1350"/>
  <c r="L6" i="1350"/>
  <c r="H6" i="1350"/>
  <c r="G6" i="1350"/>
  <c r="L5" i="1350"/>
  <c r="H5" i="1350"/>
  <c r="G5" i="1350"/>
  <c r="L4" i="1350"/>
  <c r="H4" i="1350"/>
  <c r="G4" i="1350"/>
  <c r="L3" i="1350"/>
  <c r="H3" i="1350"/>
  <c r="G3" i="1350"/>
  <c r="K50" i="1325" l="1"/>
  <c r="I50" i="1325"/>
  <c r="G50" i="1325"/>
  <c r="E50" i="1325"/>
  <c r="C50" i="1325"/>
  <c r="K49" i="1325"/>
  <c r="I49" i="1325"/>
  <c r="G49" i="1325"/>
  <c r="E49" i="1325"/>
  <c r="C49" i="1325"/>
  <c r="K48" i="1325"/>
  <c r="I48" i="1325"/>
  <c r="G48" i="1325"/>
  <c r="E48" i="1325"/>
  <c r="C48" i="1325"/>
  <c r="K47" i="1325"/>
  <c r="I47" i="1325"/>
  <c r="G47" i="1325"/>
  <c r="E47" i="1325"/>
  <c r="C47" i="1325"/>
  <c r="K46" i="1325"/>
  <c r="I46" i="1325"/>
  <c r="G46" i="1325"/>
  <c r="E46" i="1325"/>
  <c r="C46" i="1325"/>
  <c r="K45" i="1325"/>
  <c r="I45" i="1325"/>
  <c r="G45" i="1325"/>
  <c r="E45" i="1325"/>
  <c r="C45" i="1325"/>
  <c r="K40" i="1325"/>
  <c r="I40" i="1325"/>
  <c r="G40" i="1325"/>
  <c r="E40" i="1325"/>
  <c r="C40" i="1325"/>
  <c r="K39" i="1325"/>
  <c r="I39" i="1325"/>
  <c r="G39" i="1325"/>
  <c r="E39" i="1325"/>
  <c r="C39" i="1325"/>
  <c r="K38" i="1325"/>
  <c r="I38" i="1325"/>
  <c r="G38" i="1325"/>
  <c r="E38" i="1325"/>
  <c r="C38" i="1325"/>
  <c r="K37" i="1325"/>
  <c r="I37" i="1325"/>
  <c r="G37" i="1325"/>
  <c r="C37" i="1325"/>
  <c r="K36" i="1325"/>
  <c r="I36" i="1325"/>
  <c r="G36" i="1325"/>
  <c r="E36" i="1325"/>
  <c r="C36" i="1325"/>
  <c r="K35" i="1325"/>
  <c r="I35" i="1325"/>
  <c r="G35" i="1325"/>
  <c r="E35" i="1325"/>
  <c r="C35" i="1325"/>
  <c r="K31" i="1325"/>
  <c r="I31" i="1325"/>
  <c r="K30" i="1325"/>
  <c r="I30" i="1325"/>
  <c r="K29" i="1325"/>
  <c r="I29" i="1325"/>
  <c r="K28" i="1325"/>
  <c r="I28" i="1325"/>
  <c r="K27" i="1325"/>
  <c r="I27" i="1325"/>
  <c r="K26" i="1325"/>
  <c r="I26" i="1325"/>
  <c r="K25" i="1325"/>
  <c r="I25" i="1325"/>
  <c r="E8" i="760"/>
  <c r="I51" i="1325" l="1"/>
  <c r="G51" i="1325"/>
  <c r="E51" i="1325"/>
  <c r="C51" i="1325"/>
  <c r="I41" i="1325"/>
  <c r="G41" i="1325"/>
  <c r="E41" i="1325"/>
  <c r="K32" i="1325"/>
  <c r="G31" i="1325"/>
  <c r="E31" i="1325"/>
  <c r="C31" i="1325"/>
  <c r="G30" i="1325"/>
  <c r="E30" i="1325"/>
  <c r="C30" i="1325"/>
  <c r="G29" i="1325"/>
  <c r="E29" i="1325"/>
  <c r="C29" i="1325"/>
  <c r="G28" i="1325"/>
  <c r="E28" i="1325"/>
  <c r="C28" i="1325"/>
  <c r="G27" i="1325"/>
  <c r="E27" i="1325"/>
  <c r="C27" i="1325"/>
  <c r="G26" i="1325"/>
  <c r="C26" i="1325"/>
  <c r="G25" i="1325"/>
  <c r="E25" i="1325"/>
  <c r="C25" i="1325"/>
  <c r="K22" i="1325"/>
  <c r="K21" i="1325"/>
  <c r="I21" i="1325"/>
  <c r="G21" i="1325"/>
  <c r="E21" i="1325"/>
  <c r="C21" i="1325"/>
  <c r="K20" i="1325"/>
  <c r="I20" i="1325"/>
  <c r="G20" i="1325"/>
  <c r="E20" i="1325"/>
  <c r="C20" i="1325"/>
  <c r="K19" i="1325"/>
  <c r="I19" i="1325"/>
  <c r="G19" i="1325"/>
  <c r="E19" i="1325"/>
  <c r="C19" i="1325"/>
  <c r="K18" i="1325"/>
  <c r="I18" i="1325"/>
  <c r="G18" i="1325"/>
  <c r="E18" i="1325"/>
  <c r="C18" i="1325"/>
  <c r="K17" i="1325"/>
  <c r="I17" i="1325"/>
  <c r="G17" i="1325"/>
  <c r="E17" i="1325"/>
  <c r="C17" i="1325"/>
  <c r="K16" i="1325"/>
  <c r="I16" i="1325"/>
  <c r="G16" i="1325"/>
  <c r="E16" i="1325"/>
  <c r="C16" i="1325"/>
  <c r="K15" i="1325"/>
  <c r="I15" i="1325"/>
  <c r="G15" i="1325"/>
  <c r="E15" i="1325"/>
  <c r="C15" i="1325"/>
  <c r="I10" i="1325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C32" i="760"/>
  <c r="K31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E25" i="760"/>
  <c r="C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G12" i="760"/>
  <c r="G11" i="760"/>
  <c r="G10" i="760"/>
  <c r="G9" i="760"/>
  <c r="G8" i="760"/>
  <c r="G7" i="760"/>
  <c r="G6" i="760"/>
  <c r="G5" i="760"/>
  <c r="L23" i="1349" l="1"/>
  <c r="H23" i="1349"/>
  <c r="G23" i="1349"/>
  <c r="L22" i="1349"/>
  <c r="H22" i="1349"/>
  <c r="G22" i="1349"/>
  <c r="L21" i="1349"/>
  <c r="H21" i="1349"/>
  <c r="G21" i="1349"/>
  <c r="L20" i="1349"/>
  <c r="H20" i="1349"/>
  <c r="G20" i="1349"/>
  <c r="L19" i="1349"/>
  <c r="H19" i="1349"/>
  <c r="G19" i="1349"/>
  <c r="L18" i="1349"/>
  <c r="H18" i="1349"/>
  <c r="G18" i="1349"/>
  <c r="L16" i="1349"/>
  <c r="H16" i="1349"/>
  <c r="G16" i="1349"/>
  <c r="L15" i="1349"/>
  <c r="H15" i="1349"/>
  <c r="G15" i="1349"/>
  <c r="L14" i="1349"/>
  <c r="H14" i="1349"/>
  <c r="G14" i="1349"/>
  <c r="L13" i="1349"/>
  <c r="H13" i="1349"/>
  <c r="G13" i="1349"/>
  <c r="L12" i="1349"/>
  <c r="H12" i="1349"/>
  <c r="G12" i="1349"/>
  <c r="L11" i="1349"/>
  <c r="H11" i="1349"/>
  <c r="G11" i="1349"/>
  <c r="L10" i="1349"/>
  <c r="H10" i="1349"/>
  <c r="G10" i="1349"/>
  <c r="H8" i="1349"/>
  <c r="G8" i="1349"/>
  <c r="H7" i="1349"/>
  <c r="G7" i="1349"/>
  <c r="L6" i="1349"/>
  <c r="H6" i="1349"/>
  <c r="G6" i="1349"/>
  <c r="H5" i="1349"/>
  <c r="G5" i="1349"/>
  <c r="L4" i="1349"/>
  <c r="H4" i="1349"/>
  <c r="G4" i="1349"/>
  <c r="L3" i="1349"/>
  <c r="H3" i="1349"/>
  <c r="G3" i="1349"/>
  <c r="K8" i="1325"/>
  <c r="K12" i="760"/>
  <c r="K11" i="760"/>
  <c r="K10" i="760"/>
  <c r="K9" i="760"/>
  <c r="K8" i="760"/>
  <c r="K7" i="760"/>
  <c r="K6" i="760"/>
  <c r="K5" i="760"/>
  <c r="C12" i="1325" l="1"/>
  <c r="K11" i="1325"/>
  <c r="I11" i="1325"/>
  <c r="G11" i="1325"/>
  <c r="E11" i="1325"/>
  <c r="C11" i="1325"/>
  <c r="K10" i="1325"/>
  <c r="G10" i="1325"/>
  <c r="E10" i="1325"/>
  <c r="C10" i="1325"/>
  <c r="K9" i="1325"/>
  <c r="I9" i="1325"/>
  <c r="G9" i="1325"/>
  <c r="E9" i="1325"/>
  <c r="C9" i="1325"/>
  <c r="I8" i="1325"/>
  <c r="G8" i="1325"/>
  <c r="E8" i="1325"/>
  <c r="C8" i="1325"/>
  <c r="K7" i="1325"/>
  <c r="I7" i="1325"/>
  <c r="G7" i="1325"/>
  <c r="E7" i="1325"/>
  <c r="C7" i="1325"/>
  <c r="K6" i="1325"/>
  <c r="I6" i="1325"/>
  <c r="G6" i="1325"/>
  <c r="E6" i="1325"/>
  <c r="C6" i="1325"/>
  <c r="K5" i="1325"/>
  <c r="I5" i="1325"/>
  <c r="G5" i="1325"/>
  <c r="E5" i="1325"/>
  <c r="C5" i="1325"/>
  <c r="C12" i="760"/>
  <c r="C11" i="760"/>
  <c r="C10" i="760"/>
  <c r="C9" i="760"/>
  <c r="C8" i="760"/>
  <c r="C7" i="760"/>
  <c r="C6" i="760"/>
  <c r="C5" i="760"/>
  <c r="I11" i="760" l="1"/>
  <c r="I10" i="760"/>
  <c r="I9" i="760"/>
  <c r="I8" i="760"/>
  <c r="I7" i="760"/>
  <c r="I6" i="760"/>
  <c r="I5" i="760"/>
  <c r="E5" i="760" l="1"/>
  <c r="E6" i="760" l="1"/>
  <c r="E7" i="760"/>
  <c r="E9" i="760"/>
  <c r="E10" i="760"/>
  <c r="E11" i="760"/>
  <c r="A12" i="26" l="1"/>
  <c r="A11" i="26"/>
  <c r="A10" i="26"/>
  <c r="A9" i="26"/>
  <c r="A8" i="26"/>
  <c r="A7" i="26"/>
  <c r="A6" i="26"/>
  <c r="A5" i="26"/>
  <c r="A4" i="26"/>
  <c r="A3" i="26"/>
  <c r="A2" i="26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5" i="21"/>
  <c r="AO55" i="21" s="1"/>
  <c r="AL55" i="21"/>
  <c r="AJ55" i="21"/>
  <c r="AI55" i="21" s="1"/>
  <c r="AF55" i="21"/>
  <c r="AD55" i="21"/>
  <c r="AC55" i="21" s="1"/>
  <c r="X55" i="21"/>
  <c r="O55" i="21"/>
  <c r="AP42" i="21"/>
  <c r="AO42" i="21" s="1"/>
  <c r="AL42" i="21"/>
  <c r="AJ42" i="21"/>
  <c r="AI42" i="21" s="1"/>
  <c r="AF42" i="21"/>
  <c r="AC42" i="21"/>
  <c r="AB42" i="21"/>
  <c r="X42" i="21"/>
  <c r="O42" i="21"/>
  <c r="AP54" i="21"/>
  <c r="AN54" i="21" s="1"/>
  <c r="AL54" i="21"/>
  <c r="AJ54" i="21"/>
  <c r="AH54" i="21" s="1"/>
  <c r="AF54" i="21"/>
  <c r="AD54" i="21"/>
  <c r="AB54" i="21" s="1"/>
  <c r="X54" i="21"/>
  <c r="O54" i="21"/>
  <c r="AP138" i="21"/>
  <c r="AN138" i="21" s="1"/>
  <c r="AL138" i="21"/>
  <c r="AJ138" i="21"/>
  <c r="AH138" i="21" s="1"/>
  <c r="AF138" i="21"/>
  <c r="AD138" i="21"/>
  <c r="AB138" i="21" s="1"/>
  <c r="X138" i="21"/>
  <c r="O138" i="21"/>
  <c r="AP159" i="21"/>
  <c r="AO159" i="21" s="1"/>
  <c r="AL159" i="21"/>
  <c r="AJ159" i="21"/>
  <c r="AI159" i="21" s="1"/>
  <c r="AF159" i="21"/>
  <c r="AD159" i="21"/>
  <c r="AC159" i="21" s="1"/>
  <c r="X159" i="21"/>
  <c r="O159" i="21"/>
  <c r="AP133" i="21"/>
  <c r="AO133" i="21" s="1"/>
  <c r="AL133" i="21"/>
  <c r="AJ133" i="21"/>
  <c r="AI133" i="21" s="1"/>
  <c r="AF133" i="21"/>
  <c r="AD133" i="21"/>
  <c r="X133" i="21"/>
  <c r="O133" i="21"/>
  <c r="AP202" i="21"/>
  <c r="AL202" i="21"/>
  <c r="AJ202" i="21"/>
  <c r="AH202" i="21" s="1"/>
  <c r="AF202" i="21"/>
  <c r="X202" i="21"/>
  <c r="O202" i="21"/>
  <c r="AP148" i="21"/>
  <c r="AO148" i="21" s="1"/>
  <c r="AL148" i="21"/>
  <c r="AJ148" i="21"/>
  <c r="AI148" i="21" s="1"/>
  <c r="AD148" i="21"/>
  <c r="AB148" i="21" s="1"/>
  <c r="O148" i="21"/>
  <c r="AP198" i="21"/>
  <c r="AN198" i="21" s="1"/>
  <c r="AL198" i="21"/>
  <c r="AJ198" i="21"/>
  <c r="AD198" i="21"/>
  <c r="AC198" i="21" s="1"/>
  <c r="O198" i="21"/>
  <c r="AP140" i="21"/>
  <c r="AO140" i="21" s="1"/>
  <c r="AL140" i="21"/>
  <c r="AJ140" i="21"/>
  <c r="AI140" i="21" s="1"/>
  <c r="AF140" i="21"/>
  <c r="AD140" i="21"/>
  <c r="AC140" i="21" s="1"/>
  <c r="X140" i="21"/>
  <c r="O140" i="21"/>
  <c r="AP204" i="21"/>
  <c r="AJ204" i="21"/>
  <c r="O204" i="21"/>
  <c r="AP206" i="21"/>
  <c r="AJ206" i="21"/>
  <c r="O206" i="21"/>
  <c r="AP192" i="21"/>
  <c r="AO192" i="21" s="1"/>
  <c r="AL192" i="21"/>
  <c r="AJ192" i="21"/>
  <c r="AI192" i="21" s="1"/>
  <c r="AF192" i="21"/>
  <c r="AD192" i="21"/>
  <c r="AC192" i="21" s="1"/>
  <c r="X192" i="21"/>
  <c r="O192" i="21"/>
  <c r="AP153" i="21"/>
  <c r="AO153" i="21" s="1"/>
  <c r="AL153" i="21"/>
  <c r="AJ153" i="21"/>
  <c r="AI153" i="21" s="1"/>
  <c r="AF153" i="21"/>
  <c r="AD153" i="21"/>
  <c r="AC153" i="21" s="1"/>
  <c r="X153" i="21"/>
  <c r="O153" i="21"/>
  <c r="AP127" i="21"/>
  <c r="AN127" i="21" s="1"/>
  <c r="AL127" i="21"/>
  <c r="AJ127" i="21"/>
  <c r="AH127" i="21" s="1"/>
  <c r="AF127" i="21"/>
  <c r="AD127" i="21"/>
  <c r="AB127" i="21" s="1"/>
  <c r="X127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92" i="21"/>
  <c r="AJ92" i="21"/>
  <c r="AF92" i="21"/>
  <c r="AD92" i="21"/>
  <c r="X92" i="21"/>
  <c r="U92" i="21"/>
  <c r="T92" i="21"/>
  <c r="S92" i="21"/>
  <c r="Q92" i="21"/>
  <c r="P92" i="21"/>
  <c r="O92" i="21"/>
  <c r="AL68" i="21"/>
  <c r="AJ68" i="21"/>
  <c r="AF68" i="21"/>
  <c r="AD68" i="21"/>
  <c r="X68" i="21"/>
  <c r="U68" i="21"/>
  <c r="T68" i="21"/>
  <c r="S68" i="21"/>
  <c r="Q68" i="21"/>
  <c r="P68" i="21"/>
  <c r="O68" i="21"/>
  <c r="AL62" i="21"/>
  <c r="AJ62" i="21"/>
  <c r="AF62" i="21"/>
  <c r="AD62" i="21"/>
  <c r="X62" i="21"/>
  <c r="U62" i="21"/>
  <c r="T62" i="21"/>
  <c r="S62" i="21"/>
  <c r="Q62" i="21"/>
  <c r="P62" i="21"/>
  <c r="O62" i="21"/>
  <c r="AL10" i="21"/>
  <c r="AJ10" i="21"/>
  <c r="AF10" i="21"/>
  <c r="AD10" i="21"/>
  <c r="X10" i="21"/>
  <c r="U10" i="21"/>
  <c r="T10" i="21"/>
  <c r="S10" i="21"/>
  <c r="Q10" i="21"/>
  <c r="P10" i="21"/>
  <c r="O10" i="21"/>
  <c r="AL88" i="21"/>
  <c r="AJ88" i="21"/>
  <c r="AF88" i="21"/>
  <c r="AD88" i="21"/>
  <c r="X88" i="21"/>
  <c r="U88" i="21"/>
  <c r="T88" i="21"/>
  <c r="S88" i="21"/>
  <c r="Q88" i="21"/>
  <c r="P88" i="21"/>
  <c r="AH88" i="21" s="1"/>
  <c r="O88" i="21"/>
  <c r="AL87" i="21"/>
  <c r="AJ87" i="21"/>
  <c r="AF87" i="21"/>
  <c r="AD87" i="21"/>
  <c r="X87" i="21"/>
  <c r="U87" i="21"/>
  <c r="T87" i="21"/>
  <c r="S87" i="21"/>
  <c r="Q87" i="21"/>
  <c r="P87" i="21"/>
  <c r="O87" i="21"/>
  <c r="AL89" i="21"/>
  <c r="AJ89" i="21"/>
  <c r="AF89" i="21"/>
  <c r="AD89" i="21"/>
  <c r="X89" i="21"/>
  <c r="U89" i="21"/>
  <c r="T89" i="21"/>
  <c r="S89" i="21"/>
  <c r="Q89" i="21"/>
  <c r="P89" i="21"/>
  <c r="O89" i="21"/>
  <c r="AL28" i="21"/>
  <c r="AJ28" i="21"/>
  <c r="AF28" i="21"/>
  <c r="AD28" i="21"/>
  <c r="X28" i="21"/>
  <c r="U28" i="21"/>
  <c r="T28" i="21"/>
  <c r="S28" i="21"/>
  <c r="Q28" i="21"/>
  <c r="P28" i="21"/>
  <c r="O28" i="21"/>
  <c r="AL43" i="21"/>
  <c r="AJ43" i="21"/>
  <c r="AF43" i="21"/>
  <c r="AD43" i="21"/>
  <c r="X43" i="21"/>
  <c r="U43" i="21"/>
  <c r="T43" i="21"/>
  <c r="S43" i="21"/>
  <c r="Q43" i="21"/>
  <c r="P43" i="21"/>
  <c r="O43" i="21"/>
  <c r="AL124" i="21"/>
  <c r="AJ124" i="21"/>
  <c r="AF124" i="21"/>
  <c r="AD124" i="21"/>
  <c r="X124" i="21"/>
  <c r="U124" i="21"/>
  <c r="T124" i="21"/>
  <c r="S124" i="21"/>
  <c r="Q124" i="21"/>
  <c r="P124" i="21"/>
  <c r="O124" i="21"/>
  <c r="AL69" i="21"/>
  <c r="AJ69" i="21"/>
  <c r="AF69" i="21"/>
  <c r="AD69" i="21"/>
  <c r="X69" i="21"/>
  <c r="U69" i="21"/>
  <c r="T69" i="21"/>
  <c r="S69" i="21"/>
  <c r="Q69" i="21"/>
  <c r="P69" i="21"/>
  <c r="O69" i="21"/>
  <c r="AL76" i="21"/>
  <c r="AJ76" i="21"/>
  <c r="AF76" i="21"/>
  <c r="AD76" i="21"/>
  <c r="X76" i="21"/>
  <c r="U76" i="21"/>
  <c r="T76" i="21"/>
  <c r="S76" i="21"/>
  <c r="Q76" i="21"/>
  <c r="P76" i="21"/>
  <c r="O76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9" i="21"/>
  <c r="AJ109" i="21"/>
  <c r="AF109" i="21"/>
  <c r="AD109" i="21"/>
  <c r="X109" i="21"/>
  <c r="U109" i="21"/>
  <c r="T109" i="21"/>
  <c r="S109" i="21"/>
  <c r="Q109" i="21"/>
  <c r="P109" i="21"/>
  <c r="AH109" i="21" s="1"/>
  <c r="O109" i="21"/>
  <c r="AL30" i="21"/>
  <c r="AJ30" i="21"/>
  <c r="AF30" i="21"/>
  <c r="AD30" i="21"/>
  <c r="X30" i="21"/>
  <c r="U30" i="21"/>
  <c r="T30" i="21"/>
  <c r="S30" i="21"/>
  <c r="Q30" i="21"/>
  <c r="P30" i="21"/>
  <c r="O30" i="21"/>
  <c r="AL108" i="21"/>
  <c r="AJ108" i="21"/>
  <c r="AF108" i="21"/>
  <c r="AD108" i="21"/>
  <c r="X108" i="21"/>
  <c r="U108" i="21"/>
  <c r="T108" i="21"/>
  <c r="S108" i="21"/>
  <c r="Q108" i="21"/>
  <c r="P108" i="21"/>
  <c r="O108" i="21"/>
  <c r="AL66" i="21"/>
  <c r="AJ66" i="21"/>
  <c r="AF66" i="21"/>
  <c r="AD66" i="21"/>
  <c r="X66" i="21"/>
  <c r="U66" i="21"/>
  <c r="T66" i="21"/>
  <c r="S66" i="21"/>
  <c r="Q66" i="21"/>
  <c r="P66" i="21"/>
  <c r="O66" i="21"/>
  <c r="AL74" i="21"/>
  <c r="AJ74" i="21"/>
  <c r="AF74" i="21"/>
  <c r="AD74" i="21"/>
  <c r="X74" i="21"/>
  <c r="U74" i="21"/>
  <c r="T74" i="21"/>
  <c r="S74" i="21"/>
  <c r="Q74" i="21"/>
  <c r="P74" i="21"/>
  <c r="O74" i="21"/>
  <c r="AL6" i="21"/>
  <c r="AJ6" i="21"/>
  <c r="AF6" i="21"/>
  <c r="AD6" i="21"/>
  <c r="X6" i="21"/>
  <c r="U6" i="21"/>
  <c r="T6" i="21"/>
  <c r="S6" i="21"/>
  <c r="Q6" i="21"/>
  <c r="P6" i="21"/>
  <c r="O6" i="21"/>
  <c r="AL75" i="21"/>
  <c r="AJ75" i="21"/>
  <c r="AF75" i="21"/>
  <c r="AD75" i="21"/>
  <c r="X75" i="21"/>
  <c r="U75" i="21"/>
  <c r="T75" i="21"/>
  <c r="S75" i="21"/>
  <c r="Q75" i="21"/>
  <c r="P75" i="21"/>
  <c r="O75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80" i="21"/>
  <c r="AJ80" i="21"/>
  <c r="AF80" i="21"/>
  <c r="AD80" i="21"/>
  <c r="X80" i="21"/>
  <c r="U80" i="21"/>
  <c r="T80" i="21"/>
  <c r="S80" i="21"/>
  <c r="Q80" i="21"/>
  <c r="P80" i="21"/>
  <c r="O80" i="21"/>
  <c r="AL46" i="21"/>
  <c r="AJ46" i="21"/>
  <c r="AF46" i="21"/>
  <c r="AD46" i="21"/>
  <c r="X46" i="21"/>
  <c r="U46" i="21"/>
  <c r="T46" i="21"/>
  <c r="S46" i="21"/>
  <c r="Q46" i="21"/>
  <c r="P46" i="21"/>
  <c r="O46" i="21"/>
  <c r="AH87" i="21" l="1"/>
  <c r="AH22" i="21"/>
  <c r="AH10" i="21"/>
  <c r="AH74" i="21"/>
  <c r="AH30" i="21"/>
  <c r="AH76" i="21"/>
  <c r="AH6" i="21"/>
  <c r="AH68" i="21"/>
  <c r="AH19" i="21"/>
  <c r="AH92" i="21"/>
  <c r="AH80" i="21"/>
  <c r="AH43" i="21"/>
  <c r="AH25" i="21"/>
  <c r="AH89" i="21"/>
  <c r="AB46" i="21"/>
  <c r="AB66" i="21"/>
  <c r="AC30" i="21"/>
  <c r="AB69" i="21"/>
  <c r="AC62" i="21"/>
  <c r="AC88" i="21"/>
  <c r="AH66" i="21"/>
  <c r="AB75" i="21"/>
  <c r="AC54" i="21"/>
  <c r="AI62" i="21"/>
  <c r="AC92" i="21"/>
  <c r="AB55" i="21"/>
  <c r="AB62" i="21"/>
  <c r="AI202" i="21"/>
  <c r="AH133" i="21"/>
  <c r="AH159" i="21"/>
  <c r="AI138" i="21"/>
  <c r="AN55" i="21"/>
  <c r="AI76" i="21"/>
  <c r="AI89" i="21"/>
  <c r="AB92" i="21"/>
  <c r="AC66" i="21"/>
  <c r="AH153" i="21"/>
  <c r="AN140" i="21"/>
  <c r="AO138" i="21"/>
  <c r="AB109" i="21"/>
  <c r="AC74" i="21"/>
  <c r="AH69" i="21"/>
  <c r="AC46" i="21"/>
  <c r="AC19" i="21"/>
  <c r="AI74" i="21"/>
  <c r="AC69" i="21"/>
  <c r="AC28" i="21"/>
  <c r="AB89" i="21"/>
  <c r="AC87" i="21"/>
  <c r="AB4" i="21"/>
  <c r="AI19" i="21"/>
  <c r="AB87" i="21"/>
  <c r="AC80" i="21"/>
  <c r="AB11" i="21"/>
  <c r="AH75" i="21"/>
  <c r="AI30" i="21"/>
  <c r="AC76" i="21"/>
  <c r="AB43" i="21"/>
  <c r="AB22" i="21"/>
  <c r="AC4" i="21"/>
  <c r="AB140" i="21"/>
  <c r="AB198" i="21"/>
  <c r="AO198" i="21"/>
  <c r="AC138" i="21"/>
  <c r="AO54" i="21"/>
  <c r="AH55" i="21"/>
  <c r="AB19" i="21"/>
  <c r="AN4" i="21"/>
  <c r="AB31" i="21"/>
  <c r="AI54" i="21"/>
  <c r="AB6" i="21"/>
  <c r="AI66" i="21"/>
  <c r="AI108" i="21"/>
  <c r="AB30" i="21"/>
  <c r="AB25" i="21"/>
  <c r="AI69" i="21"/>
  <c r="AI124" i="21"/>
  <c r="AB28" i="21"/>
  <c r="AI88" i="21"/>
  <c r="AC108" i="21"/>
  <c r="AC124" i="21"/>
  <c r="AI87" i="21"/>
  <c r="AC68" i="21"/>
  <c r="AI4" i="21"/>
  <c r="AN31" i="21"/>
  <c r="AC31" i="21"/>
  <c r="AH31" i="21"/>
  <c r="AB192" i="21"/>
  <c r="AH192" i="21"/>
  <c r="AN192" i="21"/>
  <c r="AI46" i="21"/>
  <c r="AI80" i="21"/>
  <c r="AC75" i="21"/>
  <c r="AC6" i="21"/>
  <c r="AC109" i="21"/>
  <c r="AC25" i="21"/>
  <c r="AB10" i="21"/>
  <c r="AB80" i="21"/>
  <c r="AC11" i="21"/>
  <c r="AI75" i="21"/>
  <c r="AI6" i="21"/>
  <c r="AB74" i="21"/>
  <c r="AB108" i="21"/>
  <c r="AI109" i="21"/>
  <c r="AI25" i="21"/>
  <c r="AB14" i="21"/>
  <c r="AB76" i="21"/>
  <c r="AB124" i="21"/>
  <c r="AC43" i="21"/>
  <c r="AI28" i="21"/>
  <c r="AC10" i="21"/>
  <c r="AI68" i="21"/>
  <c r="AO4" i="21"/>
  <c r="AO31" i="21"/>
  <c r="AI127" i="21"/>
  <c r="AN159" i="21"/>
  <c r="AI11" i="21"/>
  <c r="AI43" i="21"/>
  <c r="AI10" i="21"/>
  <c r="AB68" i="21"/>
  <c r="AI22" i="21"/>
  <c r="AC127" i="21"/>
  <c r="AN153" i="21"/>
  <c r="AH140" i="21"/>
  <c r="AC14" i="21"/>
  <c r="AH62" i="21"/>
  <c r="AH198" i="21"/>
  <c r="AI198" i="21"/>
  <c r="AH148" i="21"/>
  <c r="AN148" i="21"/>
  <c r="AC133" i="21"/>
  <c r="AB133" i="21"/>
  <c r="AH11" i="21"/>
  <c r="AH46" i="21"/>
  <c r="AH108" i="21"/>
  <c r="AI14" i="21"/>
  <c r="AH124" i="21"/>
  <c r="AH28" i="21"/>
  <c r="AC89" i="21"/>
  <c r="AB88" i="21"/>
  <c r="AI92" i="21"/>
  <c r="AC22" i="21"/>
  <c r="AO127" i="21"/>
  <c r="AB153" i="21"/>
  <c r="AN202" i="21"/>
  <c r="AO202" i="21"/>
  <c r="AN133" i="21"/>
  <c r="AB159" i="21"/>
  <c r="AN42" i="21"/>
  <c r="AH42" i="21"/>
  <c r="AH4" i="21"/>
  <c r="AC148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2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2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9" authorId="0" shapeId="0" xr:uid="{00000000-0006-0000-02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40" authorId="0" shapeId="0" xr:uid="{00000000-0006-0000-02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8" authorId="0" shapeId="0" xr:uid="{00000000-0006-0000-02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8" authorId="0" shapeId="0" xr:uid="{00000000-0006-0000-02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8" authorId="0" shapeId="0" xr:uid="{00000000-0006-0000-02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7" authorId="0" shapeId="0" xr:uid="{00000000-0006-0000-02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44" authorId="0" shapeId="0" xr:uid="{00000000-0006-0000-02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55" authorId="0" shapeId="0" xr:uid="{00000000-0006-0000-02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55" authorId="0" shapeId="0" xr:uid="{00000000-0006-0000-02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22" authorId="0" shapeId="0" xr:uid="{00000000-0006-0000-02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25" authorId="0" shapeId="0" xr:uid="{00000000-0006-0000-02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78" authorId="0" shapeId="0" xr:uid="{00000000-0006-0000-02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18" authorId="0" shapeId="0" xr:uid="{00000000-0006-0000-02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61" authorId="0" shapeId="0" xr:uid="{00000000-0006-0000-02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91" authorId="0" shapeId="0" xr:uid="{00000000-0006-0000-02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98" authorId="0" shapeId="0" xr:uid="{00000000-0006-0000-02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18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18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18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<sst xmlns="http://schemas.openxmlformats.org/spreadsheetml/2006/main" count="5360" uniqueCount="2334">
  <si>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</si>
  <si>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</si>
  <si>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</si>
  <si>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</si>
  <si>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</si>
  <si>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</si>
  <si>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</si>
  <si>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</si>
  <si>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</si>
  <si>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</si>
  <si>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</si>
  <si>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</si>
  <si>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</si>
  <si>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</si>
  <si>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</si>
  <si>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</si>
  <si>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125921 튼튼스쿨 쥬시햄벅스테이크(60g*16입 960g/EA)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</si>
  <si>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</si>
  <si>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</si>
  <si>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</si>
  <si>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</si>
  <si>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</si>
  <si>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</si>
  <si>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</si>
  <si>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</si>
  <si>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</si>
  <si>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</si>
  <si>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</si>
  <si>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</si>
  <si>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</si>
  <si>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</si>
  <si>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</si>
  <si>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</si>
  <si>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</si>
  <si>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</si>
  <si>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</si>
  <si>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</si>
  <si>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</si>
  <si>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</si>
  <si>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</si>
  <si>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</si>
  <si>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</si>
  <si>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</si>
  <si>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</si>
  <si>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</si>
  <si>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</si>
  <si>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</si>
  <si>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</si>
  <si>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</si>
  <si>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</si>
  <si>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</si>
  <si>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</si>
  <si>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</si>
  <si>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</si>
  <si>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</si>
  <si>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</si>
  <si>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</si>
  <si>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</si>
  <si>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</si>
  <si>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</si>
  <si>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</si>
  <si>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</si>
  <si>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1팬에 64 조각. 왕란4개=6인분</t>
  </si>
  <si>
    <t>온라인반찬(중요함), 온라인국, 급식반찬, 급식국, 급식밥 (총5개의 DB 시트로 구성됨)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</si>
  <si>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</si>
  <si>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</si>
  <si>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</si>
  <si>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</si>
  <si>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</si>
  <si>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</si>
  <si>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g</t>
  </si>
  <si>
    <t>개</t>
  </si>
  <si>
    <t>장</t>
  </si>
  <si>
    <t>No.</t>
  </si>
  <si>
    <t>보존식</t>
  </si>
  <si>
    <t>김치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</si>
  <si>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</si>
  <si>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</si>
  <si>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</si>
  <si>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</si>
  <si>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</si>
  <si>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</si>
  <si>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</si>
  <si>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</si>
  <si>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</si>
  <si>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</si>
  <si>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</si>
  <si>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</si>
  <si>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</si>
  <si>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</si>
  <si>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</si>
  <si>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</si>
  <si>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</si>
  <si>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</si>
  <si>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</si>
  <si>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</si>
  <si>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</si>
  <si>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</si>
  <si>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</si>
  <si>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</si>
  <si>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</si>
  <si>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</si>
  <si>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</si>
  <si>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</si>
  <si>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</si>
  <si>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</si>
  <si>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</si>
  <si>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</si>
  <si>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</si>
  <si>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</si>
  <si>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</si>
  <si>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</si>
  <si>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</si>
  <si>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</si>
  <si>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</si>
  <si>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</si>
  <si>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</si>
  <si>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</si>
  <si>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</si>
  <si>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</si>
  <si>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</si>
  <si>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</si>
  <si>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</si>
  <si>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</si>
  <si>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</si>
  <si>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</si>
  <si>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</si>
  <si>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</si>
  <si>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</si>
  <si>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</si>
  <si>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</si>
  <si>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</si>
  <si>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</si>
  <si>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</si>
  <si>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</si>
  <si>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</si>
  <si>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</si>
  <si>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</si>
  <si>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</si>
  <si>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</si>
  <si>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</si>
  <si>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</si>
  <si>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18/6/15 13:00 ~ 18/6/18 13:00</t>
  </si>
  <si>
    <t>18/3/7 13:00 ~ 18/3/10 13:00</t>
  </si>
  <si>
    <t>18/5/21 13:00 ~ 18/5/24 13:00</t>
  </si>
  <si>
    <t>18/10/18 13:00 ~ 18/10/21 13:00</t>
  </si>
  <si>
    <t>새송이버섯 수율 45~50% (총알새송이는 수율 다름)</t>
  </si>
  <si>
    <t>18/6/12 13:00 ~ 18/6/15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</si>
  <si>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</si>
  <si>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</si>
  <si>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</si>
  <si>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</si>
  <si>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</si>
  <si>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</si>
  <si>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</si>
  <si>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</si>
  <si>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</si>
  <si>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</si>
  <si>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</si>
  <si>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</si>
  <si>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</si>
  <si>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</si>
  <si>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</si>
  <si>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</si>
  <si>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</si>
  <si>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</si>
  <si>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</si>
  <si>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</si>
  <si>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</si>
  <si>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</si>
  <si>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</si>
  <si>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</si>
  <si>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</si>
  <si>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</si>
  <si>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</si>
  <si>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</si>
  <si>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</si>
  <si>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</si>
  <si>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</si>
  <si>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</si>
  <si>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</si>
  <si>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</si>
  <si>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</si>
  <si>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</si>
  <si>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</si>
  <si>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</si>
  <si>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</si>
  <si>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</si>
  <si>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</si>
  <si>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</si>
  <si>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</si>
  <si>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</si>
  <si>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</si>
  <si>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</si>
  <si>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</si>
  <si>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</si>
  <si>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</si>
  <si>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</si>
  <si>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</si>
  <si>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</si>
  <si>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</si>
  <si>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</si>
  <si>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</si>
  <si>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</si>
  <si>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</si>
  <si>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</si>
  <si>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</si>
  <si>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</si>
  <si>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</si>
  <si>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</si>
  <si>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</si>
  <si>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</si>
  <si>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</si>
  <si>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</si>
  <si>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</si>
  <si>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</si>
  <si>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</si>
  <si>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</si>
  <si>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</si>
  <si>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</si>
  <si>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</si>
  <si>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</si>
  <si>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</si>
  <si>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</si>
  <si>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</si>
  <si>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</si>
  <si>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</si>
  <si>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</si>
  <si>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</si>
  <si>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</si>
  <si>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</si>
  <si>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</si>
  <si>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</si>
  <si>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반찬2</t>
  </si>
  <si>
    <t>반찬1</t>
  </si>
  <si>
    <t>흰쌀밥</t>
  </si>
  <si>
    <t>구분</t>
  </si>
  <si>
    <t>품명</t>
  </si>
  <si>
    <t>밥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</si>
  <si>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</si>
  <si>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</si>
  <si>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</si>
  <si>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</si>
  <si>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</si>
  <si>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</si>
  <si>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</si>
  <si>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</si>
  <si>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</si>
  <si>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</si>
  <si>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</si>
  <si>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</si>
  <si>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</si>
  <si>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</si>
  <si>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</si>
  <si>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</si>
  <si>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</si>
  <si>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</si>
  <si>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</si>
  <si>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</si>
  <si>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</si>
  <si>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</si>
  <si>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총생산량
(g 또는 수량)</t>
  </si>
  <si>
    <t>개별중량
(g ,수량)</t>
  </si>
  <si>
    <t>생산갯수</t>
  </si>
  <si>
    <t>작성일:</t>
  </si>
  <si>
    <t>입력또는수정일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</si>
  <si>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</si>
  <si>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</si>
  <si>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</si>
  <si>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</si>
  <si>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</si>
  <si>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</si>
  <si>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</si>
  <si>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</si>
  <si>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</si>
  <si>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</si>
  <si>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</si>
  <si>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</si>
  <si>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</si>
  <si>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</si>
  <si>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</si>
  <si>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</si>
  <si>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</si>
  <si>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</si>
  <si>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</si>
  <si>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</si>
  <si>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</si>
  <si>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</si>
  <si>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</si>
  <si>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</si>
  <si>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</si>
  <si>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</si>
  <si>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</si>
  <si>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</si>
  <si>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</si>
  <si>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</si>
  <si>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</si>
  <si>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</si>
  <si>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</si>
  <si>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</si>
  <si>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</si>
  <si>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</si>
  <si>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</si>
  <si>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</si>
  <si>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</si>
  <si>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</si>
  <si>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</si>
  <si>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</si>
  <si>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</si>
  <si>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</si>
  <si>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</si>
  <si>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</si>
  <si>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</si>
  <si>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</si>
  <si>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</si>
  <si>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</si>
  <si>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</si>
  <si>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</si>
  <si>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</si>
  <si>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</si>
  <si>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</si>
  <si>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</si>
  <si>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소고기무국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</si>
  <si>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</si>
  <si>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</si>
  <si>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</si>
  <si>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</si>
  <si>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</si>
  <si>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</si>
  <si>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</si>
  <si>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</si>
  <si>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</si>
  <si>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</si>
  <si>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시금치된장국</t>
  </si>
  <si>
    <t>소고기미역국</t>
  </si>
  <si>
    <t>돈육피망잡채</t>
  </si>
  <si>
    <t>레몬크림새우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</si>
  <si>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</si>
  <si>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</si>
  <si>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</si>
  <si>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</si>
  <si>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</si>
  <si>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</si>
  <si>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</si>
  <si>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</si>
  <si>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</si>
  <si>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</si>
  <si>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</si>
  <si>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</si>
  <si>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</si>
  <si>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</si>
  <si>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</si>
  <si>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</si>
  <si>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</si>
  <si>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</si>
  <si>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</si>
  <si>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</si>
  <si>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</si>
  <si>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</si>
  <si>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</si>
  <si>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</si>
  <si>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</si>
  <si>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</si>
  <si>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</si>
  <si>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</si>
  <si>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</si>
  <si>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</si>
  <si>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</si>
  <si>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</si>
  <si>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</si>
  <si>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</si>
  <si>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</si>
  <si>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</si>
  <si>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</si>
  <si>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</si>
  <si>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</si>
  <si>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</si>
  <si>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</si>
  <si>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</si>
  <si>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</si>
  <si>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</si>
  <si>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</si>
  <si>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</si>
  <si>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</si>
  <si>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</si>
  <si>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</si>
  <si>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</si>
  <si>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</si>
  <si>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</si>
  <si>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</si>
  <si>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</si>
  <si>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</si>
  <si>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</si>
  <si>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</si>
  <si>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</si>
  <si>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</si>
  <si>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</si>
  <si>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</si>
  <si>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</si>
  <si>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얼갈이된장나물</t>
  </si>
  <si>
    <t>호박당근채나물</t>
  </si>
  <si>
    <t>유부시금치무침</t>
  </si>
  <si>
    <t>콩나물무침</t>
  </si>
  <si>
    <t>시금치된장나물</t>
  </si>
  <si>
    <t>오이초무침</t>
  </si>
  <si>
    <t>미역줄기볶음</t>
  </si>
  <si>
    <t>코울슬로</t>
  </si>
  <si>
    <t>미역오이무침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</si>
  <si>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</si>
  <si>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</si>
  <si>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</si>
  <si>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</si>
  <si>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</si>
  <si>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</si>
  <si>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</si>
  <si>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</si>
  <si>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</si>
  <si>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</si>
  <si>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</si>
  <si>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</si>
  <si>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</si>
  <si>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</si>
  <si>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</si>
  <si>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</si>
  <si>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</si>
  <si>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</si>
  <si>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</si>
  <si>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</si>
  <si>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</si>
  <si>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</si>
  <si>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</si>
  <si>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</si>
  <si>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</si>
  <si>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</si>
  <si>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</si>
  <si>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</si>
  <si>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</si>
  <si>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</si>
  <si>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</si>
  <si>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</si>
  <si>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</si>
  <si>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</si>
  <si>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</si>
  <si>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</si>
  <si>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</si>
  <si>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</si>
  <si>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</si>
  <si>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</si>
  <si>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</si>
  <si>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</si>
  <si>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</si>
  <si>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</si>
  <si>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</si>
  <si>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</si>
  <si>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</si>
  <si>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</si>
  <si>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</si>
  <si>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</si>
  <si>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</si>
  <si>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</si>
  <si>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</si>
  <si>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</si>
  <si>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</si>
  <si>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</si>
  <si>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</si>
  <si>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</si>
  <si>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</si>
  <si>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</si>
  <si>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</si>
  <si>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</si>
  <si>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</si>
  <si>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</si>
  <si>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</si>
  <si>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</si>
  <si>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</si>
  <si>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</si>
  <si>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</si>
  <si>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</si>
  <si>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</si>
  <si>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</si>
  <si>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</si>
  <si>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</si>
  <si>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</si>
  <si>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</si>
  <si>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</si>
  <si>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</si>
  <si>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</si>
  <si>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</si>
  <si>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</si>
  <si>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</si>
  <si>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</si>
  <si>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</si>
  <si>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</si>
  <si>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</si>
  <si>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</si>
  <si>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</si>
  <si>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18/7/1 13:00 ~ 18/7/4 13:00</t>
  </si>
  <si>
    <t>18/6/4 13:00 ~ 18/6/7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</si>
  <si>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</si>
  <si>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</si>
  <si>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</si>
  <si>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</si>
  <si>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</si>
  <si>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</si>
  <si>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</si>
  <si>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</si>
  <si>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</si>
  <si>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</si>
  <si>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</si>
  <si>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</si>
  <si>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</si>
  <si>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</si>
  <si>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</si>
  <si>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</si>
  <si>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</si>
  <si>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</si>
  <si>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</si>
  <si>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</si>
  <si>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</si>
  <si>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</si>
  <si>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</si>
  <si>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</si>
  <si>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</si>
  <si>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</si>
  <si>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</si>
  <si>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</si>
  <si>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</si>
  <si>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</si>
  <si>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</si>
  <si>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</si>
  <si>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</si>
  <si>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</si>
  <si>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</si>
  <si>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</si>
  <si>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</si>
  <si>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</si>
  <si>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</si>
  <si>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</si>
  <si>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</si>
  <si>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</si>
  <si>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</si>
  <si>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</si>
  <si>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</si>
  <si>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</si>
  <si>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</si>
  <si>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</si>
  <si>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</si>
  <si>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</si>
  <si>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</si>
  <si>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</si>
  <si>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</si>
  <si>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</si>
  <si>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</si>
  <si>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</si>
  <si>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</si>
  <si>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</si>
  <si>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</si>
  <si>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</si>
  <si>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</si>
  <si>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</si>
  <si>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</si>
  <si>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</si>
  <si>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</si>
  <si>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</si>
  <si>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</si>
  <si>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</si>
  <si>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</si>
  <si>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</si>
  <si>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</si>
  <si>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</si>
  <si>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</si>
  <si>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</si>
  <si>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</si>
  <si>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</si>
  <si>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</si>
  <si>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</si>
  <si>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</si>
  <si>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</si>
  <si>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</si>
  <si>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</si>
  <si>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</si>
  <si>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</si>
  <si>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</si>
  <si>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</si>
  <si>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</si>
  <si>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</si>
  <si>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</si>
  <si>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</si>
  <si>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</si>
  <si>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</si>
  <si>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</si>
  <si>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</si>
  <si>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</si>
  <si>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</si>
  <si>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</si>
  <si>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</si>
  <si>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</si>
  <si>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</si>
  <si>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</si>
  <si>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</si>
  <si>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</si>
  <si>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</si>
  <si>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</si>
  <si>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</si>
  <si>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</si>
  <si>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</si>
  <si>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</si>
  <si>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</si>
  <si>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</si>
  <si>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</si>
  <si>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</si>
  <si>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</si>
  <si>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</si>
  <si>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</si>
  <si>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</si>
  <si>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</si>
  <si>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</si>
  <si>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</si>
  <si>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</si>
  <si>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</si>
  <si>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</si>
  <si>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</si>
  <si>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</si>
  <si>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</si>
  <si>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</si>
  <si>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</si>
  <si>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</si>
  <si>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</si>
  <si>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</si>
  <si>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</si>
  <si>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</si>
  <si>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</si>
  <si>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</si>
  <si>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</si>
  <si>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</si>
  <si>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</si>
  <si>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</si>
  <si>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</si>
  <si>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</si>
  <si>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</si>
  <si>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</si>
  <si>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</si>
  <si>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</si>
  <si>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</si>
  <si>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</si>
  <si>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</si>
  <si>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</si>
  <si>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</si>
  <si>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</si>
  <si>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</si>
  <si>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</si>
  <si>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오징어볼 [(오징어48.78%, 빵가루, 소맥분, 소맥전분, 정제염, 정제수)중국산]97%, 대두유3%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</si>
  <si>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</si>
  <si>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</si>
  <si>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</si>
  <si>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</si>
  <si>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</si>
  <si>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</si>
  <si>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</si>
  <si>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</si>
  <si>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</si>
  <si>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</si>
  <si>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</si>
  <si>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</si>
  <si>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</si>
  <si>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</si>
  <si>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</si>
  <si>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</si>
  <si>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</si>
  <si>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</si>
  <si>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</si>
  <si>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</si>
  <si>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</si>
  <si>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</si>
  <si>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</si>
  <si>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</si>
  <si>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</si>
  <si>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</si>
  <si>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</si>
  <si>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</si>
  <si>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</si>
  <si>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</si>
  <si>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</si>
  <si>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</si>
  <si>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</si>
  <si>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</si>
  <si>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</si>
  <si>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</si>
  <si>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</si>
  <si>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</si>
  <si>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</si>
  <si>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</si>
  <si>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</si>
  <si>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</si>
  <si>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</si>
  <si>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</si>
  <si>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</si>
  <si>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</si>
  <si>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</si>
  <si>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</si>
  <si>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</si>
  <si>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</si>
  <si>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</si>
  <si>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</si>
  <si>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</si>
  <si>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</si>
  <si>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</si>
  <si>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</si>
  <si>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</si>
  <si>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</si>
  <si>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</si>
  <si>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</si>
  <si>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오이양배추무침</t>
    <phoneticPr fontId="12" type="noConversion"/>
  </si>
  <si>
    <t>포도짜요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</si>
  <si>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</si>
  <si>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</si>
  <si>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</si>
  <si>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</si>
  <si>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</si>
  <si>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</si>
  <si>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</si>
  <si>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</si>
  <si>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</si>
  <si>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</si>
  <si>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</si>
  <si>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</si>
  <si>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</si>
  <si>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</si>
  <si>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</si>
  <si>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</si>
  <si>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</si>
  <si>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</si>
  <si>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</si>
  <si>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</si>
  <si>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</si>
  <si>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</si>
  <si>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</si>
  <si>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</si>
  <si>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</si>
  <si>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</si>
  <si>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</si>
  <si>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</si>
  <si>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</si>
  <si>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</si>
  <si>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</si>
  <si>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</si>
  <si>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</si>
  <si>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</si>
  <si>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</si>
  <si>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</si>
  <si>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</si>
  <si>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</si>
  <si>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</si>
  <si>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</si>
  <si>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</si>
  <si>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</si>
  <si>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</si>
  <si>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</si>
  <si>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</si>
  <si>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</si>
  <si>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</si>
  <si>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</si>
  <si>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</si>
  <si>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</si>
  <si>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</si>
  <si>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</si>
  <si>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</si>
  <si>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</si>
  <si>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</si>
  <si>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</si>
  <si>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</si>
  <si>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</si>
  <si>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</si>
  <si>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</si>
  <si>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</si>
  <si>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</si>
  <si>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</si>
  <si>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</si>
  <si>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</si>
  <si>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</si>
  <si>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</si>
  <si>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>오징어링튀김(그린푸드)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</si>
  <si>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</si>
  <si>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</si>
  <si>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</si>
  <si>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</si>
  <si>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</si>
  <si>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</si>
  <si>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</si>
  <si>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</si>
  <si>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</si>
  <si>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</si>
  <si>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</si>
  <si>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</si>
  <si>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</si>
  <si>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</si>
  <si>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</si>
  <si>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</si>
  <si>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</si>
  <si>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</si>
  <si>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</si>
  <si>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</si>
  <si>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</si>
  <si>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</si>
  <si>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</si>
  <si>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</si>
  <si>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</si>
  <si>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</si>
  <si>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</si>
  <si>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</si>
  <si>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</si>
  <si>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</si>
  <si>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</si>
  <si>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</si>
  <si>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</si>
  <si>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</si>
  <si>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</si>
  <si>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</si>
  <si>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</si>
  <si>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</si>
  <si>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</si>
  <si>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</si>
  <si>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</si>
  <si>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</si>
  <si>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</si>
  <si>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</si>
  <si>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</si>
  <si>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</si>
  <si>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</si>
  <si>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</si>
  <si>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</si>
  <si>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</si>
  <si>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</si>
  <si>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</si>
  <si>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</si>
  <si>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</si>
  <si>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</si>
  <si>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</si>
  <si>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</si>
  <si>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</si>
  <si>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</si>
  <si>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</si>
  <si>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</si>
  <si>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</si>
  <si>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</si>
  <si>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</si>
  <si>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</si>
  <si>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</si>
  <si>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</si>
  <si>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</si>
  <si>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</si>
  <si>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</si>
  <si>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</si>
  <si>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</si>
  <si>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</si>
  <si>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</si>
  <si>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</si>
  <si>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</si>
  <si>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</si>
  <si>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</si>
  <si>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</si>
  <si>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</si>
  <si>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</si>
  <si>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</si>
  <si>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</si>
  <si>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</si>
  <si>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</si>
  <si>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</si>
  <si>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</si>
  <si>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</si>
  <si>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</si>
  <si>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</si>
  <si>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</si>
  <si>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</si>
  <si>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</si>
  <si>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</si>
  <si>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</si>
  <si>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</si>
  <si>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</si>
  <si>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</si>
  <si>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</si>
  <si>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</si>
  <si>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</si>
  <si>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.5.9.18.21.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</si>
  <si>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</si>
  <si>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</si>
  <si>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</si>
  <si>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</si>
  <si>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</si>
  <si>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</si>
  <si>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</si>
  <si>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</si>
  <si>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</si>
  <si>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</si>
  <si>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</si>
  <si>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</si>
  <si>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</si>
  <si>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</si>
  <si>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</si>
  <si>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</si>
  <si>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</si>
  <si>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</si>
  <si>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</si>
  <si>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</si>
  <si>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</si>
  <si>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</si>
  <si>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</si>
  <si>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</si>
  <si>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</si>
  <si>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</si>
  <si>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</si>
  <si>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</si>
  <si>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</si>
  <si>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</si>
  <si>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</si>
  <si>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</si>
  <si>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</si>
  <si>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</si>
  <si>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</si>
  <si>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</si>
  <si>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</si>
  <si>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</si>
  <si>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</si>
  <si>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</si>
  <si>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</si>
  <si>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</si>
  <si>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</si>
  <si>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</si>
  <si>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</si>
  <si>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</si>
  <si>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</si>
  <si>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</si>
  <si>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</si>
  <si>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</si>
  <si>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</si>
  <si>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</si>
  <si>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</si>
  <si>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</si>
  <si>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</si>
  <si>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</si>
  <si>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</si>
  <si>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</si>
  <si>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</si>
  <si>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</si>
  <si>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</si>
  <si>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</si>
  <si>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</si>
  <si>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</si>
  <si>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</si>
  <si>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</si>
  <si>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</si>
  <si>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</si>
  <si>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</si>
  <si>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</si>
  <si>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</si>
  <si>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</si>
  <si>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</si>
  <si>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</si>
  <si>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</si>
  <si>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보코치니샐러드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</si>
  <si>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</si>
  <si>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</si>
  <si>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</si>
  <si>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</si>
  <si>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</si>
  <si>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</si>
  <si>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</si>
  <si>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</si>
  <si>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</si>
  <si>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</si>
  <si>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</si>
  <si>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</si>
  <si>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</si>
  <si>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</si>
  <si>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</si>
  <si>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</si>
  <si>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</si>
  <si>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</si>
  <si>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</si>
  <si>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</si>
  <si>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</si>
  <si>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</si>
  <si>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</si>
  <si>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</si>
  <si>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</si>
  <si>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</si>
  <si>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</si>
  <si>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</si>
  <si>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</si>
  <si>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</si>
  <si>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</si>
  <si>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</si>
  <si>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</si>
  <si>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</si>
  <si>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</si>
  <si>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</si>
  <si>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</si>
  <si>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</si>
  <si>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</si>
  <si>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</si>
  <si>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</si>
  <si>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</si>
  <si>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</si>
  <si>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</si>
  <si>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</si>
  <si>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</si>
  <si>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</si>
  <si>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</si>
  <si>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</si>
  <si>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</si>
  <si>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</si>
  <si>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</si>
  <si>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</si>
  <si>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</si>
  <si>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</si>
  <si>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</si>
  <si>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</si>
  <si>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</si>
  <si>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</si>
  <si>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</si>
  <si>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</si>
  <si>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</si>
  <si>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</si>
  <si>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</si>
  <si>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</si>
  <si>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</si>
  <si>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</si>
  <si>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</si>
  <si>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</si>
  <si>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</si>
  <si>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</si>
  <si>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</si>
  <si>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</si>
  <si>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</si>
  <si>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</si>
  <si>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맥엔로제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</si>
  <si>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</si>
  <si>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</si>
  <si>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</si>
  <si>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</si>
  <si>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</si>
  <si>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</si>
  <si>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</si>
  <si>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</si>
  <si>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</si>
  <si>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</si>
  <si>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</si>
  <si>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</si>
  <si>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</si>
  <si>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</si>
  <si>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</si>
  <si>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</si>
  <si>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</si>
  <si>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</si>
  <si>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</si>
  <si>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</si>
  <si>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</si>
  <si>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</si>
  <si>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</si>
  <si>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</si>
  <si>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</si>
  <si>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</si>
  <si>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</si>
  <si>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</si>
  <si>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</si>
  <si>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</si>
  <si>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</si>
  <si>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</si>
  <si>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</si>
  <si>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</si>
  <si>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</si>
  <si>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</si>
  <si>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</si>
  <si>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</si>
  <si>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</si>
  <si>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</si>
  <si>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</si>
  <si>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</si>
  <si>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</si>
  <si>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</si>
  <si>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</si>
  <si>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</si>
  <si>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</si>
  <si>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</si>
  <si>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</si>
  <si>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</si>
  <si>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</si>
  <si>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</si>
  <si>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</si>
  <si>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</si>
  <si>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</si>
  <si>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</si>
  <si>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불린미역(국산)23%, 정제수, 참기름, 국간장, 밥새우, 멸치육수농축액, 마늘,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</si>
  <si>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</si>
  <si>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</si>
  <si>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</si>
  <si>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</si>
  <si>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</si>
  <si>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</si>
  <si>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</si>
  <si>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</si>
  <si>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</si>
  <si>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</si>
  <si>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</si>
  <si>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</si>
  <si>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</si>
  <si>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</si>
  <si>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</si>
  <si>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</si>
  <si>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</si>
  <si>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</si>
  <si>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</si>
  <si>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</si>
  <si>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</si>
  <si>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</si>
  <si>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</si>
  <si>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</si>
  <si>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</si>
  <si>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</si>
  <si>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</si>
  <si>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</si>
  <si>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</si>
  <si>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</si>
  <si>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</si>
  <si>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</si>
  <si>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</si>
  <si>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</si>
  <si>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</si>
  <si>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</si>
  <si>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</si>
  <si>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</si>
  <si>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</si>
  <si>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</si>
  <si>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</si>
  <si>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</si>
  <si>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</si>
  <si>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</si>
  <si>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</si>
  <si>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</si>
  <si>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</si>
  <si>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</si>
  <si>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</si>
  <si>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</si>
  <si>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</si>
  <si>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</si>
  <si>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</si>
  <si>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</si>
  <si>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</si>
  <si>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</si>
  <si>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</si>
  <si>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</si>
  <si>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</si>
  <si>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</si>
  <si>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</si>
  <si>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</si>
  <si>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</si>
  <si>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</si>
  <si>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</si>
  <si>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</si>
  <si>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</si>
  <si>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</si>
  <si>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</si>
  <si>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</si>
  <si>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</si>
  <si>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</si>
  <si>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</si>
  <si>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</si>
  <si>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</si>
  <si>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</si>
  <si>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</si>
  <si>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</si>
  <si>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</si>
  <si>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</si>
  <si>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</si>
  <si>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</si>
  <si>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</si>
  <si>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</si>
  <si>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</si>
  <si>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</si>
  <si>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</si>
  <si>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</si>
  <si>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</si>
  <si>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</si>
  <si>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</si>
  <si>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</si>
  <si>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</si>
  <si>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</si>
  <si>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</si>
  <si>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</si>
  <si>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</si>
  <si>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</si>
  <si>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</si>
  <si>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</si>
  <si>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</si>
  <si>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</si>
  <si>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</si>
  <si>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</si>
  <si>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</si>
  <si>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</si>
  <si>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</si>
  <si>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</si>
  <si>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</si>
  <si>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</si>
  <si>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</si>
  <si>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</si>
  <si>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</si>
  <si>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</si>
  <si>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</si>
  <si>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</si>
  <si>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</si>
  <si>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</si>
  <si>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</si>
  <si>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</si>
  <si>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</si>
  <si>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</si>
  <si>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</si>
  <si>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</si>
  <si>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</si>
  <si>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</si>
  <si>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</si>
  <si>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</si>
  <si>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</si>
  <si>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</si>
  <si>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</si>
  <si>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</si>
  <si>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</si>
  <si>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</si>
  <si>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</si>
  <si>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</si>
  <si>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</si>
  <si>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</si>
  <si>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</si>
  <si>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</si>
  <si>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</si>
  <si>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</si>
  <si>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</si>
  <si>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</si>
  <si>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</si>
  <si>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</si>
  <si>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</si>
  <si>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</si>
  <si>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</si>
  <si>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</si>
  <si>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</si>
  <si>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</si>
  <si>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</si>
  <si>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</si>
  <si>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</si>
  <si>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</si>
  <si>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</si>
  <si>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</si>
  <si>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</si>
  <si>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</si>
  <si>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.5.6.16.18.21.</t>
    <phoneticPr fontId="12" type="noConversion"/>
  </si>
  <si>
    <t>*소고기가지볶음 : 30g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</si>
  <si>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</si>
  <si>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</si>
  <si>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</si>
  <si>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</si>
  <si>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</si>
  <si>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</si>
  <si>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</si>
  <si>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</si>
  <si>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</si>
  <si>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</si>
  <si>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</si>
  <si>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</si>
  <si>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</si>
  <si>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</si>
  <si>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</si>
  <si>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</si>
  <si>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</si>
  <si>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</si>
  <si>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</si>
  <si>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</si>
  <si>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</si>
  <si>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</si>
  <si>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</si>
  <si>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</si>
  <si>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</si>
  <si>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</si>
  <si>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</si>
  <si>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</si>
  <si>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</si>
  <si>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</si>
  <si>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</si>
  <si>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</si>
  <si>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</si>
  <si>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</si>
  <si>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</si>
  <si>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</si>
  <si>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</si>
  <si>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</si>
  <si>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</si>
  <si>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</si>
  <si>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</si>
  <si>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</si>
  <si>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</si>
  <si>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</si>
  <si>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</si>
  <si>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</si>
  <si>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</si>
  <si>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</si>
  <si>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</si>
  <si>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</si>
  <si>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김자반</t>
    <phoneticPr fontId="12" type="noConversion"/>
  </si>
  <si>
    <t>닭살새송이볶음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</si>
  <si>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</si>
  <si>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</si>
  <si>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</si>
  <si>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</si>
  <si>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</si>
  <si>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</si>
  <si>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</si>
  <si>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</si>
  <si>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</si>
  <si>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</si>
  <si>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</si>
  <si>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</si>
  <si>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</si>
  <si>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</si>
  <si>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</si>
  <si>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</si>
  <si>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</si>
  <si>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</si>
  <si>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</si>
  <si>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</si>
  <si>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</si>
  <si>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</si>
  <si>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열무김치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</si>
  <si>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</si>
  <si>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</si>
  <si>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</si>
  <si>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</si>
  <si>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</si>
  <si>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</si>
  <si>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</si>
  <si>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</si>
  <si>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</si>
  <si>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</si>
  <si>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</si>
  <si>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</si>
  <si>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</si>
  <si>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</si>
  <si>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</si>
  <si>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</si>
  <si>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 xml:space="preserve"> 요거트드레싱(유산균음료, 정제수, 마요네즈, 난황맥, 대두유)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</si>
  <si>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</si>
  <si>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</si>
  <si>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</si>
  <si>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</si>
  <si>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</si>
  <si>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</si>
  <si>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</si>
  <si>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</si>
  <si>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</si>
  <si>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</si>
  <si>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</si>
  <si>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</si>
  <si>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</si>
  <si>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</si>
  <si>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</si>
  <si>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</si>
  <si>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</si>
  <si>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</si>
  <si>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</si>
  <si>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</si>
  <si>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</si>
  <si>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</si>
  <si>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</si>
  <si>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</si>
  <si>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</si>
  <si>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</si>
  <si>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</si>
  <si>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</si>
  <si>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</si>
  <si>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</si>
  <si>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</si>
  <si>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</si>
  <si>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</si>
  <si>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</si>
  <si>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</si>
  <si>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</si>
  <si>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</si>
  <si>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</si>
  <si>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</si>
  <si>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</si>
  <si>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</si>
  <si>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</si>
  <si>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</si>
  <si>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</si>
  <si>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</si>
  <si>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</si>
  <si>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</si>
  <si>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</si>
  <si>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</si>
  <si>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</si>
  <si>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</si>
  <si>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</si>
  <si>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</si>
  <si>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</si>
  <si>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</si>
  <si>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</si>
  <si>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</si>
  <si>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</si>
  <si>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</si>
  <si>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</si>
  <si>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</si>
  <si>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</si>
  <si>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</si>
  <si>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</si>
  <si>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</si>
  <si>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</si>
  <si>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</si>
  <si>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</si>
  <si>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</si>
  <si>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</si>
  <si>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</si>
  <si>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</si>
  <si>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</si>
  <si>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.1.2.5.6.16.</t>
    <phoneticPr fontId="12" type="noConversion"/>
  </si>
  <si>
    <t>눈꽃치즈치킨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</si>
  <si>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</si>
  <si>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</si>
  <si>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</si>
  <si>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</si>
  <si>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</si>
  <si>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</si>
  <si>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</si>
  <si>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</si>
  <si>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</si>
  <si>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</si>
  <si>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</si>
  <si>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</si>
  <si>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</si>
  <si>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</si>
  <si>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</si>
  <si>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</si>
  <si>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</si>
  <si>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</si>
  <si>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</si>
  <si>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</si>
  <si>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</si>
  <si>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</si>
  <si>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</si>
  <si>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</si>
  <si>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</si>
  <si>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</si>
  <si>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</si>
  <si>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</si>
  <si>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</si>
  <si>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</si>
  <si>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</si>
  <si>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</si>
  <si>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</si>
  <si>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</si>
  <si>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</si>
  <si>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</si>
  <si>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</si>
  <si>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</si>
  <si>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</si>
  <si>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</si>
  <si>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</si>
  <si>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</si>
  <si>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</si>
  <si>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</si>
  <si>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</si>
  <si>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</si>
  <si>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</si>
  <si>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</si>
  <si>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</si>
  <si>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</si>
  <si>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</si>
  <si>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</si>
  <si>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</si>
  <si>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</si>
  <si>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</si>
  <si>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</si>
  <si>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</si>
  <si>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</si>
  <si>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</si>
  <si>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</si>
  <si>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</si>
  <si>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</si>
  <si>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</si>
  <si>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족발냉채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</si>
  <si>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</si>
  <si>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</si>
  <si>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</si>
  <si>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</si>
  <si>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</si>
  <si>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</si>
  <si>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</si>
  <si>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</si>
  <si>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</si>
  <si>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</si>
  <si>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</si>
  <si>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</si>
  <si>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</si>
  <si>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</si>
  <si>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</si>
  <si>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</si>
  <si>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</si>
  <si>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</si>
  <si>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</si>
  <si>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</si>
  <si>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</si>
  <si>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</si>
  <si>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</si>
  <si>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</si>
  <si>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</si>
  <si>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</si>
  <si>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</si>
  <si>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</si>
  <si>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</si>
  <si>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</si>
  <si>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</si>
  <si>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</si>
  <si>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</si>
  <si>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</si>
  <si>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</si>
  <si>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</si>
  <si>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</si>
  <si>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</si>
  <si>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</si>
  <si>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</si>
  <si>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</si>
  <si>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</si>
  <si>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</si>
  <si>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</si>
  <si>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</si>
  <si>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</si>
  <si>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</si>
  <si>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</si>
  <si>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</si>
  <si>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</si>
  <si>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</si>
  <si>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</si>
  <si>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</si>
  <si>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</si>
  <si>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</si>
  <si>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</si>
  <si>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</si>
  <si>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</si>
  <si>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</si>
  <si>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</si>
  <si>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</si>
  <si>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</si>
  <si>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</si>
  <si>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</si>
  <si>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</si>
  <si>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</si>
  <si>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</si>
  <si>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</si>
  <si>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</si>
  <si>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</si>
  <si>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</si>
  <si>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</si>
  <si>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</si>
  <si>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</si>
  <si>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</si>
  <si>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</si>
  <si>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</si>
  <si>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</si>
  <si>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</si>
  <si>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</si>
  <si>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</si>
  <si>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</si>
  <si>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</si>
  <si>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</si>
  <si>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</si>
  <si>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</si>
  <si>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</si>
  <si>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</si>
  <si>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</si>
  <si>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</si>
  <si>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</si>
  <si>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</si>
  <si>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</si>
  <si>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</si>
  <si>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</si>
  <si>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</si>
  <si>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</si>
  <si>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</si>
  <si>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</si>
  <si>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</si>
  <si>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</si>
  <si>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</si>
  <si>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</si>
  <si>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</si>
  <si>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</si>
  <si>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</si>
  <si>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</si>
  <si>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</si>
  <si>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</si>
  <si>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</si>
  <si>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</si>
  <si>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</si>
  <si>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</si>
  <si>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</si>
  <si>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</si>
  <si>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</si>
  <si>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</si>
  <si>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감자(국내산)18%, 소고기(호주산,미국산)7%, 양파, 정제수, 마늘, 대파,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</si>
  <si>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</si>
  <si>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</si>
  <si>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</si>
  <si>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</si>
  <si>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</si>
  <si>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</si>
  <si>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</si>
  <si>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</si>
  <si>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오리엔탈파닭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</si>
  <si>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</si>
  <si>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</si>
  <si>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</si>
  <si>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</si>
  <si>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</si>
  <si>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</si>
  <si>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</si>
  <si>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</si>
  <si>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</si>
  <si>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</si>
  <si>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</si>
  <si>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</si>
  <si>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마라로제소스(이츠웰)</t>
    <phoneticPr fontId="12" type="noConversion"/>
  </si>
  <si>
    <t>.2.5.6.15.16.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</si>
  <si>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</si>
  <si>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</si>
  <si>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</si>
  <si>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</si>
  <si>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</si>
  <si>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</si>
  <si>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</si>
  <si>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</si>
  <si>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</si>
  <si>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</si>
  <si>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</si>
  <si>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</si>
  <si>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</si>
  <si>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</si>
  <si>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</si>
  <si>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</si>
  <si>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</si>
  <si>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</si>
  <si>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</si>
  <si>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</si>
  <si>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</si>
  <si>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</si>
  <si>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</si>
  <si>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</si>
  <si>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</si>
  <si>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</si>
  <si>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</si>
  <si>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</si>
  <si>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</si>
  <si>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</si>
  <si>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</si>
  <si>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</si>
  <si>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</si>
  <si>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</si>
  <si>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</si>
  <si>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</si>
  <si>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</si>
  <si>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</si>
  <si>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</si>
  <si>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</si>
  <si>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</si>
  <si>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</si>
  <si>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</si>
  <si>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</si>
  <si>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</si>
  <si>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</si>
  <si>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</si>
  <si>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</si>
  <si>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</si>
  <si>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</si>
  <si>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</si>
  <si>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</si>
  <si>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</si>
  <si>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</si>
  <si>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</si>
  <si>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</si>
  <si>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</si>
  <si>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</si>
  <si>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</si>
  <si>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</si>
  <si>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</si>
  <si>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</si>
  <si>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</si>
  <si>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</si>
  <si>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.2.5.6.15.21.</t>
    <phoneticPr fontId="12" type="noConversion"/>
  </si>
  <si>
    <t>치즈닭갈비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</si>
  <si>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</si>
  <si>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</si>
  <si>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</si>
  <si>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</si>
  <si>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</si>
  <si>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</si>
  <si>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</si>
  <si>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</si>
  <si>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</si>
  <si>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</si>
  <si>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</si>
  <si>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</si>
  <si>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</si>
  <si>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</si>
  <si>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</si>
  <si>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</si>
  <si>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</si>
  <si>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</si>
  <si>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</si>
  <si>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</si>
  <si>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</si>
  <si>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</si>
  <si>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</si>
  <si>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</si>
  <si>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</si>
  <si>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</si>
  <si>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</si>
  <si>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</si>
  <si>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</si>
  <si>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</si>
  <si>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</si>
  <si>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</si>
  <si>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</si>
  <si>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</si>
  <si>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</si>
  <si>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</si>
  <si>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</si>
  <si>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</si>
  <si>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</si>
  <si>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캐릭터찐빵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</si>
  <si>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</si>
  <si>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</si>
  <si>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</si>
  <si>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</si>
  <si>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</si>
  <si>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</si>
  <si>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</si>
  <si>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</si>
  <si>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</si>
  <si>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</si>
  <si>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</si>
  <si>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</si>
  <si>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</si>
  <si>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</si>
  <si>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</si>
  <si>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</si>
  <si>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</si>
  <si>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</si>
  <si>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</si>
  <si>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</si>
  <si>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</si>
  <si>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</si>
  <si>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</si>
  <si>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</si>
  <si>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</si>
  <si>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</si>
  <si>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</si>
  <si>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</si>
  <si>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</si>
  <si>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</si>
  <si>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</si>
  <si>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</si>
  <si>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</si>
  <si>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</si>
  <si>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</si>
  <si>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</si>
  <si>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</si>
  <si>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</si>
  <si>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</si>
  <si>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</si>
  <si>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</si>
  <si>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</si>
  <si>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</si>
  <si>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</si>
  <si>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</si>
  <si>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</si>
  <si>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</si>
  <si>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</si>
  <si>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</si>
  <si>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</si>
  <si>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</si>
  <si>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</si>
  <si>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</si>
  <si>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</si>
  <si>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</si>
  <si>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</si>
  <si>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</si>
  <si>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</si>
  <si>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</si>
  <si>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</si>
  <si>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</si>
  <si>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</si>
  <si>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</si>
  <si>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</si>
  <si>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</si>
  <si>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</si>
  <si>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제공인원</t>
    <phoneticPr fontId="12" type="noConversion"/>
  </si>
  <si>
    <t>40g / 50g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</si>
  <si>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</si>
  <si>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</si>
  <si>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.5.6.12.16.21.</t>
    <phoneticPr fontId="12" type="noConversion"/>
  </si>
  <si>
    <t>친환경귀리쌀밥</t>
  </si>
  <si>
    <t>친환경찰흑미쌀밥</t>
  </si>
  <si>
    <t>백김치</t>
  </si>
  <si>
    <t>친환경찰보리쌀밥</t>
  </si>
  <si>
    <t>도시락김</t>
  </si>
  <si>
    <t>김자반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</si>
  <si>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</si>
  <si>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</si>
  <si>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</si>
  <si>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</si>
  <si>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</si>
  <si>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</si>
  <si>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</si>
  <si>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</si>
  <si>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소고기된장찌개</t>
    <phoneticPr fontId="12" type="noConversion"/>
  </si>
  <si>
    <t>모둠채소(호박, 양파, 새송이:국산)20%, 두부(콩:미국,호주,캐나다등)8%, 소고기(호주산)3%, 파, 마늘, 된장, 멸치육수농축액, 정제수, 소금</t>
    <phoneticPr fontId="12" type="noConversion"/>
  </si>
  <si>
    <t>족발채소무침</t>
    <phoneticPr fontId="12" type="noConversion"/>
  </si>
  <si>
    <t>푸실리감자SD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</si>
  <si>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</si>
  <si>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</si>
  <si>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</si>
  <si>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</si>
  <si>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</si>
  <si>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</si>
  <si>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</si>
  <si>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멸치육수농축액(면사랑) 40g / 55g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</si>
  <si>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</si>
  <si>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</si>
  <si>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</si>
  <si>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</si>
  <si>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</si>
  <si>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</si>
  <si>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</si>
  <si>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</si>
  <si>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</si>
  <si>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</si>
  <si>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</si>
  <si>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</si>
  <si>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</si>
  <si>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</si>
  <si>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글로벌
리더스
.
석식</t>
    <phoneticPr fontId="12" type="noConversion"/>
  </si>
  <si>
    <t>매콤찜닭</t>
    <phoneticPr fontId="12" type="noConversion"/>
  </si>
  <si>
    <t>양념멸치볶음</t>
    <phoneticPr fontId="12" type="noConversion"/>
  </si>
  <si>
    <t>40g / 50g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</si>
  <si>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</si>
  <si>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</si>
  <si>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</si>
  <si>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30g / 35g</t>
    <phoneticPr fontId="12" type="noConversion"/>
  </si>
  <si>
    <t>40g / 45g</t>
    <phoneticPr fontId="12" type="noConversion"/>
  </si>
  <si>
    <t>통살오징어볼(가토코)/개당 5g(97원)</t>
    <phoneticPr fontId="12" type="noConversion"/>
  </si>
  <si>
    <t>닭안심카레조림</t>
    <phoneticPr fontId="12" type="noConversion"/>
  </si>
  <si>
    <t>닭고기(국내산)85%, 양파, 당근, 마늘, 카레가루, 소금, 후추, 참깨</t>
    <phoneticPr fontId="12" type="noConversion"/>
  </si>
  <si>
    <t>냉이(국산)7.8%, 모둠채소[느타리버섯(국산)), 무(국산), 양파(국산) ]13%, 파, 마늘, 된장, 정제수, 멸치육수농축액, 소금</t>
    <phoneticPr fontId="12" type="noConversion"/>
  </si>
  <si>
    <t>냉이된장국</t>
    <phoneticPr fontId="12" type="noConversion"/>
  </si>
  <si>
    <t>구운어묵볶음</t>
    <phoneticPr fontId="12" type="noConversion"/>
  </si>
  <si>
    <t>순두부(대두:미국,태나다.중국 등)70%, 정제수, 멸치육수농축액, 국간장</t>
    <phoneticPr fontId="12" type="noConversion"/>
  </si>
  <si>
    <t>순두부탕</t>
    <phoneticPr fontId="12" type="noConversion"/>
  </si>
  <si>
    <t>감자(국산)20%, 두부(대두:외국산)5%, 양파, 파, 마늘, 멸치육수농축액, 된장, 정제수, 소금</t>
    <phoneticPr fontId="12" type="noConversion"/>
  </si>
  <si>
    <t>50g/60g</t>
    <phoneticPr fontId="12" type="noConversion"/>
  </si>
  <si>
    <t>수제피클</t>
  </si>
  <si>
    <t>참치깍두기볶음</t>
    <phoneticPr fontId="12" type="noConversion"/>
  </si>
  <si>
    <t>.5.6.9.21.</t>
    <phoneticPr fontId="12" type="noConversion"/>
  </si>
  <si>
    <t>돈채춘장볶음</t>
    <phoneticPr fontId="12" type="noConversion"/>
  </si>
  <si>
    <t>토마토닭볶음탕</t>
    <phoneticPr fontId="12" type="noConversion"/>
  </si>
  <si>
    <t>.5.6.12.15.</t>
    <phoneticPr fontId="12" type="noConversion"/>
  </si>
  <si>
    <t>돈채피망볶음</t>
    <phoneticPr fontId="12" type="noConversion"/>
  </si>
  <si>
    <t>미소불고기</t>
    <phoneticPr fontId="12" type="noConversion"/>
  </si>
  <si>
    <t>돼지고기(국산)80%, 양배추, 양파, 당근, 대파, 마늘, 미소된장[국내생산(대두.쌀:외국산)], 간장, 맛술, 참기름, 후추</t>
    <phoneticPr fontId="12" type="noConversion"/>
  </si>
  <si>
    <t>소고기(호주산)78%, 미소된장[국내생산(대두:외국산,쌀:외국산)], 정제수, 양파, 피망, 마늘, 간장, 설탕, 맛술, 후추, 참기름, 참깨</t>
    <phoneticPr fontId="12" type="noConversion"/>
  </si>
  <si>
    <t>명란크림숏파스타</t>
    <phoneticPr fontId="12" type="noConversion"/>
  </si>
  <si>
    <t>펜네(듀럼밀100%)66%, 명란(미국산), 꼬마새송이버섯(국산), 크림소스, 우유, 후추, 소금, 파슬리가루</t>
    <phoneticPr fontId="12" type="noConversion"/>
  </si>
  <si>
    <t>채소계란전</t>
    <phoneticPr fontId="12" type="noConversion"/>
  </si>
  <si>
    <t>[두부(대두:외국산), 전란액(국산),대파(국산), 양배추, 당근, 대두유]</t>
    <phoneticPr fontId="12" type="noConversion"/>
  </si>
  <si>
    <t>1.5.6.</t>
    <phoneticPr fontId="12" type="noConversion"/>
  </si>
  <si>
    <t>담백가득 야채계란전(개당 30g)</t>
    <phoneticPr fontId="12" type="noConversion"/>
  </si>
  <si>
    <t>숙주닭곰탕</t>
    <phoneticPr fontId="12" type="noConversion"/>
  </si>
  <si>
    <t>닭고기(국내산)12%, 숙주(녹두:외국산), 파, 마늘, 소금, 치킨스톡</t>
    <phoneticPr fontId="12" type="noConversion"/>
  </si>
  <si>
    <t>.5.16.</t>
    <phoneticPr fontId="12" type="noConversion"/>
  </si>
  <si>
    <t>양념두부조림</t>
    <phoneticPr fontId="12" type="noConversion"/>
  </si>
  <si>
    <t>멸치육수농축액(면사랑) 40g / 45g )</t>
    <phoneticPr fontId="12" type="noConversion"/>
  </si>
  <si>
    <t>돼지고기(국산)75%,  양파, 파, 마늘, 생강, 고추장, 파인애플, 고춧가루, 설탕, 간장, 맛술, 후추, 참기름, 참깨</t>
    <phoneticPr fontId="12" type="noConversion"/>
  </si>
  <si>
    <t>소고기다짐육(호주산)60%, 스크램블에그(계란:국내산)30%, 부추(국내산), 대두유, 간장, 맛술, 설탕, 후추, 참기름, 참깨</t>
    <phoneticPr fontId="12" type="noConversion"/>
  </si>
  <si>
    <t>시금치(국산)90%, 홍파프리카, 마늘, 파, 소금, 국간장, 참기름, 참깨</t>
    <phoneticPr fontId="12" type="noConversion"/>
  </si>
  <si>
    <t>30g / 35g</t>
    <phoneticPr fontId="12" type="noConversion"/>
  </si>
  <si>
    <t>절임열무51%(열무,식염, 고춧가루, 양파, 대파, 전용풀. 마늘, 다시마농축액.새우액젓.생강:국산)</t>
    <phoneticPr fontId="12" type="noConversion"/>
  </si>
  <si>
    <t>채소계란국</t>
    <phoneticPr fontId="12" type="noConversion"/>
  </si>
  <si>
    <t>사골미역국</t>
    <phoneticPr fontId="12" type="noConversion"/>
  </si>
  <si>
    <t>불린미역(국내산)25%, 사골육수 [우잡뼈(한우)사골액기스 {정제수, 사골농축액17%(호주산) 천일염}, 정제수], 참기름, 국간장, 밥새우, 소금</t>
    <phoneticPr fontId="12" type="noConversion"/>
  </si>
  <si>
    <t>.2.5.6.9.12.16.</t>
    <phoneticPr fontId="12" type="noConversion"/>
  </si>
  <si>
    <t>28g / 30g</t>
    <phoneticPr fontId="12" type="noConversion"/>
  </si>
  <si>
    <t>닭정육(국내산)78%, 감자(국내산), 토마토(국내산), 양파, 토마토홀, 대두유, 치킨스톡, 고추장(미량), 마늘, 정제수, 소금, 후추</t>
    <phoneticPr fontId="12" type="noConversion"/>
  </si>
  <si>
    <t>볼어묵(이츠웰)40g  / 45g</t>
    <phoneticPr fontId="12" type="noConversion"/>
  </si>
  <si>
    <t>&amp; 양념장</t>
    <phoneticPr fontId="12" type="noConversion"/>
  </si>
  <si>
    <t>저염표고강정</t>
    <phoneticPr fontId="12" type="noConversion"/>
  </si>
  <si>
    <t>표고탕수[표고버섯채(중국산:46.88%), 밀가루:미국산]78%, 강정소스(케찹, 설탕, 물엿, 참기름)</t>
    <phoneticPr fontId="12" type="noConversion"/>
  </si>
  <si>
    <t>소고기가지나물</t>
    <phoneticPr fontId="12" type="noConversion"/>
  </si>
  <si>
    <t>대파계란탕</t>
    <phoneticPr fontId="12" type="noConversion"/>
  </si>
  <si>
    <t>닭안심채소구이</t>
    <phoneticPr fontId="12" type="noConversion"/>
  </si>
  <si>
    <t>쪽파(국산)5%, 마늘, 정제수, 간장, 참기름, 참깨</t>
    <phoneticPr fontId="12" type="noConversion"/>
  </si>
  <si>
    <t>흑임자연근샐러드</t>
    <phoneticPr fontId="12" type="noConversion"/>
  </si>
  <si>
    <t>김치제육</t>
    <phoneticPr fontId="12" type="noConversion"/>
  </si>
  <si>
    <t>돼지고기(국산)65%, 배추김치(국내산)25%, 양파, 대파, 마늘, 고춧가루(국내산), 설탕, 소금, 참기름, 참깨</t>
    <phoneticPr fontId="12" type="noConversion"/>
  </si>
  <si>
    <t>.5.6.9.10.21.</t>
    <phoneticPr fontId="12" type="noConversion"/>
  </si>
  <si>
    <t>.1.5.6.15.21.</t>
    <phoneticPr fontId="12" type="noConversion"/>
  </si>
  <si>
    <t>스크램블에그</t>
    <phoneticPr fontId="12" type="noConversion"/>
  </si>
  <si>
    <t>25g / 28g</t>
    <phoneticPr fontId="12" type="noConversion"/>
  </si>
  <si>
    <t>25g / 28g</t>
    <phoneticPr fontId="12" type="noConversion"/>
  </si>
  <si>
    <t>원유(국산)72.8%, 탈지분유(국산)2.4%, 딸기젤리시럽(딸기:국산)15%, 백설탕, 올리고당, 유산균</t>
    <phoneticPr fontId="12" type="noConversion"/>
  </si>
  <si>
    <t>원유(국산)72.8%, 탈지분유(국산)2.4%, 포도젤리시럽(포도:미국산)15%, 백설탕, 올리고당, 유산균</t>
    <phoneticPr fontId="12" type="noConversion"/>
  </si>
  <si>
    <t>.5.10.12.13.19.21.</t>
    <phoneticPr fontId="12" type="noConversion"/>
  </si>
  <si>
    <t>소고기(호주산)70%, 양파(국산)7%, 아스파라거스(중국산), 파프리카, 피망, 마늘, 스테이크소스, 생크림, 우유, 간장, 설탕, 소금, 후추, 참깨</t>
    <phoneticPr fontId="12" type="noConversion"/>
  </si>
  <si>
    <t>스테이크소스(오뚜기)</t>
    <phoneticPr fontId="12" type="noConversion"/>
  </si>
  <si>
    <t>.2.5.6.12.16.21.</t>
    <phoneticPr fontId="12" type="noConversion"/>
  </si>
  <si>
    <t>닭(국산)60%, 감자(국산)13%, 양파, 당근, 파, 마늘, 정제수, 간장, 후추, 소금, 참깨</t>
    <phoneticPr fontId="12" type="noConversion"/>
  </si>
  <si>
    <t>닭고기(닭안심:국산)82%, 채소(양파, 청피망, 홍피망 : 국산)10%, 대두유, 맛술, 후추, 간장, 설탕, 파, 마늘, 참기름, 참깨</t>
    <phoneticPr fontId="12" type="noConversion"/>
  </si>
  <si>
    <t>데리야끼소스(이츠웰)</t>
  </si>
  <si>
    <t>데리야끼소스(이츠웰)</t>
    <phoneticPr fontId="12" type="noConversion"/>
  </si>
  <si>
    <t>멘치까스(하림), 데리야끼소스(이츠웰)</t>
  </si>
  <si>
    <t>.5.6.15..21.</t>
    <phoneticPr fontId="12" type="noConversion"/>
  </si>
  <si>
    <t>.2.5.6.12.16.</t>
    <phoneticPr fontId="12" type="noConversion"/>
  </si>
  <si>
    <t>돼지고기(국산)80%, 느타리버섯(국내산)5%, 양파, 당근, 마늘, 간장, 대두유, , 후추, 참기름, 참깨</t>
    <phoneticPr fontId="12" type="noConversion"/>
  </si>
  <si>
    <t>돼지고기(국산)80%, 피망(국내산)5%, 양파, 당근, 마늘, 간장, 대두유, , 후추, 참기름, 참깨</t>
    <phoneticPr fontId="12" type="noConversion"/>
  </si>
  <si>
    <t>돼지고기(미국산)83%, 피망(국산)2%, 파프리카(국산)3%, 양파(국산)2%, 당근, 스테이크소스, 후추, 참기름</t>
    <phoneticPr fontId="12" type="noConversion"/>
  </si>
  <si>
    <t>돼지고기(미국산)83%, 파인애클청크(파인애플:수입산), 양파, 피망, 파프리카, 당근, 스테이크소스, 후추, 참기름</t>
    <phoneticPr fontId="12" type="noConversion"/>
  </si>
  <si>
    <t>35g /40g</t>
    <phoneticPr fontId="12" type="noConversion"/>
  </si>
  <si>
    <t>50g/55g</t>
    <phoneticPr fontId="12" type="noConversion"/>
  </si>
  <si>
    <t>70g</t>
    <phoneticPr fontId="12" type="noConversion"/>
  </si>
  <si>
    <t>닭정육(닭가슴살,닭다리살:국산)53%, 밀떡(밀:수입산), 당근, 양파, 양배추, 대파, 마늘,정제수, 춘장, 간장, 물엿, 참기름, 후추</t>
    <phoneticPr fontId="12" type="noConversion"/>
  </si>
  <si>
    <t>닭고기(국산)53%, 밀떡(밀:수입산), 당근, 양파, 양배추, 대파, 마늘, 고추장, 고춧가루, 정제수, 간장, 물엿, 참기름, 후추</t>
    <phoneticPr fontId="12" type="noConversion"/>
  </si>
  <si>
    <t>40g / 45g볼어묵(이츠웰)</t>
    <phoneticPr fontId="12" type="noConversion"/>
  </si>
  <si>
    <t>40g / 45g종합어묵(사조대림)</t>
    <phoneticPr fontId="12" type="noConversion"/>
  </si>
  <si>
    <t>35g / 40g</t>
    <phoneticPr fontId="12" type="noConversion"/>
  </si>
  <si>
    <t>소고기(미국산.호주산)45%, 계란(국내산)10%, 표고버섯(국내산)5%, 양파, 돈부리소스, 쯔유, 정제수, 소금, 전분</t>
    <phoneticPr fontId="12" type="noConversion"/>
  </si>
  <si>
    <t xml:space="preserve"> 소고기(호주산)60%, 표고버섯(국내산)18%, 양파, 당근, 대파, 마늘, 간장, 대두유, 소금, 후추, 참기름</t>
    <phoneticPr fontId="12" type="noConversion"/>
  </si>
  <si>
    <t>순살아귀탕</t>
    <phoneticPr fontId="12" type="noConversion"/>
  </si>
  <si>
    <t>.1.2.5.8.21.</t>
    <phoneticPr fontId="12" type="noConversion"/>
  </si>
  <si>
    <t>샌드어묵조림</t>
    <phoneticPr fontId="12" type="noConversion"/>
  </si>
  <si>
    <t>어묵{(연육:동방실꼬리돔)47%,, 정제수, 당근6%, 대두, 감자전분, 옥수수, 양파, 정제소금, 설탕, 계란] 원산지:중국산}90%, 양파, 파, 마늘, 간장, 참기름, 참깨</t>
    <phoneticPr fontId="12" type="noConversion"/>
  </si>
  <si>
    <t>볼어묵[연육(:중국산, 베트남산)53.29%, 설탕, 밀가루(밀:미국산, 호주산), 정제소금(국산)]90%, 양파, 마늘, 파, 간장, 참기름, 참깨</t>
    <phoneticPr fontId="12" type="noConversion"/>
  </si>
  <si>
    <t>들깨무나물</t>
    <phoneticPr fontId="12" type="noConversion"/>
  </si>
  <si>
    <t>무(국산)92%, 거피들깨(중국산), 대파, 마늘, 대두유, 소금, 들기름</t>
    <phoneticPr fontId="12" type="noConversion"/>
  </si>
  <si>
    <t>다솔토종닭훈제(팜덕) / 다향(.5.6.21.)</t>
    <phoneticPr fontId="12" type="noConversion"/>
  </si>
  <si>
    <t>소시지 [돼지고기(국산)50.31%, 닭고기(국산)31.43%]75%, 양파, 청피망, 케찹, 참기름, 참깨</t>
    <phoneticPr fontId="12" type="noConversion"/>
  </si>
  <si>
    <t>.5.6.10.12.16.21.</t>
    <phoneticPr fontId="12" type="noConversion"/>
  </si>
  <si>
    <t>비엔나케찹볶음</t>
    <phoneticPr fontId="12" type="noConversion"/>
  </si>
  <si>
    <t>메추리알파프리카볶음</t>
    <phoneticPr fontId="12" type="noConversion"/>
  </si>
  <si>
    <t>.1.5.6.12.21.</t>
    <phoneticPr fontId="12" type="noConversion"/>
  </si>
  <si>
    <t>메추리알(국산)40%, 떡(쌀:수입산), 청피망(국산)5%, 케찹, 간장, 물엿</t>
    <phoneticPr fontId="12" type="noConversion"/>
  </si>
  <si>
    <t>토마토소스(이츠웰), 로제소스 사용여부체크</t>
    <phoneticPr fontId="12" type="noConversion"/>
  </si>
  <si>
    <t>돼지고기 (국산)70%, 부추(국내산)5%, ,양파, 당근, 마늘, 대두유, 간장, 설탕, 후추, 참기름, 참깨</t>
    <phoneticPr fontId="12" type="noConversion"/>
  </si>
  <si>
    <t>.5.6.10.21.</t>
    <phoneticPr fontId="12" type="noConversion"/>
  </si>
  <si>
    <t>순두부계란탕</t>
    <phoneticPr fontId="12" type="noConversion"/>
  </si>
  <si>
    <t>순두부(원료수입산)42.9%, 계란(국내산)7%, 당근, 파, 마늘, 정제수, 멸치육수농축액, 국간장, 소금</t>
    <phoneticPr fontId="12" type="noConversion"/>
  </si>
  <si>
    <t>느타리당근나물</t>
    <phoneticPr fontId="12" type="noConversion"/>
  </si>
  <si>
    <t>느타리버섯(국내산)30%, 당근(국내산)28%, 호박(국내산)28%, 양파, 파, 마늘, 참치액, 소금, 참기름, 참깨</t>
    <phoneticPr fontId="12" type="noConversion"/>
  </si>
  <si>
    <t>.5.21.</t>
    <phoneticPr fontId="12" type="noConversion"/>
  </si>
  <si>
    <t>[정제수, 백포도농축액, 샤인머스켓농축액, 자일리톨, 청포도향(천연향료), 효소처리스테비아, 구연산]</t>
    <phoneticPr fontId="12" type="noConversion"/>
  </si>
  <si>
    <t>베베쿡</t>
    <phoneticPr fontId="12" type="noConversion"/>
  </si>
  <si>
    <t>비타포도스틱젤리</t>
    <phoneticPr fontId="12" type="noConversion"/>
  </si>
  <si>
    <t>알파벳치킨너겟</t>
    <phoneticPr fontId="12" type="noConversion"/>
  </si>
  <si>
    <t>치킨너겟{닭고기(국내산),브레더믹스[빵가루(밀:미국산.호주산),옥수수(외국산),소맥분(밀:미국산)],다진당근,다진양파,두류가공품 등}</t>
    <phoneticPr fontId="12" type="noConversion"/>
  </si>
  <si>
    <t>.2.5.6.15.</t>
    <phoneticPr fontId="12" type="noConversion"/>
  </si>
  <si>
    <t>알파벳치킨너겟(아이누리)20g*50</t>
    <phoneticPr fontId="12" type="noConversion"/>
  </si>
  <si>
    <t>라디치오샐러드</t>
    <phoneticPr fontId="12" type="noConversion"/>
  </si>
  <si>
    <t>.5.6.13.21.</t>
    <phoneticPr fontId="12" type="noConversion"/>
  </si>
  <si>
    <t>오리엔탈드레싱(크레잇)</t>
  </si>
  <si>
    <t>오리엔탈드레싱(크레잇)</t>
    <phoneticPr fontId="12" type="noConversion"/>
  </si>
  <si>
    <t>모둠채소[라디치오5%, 양상추, 치커리, 적채]국내산</t>
    <phoneticPr fontId="12" type="noConversion"/>
  </si>
  <si>
    <t>아그네시 파르팔레, 오리엔탈드레싱(크레잇)</t>
  </si>
  <si>
    <t>.2.5.6.12.13.</t>
    <phoneticPr fontId="12" type="noConversion"/>
  </si>
  <si>
    <t>오색콩나물냉채</t>
    <phoneticPr fontId="12" type="noConversion"/>
  </si>
  <si>
    <t>콩나물(원료수입산)80%, 크래미[명태연육80.26%(미국산), 난백액(국내산), 게엑기스1.36%(국내산)]10%, 당근, 쪽파, 마늘, 허니머스터드, 식초, 설탕, 참기름, 참깨</t>
    <phoneticPr fontId="12" type="noConversion"/>
  </si>
  <si>
    <t>콩나물(원료수입산)80%, 크래미[명태연육80.26%(미국산), 난백액(국내산), 게엑기스1.36%(국내산)]10%, 당근, 부추, 적채, 마늘, 허니머스터드, 식초, 설탕, 참기름, 참깨</t>
    <phoneticPr fontId="12" type="noConversion"/>
  </si>
  <si>
    <t>.1.2.5.6.8.12.21.</t>
    <phoneticPr fontId="12" type="noConversion"/>
  </si>
  <si>
    <t>양배추두부된장국</t>
    <phoneticPr fontId="12" type="noConversion"/>
  </si>
  <si>
    <t>양배추(국내산)20%, 두부(대두:외국산)7%, 정제수, 파, 마늘, 국간장, 멸치육수농축액, 소금</t>
    <phoneticPr fontId="12" type="noConversion"/>
  </si>
  <si>
    <t>두부고추장찌개</t>
    <phoneticPr fontId="12" type="noConversion"/>
  </si>
  <si>
    <t>돈육(국산)8%, 두부(원료수입산)7%, 애호박, 양파, 파, 마늘, 고추장, 고추가루, 국간장, 소금</t>
    <phoneticPr fontId="12" type="noConversion"/>
  </si>
  <si>
    <t>해물동그랑땡</t>
    <phoneticPr fontId="12" type="noConversion"/>
  </si>
  <si>
    <t>{[닭고기(국산),전란액(국산),복합조미식품{밀가루(밀:미국산.호주산)]오징어, 양파, 대파, 치자황색소, 후추 등}</t>
    <phoneticPr fontId="12" type="noConversion"/>
  </si>
  <si>
    <t>.1.2.5.6.10.15.17.</t>
    <phoneticPr fontId="12" type="noConversion"/>
  </si>
  <si>
    <t>22g/125원/계란옷입은알찬해물동그랑땡(굿딜)</t>
    <phoneticPr fontId="12" type="noConversion"/>
  </si>
  <si>
    <t>부대찌개</t>
    <phoneticPr fontId="12" type="noConversion"/>
  </si>
  <si>
    <t>사골엑기스(이츠웰), 모둠햄(대림선)</t>
    <phoneticPr fontId="12" type="noConversion"/>
  </si>
  <si>
    <t>모둠햄{켄터키후랑크[닭고기(국산)20%,돼지고기(국산)],스모크햄[돼지고기(국산),닭고기(국산)]}18%, 베이크드빈(원료수입산)3%, 양배추, 양파, 파, 마늘, 대두유, 케첩, 간장, 설탕, 고춧가루, 치킨스톡, 물엿, 후추</t>
    <phoneticPr fontId="12" type="noConversion"/>
  </si>
  <si>
    <t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t>
    <phoneticPr fontId="12" type="noConversion"/>
  </si>
  <si>
    <t>꽈리고추계란장조림</t>
    <phoneticPr fontId="12" type="noConversion"/>
  </si>
  <si>
    <t>계란(국산)78%, 꽈리고추(국내산)3%, 정제수, 간장, 통후추, 맛술, 물엿</t>
    <phoneticPr fontId="12" type="noConversion"/>
  </si>
  <si>
    <t>양배추케요샐러드</t>
    <phoneticPr fontId="12" type="noConversion"/>
  </si>
  <si>
    <t>배추(국내산)70&amp;, 무(국내산)10%, 마늘, 생강, 양파, 설탕, 정제수, 소금</t>
    <phoneticPr fontId="12" type="noConversion"/>
  </si>
  <si>
    <t>스테이크소스(오뚜기),데미글라스소스(오뚜기)</t>
    <phoneticPr fontId="12" type="noConversion"/>
  </si>
  <si>
    <t>.1.2.5.6.15.16.18.</t>
    <phoneticPr fontId="12" type="noConversion"/>
  </si>
  <si>
    <t>.1.2.5.18.21.</t>
    <phoneticPr fontId="12" type="noConversion"/>
  </si>
  <si>
    <t>.1.5.10.15.16.18.21.</t>
    <phoneticPr fontId="12" type="noConversion"/>
  </si>
  <si>
    <t>.1.2.5.16.18.21.</t>
    <phoneticPr fontId="12" type="noConversion"/>
  </si>
  <si>
    <t>.1.2.5.10.18.</t>
    <phoneticPr fontId="12" type="noConversion"/>
  </si>
  <si>
    <t>.1.2.5.18.</t>
    <phoneticPr fontId="12" type="noConversion"/>
  </si>
  <si>
    <t>양념돼지갈비찜</t>
    <phoneticPr fontId="12" type="noConversion"/>
  </si>
  <si>
    <t>닭(닭가슴살,닭다리살:국산)70%, 표고버섯(국산), 대추채(국산), 연근(중국산), 양파, 당근, 파, 마늘, 정제수, 물엿, 맛술, 간장, 후추, 소금, 참기름, 참깨</t>
    <phoneticPr fontId="12" type="noConversion"/>
  </si>
  <si>
    <t>명엽채(국내산)97%, 마요네즈, 간장, 물엿, 참기름, 참깨</t>
    <phoneticPr fontId="12" type="noConversion"/>
  </si>
  <si>
    <r>
      <t>방울토마토(국산)30%, 보코치니치즈(모짜렐라치즈:미국산)25%, 파인애플청크(수입산),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</si>
  <si>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아귀(국산)8%, 콩나물(콩:수입산), 무(국내산), 파, 마늘, 정제수, 국간장, 소금</t>
    <phoneticPr fontId="12" type="noConversion"/>
  </si>
  <si>
    <t>메추리알(국산)82%, 파프리카(국내산)3%, 간장, 물엿, 참기름, 참깨</t>
    <phoneticPr fontId="12" type="noConversion"/>
  </si>
  <si>
    <t>35g / 40g(2026.05.12)</t>
    <phoneticPr fontId="12" type="noConversion"/>
  </si>
  <si>
    <t>&amp; 브라운소스</t>
    <phoneticPr fontId="12" type="noConversion"/>
  </si>
  <si>
    <t>오이미역초무침</t>
    <phoneticPr fontId="12" type="noConversion"/>
  </si>
  <si>
    <t>오이(국산)75%, 불린미역(미역:국내산)12%, 설탕, 식초, 레몬즙, 소금, 참깨</t>
    <phoneticPr fontId="12" type="noConversion"/>
  </si>
  <si>
    <t>팝콘피쉬볼[명태살(러시아산)63.06%, 옥수수가루(주국산),옥수수전분(중국산),밀가루, 베이킹파우더, 정제수, 정제소금]97%, 대두유(원료수입산)</t>
    <phoneticPr fontId="12" type="noConversion"/>
  </si>
  <si>
    <t>1.6.</t>
    <phoneticPr fontId="12" type="noConversion"/>
  </si>
  <si>
    <t xml:space="preserve"> 마요네즈, 레몬즙, 생크림</t>
    <phoneticPr fontId="12" type="noConversion"/>
  </si>
  <si>
    <t>양송이(국내산)2%, 스테이크소스[토마토페이스트(중국산),사과농축액(사과:국산)], 데미글라스소스[사골엑기스(뉴질랜드산),토마토페이스트(수입산),버터루 등)], 마늘, 생크림, 우유</t>
    <phoneticPr fontId="12" type="noConversion"/>
  </si>
  <si>
    <t>케찹떡볶이</t>
    <phoneticPr fontId="12" type="noConversion"/>
  </si>
  <si>
    <t>구슬떡(쌀:외국산)75%, 양배추, 정제수, 토마토소스(시판용), 케찹, 설탕, 물엿</t>
    <phoneticPr fontId="12" type="noConversion"/>
  </si>
  <si>
    <t>목화솜탕수육{[돼지고기(국산/등심), 전분가공품[소맥전분(밀:외국산)}85%,소스(사양꿀(국내산),대두유,케찹,설탕,물엿,참기름,참깨)15%</t>
    <phoneticPr fontId="12" type="noConversion"/>
  </si>
  <si>
    <t>허니돈육강정</t>
    <phoneticPr fontId="12" type="noConversion"/>
  </si>
  <si>
    <t>오리엔탈그린샐러드</t>
    <phoneticPr fontId="12" type="noConversion"/>
  </si>
  <si>
    <t>{양조간장(탈지대두(외국산),천일염(호주산),양조식초, 대두유(대두:외국산), 레몬식초, 마늘, 참기름, 참깨 등]</t>
    <phoneticPr fontId="12" type="noConversion"/>
  </si>
  <si>
    <t>오리엔탈드레싱(크래잇)</t>
    <phoneticPr fontId="12" type="noConversion"/>
  </si>
  <si>
    <t>모둠채소(양상추, 로메인, 양배추, 치커리, 적채:국산)90%, 오리엔탈드레싱[양조간장, 혼합간장, 천일염, 대두유, 레몬식초, 참기름, 참깨 등]</t>
    <phoneticPr fontId="12" type="noConversion"/>
  </si>
  <si>
    <t>20g / 25g</t>
    <phoneticPr fontId="12" type="noConversion"/>
  </si>
  <si>
    <t>매콤오이무침</t>
    <phoneticPr fontId="12" type="noConversion"/>
  </si>
  <si>
    <t>얼큰순두부찌개</t>
    <phoneticPr fontId="12" type="noConversion"/>
  </si>
  <si>
    <t>순두부(원료수입산)42.9%, 바지락살(중국산)3%, 호박, 양파, 파, 마늘, 정제수, 고춧가루, 고추기름, 국간장, 참치액, 소금</t>
    <phoneticPr fontId="12" type="noConversion"/>
  </si>
  <si>
    <t>돈육김치찌개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</si>
  <si>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</si>
  <si>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족발[돼지고기(뒷다리:국산)97.6%, 양파(국산), 마늘(국산), 참당귀, 생강, 감초, 설탕, 대파, 정제소금, 계피, 치자]95%, 부추, 마늘, 간장, 설탕, 참기름, 참깨</t>
    <phoneticPr fontId="12" type="noConversion"/>
  </si>
  <si>
    <t>어간장두부조림</t>
    <phoneticPr fontId="12" type="noConversion"/>
  </si>
  <si>
    <t>.5.6.8.</t>
  </si>
  <si>
    <t>두부(대두:외국산), 어간장[멸치액젓(베트남산),홍게엑기스], 양조간장, 마늘, 파, 맛술, 전분물</t>
    <phoneticPr fontId="12" type="noConversion"/>
  </si>
  <si>
    <t>순살동태(러시아산)7.2%, 무(국산)13%,두부, 쑥갓, 양파, 대파, 마늘, 멸치육수농축액, 국간장, 소금</t>
    <phoneticPr fontId="12" type="noConversion"/>
  </si>
  <si>
    <t>밀떡(밀:수입산)60%, 소고기(호주산)20%, 양파, 당근, , 대두유, 간장, 설탕, 참기름, 참깨</t>
    <phoneticPr fontId="12" type="noConversion"/>
  </si>
  <si>
    <t>메추리알(국산)77.3%, 정제수, 통후추, 월계수잎, 간장, 설탕, 물엿, 참기름</t>
    <phoneticPr fontId="12" type="noConversion"/>
  </si>
  <si>
    <t>돈사태양념찜</t>
    <phoneticPr fontId="12" type="noConversion"/>
  </si>
  <si>
    <t>마라떡볶이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</si>
  <si>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</si>
  <si>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한입새우튀김 : 30g / 40g / 50g (소스15g)</t>
    <phoneticPr fontId="12" type="noConversion"/>
  </si>
  <si>
    <t>[메추리알(국내산), 보코치니치즈(모짜렐라치즈:미국산), 방울토마토(국내산), 오이(국산), 블랙올리브(이탈리아산)]75%, 요거트드레싱(유산균음료, 정제수, 마요네즈, 난황맥, 대두유)25%</t>
    <phoneticPr fontId="12" type="noConversion"/>
  </si>
  <si>
    <t>2026-07-01 09:30~</t>
  </si>
  <si>
    <t>2026-07-01 14:30~</t>
  </si>
  <si>
    <t>2026-07-01(수)</t>
    <phoneticPr fontId="12" type="noConversion"/>
  </si>
  <si>
    <t xml:space="preserve">                  07월 식단표</t>
    <phoneticPr fontId="12" type="noConversion"/>
  </si>
  <si>
    <t>제육쌈장두루치기</t>
  </si>
  <si>
    <t>세멸치엿장조림</t>
  </si>
  <si>
    <t>황태계란국</t>
  </si>
  <si>
    <t>춘장닭볶음</t>
  </si>
  <si>
    <t>녹두전</t>
  </si>
  <si>
    <t>시래기된장국</t>
  </si>
  <si>
    <t>비프찹스테이크</t>
  </si>
  <si>
    <t>진미채</t>
  </si>
  <si>
    <t>오이깨소스무침</t>
  </si>
  <si>
    <t>다시마무채국</t>
  </si>
  <si>
    <t>소고기계란덮밥소스</t>
  </si>
  <si>
    <t>갈비만두찜</t>
  </si>
  <si>
    <t>감자채볶음</t>
  </si>
  <si>
    <t>볼어묵국</t>
  </si>
  <si>
    <t>브로콜리닭볶음</t>
  </si>
  <si>
    <t>미니떡갈비</t>
  </si>
  <si>
    <t>당근숙주나물</t>
  </si>
  <si>
    <t>소고기탕국</t>
  </si>
  <si>
    <t>황금팽이소불고기</t>
  </si>
  <si>
    <t>치즈계란찜</t>
  </si>
  <si>
    <t>미역무채무침</t>
  </si>
  <si>
    <t>모둠채소된장국</t>
  </si>
  <si>
    <t>돈사태찜</t>
  </si>
  <si>
    <t>어묵채소볶음</t>
  </si>
  <si>
    <t>양배추오렌지샐러드</t>
  </si>
  <si>
    <t>닭고기버섯국</t>
  </si>
  <si>
    <t>훈제오리잡채</t>
  </si>
  <si>
    <t>조랭이떡국</t>
  </si>
  <si>
    <t>두부튀김</t>
  </si>
  <si>
    <t>오징어무국</t>
  </si>
  <si>
    <t>족발채소무침</t>
  </si>
  <si>
    <t>오징어볼튀김</t>
  </si>
  <si>
    <t>고구마조림</t>
  </si>
  <si>
    <t>열무된장국</t>
  </si>
  <si>
    <t>코울슬로</t>
    <phoneticPr fontId="12" type="noConversion"/>
  </si>
  <si>
    <t>볼어묵[연육(:중국산, 베트남산)]18%, 무(국산)7%, 양파, 대파, 마늘, 정제수, 국간장, 소금</t>
    <phoneticPr fontId="12" type="noConversion"/>
  </si>
  <si>
    <t>돈육우거지탕</t>
  </si>
  <si>
    <t>돈육우거지탕</t>
    <phoneticPr fontId="12" type="noConversion"/>
  </si>
  <si>
    <t>돈육장조림</t>
    <phoneticPr fontId="12" type="noConversion"/>
  </si>
  <si>
    <t>라구숏파스타</t>
  </si>
  <si>
    <t>단호박샐러드</t>
  </si>
  <si>
    <t>생선까스</t>
    <phoneticPr fontId="12" type="noConversion"/>
  </si>
  <si>
    <t>닭감자조림</t>
  </si>
  <si>
    <t>김말이떡강정</t>
  </si>
  <si>
    <t>순두부된장찌개</t>
  </si>
  <si>
    <t>돈채마늘쫑볶음</t>
  </si>
  <si>
    <t>닭봉삼계탕</t>
  </si>
  <si>
    <t>용가리치킨너겟</t>
  </si>
  <si>
    <t>카프레제샐러드</t>
  </si>
  <si>
    <t>비프토마토스튜</t>
  </si>
  <si>
    <t>뿌링클감자구이</t>
  </si>
  <si>
    <t>굴림만두국</t>
  </si>
  <si>
    <t>닭안심채소구이</t>
  </si>
  <si>
    <t>건맛살채볶음</t>
  </si>
  <si>
    <t>검은콩해바라기씨조림</t>
  </si>
  <si>
    <t>사골미역국</t>
  </si>
  <si>
    <t>소고기고사리볶음</t>
  </si>
  <si>
    <t>몽골리안포크</t>
  </si>
  <si>
    <t>해물동그랑땡</t>
  </si>
  <si>
    <t>대파계란탕</t>
  </si>
  <si>
    <t>로제닭볶음</t>
  </si>
  <si>
    <t>중식소고기볶음</t>
  </si>
  <si>
    <t>비엔나채소볶음</t>
  </si>
  <si>
    <t>치커리오이무침</t>
  </si>
  <si>
    <t>유부다시국</t>
  </si>
  <si>
    <t>훈제닭볶음</t>
  </si>
  <si>
    <t>샌드어묵조림</t>
  </si>
  <si>
    <t>돈채버섯볶음</t>
  </si>
  <si>
    <t>치킨너겟</t>
  </si>
  <si>
    <t xml:space="preserve">           07월 식단표</t>
    <phoneticPr fontId="12" type="noConversion"/>
  </si>
  <si>
    <t>당근숙주나물</t>
    <phoneticPr fontId="12" type="noConversion"/>
  </si>
  <si>
    <t>치즈계란찜</t>
    <phoneticPr fontId="12" type="noConversion"/>
  </si>
  <si>
    <t>순살치킨[닭고기(닭다리살:브라질산)64.76%,밀가루(밀:호주산,미국산),옥수수전분(옥수수:외국산), 대두유]98%, 눈꽃치즈(모짜렐라치즈:외국산99%)2%</t>
    <phoneticPr fontId="12" type="noConversion"/>
  </si>
  <si>
    <t>메추리알장조림</t>
    <phoneticPr fontId="12" type="noConversion"/>
  </si>
  <si>
    <t>스팸피망볶음</t>
    <phoneticPr fontId="12" type="noConversion"/>
  </si>
  <si>
    <t>뿌링클감자구이</t>
    <phoneticPr fontId="12" type="noConversion"/>
  </si>
  <si>
    <t>심플로트(렌치웨지컷),뿌링클치즈시즈닝(상상푸드)</t>
    <phoneticPr fontId="12" type="noConversion"/>
  </si>
  <si>
    <t>반달감자[감자96.855%, 식물성유지(대두유, 카놀라유, 면실유), 산성피로인산나트륨, 포도당, 무수아황산(산화방지제)]미국산, 치즈시즈닝(치즈혼합분말:미국산,호주산)</t>
    <phoneticPr fontId="12" type="noConversion"/>
  </si>
  <si>
    <t>비엔나채소볶음</t>
    <phoneticPr fontId="12" type="noConversion"/>
  </si>
  <si>
    <t>양념불백</t>
    <phoneticPr fontId="12" type="noConversion"/>
  </si>
  <si>
    <t>마라로제닭볶음</t>
    <phoneticPr fontId="12" type="noConversion"/>
  </si>
  <si>
    <t>족발[돼지고기(뒷다리:국산)97.6%, 양파(국산), 마늘(국산), 참당귀, 생강, 감초, 설탕, 대파, 정제소금, 계피, 치자]70%, 곤약분모자(곤약분말:외국산)양배추, 적채, 당근, 부추, 마늘, 허니머스터드, 식초 설탕, 참기름, 참깨</t>
    <phoneticPr fontId="12" type="noConversion"/>
  </si>
  <si>
    <t>족발(미쓰족발&amp;이츠웰), 발효곤약분모자(마틴조)</t>
    <phoneticPr fontId="12" type="noConversion"/>
  </si>
  <si>
    <t>.1.2.5.6.10.21.</t>
    <phoneticPr fontId="12" type="noConversion"/>
  </si>
  <si>
    <t>김치(고추가루, 배추:국산)20%, 참치(가다랑어:원양산)10%, 두부(원료수입산), 양파, 대파, 마늘, 정제수, 국간장, 소금</t>
    <phoneticPr fontId="12" type="noConversion"/>
  </si>
  <si>
    <t>챀치파우치(사조)</t>
    <phoneticPr fontId="12" type="noConversion"/>
  </si>
  <si>
    <t>김치(고추가루, 배추:국산)50%, 참치(가다랑어:원양산)25%, 양파, 파, 마늘, 설탕, 고춧가루, 대두유, 참기름, 참깨</t>
    <phoneticPr fontId="12" type="noConversion"/>
  </si>
  <si>
    <t>참치파우치(사조)</t>
    <phoneticPr fontId="12" type="noConversion"/>
  </si>
  <si>
    <t>참치(가다랑어:원양산)7%, 깍두기[무(국내산),고춧가루(국내산)],대두유, 소금,참기름,참깨</t>
    <phoneticPr fontId="12" type="noConversion"/>
  </si>
  <si>
    <t>들기름도토리묵무침</t>
    <phoneticPr fontId="12" type="noConversion"/>
  </si>
  <si>
    <t>도토리묵(원료수입산)85%, 김가루(김:국내산), 간장, 설탕, 들기름, 참깨</t>
    <phoneticPr fontId="12" type="noConversion"/>
  </si>
  <si>
    <t>김치제육</t>
  </si>
  <si>
    <t>양념진미채</t>
  </si>
  <si>
    <t>닭볶음탕</t>
  </si>
  <si>
    <t>닭감자고추장조림</t>
  </si>
  <si>
    <t>건새우무채나물</t>
  </si>
  <si>
    <t>.5.15.21.</t>
  </si>
  <si>
    <t>돈채마늘쫑볶음</t>
    <phoneticPr fontId="12" type="noConversion"/>
  </si>
  <si>
    <t>돈채(돼지고기:국산)62%, 마늘쫑(중국산)7%, 양파, 당근, 소스(마늘, 간장, 설탕, 후추, 대두유, 참기름, 참깨)25%</t>
    <phoneticPr fontId="12" type="noConversion"/>
  </si>
  <si>
    <t>.1.5.8.21.</t>
  </si>
  <si>
    <t>양념건맛살채볶음</t>
    <phoneticPr fontId="12" type="noConversion"/>
  </si>
  <si>
    <t>참치김치찌개</t>
  </si>
  <si>
    <t>마라로제닭볶음</t>
  </si>
  <si>
    <t>얼큰오징어무국</t>
  </si>
  <si>
    <t>족발냉채</t>
  </si>
  <si>
    <t>눈꽃치즈치킨</t>
  </si>
  <si>
    <t>우삼겹떡볶이</t>
  </si>
  <si>
    <t>새우감바스&amp;바게트</t>
  </si>
  <si>
    <t>전복버터구이</t>
  </si>
  <si>
    <t>고사리나물</t>
    <phoneticPr fontId="12" type="noConversion"/>
  </si>
  <si>
    <t>글로벌리더스 : 김치제육</t>
    <phoneticPr fontId="12" type="noConversion"/>
  </si>
  <si>
    <t>2026-07-02 09:30~</t>
  </si>
  <si>
    <t>2026-07-02 14:30~</t>
  </si>
  <si>
    <t>2026-07-02(목)</t>
    <phoneticPr fontId="12" type="noConversion"/>
  </si>
  <si>
    <t>흰쌀밥</t>
    <phoneticPr fontId="12" type="noConversion"/>
  </si>
  <si>
    <t>우엉조림</t>
    <phoneticPr fontId="12" type="noConversion"/>
  </si>
  <si>
    <t>2026-07-03 09:30~</t>
  </si>
  <si>
    <t>2026-07-03 14:30~</t>
  </si>
  <si>
    <t>2026-07-03(금)</t>
    <phoneticPr fontId="12" type="noConversion"/>
  </si>
  <si>
    <t>다시마무채국</t>
    <phoneticPr fontId="12" type="noConversion"/>
  </si>
  <si>
    <t>무(국산)25%, 다시마(국산)3%, 대파, 마늘, 멸치육수농축액, 정제수, 소금</t>
    <phoneticPr fontId="12" type="noConversion"/>
  </si>
  <si>
    <t xml:space="preserve"> 글로벌리더스 : 양념진미채
 포도클럽 : 백김치</t>
    <phoneticPr fontId="12" type="noConversion"/>
  </si>
  <si>
    <t>2026-07-06 09:30~</t>
  </si>
  <si>
    <t>2026-07-06 14:30~</t>
  </si>
  <si>
    <t>2026-07-06(월)</t>
    <phoneticPr fontId="12" type="noConversion"/>
  </si>
  <si>
    <t>2026-07-07 09:30~</t>
  </si>
  <si>
    <t>2026-07-07 14:30~</t>
  </si>
  <si>
    <t>2026-07-07(화)</t>
    <phoneticPr fontId="12" type="noConversion"/>
  </si>
  <si>
    <t>글로벌리더스 : 닭볶음탕</t>
    <phoneticPr fontId="12" type="noConversion"/>
  </si>
  <si>
    <t>2026-07-08 09:30~</t>
  </si>
  <si>
    <t>2026-07-08 14:30~</t>
  </si>
  <si>
    <t>2026-07-08(수)</t>
    <phoneticPr fontId="12" type="noConversion"/>
  </si>
  <si>
    <t>글로벌리더스 : 열무김치</t>
    <phoneticPr fontId="12" type="noConversion"/>
  </si>
  <si>
    <t>2026-07-09 09:30~</t>
  </si>
  <si>
    <t>2026-07-09 14:30~</t>
  </si>
  <si>
    <t>2026-07-09(목)</t>
    <phoneticPr fontId="12" type="noConversion"/>
  </si>
  <si>
    <t>양배추오렌지샐러드</t>
    <phoneticPr fontId="12" type="noConversion"/>
  </si>
  <si>
    <t>위니위니
생파</t>
    <phoneticPr fontId="12" type="noConversion"/>
  </si>
  <si>
    <t>조각피자</t>
    <phoneticPr fontId="12" type="noConversion"/>
  </si>
  <si>
    <t>글로벌리더스 : 매콤돈사태찜</t>
    <phoneticPr fontId="12" type="noConversion"/>
  </si>
  <si>
    <t>2~3ea</t>
    <phoneticPr fontId="12" type="noConversion"/>
  </si>
  <si>
    <t>2026-07-10 09:30~</t>
  </si>
  <si>
    <t>2026-07-10 14:30~</t>
  </si>
  <si>
    <t>2026-07-10(금)</t>
    <phoneticPr fontId="12" type="noConversion"/>
  </si>
  <si>
    <t>소떡꼬치</t>
    <phoneticPr fontId="12" type="noConversion"/>
  </si>
  <si>
    <t>목살김치찜</t>
    <phoneticPr fontId="12" type="noConversion"/>
  </si>
  <si>
    <t>돼지고기(목살:칠레산)60%, 배추김치(배추, 고추가루:국산)15%, 파인애플(전처리용), 파, 마늘, 생강가루, 월계수잎, 정제수, 간장, 설탕, 맛술, 물엿, 참기름, 후추</t>
    <phoneticPr fontId="12" type="noConversion"/>
  </si>
  <si>
    <t>쌀떡볶이(쌀:외국산),숲불갈비향소시지[닭고기(국산),돼지고기(국산),당근,대두단백,비프스테이크소스]</t>
    <phoneticPr fontId="12" type="noConversion"/>
  </si>
  <si>
    <t>소떡소떡떡꼬치(쿠즈락)</t>
    <phoneticPr fontId="12" type="noConversion"/>
  </si>
  <si>
    <t>.1.2.5.6.10.15.16.18.</t>
    <phoneticPr fontId="12" type="noConversion"/>
  </si>
  <si>
    <t>2026-07-13 09:30~</t>
  </si>
  <si>
    <t>2026-07-13 14:30~</t>
  </si>
  <si>
    <t>2026-07-13(월)</t>
    <phoneticPr fontId="12" type="noConversion"/>
  </si>
  <si>
    <t>소고기무국</t>
    <phoneticPr fontId="12" type="noConversion"/>
  </si>
  <si>
    <t>2026-07-14 09:30~</t>
  </si>
  <si>
    <t>2026-07-14 14:30~</t>
  </si>
  <si>
    <t>2026-07-14(화)</t>
    <phoneticPr fontId="12" type="noConversion"/>
  </si>
  <si>
    <t>글로벌리더스 : 닭감자고추장조림</t>
    <phoneticPr fontId="12" type="noConversion"/>
  </si>
  <si>
    <t>닭감자고추장조림</t>
    <phoneticPr fontId="12" type="noConversion"/>
  </si>
  <si>
    <t>닭(국산)60%, 감자(국산)13%, 양파, 당근, 파, 마늘, 정제수, 고추장, 고춧가루, 간장, 후추, 소금, 참깨</t>
    <phoneticPr fontId="12" type="noConversion"/>
  </si>
  <si>
    <t>2026-07-15(수)</t>
  </si>
  <si>
    <t>2026-07-15 09:30~</t>
  </si>
  <si>
    <t>2026-07-15 14:30~</t>
  </si>
  <si>
    <t>계란말이</t>
    <phoneticPr fontId="12" type="noConversion"/>
  </si>
  <si>
    <t>글로벌리더스 : 매콤돈채마늘쫑볶음</t>
    <phoneticPr fontId="12" type="noConversion"/>
  </si>
  <si>
    <t>매콤돈채마늘쫑볶음</t>
    <phoneticPr fontId="12" type="noConversion"/>
  </si>
  <si>
    <t>돈채(돼지고기:국산)62%, 마늘쫑(중국산)7%, 양파, 당근, 소스(마늘, 간장, 설탕, 후추, 대두유, 고춧가루, 참기름, 참깨)25%</t>
    <phoneticPr fontId="12" type="noConversion"/>
  </si>
  <si>
    <t>2026-07-16 09:30~</t>
  </si>
  <si>
    <t>2026-07-16 14:30~</t>
  </si>
  <si>
    <t>2026-07-16(목)</t>
    <phoneticPr fontId="12" type="noConversion"/>
  </si>
  <si>
    <t>메뉴1</t>
    <phoneticPr fontId="12" type="noConversion"/>
  </si>
  <si>
    <t>메뉴2</t>
    <phoneticPr fontId="12" type="noConversion"/>
  </si>
  <si>
    <t>메뉴3</t>
    <phoneticPr fontId="12" type="noConversion"/>
  </si>
  <si>
    <t>메뉴4</t>
  </si>
  <si>
    <t>메뉴5</t>
  </si>
  <si>
    <t>메뉴6</t>
  </si>
  <si>
    <t>폴리어학원 셋팅메뉴 : 용가리치킨너겟,카프레제샐러드,
                           비타포도스틱젤리,바나나</t>
    <phoneticPr fontId="12" type="noConversion"/>
  </si>
  <si>
    <t>2026-07-20 09:30~</t>
  </si>
  <si>
    <t>2026-07-20 14:30~</t>
  </si>
  <si>
    <t>2026-07-20(월)</t>
    <phoneticPr fontId="12" type="noConversion"/>
  </si>
  <si>
    <t>목살(돼지고기:칠레산)95%, 맛술, 소금, 후추</t>
    <phoneticPr fontId="12" type="noConversion"/>
  </si>
  <si>
    <t>굴림만두
1.5ea</t>
    <phoneticPr fontId="12" type="noConversion"/>
  </si>
  <si>
    <t>굴림만두
2ea</t>
    <phoneticPr fontId="12" type="noConversion"/>
  </si>
  <si>
    <t>2026-07-21 09:30~</t>
  </si>
  <si>
    <t>2026-07-21 14:30~</t>
  </si>
  <si>
    <t>2026-07-21(화)</t>
    <phoneticPr fontId="12" type="noConversion"/>
  </si>
  <si>
    <t>글로벌리더스 : 양념건맛살채볶음</t>
    <phoneticPr fontId="12" type="noConversion"/>
  </si>
  <si>
    <t>2026-07-22(수)</t>
  </si>
  <si>
    <t>2026-07-22 09:30~</t>
  </si>
  <si>
    <t>2026-07-22 14:30~</t>
  </si>
  <si>
    <t>북어국</t>
    <phoneticPr fontId="12" type="noConversion"/>
  </si>
  <si>
    <t>건맛살채(원료수입산)85%, 대두유, 간장, 물엿, 고추장, 마요네즈, 참기름, 참깨</t>
    <phoneticPr fontId="12" type="noConversion"/>
  </si>
  <si>
    <t>글로벌리더스 : 참치김치찌개</t>
    <phoneticPr fontId="12" type="noConversion"/>
  </si>
  <si>
    <t>위니위니
소풍</t>
    <phoneticPr fontId="12" type="noConversion"/>
  </si>
  <si>
    <t>송추히든벨리</t>
    <phoneticPr fontId="12" type="noConversion"/>
  </si>
  <si>
    <t>2026-07-23 09:30~</t>
  </si>
  <si>
    <t>2026-07-23 14:30~</t>
  </si>
  <si>
    <t>2026-07-23(목)</t>
    <phoneticPr fontId="12" type="noConversion"/>
  </si>
  <si>
    <t>미역줄기볶음</t>
    <phoneticPr fontId="12" type="noConversion"/>
  </si>
  <si>
    <t>2026-07-24 09:30~</t>
  </si>
  <si>
    <t>2026-07-24 14:30~</t>
  </si>
  <si>
    <t>2026-07-24(금)</t>
    <phoneticPr fontId="12" type="noConversion"/>
  </si>
  <si>
    <t>글로벌리더스 : 마라로제닭볶음</t>
    <phoneticPr fontId="12" type="noConversion"/>
  </si>
  <si>
    <t>2026-07-27 09:30~</t>
  </si>
  <si>
    <t>2026-07-27 14:30~</t>
  </si>
  <si>
    <t>2026-07-27(월)</t>
    <phoneticPr fontId="12" type="noConversion"/>
  </si>
  <si>
    <t>글로벌리더스 : 얼큰오징어무국</t>
    <phoneticPr fontId="12" type="noConversion"/>
  </si>
  <si>
    <t>2026-07-28 09:30~</t>
  </si>
  <si>
    <t>2026-07-28 14:30~</t>
  </si>
  <si>
    <t>2026-07-28(화)</t>
    <phoneticPr fontId="12" type="noConversion"/>
  </si>
  <si>
    <t>오이(국산)82%, 치커리(국산)4.5%, 파, 마늘, 고추가루, 소금, 설탕, 식초, 참깨</t>
  </si>
  <si>
    <t>매콤치커리오이무침</t>
    <phoneticPr fontId="12" type="noConversion"/>
  </si>
  <si>
    <t>글로벌리더스 : 매콤치커리오이무침</t>
    <phoneticPr fontId="12" type="noConversion"/>
  </si>
  <si>
    <t>2026-07-29(수)</t>
  </si>
  <si>
    <t>2026-07-29 09:30~</t>
  </si>
  <si>
    <t>2026-07-29 14:30~</t>
  </si>
  <si>
    <t>글로벌리더스 : 족발냉채</t>
    <phoneticPr fontId="12" type="noConversion"/>
  </si>
  <si>
    <t>2026-07-30 09:30~</t>
  </si>
  <si>
    <t>2026-07-30 14:30~</t>
  </si>
  <si>
    <t>2026-07-30(목)</t>
    <phoneticPr fontId="12" type="noConversion"/>
  </si>
  <si>
    <t>콩나물무침</t>
    <phoneticPr fontId="12" type="noConversion"/>
  </si>
  <si>
    <t>글로벌리더스 : 매콤돈육우거지탕</t>
    <phoneticPr fontId="12" type="noConversion"/>
  </si>
  <si>
    <t>매콤돈육우거지탕</t>
    <phoneticPr fontId="12" type="noConversion"/>
  </si>
  <si>
    <t>돼지고기(국내산)23%, 배추우거지(배추:국내산), 깻순(국내산), 감자, 양파, 파, 마늘, 고춧가루, 된장, 치킨스톡, 소금</t>
    <phoneticPr fontId="12" type="noConversion"/>
  </si>
  <si>
    <t>2026-07-31(수)</t>
  </si>
  <si>
    <t>2026-07-31 09:30~</t>
  </si>
  <si>
    <t>2026-07-31 14:30~</t>
  </si>
  <si>
    <t>소고기미역국</t>
    <phoneticPr fontId="12" type="noConversion"/>
  </si>
  <si>
    <t>구운어묵[연육(베트남산),밀가루(밀:호주산.미국산)]75%,  양파(국산) , 당근, 파, 마늘, 대두유, 간장, 참기름, 참깨</t>
    <phoneticPr fontId="12" type="noConversion"/>
  </si>
  <si>
    <t>구운어묵(삼호)</t>
    <phoneticPr fontId="12" type="noConversion"/>
  </si>
  <si>
    <t>왕새우튀김</t>
  </si>
  <si>
    <t>고등어카레구이</t>
  </si>
  <si>
    <t>케이준샐러드</t>
    <phoneticPr fontId="12" type="noConversion"/>
  </si>
  <si>
    <t>잠봉샐러드</t>
    <phoneticPr fontId="12" type="noConversion"/>
  </si>
  <si>
    <t>오징어콩나물찜</t>
  </si>
  <si>
    <t>라코타치즈샐러드&amp;발사믹S</t>
  </si>
  <si>
    <t>케이준샐러드&amp;허니머스터드S</t>
  </si>
  <si>
    <t>잠봉샐러드&amp;홀그레인S</t>
  </si>
  <si>
    <t>소떡꼬치</t>
  </si>
  <si>
    <t>보쌈수육</t>
  </si>
  <si>
    <t xml:space="preserve">샐러드채소[국내산(양상추, 치커리, 적채)]75%, 치킨텐더(닭고기:국내산)25%, </t>
    <phoneticPr fontId="12" type="noConversion"/>
  </si>
  <si>
    <t>골든치킨텐더(이츠웰)</t>
    <phoneticPr fontId="12" type="noConversion"/>
  </si>
  <si>
    <t xml:space="preserve">허니머스터드(이츠웰) </t>
    <phoneticPr fontId="12" type="noConversion"/>
  </si>
  <si>
    <t>{정제수, 마요네즈[식물성유지(외국산),난황액(계란:국산) 등], 향신료조제품[미국산(식초, 겨자씨, 강황 등], 사양벌꿀(국산), 겨자분{겨자(외국산)] 등}</t>
    <phoneticPr fontId="12" type="noConversion"/>
  </si>
  <si>
    <t>콩나물해물찜</t>
    <phoneticPr fontId="12" type="noConversion"/>
  </si>
  <si>
    <t>.5.9.17.21.</t>
    <phoneticPr fontId="12" type="noConversion"/>
  </si>
  <si>
    <t>모둠해물[낙지(베트남산), 갑오징어(베이비까:베트남산), 자숙새우살(베트남산)]50%, 콩나물(대두:외국산)35%, 양파, 대파, 마늘, 고춧가루(국내산), 소금, 국간장, 녹말, 참기름, 참깨</t>
    <phoneticPr fontId="12" type="noConversion"/>
  </si>
  <si>
    <t>잠봉(오땔)</t>
    <phoneticPr fontId="12" type="noConversion"/>
  </si>
  <si>
    <t>모둠채소[국내산(양상추, 로메인, 어린잎)]92%, 잠봉[돼지고기(국산), 분리유청대두단백가공품(미국산), 난백분(이탈리아산), 소금(국산) 등]8%</t>
    <phoneticPr fontId="12" type="noConversion"/>
  </si>
  <si>
    <t>.1.2.5.10.</t>
    <phoneticPr fontId="12" type="noConversion"/>
  </si>
  <si>
    <t>&amp; 키위드레싱</t>
    <phoneticPr fontId="12" type="noConversion"/>
  </si>
  <si>
    <t>키위드레싱(이츠웰)</t>
    <phoneticPr fontId="12" type="noConversion"/>
  </si>
  <si>
    <t>{정제수, 키위퓨레(뉴질랜드산), 마요네즈[식물성유지(외국산), 난황액(계란:국산), 발효식초 등], 정제소금(중국산) 등}</t>
    <phoneticPr fontId="12" type="noConversion"/>
  </si>
  <si>
    <t>리코타치즈샐러드</t>
    <phoneticPr fontId="12" type="noConversion"/>
  </si>
  <si>
    <t>리코타치즈[국산(원유, 농축유청, 유크림)]25%, 모둠채소[국내산(라디치오, 양상추, 치커리, 적채)]</t>
    <phoneticPr fontId="12" type="noConversion"/>
  </si>
  <si>
    <t>덴마크 리코타치즈[㈜동원F&amp;B]</t>
    <phoneticPr fontId="12" type="noConversion"/>
  </si>
  <si>
    <t>&amp; 발사믹드레싱</t>
    <phoneticPr fontId="12" type="noConversion"/>
  </si>
  <si>
    <t>[정제수, 발효식초(이탈리아산)14%, 대두유(대두:외국산), 정제소금(중국산) 등]</t>
    <phoneticPr fontId="12" type="noConversion"/>
  </si>
  <si>
    <t>.5.13.</t>
    <phoneticPr fontId="12" type="noConversion"/>
  </si>
  <si>
    <t>발사믹드레싱(이츠웰)</t>
    <phoneticPr fontId="12" type="noConversion"/>
  </si>
  <si>
    <t>.1.5.20.</t>
    <phoneticPr fontId="12" type="noConversion"/>
  </si>
  <si>
    <t>&amp; 허니머스터드D</t>
    <phoneticPr fontId="12" type="noConversion"/>
  </si>
  <si>
    <t>방울토마토(국내산)</t>
    <phoneticPr fontId="12" type="noConversion"/>
  </si>
  <si>
    <t>수박(국내산)</t>
    <phoneticPr fontId="12" type="noConversion"/>
  </si>
  <si>
    <t>조랭이떡(쌀:국내산)25%, 소고기(호주산)3.5%, 계란(국내산)1%, 대파, 마늘, 국간장, 정제수, 소금</t>
    <phoneticPr fontId="12" type="noConversion"/>
  </si>
  <si>
    <t>미역(국산)18.6%, 조랭이떡(쌀:국내산)12%, 정제수, 밥새우, 멸치육수농축액, 국간장, 참기름, 소금</t>
    <phoneticPr fontId="12" type="noConversion"/>
  </si>
  <si>
    <t>조랭이떡(쌀:국내산85.2%, 소고기(호주산)5%, 양파, 당근, 표고버섯, 피망, 간장, 설탕, 참기름, 참깨</t>
    <phoneticPr fontId="12" type="noConversion"/>
  </si>
  <si>
    <t>계란(국산)46.2%, 눈꽃치즈(모짜렐라치즈:외국산)2%, 정제수, 우유, 소금</t>
    <phoneticPr fontId="12" type="noConversion"/>
  </si>
  <si>
    <t>.12.</t>
    <phoneticPr fontId="12" type="noConversion"/>
  </si>
  <si>
    <t>복숭아(국내산)</t>
  </si>
  <si>
    <t>173374 쉐프솔루션 진짜통등심돈까스(130g*20입 2.6Kg/EA)</t>
    <phoneticPr fontId="12" type="noConversion"/>
  </si>
  <si>
    <t>숙주(녹두:외국산)12%, 해산물(대왕오징어:페루산, 홍합.바지락.새우살:중국산)7%, 양파, 청경채,  파, 마늘, 정제수, 고춧가루, 고추기름, 치킨스톡, 소금</t>
  </si>
  <si>
    <t>숙주(녹두:외국산)20%, 소고기(호주산)8%, 정제수, 대파, 마늘, 멸치육수농축액, 국간장, 소금</t>
  </si>
  <si>
    <t>소고기(호주산)8.3%, 무(국산)10%, 고사리(중국산), 숙주(녹두:외국산), 느타리버섯, 파, 마늘, 정제수, 국간장, 소금, 후추</t>
  </si>
  <si>
    <t>소고기(호주산)62%, 숙주(녹두:외국산)28%, 양파, 파, 마늘, 간장, 대두유, 후추, 참기름</t>
  </si>
  <si>
    <t>차돌(소고기:미국산)35%, 숙주(녹두:외국산)40%, 양파, 대파, 마늘, 대두유, 소금, 굴소스, 간장, 맛술, 참기름, 참깨</t>
  </si>
  <si>
    <t>숙주(녹두:외국산)90%, 당근, 부추, 대파, 마늘, 참치액, 소금, 참기름, 참깨</t>
  </si>
  <si>
    <t>숙주(녹두:외국산)90%, 당근, 마늘, 대파, 참치액, 소금, 참기름, 참깨</t>
  </si>
  <si>
    <t>{소시지[닭고기(국산)54.04%, 정제수, 돼지고기(국산)24.22%, 옥수수전분(러시아,헝가리,세르비아등).돈지방(국산),정제수, 정제소금)]80%, 대두유, 당근, 양파, 간장, 물엿, 참기름, 참께</t>
    <phoneticPr fontId="12" type="noConversion"/>
  </si>
  <si>
    <t>버터계란볶음밥</t>
  </si>
  <si>
    <t>스크램블에그(계란:국산)7%, 당근,  쌀밥(쌀:국산)85%, 버터, 대두유, 소금, 참기름,참깨</t>
  </si>
  <si>
    <t>.1.2.5.18.21.</t>
  </si>
  <si>
    <t>방울토마토(국산)55%, 보코치니치즈(모짜렐라치즈:미국산)20%, 참외(국내산), 파인애플청크(수입산), 샐러드채소(치커리, 어린잎채소:국산)12%, 오리엔탈드레싱13%</t>
    <phoneticPr fontId="12" type="noConversion"/>
  </si>
  <si>
    <t>포도클럽 : 백김치 ( 61명 / 1,638g )
글로벌리더스 : 열무김치, 돈육김치찌개
BIS수내교사,JCS,위니위니 : 조미김 ( 113명 / 114매 )</t>
    <phoneticPr fontId="12" type="noConversion"/>
  </si>
  <si>
    <t>샌드어묵볶음</t>
    <phoneticPr fontId="12" type="noConversion"/>
  </si>
  <si>
    <t>글로벌리더스 : 얼큰소고기무국
포도클럽 : 백김치 (62명 / 1,613g )</t>
    <phoneticPr fontId="12" type="noConversion"/>
  </si>
  <si>
    <t>닭봉
1~2ea</t>
    <phoneticPr fontId="12" type="noConversion"/>
  </si>
  <si>
    <t>닭봉
2ea</t>
    <phoneticPr fontId="12" type="noConversion"/>
  </si>
  <si>
    <t>복숭아(국내산)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</si>
</sst>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2F688"/>
        <bgColor indexed="64"/>
      </patternFill>
    </fill>
    <fill>
      <patternFill patternType="solid">
        <fgColor rgb="FFFFFF00"/>
        <bgColor rgb="FF000000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53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0" fontId="4" fillId="0" borderId="1" xfId="0" applyFont="1" applyBorder="1">
      <alignment vertical="center"/>
    </xf>
    <xf numFmtId="177" fontId="0" fillId="0" borderId="0" xfId="0" applyNumberFormat="1">
      <alignment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5" borderId="1" xfId="0" applyNumberForma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1" borderId="1" xfId="3" applyFont="1" applyFill="1" applyBorder="1" applyAlignment="1">
      <alignment horizontal="center" vertical="center" wrapText="1"/>
    </xf>
    <xf numFmtId="41" fontId="0" fillId="12" borderId="1" xfId="3" applyFont="1" applyFill="1" applyBorder="1">
      <alignment vertical="center"/>
    </xf>
    <xf numFmtId="181" fontId="0" fillId="12" borderId="1" xfId="3" applyNumberFormat="1" applyFont="1" applyFill="1" applyBorder="1">
      <alignment vertical="center"/>
    </xf>
    <xf numFmtId="41" fontId="4" fillId="12" borderId="1" xfId="3" applyFont="1" applyFill="1" applyBorder="1">
      <alignment vertical="center"/>
    </xf>
    <xf numFmtId="180" fontId="0" fillId="12" borderId="1" xfId="3" applyNumberFormat="1" applyFont="1" applyFill="1" applyBorder="1">
      <alignment vertical="center"/>
    </xf>
    <xf numFmtId="182" fontId="0" fillId="12" borderId="1" xfId="3" applyNumberFormat="1" applyFont="1" applyFill="1" applyBorder="1">
      <alignment vertical="center"/>
    </xf>
    <xf numFmtId="185" fontId="0" fillId="12" borderId="1" xfId="3" applyNumberFormat="1" applyFont="1" applyFill="1" applyBorder="1">
      <alignment vertical="center"/>
    </xf>
    <xf numFmtId="186" fontId="0" fillId="12" borderId="1" xfId="3" applyNumberFormat="1" applyFont="1" applyFill="1" applyBorder="1">
      <alignment vertical="center"/>
    </xf>
    <xf numFmtId="180" fontId="4" fillId="12" borderId="1" xfId="3" applyNumberFormat="1" applyFont="1" applyFill="1" applyBorder="1">
      <alignment vertical="center"/>
    </xf>
    <xf numFmtId="41" fontId="5" fillId="11" borderId="1" xfId="3" applyFont="1" applyFill="1" applyBorder="1" applyAlignment="1">
      <alignment horizontal="center" vertical="center" wrapText="1"/>
    </xf>
    <xf numFmtId="41" fontId="4" fillId="12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2" borderId="1" xfId="3" applyNumberFormat="1" applyFont="1" applyFill="1" applyBorder="1">
      <alignment vertical="center"/>
    </xf>
    <xf numFmtId="188" fontId="1" fillId="12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5" borderId="5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184" fontId="0" fillId="13" borderId="1" xfId="3" applyNumberFormat="1" applyFont="1" applyFill="1" applyBorder="1">
      <alignment vertical="center"/>
    </xf>
    <xf numFmtId="182" fontId="0" fillId="13" borderId="1" xfId="0" applyNumberFormat="1" applyFill="1" applyBorder="1">
      <alignment vertical="center"/>
    </xf>
    <xf numFmtId="180" fontId="0" fillId="13" borderId="1" xfId="0" applyNumberFormat="1" applyFill="1" applyBorder="1">
      <alignment vertical="center"/>
    </xf>
    <xf numFmtId="181" fontId="0" fillId="13" borderId="1" xfId="0" applyNumberFormat="1" applyFill="1" applyBorder="1">
      <alignment vertical="center"/>
    </xf>
    <xf numFmtId="183" fontId="0" fillId="13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3" borderId="1" xfId="3" applyNumberFormat="1" applyFont="1" applyFill="1" applyBorder="1">
      <alignment vertical="center"/>
    </xf>
    <xf numFmtId="189" fontId="0" fillId="13" borderId="1" xfId="3" applyNumberFormat="1" applyFont="1" applyFill="1" applyBorder="1">
      <alignment vertical="center"/>
    </xf>
    <xf numFmtId="190" fontId="6" fillId="12" borderId="1" xfId="3" applyNumberFormat="1" applyFont="1" applyFill="1" applyBorder="1">
      <alignment vertical="center"/>
    </xf>
    <xf numFmtId="177" fontId="4" fillId="6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2" borderId="1" xfId="3" applyNumberFormat="1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2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2" borderId="1" xfId="3" applyNumberFormat="1" applyFont="1" applyFill="1" applyBorder="1">
      <alignment vertical="center"/>
    </xf>
    <xf numFmtId="191" fontId="0" fillId="13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2" borderId="1" xfId="3" applyNumberFormat="1" applyFont="1" applyFill="1" applyBorder="1">
      <alignment vertical="center"/>
    </xf>
    <xf numFmtId="183" fontId="0" fillId="13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6" borderId="1" xfId="3" applyFont="1" applyFill="1" applyBorder="1">
      <alignment vertical="center"/>
    </xf>
    <xf numFmtId="41" fontId="0" fillId="6" borderId="1" xfId="3" applyFont="1" applyFill="1" applyBorder="1">
      <alignment vertical="center"/>
    </xf>
    <xf numFmtId="41" fontId="4" fillId="6" borderId="1" xfId="3" applyFont="1" applyFill="1" applyBorder="1" applyAlignment="1">
      <alignment horizontal="center" vertical="center"/>
    </xf>
    <xf numFmtId="178" fontId="0" fillId="6" borderId="1" xfId="4" applyNumberFormat="1" applyFont="1" applyFill="1" applyBorder="1">
      <alignment vertical="center"/>
    </xf>
    <xf numFmtId="0" fontId="0" fillId="6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2" borderId="0" xfId="3" applyFont="1" applyFill="1">
      <alignment vertical="center"/>
    </xf>
    <xf numFmtId="41" fontId="4" fillId="12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3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6" borderId="1" xfId="3" applyNumberFormat="1" applyFont="1" applyFill="1" applyBorder="1" applyAlignment="1">
      <alignment horizontal="center" vertical="center" wrapText="1"/>
    </xf>
    <xf numFmtId="41" fontId="0" fillId="6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81" fontId="11" fillId="12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6" borderId="1" xfId="3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3" applyNumberFormat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31" fillId="8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1" fillId="22" borderId="25" xfId="0" applyFont="1" applyFill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0" fontId="38" fillId="22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1" borderId="26" xfId="2" applyNumberFormat="1" applyFont="1" applyFill="1" applyBorder="1" applyAlignment="1">
      <alignment horizontal="left" vertical="center" wrapText="1"/>
    </xf>
    <xf numFmtId="179" fontId="17" fillId="21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23" fillId="17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2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3" borderId="39" xfId="0" applyFont="1" applyFill="1" applyBorder="1" applyAlignment="1">
      <alignment horizontal="center" vertical="center"/>
    </xf>
    <xf numFmtId="0" fontId="20" fillId="23" borderId="40" xfId="0" applyFont="1" applyFill="1" applyBorder="1" applyAlignment="1">
      <alignment horizontal="center" vertical="center"/>
    </xf>
    <xf numFmtId="0" fontId="20" fillId="23" borderId="16" xfId="0" applyFont="1" applyFill="1" applyBorder="1" applyAlignment="1">
      <alignment horizontal="center" vertical="center"/>
    </xf>
    <xf numFmtId="0" fontId="20" fillId="23" borderId="15" xfId="0" applyFont="1" applyFill="1" applyBorder="1" applyAlignment="1">
      <alignment horizontal="center" vertical="center"/>
    </xf>
    <xf numFmtId="0" fontId="20" fillId="23" borderId="22" xfId="0" applyFont="1" applyFill="1" applyBorder="1" applyAlignment="1">
      <alignment horizontal="center" vertical="center"/>
    </xf>
    <xf numFmtId="0" fontId="20" fillId="23" borderId="41" xfId="0" applyFont="1" applyFill="1" applyBorder="1" applyAlignment="1">
      <alignment horizontal="center" vertical="center"/>
    </xf>
    <xf numFmtId="176" fontId="41" fillId="6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8" borderId="46" xfId="0" applyFont="1" applyFill="1" applyBorder="1" applyAlignment="1">
      <alignment horizontal="center" vertical="center"/>
    </xf>
    <xf numFmtId="0" fontId="32" fillId="23" borderId="49" xfId="0" applyFont="1" applyFill="1" applyBorder="1" applyAlignment="1">
      <alignment horizontal="center" vertical="center"/>
    </xf>
    <xf numFmtId="0" fontId="32" fillId="23" borderId="22" xfId="0" applyFont="1" applyFill="1" applyBorder="1" applyAlignment="1">
      <alignment horizontal="center" vertical="center"/>
    </xf>
    <xf numFmtId="0" fontId="31" fillId="8" borderId="36" xfId="0" applyFont="1" applyFill="1" applyBorder="1" applyAlignment="1">
      <alignment horizontal="center" vertical="center"/>
    </xf>
    <xf numFmtId="0" fontId="32" fillId="23" borderId="5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/>
    </xf>
    <xf numFmtId="0" fontId="4" fillId="24" borderId="1" xfId="1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79" fontId="5" fillId="21" borderId="26" xfId="2" applyNumberFormat="1" applyFont="1" applyFill="1" applyBorder="1" applyAlignment="1">
      <alignment horizontal="left" vertical="center" wrapText="1"/>
    </xf>
    <xf numFmtId="0" fontId="22" fillId="22" borderId="25" xfId="0" applyFont="1" applyFill="1" applyBorder="1" applyAlignment="1">
      <alignment horizontal="center" vertical="center"/>
    </xf>
    <xf numFmtId="0" fontId="4" fillId="22" borderId="25" xfId="0" applyFont="1" applyFill="1" applyBorder="1" applyAlignment="1">
      <alignment horizontal="center" vertical="center"/>
    </xf>
    <xf numFmtId="0" fontId="37" fillId="22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20" fillId="23" borderId="57" xfId="0" applyFont="1" applyFill="1" applyBorder="1" applyAlignment="1">
      <alignment horizontal="center" vertical="center"/>
    </xf>
    <xf numFmtId="0" fontId="20" fillId="23" borderId="58" xfId="0" applyFont="1" applyFill="1" applyBorder="1" applyAlignment="1">
      <alignment horizontal="center" vertical="center"/>
    </xf>
    <xf numFmtId="179" fontId="17" fillId="21" borderId="28" xfId="2" applyNumberFormat="1" applyFont="1" applyFill="1" applyBorder="1" applyAlignment="1">
      <alignment horizontal="left" vertical="center" wrapText="1"/>
    </xf>
    <xf numFmtId="0" fontId="40" fillId="26" borderId="15" xfId="1" applyFont="1" applyFill="1" applyBorder="1" applyAlignment="1">
      <alignment horizontal="left" vertical="center" wrapText="1"/>
    </xf>
    <xf numFmtId="179" fontId="43" fillId="21" borderId="28" xfId="2" applyNumberFormat="1" applyFont="1" applyFill="1" applyBorder="1" applyAlignment="1">
      <alignment horizontal="left" vertical="center" wrapText="1"/>
    </xf>
    <xf numFmtId="179" fontId="43" fillId="21" borderId="26" xfId="2" applyNumberFormat="1" applyFont="1" applyFill="1" applyBorder="1" applyAlignment="1">
      <alignment horizontal="left" vertical="center" wrapText="1"/>
    </xf>
    <xf numFmtId="0" fontId="37" fillId="21" borderId="0" xfId="0" applyFont="1" applyFill="1" applyAlignment="1">
      <alignment horizontal="center" vertical="center"/>
    </xf>
    <xf numFmtId="0" fontId="37" fillId="22" borderId="29" xfId="0" applyFont="1" applyFill="1" applyBorder="1" applyAlignment="1">
      <alignment horizontal="center" vertical="center"/>
    </xf>
    <xf numFmtId="179" fontId="43" fillId="21" borderId="30" xfId="2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3" applyNumberFormat="1" applyFont="1" applyFill="1" applyBorder="1" applyAlignment="1">
      <alignment vertical="center" wrapText="1"/>
    </xf>
    <xf numFmtId="41" fontId="4" fillId="12" borderId="0" xfId="3" applyFont="1" applyFill="1">
      <alignment vertical="center"/>
    </xf>
    <xf numFmtId="3" fontId="11" fillId="27" borderId="0" xfId="0" applyNumberFormat="1" applyFont="1" applyFill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3" fontId="11" fillId="26" borderId="0" xfId="0" applyNumberFormat="1" applyFont="1" applyFill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41" fontId="19" fillId="26" borderId="2" xfId="2" applyFont="1" applyFill="1" applyBorder="1" applyAlignment="1">
      <alignment horizontal="left" vertical="center" wrapText="1"/>
    </xf>
    <xf numFmtId="0" fontId="21" fillId="26" borderId="4" xfId="1" applyFont="1" applyFill="1" applyBorder="1" applyAlignment="1">
      <alignment horizontal="center" vertical="center"/>
    </xf>
    <xf numFmtId="0" fontId="21" fillId="26" borderId="4" xfId="1" applyFont="1" applyFill="1" applyBorder="1" applyAlignment="1">
      <alignment horizontal="center" vertical="center" wrapText="1"/>
    </xf>
    <xf numFmtId="0" fontId="21" fillId="26" borderId="4" xfId="1" applyFont="1" applyFill="1" applyBorder="1" applyAlignment="1">
      <alignment vertical="center" wrapText="1"/>
    </xf>
    <xf numFmtId="179" fontId="41" fillId="26" borderId="1" xfId="2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1" fontId="5" fillId="26" borderId="2" xfId="2" applyFont="1" applyFill="1" applyBorder="1" applyAlignment="1">
      <alignment horizontal="left" vertical="center" wrapText="1"/>
    </xf>
    <xf numFmtId="0" fontId="4" fillId="26" borderId="4" xfId="1" applyFont="1" applyFill="1" applyBorder="1" applyAlignment="1">
      <alignment horizontal="center" vertical="center"/>
    </xf>
    <xf numFmtId="0" fontId="4" fillId="26" borderId="4" xfId="1" applyFont="1" applyFill="1" applyBorder="1" applyAlignment="1">
      <alignment vertical="center" wrapText="1"/>
    </xf>
    <xf numFmtId="179" fontId="2" fillId="26" borderId="1" xfId="2" applyNumberFormat="1" applyFont="1" applyFill="1" applyBorder="1" applyAlignment="1">
      <alignment horizontal="center" vertical="center" wrapText="1"/>
    </xf>
    <xf numFmtId="0" fontId="45" fillId="26" borderId="4" xfId="1" applyFont="1" applyFill="1" applyBorder="1" applyAlignment="1">
      <alignment vertical="center" wrapText="1"/>
    </xf>
    <xf numFmtId="0" fontId="37" fillId="28" borderId="29" xfId="0" applyFont="1" applyFill="1" applyBorder="1" applyAlignment="1">
      <alignment horizontal="center" vertical="center"/>
    </xf>
    <xf numFmtId="0" fontId="37" fillId="28" borderId="25" xfId="0" applyFont="1" applyFill="1" applyBorder="1" applyAlignment="1">
      <alignment horizontal="center" vertical="center"/>
    </xf>
    <xf numFmtId="0" fontId="37" fillId="28" borderId="0" xfId="0" applyFont="1" applyFill="1" applyAlignment="1">
      <alignment horizontal="center" vertical="center"/>
    </xf>
    <xf numFmtId="41" fontId="5" fillId="0" borderId="5" xfId="2" applyFont="1" applyBorder="1" applyAlignment="1">
      <alignment horizontal="left" vertical="center" wrapText="1"/>
    </xf>
    <xf numFmtId="41" fontId="2" fillId="0" borderId="43" xfId="2" applyFont="1" applyBorder="1" applyAlignment="1">
      <alignment horizontal="center" vertical="center"/>
    </xf>
    <xf numFmtId="41" fontId="5" fillId="0" borderId="1" xfId="2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92" fontId="2" fillId="0" borderId="1" xfId="2" applyNumberFormat="1" applyFont="1" applyBorder="1" applyAlignment="1">
      <alignment horizontal="center" vertical="center"/>
    </xf>
    <xf numFmtId="41" fontId="5" fillId="0" borderId="10" xfId="2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10" xfId="1" applyFont="1" applyBorder="1" applyAlignment="1">
      <alignment vertical="center" wrapText="1"/>
    </xf>
    <xf numFmtId="192" fontId="2" fillId="0" borderId="10" xfId="2" applyNumberFormat="1" applyFont="1" applyBorder="1" applyAlignment="1">
      <alignment horizontal="center" vertical="center"/>
    </xf>
    <xf numFmtId="176" fontId="1" fillId="0" borderId="57" xfId="1" applyNumberFormat="1" applyFont="1" applyBorder="1" applyAlignment="1">
      <alignment horizontal="center" vertical="center"/>
    </xf>
    <xf numFmtId="0" fontId="4" fillId="0" borderId="40" xfId="0" applyFont="1" applyBorder="1">
      <alignment vertical="center"/>
    </xf>
    <xf numFmtId="0" fontId="5" fillId="0" borderId="60" xfId="0" applyFont="1" applyBorder="1">
      <alignment vertical="center"/>
    </xf>
    <xf numFmtId="0" fontId="28" fillId="15" borderId="27" xfId="0" applyFont="1" applyFill="1" applyBorder="1" applyAlignment="1">
      <alignment horizontal="center" vertical="center"/>
    </xf>
    <xf numFmtId="0" fontId="28" fillId="15" borderId="31" xfId="0" applyFont="1" applyFill="1" applyBorder="1" applyAlignment="1">
      <alignment horizontal="center" vertical="center"/>
    </xf>
    <xf numFmtId="0" fontId="28" fillId="15" borderId="28" xfId="0" applyFont="1" applyFill="1" applyBorder="1" applyAlignment="1">
      <alignment horizontal="center" vertical="center"/>
    </xf>
    <xf numFmtId="193" fontId="30" fillId="18" borderId="47" xfId="0" applyNumberFormat="1" applyFont="1" applyFill="1" applyBorder="1" applyAlignment="1">
      <alignment horizontal="center" vertical="center"/>
    </xf>
    <xf numFmtId="193" fontId="30" fillId="18" borderId="33" xfId="0" applyNumberFormat="1" applyFont="1" applyFill="1" applyBorder="1" applyAlignment="1">
      <alignment horizontal="center" vertical="center"/>
    </xf>
    <xf numFmtId="193" fontId="30" fillId="18" borderId="32" xfId="0" applyNumberFormat="1" applyFont="1" applyFill="1" applyBorder="1" applyAlignment="1">
      <alignment horizontal="center" vertical="center"/>
    </xf>
    <xf numFmtId="193" fontId="30" fillId="18" borderId="34" xfId="0" applyNumberFormat="1" applyFont="1" applyFill="1" applyBorder="1" applyAlignment="1">
      <alignment horizontal="center" vertical="center"/>
    </xf>
    <xf numFmtId="193" fontId="30" fillId="18" borderId="48" xfId="0" applyNumberFormat="1" applyFont="1" applyFill="1" applyBorder="1" applyAlignment="1">
      <alignment horizontal="center" vertical="center"/>
    </xf>
    <xf numFmtId="194" fontId="32" fillId="19" borderId="50" xfId="0" applyNumberFormat="1" applyFont="1" applyFill="1" applyBorder="1" applyAlignment="1">
      <alignment horizontal="center" vertical="center"/>
    </xf>
    <xf numFmtId="194" fontId="32" fillId="19" borderId="11" xfId="0" applyNumberFormat="1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center" vertical="center"/>
    </xf>
    <xf numFmtId="0" fontId="31" fillId="21" borderId="29" xfId="0" applyFont="1" applyFill="1" applyBorder="1" applyAlignment="1">
      <alignment horizontal="center" vertical="center"/>
    </xf>
    <xf numFmtId="194" fontId="3" fillId="19" borderId="24" xfId="0" applyNumberFormat="1" applyFont="1" applyFill="1" applyBorder="1" applyAlignment="1">
      <alignment horizontal="center" vertical="center"/>
    </xf>
    <xf numFmtId="194" fontId="3" fillId="19" borderId="37" xfId="0" applyNumberFormat="1" applyFont="1" applyFill="1" applyBorder="1" applyAlignment="1">
      <alignment horizontal="center" vertical="center"/>
    </xf>
    <xf numFmtId="0" fontId="31" fillId="21" borderId="19" xfId="0" applyFont="1" applyFill="1" applyBorder="1" applyAlignment="1">
      <alignment horizontal="center" vertical="center"/>
    </xf>
    <xf numFmtId="0" fontId="31" fillId="21" borderId="18" xfId="0" applyFont="1" applyFill="1" applyBorder="1" applyAlignment="1">
      <alignment horizontal="center" vertical="center"/>
    </xf>
    <xf numFmtId="0" fontId="31" fillId="21" borderId="20" xfId="0" applyFont="1" applyFill="1" applyBorder="1" applyAlignment="1">
      <alignment horizontal="center" vertical="center"/>
    </xf>
    <xf numFmtId="0" fontId="31" fillId="20" borderId="32" xfId="0" applyFont="1" applyFill="1" applyBorder="1" applyAlignment="1">
      <alignment horizontal="center" vertical="center" wrapText="1"/>
    </xf>
    <xf numFmtId="0" fontId="31" fillId="20" borderId="33" xfId="0" applyFont="1" applyFill="1" applyBorder="1" applyAlignment="1">
      <alignment horizontal="center" vertical="center" wrapText="1"/>
    </xf>
    <xf numFmtId="0" fontId="31" fillId="20" borderId="34" xfId="0" applyFont="1" applyFill="1" applyBorder="1" applyAlignment="1">
      <alignment horizontal="center" vertical="center" wrapText="1"/>
    </xf>
    <xf numFmtId="194" fontId="32" fillId="19" borderId="36" xfId="0" applyNumberFormat="1" applyFont="1" applyFill="1" applyBorder="1" applyAlignment="1">
      <alignment horizontal="center" vertical="center"/>
    </xf>
    <xf numFmtId="194" fontId="32" fillId="19" borderId="37" xfId="0" applyNumberFormat="1" applyFont="1" applyFill="1" applyBorder="1" applyAlignment="1">
      <alignment horizontal="center" vertical="center"/>
    </xf>
    <xf numFmtId="194" fontId="3" fillId="19" borderId="50" xfId="0" applyNumberFormat="1" applyFont="1" applyFill="1" applyBorder="1" applyAlignment="1">
      <alignment horizontal="center" vertical="center"/>
    </xf>
    <xf numFmtId="194" fontId="3" fillId="19" borderId="11" xfId="0" applyNumberFormat="1" applyFont="1" applyFill="1" applyBorder="1" applyAlignment="1">
      <alignment horizontal="center" vertical="center"/>
    </xf>
    <xf numFmtId="194" fontId="44" fillId="19" borderId="24" xfId="0" applyNumberFormat="1" applyFont="1" applyFill="1" applyBorder="1" applyAlignment="1">
      <alignment horizontal="center" vertical="center"/>
    </xf>
    <xf numFmtId="194" fontId="44" fillId="19" borderId="37" xfId="0" applyNumberFormat="1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176" fontId="2" fillId="14" borderId="19" xfId="1" applyNumberFormat="1" applyFont="1" applyFill="1" applyBorder="1" applyAlignment="1">
      <alignment horizontal="center" vertical="center" wrapText="1"/>
    </xf>
    <xf numFmtId="176" fontId="2" fillId="14" borderId="18" xfId="1" applyNumberFormat="1" applyFont="1" applyFill="1" applyBorder="1" applyAlignment="1">
      <alignment horizontal="center" vertical="center" wrapText="1"/>
    </xf>
    <xf numFmtId="176" fontId="2" fillId="14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6" borderId="19" xfId="1" applyNumberFormat="1" applyFont="1" applyFill="1" applyBorder="1" applyAlignment="1">
      <alignment horizontal="center" vertical="center" wrapText="1"/>
    </xf>
    <xf numFmtId="176" fontId="2" fillId="6" borderId="18" xfId="1" applyNumberFormat="1" applyFont="1" applyFill="1" applyBorder="1" applyAlignment="1">
      <alignment horizontal="center" vertical="center" wrapText="1"/>
    </xf>
    <xf numFmtId="176" fontId="2" fillId="6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2" fillId="27" borderId="19" xfId="1" applyNumberFormat="1" applyFont="1" applyFill="1" applyBorder="1" applyAlignment="1">
      <alignment horizontal="center" vertical="center" wrapText="1"/>
    </xf>
    <xf numFmtId="176" fontId="2" fillId="27" borderId="18" xfId="1" applyNumberFormat="1" applyFont="1" applyFill="1" applyBorder="1" applyAlignment="1">
      <alignment horizontal="center" vertical="center" wrapText="1"/>
    </xf>
    <xf numFmtId="176" fontId="2" fillId="27" borderId="20" xfId="1" applyNumberFormat="1" applyFont="1" applyFill="1" applyBorder="1" applyAlignment="1">
      <alignment horizontal="center" vertical="center" wrapText="1"/>
    </xf>
    <xf numFmtId="176" fontId="41" fillId="6" borderId="12" xfId="1" applyNumberFormat="1" applyFont="1" applyFill="1" applyBorder="1" applyAlignment="1">
      <alignment horizontal="center" vertical="center" wrapText="1"/>
    </xf>
    <xf numFmtId="176" fontId="41" fillId="6" borderId="38" xfId="1" applyNumberFormat="1" applyFont="1" applyFill="1" applyBorder="1" applyAlignment="1">
      <alignment horizontal="center" vertical="center" wrapText="1"/>
    </xf>
    <xf numFmtId="176" fontId="2" fillId="14" borderId="25" xfId="1" applyNumberFormat="1" applyFont="1" applyFill="1" applyBorder="1" applyAlignment="1">
      <alignment horizontal="center" vertical="center" wrapText="1"/>
    </xf>
    <xf numFmtId="176" fontId="2" fillId="14" borderId="29" xfId="1" applyNumberFormat="1" applyFont="1" applyFill="1" applyBorder="1" applyAlignment="1">
      <alignment horizontal="center" vertical="center" wrapText="1"/>
    </xf>
    <xf numFmtId="176" fontId="1" fillId="0" borderId="50" xfId="1" applyNumberFormat="1" applyFont="1" applyBorder="1" applyAlignment="1">
      <alignment horizontal="center" vertical="center"/>
    </xf>
    <xf numFmtId="176" fontId="1" fillId="0" borderId="59" xfId="1" applyNumberFormat="1" applyFont="1" applyBorder="1" applyAlignment="1">
      <alignment horizontal="center" vertical="center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00000000-0005-0000-0000-00000E000000}"/>
    <cellStyle name="표준 3" xfId="8" xr:uid="{00000000-0005-0000-0000-00000F000000}"/>
  </cellStyles>
  <dxfs count="8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72F688"/>
      <color rgb="FFFF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3"/>
  <sheetViews>
    <sheetView tabSelected="1" topLeftCell="A19" zoomScale="70" zoomScaleNormal="70" workbookViewId="0">
      <selection activeCell="N50" sqref="N50"/>
    </sheetView>
  </sheetViews>
  <sheetFormatPr defaultRowHeight="16.5"/>
  <cols>
    <col min="1" max="1" width="6.625" customWidth="1"/>
    <col min="2" max="2" width="15.75" style="168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5.625" customWidth="1"/>
    <col min="13" max="13" width="23.875" customWidth="1"/>
    <col min="14" max="14" width="18.25" customWidth="1"/>
    <col min="15" max="15" width="18.75" customWidth="1"/>
    <col min="17" max="17" width="11.75" bestFit="1" customWidth="1"/>
  </cols>
  <sheetData>
    <row r="1" spans="1:14" ht="120" customHeight="1" thickBot="1">
      <c r="A1" s="307" t="s">
        <v>2044</v>
      </c>
      <c r="B1" s="308"/>
      <c r="C1" s="308"/>
      <c r="D1" s="308"/>
      <c r="E1" s="308"/>
      <c r="F1" s="308"/>
      <c r="G1" s="308"/>
      <c r="H1" s="308"/>
      <c r="I1" s="308"/>
      <c r="J1" s="308"/>
      <c r="K1" s="309"/>
    </row>
    <row r="2" spans="1:14" ht="24.95" customHeight="1" thickBot="1">
      <c r="A2" s="221" t="s">
        <v>907</v>
      </c>
      <c r="B2" s="310" t="s">
        <v>908</v>
      </c>
      <c r="C2" s="311"/>
      <c r="D2" s="312" t="s">
        <v>909</v>
      </c>
      <c r="E2" s="313"/>
      <c r="F2" s="311" t="s">
        <v>910</v>
      </c>
      <c r="G2" s="314"/>
      <c r="H2" s="310" t="s">
        <v>911</v>
      </c>
      <c r="I2" s="314"/>
      <c r="J2" s="310" t="s">
        <v>912</v>
      </c>
      <c r="K2" s="313"/>
      <c r="M2" t="s">
        <v>2275</v>
      </c>
      <c r="N2" s="275" t="s">
        <v>1235</v>
      </c>
    </row>
    <row r="3" spans="1:14" ht="24.95" customHeight="1">
      <c r="A3" s="224" t="s">
        <v>913</v>
      </c>
      <c r="B3" s="315"/>
      <c r="C3" s="316"/>
      <c r="D3" s="315"/>
      <c r="E3" s="316"/>
      <c r="F3" s="315">
        <v>46204</v>
      </c>
      <c r="G3" s="316"/>
      <c r="H3" s="315">
        <v>46205</v>
      </c>
      <c r="I3" s="316"/>
      <c r="J3" s="315">
        <v>46206</v>
      </c>
      <c r="K3" s="316"/>
      <c r="M3" t="s">
        <v>2281</v>
      </c>
      <c r="N3" s="275" t="s">
        <v>1750</v>
      </c>
    </row>
    <row r="4" spans="1:14" ht="20.100000000000001" customHeight="1" thickBot="1">
      <c r="A4" s="225" t="s">
        <v>915</v>
      </c>
      <c r="B4" s="262" t="s">
        <v>916</v>
      </c>
      <c r="C4" s="263" t="s">
        <v>917</v>
      </c>
      <c r="D4" s="210" t="s">
        <v>916</v>
      </c>
      <c r="E4" s="209" t="s">
        <v>917</v>
      </c>
      <c r="F4" s="210" t="s">
        <v>916</v>
      </c>
      <c r="G4" s="211" t="s">
        <v>917</v>
      </c>
      <c r="H4" s="207" t="s">
        <v>916</v>
      </c>
      <c r="I4" s="212" t="s">
        <v>917</v>
      </c>
      <c r="J4" s="207" t="s">
        <v>916</v>
      </c>
      <c r="K4" s="212" t="s">
        <v>917</v>
      </c>
      <c r="M4" t="s">
        <v>2150</v>
      </c>
      <c r="N4" s="275" t="s">
        <v>1380</v>
      </c>
    </row>
    <row r="5" spans="1:14" ht="20.100000000000001" customHeight="1">
      <c r="A5" s="317" t="s">
        <v>1622</v>
      </c>
      <c r="B5" s="235"/>
      <c r="C5" s="266" t="str">
        <f>IFERROR(INDEX(온라인_반찬!$C$2:$I$605,MATCH($B5,온라인_반찬!$C$2:$C$605,0),7),"")</f>
        <v/>
      </c>
      <c r="D5" s="175"/>
      <c r="E5" s="267" t="str">
        <f>IFERROR(INDEX(온라인_반찬!$C$2:$I$605,MATCH($D5,온라인_반찬!$C$2:$C$605,0),7),"")</f>
        <v/>
      </c>
      <c r="F5" s="175" t="s">
        <v>1805</v>
      </c>
      <c r="G5" s="267">
        <f>IFERROR(INDEX(온라인_반찬!$C$2:$I$605,MATCH($F5,온라인_반찬!$C$2:$C$605,0),7),"")</f>
        <v>0</v>
      </c>
      <c r="H5" s="175" t="s">
        <v>235</v>
      </c>
      <c r="I5" s="267">
        <f>IFERROR(INDEX(온라인_반찬!$C$2:$I$605,MATCH($H5,온라인_반찬!$C$2:$C$605,0),7),"")</f>
        <v>0</v>
      </c>
      <c r="J5" s="169" t="s">
        <v>1807</v>
      </c>
      <c r="K5" s="267">
        <f>IFERROR(INDEX(온라인_반찬!$C$2:$I$605,MATCH($J5,온라인_반찬!$C$2:$C$605,0),7),"")</f>
        <v>0</v>
      </c>
      <c r="M5" t="s">
        <v>2279</v>
      </c>
      <c r="N5" s="275" t="s">
        <v>1478</v>
      </c>
    </row>
    <row r="6" spans="1:14" ht="20.100000000000001" customHeight="1">
      <c r="A6" s="318"/>
      <c r="B6" s="175"/>
      <c r="C6" s="267" t="str">
        <f>IFERROR(INDEX(온라인_반찬!$C$2:$I$605,MATCH($B6,온라인_반찬!$C$2:$C$605,0),7),"")</f>
        <v/>
      </c>
      <c r="D6" s="169"/>
      <c r="E6" s="267" t="str">
        <f>IFERROR(INDEX(온라인_반찬!$C$2:$I$605,MATCH($D6,온라인_반찬!$C$2:$C$605,0),7),"")</f>
        <v/>
      </c>
      <c r="F6" s="268" t="s">
        <v>2136</v>
      </c>
      <c r="G6" s="267" t="str">
        <f>IFERROR(INDEX(온라인_반찬!$C$2:$I$605,MATCH($F6,온라인_반찬!$C$2:$C$605,0),7),"")</f>
        <v>.5.6.9.10.21.</v>
      </c>
      <c r="H6" s="169" t="s">
        <v>2048</v>
      </c>
      <c r="I6" s="267" t="str">
        <f>IFERROR(INDEX(온라인_반찬!$C$2:$I$605,MATCH($H6,온라인_반찬!$C$2:$C$605,0),7),"")</f>
        <v>.5.15.21.</v>
      </c>
      <c r="J6" s="169" t="s">
        <v>2051</v>
      </c>
      <c r="K6" s="267" t="str">
        <f>IFERROR(INDEX(온라인_반찬!$C$2:$I$605,MATCH($J6,온라인_반찬!$C$2:$C$605,0),7),"")</f>
        <v>.2.5.6.12.16.21.</v>
      </c>
      <c r="M6" t="s">
        <v>2283</v>
      </c>
      <c r="N6" s="275" t="s">
        <v>526</v>
      </c>
    </row>
    <row r="7" spans="1:14" ht="20.100000000000001" customHeight="1">
      <c r="A7" s="318"/>
      <c r="B7" s="175"/>
      <c r="C7" s="267" t="str">
        <f>IFERROR(INDEX(온라인_반찬!$C$2:$I$605,MATCH($B7,온라인_반찬!$C$2:$C$605,0),7),"")</f>
        <v/>
      </c>
      <c r="D7" s="169"/>
      <c r="E7" s="267" t="str">
        <f>IFERROR(INDEX(온라인_반찬!$C$2:$I$605,MATCH($D7,온라인_반찬!$C$2:$C$605,0),7),"")</f>
        <v/>
      </c>
      <c r="F7" s="268" t="s">
        <v>2046</v>
      </c>
      <c r="G7" s="267" t="str">
        <f>IFERROR(INDEX(온라인_반찬!$C$2:$I$605,MATCH($F7,온라인_반찬!$C$2:$C$605,0),7),"")</f>
        <v>.5.21.</v>
      </c>
      <c r="H7" s="171" t="s">
        <v>2049</v>
      </c>
      <c r="I7" s="267" t="str">
        <f>IFERROR(INDEX(온라인_반찬!$C$2:$I$605,MATCH($H7,온라인_반찬!$C$2:$C$605,0),7),"")</f>
        <v>.2.5.6.8.9.17.18.</v>
      </c>
      <c r="J7" s="169" t="s">
        <v>2137</v>
      </c>
      <c r="K7" s="267" t="str">
        <f>IFERROR(INDEX(온라인_반찬!$C$2:$I$605,MATCH($J7,온라인_반찬!$C$2:$C$605,0),7),"")</f>
        <v>.1.5.6.21.</v>
      </c>
      <c r="L7" s="239"/>
      <c r="M7" s="239" t="s">
        <v>2284</v>
      </c>
      <c r="N7" s="276" t="s">
        <v>1181</v>
      </c>
    </row>
    <row r="8" spans="1:14" ht="20.100000000000001" customHeight="1">
      <c r="A8" s="318"/>
      <c r="B8" s="175"/>
      <c r="C8" s="267" t="str">
        <f>IFERROR(INDEX(온라인_반찬!$C$2:$I$605,MATCH($B8,온라인_반찬!$C$2:$C$605,0),7),"")</f>
        <v/>
      </c>
      <c r="D8" s="169"/>
      <c r="E8" s="267" t="str">
        <f>IFERROR(INDEX(온라인_반찬!$C$2:$I$605,MATCH($D8,온라인_반찬!$C$2:$C$605,0),7),"")</f>
        <v/>
      </c>
      <c r="F8" s="268" t="s">
        <v>386</v>
      </c>
      <c r="G8" s="267" t="str">
        <f>IFERROR(INDEX(온라인_반찬!$C$2:$I$605,MATCH($F8,온라인_반찬!$C$2:$C$605,0),7),"")</f>
        <v>.5.21.</v>
      </c>
      <c r="H8" s="171" t="s">
        <v>385</v>
      </c>
      <c r="I8" s="267" t="str">
        <f>IFERROR(INDEX(온라인_반찬!$C$2:$I$605,MATCH($H8,온라인_반찬!$C$2:$C$605,0),7),"")</f>
        <v>.5.21.</v>
      </c>
      <c r="J8" s="169" t="s">
        <v>2053</v>
      </c>
      <c r="K8" s="267" t="str">
        <f>IFERROR(INDEX(온라인_반찬!$C$2:$I$605,MATCH($J8,온라인_반찬!$C$2:$C$605,0),7),"")</f>
        <v>.21.</v>
      </c>
      <c r="L8" s="239"/>
      <c r="M8" s="239" t="s">
        <v>2276</v>
      </c>
      <c r="N8" s="275" t="s">
        <v>576</v>
      </c>
    </row>
    <row r="9" spans="1:14" ht="20.100000000000001" customHeight="1">
      <c r="A9" s="318"/>
      <c r="B9" s="175"/>
      <c r="C9" s="267" t="str">
        <f>IFERROR(INDEX(온라인_반찬!$C$2:$I$605,MATCH($B9,온라인_반찬!$C$2:$C$605,0),7),"")</f>
        <v/>
      </c>
      <c r="D9" s="169"/>
      <c r="E9" s="267" t="str">
        <f>IFERROR(INDEX(온라인_반찬!$C$2:$I$605,MATCH($D9,온라인_반찬!$C$2:$C$605,0),7),"")</f>
        <v/>
      </c>
      <c r="F9" s="268" t="s">
        <v>1806</v>
      </c>
      <c r="G9" s="267">
        <f>IFERROR(INDEX(온라인_반찬!$C$2:$I$605,MATCH($F9,온라인_반찬!$C$2:$C$605,0),7),"")</f>
        <v>0</v>
      </c>
      <c r="H9" s="171" t="s">
        <v>191</v>
      </c>
      <c r="I9" s="267" t="str">
        <f>IFERROR(INDEX(온라인_반찬!$C$2:$I$605,MATCH($H9,온라인_반찬!$C$2:$C$605,0),7),"")</f>
        <v>.6.9.</v>
      </c>
      <c r="J9" s="169" t="s">
        <v>291</v>
      </c>
      <c r="K9" s="267" t="str">
        <f>IFERROR(INDEX(온라인_반찬!$C$2:$I$605,MATCH($J9,온라인_반찬!$C$2:$C$605,0),7),"")</f>
        <v>.9.12.</v>
      </c>
      <c r="L9" s="239"/>
      <c r="M9" s="239" t="s">
        <v>2280</v>
      </c>
      <c r="N9" s="275" t="s">
        <v>1485</v>
      </c>
    </row>
    <row r="10" spans="1:14" ht="20.100000000000001" customHeight="1">
      <c r="A10" s="318"/>
      <c r="B10" s="175"/>
      <c r="C10" s="267" t="str">
        <f>IFERROR(INDEX(온라인_반찬!$C$2:$I$605,MATCH($B10,온라인_반찬!$C$2:$C$605,0),7),"")</f>
        <v/>
      </c>
      <c r="D10" s="169"/>
      <c r="E10" s="267" t="str">
        <f>IFERROR(INDEX(온라인_반찬!$C$2:$I$605,MATCH($D10,온라인_반찬!$C$2:$C$605,0),7),"")</f>
        <v/>
      </c>
      <c r="F10" s="268" t="s">
        <v>2047</v>
      </c>
      <c r="G10" s="267" t="str">
        <f>IFERROR(INDEX(온라인_반찬!$C$2:$I$605,MATCH($F10,온라인_반찬!$C$2:$C$605,0),7),"")</f>
        <v>.1.5.21.</v>
      </c>
      <c r="H10" s="171" t="s">
        <v>2050</v>
      </c>
      <c r="I10" s="267" t="str">
        <f>IFERROR(INDEX(온라인_반찬!$C$2:$I$605,MATCH($H10,온라인_반찬!$C$2:$C$605,0),7),"")</f>
        <v>.5.</v>
      </c>
      <c r="J10" s="169" t="s">
        <v>2054</v>
      </c>
      <c r="K10" s="267" t="str">
        <f>IFERROR(INDEX(온라인_반찬!$C$2:$I$605,MATCH($J10,온라인_반찬!$C$2:$C$605,0),7),"")</f>
        <v>.5.</v>
      </c>
      <c r="L10" s="239"/>
      <c r="M10" s="239" t="s">
        <v>2153</v>
      </c>
      <c r="N10" s="275" t="s">
        <v>1269</v>
      </c>
    </row>
    <row r="11" spans="1:14" ht="20.100000000000001" customHeight="1">
      <c r="A11" s="318"/>
      <c r="B11" s="175"/>
      <c r="C11" s="267" t="str">
        <f>IFERROR(INDEX(온라인_반찬!$C$2:$I$605,MATCH($B11,온라인_반찬!$C$2:$C$605,0),7),"")</f>
        <v/>
      </c>
      <c r="D11" s="169"/>
      <c r="E11" s="267" t="str">
        <f>IFERROR(INDEX(온라인_반찬!$C$2:$I$605,MATCH($D11,온라인_반찬!$C$2:$C$605,0),7),"")</f>
        <v/>
      </c>
      <c r="F11" s="268"/>
      <c r="G11" s="267" t="str">
        <f>IFERROR(INDEX(온라인_반찬!$C$2:$I$605,MATCH($F11,온라인_반찬!$C$2:$C$605,0),7),"")</f>
        <v/>
      </c>
      <c r="H11" s="169"/>
      <c r="I11" s="267" t="str">
        <f>IFERROR(INDEX(온라인_반찬!$C$2:$I$605,MATCH($H11,온라인_반찬!$C$2:$C$605,0),7),"")</f>
        <v/>
      </c>
      <c r="J11" s="292"/>
      <c r="K11" s="267" t="str">
        <f>IFERROR(INDEX(온라인_반찬!$C$2:$I$605,MATCH($J11,온라인_반찬!$C$2:$C$605,0),7),"")</f>
        <v/>
      </c>
      <c r="L11" s="239"/>
      <c r="M11" s="239" t="s">
        <v>2282</v>
      </c>
      <c r="N11" s="275" t="s">
        <v>1343</v>
      </c>
    </row>
    <row r="12" spans="1:14" ht="19.5" customHeight="1" thickBot="1">
      <c r="A12" s="319"/>
      <c r="B12" s="269"/>
      <c r="C12" s="270" t="str">
        <f>IFERROR(INDEX(온라인_반찬!$C$2:$I$605,MATCH($B12,온라인_반찬!$C$2:$C$605,0),7),"")</f>
        <v/>
      </c>
      <c r="D12" s="171"/>
      <c r="E12" s="270"/>
      <c r="F12" s="269"/>
      <c r="G12" s="267"/>
      <c r="H12" s="169"/>
      <c r="I12" s="270"/>
      <c r="J12" s="292"/>
      <c r="K12" s="267" t="str">
        <f>IFERROR(INDEX(온라인_반찬!$C$2:$I$605,MATCH($J12,온라인_반찬!$C$2:$C$605,0),7),"")</f>
        <v/>
      </c>
      <c r="L12" s="239"/>
      <c r="M12" s="239" t="s">
        <v>1267</v>
      </c>
      <c r="N12" s="275" t="s">
        <v>1672</v>
      </c>
    </row>
    <row r="13" spans="1:14" ht="24.95" customHeight="1">
      <c r="A13" s="167" t="s">
        <v>913</v>
      </c>
      <c r="B13" s="315">
        <v>46209</v>
      </c>
      <c r="C13" s="316"/>
      <c r="D13" s="315">
        <v>46210</v>
      </c>
      <c r="E13" s="316"/>
      <c r="F13" s="315">
        <v>46211</v>
      </c>
      <c r="G13" s="316"/>
      <c r="H13" s="315">
        <v>46212</v>
      </c>
      <c r="I13" s="316"/>
      <c r="J13" s="315">
        <v>46213</v>
      </c>
      <c r="K13" s="316"/>
      <c r="M13" t="s">
        <v>2151</v>
      </c>
      <c r="N13" s="275" t="s">
        <v>1266</v>
      </c>
    </row>
    <row r="14" spans="1:14" ht="20.100000000000001" customHeight="1" thickBot="1">
      <c r="A14" s="222" t="s">
        <v>915</v>
      </c>
      <c r="B14" s="208" t="s">
        <v>916</v>
      </c>
      <c r="C14" s="211" t="s">
        <v>917</v>
      </c>
      <c r="D14" s="208" t="s">
        <v>916</v>
      </c>
      <c r="E14" s="211" t="s">
        <v>917</v>
      </c>
      <c r="F14" s="208" t="s">
        <v>916</v>
      </c>
      <c r="G14" s="211" t="s">
        <v>917</v>
      </c>
      <c r="H14" s="208" t="s">
        <v>916</v>
      </c>
      <c r="I14" s="211" t="s">
        <v>917</v>
      </c>
      <c r="J14" s="208" t="s">
        <v>916</v>
      </c>
      <c r="K14" s="209" t="s">
        <v>917</v>
      </c>
      <c r="M14" t="s">
        <v>2152</v>
      </c>
      <c r="N14" s="275" t="s">
        <v>579</v>
      </c>
    </row>
    <row r="15" spans="1:14" ht="20.100000000000001" customHeight="1">
      <c r="A15" s="322" t="s">
        <v>918</v>
      </c>
      <c r="B15" s="235" t="s">
        <v>1807</v>
      </c>
      <c r="C15" s="266">
        <f>IFERROR(INDEX(온라인_반찬!$C$2:$I$605,MATCH($B15,온라인_반찬!$C$2:$C$605,0),7),"")</f>
        <v>0</v>
      </c>
      <c r="D15" s="175" t="s">
        <v>1804</v>
      </c>
      <c r="E15" s="267">
        <f>IFERROR(INDEX(온라인_반찬!$C$2:$I$605,MATCH($D15,온라인_반찬!$C$2:$C$605,0),7),"")</f>
        <v>0</v>
      </c>
      <c r="F15" s="175" t="s">
        <v>1805</v>
      </c>
      <c r="G15" s="267">
        <f>IFERROR(INDEX(온라인_반찬!$C$2:$I$605,MATCH($F15,온라인_반찬!$C$2:$C$605,0),7),"")</f>
        <v>0</v>
      </c>
      <c r="H15" s="169" t="s">
        <v>235</v>
      </c>
      <c r="I15" s="267">
        <f>IFERROR(INDEX(온라인_반찬!$C$2:$I$605,MATCH($H15,온라인_반찬!$C$2:$C$605,0),7),"")</f>
        <v>0</v>
      </c>
      <c r="J15" s="169" t="s">
        <v>1807</v>
      </c>
      <c r="K15" s="267">
        <f>IFERROR(INDEX(온라인_반찬!$C$2:$I$605,MATCH($J15,온라인_반찬!$C$2:$C$605,0),7),"")</f>
        <v>0</v>
      </c>
      <c r="N15" s="275" t="s">
        <v>1252</v>
      </c>
    </row>
    <row r="16" spans="1:14" ht="20.100000000000001" customHeight="1">
      <c r="A16" s="323"/>
      <c r="B16" s="175" t="s">
        <v>2055</v>
      </c>
      <c r="C16" s="267" t="str">
        <f>IFERROR(INDEX(온라인_반찬!$C$2:$I$605,MATCH($B16,온라인_반찬!$C$2:$C$605,0),7),"")</f>
        <v>.1.2.5.6.16.</v>
      </c>
      <c r="D16" s="169" t="s">
        <v>2138</v>
      </c>
      <c r="E16" s="267" t="str">
        <f>IFERROR(INDEX(온라인_반찬!$C$2:$I$605,MATCH($D16,온라인_반찬!$C$2:$C$605,0),7),"")</f>
        <v>.5.6.15.</v>
      </c>
      <c r="F16" s="268" t="s">
        <v>2063</v>
      </c>
      <c r="G16" s="267" t="str">
        <f>IFERROR(INDEX(온라인_반찬!$C$2:$I$605,MATCH($F16,온라인_반찬!$C$2:$C$605,0),7),"")</f>
        <v>.5.16.21.</v>
      </c>
      <c r="H16" s="169" t="s">
        <v>1618</v>
      </c>
      <c r="I16" s="267" t="str">
        <f>IFERROR(INDEX(온라인_반찬!$C$2:$I$605,MATCH($H16,온라인_반찬!$C$2:$C$605,0),7),"")</f>
        <v>.5.10.19.21.</v>
      </c>
      <c r="J16" s="169" t="s">
        <v>2071</v>
      </c>
      <c r="K16" s="267" t="str">
        <f>IFERROR(INDEX(온라인_반찬!$C$2:$I$605,MATCH($J16,온라인_반찬!$C$2:$C$605,0),7),"")</f>
        <v>.5.6.21.</v>
      </c>
      <c r="N16" s="275" t="s">
        <v>815</v>
      </c>
    </row>
    <row r="17" spans="1:15" ht="20.100000000000001" customHeight="1">
      <c r="A17" s="323"/>
      <c r="B17" s="174" t="s">
        <v>2056</v>
      </c>
      <c r="C17" s="267" t="str">
        <f>IFERROR(INDEX(온라인_반찬!$C$2:$I$605,MATCH($B17,온라인_반찬!$C$2:$C$605,0),7),"")</f>
        <v>.2.5.6.10.16.21.</v>
      </c>
      <c r="D17" s="169" t="s">
        <v>2060</v>
      </c>
      <c r="E17" s="267" t="str">
        <f>IFERROR(INDEX(온라인_반찬!$C$2:$I$605,MATCH($D17,온라인_반찬!$C$2:$C$605,0),7),"")</f>
        <v>.5.6.10.16.</v>
      </c>
      <c r="F17" s="268" t="s">
        <v>2064</v>
      </c>
      <c r="G17" s="267" t="str">
        <f>IFERROR(INDEX(온라인_반찬!$C$2:$I$605,MATCH($F17,온라인_반찬!$C$2:$C$605,0),7),"")</f>
        <v>.1.2.</v>
      </c>
      <c r="H17" s="169" t="s">
        <v>2068</v>
      </c>
      <c r="I17" s="267" t="str">
        <f>IFERROR(INDEX(온라인_반찬!$C$2:$I$605,MATCH($H17,온라인_반찬!$C$2:$C$605,0),7),"")</f>
        <v>.5.6.21.</v>
      </c>
      <c r="J17" s="169" t="s">
        <v>396</v>
      </c>
      <c r="K17" s="267" t="str">
        <f>IFERROR(INDEX(온라인_반찬!$C$2:$I$605,MATCH($J17,온라인_반찬!$C$2:$C$605,0),7),"")</f>
        <v>.1.5.21.</v>
      </c>
      <c r="N17" s="275" t="s">
        <v>1517</v>
      </c>
      <c r="O17" s="239"/>
    </row>
    <row r="18" spans="1:15" ht="20.100000000000001" customHeight="1">
      <c r="A18" s="323"/>
      <c r="B18" s="174" t="s">
        <v>2057</v>
      </c>
      <c r="C18" s="267" t="str">
        <f>IFERROR(INDEX(온라인_반찬!$C$2:$I$605,MATCH($B18,온라인_반찬!$C$2:$C$605,0),7),"")</f>
        <v>.5.21.</v>
      </c>
      <c r="D18" s="169" t="s">
        <v>2061</v>
      </c>
      <c r="E18" s="267" t="str">
        <f>IFERROR(INDEX(온라인_반찬!$C$2:$I$605,MATCH($D18,온라인_반찬!$C$2:$C$605,0),7),"")</f>
        <v>.5.21.</v>
      </c>
      <c r="F18" s="268" t="s">
        <v>2065</v>
      </c>
      <c r="G18" s="267" t="str">
        <f>IFERROR(INDEX(온라인_반찬!$C$2:$I$605,MATCH($F18,온라인_반찬!$C$2:$C$605,0),7),"")</f>
        <v>.5.21.</v>
      </c>
      <c r="H18" s="169" t="s">
        <v>2069</v>
      </c>
      <c r="I18" s="267" t="str">
        <f>IFERROR(INDEX(온라인_반찬!$C$2:$I$605,MATCH($H18,온라인_반찬!$C$2:$C$605,0),7),"")</f>
        <v>.5.</v>
      </c>
      <c r="J18" s="169" t="s">
        <v>1808</v>
      </c>
      <c r="K18" s="267" t="str">
        <f>IFERROR(INDEX(온라인_반찬!$C$2:$I$605,MATCH($J18,온라인_반찬!$C$2:$C$605,0),7),"")</f>
        <v>.21.</v>
      </c>
      <c r="N18" s="275" t="s">
        <v>1540</v>
      </c>
    </row>
    <row r="19" spans="1:15" ht="20.100000000000001" customHeight="1">
      <c r="A19" s="323"/>
      <c r="B19" s="174" t="s">
        <v>291</v>
      </c>
      <c r="C19" s="267" t="str">
        <f>IFERROR(INDEX(온라인_반찬!$C$2:$I$605,MATCH($B19,온라인_반찬!$C$2:$C$605,0),7),"")</f>
        <v>.9.12.</v>
      </c>
      <c r="D19" s="169" t="s">
        <v>191</v>
      </c>
      <c r="E19" s="267" t="str">
        <f>IFERROR(INDEX(온라인_반찬!$C$2:$I$605,MATCH($D19,온라인_반찬!$C$2:$C$605,0),7),"")</f>
        <v>.6.9.</v>
      </c>
      <c r="F19" s="268" t="s">
        <v>463</v>
      </c>
      <c r="G19" s="267" t="str">
        <f>IFERROR(INDEX(온라인_반찬!$C$2:$I$605,MATCH($F19,온라인_반찬!$C$2:$C$605,0),7),"")</f>
        <v>.9.</v>
      </c>
      <c r="H19" s="169" t="s">
        <v>191</v>
      </c>
      <c r="I19" s="267" t="str">
        <f>IFERROR(INDEX(온라인_반찬!$C$2:$I$605,MATCH($H19,온라인_반찬!$C$2:$C$605,0),7),"")</f>
        <v>.6.9.</v>
      </c>
      <c r="J19" s="169" t="s">
        <v>463</v>
      </c>
      <c r="K19" s="267" t="str">
        <f>IFERROR(INDEX(온라인_반찬!$C$2:$I$605,MATCH($J19,온라인_반찬!$C$2:$C$605,0),7),"")</f>
        <v>.9.</v>
      </c>
      <c r="N19" s="275" t="s">
        <v>1618</v>
      </c>
    </row>
    <row r="20" spans="1:15" ht="20.100000000000001" customHeight="1">
      <c r="A20" s="323"/>
      <c r="B20" s="174" t="s">
        <v>2058</v>
      </c>
      <c r="C20" s="267" t="str">
        <f>IFERROR(INDEX(온라인_반찬!$C$2:$I$605,MATCH($B20,온라인_반찬!$C$2:$C$605,0),7),"")</f>
        <v>.5.6.</v>
      </c>
      <c r="D20" s="169" t="s">
        <v>2062</v>
      </c>
      <c r="E20" s="267" t="str">
        <f>IFERROR(INDEX(온라인_반찬!$C$2:$I$605,MATCH($D20,온라인_반찬!$C$2:$C$605,0),7),"")</f>
        <v>.5.16.</v>
      </c>
      <c r="F20" s="268" t="s">
        <v>2066</v>
      </c>
      <c r="G20" s="267" t="str">
        <f>IFERROR(INDEX(온라인_반찬!$C$2:$I$605,MATCH($F20,온라인_반찬!$C$2:$C$605,0),7),"")</f>
        <v>.5.</v>
      </c>
      <c r="H20" s="169" t="s">
        <v>2070</v>
      </c>
      <c r="I20" s="267" t="str">
        <f>IFERROR(INDEX(온라인_반찬!$C$2:$I$605,MATCH($H20,온라인_반찬!$C$2:$C$605,0),7),"")</f>
        <v>.5.15.</v>
      </c>
      <c r="J20" s="169" t="s">
        <v>2027</v>
      </c>
      <c r="K20" s="267" t="str">
        <f>IFERROR(INDEX(온라인_반찬!$C$2:$I$605,MATCH($J20,온라인_반찬!$C$2:$C$605,0),7),"")</f>
        <v>.5.10.</v>
      </c>
      <c r="N20" s="275" t="s">
        <v>1394</v>
      </c>
    </row>
    <row r="21" spans="1:15" ht="20.100000000000001" customHeight="1">
      <c r="A21" s="323"/>
      <c r="B21" s="175"/>
      <c r="C21" s="267" t="str">
        <f>IFERROR(INDEX(온라인_반찬!$C$2:$I$605,MATCH($B21,온라인_반찬!$C$2:$C$605,0),7),"")</f>
        <v/>
      </c>
      <c r="D21" s="169"/>
      <c r="E21" s="267" t="str">
        <f>IFERROR(INDEX(온라인_반찬!$C$2:$I$605,MATCH($D21,온라인_반찬!$C$2:$C$605,0),7),"")</f>
        <v/>
      </c>
      <c r="F21" s="268"/>
      <c r="G21" s="267" t="str">
        <f>IFERROR(INDEX(온라인_반찬!$C$2:$I$605,MATCH($F21,온라인_반찬!$C$2:$C$605,0),7),"")</f>
        <v/>
      </c>
      <c r="H21" s="169"/>
      <c r="I21" s="267" t="str">
        <f>IFERROR(INDEX(온라인_반찬!$C$2:$I$605,MATCH($H21,온라인_반찬!$C$2:$C$605,0),7),"")</f>
        <v/>
      </c>
      <c r="J21" s="169"/>
      <c r="K21" s="267" t="str">
        <f>IFERROR(INDEX(온라인_반찬!$C$2:$I$605,MATCH($J21,온라인_반찬!$C$2:$C$605,0),7),"")</f>
        <v/>
      </c>
      <c r="N21" s="276" t="s">
        <v>508</v>
      </c>
    </row>
    <row r="22" spans="1:15" ht="20.100000000000001" customHeight="1" thickBot="1">
      <c r="A22" s="324"/>
      <c r="B22" s="269"/>
      <c r="C22" s="270"/>
      <c r="D22" s="171"/>
      <c r="E22" s="270"/>
      <c r="F22" s="290"/>
      <c r="G22" s="267"/>
      <c r="H22" s="169"/>
      <c r="I22" s="270"/>
      <c r="J22" s="292"/>
      <c r="K22" s="267" t="str">
        <f>IFERROR(INDEX(온라인_반찬!$C$2:$I$605,MATCH($J22,온라인_반찬!$C$2:$C$605,0),7),"")</f>
        <v/>
      </c>
      <c r="N22" s="277" t="s">
        <v>1025</v>
      </c>
    </row>
    <row r="23" spans="1:15" ht="24.95" customHeight="1">
      <c r="A23" s="167" t="s">
        <v>913</v>
      </c>
      <c r="B23" s="320">
        <v>46216</v>
      </c>
      <c r="C23" s="321"/>
      <c r="D23" s="320">
        <v>46217</v>
      </c>
      <c r="E23" s="321"/>
      <c r="F23" s="320">
        <v>46218</v>
      </c>
      <c r="G23" s="321"/>
      <c r="H23" s="320">
        <v>46219</v>
      </c>
      <c r="I23" s="321"/>
      <c r="J23" s="320">
        <v>46220</v>
      </c>
      <c r="K23" s="321"/>
      <c r="N23" s="277" t="s">
        <v>1421</v>
      </c>
    </row>
    <row r="24" spans="1:15" ht="20.100000000000001" customHeight="1" thickBot="1">
      <c r="A24" s="222" t="s">
        <v>915</v>
      </c>
      <c r="B24" s="208" t="s">
        <v>916</v>
      </c>
      <c r="C24" s="211" t="s">
        <v>917</v>
      </c>
      <c r="D24" s="208" t="s">
        <v>916</v>
      </c>
      <c r="E24" s="211" t="s">
        <v>917</v>
      </c>
      <c r="F24" s="208" t="s">
        <v>916</v>
      </c>
      <c r="G24" s="211" t="s">
        <v>917</v>
      </c>
      <c r="H24" s="208" t="s">
        <v>916</v>
      </c>
      <c r="I24" s="211" t="s">
        <v>917</v>
      </c>
      <c r="J24" s="208" t="s">
        <v>916</v>
      </c>
      <c r="K24" s="209" t="s">
        <v>917</v>
      </c>
      <c r="N24" s="277" t="s">
        <v>1616</v>
      </c>
    </row>
    <row r="25" spans="1:15" ht="20.100000000000001" customHeight="1">
      <c r="A25" s="322" t="s">
        <v>919</v>
      </c>
      <c r="B25" s="235" t="s">
        <v>1807</v>
      </c>
      <c r="C25" s="266">
        <f>IFERROR(INDEX(온라인_반찬!$C$2:$I$605,MATCH($B25,온라인_반찬!$C$2:$C$605,0),7),"")</f>
        <v>0</v>
      </c>
      <c r="D25" s="175" t="s">
        <v>1804</v>
      </c>
      <c r="E25" s="267">
        <f>IFERROR(INDEX(온라인_반찬!$C$2:$I$605,MATCH($D25,온라인_반찬!$C$2:$C$605,0),7),"")</f>
        <v>0</v>
      </c>
      <c r="F25" s="175" t="s">
        <v>1805</v>
      </c>
      <c r="G25" s="267">
        <f>IFERROR(INDEX(온라인_반찬!$C$2:$I$605,MATCH($F25,온라인_반찬!$C$2:$C$605,0),7),"")</f>
        <v>0</v>
      </c>
      <c r="H25" s="169" t="s">
        <v>1637</v>
      </c>
      <c r="I25" s="194" t="str">
        <f>IFERROR(INDEX(온라인_반찬!$C$2:$I$605,MATCH($H25,온라인_반찬!$C$2:$C$605,0),7),"")</f>
        <v>.1.2.5.18.21.</v>
      </c>
      <c r="J25" s="169"/>
      <c r="K25" s="194" t="str">
        <f>IFERROR(INDEX(온라인_반찬!$C$2:$I$605,MATCH($J25,온라인_반찬!$C$2:$C$605,0),7),"")</f>
        <v/>
      </c>
      <c r="N25" s="277" t="s">
        <v>682</v>
      </c>
    </row>
    <row r="26" spans="1:15" ht="20.100000000000001" customHeight="1">
      <c r="A26" s="323"/>
      <c r="B26" s="175" t="s">
        <v>2086</v>
      </c>
      <c r="C26" s="267" t="str">
        <f>IFERROR(INDEX(온라인_반찬!$C$2:$I$605,MATCH($B26,온라인_반찬!$C$2:$C$605,0),7),"")</f>
        <v>1.5.</v>
      </c>
      <c r="D26" s="169" t="s">
        <v>2139</v>
      </c>
      <c r="E26" s="267" t="s">
        <v>2141</v>
      </c>
      <c r="F26" s="268" t="s">
        <v>2090</v>
      </c>
      <c r="G26" s="267" t="str">
        <f>IFERROR(INDEX(온라인_반찬!$C$2:$I$605,MATCH($F26,온라인_반찬!$C$2:$C$605,0),7),"")</f>
        <v>.5.6.10.21.</v>
      </c>
      <c r="H26" s="171" t="s">
        <v>944</v>
      </c>
      <c r="I26" s="194" t="str">
        <f>IFERROR(INDEX(온라인_반찬!$C$2:$I$605,MATCH($H26,온라인_반찬!$C$2:$C$605,0),7),"")</f>
        <v>.6.</v>
      </c>
      <c r="J26" s="171"/>
      <c r="K26" s="194" t="str">
        <f>IFERROR(INDEX(온라인_반찬!$C$2:$I$605,MATCH($J26,온라인_반찬!$C$2:$C$605,0),7),"")</f>
        <v/>
      </c>
      <c r="N26" s="277" t="s">
        <v>2189</v>
      </c>
    </row>
    <row r="27" spans="1:15" ht="20.100000000000001" customHeight="1">
      <c r="A27" s="323"/>
      <c r="B27" s="174" t="s">
        <v>987</v>
      </c>
      <c r="C27" s="267" t="str">
        <f>IFERROR(INDEX(온라인_반찬!$C$2:$I$605,MATCH($B27,온라인_반찬!$C$2:$C$605,0),7),"")</f>
        <v>.1.5.19.</v>
      </c>
      <c r="D27" s="169" t="s">
        <v>2088</v>
      </c>
      <c r="E27" s="267" t="str">
        <f>IFERROR(INDEX(온라인_반찬!$C$2:$I$605,MATCH($D27,온라인_반찬!$C$2:$C$605,0),7),"")</f>
        <v>.5.6.12.16.21.</v>
      </c>
      <c r="F27" s="268" t="s">
        <v>365</v>
      </c>
      <c r="G27" s="267" t="str">
        <f>IFERROR(INDEX(온라인_반찬!$C$2:$I$605,MATCH($F27,온라인_반찬!$C$2:$C$605,0),7),"")</f>
        <v>.1.2.5.6.16.18.</v>
      </c>
      <c r="H27" s="171" t="s">
        <v>1747</v>
      </c>
      <c r="I27" s="194" t="str">
        <f>IFERROR(INDEX(온라인_반찬!$C$2:$I$605,MATCH($H27,온라인_반찬!$C$2:$C$605,0),7),"")</f>
        <v>.5.10.12.</v>
      </c>
      <c r="J27" s="171"/>
      <c r="K27" s="194" t="str">
        <f>IFERROR(INDEX(온라인_반찬!$C$2:$I$605,MATCH($J27,온라인_반찬!$C$2:$C$605,0),7),"")</f>
        <v/>
      </c>
      <c r="N27" s="277" t="s">
        <v>1340</v>
      </c>
    </row>
    <row r="28" spans="1:15" ht="20.100000000000001" customHeight="1">
      <c r="A28" s="323"/>
      <c r="B28" s="174" t="s">
        <v>2084</v>
      </c>
      <c r="C28" s="267" t="str">
        <f>IFERROR(INDEX(온라인_반찬!$C$2:$I$605,MATCH($B28,온라인_반찬!$C$2:$C$605,0),7),"")</f>
        <v>.5.6.10.12.15.16.</v>
      </c>
      <c r="D28" s="169" t="s">
        <v>2140</v>
      </c>
      <c r="E28" s="267" t="str">
        <f>IFERROR(INDEX(온라인_반찬!$C$2:$I$605,MATCH($D28,온라인_반찬!$C$2:$C$605,0),7),"")</f>
        <v>.5.9.21.</v>
      </c>
      <c r="F28" s="268" t="s">
        <v>1809</v>
      </c>
      <c r="G28" s="267" t="str">
        <f>IFERROR(INDEX(온라인_반찬!$C$2:$I$605,MATCH($F28,온라인_반찬!$C$2:$C$605,0),7),"")</f>
        <v>.5.21.22.</v>
      </c>
      <c r="H28" s="171" t="s">
        <v>2092</v>
      </c>
      <c r="I28" s="194" t="str">
        <f>IFERROR(INDEX(온라인_반찬!$C$2:$I$605,MATCH($H28,온라인_반찬!$C$2:$C$605,0),7),"")</f>
        <v>.1.2.5.6.15.16.</v>
      </c>
      <c r="J28" s="171"/>
      <c r="K28" s="194" t="str">
        <f>IFERROR(INDEX(온라인_반찬!$C$2:$I$605,MATCH($J28,온라인_반찬!$C$2:$C$605,0),7),"")</f>
        <v/>
      </c>
      <c r="N28" s="278" t="s">
        <v>1715</v>
      </c>
    </row>
    <row r="29" spans="1:15" ht="20.100000000000001" customHeight="1">
      <c r="A29" s="323"/>
      <c r="B29" s="174" t="s">
        <v>2085</v>
      </c>
      <c r="C29" s="267" t="str">
        <f>IFERROR(INDEX(온라인_반찬!$C$2:$I$605,MATCH($B29,온라인_반찬!$C$2:$C$605,0),7),"")</f>
        <v>.1.5.</v>
      </c>
      <c r="D29" s="169" t="s">
        <v>1806</v>
      </c>
      <c r="E29" s="267">
        <f>IFERROR(INDEX(온라인_반찬!$C$2:$I$605,MATCH($D29,온라인_반찬!$C$2:$C$605,0),7),"")</f>
        <v>0</v>
      </c>
      <c r="F29" s="268" t="s">
        <v>191</v>
      </c>
      <c r="G29" s="267" t="str">
        <f>IFERROR(INDEX(온라인_반찬!$C$2:$I$605,MATCH($F29,온라인_반찬!$C$2:$C$605,0),7),"")</f>
        <v>.6.9.</v>
      </c>
      <c r="H29" s="171" t="s">
        <v>2093</v>
      </c>
      <c r="I29" s="194" t="str">
        <f>IFERROR(INDEX(온라인_반찬!$C$2:$I$605,MATCH($H29,온라인_반찬!$C$2:$C$605,0),7),"")</f>
        <v>.2.5.6.12.13.</v>
      </c>
      <c r="J29" s="171"/>
      <c r="K29" s="194" t="str">
        <f>IFERROR(INDEX(온라인_반찬!$C$2:$I$605,MATCH($J29,온라인_반찬!$C$2:$C$605,0),7),"")</f>
        <v/>
      </c>
      <c r="N29" s="277" t="s">
        <v>1751</v>
      </c>
    </row>
    <row r="30" spans="1:15" ht="20.100000000000001" customHeight="1">
      <c r="A30" s="323"/>
      <c r="B30" s="174" t="s">
        <v>291</v>
      </c>
      <c r="C30" s="267" t="str">
        <f>IFERROR(INDEX(온라인_반찬!$C$2:$I$605,MATCH($B30,온라인_반찬!$C$2:$C$605,0),7),"")</f>
        <v>.9.12.</v>
      </c>
      <c r="D30" s="169" t="s">
        <v>1568</v>
      </c>
      <c r="E30" s="267" t="str">
        <f>IFERROR(INDEX(온라인_반찬!$C$2:$I$605,MATCH($D30,온라인_반찬!$C$2:$C$605,0),7),"")</f>
        <v>.5.</v>
      </c>
      <c r="F30" s="268" t="s">
        <v>2091</v>
      </c>
      <c r="G30" s="267" t="str">
        <f>IFERROR(INDEX(온라인_반찬!$C$2:$I$605,MATCH($F30,온라인_반찬!$C$2:$C$605,0),7),"")</f>
        <v>.5.15.</v>
      </c>
      <c r="H30" s="171" t="s">
        <v>1863</v>
      </c>
      <c r="I30" s="194">
        <f>IFERROR(INDEX(온라인_반찬!$C$2:$I$605,MATCH($H30,온라인_반찬!$C$2:$C$605,0),7),"")</f>
        <v>0</v>
      </c>
      <c r="J30" s="171"/>
      <c r="K30" s="194" t="str">
        <f>IFERROR(INDEX(온라인_반찬!$C$2:$I$605,MATCH($J30,온라인_반찬!$C$2:$C$605,0),7),"")</f>
        <v/>
      </c>
      <c r="N30" s="277" t="s">
        <v>1617</v>
      </c>
    </row>
    <row r="31" spans="1:15" ht="20.100000000000001" customHeight="1">
      <c r="A31" s="323"/>
      <c r="B31" s="174" t="s">
        <v>1578</v>
      </c>
      <c r="C31" s="267" t="str">
        <f>IFERROR(INDEX(온라인_반찬!$C$2:$I$605,MATCH($B31,온라인_반찬!$C$2:$C$605,0),7),"")</f>
        <v>.5.16.</v>
      </c>
      <c r="D31" s="169"/>
      <c r="E31" s="267" t="str">
        <f>IFERROR(INDEX(온라인_반찬!$C$2:$I$605,MATCH($D31,온라인_반찬!$C$2:$C$605,0),7),"")</f>
        <v/>
      </c>
      <c r="F31" s="268"/>
      <c r="G31" s="267" t="str">
        <f>IFERROR(INDEX(온라인_반찬!$C$2:$I$605,MATCH($F31,온라인_반찬!$C$2:$C$605,0),7),"")</f>
        <v/>
      </c>
      <c r="H31" s="171" t="s">
        <v>1962</v>
      </c>
      <c r="I31" s="194">
        <f>IFERROR(INDEX(온라인_반찬!$C$2:$I$605,MATCH($H31,온라인_반찬!$C$2:$C$605,0),7),"")</f>
        <v>0</v>
      </c>
      <c r="J31" s="171"/>
      <c r="K31" s="194" t="str">
        <f>IFERROR(INDEX(온라인_반찬!$C$2:$I$605,MATCH($J31,온라인_반찬!$C$2:$C$605,0),7),"")</f>
        <v/>
      </c>
      <c r="N31" s="277" t="s">
        <v>1739</v>
      </c>
    </row>
    <row r="32" spans="1:15" ht="20.100000000000001" customHeight="1" thickBot="1">
      <c r="A32" s="324"/>
      <c r="B32" s="269"/>
      <c r="C32" s="270"/>
      <c r="D32" s="171"/>
      <c r="E32" s="270"/>
      <c r="F32" s="290"/>
      <c r="G32" s="267"/>
      <c r="H32" s="169"/>
      <c r="I32" s="270"/>
      <c r="J32" s="169"/>
      <c r="K32" s="267" t="str">
        <f>IFERROR(INDEX(온라인_반찬!$C$2:$I$605,MATCH($J32,온라인_반찬!$C$2:$C$605,0),7),"")</f>
        <v/>
      </c>
      <c r="N32" s="277" t="s">
        <v>1268</v>
      </c>
    </row>
    <row r="33" spans="1:14" ht="24.95" customHeight="1">
      <c r="A33" s="167" t="s">
        <v>913</v>
      </c>
      <c r="B33" s="320">
        <v>46223</v>
      </c>
      <c r="C33" s="321"/>
      <c r="D33" s="320">
        <v>46224</v>
      </c>
      <c r="E33" s="321"/>
      <c r="F33" s="320">
        <v>46225</v>
      </c>
      <c r="G33" s="321"/>
      <c r="H33" s="320">
        <v>46226</v>
      </c>
      <c r="I33" s="321"/>
      <c r="J33" s="320">
        <v>46227</v>
      </c>
      <c r="K33" s="321"/>
      <c r="N33" s="277" t="s">
        <v>1612</v>
      </c>
    </row>
    <row r="34" spans="1:14" ht="20.100000000000001" customHeight="1" thickBot="1">
      <c r="A34" s="222" t="s">
        <v>915</v>
      </c>
      <c r="B34" s="208" t="s">
        <v>916</v>
      </c>
      <c r="C34" s="211" t="s">
        <v>917</v>
      </c>
      <c r="D34" s="208" t="s">
        <v>916</v>
      </c>
      <c r="E34" s="211" t="s">
        <v>917</v>
      </c>
      <c r="F34" s="208" t="s">
        <v>916</v>
      </c>
      <c r="G34" s="211" t="s">
        <v>917</v>
      </c>
      <c r="H34" s="208" t="s">
        <v>916</v>
      </c>
      <c r="I34" s="211" t="s">
        <v>917</v>
      </c>
      <c r="J34" s="208" t="s">
        <v>916</v>
      </c>
      <c r="K34" s="209" t="s">
        <v>917</v>
      </c>
      <c r="N34" s="277" t="s">
        <v>1255</v>
      </c>
    </row>
    <row r="35" spans="1:14" ht="20.100000000000001" customHeight="1">
      <c r="A35" s="322" t="s">
        <v>920</v>
      </c>
      <c r="B35" s="235" t="s">
        <v>1807</v>
      </c>
      <c r="C35" s="264">
        <f>IFERROR(INDEX(온라인_반찬!$C$2:$I$605,MATCH($B35,온라인_반찬!$C$2:$C$605,0),7),"")</f>
        <v>0</v>
      </c>
      <c r="D35" s="175" t="s">
        <v>1804</v>
      </c>
      <c r="E35" s="194">
        <f>IFERROR(INDEX(온라인_반찬!$C$2:$I$605,MATCH($D35,온라인_반찬!$C$2:$C$605,0),7),"")</f>
        <v>0</v>
      </c>
      <c r="F35" s="175" t="s">
        <v>1805</v>
      </c>
      <c r="G35" s="194">
        <f>IFERROR(INDEX(온라인_반찬!$C$2:$I$605,MATCH($F35,온라인_반찬!$C$2:$C$605,0),7),"")</f>
        <v>0</v>
      </c>
      <c r="H35" s="169" t="s">
        <v>235</v>
      </c>
      <c r="I35" s="194">
        <f>IFERROR(INDEX(온라인_반찬!$C$2:$I$605,MATCH($H35,온라인_반찬!$C$2:$C$605,0),7),"")</f>
        <v>0</v>
      </c>
      <c r="J35" s="169" t="s">
        <v>1807</v>
      </c>
      <c r="K35" s="194">
        <f>IFERROR(INDEX(온라인_반찬!$C$2:$I$605,MATCH($J35,온라인_반찬!$C$2:$C$605,0),7),"")</f>
        <v>0</v>
      </c>
      <c r="N35" s="277" t="s">
        <v>1752</v>
      </c>
    </row>
    <row r="36" spans="1:14" ht="20.100000000000001" customHeight="1">
      <c r="A36" s="323"/>
      <c r="B36" s="175" t="s">
        <v>2094</v>
      </c>
      <c r="C36" s="194" t="str">
        <f>IFERROR(INDEX(온라인_반찬!$C$2:$I$605,MATCH($B36,온라인_반찬!$C$2:$C$605,0),7),"")</f>
        <v>.2.5.6.12.16.</v>
      </c>
      <c r="D36" s="169" t="s">
        <v>2097</v>
      </c>
      <c r="E36" s="194" t="str">
        <f>IFERROR(INDEX(온라인_반찬!$C$2:$I$605,MATCH($D36,온라인_반찬!$C$2:$C$605,0),7),"")</f>
        <v>.5.15.21.</v>
      </c>
      <c r="F36" s="170" t="s">
        <v>2101</v>
      </c>
      <c r="G36" s="194" t="str">
        <f>IFERROR(INDEX(온라인_반찬!$C$2:$I$605,MATCH($F36,온라인_반찬!$C$2:$C$605,0),7),"")</f>
        <v>.5.16.21.22.</v>
      </c>
      <c r="H36" s="171" t="s">
        <v>2102</v>
      </c>
      <c r="I36" s="194" t="str">
        <f>IFERROR(INDEX(온라인_반찬!$C$2:$I$605,MATCH($H36,온라인_반찬!$C$2:$C$605,0),7),"")</f>
        <v>.5.6.10.21.</v>
      </c>
      <c r="J36" s="171" t="s">
        <v>2147</v>
      </c>
      <c r="K36" s="194" t="str">
        <f>IFERROR(INDEX(온라인_반찬!$C$2:$I$605,MATCH($J36,온라인_반찬!$C$2:$C$605,0),7),"")</f>
        <v>.1.5.6.10.15.16.</v>
      </c>
    </row>
    <row r="37" spans="1:14" ht="20.100000000000001" customHeight="1">
      <c r="A37" s="323"/>
      <c r="B37" s="174" t="s">
        <v>2095</v>
      </c>
      <c r="C37" s="194" t="str">
        <f>IFERROR(INDEX(온라인_반찬!$C$2:$I$605,MATCH($B37,온라인_반찬!$C$2:$C$605,0),7),"")</f>
        <v>.2.5.6.</v>
      </c>
      <c r="D37" s="171" t="s">
        <v>2145</v>
      </c>
      <c r="E37" s="194" t="s">
        <v>2144</v>
      </c>
      <c r="F37" s="170" t="s">
        <v>340</v>
      </c>
      <c r="G37" s="194" t="str">
        <f>IFERROR(INDEX(온라인_반찬!$C$2:$I$605,MATCH($F37,온라인_반찬!$C$2:$C$605,0),7),"")</f>
        <v>.5.16.21.</v>
      </c>
      <c r="H37" s="171" t="s">
        <v>2103</v>
      </c>
      <c r="I37" s="194" t="str">
        <f>IFERROR(INDEX(온라인_반찬!$C$2:$I$605,MATCH($H37,온라인_반찬!$C$2:$C$605,0),7),"")</f>
        <v>.1.2.5.6.10.15.17.</v>
      </c>
      <c r="J37" s="171" t="s">
        <v>1003</v>
      </c>
      <c r="K37" s="194" t="str">
        <f>IFERROR(INDEX(온라인_반찬!$C$2:$I$605,MATCH($J37,온라인_반찬!$C$2:$C$605,0),7),"")</f>
        <v>.1.2.5.6.10.12.16.</v>
      </c>
    </row>
    <row r="38" spans="1:14" ht="20.100000000000001" customHeight="1">
      <c r="A38" s="323"/>
      <c r="B38" s="174" t="s">
        <v>343</v>
      </c>
      <c r="C38" s="194" t="str">
        <f>IFERROR(INDEX(온라인_반찬!$C$2:$I$605,MATCH($B38,온라인_반찬!$C$2:$C$605,0),7),"")</f>
        <v>.1.5.21.</v>
      </c>
      <c r="D38" s="171" t="s">
        <v>2099</v>
      </c>
      <c r="E38" s="194" t="str">
        <f>IFERROR(INDEX(온라인_반찬!$C$2:$I$605,MATCH($D38,온라인_반찬!$C$2:$C$605,0),7),"")</f>
        <v>.5.21.</v>
      </c>
      <c r="F38" s="170" t="s">
        <v>518</v>
      </c>
      <c r="G38" s="194" t="str">
        <f>IFERROR(INDEX(온라인_반찬!$C$2:$I$605,MATCH($F38,온라인_반찬!$C$2:$C$605,0),7),"")</f>
        <v>.5.</v>
      </c>
      <c r="H38" s="171" t="s">
        <v>405</v>
      </c>
      <c r="I38" s="194" t="str">
        <f>IFERROR(INDEX(온라인_반찬!$C$2:$I$605,MATCH($H38,온라인_반찬!$C$2:$C$605,0),7),"")</f>
        <v>.5.21.</v>
      </c>
      <c r="J38" s="171" t="s">
        <v>1808</v>
      </c>
      <c r="K38" s="194" t="str">
        <f>IFERROR(INDEX(온라인_반찬!$C$2:$I$605,MATCH($J38,온라인_반찬!$C$2:$C$605,0),7),"")</f>
        <v>.21.</v>
      </c>
    </row>
    <row r="39" spans="1:14" ht="20.100000000000001" customHeight="1">
      <c r="A39" s="323"/>
      <c r="B39" s="174" t="s">
        <v>291</v>
      </c>
      <c r="C39" s="194" t="str">
        <f>IFERROR(INDEX(온라인_반찬!$C$2:$I$605,MATCH($B39,온라인_반찬!$C$2:$C$605,0),7),"")</f>
        <v>.9.12.</v>
      </c>
      <c r="D39" s="171" t="s">
        <v>191</v>
      </c>
      <c r="E39" s="194" t="str">
        <f>IFERROR(INDEX(온라인_반찬!$C$2:$I$605,MATCH($D39,온라인_반찬!$C$2:$C$605,0),7),"")</f>
        <v>.6.9.</v>
      </c>
      <c r="F39" s="170" t="s">
        <v>1896</v>
      </c>
      <c r="G39" s="194" t="str">
        <f>IFERROR(INDEX(온라인_반찬!$C$2:$I$605,MATCH($F39,온라인_반찬!$C$2:$C$605,0),7),"")</f>
        <v>.5.21.</v>
      </c>
      <c r="H39" s="171" t="s">
        <v>191</v>
      </c>
      <c r="I39" s="194" t="str">
        <f>IFERROR(INDEX(온라인_반찬!$C$2:$I$605,MATCH($H39,온라인_반찬!$C$2:$C$605,0),7),"")</f>
        <v>.6.9.</v>
      </c>
      <c r="J39" s="171" t="s">
        <v>291</v>
      </c>
      <c r="K39" s="194" t="str">
        <f>IFERROR(INDEX(온라인_반찬!$C$2:$I$605,MATCH($J39,온라인_반찬!$C$2:$C$605,0),7),"")</f>
        <v>.9.12.</v>
      </c>
    </row>
    <row r="40" spans="1:14" ht="20.100000000000001" customHeight="1">
      <c r="A40" s="323"/>
      <c r="B40" s="174" t="s">
        <v>2096</v>
      </c>
      <c r="C40" s="194" t="str">
        <f>IFERROR(INDEX(온라인_반찬!$C$2:$I$605,MATCH($B40,온라인_반찬!$C$2:$C$605,0),7),"")</f>
        <v>.1.2.5.6.10.16.21.</v>
      </c>
      <c r="D40" s="171" t="s">
        <v>2100</v>
      </c>
      <c r="E40" s="194" t="str">
        <f>IFERROR(INDEX(온라인_반찬!$C$2:$I$605,MATCH($D40,온라인_반찬!$C$2:$C$605,0),7),"")</f>
        <v>.2.5.6.9.12.16.</v>
      </c>
      <c r="F40" s="170" t="s">
        <v>1806</v>
      </c>
      <c r="G40" s="194">
        <f>IFERROR(INDEX(온라인_반찬!$C$2:$I$605,MATCH($F40,온라인_반찬!$C$2:$C$605,0),7),"")</f>
        <v>0</v>
      </c>
      <c r="H40" s="171" t="s">
        <v>2104</v>
      </c>
      <c r="I40" s="194" t="str">
        <f>IFERROR(INDEX(온라인_반찬!$C$2:$I$605,MATCH($H40,온라인_반찬!$C$2:$C$605,0),7),"")</f>
        <v>.1.5.</v>
      </c>
      <c r="J40" s="171" t="s">
        <v>796</v>
      </c>
      <c r="K40" s="194" t="str">
        <f>IFERROR(INDEX(온라인_반찬!$C$2:$I$605,MATCH($J40,온라인_반찬!$C$2:$C$605,0),7),"")</f>
        <v>.5.16.</v>
      </c>
    </row>
    <row r="41" spans="1:14" ht="20.100000000000001" customHeight="1">
      <c r="A41" s="323"/>
      <c r="B41" s="291"/>
      <c r="C41" s="267"/>
      <c r="D41" s="169"/>
      <c r="E41" s="267" t="str">
        <f>IFERROR(INDEX(온라인_반찬!$C$2:$I$605,MATCH($D41,온라인_반찬!$C$2:$C$605,0),7),"")</f>
        <v/>
      </c>
      <c r="F41" s="268" t="s">
        <v>2146</v>
      </c>
      <c r="G41" s="267" t="str">
        <f>IFERROR(INDEX(온라인_반찬!$C$2:$I$605,MATCH($F41,온라인_반찬!$C$2:$C$605,0),7),"")</f>
        <v>.5.9.</v>
      </c>
      <c r="H41" s="169"/>
      <c r="I41" s="267" t="str">
        <f>IFERROR(INDEX(온라인_반찬!$C$2:$I$605,MATCH($H41,온라인_반찬!$C$2:$C$605,0),7),"")</f>
        <v/>
      </c>
      <c r="J41" s="292"/>
      <c r="K41" s="267"/>
    </row>
    <row r="42" spans="1:14" ht="20.100000000000001" customHeight="1" thickBot="1">
      <c r="A42" s="324"/>
      <c r="B42" s="292"/>
      <c r="C42" s="270"/>
      <c r="D42" s="171"/>
      <c r="E42" s="270"/>
      <c r="F42" s="269"/>
      <c r="G42" s="267"/>
      <c r="H42" s="169"/>
      <c r="I42" s="270"/>
      <c r="J42" s="292"/>
      <c r="K42" s="267"/>
    </row>
    <row r="43" spans="1:14" ht="24.95" customHeight="1">
      <c r="A43" s="167" t="s">
        <v>913</v>
      </c>
      <c r="B43" s="328">
        <v>46230</v>
      </c>
      <c r="C43" s="329"/>
      <c r="D43" s="328">
        <v>46231</v>
      </c>
      <c r="E43" s="329"/>
      <c r="F43" s="328">
        <v>46232</v>
      </c>
      <c r="G43" s="329"/>
      <c r="H43" s="328">
        <v>46233</v>
      </c>
      <c r="I43" s="329"/>
      <c r="J43" s="328">
        <v>46234</v>
      </c>
      <c r="K43" s="329"/>
    </row>
    <row r="44" spans="1:14" ht="20.100000000000001" customHeight="1" thickBot="1">
      <c r="A44" s="222" t="s">
        <v>915</v>
      </c>
      <c r="B44" s="208" t="s">
        <v>916</v>
      </c>
      <c r="C44" s="223" t="s">
        <v>917</v>
      </c>
      <c r="D44" s="208" t="s">
        <v>916</v>
      </c>
      <c r="E44" s="211" t="s">
        <v>917</v>
      </c>
      <c r="F44" s="208" t="s">
        <v>916</v>
      </c>
      <c r="G44" s="211" t="s">
        <v>917</v>
      </c>
      <c r="H44" s="208" t="s">
        <v>916</v>
      </c>
      <c r="I44" s="211" t="s">
        <v>917</v>
      </c>
      <c r="J44" s="208" t="s">
        <v>916</v>
      </c>
      <c r="K44" s="209" t="s">
        <v>917</v>
      </c>
    </row>
    <row r="45" spans="1:14" ht="20.100000000000001" customHeight="1">
      <c r="A45" s="323" t="s">
        <v>921</v>
      </c>
      <c r="B45" s="235" t="s">
        <v>1807</v>
      </c>
      <c r="C45" s="264">
        <f>IFERROR(INDEX(온라인_반찬!$C$2:$I$605,MATCH($B45,온라인_반찬!$C$2:$C$605,0),7),"")</f>
        <v>0</v>
      </c>
      <c r="D45" s="175" t="s">
        <v>1804</v>
      </c>
      <c r="E45" s="194">
        <f>IFERROR(INDEX(온라인_반찬!$C$2:$I$605,MATCH($D45,온라인_반찬!$C$2:$C$605,0),7),"")</f>
        <v>0</v>
      </c>
      <c r="F45" s="175" t="s">
        <v>1805</v>
      </c>
      <c r="G45" s="194">
        <f>IFERROR(INDEX(온라인_반찬!$C$2:$I$605,MATCH($F45,온라인_반찬!$C$2:$C$605,0),7),"")</f>
        <v>0</v>
      </c>
      <c r="H45" s="169" t="s">
        <v>235</v>
      </c>
      <c r="I45" s="194">
        <f>IFERROR(INDEX(온라인_반찬!$C$2:$I$605,MATCH($H45,온라인_반찬!$C$2:$C$605,0),7),"")</f>
        <v>0</v>
      </c>
      <c r="J45" s="169" t="s">
        <v>1807</v>
      </c>
      <c r="K45" s="194">
        <f>IFERROR(INDEX(온라인_반찬!$C$2:$I$605,MATCH($J45,온라인_반찬!$C$2:$C$605,0),7),"")</f>
        <v>0</v>
      </c>
    </row>
    <row r="46" spans="1:14" ht="20.100000000000001" customHeight="1">
      <c r="A46" s="323"/>
      <c r="B46" s="175" t="s">
        <v>418</v>
      </c>
      <c r="C46" s="194" t="str">
        <f>IFERROR(INDEX(온라인_반찬!$C$2:$I$605,MATCH($B46,온라인_반찬!$C$2:$C$605,0),7),"")</f>
        <v>.1.5.10.19.21.</v>
      </c>
      <c r="D46" s="169" t="s">
        <v>2106</v>
      </c>
      <c r="E46" s="194" t="str">
        <f>IFERROR(INDEX(온라인_반찬!$C$2:$I$605,MATCH($D46,온라인_반찬!$C$2:$C$605,0),7),"")</f>
        <v>.5.16.21.</v>
      </c>
      <c r="F46" s="170" t="s">
        <v>2149</v>
      </c>
      <c r="G46" s="194" t="str">
        <f>IFERROR(INDEX(온라인_반찬!$C$2:$I$605,MATCH($F46,온라인_반찬!$C$2:$C$605,0),7),"")</f>
        <v>.1.2.5.6.10.21.</v>
      </c>
      <c r="H46" s="171" t="s">
        <v>2110</v>
      </c>
      <c r="I46" s="194" t="str">
        <f>IFERROR(INDEX(온라인_반찬!$C$2:$I$605,MATCH($H46,온라인_반찬!$C$2:$C$605,0),7),"")</f>
        <v>.2.5.6.15.16.21.</v>
      </c>
      <c r="J46" s="171" t="s">
        <v>2112</v>
      </c>
      <c r="K46" s="194" t="str">
        <f>IFERROR(INDEX(온라인_반찬!$C$2:$I$605,MATCH($J46,온라인_반찬!$C$2:$C$605,0),7),"")</f>
        <v>.5.10.21.</v>
      </c>
    </row>
    <row r="47" spans="1:14" ht="20.100000000000001" customHeight="1">
      <c r="A47" s="323"/>
      <c r="B47" s="174" t="s">
        <v>2073</v>
      </c>
      <c r="C47" s="194" t="str">
        <f>IFERROR(INDEX(온라인_반찬!$C$2:$I$605,MATCH($B47,온라인_반찬!$C$2:$C$605,0),7),"")</f>
        <v>.5.6.</v>
      </c>
      <c r="D47" s="171" t="s">
        <v>2107</v>
      </c>
      <c r="E47" s="194" t="str">
        <f>IFERROR(INDEX(온라인_반찬!$C$2:$I$605,MATCH($D47,온라인_반찬!$C$2:$C$605,0),7),"")</f>
        <v>.5.6.10.12.15.16.21.</v>
      </c>
      <c r="F47" s="170" t="s">
        <v>2076</v>
      </c>
      <c r="G47" s="194" t="str">
        <f>IFERROR(INDEX(온라인_반찬!$C$2:$I$605,MATCH($F47,온라인_반찬!$C$2:$C$605,0),7),"")</f>
        <v>1.5.6.17.</v>
      </c>
      <c r="H47" s="171" t="s">
        <v>2111</v>
      </c>
      <c r="I47" s="194" t="str">
        <f>IFERROR(INDEX(온라인_반찬!$C$2:$I$605,MATCH($H47,온라인_반찬!$C$2:$C$605,0),7),"")</f>
        <v/>
      </c>
      <c r="J47" s="171" t="s">
        <v>2113</v>
      </c>
      <c r="K47" s="194" t="str">
        <f>IFERROR(INDEX(온라인_반찬!$C$2:$I$605,MATCH($J47,온라인_반찬!$C$2:$C$605,0),7),"")</f>
        <v>.1.2.5.6.15.16.</v>
      </c>
    </row>
    <row r="48" spans="1:14" ht="20.100000000000001" customHeight="1">
      <c r="A48" s="323"/>
      <c r="B48" s="174" t="s">
        <v>406</v>
      </c>
      <c r="C48" s="194" t="str">
        <f>IFERROR(INDEX(온라인_반찬!$C$2:$I$605,MATCH($B48,온라인_반찬!$C$2:$C$605,0),7),"")</f>
        <v>.1.5.16.</v>
      </c>
      <c r="D48" s="171" t="s">
        <v>2108</v>
      </c>
      <c r="E48" s="194" t="str">
        <f>IFERROR(INDEX(온라인_반찬!$C$2:$I$605,MATCH($D48,온라인_반찬!$C$2:$C$605,0),7),"")</f>
        <v>.5.21.</v>
      </c>
      <c r="F48" s="170" t="s">
        <v>2077</v>
      </c>
      <c r="G48" s="194" t="str">
        <f>IFERROR(INDEX(온라인_반찬!$C$2:$I$605,MATCH($F48,온라인_반찬!$C$2:$C$605,0),7),"")</f>
        <v>.5.21.</v>
      </c>
      <c r="H48" s="171" t="s">
        <v>402</v>
      </c>
      <c r="I48" s="194" t="str">
        <f>IFERROR(INDEX(온라인_반찬!$C$2:$I$605,MATCH($H48,온라인_반찬!$C$2:$C$605,0),7),"")</f>
        <v>.5.21.</v>
      </c>
      <c r="J48" s="171" t="s">
        <v>1903</v>
      </c>
      <c r="K48" s="194" t="str">
        <f>IFERROR(INDEX(온라인_반찬!$C$2:$I$605,MATCH($J48,온라인_반찬!$C$2:$C$605,0),7),"")</f>
        <v>.1.5.6.21.</v>
      </c>
    </row>
    <row r="49" spans="1:11" ht="20.100000000000001" customHeight="1">
      <c r="A49" s="323"/>
      <c r="B49" s="174" t="s">
        <v>291</v>
      </c>
      <c r="C49" s="194" t="str">
        <f>IFERROR(INDEX(온라인_반찬!$C$2:$I$605,MATCH($B49,온라인_반찬!$C$2:$C$605,0),7),"")</f>
        <v>.9.12.</v>
      </c>
      <c r="D49" s="170" t="s">
        <v>191</v>
      </c>
      <c r="E49" s="194" t="str">
        <f>IFERROR(INDEX(온라인_반찬!$C$2:$I$605,MATCH($D49,온라인_반찬!$C$2:$C$605,0),7),"")</f>
        <v>.6.9.</v>
      </c>
      <c r="F49" s="170" t="s">
        <v>1806</v>
      </c>
      <c r="G49" s="194">
        <f>IFERROR(INDEX(온라인_반찬!$C$2:$I$605,MATCH($F49,온라인_반찬!$C$2:$C$605,0),7),"")</f>
        <v>0</v>
      </c>
      <c r="H49" s="171" t="s">
        <v>191</v>
      </c>
      <c r="I49" s="194" t="str">
        <f>IFERROR(INDEX(온라인_반찬!$C$2:$I$605,MATCH($H49,온라인_반찬!$C$2:$C$605,0),7),"")</f>
        <v>.6.9.</v>
      </c>
      <c r="J49" s="171" t="s">
        <v>291</v>
      </c>
      <c r="K49" s="194" t="str">
        <f>IFERROR(INDEX(온라인_반찬!$C$2:$I$605,MATCH($J49,온라인_반찬!$C$2:$C$605,0),7),"")</f>
        <v>.9.12.</v>
      </c>
    </row>
    <row r="50" spans="1:11" ht="20.100000000000001" customHeight="1">
      <c r="A50" s="323"/>
      <c r="B50" s="174" t="s">
        <v>2148</v>
      </c>
      <c r="C50" s="194" t="str">
        <f>IFERROR(INDEX(온라인_반찬!$C$2:$I$605,MATCH($B50,온라인_반찬!$C$2:$C$605,0),7),"")</f>
        <v>.5.17.</v>
      </c>
      <c r="D50" s="171" t="s">
        <v>2078</v>
      </c>
      <c r="E50" s="194" t="str">
        <f>IFERROR(INDEX(온라인_반찬!$C$2:$I$605,MATCH($D50,온라인_반찬!$C$2:$C$605,0),7),"")</f>
        <v>.5.</v>
      </c>
      <c r="F50" s="172" t="s">
        <v>2109</v>
      </c>
      <c r="G50" s="194" t="str">
        <f>IFERROR(INDEX(온라인_반찬!$C$2:$I$605,MATCH($F50,온라인_반찬!$C$2:$C$605,0),7),"")</f>
        <v>.5.21.</v>
      </c>
      <c r="H50" s="171" t="s">
        <v>2081</v>
      </c>
      <c r="I50" s="194" t="str">
        <f>IFERROR(INDEX(온라인_반찬!$C$2:$I$605,MATCH($H50,온라인_반찬!$C$2:$C$605,0),7),"")</f>
        <v>.5.10.15.16..</v>
      </c>
      <c r="J50" s="171" t="s">
        <v>334</v>
      </c>
      <c r="K50" s="194" t="str">
        <f>IFERROR(INDEX(온라인_반찬!$C$2:$I$605,MATCH($J50,온라인_반찬!$C$2:$C$605,0),7),"")</f>
        <v>.5.9.16.</v>
      </c>
    </row>
    <row r="51" spans="1:11" ht="20.100000000000001" customHeight="1">
      <c r="A51" s="323"/>
      <c r="B51" s="175"/>
      <c r="C51" s="267" t="str">
        <f>IFERROR(INDEX(온라인_반찬!$C$2:$I$605,MATCH($B51,온라인_반찬!$C$2:$C$605,0),7),"")</f>
        <v/>
      </c>
      <c r="D51" s="169"/>
      <c r="E51" s="267" t="str">
        <f>IFERROR(INDEX(온라인_반찬!$C$2:$I$605,MATCH($D51,온라인_반찬!$C$2:$C$605,0),7),"")</f>
        <v/>
      </c>
      <c r="F51" s="268"/>
      <c r="G51" s="267" t="str">
        <f>IFERROR(INDEX(온라인_반찬!$C$2:$I$605,MATCH($F51,온라인_반찬!$C$2:$C$605,0),7),"")</f>
        <v/>
      </c>
      <c r="H51" s="169"/>
      <c r="I51" s="267" t="str">
        <f>IFERROR(INDEX(온라인_반찬!$C$2:$I$605,MATCH($H51,온라인_반찬!$C$2:$C$605,0),7),"")</f>
        <v/>
      </c>
      <c r="J51" s="169"/>
      <c r="K51" s="267"/>
    </row>
    <row r="52" spans="1:11" ht="19.5" customHeight="1" thickBot="1">
      <c r="A52" s="323"/>
      <c r="B52" s="269"/>
      <c r="C52" s="267"/>
      <c r="D52" s="171"/>
      <c r="E52" s="270"/>
      <c r="F52" s="269"/>
      <c r="G52" s="267"/>
      <c r="H52" s="169"/>
      <c r="I52" s="270"/>
      <c r="J52" s="269"/>
      <c r="K52" s="267"/>
    </row>
    <row r="53" spans="1:11" ht="150" customHeight="1" thickBot="1">
      <c r="A53" s="325" t="s">
        <v>1209</v>
      </c>
      <c r="B53" s="326"/>
      <c r="C53" s="326"/>
      <c r="D53" s="326"/>
      <c r="E53" s="326"/>
      <c r="F53" s="326"/>
      <c r="G53" s="326"/>
      <c r="H53" s="326"/>
      <c r="I53" s="326"/>
      <c r="J53" s="326"/>
      <c r="K53" s="327"/>
    </row>
  </sheetData>
  <mergeCells count="37">
    <mergeCell ref="A45:A52"/>
    <mergeCell ref="A53:K53"/>
    <mergeCell ref="A35:A42"/>
    <mergeCell ref="B43:C43"/>
    <mergeCell ref="D43:E43"/>
    <mergeCell ref="F43:G43"/>
    <mergeCell ref="H43:I43"/>
    <mergeCell ref="J43:K43"/>
    <mergeCell ref="J23:K23"/>
    <mergeCell ref="J13:K13"/>
    <mergeCell ref="A25:A32"/>
    <mergeCell ref="B33:C33"/>
    <mergeCell ref="D33:E33"/>
    <mergeCell ref="F33:G33"/>
    <mergeCell ref="H33:I33"/>
    <mergeCell ref="J33:K33"/>
    <mergeCell ref="A15:A22"/>
    <mergeCell ref="B23:C23"/>
    <mergeCell ref="D23:E23"/>
    <mergeCell ref="F23:G23"/>
    <mergeCell ref="H23:I23"/>
    <mergeCell ref="A5:A12"/>
    <mergeCell ref="B13:C13"/>
    <mergeCell ref="D13:E13"/>
    <mergeCell ref="F13:G13"/>
    <mergeCell ref="H13:I13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53"/>
  <sheetViews>
    <sheetView zoomScale="80" zoomScaleNormal="80" workbookViewId="0">
      <selection sqref="A1:K1"/>
    </sheetView>
  </sheetViews>
  <sheetFormatPr defaultRowHeight="16.5"/>
  <cols>
    <col min="1" max="1" width="6.625" customWidth="1"/>
    <col min="2" max="2" width="15.75" style="168" customWidth="1"/>
    <col min="3" max="3" width="14.75" customWidth="1"/>
    <col min="4" max="4" width="16" customWidth="1"/>
    <col min="5" max="5" width="15.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6.2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07" t="s">
        <v>2114</v>
      </c>
      <c r="B1" s="308"/>
      <c r="C1" s="308"/>
      <c r="D1" s="308"/>
      <c r="E1" s="308"/>
      <c r="F1" s="308"/>
      <c r="G1" s="308"/>
      <c r="H1" s="308"/>
      <c r="I1" s="308"/>
      <c r="J1" s="308"/>
      <c r="K1" s="309"/>
    </row>
    <row r="2" spans="1:18" ht="24.95" customHeight="1" thickBot="1">
      <c r="A2" s="221" t="s">
        <v>907</v>
      </c>
      <c r="B2" s="310" t="s">
        <v>908</v>
      </c>
      <c r="C2" s="311"/>
      <c r="D2" s="312" t="s">
        <v>909</v>
      </c>
      <c r="E2" s="313"/>
      <c r="F2" s="311" t="s">
        <v>910</v>
      </c>
      <c r="G2" s="314"/>
      <c r="H2" s="310" t="s">
        <v>911</v>
      </c>
      <c r="I2" s="314"/>
      <c r="J2" s="310" t="s">
        <v>912</v>
      </c>
      <c r="K2" s="313"/>
    </row>
    <row r="3" spans="1:18" ht="24.95" customHeight="1">
      <c r="A3" s="224"/>
      <c r="B3" s="315"/>
      <c r="C3" s="316"/>
      <c r="D3" s="315"/>
      <c r="E3" s="316"/>
      <c r="F3" s="315">
        <v>46204</v>
      </c>
      <c r="G3" s="316"/>
      <c r="H3" s="315">
        <v>46205</v>
      </c>
      <c r="I3" s="316"/>
      <c r="J3" s="315">
        <v>46206</v>
      </c>
      <c r="K3" s="316"/>
      <c r="L3" s="315"/>
      <c r="M3" s="316"/>
    </row>
    <row r="4" spans="1:18" ht="20.100000000000001" customHeight="1" thickBot="1">
      <c r="A4" s="225" t="s">
        <v>915</v>
      </c>
      <c r="B4" s="262" t="s">
        <v>916</v>
      </c>
      <c r="C4" s="263" t="s">
        <v>917</v>
      </c>
      <c r="D4" s="210" t="s">
        <v>916</v>
      </c>
      <c r="E4" s="209" t="s">
        <v>917</v>
      </c>
      <c r="F4" s="210" t="s">
        <v>916</v>
      </c>
      <c r="G4" s="211" t="s">
        <v>917</v>
      </c>
      <c r="H4" s="207" t="s">
        <v>916</v>
      </c>
      <c r="I4" s="212" t="s">
        <v>917</v>
      </c>
      <c r="J4" s="207" t="s">
        <v>916</v>
      </c>
      <c r="K4" s="212" t="s">
        <v>917</v>
      </c>
      <c r="L4" s="207" t="s">
        <v>916</v>
      </c>
      <c r="M4" s="212" t="s">
        <v>917</v>
      </c>
    </row>
    <row r="5" spans="1:18" ht="20.100000000000001" customHeight="1">
      <c r="A5" s="317" t="s">
        <v>1622</v>
      </c>
      <c r="B5" s="235"/>
      <c r="C5" s="264" t="str">
        <f>IFERROR(INDEX(온라인_반찬!$C$2:$I$605,MATCH($B5,온라인_반찬!$C$2:$C$605,0),7),"")</f>
        <v/>
      </c>
      <c r="D5" s="175"/>
      <c r="E5" s="194" t="str">
        <f>IFERROR(INDEX(온라인_반찬!$C$2:$I$605,MATCH($D5,온라인_반찬!$C$2:$C$605,0),7),"")</f>
        <v/>
      </c>
      <c r="F5" s="235" t="s">
        <v>1805</v>
      </c>
      <c r="G5" s="194">
        <f>IFERROR(INDEX(온라인_반찬!$C$2:$I$605,MATCH($F5,온라인_반찬!$C$2:$C$605,0),7),"")</f>
        <v>0</v>
      </c>
      <c r="H5" s="175" t="s">
        <v>235</v>
      </c>
      <c r="I5" s="194">
        <f>IFERROR(INDEX(온라인_반찬!$C$2:$I$605,MATCH($H5,온라인_반찬!$C$2:$C$605,0),7),"")</f>
        <v>0</v>
      </c>
      <c r="J5" s="175" t="s">
        <v>1807</v>
      </c>
      <c r="K5" s="194">
        <f>IFERROR(INDEX(온라인_반찬!$C$2:$I$605,MATCH($J5,온라인_반찬!$C$2:$C$605,0),7),"")</f>
        <v>0</v>
      </c>
      <c r="L5" s="233"/>
      <c r="M5" s="232"/>
    </row>
    <row r="6" spans="1:18" ht="20.100000000000001" customHeight="1">
      <c r="A6" s="318"/>
      <c r="B6" s="175"/>
      <c r="C6" s="194" t="str">
        <f>IFERROR(INDEX(온라인_반찬!$C$2:$I$605,MATCH($B6,온라인_반찬!$C$2:$C$605,0),7),"")</f>
        <v/>
      </c>
      <c r="D6" s="169"/>
      <c r="E6" s="194" t="str">
        <f>IFERROR(INDEX(온라인_반찬!$C$2:$I$605,MATCH($D6,온라인_반찬!$C$2:$C$605,0),7),"")</f>
        <v/>
      </c>
      <c r="F6" s="175" t="s">
        <v>2045</v>
      </c>
      <c r="G6" s="194" t="str">
        <f>IFERROR(INDEX(온라인_반찬!$C$2:$I$605,MATCH($F6,온라인_반찬!$C$2:$C$605,0),7),"")</f>
        <v>.5.10.21.</v>
      </c>
      <c r="H6" s="169" t="s">
        <v>2048</v>
      </c>
      <c r="I6" s="194" t="str">
        <f>IFERROR(INDEX(온라인_반찬!$C$2:$I$605,MATCH($H6,온라인_반찬!$C$2:$C$605,0),7),"")</f>
        <v>.5.15.21.</v>
      </c>
      <c r="J6" s="170" t="s">
        <v>2051</v>
      </c>
      <c r="K6" s="194" t="str">
        <f>IFERROR(INDEX(온라인_반찬!$C$2:$I$605,MATCH($J6,온라인_반찬!$C$2:$C$605,0),7),"")</f>
        <v>.2.5.6.12.16.21.</v>
      </c>
      <c r="L6" s="234"/>
      <c r="M6" s="232"/>
    </row>
    <row r="7" spans="1:18" ht="20.100000000000001" customHeight="1">
      <c r="A7" s="318"/>
      <c r="B7" s="174"/>
      <c r="C7" s="194" t="str">
        <f>IFERROR(INDEX(온라인_반찬!$C$2:$I$605,MATCH($B7,온라인_반찬!$C$2:$C$605,0),7),"")</f>
        <v/>
      </c>
      <c r="D7" s="171"/>
      <c r="E7" s="194" t="str">
        <f>IFERROR(INDEX(온라인_반찬!$C$2:$I$605,MATCH($D7,온라인_반찬!$C$2:$C$605,0),7),"")</f>
        <v/>
      </c>
      <c r="F7" s="174" t="s">
        <v>2046</v>
      </c>
      <c r="G7" s="194" t="str">
        <f>IFERROR(INDEX(온라인_반찬!$C$2:$I$605,MATCH($F7,온라인_반찬!$C$2:$C$605,0),7),"")</f>
        <v>.5.21.</v>
      </c>
      <c r="H7" s="171" t="s">
        <v>2049</v>
      </c>
      <c r="I7" s="194" t="str">
        <f>IFERROR(INDEX(온라인_반찬!$C$2:$I$605,MATCH($H7,온라인_반찬!$C$2:$C$605,0),7),"")</f>
        <v>.2.5.6.8.9.17.18.</v>
      </c>
      <c r="J7" s="170" t="s">
        <v>2052</v>
      </c>
      <c r="K7" s="194" t="str">
        <f>IFERROR(INDEX(온라인_반찬!$C$2:$I$605,MATCH($J7,온라인_반찬!$C$2:$C$605,0),7),"")</f>
        <v>.1.5.21.</v>
      </c>
      <c r="L7" s="234"/>
      <c r="M7" s="232"/>
      <c r="P7" s="239"/>
      <c r="R7" s="239"/>
    </row>
    <row r="8" spans="1:18" ht="20.100000000000001" customHeight="1">
      <c r="A8" s="318"/>
      <c r="B8" s="174"/>
      <c r="C8" s="194" t="str">
        <f>IFERROR(INDEX(온라인_반찬!$C$2:$I$605,MATCH($B8,온라인_반찬!$C$2:$C$605,0),7),"")</f>
        <v/>
      </c>
      <c r="D8" s="171"/>
      <c r="E8" s="194" t="str">
        <f>IFERROR(INDEX(온라인_반찬!$C$2:$I$605,MATCH($D8,온라인_반찬!$C$2:$C$605,0),7),"")</f>
        <v/>
      </c>
      <c r="F8" s="174" t="s">
        <v>386</v>
      </c>
      <c r="G8" s="194" t="str">
        <f>IFERROR(INDEX(온라인_반찬!$C$2:$I$605,MATCH($F8,온라인_반찬!$C$2:$C$605,0),7),"")</f>
        <v>.5.21.</v>
      </c>
      <c r="H8" s="171" t="s">
        <v>385</v>
      </c>
      <c r="I8" s="194" t="str">
        <f>IFERROR(INDEX(온라인_반찬!$C$2:$I$605,MATCH($H8,온라인_반찬!$C$2:$C$605,0),7),"")</f>
        <v>.5.21.</v>
      </c>
      <c r="J8" s="170" t="s">
        <v>2053</v>
      </c>
      <c r="K8" s="194" t="str">
        <f>IFERROR(INDEX(온라인_반찬!$C$2:$I$605,MATCH($J8,온라인_반찬!$C$2:$C$605,0),7),"")</f>
        <v>.21.</v>
      </c>
      <c r="L8" s="234"/>
      <c r="M8" s="232"/>
      <c r="P8" s="239"/>
      <c r="R8" s="239"/>
    </row>
    <row r="9" spans="1:18" ht="20.100000000000001" customHeight="1">
      <c r="A9" s="318"/>
      <c r="B9" s="174"/>
      <c r="C9" s="194" t="str">
        <f>IFERROR(INDEX(온라인_반찬!$C$2:$I$605,MATCH($B9,온라인_반찬!$C$2:$C$605,0),7),"")</f>
        <v/>
      </c>
      <c r="D9" s="171"/>
      <c r="E9" s="194" t="str">
        <f>IFERROR(INDEX(온라인_반찬!$C$2:$I$605,MATCH($D9,온라인_반찬!$C$2:$C$605,0),7),"")</f>
        <v/>
      </c>
      <c r="F9" s="174" t="s">
        <v>1806</v>
      </c>
      <c r="G9" s="194">
        <f>IFERROR(INDEX(온라인_반찬!$C$2:$I$605,MATCH($F9,온라인_반찬!$C$2:$C$605,0),7),"")</f>
        <v>0</v>
      </c>
      <c r="H9" s="171" t="s">
        <v>191</v>
      </c>
      <c r="I9" s="194" t="str">
        <f>IFERROR(INDEX(온라인_반찬!$C$2:$I$605,MATCH($H9,온라인_반찬!$C$2:$C$605,0),7),"")</f>
        <v>.6.9.</v>
      </c>
      <c r="J9" s="170" t="s">
        <v>291</v>
      </c>
      <c r="K9" s="194" t="str">
        <f>IFERROR(INDEX(온라인_반찬!$C$2:$I$605,MATCH($J9,온라인_반찬!$C$2:$C$605,0),7),"")</f>
        <v>.9.12.</v>
      </c>
      <c r="L9" s="234"/>
      <c r="M9" s="232"/>
      <c r="P9" s="239"/>
      <c r="R9" s="239"/>
    </row>
    <row r="10" spans="1:18" ht="20.100000000000001" customHeight="1">
      <c r="A10" s="318"/>
      <c r="B10" s="174"/>
      <c r="C10" s="194" t="str">
        <f>IFERROR(INDEX(온라인_반찬!$C$2:$I$605,MATCH($B10,온라인_반찬!$C$2:$C$605,0),7),"")</f>
        <v/>
      </c>
      <c r="D10" s="171"/>
      <c r="E10" s="194" t="str">
        <f>IFERROR(INDEX(온라인_반찬!$C$2:$I$605,MATCH($D10,온라인_반찬!$C$2:$C$605,0),7),"")</f>
        <v/>
      </c>
      <c r="F10" s="174" t="s">
        <v>2047</v>
      </c>
      <c r="G10" s="194" t="str">
        <f>IFERROR(INDEX(온라인_반찬!$C$2:$I$605,MATCH($F10,온라인_반찬!$C$2:$C$605,0),7),"")</f>
        <v>.1.5.21.</v>
      </c>
      <c r="H10" s="171" t="s">
        <v>2050</v>
      </c>
      <c r="I10" s="194" t="str">
        <f>IFERROR(INDEX(온라인_반찬!$C$2:$I$605,MATCH($H10,온라인_반찬!$C$2:$C$605,0),7),"")</f>
        <v>.5.</v>
      </c>
      <c r="J10" s="172" t="s">
        <v>2054</v>
      </c>
      <c r="K10" s="194" t="str">
        <f>IFERROR(INDEX(온라인_반찬!$C$2:$I$605,MATCH($J10,온라인_반찬!$C$2:$C$605,0),7),"")</f>
        <v>.5.</v>
      </c>
      <c r="L10" s="176"/>
      <c r="M10" s="194"/>
      <c r="N10" s="113"/>
      <c r="P10" s="239"/>
      <c r="R10" s="239"/>
    </row>
    <row r="11" spans="1:18" ht="20.100000000000001" customHeight="1">
      <c r="A11" s="318"/>
      <c r="B11" s="174"/>
      <c r="C11" s="194" t="str">
        <f>IFERROR(INDEX(온라인_반찬!$C$2:$I$605,MATCH($B11,온라인_반찬!$C$2:$C$605,0),7),"")</f>
        <v/>
      </c>
      <c r="D11" s="173"/>
      <c r="E11" s="194" t="str">
        <f>IFERROR(INDEX(온라인_반찬!$C$2:$I$605,MATCH($D11,온라인_반찬!$C$2:$C$605,0),7),"")</f>
        <v/>
      </c>
      <c r="F11" s="172"/>
      <c r="G11" s="194" t="str">
        <f>IFERROR(INDEX(온라인_반찬!$C$2:$I$605,MATCH($F11,온라인_반찬!$C$2:$C$605,0),7),"")</f>
        <v/>
      </c>
      <c r="H11" s="169"/>
      <c r="I11" s="194" t="str">
        <f>IFERROR(INDEX(온라인_반찬!$C$2:$I$605,MATCH($H11,온라인_반찬!$C$2:$C$605,0),7),"")</f>
        <v/>
      </c>
      <c r="J11" s="171"/>
      <c r="K11" s="194" t="str">
        <f>IFERROR(INDEX(온라인_반찬!$C$2:$I$605,MATCH($J11,온라인_반찬!$C$2:$C$605,0),7),"")</f>
        <v/>
      </c>
      <c r="L11" s="174"/>
      <c r="M11" s="194"/>
      <c r="P11" s="239"/>
      <c r="R11" s="239"/>
    </row>
    <row r="12" spans="1:18" ht="19.5" customHeight="1" thickBot="1">
      <c r="A12" s="319"/>
      <c r="B12" s="204"/>
      <c r="C12" s="195" t="str">
        <f>IFERROR(INDEX(온라인_반찬!$C$2:$I$605,MATCH($B12,온라인_반찬!$C$2:$C$605,0),7),"")</f>
        <v/>
      </c>
      <c r="D12" s="171"/>
      <c r="E12" s="195"/>
      <c r="F12" s="204"/>
      <c r="G12" s="194" t="str">
        <f>IFERROR(INDEX(온라인_반찬!$C$2:$I$605,MATCH($F12,온라인_반찬!$C$2:$C$605,0),7),"")</f>
        <v/>
      </c>
      <c r="H12" s="171"/>
      <c r="I12" s="195"/>
      <c r="J12" s="169"/>
      <c r="K12" s="194" t="str">
        <f>IFERROR(INDEX(온라인_반찬!$C$2:$I$605,MATCH($J12,온라인_반찬!$C$2:$C$605,0),7),"")</f>
        <v/>
      </c>
      <c r="L12" s="204"/>
      <c r="M12" s="195"/>
      <c r="P12" s="239"/>
      <c r="R12" s="239"/>
    </row>
    <row r="13" spans="1:18" ht="24.95" customHeight="1">
      <c r="A13" s="167" t="s">
        <v>913</v>
      </c>
      <c r="B13" s="315">
        <v>46209</v>
      </c>
      <c r="C13" s="316"/>
      <c r="D13" s="315">
        <v>46210</v>
      </c>
      <c r="E13" s="316"/>
      <c r="F13" s="315">
        <v>46211</v>
      </c>
      <c r="G13" s="316"/>
      <c r="H13" s="315">
        <v>46212</v>
      </c>
      <c r="I13" s="316"/>
      <c r="J13" s="315">
        <v>46213</v>
      </c>
      <c r="K13" s="316"/>
      <c r="L13" s="320"/>
      <c r="M13" s="321"/>
      <c r="N13" s="330"/>
      <c r="O13" s="331"/>
      <c r="R13" s="239"/>
    </row>
    <row r="14" spans="1:18" ht="20.100000000000001" customHeight="1" thickBot="1">
      <c r="A14" s="222" t="s">
        <v>915</v>
      </c>
      <c r="B14" s="208" t="s">
        <v>916</v>
      </c>
      <c r="C14" s="211" t="s">
        <v>917</v>
      </c>
      <c r="D14" s="208" t="s">
        <v>916</v>
      </c>
      <c r="E14" s="211" t="s">
        <v>917</v>
      </c>
      <c r="F14" s="208" t="s">
        <v>916</v>
      </c>
      <c r="G14" s="211" t="s">
        <v>917</v>
      </c>
      <c r="H14" s="208" t="s">
        <v>916</v>
      </c>
      <c r="I14" s="211" t="s">
        <v>917</v>
      </c>
      <c r="J14" s="208" t="s">
        <v>916</v>
      </c>
      <c r="K14" s="209" t="s">
        <v>917</v>
      </c>
      <c r="L14" s="207" t="s">
        <v>916</v>
      </c>
      <c r="M14" s="212" t="s">
        <v>917</v>
      </c>
      <c r="N14" s="207" t="s">
        <v>916</v>
      </c>
      <c r="O14" s="212" t="s">
        <v>917</v>
      </c>
      <c r="R14" s="239"/>
    </row>
    <row r="15" spans="1:18" ht="20.100000000000001" customHeight="1">
      <c r="A15" s="322" t="s">
        <v>918</v>
      </c>
      <c r="B15" s="235" t="s">
        <v>1807</v>
      </c>
      <c r="C15" s="264">
        <f>IFERROR(INDEX(온라인_반찬!$C$2:$I$605,MATCH($B15,온라인_반찬!$C$2:$C$605,0),7),"")</f>
        <v>0</v>
      </c>
      <c r="D15" s="175" t="s">
        <v>1804</v>
      </c>
      <c r="E15" s="194">
        <f>IFERROR(INDEX(온라인_반찬!$C$2:$I$605,MATCH($D15,온라인_반찬!$C$2:$C$605,0),7),"")</f>
        <v>0</v>
      </c>
      <c r="F15" s="175" t="s">
        <v>1805</v>
      </c>
      <c r="G15" s="194">
        <f>IFERROR(INDEX(온라인_반찬!$C$2:$I$605,MATCH($F15,온라인_반찬!$C$2:$C$605,0),7),"")</f>
        <v>0</v>
      </c>
      <c r="H15" s="169" t="s">
        <v>235</v>
      </c>
      <c r="I15" s="194">
        <f>IFERROR(INDEX(온라인_반찬!$C$2:$I$605,MATCH($H15,온라인_반찬!$C$2:$C$605,0),7),"")</f>
        <v>0</v>
      </c>
      <c r="J15" s="169" t="s">
        <v>1807</v>
      </c>
      <c r="K15" s="194">
        <f>IFERROR(INDEX(온라인_반찬!$C$2:$I$605,MATCH($J15,온라인_반찬!$C$2:$C$605,0),7),"")</f>
        <v>0</v>
      </c>
      <c r="L15" s="233"/>
      <c r="M15" s="232"/>
      <c r="N15" s="233"/>
      <c r="O15" s="232"/>
      <c r="R15" s="239"/>
    </row>
    <row r="16" spans="1:18" ht="20.100000000000001" customHeight="1">
      <c r="A16" s="323"/>
      <c r="B16" s="175" t="s">
        <v>2055</v>
      </c>
      <c r="C16" s="194" t="str">
        <f>IFERROR(INDEX(온라인_반찬!$C$2:$I$605,MATCH($B16,온라인_반찬!$C$2:$C$605,0),7),"")</f>
        <v>.1.2.5.6.16.</v>
      </c>
      <c r="D16" s="169" t="s">
        <v>2059</v>
      </c>
      <c r="E16" s="194" t="str">
        <f>IFERROR(INDEX(온라인_반찬!$C$2:$I$605,MATCH($D16,온라인_반찬!$C$2:$C$605,0),7),"")</f>
        <v>.5.15.21.</v>
      </c>
      <c r="F16" s="170" t="s">
        <v>2063</v>
      </c>
      <c r="G16" s="194" t="str">
        <f>IFERROR(INDEX(온라인_반찬!$C$2:$I$605,MATCH($F16,온라인_반찬!$C$2:$C$605,0),7),"")</f>
        <v>.5.16.21.</v>
      </c>
      <c r="H16" s="171" t="s">
        <v>2067</v>
      </c>
      <c r="I16" s="194" t="str">
        <f>IFERROR(INDEX(온라인_반찬!$C$2:$I$605,MATCH($H16,온라인_반찬!$C$2:$C$605,0),7),"")</f>
        <v>.5.6.10.19.21.</v>
      </c>
      <c r="J16" s="171" t="s">
        <v>2071</v>
      </c>
      <c r="K16" s="194" t="str">
        <f>IFERROR(INDEX(온라인_반찬!$C$2:$I$605,MATCH($J16,온라인_반찬!$C$2:$C$605,0),7),"")</f>
        <v>.5.6.21.</v>
      </c>
      <c r="L16" s="234"/>
      <c r="M16" s="232"/>
      <c r="N16" s="234"/>
      <c r="O16" s="232"/>
      <c r="R16" s="239"/>
    </row>
    <row r="17" spans="1:18" ht="20.100000000000001" customHeight="1">
      <c r="A17" s="323"/>
      <c r="B17" s="174" t="s">
        <v>2056</v>
      </c>
      <c r="C17" s="194" t="str">
        <f>IFERROR(INDEX(온라인_반찬!$C$2:$I$605,MATCH($B17,온라인_반찬!$C$2:$C$605,0),7),"")</f>
        <v>.2.5.6.10.16.21.</v>
      </c>
      <c r="D17" s="171" t="s">
        <v>2060</v>
      </c>
      <c r="E17" s="194" t="str">
        <f>IFERROR(INDEX(온라인_반찬!$C$2:$I$605,MATCH($D17,온라인_반찬!$C$2:$C$605,0),7),"")</f>
        <v>.5.6.10.16.</v>
      </c>
      <c r="F17" s="170" t="s">
        <v>2064</v>
      </c>
      <c r="G17" s="194" t="str">
        <f>IFERROR(INDEX(온라인_반찬!$C$2:$I$605,MATCH($F17,온라인_반찬!$C$2:$C$605,0),7),"")</f>
        <v>.1.2.</v>
      </c>
      <c r="H17" s="171" t="s">
        <v>2068</v>
      </c>
      <c r="I17" s="194" t="str">
        <f>IFERROR(INDEX(온라인_반찬!$C$2:$I$605,MATCH($H17,온라인_반찬!$C$2:$C$605,0),7),"")</f>
        <v>.5.6.21.</v>
      </c>
      <c r="J17" s="171" t="s">
        <v>396</v>
      </c>
      <c r="K17" s="194" t="str">
        <f>IFERROR(INDEX(온라인_반찬!$C$2:$I$605,MATCH($J17,온라인_반찬!$C$2:$C$605,0),7),"")</f>
        <v>.1.5.21.</v>
      </c>
      <c r="L17" s="234"/>
      <c r="M17" s="232"/>
      <c r="N17" s="234"/>
      <c r="O17" s="232"/>
      <c r="R17" s="239"/>
    </row>
    <row r="18" spans="1:18" ht="20.100000000000001" customHeight="1">
      <c r="A18" s="323"/>
      <c r="B18" s="174" t="s">
        <v>2057</v>
      </c>
      <c r="C18" s="194" t="str">
        <f>IFERROR(INDEX(온라인_반찬!$C$2:$I$605,MATCH($B18,온라인_반찬!$C$2:$C$605,0),7),"")</f>
        <v>.5.21.</v>
      </c>
      <c r="D18" s="171" t="s">
        <v>2061</v>
      </c>
      <c r="E18" s="194" t="str">
        <f>IFERROR(INDEX(온라인_반찬!$C$2:$I$605,MATCH($D18,온라인_반찬!$C$2:$C$605,0),7),"")</f>
        <v>.5.21.</v>
      </c>
      <c r="F18" s="170" t="s">
        <v>2065</v>
      </c>
      <c r="G18" s="194" t="str">
        <f>IFERROR(INDEX(온라인_반찬!$C$2:$I$605,MATCH($F18,온라인_반찬!$C$2:$C$605,0),7),"")</f>
        <v>.5.21.</v>
      </c>
      <c r="H18" s="171" t="s">
        <v>2069</v>
      </c>
      <c r="I18" s="194" t="str">
        <f>IFERROR(INDEX(온라인_반찬!$C$2:$I$605,MATCH($H18,온라인_반찬!$C$2:$C$605,0),7),"")</f>
        <v>.5.</v>
      </c>
      <c r="J18" s="171" t="s">
        <v>1808</v>
      </c>
      <c r="K18" s="194" t="str">
        <f>IFERROR(INDEX(온라인_반찬!$C$2:$I$605,MATCH($J18,온라인_반찬!$C$2:$C$605,0),7),"")</f>
        <v>.21.</v>
      </c>
      <c r="L18" s="234"/>
      <c r="M18" s="232"/>
      <c r="N18" s="234"/>
      <c r="O18" s="232"/>
    </row>
    <row r="19" spans="1:18" ht="20.100000000000001" customHeight="1">
      <c r="A19" s="323"/>
      <c r="B19" s="174" t="s">
        <v>291</v>
      </c>
      <c r="C19" s="194" t="str">
        <f>IFERROR(INDEX(온라인_반찬!$C$2:$I$605,MATCH($B19,온라인_반찬!$C$2:$C$605,0),7),"")</f>
        <v>.9.12.</v>
      </c>
      <c r="D19" s="171" t="s">
        <v>191</v>
      </c>
      <c r="E19" s="194" t="str">
        <f>IFERROR(INDEX(온라인_반찬!$C$2:$I$605,MATCH($D19,온라인_반찬!$C$2:$C$605,0),7),"")</f>
        <v>.6.9.</v>
      </c>
      <c r="F19" s="170" t="s">
        <v>1806</v>
      </c>
      <c r="G19" s="194">
        <f>IFERROR(INDEX(온라인_반찬!$C$2:$I$605,MATCH($F19,온라인_반찬!$C$2:$C$605,0),7),"")</f>
        <v>0</v>
      </c>
      <c r="H19" s="171" t="s">
        <v>191</v>
      </c>
      <c r="I19" s="194" t="str">
        <f>IFERROR(INDEX(온라인_반찬!$C$2:$I$605,MATCH($H19,온라인_반찬!$C$2:$C$605,0),7),"")</f>
        <v>.6.9.</v>
      </c>
      <c r="J19" s="171" t="s">
        <v>291</v>
      </c>
      <c r="K19" s="194" t="str">
        <f>IFERROR(INDEX(온라인_반찬!$C$2:$I$605,MATCH($J19,온라인_반찬!$C$2:$C$605,0),7),"")</f>
        <v>.9.12.</v>
      </c>
      <c r="L19" s="234"/>
      <c r="M19" s="232"/>
      <c r="N19" s="234"/>
      <c r="O19" s="232"/>
    </row>
    <row r="20" spans="1:18" ht="20.100000000000001" customHeight="1">
      <c r="A20" s="323"/>
      <c r="B20" s="174" t="s">
        <v>2058</v>
      </c>
      <c r="C20" s="194" t="str">
        <f>IFERROR(INDEX(온라인_반찬!$C$2:$I$605,MATCH($B20,온라인_반찬!$C$2:$C$605,0),7),"")</f>
        <v>.5.6.</v>
      </c>
      <c r="D20" s="171" t="s">
        <v>2062</v>
      </c>
      <c r="E20" s="194" t="str">
        <f>IFERROR(INDEX(온라인_반찬!$C$2:$I$605,MATCH($D20,온라인_반찬!$C$2:$C$605,0),7),"")</f>
        <v>.5.16.</v>
      </c>
      <c r="F20" s="172" t="s">
        <v>2066</v>
      </c>
      <c r="G20" s="194" t="str">
        <f>IFERROR(INDEX(온라인_반찬!$C$2:$I$605,MATCH($F20,온라인_반찬!$C$2:$C$605,0),7),"")</f>
        <v>.5.</v>
      </c>
      <c r="H20" s="171" t="s">
        <v>2070</v>
      </c>
      <c r="I20" s="194" t="str">
        <f>IFERROR(INDEX(온라인_반찬!$C$2:$I$605,MATCH($H20,온라인_반찬!$C$2:$C$605,0),7),"")</f>
        <v>.5.15.</v>
      </c>
      <c r="J20" s="171" t="s">
        <v>2072</v>
      </c>
      <c r="K20" s="194" t="str">
        <f>IFERROR(INDEX(온라인_반찬!$C$2:$I$605,MATCH($J20,온라인_반찬!$C$2:$C$605,0),7),"")</f>
        <v>.1.5.16.</v>
      </c>
      <c r="L20" s="176"/>
      <c r="M20" s="194"/>
      <c r="N20" s="234"/>
      <c r="O20" s="232"/>
    </row>
    <row r="21" spans="1:18" ht="20.100000000000001" customHeight="1">
      <c r="A21" s="323"/>
      <c r="B21" s="174"/>
      <c r="C21" s="194" t="str">
        <f>IFERROR(INDEX(온라인_반찬!$C$2:$I$605,MATCH($B21,온라인_반찬!$C$2:$C$605,0),7),"")</f>
        <v/>
      </c>
      <c r="D21" s="173"/>
      <c r="E21" s="194" t="str">
        <f>IFERROR(INDEX(온라인_반찬!$C$2:$I$605,MATCH($D21,온라인_반찬!$C$2:$C$605,0),7),"")</f>
        <v/>
      </c>
      <c r="F21" s="172"/>
      <c r="G21" s="194" t="str">
        <f>IFERROR(INDEX(온라인_반찬!$C$2:$I$605,MATCH($F21,온라인_반찬!$C$2:$C$605,0),7),"")</f>
        <v/>
      </c>
      <c r="H21" s="169"/>
      <c r="I21" s="194" t="str">
        <f>IFERROR(INDEX(온라인_반찬!$C$2:$I$605,MATCH($H21,온라인_반찬!$C$2:$C$605,0),7),"")</f>
        <v/>
      </c>
      <c r="J21" s="171"/>
      <c r="K21" s="194" t="str">
        <f>IFERROR(INDEX(온라인_반찬!$C$2:$I$605,MATCH($J21,온라인_반찬!$C$2:$C$605,0),7),"")</f>
        <v/>
      </c>
      <c r="L21" s="174"/>
      <c r="M21" s="194"/>
      <c r="N21" s="174"/>
      <c r="O21" s="194"/>
    </row>
    <row r="22" spans="1:18" ht="20.100000000000001" customHeight="1" thickBot="1">
      <c r="A22" s="324"/>
      <c r="B22" s="204"/>
      <c r="C22" s="195" t="str">
        <f>IFERROR(INDEX(온라인_반찬!$C$2:$I$605,MATCH($B22,온라인_반찬!$C$2:$C$605,0),7),"")</f>
        <v/>
      </c>
      <c r="D22" s="171"/>
      <c r="E22" s="195"/>
      <c r="F22" s="204"/>
      <c r="G22" s="194" t="str">
        <f>IFERROR(INDEX(온라인_반찬!$C$2:$I$605,MATCH($F22,온라인_반찬!$C$2:$C$605,0),7),"")</f>
        <v/>
      </c>
      <c r="H22" s="171"/>
      <c r="I22" s="195"/>
      <c r="J22" s="169"/>
      <c r="K22" s="194" t="str">
        <f>IFERROR(INDEX(온라인_반찬!$C$2:$I$605,MATCH($J22,온라인_반찬!$C$2:$C$605,0),7),"")</f>
        <v/>
      </c>
      <c r="L22" s="204"/>
      <c r="M22" s="195"/>
      <c r="N22" s="204"/>
      <c r="O22" s="195"/>
    </row>
    <row r="23" spans="1:18" ht="24.95" customHeight="1">
      <c r="A23" s="167" t="s">
        <v>913</v>
      </c>
      <c r="B23" s="320">
        <v>46216</v>
      </c>
      <c r="C23" s="321"/>
      <c r="D23" s="320">
        <v>46217</v>
      </c>
      <c r="E23" s="321"/>
      <c r="F23" s="320">
        <v>46218</v>
      </c>
      <c r="G23" s="321"/>
      <c r="H23" s="320">
        <v>46219</v>
      </c>
      <c r="I23" s="321"/>
      <c r="J23" s="332">
        <v>46220</v>
      </c>
      <c r="K23" s="333"/>
      <c r="L23" s="328"/>
      <c r="M23" s="329"/>
      <c r="N23" s="330"/>
      <c r="O23" s="331"/>
    </row>
    <row r="24" spans="1:18" ht="20.100000000000001" customHeight="1" thickBot="1">
      <c r="A24" s="222" t="s">
        <v>915</v>
      </c>
      <c r="B24" s="208" t="s">
        <v>916</v>
      </c>
      <c r="C24" s="211" t="s">
        <v>917</v>
      </c>
      <c r="D24" s="208" t="s">
        <v>916</v>
      </c>
      <c r="E24" s="211" t="s">
        <v>917</v>
      </c>
      <c r="F24" s="208" t="s">
        <v>916</v>
      </c>
      <c r="G24" s="211" t="s">
        <v>917</v>
      </c>
      <c r="H24" s="208" t="s">
        <v>916</v>
      </c>
      <c r="I24" s="211" t="s">
        <v>917</v>
      </c>
      <c r="J24" s="208" t="s">
        <v>916</v>
      </c>
      <c r="K24" s="209" t="s">
        <v>917</v>
      </c>
      <c r="L24" s="208"/>
      <c r="M24" s="209"/>
      <c r="N24" s="207"/>
      <c r="O24" s="212"/>
    </row>
    <row r="25" spans="1:18" ht="20.100000000000001" customHeight="1">
      <c r="A25" s="322" t="s">
        <v>919</v>
      </c>
      <c r="B25" s="235" t="s">
        <v>1807</v>
      </c>
      <c r="C25" s="264">
        <f>IFERROR(INDEX(온라인_반찬!$C$2:$I$605,MATCH($B25,온라인_반찬!$C$2:$C$605,0),7),"")</f>
        <v>0</v>
      </c>
      <c r="D25" s="175" t="s">
        <v>1804</v>
      </c>
      <c r="E25" s="194">
        <f>IFERROR(INDEX(온라인_반찬!$C$2:$I$605,MATCH($D25,온라인_반찬!$C$2:$C$605,0),7),"")</f>
        <v>0</v>
      </c>
      <c r="F25" s="175" t="s">
        <v>1805</v>
      </c>
      <c r="G25" s="194">
        <f>IFERROR(INDEX(온라인_반찬!$C$2:$I$605,MATCH($F25,온라인_반찬!$C$2:$C$605,0),7),"")</f>
        <v>0</v>
      </c>
      <c r="H25" s="169" t="s">
        <v>1637</v>
      </c>
      <c r="I25" s="194" t="str">
        <f>IFERROR(INDEX(온라인_반찬!$C$2:$I$605,MATCH($H25,온라인_반찬!$C$2:$C$605,0),7),"")</f>
        <v>.1.2.5.18.21.</v>
      </c>
      <c r="J25" s="169"/>
      <c r="K25" s="194" t="str">
        <f>IFERROR(INDEX(온라인_반찬!$C$2:$I$605,MATCH($J25,온라인_반찬!$C$2:$C$605,0),7),"")</f>
        <v/>
      </c>
      <c r="L25" s="233"/>
      <c r="M25" s="232"/>
      <c r="N25" s="175"/>
      <c r="O25" s="194"/>
    </row>
    <row r="26" spans="1:18" ht="20.100000000000001" customHeight="1">
      <c r="A26" s="323"/>
      <c r="B26" s="175" t="s">
        <v>2086</v>
      </c>
      <c r="C26" s="194" t="str">
        <f>IFERROR(INDEX(온라인_반찬!$C$2:$I$605,MATCH($B26,온라인_반찬!$C$2:$C$605,0),7),"")</f>
        <v>1.5.</v>
      </c>
      <c r="D26" s="169" t="s">
        <v>2087</v>
      </c>
      <c r="E26" s="194" t="str">
        <f>IFERROR(INDEX(온라인_반찬!$C$2:$I$605,MATCH($D26,온라인_반찬!$C$2:$C$605,0),7),"")</f>
        <v>.5.15.21.</v>
      </c>
      <c r="F26" s="170" t="s">
        <v>2090</v>
      </c>
      <c r="G26" s="194" t="str">
        <f>IFERROR(INDEX(온라인_반찬!$C$2:$I$605,MATCH($F26,온라인_반찬!$C$2:$C$605,0),7),"")</f>
        <v>.5.6.10.21.</v>
      </c>
      <c r="H26" s="171" t="s">
        <v>944</v>
      </c>
      <c r="I26" s="194" t="str">
        <f>IFERROR(INDEX(온라인_반찬!$C$2:$I$605,MATCH($H26,온라인_반찬!$C$2:$C$605,0),7),"")</f>
        <v>.6.</v>
      </c>
      <c r="J26" s="171"/>
      <c r="K26" s="194" t="str">
        <f>IFERROR(INDEX(온라인_반찬!$C$2:$I$605,MATCH($J26,온라인_반찬!$C$2:$C$605,0),7),"")</f>
        <v/>
      </c>
      <c r="L26" s="234"/>
      <c r="M26" s="232"/>
      <c r="N26" s="174"/>
      <c r="O26" s="194"/>
    </row>
    <row r="27" spans="1:18" ht="20.100000000000001" customHeight="1">
      <c r="A27" s="323"/>
      <c r="B27" s="174" t="s">
        <v>987</v>
      </c>
      <c r="C27" s="194" t="str">
        <f>IFERROR(INDEX(온라인_반찬!$C$2:$I$605,MATCH($B27,온라인_반찬!$C$2:$C$605,0),7),"")</f>
        <v>.1.5.19.</v>
      </c>
      <c r="D27" s="171" t="s">
        <v>2088</v>
      </c>
      <c r="E27" s="194" t="str">
        <f>IFERROR(INDEX(온라인_반찬!$C$2:$I$605,MATCH($D27,온라인_반찬!$C$2:$C$605,0),7),"")</f>
        <v>.5.6.12.16.21.</v>
      </c>
      <c r="F27" s="170" t="s">
        <v>365</v>
      </c>
      <c r="G27" s="194" t="str">
        <f>IFERROR(INDEX(온라인_반찬!$C$2:$I$605,MATCH($F27,온라인_반찬!$C$2:$C$605,0),7),"")</f>
        <v>.1.2.5.6.16.18.</v>
      </c>
      <c r="H27" s="171" t="s">
        <v>1747</v>
      </c>
      <c r="I27" s="194" t="str">
        <f>IFERROR(INDEX(온라인_반찬!$C$2:$I$605,MATCH($H27,온라인_반찬!$C$2:$C$605,0),7),"")</f>
        <v>.5.10.12.</v>
      </c>
      <c r="J27" s="171"/>
      <c r="K27" s="194" t="str">
        <f>IFERROR(INDEX(온라인_반찬!$C$2:$I$605,MATCH($J27,온라인_반찬!$C$2:$C$605,0),7),"")</f>
        <v/>
      </c>
      <c r="L27" s="234"/>
      <c r="M27" s="232"/>
      <c r="N27" s="174"/>
      <c r="O27" s="194"/>
    </row>
    <row r="28" spans="1:18" ht="20.100000000000001" customHeight="1">
      <c r="A28" s="323"/>
      <c r="B28" s="174" t="s">
        <v>2084</v>
      </c>
      <c r="C28" s="194" t="str">
        <f>IFERROR(INDEX(온라인_반찬!$C$2:$I$605,MATCH($B28,온라인_반찬!$C$2:$C$605,0),7),"")</f>
        <v>.5.6.10.12.15.16.</v>
      </c>
      <c r="D28" s="171" t="s">
        <v>1386</v>
      </c>
      <c r="E28" s="194" t="str">
        <f>IFERROR(INDEX(온라인_반찬!$C$2:$I$605,MATCH($D28,온라인_반찬!$C$2:$C$605,0),7),"")</f>
        <v>.5.9.21.</v>
      </c>
      <c r="F28" s="170" t="s">
        <v>1809</v>
      </c>
      <c r="G28" s="194" t="str">
        <f>IFERROR(INDEX(온라인_반찬!$C$2:$I$605,MATCH($F28,온라인_반찬!$C$2:$C$605,0),7),"")</f>
        <v>.5.21.22.</v>
      </c>
      <c r="H28" s="171" t="s">
        <v>2092</v>
      </c>
      <c r="I28" s="194" t="str">
        <f>IFERROR(INDEX(온라인_반찬!$C$2:$I$605,MATCH($H28,온라인_반찬!$C$2:$C$605,0),7),"")</f>
        <v>.1.2.5.6.15.16.</v>
      </c>
      <c r="J28" s="171"/>
      <c r="K28" s="194" t="str">
        <f>IFERROR(INDEX(온라인_반찬!$C$2:$I$605,MATCH($J28,온라인_반찬!$C$2:$C$605,0),7),"")</f>
        <v/>
      </c>
      <c r="L28" s="234"/>
      <c r="M28" s="232"/>
      <c r="N28" s="174"/>
      <c r="O28" s="194"/>
    </row>
    <row r="29" spans="1:18" ht="20.100000000000001" customHeight="1">
      <c r="A29" s="323"/>
      <c r="B29" s="174" t="s">
        <v>2085</v>
      </c>
      <c r="C29" s="194" t="str">
        <f>IFERROR(INDEX(온라인_반찬!$C$2:$I$605,MATCH($B29,온라인_반찬!$C$2:$C$605,0),7),"")</f>
        <v>.1.5.</v>
      </c>
      <c r="D29" s="170" t="s">
        <v>1806</v>
      </c>
      <c r="E29" s="194">
        <f>IFERROR(INDEX(온라인_반찬!$C$2:$I$605,MATCH($D29,온라인_반찬!$C$2:$C$605,0),7),"")</f>
        <v>0</v>
      </c>
      <c r="F29" s="170" t="s">
        <v>520</v>
      </c>
      <c r="G29" s="194" t="str">
        <f>IFERROR(INDEX(온라인_반찬!$C$2:$I$605,MATCH($F29,온라인_반찬!$C$2:$C$605,0),7),"")</f>
        <v>.6.9.</v>
      </c>
      <c r="H29" s="171" t="s">
        <v>2093</v>
      </c>
      <c r="I29" s="194" t="str">
        <f>IFERROR(INDEX(온라인_반찬!$C$2:$I$605,MATCH($H29,온라인_반찬!$C$2:$C$605,0),7),"")</f>
        <v>.2.5.6.12.13.</v>
      </c>
      <c r="J29" s="171"/>
      <c r="K29" s="194" t="str">
        <f>IFERROR(INDEX(온라인_반찬!$C$2:$I$605,MATCH($J29,온라인_반찬!$C$2:$C$605,0),7),"")</f>
        <v/>
      </c>
      <c r="L29" s="234"/>
      <c r="M29" s="232"/>
      <c r="N29" s="174"/>
      <c r="O29" s="194"/>
    </row>
    <row r="30" spans="1:18" ht="20.100000000000001" customHeight="1">
      <c r="A30" s="323"/>
      <c r="B30" s="174" t="s">
        <v>291</v>
      </c>
      <c r="C30" s="194" t="str">
        <f>IFERROR(INDEX(온라인_반찬!$C$2:$I$605,MATCH($B30,온라인_반찬!$C$2:$C$605,0),7),"")</f>
        <v>.9.12.</v>
      </c>
      <c r="D30" s="171" t="s">
        <v>2089</v>
      </c>
      <c r="E30" s="194" t="str">
        <f>IFERROR(INDEX(온라인_반찬!$C$2:$I$605,MATCH($D30,온라인_반찬!$C$2:$C$605,0),7),"")</f>
        <v>.5.</v>
      </c>
      <c r="F30" s="172" t="s">
        <v>2091</v>
      </c>
      <c r="G30" s="194" t="str">
        <f>IFERROR(INDEX(온라인_반찬!$C$2:$I$605,MATCH($F30,온라인_반찬!$C$2:$C$605,0),7),"")</f>
        <v>.5.15.</v>
      </c>
      <c r="H30" s="171" t="s">
        <v>1863</v>
      </c>
      <c r="I30" s="194">
        <f>IFERROR(INDEX(온라인_반찬!$C$2:$I$605,MATCH($H30,온라인_반찬!$C$2:$C$605,0),7),"")</f>
        <v>0</v>
      </c>
      <c r="J30" s="171"/>
      <c r="K30" s="194" t="str">
        <f>IFERROR(INDEX(온라인_반찬!$C$2:$I$605,MATCH($J30,온라인_반찬!$C$2:$C$605,0),7),"")</f>
        <v/>
      </c>
      <c r="L30" s="176"/>
      <c r="M30" s="194">
        <v>0</v>
      </c>
      <c r="N30" s="176"/>
      <c r="O30" s="194"/>
    </row>
    <row r="31" spans="1:18" ht="20.100000000000001" customHeight="1">
      <c r="A31" s="323"/>
      <c r="B31" s="174" t="s">
        <v>322</v>
      </c>
      <c r="C31" s="194" t="str">
        <f>IFERROR(INDEX(온라인_반찬!$C$2:$I$605,MATCH($B31,온라인_반찬!$C$2:$C$605,0),7),"")</f>
        <v>.5.16.</v>
      </c>
      <c r="D31" s="173"/>
      <c r="E31" s="194" t="str">
        <f>IFERROR(INDEX(온라인_반찬!$C$2:$I$605,MATCH($D31,온라인_반찬!$C$2:$C$605,0),7),"")</f>
        <v/>
      </c>
      <c r="F31" s="172"/>
      <c r="G31" s="194" t="str">
        <f>IFERROR(INDEX(온라인_반찬!$C$2:$I$605,MATCH($F31,온라인_반찬!$C$2:$C$605,0),7),"")</f>
        <v/>
      </c>
      <c r="H31" s="171" t="s">
        <v>1962</v>
      </c>
      <c r="I31" s="194">
        <f>IFERROR(INDEX(온라인_반찬!$C$2:$I$605,MATCH($H31,온라인_반찬!$C$2:$C$605,0),7),"")</f>
        <v>0</v>
      </c>
      <c r="J31" s="171"/>
      <c r="K31" s="194" t="str">
        <f>IFERROR(INDEX(온라인_반찬!$C$2:$I$605,MATCH($J31,온라인_반찬!$C$2:$C$605,0),7),"")</f>
        <v/>
      </c>
      <c r="L31" s="174"/>
      <c r="M31" s="194"/>
      <c r="N31" s="174"/>
      <c r="O31" s="194"/>
    </row>
    <row r="32" spans="1:18" ht="20.100000000000001" customHeight="1" thickBot="1">
      <c r="A32" s="324"/>
      <c r="B32" s="204"/>
      <c r="C32" s="195" t="str">
        <f>IFERROR(INDEX(온라인_반찬!$C$2:$I$605,MATCH($B32,온라인_반찬!$C$2:$C$605,0),7),"")</f>
        <v/>
      </c>
      <c r="D32" s="171"/>
      <c r="E32" s="195"/>
      <c r="F32" s="204"/>
      <c r="G32" s="194" t="str">
        <f>IFERROR(INDEX(온라인_반찬!$C$2:$I$605,MATCH($F32,온라인_반찬!$C$2:$C$605,0),7),"")</f>
        <v/>
      </c>
      <c r="H32" s="171"/>
      <c r="I32" s="195"/>
      <c r="J32" s="169"/>
      <c r="K32" s="194" t="str">
        <f>IFERROR(INDEX(온라인_반찬!$C$2:$I$605,MATCH($J32,온라인_반찬!$C$2:$C$605,0),7),"")</f>
        <v/>
      </c>
      <c r="L32" s="204"/>
      <c r="M32" s="195"/>
      <c r="N32" s="204"/>
      <c r="O32" s="195"/>
    </row>
    <row r="33" spans="1:13" ht="24.95" customHeight="1">
      <c r="A33" s="167" t="s">
        <v>913</v>
      </c>
      <c r="B33" s="320">
        <v>46223</v>
      </c>
      <c r="C33" s="321"/>
      <c r="D33" s="320">
        <v>46224</v>
      </c>
      <c r="E33" s="321"/>
      <c r="F33" s="320">
        <v>46225</v>
      </c>
      <c r="G33" s="321"/>
      <c r="H33" s="320">
        <v>46226</v>
      </c>
      <c r="I33" s="321"/>
      <c r="J33" s="320">
        <v>46227</v>
      </c>
      <c r="K33" s="321"/>
      <c r="L33" s="328"/>
      <c r="M33" s="329"/>
    </row>
    <row r="34" spans="1:13" ht="20.100000000000001" customHeight="1" thickBot="1">
      <c r="A34" s="222" t="s">
        <v>915</v>
      </c>
      <c r="B34" s="208"/>
      <c r="C34" s="211" t="s">
        <v>917</v>
      </c>
      <c r="D34" s="208" t="s">
        <v>916</v>
      </c>
      <c r="E34" s="211" t="s">
        <v>917</v>
      </c>
      <c r="F34" s="208" t="s">
        <v>916</v>
      </c>
      <c r="G34" s="211" t="s">
        <v>917</v>
      </c>
      <c r="H34" s="208" t="s">
        <v>916</v>
      </c>
      <c r="I34" s="211" t="s">
        <v>917</v>
      </c>
      <c r="J34" s="208" t="s">
        <v>916</v>
      </c>
      <c r="K34" s="209" t="s">
        <v>917</v>
      </c>
      <c r="L34" s="208"/>
      <c r="M34" s="209"/>
    </row>
    <row r="35" spans="1:13" ht="20.100000000000001" customHeight="1">
      <c r="A35" s="322" t="s">
        <v>920</v>
      </c>
      <c r="B35" s="235" t="s">
        <v>1807</v>
      </c>
      <c r="C35" s="264">
        <f>IFERROR(INDEX(온라인_반찬!$C$2:$I$605,MATCH($B35,온라인_반찬!$C$2:$C$605,0),7),"")</f>
        <v>0</v>
      </c>
      <c r="D35" s="175" t="s">
        <v>1804</v>
      </c>
      <c r="E35" s="194">
        <f>IFERROR(INDEX(온라인_반찬!$C$2:$I$605,MATCH($D35,온라인_반찬!$C$2:$C$605,0),7),"")</f>
        <v>0</v>
      </c>
      <c r="F35" s="175" t="s">
        <v>1805</v>
      </c>
      <c r="G35" s="194">
        <f>IFERROR(INDEX(온라인_반찬!$C$2:$I$605,MATCH($F35,온라인_반찬!$C$2:$C$605,0),7),"")</f>
        <v>0</v>
      </c>
      <c r="H35" s="169" t="s">
        <v>235</v>
      </c>
      <c r="I35" s="194">
        <f>IFERROR(INDEX(온라인_반찬!$C$2:$I$605,MATCH($H35,온라인_반찬!$C$2:$C$605,0),7),"")</f>
        <v>0</v>
      </c>
      <c r="J35" s="169" t="s">
        <v>1807</v>
      </c>
      <c r="K35" s="194">
        <f>IFERROR(INDEX(온라인_반찬!$C$2:$I$605,MATCH($J35,온라인_반찬!$C$2:$C$605,0),7),"")</f>
        <v>0</v>
      </c>
      <c r="L35" s="233"/>
      <c r="M35" s="232"/>
    </row>
    <row r="36" spans="1:13" ht="20.100000000000001" customHeight="1">
      <c r="A36" s="323"/>
      <c r="B36" s="175" t="s">
        <v>2094</v>
      </c>
      <c r="C36" s="194" t="str">
        <f>IFERROR(INDEX(온라인_반찬!$C$2:$I$605,MATCH($B36,온라인_반찬!$C$2:$C$605,0),7),"")</f>
        <v>.2.5.6.12.16.</v>
      </c>
      <c r="D36" s="169" t="s">
        <v>2097</v>
      </c>
      <c r="E36" s="194" t="str">
        <f>IFERROR(INDEX(온라인_반찬!$C$2:$I$605,MATCH($D36,온라인_반찬!$C$2:$C$605,0),7),"")</f>
        <v>.5.15.21.</v>
      </c>
      <c r="F36" s="170" t="s">
        <v>2101</v>
      </c>
      <c r="G36" s="194" t="str">
        <f>IFERROR(INDEX(온라인_반찬!$C$2:$I$605,MATCH($F36,온라인_반찬!$C$2:$C$605,0),7),"")</f>
        <v>.5.16.21.22.</v>
      </c>
      <c r="H36" s="171" t="s">
        <v>2102</v>
      </c>
      <c r="I36" s="194" t="str">
        <f>IFERROR(INDEX(온라인_반찬!$C$2:$I$605,MATCH($H36,온라인_반찬!$C$2:$C$605,0),7),"")</f>
        <v>.5.6.10.21.</v>
      </c>
      <c r="J36" s="171" t="s">
        <v>2105</v>
      </c>
      <c r="K36" s="194" t="str">
        <f>IFERROR(INDEX(온라인_반찬!$C$2:$I$605,MATCH($J36,온라인_반찬!$C$2:$C$605,0),7),"")</f>
        <v>.2.5.6.12.15.</v>
      </c>
      <c r="L36" s="234"/>
      <c r="M36" s="232"/>
    </row>
    <row r="37" spans="1:13" ht="20.100000000000001" customHeight="1">
      <c r="A37" s="323"/>
      <c r="B37" s="174" t="s">
        <v>2095</v>
      </c>
      <c r="C37" s="194" t="str">
        <f>IFERROR(INDEX(온라인_반찬!$C$2:$I$605,MATCH($B37,온라인_반찬!$C$2:$C$605,0),7),"")</f>
        <v>.2.5.6.</v>
      </c>
      <c r="D37" s="171" t="s">
        <v>2098</v>
      </c>
      <c r="E37" s="194" t="str">
        <f>IFERROR(INDEX(온라인_반찬!$C$2:$I$605,MATCH($D37,온라인_반찬!$C$2:$C$605,0),7),"")</f>
        <v>.1.5.8.21.</v>
      </c>
      <c r="F37" s="170" t="s">
        <v>340</v>
      </c>
      <c r="G37" s="194" t="str">
        <f>IFERROR(INDEX(온라인_반찬!$C$2:$I$605,MATCH($F37,온라인_반찬!$C$2:$C$605,0),7),"")</f>
        <v>.5.16.21.</v>
      </c>
      <c r="H37" s="171" t="s">
        <v>2103</v>
      </c>
      <c r="I37" s="194" t="str">
        <f>IFERROR(INDEX(온라인_반찬!$C$2:$I$605,MATCH($H37,온라인_반찬!$C$2:$C$605,0),7),"")</f>
        <v>.1.2.5.6.10.15.17.</v>
      </c>
      <c r="J37" s="171" t="s">
        <v>1003</v>
      </c>
      <c r="K37" s="194" t="str">
        <f>IFERROR(INDEX(온라인_반찬!$C$2:$I$605,MATCH($J37,온라인_반찬!$C$2:$C$605,0),7),"")</f>
        <v>.1.2.5.6.10.12.16.</v>
      </c>
      <c r="L37" s="234"/>
      <c r="M37" s="232"/>
    </row>
    <row r="38" spans="1:13" ht="20.100000000000001" customHeight="1">
      <c r="A38" s="323"/>
      <c r="B38" s="174" t="s">
        <v>343</v>
      </c>
      <c r="C38" s="194" t="str">
        <f>IFERROR(INDEX(온라인_반찬!$C$2:$I$605,MATCH($B38,온라인_반찬!$C$2:$C$605,0),7),"")</f>
        <v>.1.5.21.</v>
      </c>
      <c r="D38" s="171" t="s">
        <v>2099</v>
      </c>
      <c r="E38" s="194" t="str">
        <f>IFERROR(INDEX(온라인_반찬!$C$2:$I$605,MATCH($D38,온라인_반찬!$C$2:$C$605,0),7),"")</f>
        <v>.5.21.</v>
      </c>
      <c r="F38" s="170" t="s">
        <v>518</v>
      </c>
      <c r="G38" s="194" t="str">
        <f>IFERROR(INDEX(온라인_반찬!$C$2:$I$605,MATCH($F38,온라인_반찬!$C$2:$C$605,0),7),"")</f>
        <v>.5.</v>
      </c>
      <c r="H38" s="171" t="s">
        <v>405</v>
      </c>
      <c r="I38" s="194" t="str">
        <f>IFERROR(INDEX(온라인_반찬!$C$2:$I$605,MATCH($H38,온라인_반찬!$C$2:$C$605,0),7),"")</f>
        <v>.5.21.</v>
      </c>
      <c r="J38" s="171" t="s">
        <v>1808</v>
      </c>
      <c r="K38" s="194" t="str">
        <f>IFERROR(INDEX(온라인_반찬!$C$2:$I$605,MATCH($J38,온라인_반찬!$C$2:$C$605,0),7),"")</f>
        <v>.21.</v>
      </c>
      <c r="L38" s="234"/>
      <c r="M38" s="232"/>
    </row>
    <row r="39" spans="1:13" ht="20.100000000000001" customHeight="1">
      <c r="A39" s="323"/>
      <c r="B39" s="174" t="s">
        <v>291</v>
      </c>
      <c r="C39" s="194" t="str">
        <f>IFERROR(INDEX(온라인_반찬!$C$2:$I$605,MATCH($B39,온라인_반찬!$C$2:$C$605,0),7),"")</f>
        <v>.9.12.</v>
      </c>
      <c r="D39" s="171" t="s">
        <v>191</v>
      </c>
      <c r="E39" s="194" t="str">
        <f>IFERROR(INDEX(온라인_반찬!$C$2:$I$605,MATCH($D39,온라인_반찬!$C$2:$C$605,0),7),"")</f>
        <v>.6.9.</v>
      </c>
      <c r="F39" s="170" t="s">
        <v>1896</v>
      </c>
      <c r="G39" s="194" t="str">
        <f>IFERROR(INDEX(온라인_반찬!$C$2:$I$605,MATCH($F39,온라인_반찬!$C$2:$C$605,0),7),"")</f>
        <v>.5.21.</v>
      </c>
      <c r="H39" s="171" t="s">
        <v>191</v>
      </c>
      <c r="I39" s="194" t="str">
        <f>IFERROR(INDEX(온라인_반찬!$C$2:$I$605,MATCH($H39,온라인_반찬!$C$2:$C$605,0),7),"")</f>
        <v>.6.9.</v>
      </c>
      <c r="J39" s="171" t="s">
        <v>291</v>
      </c>
      <c r="K39" s="194" t="str">
        <f>IFERROR(INDEX(온라인_반찬!$C$2:$I$605,MATCH($J39,온라인_반찬!$C$2:$C$605,0),7),"")</f>
        <v>.9.12.</v>
      </c>
      <c r="L39" s="234"/>
      <c r="M39" s="232"/>
    </row>
    <row r="40" spans="1:13" ht="20.100000000000001" customHeight="1">
      <c r="A40" s="323"/>
      <c r="B40" s="174" t="s">
        <v>2096</v>
      </c>
      <c r="C40" s="194" t="str">
        <f>IFERROR(INDEX(온라인_반찬!$C$2:$I$605,MATCH($B40,온라인_반찬!$C$2:$C$605,0),7),"")</f>
        <v>.1.2.5.6.10.16.21.</v>
      </c>
      <c r="D40" s="171" t="s">
        <v>2100</v>
      </c>
      <c r="E40" s="194" t="str">
        <f>IFERROR(INDEX(온라인_반찬!$C$2:$I$605,MATCH($D40,온라인_반찬!$C$2:$C$605,0),7),"")</f>
        <v>.2.5.6.9.12.16.</v>
      </c>
      <c r="F40" s="170" t="s">
        <v>1806</v>
      </c>
      <c r="G40" s="194">
        <f>IFERROR(INDEX(온라인_반찬!$C$2:$I$605,MATCH($F40,온라인_반찬!$C$2:$C$605,0),7),"")</f>
        <v>0</v>
      </c>
      <c r="H40" s="171" t="s">
        <v>2104</v>
      </c>
      <c r="I40" s="194" t="str">
        <f>IFERROR(INDEX(온라인_반찬!$C$2:$I$605,MATCH($H40,온라인_반찬!$C$2:$C$605,0),7),"")</f>
        <v>.1.5.</v>
      </c>
      <c r="J40" s="171" t="s">
        <v>796</v>
      </c>
      <c r="K40" s="194" t="str">
        <f>IFERROR(INDEX(온라인_반찬!$C$2:$I$605,MATCH($J40,온라인_반찬!$C$2:$C$605,0),7),"")</f>
        <v>.5.16.</v>
      </c>
      <c r="L40" s="176"/>
      <c r="M40" s="194"/>
    </row>
    <row r="41" spans="1:13" ht="20.100000000000001" customHeight="1">
      <c r="A41" s="323"/>
      <c r="B41" s="174"/>
      <c r="C41" s="194" t="str">
        <f>IFERROR(INDEX(온라인_반찬!$C$2:$I$605,MATCH($B41,온라인_반찬!$C$2:$C$605,0),7),"")</f>
        <v/>
      </c>
      <c r="D41" s="173"/>
      <c r="E41" s="194" t="str">
        <f>IFERROR(INDEX(온라인_반찬!$C$2:$I$605,MATCH($D41,온라인_반찬!$C$2:$C$605,0),7),"")</f>
        <v/>
      </c>
      <c r="F41" s="172" t="s">
        <v>257</v>
      </c>
      <c r="G41" s="194" t="str">
        <f>IFERROR(INDEX(온라인_반찬!$C$2:$I$605,MATCH($F41,온라인_반찬!$C$2:$C$605,0),7),"")</f>
        <v>.5.21.</v>
      </c>
      <c r="H41" s="169"/>
      <c r="I41" s="194" t="str">
        <f>IFERROR(INDEX(온라인_반찬!$C$2:$I$605,MATCH($H41,온라인_반찬!$C$2:$C$605,0),7),"")</f>
        <v/>
      </c>
      <c r="J41" s="171"/>
      <c r="K41" s="194" t="str">
        <f>IFERROR(INDEX(온라인_반찬!$C$2:$I$605,MATCH($J41,온라인_반찬!$C$2:$C$605,0),7),"")</f>
        <v/>
      </c>
      <c r="L41" s="174"/>
      <c r="M41" s="194"/>
    </row>
    <row r="42" spans="1:13" ht="20.100000000000001" customHeight="1" thickBot="1">
      <c r="A42" s="324"/>
      <c r="B42" s="204"/>
      <c r="C42" s="195" t="str">
        <f>IFERROR(INDEX(온라인_반찬!$C$2:$I$605,MATCH($B42,온라인_반찬!$C$2:$C$605,0),7),"")</f>
        <v/>
      </c>
      <c r="D42" s="171"/>
      <c r="E42" s="195"/>
      <c r="F42" s="204"/>
      <c r="G42" s="194" t="str">
        <f>IFERROR(INDEX(온라인_반찬!$C$2:$I$605,MATCH($F42,온라인_반찬!$C$2:$C$605,0),7),"")</f>
        <v/>
      </c>
      <c r="H42" s="171"/>
      <c r="I42" s="195"/>
      <c r="J42" s="169"/>
      <c r="K42" s="194" t="str">
        <f>IFERROR(INDEX(온라인_반찬!$C$2:$I$605,MATCH($J42,온라인_반찬!$C$2:$C$605,0),7),"")</f>
        <v/>
      </c>
      <c r="L42" s="204"/>
      <c r="M42" s="195"/>
    </row>
    <row r="43" spans="1:13" ht="24.95" customHeight="1">
      <c r="A43" s="167" t="s">
        <v>913</v>
      </c>
      <c r="B43" s="328">
        <v>46230</v>
      </c>
      <c r="C43" s="329"/>
      <c r="D43" s="328">
        <v>46231</v>
      </c>
      <c r="E43" s="329"/>
      <c r="F43" s="328">
        <v>46232</v>
      </c>
      <c r="G43" s="329"/>
      <c r="H43" s="328">
        <v>46233</v>
      </c>
      <c r="I43" s="329"/>
      <c r="J43" s="328">
        <v>46234</v>
      </c>
      <c r="K43" s="329"/>
      <c r="L43" s="328"/>
      <c r="M43" s="329"/>
    </row>
    <row r="44" spans="1:13" ht="20.100000000000001" customHeight="1" thickBot="1">
      <c r="A44" s="222" t="s">
        <v>915</v>
      </c>
      <c r="B44" s="208" t="s">
        <v>916</v>
      </c>
      <c r="C44" s="223" t="s">
        <v>917</v>
      </c>
      <c r="D44" s="208" t="s">
        <v>916</v>
      </c>
      <c r="E44" s="211" t="s">
        <v>917</v>
      </c>
      <c r="F44" s="208" t="s">
        <v>916</v>
      </c>
      <c r="G44" s="211" t="s">
        <v>917</v>
      </c>
      <c r="H44" s="208" t="s">
        <v>916</v>
      </c>
      <c r="I44" s="211" t="s">
        <v>917</v>
      </c>
      <c r="J44" s="208" t="s">
        <v>916</v>
      </c>
      <c r="K44" s="209" t="s">
        <v>917</v>
      </c>
      <c r="L44" s="208"/>
      <c r="M44" s="209"/>
    </row>
    <row r="45" spans="1:13" ht="20.100000000000001" customHeight="1">
      <c r="A45" s="323" t="s">
        <v>921</v>
      </c>
      <c r="B45" s="235" t="s">
        <v>1807</v>
      </c>
      <c r="C45" s="264">
        <f>IFERROR(INDEX(온라인_반찬!$C$2:$I$605,MATCH($B45,온라인_반찬!$C$2:$C$605,0),7),"")</f>
        <v>0</v>
      </c>
      <c r="D45" s="175" t="s">
        <v>1804</v>
      </c>
      <c r="E45" s="194">
        <f>IFERROR(INDEX(온라인_반찬!$C$2:$I$605,MATCH($D45,온라인_반찬!$C$2:$C$605,0),7),"")</f>
        <v>0</v>
      </c>
      <c r="F45" s="175" t="s">
        <v>1805</v>
      </c>
      <c r="G45" s="194">
        <f>IFERROR(INDEX(온라인_반찬!$C$2:$I$605,MATCH($F45,온라인_반찬!$C$2:$C$605,0),7),"")</f>
        <v>0</v>
      </c>
      <c r="H45" s="169" t="s">
        <v>235</v>
      </c>
      <c r="I45" s="194">
        <f>IFERROR(INDEX(온라인_반찬!$C$2:$I$605,MATCH($H45,온라인_반찬!$C$2:$C$605,0),7),"")</f>
        <v>0</v>
      </c>
      <c r="J45" s="169" t="s">
        <v>1807</v>
      </c>
      <c r="K45" s="194">
        <f>IFERROR(INDEX(온라인_반찬!$C$2:$I$605,MATCH($J45,온라인_반찬!$C$2:$C$605,0),7),"")</f>
        <v>0</v>
      </c>
      <c r="L45" s="233"/>
      <c r="M45" s="232"/>
    </row>
    <row r="46" spans="1:13" ht="20.100000000000001" customHeight="1">
      <c r="A46" s="323"/>
      <c r="B46" s="175" t="s">
        <v>418</v>
      </c>
      <c r="C46" s="194" t="str">
        <f>IFERROR(INDEX(온라인_반찬!$C$2:$I$605,MATCH($B46,온라인_반찬!$C$2:$C$605,0),7),"")</f>
        <v>.1.5.10.19.21.</v>
      </c>
      <c r="D46" s="169" t="s">
        <v>2106</v>
      </c>
      <c r="E46" s="194" t="str">
        <f>IFERROR(INDEX(온라인_반찬!$C$2:$I$605,MATCH($D46,온라인_반찬!$C$2:$C$605,0),7),"")</f>
        <v>.5.16.21.</v>
      </c>
      <c r="F46" s="170" t="s">
        <v>2075</v>
      </c>
      <c r="G46" s="194" t="str">
        <f>IFERROR(INDEX(온라인_반찬!$C$2:$I$605,MATCH($F46,온라인_반찬!$C$2:$C$605,0),7),"")</f>
        <v>.2.5.6.10.16.21.</v>
      </c>
      <c r="H46" s="171" t="s">
        <v>2110</v>
      </c>
      <c r="I46" s="194" t="str">
        <f>IFERROR(INDEX(온라인_반찬!$C$2:$I$605,MATCH($H46,온라인_반찬!$C$2:$C$605,0),7),"")</f>
        <v>.2.5.6.15.16.21.</v>
      </c>
      <c r="J46" s="171" t="s">
        <v>2112</v>
      </c>
      <c r="K46" s="194" t="str">
        <f>IFERROR(INDEX(온라인_반찬!$C$2:$I$605,MATCH($J46,온라인_반찬!$C$2:$C$605,0),7),"")</f>
        <v>.5.10.21.</v>
      </c>
      <c r="L46" s="234"/>
      <c r="M46" s="232"/>
    </row>
    <row r="47" spans="1:13" ht="20.100000000000001" customHeight="1">
      <c r="A47" s="323"/>
      <c r="B47" s="174" t="s">
        <v>2073</v>
      </c>
      <c r="C47" s="194" t="str">
        <f>IFERROR(INDEX(온라인_반찬!$C$2:$I$605,MATCH($B47,온라인_반찬!$C$2:$C$605,0),7),"")</f>
        <v>.5.6.</v>
      </c>
      <c r="D47" s="171" t="s">
        <v>2107</v>
      </c>
      <c r="E47" s="194" t="str">
        <f>IFERROR(INDEX(온라인_반찬!$C$2:$I$605,MATCH($D47,온라인_반찬!$C$2:$C$605,0),7),"")</f>
        <v>.5.6.10.12.15.16.21.</v>
      </c>
      <c r="F47" s="170" t="s">
        <v>2076</v>
      </c>
      <c r="G47" s="194" t="str">
        <f>IFERROR(INDEX(온라인_반찬!$C$2:$I$605,MATCH($F47,온라인_반찬!$C$2:$C$605,0),7),"")</f>
        <v>1.5.6.17.</v>
      </c>
      <c r="H47" s="171" t="s">
        <v>2111</v>
      </c>
      <c r="I47" s="194" t="str">
        <f>IFERROR(INDEX(온라인_반찬!$C$2:$I$605,MATCH($H47,온라인_반찬!$C$2:$C$605,0),7),"")</f>
        <v/>
      </c>
      <c r="J47" s="171" t="s">
        <v>2113</v>
      </c>
      <c r="K47" s="194" t="str">
        <f>IFERROR(INDEX(온라인_반찬!$C$2:$I$605,MATCH($J47,온라인_반찬!$C$2:$C$605,0),7),"")</f>
        <v>.1.2.5.6.15.16.</v>
      </c>
      <c r="L47" s="234"/>
      <c r="M47" s="232"/>
    </row>
    <row r="48" spans="1:13" ht="20.100000000000001" customHeight="1">
      <c r="A48" s="323"/>
      <c r="B48" s="174" t="s">
        <v>406</v>
      </c>
      <c r="C48" s="194" t="str">
        <f>IFERROR(INDEX(온라인_반찬!$C$2:$I$605,MATCH($B48,온라인_반찬!$C$2:$C$605,0),7),"")</f>
        <v>.1.5.16.</v>
      </c>
      <c r="D48" s="171" t="s">
        <v>2108</v>
      </c>
      <c r="E48" s="194" t="str">
        <f>IFERROR(INDEX(온라인_반찬!$C$2:$I$605,MATCH($D48,온라인_반찬!$C$2:$C$605,0),7),"")</f>
        <v>.5.21.</v>
      </c>
      <c r="F48" s="170" t="s">
        <v>2077</v>
      </c>
      <c r="G48" s="194" t="str">
        <f>IFERROR(INDEX(온라인_반찬!$C$2:$I$605,MATCH($F48,온라인_반찬!$C$2:$C$605,0),7),"")</f>
        <v>.5.21.</v>
      </c>
      <c r="H48" s="171" t="s">
        <v>402</v>
      </c>
      <c r="I48" s="194" t="str">
        <f>IFERROR(INDEX(온라인_반찬!$C$2:$I$605,MATCH($H48,온라인_반찬!$C$2:$C$605,0),7),"")</f>
        <v>.5.21.</v>
      </c>
      <c r="J48" s="171" t="s">
        <v>1903</v>
      </c>
      <c r="K48" s="194" t="str">
        <f>IFERROR(INDEX(온라인_반찬!$C$2:$I$605,MATCH($J48,온라인_반찬!$C$2:$C$605,0),7),"")</f>
        <v>.1.5.6.21.</v>
      </c>
      <c r="L48" s="234"/>
      <c r="M48" s="232"/>
    </row>
    <row r="49" spans="1:13" ht="20.100000000000001" customHeight="1">
      <c r="A49" s="323"/>
      <c r="B49" s="174" t="s">
        <v>291</v>
      </c>
      <c r="C49" s="194" t="str">
        <f>IFERROR(INDEX(온라인_반찬!$C$2:$I$605,MATCH($B49,온라인_반찬!$C$2:$C$605,0),7),"")</f>
        <v>.9.12.</v>
      </c>
      <c r="D49" s="170" t="s">
        <v>191</v>
      </c>
      <c r="E49" s="194" t="str">
        <f>IFERROR(INDEX(온라인_반찬!$C$2:$I$605,MATCH($D49,온라인_반찬!$C$2:$C$605,0),7),"")</f>
        <v>.6.9.</v>
      </c>
      <c r="F49" s="170" t="s">
        <v>1806</v>
      </c>
      <c r="G49" s="194">
        <f>IFERROR(INDEX(온라인_반찬!$C$2:$I$605,MATCH($F49,온라인_반찬!$C$2:$C$605,0),7),"")</f>
        <v>0</v>
      </c>
      <c r="H49" s="171" t="s">
        <v>191</v>
      </c>
      <c r="I49" s="194" t="str">
        <f>IFERROR(INDEX(온라인_반찬!$C$2:$I$605,MATCH($H49,온라인_반찬!$C$2:$C$605,0),7),"")</f>
        <v>.6.9.</v>
      </c>
      <c r="J49" s="171" t="s">
        <v>291</v>
      </c>
      <c r="K49" s="194" t="str">
        <f>IFERROR(INDEX(온라인_반찬!$C$2:$I$605,MATCH($J49,온라인_반찬!$C$2:$C$605,0),7),"")</f>
        <v>.9.12.</v>
      </c>
      <c r="L49" s="234"/>
      <c r="M49" s="232"/>
    </row>
    <row r="50" spans="1:13" ht="20.100000000000001" customHeight="1">
      <c r="A50" s="323"/>
      <c r="B50" s="174" t="s">
        <v>2074</v>
      </c>
      <c r="C50" s="194" t="str">
        <f>IFERROR(INDEX(온라인_반찬!$C$2:$I$605,MATCH($B50,온라인_반찬!$C$2:$C$605,0),7),"")</f>
        <v>.5.17.</v>
      </c>
      <c r="D50" s="171" t="s">
        <v>2078</v>
      </c>
      <c r="E50" s="194" t="str">
        <f>IFERROR(INDEX(온라인_반찬!$C$2:$I$605,MATCH($D50,온라인_반찬!$C$2:$C$605,0),7),"")</f>
        <v>.5.</v>
      </c>
      <c r="F50" s="172" t="s">
        <v>2109</v>
      </c>
      <c r="G50" s="194" t="str">
        <f>IFERROR(INDEX(온라인_반찬!$C$2:$I$605,MATCH($F50,온라인_반찬!$C$2:$C$605,0),7),"")</f>
        <v>.5.21.</v>
      </c>
      <c r="H50" s="171" t="s">
        <v>2081</v>
      </c>
      <c r="I50" s="194" t="str">
        <f>IFERROR(INDEX(온라인_반찬!$C$2:$I$605,MATCH($H50,온라인_반찬!$C$2:$C$605,0),7),"")</f>
        <v>.5.10.15.16..</v>
      </c>
      <c r="J50" s="171" t="s">
        <v>334</v>
      </c>
      <c r="K50" s="194" t="str">
        <f>IFERROR(INDEX(온라인_반찬!$C$2:$I$605,MATCH($J50,온라인_반찬!$C$2:$C$605,0),7),"")</f>
        <v>.5.9.16.</v>
      </c>
      <c r="L50" s="176"/>
      <c r="M50" s="194"/>
    </row>
    <row r="51" spans="1:13" ht="20.100000000000001" customHeight="1">
      <c r="A51" s="323"/>
      <c r="B51" s="174"/>
      <c r="C51" s="194" t="str">
        <f>IFERROR(INDEX(온라인_반찬!$C$2:$I$605,MATCH($B51,온라인_반찬!$C$2:$C$605,0),7),"")</f>
        <v/>
      </c>
      <c r="D51" s="173"/>
      <c r="E51" s="194" t="str">
        <f>IFERROR(INDEX(온라인_반찬!$C$2:$I$605,MATCH($D51,온라인_반찬!$C$2:$C$605,0),7),"")</f>
        <v/>
      </c>
      <c r="F51" s="172"/>
      <c r="G51" s="194" t="str">
        <f>IFERROR(INDEX(온라인_반찬!$C$2:$I$605,MATCH($F51,온라인_반찬!$C$2:$C$605,0),7),"")</f>
        <v/>
      </c>
      <c r="H51" s="169"/>
      <c r="I51" s="194" t="str">
        <f>IFERROR(INDEX(온라인_반찬!$C$2:$I$605,MATCH($H51,온라인_반찬!$C$2:$C$605,0),7),"")</f>
        <v/>
      </c>
      <c r="J51" s="171"/>
      <c r="K51" s="194" t="str">
        <f>IFERROR(INDEX(온라인_반찬!$C$2:$I$605,MATCH($J51,온라인_반찬!$C$2:$C$605,0),7),"")</f>
        <v/>
      </c>
      <c r="L51" s="174"/>
      <c r="M51" s="194"/>
    </row>
    <row r="52" spans="1:13" ht="19.5" customHeight="1" thickBot="1">
      <c r="A52" s="323"/>
      <c r="B52" s="204"/>
      <c r="C52" s="195" t="str">
        <f>IFERROR(INDEX(온라인_반찬!$C$2:$I$605,MATCH($B52,온라인_반찬!$C$2:$C$605,0),7),"")</f>
        <v/>
      </c>
      <c r="D52" s="171"/>
      <c r="E52" s="195"/>
      <c r="F52" s="204"/>
      <c r="G52" s="194" t="str">
        <f>IFERROR(INDEX(온라인_반찬!$C$2:$I$605,MATCH($F52,온라인_반찬!$C$2:$C$605,0),7),"")</f>
        <v/>
      </c>
      <c r="H52" s="171"/>
      <c r="I52" s="195"/>
      <c r="J52" s="169"/>
      <c r="K52" s="194" t="str">
        <f>IFERROR(INDEX(온라인_반찬!$C$2:$I$605,MATCH($J52,온라인_반찬!$C$2:$C$605,0),7),"")</f>
        <v/>
      </c>
      <c r="L52" s="204"/>
      <c r="M52" s="195"/>
    </row>
    <row r="53" spans="1:13" ht="150" customHeight="1" thickBot="1">
      <c r="A53" s="325" t="s">
        <v>1209</v>
      </c>
      <c r="B53" s="326"/>
      <c r="C53" s="326"/>
      <c r="D53" s="326"/>
      <c r="E53" s="326"/>
      <c r="F53" s="326"/>
      <c r="G53" s="326"/>
      <c r="H53" s="326"/>
      <c r="I53" s="326"/>
      <c r="J53" s="326"/>
      <c r="K53" s="327"/>
    </row>
  </sheetData>
  <mergeCells count="44"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B3:C3"/>
    <mergeCell ref="D3:E3"/>
    <mergeCell ref="F3:G3"/>
    <mergeCell ref="H3:I3"/>
    <mergeCell ref="A1:K1"/>
    <mergeCell ref="B2:C2"/>
    <mergeCell ref="D2:E2"/>
    <mergeCell ref="F2:G2"/>
    <mergeCell ref="H2:I2"/>
    <mergeCell ref="J2:K2"/>
    <mergeCell ref="A53:K53"/>
    <mergeCell ref="A35:A42"/>
    <mergeCell ref="B43:C43"/>
    <mergeCell ref="D43:E43"/>
    <mergeCell ref="F43:G43"/>
    <mergeCell ref="H43:I43"/>
    <mergeCell ref="J43:K43"/>
    <mergeCell ref="A45:A52"/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  <mergeCell ref="F23:G23"/>
    <mergeCell ref="H23:I23"/>
  </mergeCells>
  <phoneticPr fontId="12" type="noConversion"/>
  <pageMargins left="0.7" right="0.7" top="0.75" bottom="0.75" header="0.3" footer="0.3"/>
  <pageSetup paperSize="9" scale="5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F0000"/>
    <pageSetUpPr fitToPage="1"/>
  </sheetPr>
  <dimension ref="A1:AR583"/>
  <sheetViews>
    <sheetView zoomScale="70" zoomScaleNormal="70" zoomScaleSheetLayoutView="75" workbookViewId="0">
      <pane xSplit="7" ySplit="1" topLeftCell="H309" activePane="bottomRight" state="frozen"/>
      <selection activeCell="G4" sqref="G4"/>
      <selection pane="topRight" activeCell="G4" sqref="G4"/>
      <selection pane="bottomLeft" activeCell="G4" sqref="G4"/>
      <selection pane="bottomRight" activeCell="H327" sqref="H327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28" hidden="1" customWidth="1"/>
    <col min="7" max="7" width="9.375" style="28" hidden="1" customWidth="1"/>
    <col min="8" max="8" width="112.5" style="84" customWidth="1"/>
    <col min="9" max="9" width="18" style="193" customWidth="1"/>
    <col min="10" max="10" width="46.75" style="141" customWidth="1"/>
    <col min="11" max="11" width="10.75" style="28" bestFit="1" customWidth="1"/>
    <col min="12" max="14" width="10.625" style="8" customWidth="1"/>
    <col min="15" max="17" width="8.625" style="8" customWidth="1"/>
    <col min="18" max="18" width="5.625" style="54" customWidth="1"/>
    <col min="19" max="21" width="8.625" style="8" customWidth="1"/>
    <col min="22" max="22" width="5.625" style="54" customWidth="1"/>
    <col min="23" max="23" width="10" style="33" customWidth="1"/>
    <col min="24" max="24" width="49.875" style="18" customWidth="1"/>
    <col min="25" max="26" width="8.625" style="60" customWidth="1"/>
    <col min="30" max="30" width="9" style="24"/>
    <col min="31" max="31" width="10" style="33" customWidth="1"/>
    <col min="32" max="32" width="48.75" style="18" customWidth="1"/>
    <col min="36" max="36" width="9" style="24"/>
    <col min="37" max="37" width="10" style="33" customWidth="1"/>
    <col min="38" max="38" width="49.875" style="18" customWidth="1"/>
    <col min="42" max="42" width="9" style="24"/>
  </cols>
  <sheetData>
    <row r="1" spans="1:42" ht="53.25" customHeight="1">
      <c r="A1" s="1" t="s">
        <v>73</v>
      </c>
      <c r="B1" s="1" t="s">
        <v>69</v>
      </c>
      <c r="C1" s="1" t="s">
        <v>888</v>
      </c>
      <c r="D1" s="2" t="s">
        <v>269</v>
      </c>
      <c r="E1" s="2" t="s">
        <v>273</v>
      </c>
      <c r="F1" s="2" t="s">
        <v>250</v>
      </c>
      <c r="G1" s="2" t="s">
        <v>266</v>
      </c>
      <c r="H1" s="83" t="s">
        <v>290</v>
      </c>
      <c r="I1" s="83" t="s">
        <v>825</v>
      </c>
      <c r="J1" s="85" t="s">
        <v>581</v>
      </c>
      <c r="K1" s="3" t="s">
        <v>600</v>
      </c>
      <c r="L1" s="2" t="s">
        <v>260</v>
      </c>
      <c r="M1" s="2" t="s">
        <v>248</v>
      </c>
      <c r="N1" s="2" t="s">
        <v>261</v>
      </c>
      <c r="O1" s="43" t="s">
        <v>284</v>
      </c>
      <c r="P1" s="43" t="s">
        <v>277</v>
      </c>
      <c r="Q1" s="43" t="s">
        <v>280</v>
      </c>
      <c r="R1" s="52" t="s">
        <v>77</v>
      </c>
      <c r="S1" s="43" t="s">
        <v>283</v>
      </c>
      <c r="T1" s="43" t="s">
        <v>282</v>
      </c>
      <c r="U1" s="43" t="s">
        <v>278</v>
      </c>
      <c r="V1" s="52" t="s">
        <v>77</v>
      </c>
      <c r="W1" s="40" t="s">
        <v>270</v>
      </c>
      <c r="X1" s="41" t="s">
        <v>267</v>
      </c>
      <c r="Y1" s="59" t="s">
        <v>251</v>
      </c>
      <c r="Z1" s="59" t="s">
        <v>252</v>
      </c>
      <c r="AA1" s="62" t="s">
        <v>286</v>
      </c>
      <c r="AB1" s="62" t="s">
        <v>271</v>
      </c>
      <c r="AC1" s="62" t="s">
        <v>268</v>
      </c>
      <c r="AD1" s="42" t="s">
        <v>274</v>
      </c>
      <c r="AE1" s="37" t="s">
        <v>270</v>
      </c>
      <c r="AF1" s="38" t="s">
        <v>275</v>
      </c>
      <c r="AG1" s="39" t="s">
        <v>286</v>
      </c>
      <c r="AH1" s="39" t="s">
        <v>271</v>
      </c>
      <c r="AI1" s="39" t="s">
        <v>268</v>
      </c>
      <c r="AJ1" s="39" t="s">
        <v>274</v>
      </c>
      <c r="AK1" s="37" t="s">
        <v>270</v>
      </c>
      <c r="AL1" s="38" t="s">
        <v>285</v>
      </c>
      <c r="AM1" s="39" t="s">
        <v>286</v>
      </c>
      <c r="AN1" s="39" t="s">
        <v>271</v>
      </c>
      <c r="AO1" s="39" t="s">
        <v>268</v>
      </c>
      <c r="AP1" s="39" t="s">
        <v>274</v>
      </c>
    </row>
    <row r="2" spans="1:42" ht="27">
      <c r="A2" s="30">
        <v>1</v>
      </c>
      <c r="B2" s="146"/>
      <c r="C2" s="226" t="s">
        <v>1259</v>
      </c>
      <c r="D2" s="27"/>
      <c r="E2" s="27"/>
      <c r="F2" s="27"/>
      <c r="G2" s="27"/>
      <c r="H2" s="70" t="s">
        <v>608</v>
      </c>
      <c r="I2" s="177" t="s">
        <v>833</v>
      </c>
      <c r="J2" s="138" t="s">
        <v>607</v>
      </c>
      <c r="K2" s="29"/>
      <c r="L2" s="11"/>
      <c r="M2" s="11"/>
      <c r="N2" s="11"/>
      <c r="O2" s="44"/>
      <c r="P2" s="44"/>
      <c r="Q2" s="44"/>
      <c r="R2" s="53"/>
      <c r="S2" s="44"/>
      <c r="T2" s="44"/>
      <c r="U2" s="44"/>
      <c r="V2" s="53"/>
      <c r="W2" s="31"/>
      <c r="X2" s="9"/>
      <c r="Y2" s="11"/>
      <c r="Z2" s="11"/>
      <c r="AA2" s="63"/>
      <c r="AB2" s="63"/>
      <c r="AC2" s="63"/>
      <c r="AD2" s="36"/>
      <c r="AE2" s="31"/>
      <c r="AF2" s="9"/>
      <c r="AG2" s="6"/>
      <c r="AH2" s="6"/>
      <c r="AI2" s="6"/>
      <c r="AJ2" s="36"/>
      <c r="AK2" s="31"/>
      <c r="AL2" s="9"/>
      <c r="AM2" s="6"/>
      <c r="AN2" s="6"/>
      <c r="AO2" s="6"/>
      <c r="AP2" s="36"/>
    </row>
    <row r="3" spans="1:42">
      <c r="A3" s="30">
        <v>2</v>
      </c>
      <c r="B3" s="146"/>
      <c r="C3" s="227" t="s">
        <v>1759</v>
      </c>
      <c r="D3" s="27"/>
      <c r="E3" s="27"/>
      <c r="F3" s="27"/>
      <c r="G3" s="27"/>
      <c r="H3" s="70" t="s">
        <v>1760</v>
      </c>
      <c r="I3" s="177" t="s">
        <v>869</v>
      </c>
      <c r="J3" s="138" t="s">
        <v>1893</v>
      </c>
      <c r="K3" s="117"/>
      <c r="L3" s="6"/>
      <c r="M3" s="6"/>
      <c r="N3" s="6"/>
      <c r="O3" s="6"/>
      <c r="P3" s="6"/>
      <c r="Q3" s="6"/>
      <c r="R3" s="29"/>
      <c r="S3" s="6"/>
      <c r="T3" s="6"/>
      <c r="U3" s="6"/>
      <c r="V3" s="29"/>
      <c r="W3" s="31"/>
      <c r="X3" s="9"/>
      <c r="Y3" s="11"/>
      <c r="Z3" s="11"/>
      <c r="AA3" s="6"/>
      <c r="AB3" s="6"/>
      <c r="AC3" s="6"/>
      <c r="AD3" s="36"/>
      <c r="AE3" s="31"/>
      <c r="AF3" s="9"/>
      <c r="AG3" s="6"/>
      <c r="AH3" s="6"/>
      <c r="AI3" s="6"/>
      <c r="AJ3" s="36"/>
      <c r="AK3" s="31"/>
      <c r="AL3" s="9"/>
      <c r="AM3" s="6"/>
      <c r="AN3" s="6"/>
      <c r="AO3" s="6"/>
      <c r="AP3" s="36"/>
    </row>
    <row r="4" spans="1:42">
      <c r="A4" s="30">
        <v>3</v>
      </c>
      <c r="B4" s="146"/>
      <c r="C4" s="226" t="s">
        <v>517</v>
      </c>
      <c r="D4" s="27"/>
      <c r="E4" s="27"/>
      <c r="F4" s="27"/>
      <c r="G4" s="27"/>
      <c r="H4" s="70" t="s">
        <v>568</v>
      </c>
      <c r="I4" s="177" t="s">
        <v>826</v>
      </c>
      <c r="J4" s="138" t="s">
        <v>1909</v>
      </c>
      <c r="K4" s="117"/>
      <c r="L4" s="6">
        <v>23450</v>
      </c>
      <c r="M4" s="6">
        <v>1172.5</v>
      </c>
      <c r="N4" s="6">
        <v>24622.5</v>
      </c>
      <c r="O4" s="44">
        <f>E4</f>
        <v>0</v>
      </c>
      <c r="P4" s="44">
        <f>D4</f>
        <v>0</v>
      </c>
      <c r="Q4" s="44">
        <f>D4</f>
        <v>0</v>
      </c>
      <c r="R4" s="53" t="s">
        <v>70</v>
      </c>
      <c r="S4" s="44">
        <f>E4</f>
        <v>0</v>
      </c>
      <c r="T4" s="44">
        <f>D4</f>
        <v>0</v>
      </c>
      <c r="U4" s="44">
        <f>D4</f>
        <v>0</v>
      </c>
      <c r="V4" s="53"/>
      <c r="W4" s="31">
        <v>192872</v>
      </c>
      <c r="X4" s="9" t="str">
        <f>IFERROR(INDEX([1]Sheet1!$A$2:$X$1948,MATCH($W$2:$W$268,[1]Sheet1!$G$2:$G$1948,0),8),"")</f>
        <v>소이원 콩나물(곱슬이_단채 4Kg/BOX)</v>
      </c>
      <c r="Y4" s="11">
        <v>4000</v>
      </c>
      <c r="Z4" s="11"/>
      <c r="AA4" s="63">
        <v>25</v>
      </c>
      <c r="AB4" s="63" t="e">
        <f>T4*AD4</f>
        <v>#DIV/0!</v>
      </c>
      <c r="AC4" s="63" t="e">
        <f>U4*AD4</f>
        <v>#DIV/0!</v>
      </c>
      <c r="AD4" s="36" t="e">
        <f>AA4/E4</f>
        <v>#DIV/0!</v>
      </c>
      <c r="AE4" s="31">
        <v>313570</v>
      </c>
      <c r="AF4" s="9" t="str">
        <f>IFERROR(INDEX([1]Sheet1!$A$2:$X$1948,MATCH($AE$2:$AE$268,[1]Sheet1!$G$2:$G$1948,0),8),"")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36" t="e">
        <f>AG4/$E4</f>
        <v>#DIV/0!</v>
      </c>
      <c r="AK4" s="31"/>
      <c r="AL4" s="9">
        <f>IFERROR(INDEX([1]Sheet1!$A$2:$X$1948,MATCH($AK$2:$AK$268,[1]Sheet1!$G$2:$G$1948,0),8),"")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36" t="e">
        <f>AM4/$E4</f>
        <v>#DIV/0!</v>
      </c>
    </row>
    <row r="5" spans="1:42">
      <c r="A5" s="30">
        <v>4</v>
      </c>
      <c r="B5" s="146"/>
      <c r="C5" s="226" t="s">
        <v>1052</v>
      </c>
      <c r="D5" s="27"/>
      <c r="E5" s="27"/>
      <c r="F5" s="27"/>
      <c r="G5" s="27"/>
      <c r="H5" s="70" t="s">
        <v>1112</v>
      </c>
      <c r="I5" s="181" t="s">
        <v>881</v>
      </c>
      <c r="J5" s="137" t="s">
        <v>1934</v>
      </c>
      <c r="K5" s="29"/>
      <c r="L5" s="11"/>
      <c r="M5" s="11"/>
      <c r="N5" s="11"/>
      <c r="O5" s="44"/>
      <c r="P5" s="44"/>
      <c r="Q5" s="44"/>
      <c r="R5" s="53"/>
      <c r="S5" s="44"/>
      <c r="T5" s="46"/>
      <c r="U5" s="46"/>
      <c r="V5" s="53"/>
      <c r="W5" s="31"/>
      <c r="X5" s="9"/>
      <c r="Y5" s="11"/>
      <c r="Z5" s="11"/>
      <c r="AA5" s="63"/>
      <c r="AB5" s="63"/>
      <c r="AC5" s="63"/>
      <c r="AD5" s="36"/>
      <c r="AE5" s="31"/>
      <c r="AF5" s="9"/>
      <c r="AG5" s="6"/>
      <c r="AH5" s="6"/>
      <c r="AI5" s="6"/>
      <c r="AJ5" s="36"/>
      <c r="AK5" s="31"/>
      <c r="AL5" s="9"/>
      <c r="AM5" s="6"/>
      <c r="AN5" s="6"/>
      <c r="AO5" s="6"/>
      <c r="AP5" s="36"/>
    </row>
    <row r="6" spans="1:42">
      <c r="A6" s="30">
        <v>5</v>
      </c>
      <c r="B6" s="146"/>
      <c r="C6" s="226" t="s">
        <v>515</v>
      </c>
      <c r="D6" s="27"/>
      <c r="E6" s="27"/>
      <c r="F6" s="27"/>
      <c r="G6" s="27"/>
      <c r="H6" s="70" t="s">
        <v>1632</v>
      </c>
      <c r="I6" s="177" t="s">
        <v>826</v>
      </c>
      <c r="J6" s="137" t="s">
        <v>1852</v>
      </c>
      <c r="K6" s="117"/>
      <c r="L6" s="6">
        <v>21960</v>
      </c>
      <c r="M6" s="6">
        <v>1098</v>
      </c>
      <c r="N6" s="6">
        <v>23058</v>
      </c>
      <c r="O6" s="44">
        <f>E6</f>
        <v>0</v>
      </c>
      <c r="P6" s="44">
        <f>D6</f>
        <v>0</v>
      </c>
      <c r="Q6" s="44">
        <f>D6</f>
        <v>0</v>
      </c>
      <c r="R6" s="53" t="s">
        <v>70</v>
      </c>
      <c r="S6" s="44">
        <f>E6</f>
        <v>0</v>
      </c>
      <c r="T6" s="44">
        <f>D6</f>
        <v>0</v>
      </c>
      <c r="U6" s="44">
        <f>D6</f>
        <v>0</v>
      </c>
      <c r="V6" s="53"/>
      <c r="W6" s="31">
        <v>223306</v>
      </c>
      <c r="X6" s="9" t="str">
        <f>IFERROR(INDEX([1]Sheet1!$A$2:$X$1948,MATCH($W$2:$W$268,[1]Sheet1!$G$2:$G$1948,0),8),"")</f>
        <v>냉동근대(IQF 1Kg/EA)</v>
      </c>
      <c r="Y6" s="11">
        <v>1000</v>
      </c>
      <c r="Z6" s="11"/>
      <c r="AA6" s="63">
        <v>35</v>
      </c>
      <c r="AB6" s="63" t="e">
        <f>T6*AD6</f>
        <v>#DIV/0!</v>
      </c>
      <c r="AC6" s="63" t="e">
        <f>U6*AD6</f>
        <v>#DIV/0!</v>
      </c>
      <c r="AD6" s="36" t="e">
        <f>AA6/E6</f>
        <v>#DIV/0!</v>
      </c>
      <c r="AE6" s="31">
        <v>138570</v>
      </c>
      <c r="AF6" s="9" t="str">
        <f>IFERROR(INDEX([1]Sheet1!$A$2:$X$1948,MATCH($AE$2:$AE$268,[1]Sheet1!$G$2:$G$1948,0),8),"")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36" t="e">
        <f>AG6/$E6</f>
        <v>#DIV/0!</v>
      </c>
      <c r="AK6" s="31"/>
      <c r="AL6" s="9">
        <f>IFERROR(INDEX([1]Sheet1!$A$2:$X$1948,MATCH($AK$2:$AK$268,[1]Sheet1!$G$2:$G$1948,0),8),"")</f>
        <v>0</v>
      </c>
      <c r="AM6" s="6"/>
      <c r="AN6" s="6"/>
      <c r="AO6" s="6"/>
      <c r="AP6" s="36"/>
    </row>
    <row r="7" spans="1:42">
      <c r="A7" s="30">
        <v>6</v>
      </c>
      <c r="B7" s="146"/>
      <c r="C7" s="226" t="s">
        <v>986</v>
      </c>
      <c r="D7" s="27"/>
      <c r="E7" s="27"/>
      <c r="F7" s="27"/>
      <c r="G7" s="27"/>
      <c r="H7" s="70" t="s">
        <v>1101</v>
      </c>
      <c r="I7" s="177" t="s">
        <v>872</v>
      </c>
      <c r="J7" s="138" t="s">
        <v>1800</v>
      </c>
      <c r="K7" s="117"/>
      <c r="L7" s="6"/>
      <c r="M7" s="6"/>
      <c r="N7" s="6"/>
      <c r="O7" s="44"/>
      <c r="P7" s="44"/>
      <c r="Q7" s="44"/>
      <c r="R7" s="53"/>
      <c r="S7" s="44"/>
      <c r="T7" s="44"/>
      <c r="U7" s="44"/>
      <c r="V7" s="53"/>
      <c r="W7" s="31"/>
      <c r="X7" s="9"/>
      <c r="Y7" s="11"/>
      <c r="Z7" s="11"/>
      <c r="AA7" s="63"/>
      <c r="AB7" s="63"/>
      <c r="AC7" s="63"/>
      <c r="AD7" s="36"/>
      <c r="AE7" s="31"/>
      <c r="AF7" s="9"/>
      <c r="AG7" s="6"/>
      <c r="AH7" s="6"/>
      <c r="AI7" s="6"/>
      <c r="AJ7" s="36"/>
      <c r="AK7" s="31"/>
      <c r="AL7" s="9"/>
      <c r="AM7" s="6"/>
      <c r="AN7" s="6"/>
      <c r="AO7" s="6"/>
      <c r="AP7" s="36"/>
    </row>
    <row r="8" spans="1:42">
      <c r="A8" s="30">
        <v>7</v>
      </c>
      <c r="B8" s="146"/>
      <c r="C8" s="226" t="s">
        <v>1573</v>
      </c>
      <c r="D8" s="27"/>
      <c r="E8" s="27"/>
      <c r="F8" s="27"/>
      <c r="G8" s="27"/>
      <c r="H8" s="70" t="s">
        <v>1574</v>
      </c>
      <c r="I8" s="177" t="s">
        <v>872</v>
      </c>
      <c r="J8" s="138" t="s">
        <v>1800</v>
      </c>
      <c r="K8" s="117"/>
      <c r="L8" s="6"/>
      <c r="M8" s="6"/>
      <c r="N8" s="6"/>
      <c r="O8" s="44"/>
      <c r="P8" s="44"/>
      <c r="Q8" s="44"/>
      <c r="R8" s="53"/>
      <c r="S8" s="44"/>
      <c r="T8" s="44"/>
      <c r="U8" s="44"/>
      <c r="V8" s="53"/>
      <c r="W8" s="31"/>
      <c r="X8" s="9"/>
      <c r="Y8" s="11"/>
      <c r="Z8" s="11"/>
      <c r="AA8" s="63"/>
      <c r="AB8" s="63"/>
      <c r="AC8" s="63"/>
      <c r="AD8" s="36"/>
      <c r="AE8" s="31"/>
      <c r="AF8" s="9"/>
      <c r="AG8" s="6"/>
      <c r="AH8" s="6"/>
      <c r="AI8" s="6"/>
      <c r="AJ8" s="36"/>
      <c r="AK8" s="31"/>
      <c r="AL8" s="9"/>
      <c r="AM8" s="6"/>
      <c r="AN8" s="6"/>
      <c r="AO8" s="6"/>
      <c r="AP8" s="36"/>
    </row>
    <row r="9" spans="1:42">
      <c r="A9" s="30">
        <v>8</v>
      </c>
      <c r="B9" s="146"/>
      <c r="C9" s="226" t="s">
        <v>1171</v>
      </c>
      <c r="D9" s="27"/>
      <c r="E9" s="27"/>
      <c r="F9" s="27"/>
      <c r="G9" s="27"/>
      <c r="H9" s="70" t="s">
        <v>1345</v>
      </c>
      <c r="I9" s="177" t="s">
        <v>1172</v>
      </c>
      <c r="J9" s="137" t="s">
        <v>1852</v>
      </c>
      <c r="K9" s="29"/>
      <c r="L9" s="11"/>
      <c r="M9" s="11"/>
      <c r="N9" s="11"/>
      <c r="O9" s="44"/>
      <c r="P9" s="44"/>
      <c r="Q9" s="44"/>
      <c r="R9" s="53"/>
      <c r="S9" s="44"/>
      <c r="T9" s="44"/>
      <c r="U9" s="44"/>
      <c r="V9" s="53"/>
      <c r="W9" s="31"/>
      <c r="X9" s="9"/>
      <c r="Y9" s="11"/>
      <c r="Z9" s="11"/>
      <c r="AA9" s="63"/>
      <c r="AB9" s="63"/>
      <c r="AC9" s="63"/>
      <c r="AD9" s="36"/>
      <c r="AE9" s="31"/>
      <c r="AF9" s="9"/>
      <c r="AG9" s="6"/>
      <c r="AH9" s="6"/>
      <c r="AI9" s="6"/>
      <c r="AJ9" s="36"/>
      <c r="AK9" s="31"/>
      <c r="AL9" s="9"/>
      <c r="AM9" s="6"/>
      <c r="AN9" s="6"/>
      <c r="AO9" s="6"/>
      <c r="AP9" s="36"/>
    </row>
    <row r="10" spans="1:42">
      <c r="A10" s="30">
        <v>9</v>
      </c>
      <c r="B10" s="146"/>
      <c r="C10" s="226" t="s">
        <v>1818</v>
      </c>
      <c r="D10" s="27"/>
      <c r="E10" s="27"/>
      <c r="F10" s="27"/>
      <c r="G10" s="27"/>
      <c r="H10" s="105" t="s">
        <v>1819</v>
      </c>
      <c r="I10" s="178" t="s">
        <v>880</v>
      </c>
      <c r="J10" s="138"/>
      <c r="K10" s="29"/>
      <c r="L10" s="11"/>
      <c r="M10" s="11"/>
      <c r="N10" s="11"/>
      <c r="O10" s="44">
        <f>E10</f>
        <v>0</v>
      </c>
      <c r="P10" s="44">
        <f>D10</f>
        <v>0</v>
      </c>
      <c r="Q10" s="44">
        <f>D10</f>
        <v>0</v>
      </c>
      <c r="R10" s="53" t="s">
        <v>70</v>
      </c>
      <c r="S10" s="44">
        <f>E10</f>
        <v>0</v>
      </c>
      <c r="T10" s="44">
        <f>D10</f>
        <v>0</v>
      </c>
      <c r="U10" s="44">
        <f>D10</f>
        <v>0</v>
      </c>
      <c r="V10" s="53"/>
      <c r="W10" s="31">
        <v>204623</v>
      </c>
      <c r="X10" s="9" t="str">
        <f>IFERROR(INDEX([1]Sheet1!$A$2:$X$1948,MATCH($W$2:$W$268,[1]Sheet1!$G$2:$G$1948,0),8),"")</f>
        <v>애호박(특품 인큐베이터 KG)</v>
      </c>
      <c r="Y10" s="11">
        <v>1000</v>
      </c>
      <c r="Z10" s="11"/>
      <c r="AA10" s="63">
        <v>30</v>
      </c>
      <c r="AB10" s="63" t="e">
        <f>T10*AD10</f>
        <v>#DIV/0!</v>
      </c>
      <c r="AC10" s="63" t="e">
        <f>U10*AD10</f>
        <v>#DIV/0!</v>
      </c>
      <c r="AD10" s="36" t="e">
        <f>AA10/E10</f>
        <v>#DIV/0!</v>
      </c>
      <c r="AE10" s="31">
        <v>168257</v>
      </c>
      <c r="AF10" s="9" t="str">
        <f>IFERROR(INDEX([1]Sheet1!$A$2:$X$1948,MATCH($AE$2:$AE$268,[1]Sheet1!$G$2:$G$1948,0),8),"")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36" t="e">
        <f>AG10/$E10</f>
        <v>#DIV/0!</v>
      </c>
      <c r="AK10" s="31"/>
      <c r="AL10" s="9">
        <f>IFERROR(INDEX([1]Sheet1!$A$2:$X$1948,MATCH($AK$2:$AK$268,[1]Sheet1!$G$2:$G$1948,0),8),"")</f>
        <v>0</v>
      </c>
      <c r="AM10" s="6"/>
      <c r="AN10" s="6"/>
      <c r="AO10" s="6"/>
      <c r="AP10" s="36"/>
    </row>
    <row r="11" spans="1:42">
      <c r="A11" s="30">
        <v>10</v>
      </c>
      <c r="B11" s="146"/>
      <c r="C11" s="226" t="s">
        <v>1889</v>
      </c>
      <c r="D11" s="27"/>
      <c r="E11" s="27"/>
      <c r="F11" s="27"/>
      <c r="G11" s="27"/>
      <c r="H11" s="70" t="s">
        <v>1095</v>
      </c>
      <c r="I11" s="177" t="s">
        <v>876</v>
      </c>
      <c r="J11" s="138"/>
      <c r="K11" s="117"/>
      <c r="L11" s="6">
        <v>600</v>
      </c>
      <c r="M11" s="6">
        <v>30</v>
      </c>
      <c r="N11" s="6">
        <v>630</v>
      </c>
      <c r="O11" s="44">
        <f>E11</f>
        <v>0</v>
      </c>
      <c r="P11" s="44">
        <f>D11</f>
        <v>0</v>
      </c>
      <c r="Q11" s="44">
        <f>D11</f>
        <v>0</v>
      </c>
      <c r="R11" s="53" t="s">
        <v>70</v>
      </c>
      <c r="S11" s="44">
        <f>E11</f>
        <v>0</v>
      </c>
      <c r="T11" s="44">
        <f>D11</f>
        <v>0</v>
      </c>
      <c r="U11" s="44">
        <f>D11</f>
        <v>0</v>
      </c>
      <c r="V11" s="53"/>
      <c r="W11" s="31">
        <v>193090</v>
      </c>
      <c r="X11" s="9" t="str">
        <f>IFERROR(INDEX([1]Sheet1!$A$2:$X$1948,MATCH($W$2:$W$268,[1]Sheet1!$G$2:$G$1948,0),8),"")</f>
        <v>냉동감자(절단_3~4cm 1Kg/EA)</v>
      </c>
      <c r="Y11" s="11">
        <v>1000</v>
      </c>
      <c r="Z11" s="11"/>
      <c r="AA11" s="63">
        <v>22</v>
      </c>
      <c r="AB11" s="63" t="e">
        <f>T11*AD11</f>
        <v>#DIV/0!</v>
      </c>
      <c r="AC11" s="63" t="e">
        <f>U11*AD11</f>
        <v>#DIV/0!</v>
      </c>
      <c r="AD11" s="36" t="e">
        <f>AA11/E11</f>
        <v>#DIV/0!</v>
      </c>
      <c r="AE11" s="31">
        <v>204623</v>
      </c>
      <c r="AF11" s="9" t="str">
        <f>IFERROR(INDEX([1]Sheet1!$A$2:$X$1948,MATCH($AE$2:$AE$268,[1]Sheet1!$G$2:$G$1948,0),8),"")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36" t="e">
        <f>AG11/$E11</f>
        <v>#DIV/0!</v>
      </c>
      <c r="AK11" s="31">
        <v>420010</v>
      </c>
      <c r="AL11" s="9" t="str">
        <f>IFERROR(INDEX([1]Sheet1!$A$2:$X$1948,MATCH($AK$2:$AK$268,[1]Sheet1!$G$2:$G$1948,0),8),"")</f>
        <v>알로팜 계란(왕란_무항생제_68g*30입 2.04Kg/EA)</v>
      </c>
      <c r="AM11" s="6"/>
      <c r="AN11" s="6"/>
      <c r="AO11" s="6"/>
      <c r="AP11" s="36"/>
    </row>
    <row r="12" spans="1:42">
      <c r="A12" s="30">
        <v>11</v>
      </c>
      <c r="B12" s="146"/>
      <c r="C12" s="226" t="s">
        <v>998</v>
      </c>
      <c r="D12" s="27"/>
      <c r="E12" s="27"/>
      <c r="F12" s="27"/>
      <c r="G12" s="27"/>
      <c r="H12" s="105" t="s">
        <v>2033</v>
      </c>
      <c r="I12" s="178" t="s">
        <v>839</v>
      </c>
      <c r="J12" s="138" t="s">
        <v>1800</v>
      </c>
      <c r="K12" s="117"/>
      <c r="L12" s="6"/>
      <c r="M12" s="6"/>
      <c r="N12" s="6"/>
      <c r="O12" s="44"/>
      <c r="P12" s="44"/>
      <c r="Q12" s="44"/>
      <c r="R12" s="53"/>
      <c r="S12" s="44"/>
      <c r="T12" s="44"/>
      <c r="U12" s="44"/>
      <c r="V12" s="53"/>
      <c r="W12" s="31"/>
      <c r="X12" s="9"/>
      <c r="Y12" s="11"/>
      <c r="Z12" s="11"/>
      <c r="AA12" s="63"/>
      <c r="AB12" s="63"/>
      <c r="AC12" s="63"/>
      <c r="AD12" s="36"/>
      <c r="AE12" s="31"/>
      <c r="AF12" s="9"/>
      <c r="AG12" s="6"/>
      <c r="AH12" s="6"/>
      <c r="AI12" s="6"/>
      <c r="AJ12" s="36"/>
      <c r="AK12" s="31"/>
      <c r="AL12" s="9"/>
      <c r="AM12" s="6"/>
      <c r="AN12" s="6"/>
      <c r="AO12" s="6"/>
      <c r="AP12" s="36"/>
    </row>
    <row r="13" spans="1:42">
      <c r="A13" s="30">
        <v>12</v>
      </c>
      <c r="B13" s="146"/>
      <c r="C13" s="226" t="s">
        <v>334</v>
      </c>
      <c r="D13" s="27"/>
      <c r="E13" s="27"/>
      <c r="F13" s="27"/>
      <c r="G13" s="27"/>
      <c r="H13" s="70" t="s">
        <v>1102</v>
      </c>
      <c r="I13" s="177" t="s">
        <v>852</v>
      </c>
      <c r="J13" s="138" t="s">
        <v>1835</v>
      </c>
      <c r="K13" s="117"/>
      <c r="L13" s="6"/>
      <c r="M13" s="6"/>
      <c r="N13" s="6"/>
      <c r="O13" s="44"/>
      <c r="P13" s="44"/>
      <c r="Q13" s="44"/>
      <c r="R13" s="53"/>
      <c r="S13" s="44"/>
      <c r="T13" s="44"/>
      <c r="U13" s="44"/>
      <c r="V13" s="53"/>
      <c r="W13" s="31"/>
      <c r="X13" s="9"/>
      <c r="Y13" s="11"/>
      <c r="Z13" s="11"/>
      <c r="AA13" s="63"/>
      <c r="AB13" s="63"/>
      <c r="AC13" s="63"/>
      <c r="AD13" s="36"/>
      <c r="AE13" s="31"/>
      <c r="AF13" s="9"/>
      <c r="AG13" s="6"/>
      <c r="AH13" s="6"/>
      <c r="AI13" s="6"/>
      <c r="AJ13" s="36"/>
      <c r="AK13" s="31"/>
      <c r="AL13" s="9"/>
      <c r="AM13" s="6"/>
      <c r="AN13" s="6"/>
      <c r="AO13" s="6"/>
      <c r="AP13" s="36"/>
    </row>
    <row r="14" spans="1:42">
      <c r="A14" s="30">
        <v>13</v>
      </c>
      <c r="B14" s="146"/>
      <c r="C14" s="226" t="s">
        <v>322</v>
      </c>
      <c r="D14" s="27"/>
      <c r="E14" s="27"/>
      <c r="F14" s="27"/>
      <c r="G14" s="27"/>
      <c r="H14" s="70" t="s">
        <v>1099</v>
      </c>
      <c r="I14" s="177" t="s">
        <v>880</v>
      </c>
      <c r="J14" s="138" t="s">
        <v>1834</v>
      </c>
      <c r="K14" s="117"/>
      <c r="L14" s="6">
        <v>16590</v>
      </c>
      <c r="M14" s="6">
        <v>829.5</v>
      </c>
      <c r="N14" s="6">
        <v>17419.5</v>
      </c>
      <c r="O14" s="44">
        <f>E14</f>
        <v>0</v>
      </c>
      <c r="P14" s="44">
        <f>D14</f>
        <v>0</v>
      </c>
      <c r="Q14" s="44">
        <f>D14</f>
        <v>0</v>
      </c>
      <c r="R14" s="53" t="s">
        <v>70</v>
      </c>
      <c r="S14" s="44">
        <f>E14</f>
        <v>0</v>
      </c>
      <c r="T14" s="44">
        <f>D14</f>
        <v>0</v>
      </c>
      <c r="U14" s="44">
        <f>D14</f>
        <v>0</v>
      </c>
      <c r="V14" s="53"/>
      <c r="W14" s="31">
        <v>145349</v>
      </c>
      <c r="X14" s="9" t="str">
        <f>IFERROR(INDEX([1]Sheet1!$A$2:$X$1948,MATCH($W$2:$W$268,[1]Sheet1!$G$2:$G$1948,0),8),"")</f>
        <v>이츠웰 사골엑기스(1Kg/EA)</v>
      </c>
      <c r="Y14" s="11">
        <v>1000</v>
      </c>
      <c r="Z14" s="11"/>
      <c r="AA14" s="63"/>
      <c r="AB14" s="63" t="e">
        <f>T14*AD14</f>
        <v>#DIV/0!</v>
      </c>
      <c r="AC14" s="63" t="e">
        <f>U14*AD14</f>
        <v>#DIV/0!</v>
      </c>
      <c r="AD14" s="36" t="e">
        <f>AA14/E14</f>
        <v>#DIV/0!</v>
      </c>
      <c r="AE14" s="31">
        <v>424285</v>
      </c>
      <c r="AF14" s="9" t="str">
        <f>IFERROR(INDEX([1]Sheet1!$A$2:$X$1948,MATCH($AE$2:$AE$268,[1]Sheet1!$G$2:$G$1948,0),8),"")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36" t="e">
        <f>AG14/$E14</f>
        <v>#DIV/0!</v>
      </c>
      <c r="AK14" s="31">
        <v>204418</v>
      </c>
      <c r="AL14" s="9" t="str">
        <f>IFERROR(INDEX([1]Sheet1!$A$2:$X$1948,MATCH($AK$2:$AK$268,[1]Sheet1!$G$2:$G$1948,0),8),"")</f>
        <v>무우(특품 9~12개입 18Kg/BOX)</v>
      </c>
      <c r="AM14" s="6"/>
      <c r="AN14" s="6"/>
      <c r="AO14" s="6"/>
      <c r="AP14" s="36"/>
    </row>
    <row r="15" spans="1:42">
      <c r="A15" s="30">
        <v>14</v>
      </c>
      <c r="B15" s="146"/>
      <c r="C15" s="226" t="s">
        <v>1578</v>
      </c>
      <c r="D15" s="27"/>
      <c r="E15" s="27"/>
      <c r="F15" s="27"/>
      <c r="G15" s="27"/>
      <c r="H15" s="70" t="s">
        <v>1579</v>
      </c>
      <c r="I15" s="177" t="s">
        <v>880</v>
      </c>
      <c r="J15" s="138"/>
      <c r="K15" s="117"/>
      <c r="L15" s="6"/>
      <c r="M15" s="6"/>
      <c r="N15" s="6"/>
      <c r="O15" s="44"/>
      <c r="P15" s="44"/>
      <c r="Q15" s="44"/>
      <c r="R15" s="53"/>
      <c r="S15" s="44"/>
      <c r="T15" s="44"/>
      <c r="U15" s="44"/>
      <c r="V15" s="53"/>
      <c r="W15" s="31"/>
      <c r="X15" s="9"/>
      <c r="Y15" s="11"/>
      <c r="Z15" s="11"/>
      <c r="AA15" s="63"/>
      <c r="AB15" s="63"/>
      <c r="AC15" s="63"/>
      <c r="AD15" s="36"/>
      <c r="AE15" s="31"/>
      <c r="AF15" s="9"/>
      <c r="AG15" s="6"/>
      <c r="AH15" s="6"/>
      <c r="AI15" s="6"/>
      <c r="AJ15" s="36"/>
      <c r="AK15" s="31"/>
      <c r="AL15" s="9"/>
      <c r="AM15" s="6"/>
      <c r="AN15" s="6"/>
      <c r="AO15" s="6"/>
      <c r="AP15" s="36"/>
    </row>
    <row r="16" spans="1:42">
      <c r="A16" s="30">
        <v>15</v>
      </c>
      <c r="B16" s="146"/>
      <c r="C16" s="226" t="s">
        <v>553</v>
      </c>
      <c r="D16" s="27"/>
      <c r="E16" s="27"/>
      <c r="F16" s="27"/>
      <c r="G16" s="27"/>
      <c r="H16" s="70" t="s">
        <v>1364</v>
      </c>
      <c r="I16" s="177" t="s">
        <v>869</v>
      </c>
      <c r="J16" s="137"/>
      <c r="K16" s="117"/>
      <c r="L16" s="6"/>
      <c r="M16" s="6"/>
      <c r="N16" s="6"/>
      <c r="O16" s="44"/>
      <c r="P16" s="44"/>
      <c r="Q16" s="44"/>
      <c r="R16" s="53"/>
      <c r="S16" s="44"/>
      <c r="T16" s="44"/>
      <c r="U16" s="44"/>
      <c r="V16" s="53"/>
      <c r="W16" s="31"/>
      <c r="X16" s="9"/>
      <c r="Y16" s="11"/>
      <c r="Z16" s="11"/>
      <c r="AA16" s="63"/>
      <c r="AB16" s="63"/>
      <c r="AC16" s="63"/>
      <c r="AD16" s="36"/>
      <c r="AE16" s="31"/>
      <c r="AF16" s="9"/>
      <c r="AG16" s="6"/>
      <c r="AH16" s="6"/>
      <c r="AI16" s="6"/>
      <c r="AJ16" s="36"/>
      <c r="AK16" s="31"/>
      <c r="AL16" s="9"/>
      <c r="AM16" s="6"/>
      <c r="AN16" s="6"/>
      <c r="AO16" s="6"/>
      <c r="AP16" s="36"/>
    </row>
    <row r="17" spans="1:42">
      <c r="A17" s="30">
        <v>16</v>
      </c>
      <c r="B17" s="146"/>
      <c r="C17" s="226" t="s">
        <v>586</v>
      </c>
      <c r="D17" s="27"/>
      <c r="E17" s="27"/>
      <c r="F17" s="27"/>
      <c r="G17" s="27"/>
      <c r="H17" s="70" t="s">
        <v>1103</v>
      </c>
      <c r="I17" s="177" t="s">
        <v>880</v>
      </c>
      <c r="J17" s="138" t="s">
        <v>1883</v>
      </c>
      <c r="K17" s="29"/>
      <c r="L17" s="11"/>
      <c r="M17" s="11"/>
      <c r="N17" s="11"/>
      <c r="O17" s="44"/>
      <c r="P17" s="44"/>
      <c r="Q17" s="44"/>
      <c r="R17" s="53"/>
      <c r="S17" s="47"/>
      <c r="T17" s="47"/>
      <c r="U17" s="47"/>
      <c r="V17" s="53"/>
      <c r="W17" s="31"/>
      <c r="X17" s="9"/>
      <c r="Y17" s="11"/>
      <c r="Z17" s="11"/>
      <c r="AA17" s="67"/>
      <c r="AB17" s="67"/>
      <c r="AC17" s="67"/>
      <c r="AD17" s="36"/>
      <c r="AE17" s="31"/>
      <c r="AF17" s="9"/>
      <c r="AG17" s="6"/>
      <c r="AH17" s="6"/>
      <c r="AI17" s="6"/>
      <c r="AJ17" s="36"/>
      <c r="AK17" s="31"/>
      <c r="AL17" s="9"/>
      <c r="AM17" s="6"/>
      <c r="AN17" s="6"/>
      <c r="AO17" s="6"/>
      <c r="AP17" s="36"/>
    </row>
    <row r="18" spans="1:42">
      <c r="A18" s="30">
        <v>17</v>
      </c>
      <c r="B18" s="146"/>
      <c r="C18" s="226" t="s">
        <v>936</v>
      </c>
      <c r="D18" s="27"/>
      <c r="E18" s="27"/>
      <c r="F18" s="27"/>
      <c r="G18" s="27"/>
      <c r="H18" s="133" t="s">
        <v>1111</v>
      </c>
      <c r="I18" s="181" t="s">
        <v>826</v>
      </c>
      <c r="J18" s="138" t="s">
        <v>1883</v>
      </c>
      <c r="K18" s="29"/>
      <c r="L18" s="11"/>
      <c r="M18" s="11"/>
      <c r="N18" s="11"/>
      <c r="O18" s="44"/>
      <c r="P18" s="44"/>
      <c r="Q18" s="44"/>
      <c r="R18" s="53"/>
      <c r="S18" s="44"/>
      <c r="T18" s="46"/>
      <c r="U18" s="46"/>
      <c r="V18" s="53"/>
      <c r="W18" s="31"/>
      <c r="X18" s="9"/>
      <c r="Y18" s="11"/>
      <c r="Z18" s="11"/>
      <c r="AA18" s="63"/>
      <c r="AB18" s="63"/>
      <c r="AC18" s="63"/>
      <c r="AD18" s="36"/>
      <c r="AE18" s="31"/>
      <c r="AF18" s="9"/>
      <c r="AG18" s="6"/>
      <c r="AH18" s="6"/>
      <c r="AI18" s="6"/>
      <c r="AJ18" s="36"/>
      <c r="AK18" s="31"/>
      <c r="AL18" s="9"/>
      <c r="AM18" s="6"/>
      <c r="AN18" s="6"/>
      <c r="AO18" s="6"/>
      <c r="AP18" s="36"/>
    </row>
    <row r="19" spans="1:42">
      <c r="A19" s="30">
        <v>18</v>
      </c>
      <c r="B19" s="146"/>
      <c r="C19" s="226" t="s">
        <v>584</v>
      </c>
      <c r="D19" s="27"/>
      <c r="E19" s="27"/>
      <c r="F19" s="27"/>
      <c r="G19" s="27"/>
      <c r="H19" s="70" t="s">
        <v>1092</v>
      </c>
      <c r="I19" s="177" t="s">
        <v>869</v>
      </c>
      <c r="J19" s="138" t="s">
        <v>1836</v>
      </c>
      <c r="K19" s="117"/>
      <c r="L19" s="6">
        <v>2565</v>
      </c>
      <c r="M19" s="6">
        <v>128.25</v>
      </c>
      <c r="N19" s="6">
        <v>2693.25</v>
      </c>
      <c r="O19" s="44">
        <f>E19</f>
        <v>0</v>
      </c>
      <c r="P19" s="44">
        <f>D19</f>
        <v>0</v>
      </c>
      <c r="Q19" s="44">
        <f>D19</f>
        <v>0</v>
      </c>
      <c r="R19" s="53" t="s">
        <v>70</v>
      </c>
      <c r="S19" s="44">
        <f>E19</f>
        <v>0</v>
      </c>
      <c r="T19" s="44">
        <f>D19</f>
        <v>0</v>
      </c>
      <c r="U19" s="44">
        <f>D19</f>
        <v>0</v>
      </c>
      <c r="V19" s="53"/>
      <c r="W19" s="31">
        <v>206631</v>
      </c>
      <c r="X19" s="9" t="str">
        <f>IFERROR(INDEX([1]Sheet1!$A$2:$X$1948,MATCH($W$2:$W$268,[1]Sheet1!$G$2:$G$1948,0),8),"")</f>
        <v>냉동아욱(상품 1Kg/PAC)</v>
      </c>
      <c r="Y19" s="11">
        <v>1000</v>
      </c>
      <c r="Z19" s="11"/>
      <c r="AA19" s="63">
        <v>32</v>
      </c>
      <c r="AB19" s="63" t="e">
        <f>T19*AD19</f>
        <v>#DIV/0!</v>
      </c>
      <c r="AC19" s="63" t="e">
        <f>U19*AD19</f>
        <v>#DIV/0!</v>
      </c>
      <c r="AD19" s="36" t="e">
        <f>AA19/E19</f>
        <v>#DIV/0!</v>
      </c>
      <c r="AE19" s="31">
        <v>313633</v>
      </c>
      <c r="AF19" s="9" t="str">
        <f>IFERROR(INDEX([1]Sheet1!$A$2:$X$1948,MATCH($AE$2:$AE$268,[1]Sheet1!$G$2:$G$1948,0),8),"")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36" t="e">
        <f>AG19/$E19</f>
        <v>#DIV/0!</v>
      </c>
      <c r="AK19" s="31"/>
      <c r="AL19" s="9">
        <f>IFERROR(INDEX([1]Sheet1!$A$2:$X$1948,MATCH($AK$2:$AK$268,[1]Sheet1!$G$2:$G$1948,0),8),"")</f>
        <v>0</v>
      </c>
      <c r="AM19" s="6"/>
      <c r="AN19" s="6"/>
      <c r="AO19" s="6"/>
      <c r="AP19" s="36"/>
    </row>
    <row r="20" spans="1:42">
      <c r="A20" s="30">
        <v>19</v>
      </c>
      <c r="B20" s="146"/>
      <c r="C20" s="226" t="s">
        <v>1215</v>
      </c>
      <c r="D20" s="27"/>
      <c r="E20" s="27"/>
      <c r="F20" s="27"/>
      <c r="G20" s="27"/>
      <c r="H20" s="70" t="s">
        <v>1097</v>
      </c>
      <c r="I20" s="177" t="s">
        <v>826</v>
      </c>
      <c r="J20" s="138" t="s">
        <v>1098</v>
      </c>
      <c r="K20" s="117"/>
      <c r="L20" s="6"/>
      <c r="M20" s="6"/>
      <c r="N20" s="6"/>
      <c r="O20" s="44"/>
      <c r="P20" s="44"/>
      <c r="Q20" s="44"/>
      <c r="R20" s="53"/>
      <c r="S20" s="44"/>
      <c r="T20" s="44"/>
      <c r="U20" s="44"/>
      <c r="V20" s="53"/>
      <c r="W20" s="31"/>
      <c r="X20" s="9"/>
      <c r="Y20" s="11"/>
      <c r="Z20" s="11"/>
      <c r="AA20" s="63"/>
      <c r="AB20" s="63"/>
      <c r="AC20" s="63"/>
      <c r="AD20" s="36"/>
      <c r="AE20" s="31"/>
      <c r="AF20" s="9"/>
      <c r="AG20" s="6"/>
      <c r="AH20" s="6"/>
      <c r="AI20" s="6"/>
      <c r="AJ20" s="36"/>
      <c r="AK20" s="31"/>
      <c r="AL20" s="9"/>
      <c r="AM20" s="6"/>
      <c r="AN20" s="6"/>
      <c r="AO20" s="6"/>
      <c r="AP20" s="36"/>
    </row>
    <row r="21" spans="1:42">
      <c r="A21" s="30">
        <v>20</v>
      </c>
      <c r="B21" s="146"/>
      <c r="C21" s="226" t="s">
        <v>694</v>
      </c>
      <c r="D21" s="27"/>
      <c r="E21" s="27"/>
      <c r="F21" s="27"/>
      <c r="G21" s="27"/>
      <c r="H21" s="70" t="s">
        <v>1093</v>
      </c>
      <c r="I21" s="177" t="s">
        <v>826</v>
      </c>
      <c r="J21" s="138" t="s">
        <v>1910</v>
      </c>
      <c r="K21" s="117"/>
      <c r="L21" s="6"/>
      <c r="M21" s="6"/>
      <c r="N21" s="6"/>
      <c r="O21" s="44"/>
      <c r="P21" s="44"/>
      <c r="Q21" s="44"/>
      <c r="R21" s="53"/>
      <c r="S21" s="44"/>
      <c r="T21" s="44"/>
      <c r="U21" s="44"/>
      <c r="V21" s="53"/>
      <c r="W21" s="31"/>
      <c r="X21" s="9"/>
      <c r="Y21" s="11"/>
      <c r="Z21" s="11"/>
      <c r="AA21" s="63"/>
      <c r="AB21" s="63"/>
      <c r="AC21" s="63"/>
      <c r="AD21" s="36"/>
      <c r="AE21" s="31"/>
      <c r="AF21" s="9"/>
      <c r="AG21" s="6"/>
      <c r="AH21" s="6"/>
      <c r="AI21" s="6"/>
      <c r="AJ21" s="36"/>
      <c r="AK21" s="31"/>
      <c r="AL21" s="9"/>
      <c r="AM21" s="6"/>
      <c r="AN21" s="6"/>
      <c r="AO21" s="6"/>
      <c r="AP21" s="36"/>
    </row>
    <row r="22" spans="1:42">
      <c r="A22" s="30">
        <v>21</v>
      </c>
      <c r="B22" s="146"/>
      <c r="C22" s="226" t="s">
        <v>1978</v>
      </c>
      <c r="D22" s="27"/>
      <c r="E22" s="27"/>
      <c r="F22" s="27"/>
      <c r="G22" s="27"/>
      <c r="H22" s="70" t="s">
        <v>1979</v>
      </c>
      <c r="I22" s="177" t="s">
        <v>826</v>
      </c>
      <c r="J22" s="138"/>
      <c r="K22" s="29"/>
      <c r="L22" s="11">
        <v>1200</v>
      </c>
      <c r="M22" s="11">
        <v>60</v>
      </c>
      <c r="N22" s="11">
        <v>1260</v>
      </c>
      <c r="O22" s="44">
        <f>E22</f>
        <v>0</v>
      </c>
      <c r="P22" s="44">
        <f>D22</f>
        <v>0</v>
      </c>
      <c r="Q22" s="44">
        <f>D22</f>
        <v>0</v>
      </c>
      <c r="R22" s="53" t="s">
        <v>70</v>
      </c>
      <c r="S22" s="44">
        <f>E22</f>
        <v>0</v>
      </c>
      <c r="T22" s="44">
        <f>D22</f>
        <v>0</v>
      </c>
      <c r="U22" s="44">
        <f>D22</f>
        <v>0</v>
      </c>
      <c r="V22" s="53"/>
      <c r="W22" s="31">
        <v>192872</v>
      </c>
      <c r="X22" s="9" t="str">
        <f>IFERROR(INDEX([1]Sheet1!$A$2:$X$1948,MATCH($W$2:$W$268,[1]Sheet1!$G$2:$G$1948,0),8),"")</f>
        <v>소이원 콩나물(곱슬이_단채 4Kg/BOX)</v>
      </c>
      <c r="Y22" s="11"/>
      <c r="Z22" s="11"/>
      <c r="AA22" s="63"/>
      <c r="AB22" s="63" t="e">
        <f>T22*AD22</f>
        <v>#DIV/0!</v>
      </c>
      <c r="AC22" s="63" t="e">
        <f>U22*AD22</f>
        <v>#DIV/0!</v>
      </c>
      <c r="AD22" s="36" t="e">
        <f>AA22/E22</f>
        <v>#DIV/0!</v>
      </c>
      <c r="AE22" s="31">
        <v>168257</v>
      </c>
      <c r="AF22" s="9" t="str">
        <f>IFERROR(INDEX([1]Sheet1!$A$2:$X$1948,MATCH($AE$2:$AE$268,[1]Sheet1!$G$2:$G$1948,0),8),"")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36" t="e">
        <f>AG22/$E22</f>
        <v>#DIV/0!</v>
      </c>
      <c r="AK22" s="31"/>
      <c r="AL22" s="9">
        <f>IFERROR(INDEX([1]Sheet1!$A$2:$X$1948,MATCH($AK$2:$AK$268,[1]Sheet1!$G$2:$G$1948,0),8),"")</f>
        <v>0</v>
      </c>
      <c r="AM22" s="6"/>
      <c r="AN22" s="6"/>
      <c r="AO22" s="6"/>
      <c r="AP22" s="36"/>
    </row>
    <row r="23" spans="1:42">
      <c r="A23" s="30">
        <v>23</v>
      </c>
      <c r="B23" s="146"/>
      <c r="C23" s="226" t="s">
        <v>1461</v>
      </c>
      <c r="D23" s="27"/>
      <c r="E23" s="27"/>
      <c r="F23" s="27"/>
      <c r="G23" s="27"/>
      <c r="H23" s="70" t="s">
        <v>2316</v>
      </c>
      <c r="I23" s="177" t="s">
        <v>1462</v>
      </c>
      <c r="J23" s="138"/>
      <c r="K23" s="29"/>
      <c r="L23" s="11"/>
      <c r="M23" s="11"/>
      <c r="N23" s="11"/>
      <c r="O23" s="44"/>
      <c r="P23" s="44"/>
      <c r="Q23" s="44"/>
      <c r="R23" s="53"/>
      <c r="S23" s="44"/>
      <c r="T23" s="44"/>
      <c r="U23" s="44"/>
      <c r="V23" s="53"/>
      <c r="W23" s="31"/>
      <c r="X23" s="9"/>
      <c r="Y23" s="11"/>
      <c r="Z23" s="11"/>
      <c r="AA23" s="63"/>
      <c r="AB23" s="63"/>
      <c r="AC23" s="63"/>
      <c r="AD23" s="36"/>
      <c r="AE23" s="31"/>
      <c r="AF23" s="9"/>
      <c r="AG23" s="6"/>
      <c r="AH23" s="6"/>
      <c r="AI23" s="6"/>
      <c r="AJ23" s="36"/>
      <c r="AK23" s="31"/>
      <c r="AL23" s="9"/>
      <c r="AM23" s="6"/>
      <c r="AN23" s="6"/>
      <c r="AO23" s="6"/>
      <c r="AP23" s="36"/>
    </row>
    <row r="24" spans="1:42">
      <c r="A24" s="30">
        <v>24</v>
      </c>
      <c r="B24" s="146"/>
      <c r="C24" s="226" t="s">
        <v>1408</v>
      </c>
      <c r="D24" s="27"/>
      <c r="E24" s="27"/>
      <c r="F24" s="27"/>
      <c r="G24" s="27"/>
      <c r="H24" s="70" t="s">
        <v>1861</v>
      </c>
      <c r="I24" s="177" t="s">
        <v>881</v>
      </c>
      <c r="J24" s="138" t="s">
        <v>1929</v>
      </c>
      <c r="K24" s="117"/>
      <c r="L24" s="6"/>
      <c r="M24" s="6"/>
      <c r="N24" s="6"/>
      <c r="O24" s="44"/>
      <c r="P24" s="44"/>
      <c r="Q24" s="44"/>
      <c r="R24" s="53"/>
      <c r="S24" s="44"/>
      <c r="T24" s="44"/>
      <c r="U24" s="44"/>
      <c r="V24" s="53"/>
      <c r="W24" s="31"/>
      <c r="X24" s="9"/>
      <c r="Y24" s="11"/>
      <c r="Z24" s="11"/>
      <c r="AA24" s="63"/>
      <c r="AB24" s="63"/>
      <c r="AC24" s="63"/>
      <c r="AD24" s="36"/>
      <c r="AE24" s="31"/>
      <c r="AF24" s="9"/>
      <c r="AG24" s="6"/>
      <c r="AH24" s="6"/>
      <c r="AI24" s="6"/>
      <c r="AJ24" s="36"/>
      <c r="AK24" s="31"/>
      <c r="AL24" s="9"/>
      <c r="AM24" s="6"/>
      <c r="AN24" s="6"/>
      <c r="AO24" s="6"/>
      <c r="AP24" s="36"/>
    </row>
    <row r="25" spans="1:42">
      <c r="A25" s="30">
        <v>25</v>
      </c>
      <c r="B25" s="146"/>
      <c r="C25" s="226" t="s">
        <v>258</v>
      </c>
      <c r="D25" s="27"/>
      <c r="E25" s="27"/>
      <c r="F25" s="27"/>
      <c r="G25" s="27"/>
      <c r="H25" s="145" t="s">
        <v>737</v>
      </c>
      <c r="I25" s="179" t="s">
        <v>880</v>
      </c>
      <c r="J25" s="138"/>
      <c r="K25" s="29"/>
      <c r="L25" s="11"/>
      <c r="M25" s="11"/>
      <c r="N25" s="11"/>
      <c r="O25" s="44">
        <f>E25</f>
        <v>0</v>
      </c>
      <c r="P25" s="44">
        <f>D25</f>
        <v>0</v>
      </c>
      <c r="Q25" s="44">
        <f>D25</f>
        <v>0</v>
      </c>
      <c r="R25" s="53" t="s">
        <v>70</v>
      </c>
      <c r="S25" s="44">
        <f>E25</f>
        <v>0</v>
      </c>
      <c r="T25" s="44">
        <f>D25</f>
        <v>0</v>
      </c>
      <c r="U25" s="44">
        <f>D25</f>
        <v>0</v>
      </c>
      <c r="V25" s="53"/>
      <c r="W25" s="31">
        <v>223307</v>
      </c>
      <c r="X25" s="9" t="str">
        <f>IFERROR(INDEX([1]Sheet1!$A$2:$X$1948,MATCH($W$2:$W$268,[1]Sheet1!$G$2:$G$1948,0),8),"")</f>
        <v>냉동얼갈이(IQF 1Kg/EA)</v>
      </c>
      <c r="Y25" s="11">
        <v>1000</v>
      </c>
      <c r="Z25" s="11"/>
      <c r="AA25" s="63">
        <v>42</v>
      </c>
      <c r="AB25" s="63" t="e">
        <f>T25*AD25</f>
        <v>#DIV/0!</v>
      </c>
      <c r="AC25" s="63" t="e">
        <f>U25*AD25</f>
        <v>#DIV/0!</v>
      </c>
      <c r="AD25" s="36" t="e">
        <f>AA25/E25</f>
        <v>#DIV/0!</v>
      </c>
      <c r="AE25" s="31">
        <v>145349</v>
      </c>
      <c r="AF25" s="9" t="str">
        <f>IFERROR(INDEX([1]Sheet1!$A$2:$X$1948,MATCH($AE$2:$AE$268,[1]Sheet1!$G$2:$G$1948,0),8),"")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36" t="e">
        <f>AG25/$E25</f>
        <v>#DIV/0!</v>
      </c>
      <c r="AK25" s="31"/>
      <c r="AL25" s="9">
        <f>IFERROR(INDEX([1]Sheet1!$A$2:$X$1948,MATCH($AK$2:$AK$268,[1]Sheet1!$G$2:$G$1948,0),8),"")</f>
        <v>0</v>
      </c>
      <c r="AM25" s="6"/>
      <c r="AN25" s="6"/>
      <c r="AO25" s="6"/>
      <c r="AP25" s="36"/>
    </row>
    <row r="26" spans="1:42">
      <c r="A26" s="30">
        <v>26</v>
      </c>
      <c r="B26" s="146"/>
      <c r="C26" s="228" t="s">
        <v>1163</v>
      </c>
      <c r="D26" s="27"/>
      <c r="E26" s="27"/>
      <c r="F26" s="27"/>
      <c r="G26" s="27"/>
      <c r="H26" s="70" t="s">
        <v>1094</v>
      </c>
      <c r="I26" s="177" t="s">
        <v>826</v>
      </c>
      <c r="J26" s="138" t="s">
        <v>2023</v>
      </c>
      <c r="K26" s="29"/>
      <c r="L26" s="11"/>
      <c r="M26" s="11"/>
      <c r="N26" s="11"/>
      <c r="O26" s="44"/>
      <c r="P26" s="44"/>
      <c r="Q26" s="44"/>
      <c r="R26" s="53"/>
      <c r="S26" s="44"/>
      <c r="T26" s="44"/>
      <c r="U26" s="44"/>
      <c r="V26" s="53"/>
      <c r="W26" s="31"/>
      <c r="X26" s="9"/>
      <c r="Y26" s="11"/>
      <c r="Z26" s="11"/>
      <c r="AA26" s="63"/>
      <c r="AB26" s="63"/>
      <c r="AC26" s="63"/>
      <c r="AD26" s="36"/>
      <c r="AE26" s="31"/>
      <c r="AF26" s="9"/>
      <c r="AG26" s="6"/>
      <c r="AH26" s="6"/>
      <c r="AI26" s="6"/>
      <c r="AJ26" s="36"/>
      <c r="AK26" s="31"/>
      <c r="AL26" s="9"/>
      <c r="AM26" s="6"/>
      <c r="AN26" s="6"/>
      <c r="AO26" s="6"/>
      <c r="AP26" s="36"/>
    </row>
    <row r="27" spans="1:42" ht="27">
      <c r="A27" s="30">
        <v>27</v>
      </c>
      <c r="B27" s="146"/>
      <c r="C27" s="134" t="s">
        <v>820</v>
      </c>
      <c r="D27" s="27"/>
      <c r="E27" s="27"/>
      <c r="F27" s="27"/>
      <c r="G27" s="27"/>
      <c r="H27" s="70" t="s">
        <v>1595</v>
      </c>
      <c r="I27" s="177" t="s">
        <v>883</v>
      </c>
      <c r="J27" s="138" t="s">
        <v>1836</v>
      </c>
      <c r="K27" s="117"/>
      <c r="L27" s="6"/>
      <c r="M27" s="6"/>
      <c r="N27" s="6"/>
      <c r="O27" s="44"/>
      <c r="P27" s="44"/>
      <c r="Q27" s="44"/>
      <c r="R27" s="53"/>
      <c r="S27" s="44"/>
      <c r="T27" s="44"/>
      <c r="U27" s="44"/>
      <c r="V27" s="53"/>
      <c r="W27" s="31"/>
      <c r="X27" s="9"/>
      <c r="Y27" s="11"/>
      <c r="Z27" s="11"/>
      <c r="AA27" s="63"/>
      <c r="AB27" s="63"/>
      <c r="AC27" s="63"/>
      <c r="AD27" s="36"/>
      <c r="AE27" s="31"/>
      <c r="AF27" s="9"/>
      <c r="AG27" s="6"/>
      <c r="AH27" s="6"/>
      <c r="AI27" s="6"/>
      <c r="AJ27" s="36"/>
      <c r="AK27" s="31"/>
      <c r="AL27" s="9"/>
      <c r="AM27" s="6"/>
      <c r="AN27" s="6"/>
      <c r="AO27" s="6"/>
      <c r="AP27" s="36"/>
    </row>
    <row r="28" spans="1:42">
      <c r="A28" s="30">
        <v>28</v>
      </c>
      <c r="B28" s="146"/>
      <c r="C28" s="134" t="s">
        <v>717</v>
      </c>
      <c r="D28" s="27"/>
      <c r="E28" s="27"/>
      <c r="F28" s="27"/>
      <c r="G28" s="27"/>
      <c r="H28" s="70" t="s">
        <v>2309</v>
      </c>
      <c r="I28" s="177" t="s">
        <v>837</v>
      </c>
      <c r="J28" s="138" t="s">
        <v>1800</v>
      </c>
      <c r="K28" s="29"/>
      <c r="L28" s="11"/>
      <c r="M28" s="11"/>
      <c r="N28" s="11"/>
      <c r="O28" s="44">
        <f>E28</f>
        <v>0</v>
      </c>
      <c r="P28" s="44">
        <f>D28</f>
        <v>0</v>
      </c>
      <c r="Q28" s="44">
        <f>D28</f>
        <v>0</v>
      </c>
      <c r="R28" s="53" t="s">
        <v>70</v>
      </c>
      <c r="S28" s="44">
        <f>E28</f>
        <v>0</v>
      </c>
      <c r="T28" s="44">
        <f>D28</f>
        <v>0</v>
      </c>
      <c r="U28" s="44">
        <f>D28</f>
        <v>0</v>
      </c>
      <c r="V28" s="53"/>
      <c r="W28" s="31">
        <v>192918</v>
      </c>
      <c r="X28" s="9" t="str">
        <f>IFERROR(INDEX([1]Sheet1!$A$2:$X$1948,MATCH($W$2:$W$268,[1]Sheet1!$G$2:$G$1948,0),8),"")</f>
        <v>양배추(겉잎제거 KG)</v>
      </c>
      <c r="Y28" s="11">
        <v>1000</v>
      </c>
      <c r="Z28" s="11"/>
      <c r="AA28" s="63">
        <v>35</v>
      </c>
      <c r="AB28" s="63" t="e">
        <f>T28*AD28</f>
        <v>#DIV/0!</v>
      </c>
      <c r="AC28" s="63" t="e">
        <f>U28*AD28</f>
        <v>#DIV/0!</v>
      </c>
      <c r="AD28" s="36" t="e">
        <f>AA28/E28</f>
        <v>#DIV/0!</v>
      </c>
      <c r="AE28" s="31">
        <v>424285</v>
      </c>
      <c r="AF28" s="9" t="str">
        <f>IFERROR(INDEX([1]Sheet1!$A$2:$X$1948,MATCH($AE$2:$AE$268,[1]Sheet1!$G$2:$G$1948,0),8),"")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36" t="e">
        <f>AG28/$E28</f>
        <v>#DIV/0!</v>
      </c>
      <c r="AK28" s="31"/>
      <c r="AL28" s="9">
        <f>IFERROR(INDEX([1]Sheet1!$A$2:$X$1948,MATCH($AK$2:$AK$268,[1]Sheet1!$G$2:$G$1948,0),8),"")</f>
        <v>0</v>
      </c>
      <c r="AM28" s="6"/>
      <c r="AN28" s="6"/>
      <c r="AO28" s="6"/>
      <c r="AP28" s="36"/>
    </row>
    <row r="29" spans="1:42">
      <c r="A29" s="30">
        <v>29</v>
      </c>
      <c r="B29" s="146"/>
      <c r="C29" s="134" t="s">
        <v>1036</v>
      </c>
      <c r="D29" s="27"/>
      <c r="E29" s="27"/>
      <c r="F29" s="27"/>
      <c r="G29" s="27"/>
      <c r="H29" s="70" t="s">
        <v>1100</v>
      </c>
      <c r="I29" s="177" t="s">
        <v>880</v>
      </c>
      <c r="J29" s="138" t="s">
        <v>1847</v>
      </c>
      <c r="K29" s="117"/>
      <c r="L29" s="6"/>
      <c r="M29" s="6"/>
      <c r="N29" s="6"/>
      <c r="O29" s="44"/>
      <c r="P29" s="44"/>
      <c r="Q29" s="44"/>
      <c r="R29" s="53"/>
      <c r="S29" s="44"/>
      <c r="T29" s="44"/>
      <c r="U29" s="44"/>
      <c r="V29" s="53"/>
      <c r="W29" s="31"/>
      <c r="X29" s="9"/>
      <c r="Y29" s="11"/>
      <c r="Z29" s="11"/>
      <c r="AA29" s="63"/>
      <c r="AB29" s="63"/>
      <c r="AC29" s="63"/>
      <c r="AD29" s="36"/>
      <c r="AE29" s="31"/>
      <c r="AF29" s="9"/>
      <c r="AG29" s="6"/>
      <c r="AH29" s="6"/>
      <c r="AI29" s="6"/>
      <c r="AJ29" s="36"/>
      <c r="AK29" s="31"/>
      <c r="AL29" s="9"/>
      <c r="AM29" s="6"/>
      <c r="AN29" s="6"/>
      <c r="AO29" s="6"/>
      <c r="AP29" s="36"/>
    </row>
    <row r="30" spans="1:42">
      <c r="A30" s="30">
        <v>30</v>
      </c>
      <c r="B30" s="146"/>
      <c r="C30" s="134" t="s">
        <v>257</v>
      </c>
      <c r="D30" s="27"/>
      <c r="E30" s="27"/>
      <c r="F30" s="27"/>
      <c r="G30" s="27"/>
      <c r="H30" s="70" t="s">
        <v>611</v>
      </c>
      <c r="I30" s="177" t="s">
        <v>833</v>
      </c>
      <c r="J30" s="138" t="s">
        <v>1847</v>
      </c>
      <c r="K30" s="117"/>
      <c r="L30" s="6">
        <v>2535</v>
      </c>
      <c r="M30" s="6">
        <v>126.75</v>
      </c>
      <c r="N30" s="6">
        <v>2661.75</v>
      </c>
      <c r="O30" s="44">
        <f>E30</f>
        <v>0</v>
      </c>
      <c r="P30" s="44">
        <f>D30</f>
        <v>0</v>
      </c>
      <c r="Q30" s="44">
        <f>D30</f>
        <v>0</v>
      </c>
      <c r="R30" s="53" t="s">
        <v>70</v>
      </c>
      <c r="S30" s="44">
        <f>E30</f>
        <v>0</v>
      </c>
      <c r="T30" s="44">
        <f>D30</f>
        <v>0</v>
      </c>
      <c r="U30" s="44">
        <f>D30</f>
        <v>0</v>
      </c>
      <c r="V30" s="53"/>
      <c r="W30" s="31">
        <v>211037</v>
      </c>
      <c r="X30" s="9" t="str">
        <f>IFERROR(INDEX([1]Sheet1!$A$2:$X$1948,MATCH($W$2:$W$268,[1]Sheet1!$G$2:$G$1948,0),8),"")</f>
        <v>느타리버섯(실속 균상 2Kg/EA)</v>
      </c>
      <c r="Y30" s="11">
        <v>2000</v>
      </c>
      <c r="Z30" s="11"/>
      <c r="AA30" s="63">
        <v>23</v>
      </c>
      <c r="AB30" s="63" t="e">
        <f>T30*AD30</f>
        <v>#DIV/0!</v>
      </c>
      <c r="AC30" s="63" t="e">
        <f>U30*AD30</f>
        <v>#DIV/0!</v>
      </c>
      <c r="AD30" s="36" t="e">
        <f>AA30/E30</f>
        <v>#DIV/0!</v>
      </c>
      <c r="AE30" s="31">
        <v>205745</v>
      </c>
      <c r="AF30" s="9" t="str">
        <f>IFERROR(INDEX([1]Sheet1!$A$2:$X$1948,MATCH($AE$2:$AE$268,[1]Sheet1!$G$2:$G$1948,0),8),"")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36" t="e">
        <f>AG30/$E30</f>
        <v>#DIV/0!</v>
      </c>
      <c r="AK30" s="31"/>
      <c r="AL30" s="9">
        <f>IFERROR(INDEX([1]Sheet1!$A$2:$X$1948,MATCH($AK$2:$AK$268,[1]Sheet1!$G$2:$G$1948,0),8),"")</f>
        <v>0</v>
      </c>
      <c r="AM30" s="6"/>
      <c r="AN30" s="6"/>
      <c r="AO30" s="6"/>
      <c r="AP30" s="36"/>
    </row>
    <row r="31" spans="1:42">
      <c r="A31" s="30">
        <v>31</v>
      </c>
      <c r="B31" s="146"/>
      <c r="C31" s="134" t="s">
        <v>1161</v>
      </c>
      <c r="D31" s="27"/>
      <c r="E31" s="27"/>
      <c r="F31" s="27"/>
      <c r="G31" s="27"/>
      <c r="H31" s="133" t="s">
        <v>1162</v>
      </c>
      <c r="I31" s="177" t="s">
        <v>826</v>
      </c>
      <c r="J31" s="138"/>
      <c r="K31" s="117"/>
      <c r="L31" s="6"/>
      <c r="M31" s="6"/>
      <c r="N31" s="6"/>
      <c r="O31" s="44">
        <f>E31</f>
        <v>0</v>
      </c>
      <c r="P31" s="44">
        <f>D31</f>
        <v>0</v>
      </c>
      <c r="Q31" s="44">
        <f>D31</f>
        <v>0</v>
      </c>
      <c r="R31" s="53" t="s">
        <v>70</v>
      </c>
      <c r="S31" s="44">
        <f>E31</f>
        <v>0</v>
      </c>
      <c r="T31" s="44">
        <f>D31</f>
        <v>0</v>
      </c>
      <c r="U31" s="44">
        <f>D31</f>
        <v>0</v>
      </c>
      <c r="V31" s="53"/>
      <c r="W31" s="31">
        <v>193090</v>
      </c>
      <c r="X31" s="9" t="str">
        <f>IFERROR(INDEX([1]Sheet1!$A$2:$X$1948,MATCH($W$2:$W$268,[1]Sheet1!$G$2:$G$1948,0),8),"")</f>
        <v>냉동감자(절단_3~4cm 1Kg/EA)</v>
      </c>
      <c r="Y31" s="11">
        <v>1000</v>
      </c>
      <c r="Z31" s="11"/>
      <c r="AA31" s="63">
        <v>30</v>
      </c>
      <c r="AB31" s="63" t="e">
        <f>T31*AD31</f>
        <v>#DIV/0!</v>
      </c>
      <c r="AC31" s="63" t="e">
        <f>U31*AD31</f>
        <v>#DIV/0!</v>
      </c>
      <c r="AD31" s="36" t="e">
        <f>AA31/E31</f>
        <v>#DIV/0!</v>
      </c>
      <c r="AE31" s="31">
        <v>204964</v>
      </c>
      <c r="AF31" s="9" t="str">
        <f>IFERROR(INDEX([1]Sheet1!$A$2:$X$1948,MATCH($AE$2:$AE$268,[1]Sheet1!$G$2:$G$1948,0),8),"")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36" t="e">
        <f>AG31/$E31</f>
        <v>#DIV/0!</v>
      </c>
      <c r="AK31" s="31"/>
      <c r="AL31" s="9">
        <f>IFERROR(INDEX([1]Sheet1!$A$2:$X$1948,MATCH($AK$2:$AK$268,[1]Sheet1!$G$2:$G$1948,0),8),"")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36" t="e">
        <f>AM31/$E31</f>
        <v>#DIV/0!</v>
      </c>
    </row>
    <row r="32" spans="1:42" ht="20.100000000000001" customHeight="1">
      <c r="A32" s="30">
        <v>32</v>
      </c>
      <c r="B32" s="146"/>
      <c r="C32" s="134" t="s">
        <v>1292</v>
      </c>
      <c r="D32" s="27"/>
      <c r="E32" s="27"/>
      <c r="F32" s="27"/>
      <c r="G32" s="27"/>
      <c r="H32" s="132" t="s">
        <v>1293</v>
      </c>
      <c r="I32" s="180" t="s">
        <v>880</v>
      </c>
      <c r="J32" s="138"/>
      <c r="K32" s="117"/>
      <c r="L32" s="6"/>
      <c r="M32" s="6"/>
      <c r="N32" s="6"/>
      <c r="O32" s="44"/>
      <c r="P32" s="44"/>
      <c r="Q32" s="44"/>
      <c r="R32" s="53"/>
      <c r="S32" s="44"/>
      <c r="T32" s="44"/>
      <c r="U32" s="44"/>
      <c r="V32" s="53"/>
      <c r="W32" s="31"/>
      <c r="X32" s="9"/>
      <c r="Y32" s="11"/>
      <c r="Z32" s="11"/>
      <c r="AA32" s="63"/>
      <c r="AB32" s="63"/>
      <c r="AC32" s="63"/>
      <c r="AD32" s="36"/>
      <c r="AE32" s="31"/>
      <c r="AF32" s="9"/>
      <c r="AG32" s="6"/>
      <c r="AH32" s="6"/>
      <c r="AI32" s="6"/>
      <c r="AJ32" s="36"/>
      <c r="AK32" s="31"/>
      <c r="AL32" s="9"/>
      <c r="AM32" s="6"/>
      <c r="AN32" s="6"/>
      <c r="AO32" s="6"/>
      <c r="AP32" s="36"/>
    </row>
    <row r="33" spans="1:42" ht="20.100000000000001" customHeight="1">
      <c r="A33" s="30">
        <v>33</v>
      </c>
      <c r="B33" s="146"/>
      <c r="C33" s="134" t="s">
        <v>1879</v>
      </c>
      <c r="D33" s="27"/>
      <c r="E33" s="27"/>
      <c r="F33" s="27"/>
      <c r="G33" s="27"/>
      <c r="H33" s="132" t="s">
        <v>1880</v>
      </c>
      <c r="I33" s="180" t="s">
        <v>1881</v>
      </c>
      <c r="J33" s="138" t="s">
        <v>1928</v>
      </c>
      <c r="K33" s="117"/>
      <c r="L33" s="6"/>
      <c r="M33" s="6"/>
      <c r="N33" s="6"/>
      <c r="O33" s="44"/>
      <c r="P33" s="44"/>
      <c r="Q33" s="44"/>
      <c r="R33" s="53"/>
      <c r="S33" s="44"/>
      <c r="T33" s="44"/>
      <c r="U33" s="44"/>
      <c r="V33" s="53"/>
      <c r="W33" s="31"/>
      <c r="X33" s="9"/>
      <c r="Y33" s="11"/>
      <c r="Z33" s="11"/>
      <c r="AA33" s="63"/>
      <c r="AB33" s="63"/>
      <c r="AC33" s="63"/>
      <c r="AD33" s="36"/>
      <c r="AE33" s="31"/>
      <c r="AF33" s="9"/>
      <c r="AG33" s="6"/>
      <c r="AH33" s="6"/>
      <c r="AI33" s="6"/>
      <c r="AJ33" s="36"/>
      <c r="AK33" s="31"/>
      <c r="AL33" s="9"/>
      <c r="AM33" s="6"/>
      <c r="AN33" s="6"/>
      <c r="AO33" s="6"/>
      <c r="AP33" s="36"/>
    </row>
    <row r="34" spans="1:42">
      <c r="A34" s="30">
        <v>34</v>
      </c>
      <c r="B34" s="146"/>
      <c r="C34" s="134" t="s">
        <v>332</v>
      </c>
      <c r="D34" s="27"/>
      <c r="E34" s="27"/>
      <c r="F34" s="27"/>
      <c r="G34" s="27"/>
      <c r="H34" s="70" t="s">
        <v>1107</v>
      </c>
      <c r="I34" s="177" t="s">
        <v>826</v>
      </c>
      <c r="J34" s="138"/>
      <c r="K34" s="117"/>
      <c r="L34" s="6"/>
      <c r="M34" s="6"/>
      <c r="N34" s="6"/>
      <c r="O34" s="44"/>
      <c r="P34" s="44"/>
      <c r="Q34" s="44"/>
      <c r="R34" s="53"/>
      <c r="S34" s="44"/>
      <c r="T34" s="44"/>
      <c r="U34" s="44"/>
      <c r="V34" s="53"/>
      <c r="W34" s="31"/>
      <c r="X34" s="9"/>
      <c r="Y34" s="11"/>
      <c r="Z34" s="11"/>
      <c r="AA34" s="63"/>
      <c r="AB34" s="63"/>
      <c r="AC34" s="63"/>
      <c r="AD34" s="36"/>
      <c r="AE34" s="31"/>
      <c r="AF34" s="9"/>
      <c r="AG34" s="6"/>
      <c r="AH34" s="6"/>
      <c r="AI34" s="6"/>
      <c r="AJ34" s="36"/>
      <c r="AK34" s="31"/>
      <c r="AL34" s="9"/>
      <c r="AM34" s="6"/>
      <c r="AN34" s="6"/>
      <c r="AO34" s="6"/>
      <c r="AP34" s="36"/>
    </row>
    <row r="35" spans="1:42">
      <c r="A35" s="30">
        <v>35</v>
      </c>
      <c r="B35" s="146"/>
      <c r="C35" s="134" t="s">
        <v>1900</v>
      </c>
      <c r="D35" s="27"/>
      <c r="E35" s="27"/>
      <c r="F35" s="27"/>
      <c r="G35" s="27"/>
      <c r="H35" s="70" t="s">
        <v>1409</v>
      </c>
      <c r="I35" s="177" t="s">
        <v>876</v>
      </c>
      <c r="J35" s="138" t="s">
        <v>1098</v>
      </c>
      <c r="K35" s="117"/>
      <c r="L35" s="6"/>
      <c r="M35" s="6"/>
      <c r="N35" s="6"/>
      <c r="O35" s="44"/>
      <c r="P35" s="44"/>
      <c r="Q35" s="44"/>
      <c r="R35" s="53"/>
      <c r="S35" s="44"/>
      <c r="T35" s="44"/>
      <c r="U35" s="44"/>
      <c r="V35" s="53"/>
      <c r="W35" s="31"/>
      <c r="X35" s="9"/>
      <c r="Y35" s="11"/>
      <c r="Z35" s="11"/>
      <c r="AA35" s="63"/>
      <c r="AB35" s="63"/>
      <c r="AC35" s="63"/>
      <c r="AD35" s="36"/>
      <c r="AE35" s="31"/>
      <c r="AF35" s="9"/>
      <c r="AG35" s="6"/>
      <c r="AH35" s="6"/>
      <c r="AI35" s="6"/>
      <c r="AJ35" s="36"/>
      <c r="AK35" s="31"/>
      <c r="AL35" s="9"/>
      <c r="AM35" s="6"/>
      <c r="AN35" s="6"/>
      <c r="AO35" s="6"/>
      <c r="AP35" s="36"/>
    </row>
    <row r="36" spans="1:42">
      <c r="A36" s="30">
        <v>36</v>
      </c>
      <c r="B36" s="146"/>
      <c r="C36" s="144" t="s">
        <v>1798</v>
      </c>
      <c r="D36" s="27"/>
      <c r="E36" s="27"/>
      <c r="F36" s="27"/>
      <c r="G36" s="27"/>
      <c r="H36" s="70" t="s">
        <v>1410</v>
      </c>
      <c r="I36" s="181" t="s">
        <v>1939</v>
      </c>
      <c r="J36" s="138"/>
      <c r="K36" s="117"/>
      <c r="L36" s="6"/>
      <c r="M36" s="6"/>
      <c r="N36" s="6"/>
      <c r="O36" s="44"/>
      <c r="P36" s="44"/>
      <c r="Q36" s="44"/>
      <c r="R36" s="53"/>
      <c r="S36" s="44"/>
      <c r="T36" s="44"/>
      <c r="U36" s="44"/>
      <c r="V36" s="53"/>
      <c r="W36" s="31"/>
      <c r="X36" s="9"/>
      <c r="Y36" s="11"/>
      <c r="Z36" s="11"/>
      <c r="AA36" s="63"/>
      <c r="AB36" s="63"/>
      <c r="AC36" s="63"/>
      <c r="AD36" s="36"/>
      <c r="AE36" s="31"/>
      <c r="AF36" s="9"/>
      <c r="AG36" s="6"/>
      <c r="AH36" s="6"/>
      <c r="AI36" s="6"/>
      <c r="AJ36" s="36"/>
      <c r="AK36" s="31"/>
      <c r="AL36" s="9"/>
      <c r="AM36" s="6"/>
      <c r="AN36" s="6"/>
      <c r="AO36" s="6"/>
      <c r="AP36" s="36"/>
    </row>
    <row r="37" spans="1:42">
      <c r="A37" s="30">
        <v>37</v>
      </c>
      <c r="B37" s="146"/>
      <c r="C37" s="134" t="s">
        <v>1212</v>
      </c>
      <c r="D37" s="27"/>
      <c r="E37" s="27"/>
      <c r="F37" s="27"/>
      <c r="G37" s="27"/>
      <c r="H37" s="70" t="s">
        <v>1224</v>
      </c>
      <c r="I37" s="177" t="s">
        <v>826</v>
      </c>
      <c r="J37" s="137" t="s">
        <v>1850</v>
      </c>
      <c r="K37" s="117"/>
      <c r="L37" s="6"/>
      <c r="M37" s="6"/>
      <c r="N37" s="6"/>
      <c r="O37" s="44"/>
      <c r="P37" s="44"/>
      <c r="Q37" s="44"/>
      <c r="R37" s="53"/>
      <c r="S37" s="44"/>
      <c r="T37" s="44"/>
      <c r="U37" s="44"/>
      <c r="V37" s="53"/>
      <c r="W37" s="31"/>
      <c r="X37" s="9"/>
      <c r="Y37" s="11"/>
      <c r="Z37" s="11"/>
      <c r="AA37" s="63"/>
      <c r="AB37" s="63"/>
      <c r="AC37" s="63"/>
      <c r="AD37" s="36"/>
      <c r="AE37" s="31"/>
      <c r="AF37" s="9"/>
      <c r="AG37" s="6"/>
      <c r="AH37" s="6"/>
      <c r="AI37" s="6"/>
      <c r="AJ37" s="36"/>
      <c r="AK37" s="31"/>
      <c r="AL37" s="9"/>
      <c r="AM37" s="6"/>
      <c r="AN37" s="6"/>
      <c r="AO37" s="6"/>
      <c r="AP37" s="36"/>
    </row>
    <row r="38" spans="1:42">
      <c r="A38" s="30">
        <v>38</v>
      </c>
      <c r="B38" s="146"/>
      <c r="C38" s="134" t="s">
        <v>1568</v>
      </c>
      <c r="D38" s="27"/>
      <c r="E38" s="27"/>
      <c r="F38" s="27"/>
      <c r="G38" s="27"/>
      <c r="H38" s="70" t="s">
        <v>1569</v>
      </c>
      <c r="I38" s="177" t="s">
        <v>826</v>
      </c>
      <c r="J38" s="137" t="s">
        <v>1850</v>
      </c>
      <c r="K38" s="117"/>
      <c r="L38" s="6"/>
      <c r="M38" s="6"/>
      <c r="N38" s="6"/>
      <c r="O38" s="44"/>
      <c r="P38" s="44"/>
      <c r="Q38" s="44"/>
      <c r="R38" s="53"/>
      <c r="S38" s="44"/>
      <c r="T38" s="44"/>
      <c r="U38" s="44"/>
      <c r="V38" s="53"/>
      <c r="W38" s="31"/>
      <c r="X38" s="9"/>
      <c r="Y38" s="11"/>
      <c r="Z38" s="11"/>
      <c r="AA38" s="63"/>
      <c r="AB38" s="63"/>
      <c r="AC38" s="63"/>
      <c r="AD38" s="36"/>
      <c r="AE38" s="31"/>
      <c r="AF38" s="9"/>
      <c r="AG38" s="6"/>
      <c r="AH38" s="6"/>
      <c r="AI38" s="6"/>
      <c r="AJ38" s="36"/>
      <c r="AK38" s="31"/>
      <c r="AL38" s="9"/>
      <c r="AM38" s="6"/>
      <c r="AN38" s="6"/>
      <c r="AO38" s="6"/>
      <c r="AP38" s="36"/>
    </row>
    <row r="39" spans="1:42">
      <c r="A39" s="30"/>
      <c r="B39" s="146"/>
      <c r="C39" s="134" t="s">
        <v>1837</v>
      </c>
      <c r="D39" s="27"/>
      <c r="E39" s="27"/>
      <c r="F39" s="27"/>
      <c r="G39" s="27"/>
      <c r="H39" s="70" t="s">
        <v>1838</v>
      </c>
      <c r="I39" s="177" t="s">
        <v>826</v>
      </c>
      <c r="J39" s="137"/>
      <c r="K39" s="117"/>
      <c r="L39" s="6"/>
      <c r="M39" s="6"/>
      <c r="N39" s="6"/>
      <c r="O39" s="44"/>
      <c r="P39" s="44"/>
      <c r="Q39" s="44"/>
      <c r="R39" s="53"/>
      <c r="S39" s="44"/>
      <c r="T39" s="44"/>
      <c r="U39" s="44"/>
      <c r="V39" s="53"/>
      <c r="W39" s="31"/>
      <c r="X39" s="9"/>
      <c r="Y39" s="11"/>
      <c r="Z39" s="11"/>
      <c r="AA39" s="63"/>
      <c r="AB39" s="63"/>
      <c r="AC39" s="63"/>
      <c r="AD39" s="36"/>
      <c r="AE39" s="31"/>
      <c r="AF39" s="9"/>
      <c r="AG39" s="6"/>
      <c r="AH39" s="6"/>
      <c r="AI39" s="6"/>
      <c r="AJ39" s="36"/>
      <c r="AK39" s="31"/>
      <c r="AL39" s="9"/>
      <c r="AM39" s="6"/>
      <c r="AN39" s="6"/>
      <c r="AO39" s="6"/>
      <c r="AP39" s="36"/>
    </row>
    <row r="40" spans="1:42">
      <c r="A40" s="30">
        <v>37</v>
      </c>
      <c r="B40" s="146"/>
      <c r="C40" s="134" t="s">
        <v>1638</v>
      </c>
      <c r="D40" s="27"/>
      <c r="E40" s="27"/>
      <c r="F40" s="27"/>
      <c r="G40" s="27"/>
      <c r="H40" s="70" t="s">
        <v>1639</v>
      </c>
      <c r="I40" s="177" t="s">
        <v>826</v>
      </c>
      <c r="J40" s="137"/>
      <c r="K40" s="117"/>
      <c r="L40" s="6"/>
      <c r="M40" s="6"/>
      <c r="N40" s="6"/>
      <c r="O40" s="44"/>
      <c r="P40" s="44"/>
      <c r="Q40" s="44"/>
      <c r="R40" s="53"/>
      <c r="S40" s="44"/>
      <c r="T40" s="44"/>
      <c r="U40" s="44"/>
      <c r="V40" s="53"/>
      <c r="W40" s="31"/>
      <c r="X40" s="9"/>
      <c r="Y40" s="11"/>
      <c r="Z40" s="11"/>
      <c r="AA40" s="63"/>
      <c r="AB40" s="63"/>
      <c r="AC40" s="63"/>
      <c r="AD40" s="36"/>
      <c r="AE40" s="31"/>
      <c r="AF40" s="9"/>
      <c r="AG40" s="6"/>
      <c r="AH40" s="6"/>
      <c r="AI40" s="6"/>
      <c r="AJ40" s="36"/>
      <c r="AK40" s="31"/>
      <c r="AL40" s="9"/>
      <c r="AM40" s="6"/>
      <c r="AN40" s="6"/>
      <c r="AO40" s="6"/>
      <c r="AP40" s="36"/>
    </row>
    <row r="41" spans="1:42">
      <c r="A41" s="30"/>
      <c r="B41" s="146"/>
      <c r="C41" s="134" t="s">
        <v>1720</v>
      </c>
      <c r="D41" s="27"/>
      <c r="E41" s="27"/>
      <c r="F41" s="27"/>
      <c r="G41" s="27"/>
      <c r="H41" s="70" t="s">
        <v>1721</v>
      </c>
      <c r="I41" s="177" t="s">
        <v>1722</v>
      </c>
      <c r="J41" s="137"/>
      <c r="K41" s="117"/>
      <c r="L41" s="6"/>
      <c r="M41" s="6"/>
      <c r="N41" s="6"/>
      <c r="O41" s="44"/>
      <c r="P41" s="44"/>
      <c r="Q41" s="44"/>
      <c r="R41" s="53"/>
      <c r="S41" s="44"/>
      <c r="T41" s="44"/>
      <c r="U41" s="44"/>
      <c r="V41" s="53"/>
      <c r="W41" s="31"/>
      <c r="X41" s="9"/>
      <c r="Y41" s="11"/>
      <c r="Z41" s="11"/>
      <c r="AA41" s="63"/>
      <c r="AB41" s="63"/>
      <c r="AC41" s="63"/>
      <c r="AD41" s="36"/>
      <c r="AE41" s="31"/>
      <c r="AF41" s="9"/>
      <c r="AG41" s="6"/>
      <c r="AH41" s="6"/>
      <c r="AI41" s="6"/>
      <c r="AJ41" s="36"/>
      <c r="AK41" s="31"/>
      <c r="AL41" s="9"/>
      <c r="AM41" s="6"/>
      <c r="AN41" s="6"/>
      <c r="AO41" s="6"/>
      <c r="AP41" s="36"/>
    </row>
    <row r="42" spans="1:42">
      <c r="A42" s="30">
        <v>38</v>
      </c>
      <c r="B42" s="146"/>
      <c r="C42" s="134" t="s">
        <v>572</v>
      </c>
      <c r="D42" s="27"/>
      <c r="E42" s="27"/>
      <c r="F42" s="27"/>
      <c r="G42" s="27"/>
      <c r="H42" s="137" t="s">
        <v>573</v>
      </c>
      <c r="I42" s="182" t="s">
        <v>826</v>
      </c>
      <c r="J42" s="138"/>
      <c r="K42" s="29"/>
      <c r="L42" s="11"/>
      <c r="M42" s="11"/>
      <c r="N42" s="11"/>
      <c r="O42" s="44">
        <f>E42</f>
        <v>0</v>
      </c>
      <c r="P42" s="44">
        <v>120</v>
      </c>
      <c r="Q42" s="44"/>
      <c r="R42" s="53" t="s">
        <v>70</v>
      </c>
      <c r="S42" s="45">
        <v>2</v>
      </c>
      <c r="T42" s="45">
        <v>6</v>
      </c>
      <c r="U42" s="45">
        <v>10</v>
      </c>
      <c r="V42" s="53" t="s">
        <v>71</v>
      </c>
      <c r="W42" s="31">
        <v>127359</v>
      </c>
      <c r="X42" s="9" t="str">
        <f>IFERROR(INDEX([1]Sheet1!$A$2:$X$1948,MATCH($W$2:$W$268,[1]Sheet1!$G$2:$G$1948,0),8),"")</f>
        <v>사조대림 사각잡채군만두(32±1개입 800g/EA)</v>
      </c>
      <c r="Y42" s="11">
        <v>800</v>
      </c>
      <c r="Z42" s="11">
        <v>32</v>
      </c>
      <c r="AA42" s="64">
        <v>2</v>
      </c>
      <c r="AB42" s="64">
        <f>T42</f>
        <v>6</v>
      </c>
      <c r="AC42" s="64">
        <f>U42</f>
        <v>10</v>
      </c>
      <c r="AD42" s="36"/>
      <c r="AE42" s="31"/>
      <c r="AF42" s="9">
        <f>IFERROR(INDEX([1]Sheet1!$A$2:$X$1948,MATCH($AE$2:$AE$268,[1]Sheet1!$G$2:$G$1948,0),8),"")</f>
        <v>0</v>
      </c>
      <c r="AG42" s="6"/>
      <c r="AH42" s="6" t="e">
        <f>P42*AJ42</f>
        <v>#DIV/0!</v>
      </c>
      <c r="AI42" s="6" t="e">
        <f>Q42*AJ42</f>
        <v>#DIV/0!</v>
      </c>
      <c r="AJ42" s="36" t="e">
        <f>AG42/$E42</f>
        <v>#DIV/0!</v>
      </c>
      <c r="AK42" s="31"/>
      <c r="AL42" s="9">
        <f>IFERROR(INDEX([1]Sheet1!$A$2:$X$1948,MATCH($AK$2:$AK$268,[1]Sheet1!$G$2:$G$1948,0),8),"")</f>
        <v>0</v>
      </c>
      <c r="AM42" s="6"/>
      <c r="AN42" s="6" t="e">
        <f>P42*AP42</f>
        <v>#DIV/0!</v>
      </c>
      <c r="AO42" s="6" t="e">
        <f>Q42*AP42</f>
        <v>#DIV/0!</v>
      </c>
      <c r="AP42" s="36" t="e">
        <f>AM42/$E42</f>
        <v>#DIV/0!</v>
      </c>
    </row>
    <row r="43" spans="1:42">
      <c r="A43" s="30">
        <v>39</v>
      </c>
      <c r="B43" s="146"/>
      <c r="C43" s="134" t="s">
        <v>324</v>
      </c>
      <c r="D43" s="27"/>
      <c r="E43" s="27"/>
      <c r="F43" s="27"/>
      <c r="G43" s="27"/>
      <c r="H43" s="70" t="s">
        <v>1746</v>
      </c>
      <c r="I43" s="177" t="s">
        <v>880</v>
      </c>
      <c r="J43" s="138" t="s">
        <v>2007</v>
      </c>
      <c r="K43" s="29"/>
      <c r="L43" s="11"/>
      <c r="M43" s="11"/>
      <c r="N43" s="11"/>
      <c r="O43" s="44">
        <f>E43</f>
        <v>0</v>
      </c>
      <c r="P43" s="44">
        <f>D43</f>
        <v>0</v>
      </c>
      <c r="Q43" s="44">
        <f>D43</f>
        <v>0</v>
      </c>
      <c r="R43" s="53" t="s">
        <v>70</v>
      </c>
      <c r="S43" s="44">
        <f>E43</f>
        <v>0</v>
      </c>
      <c r="T43" s="44">
        <f>D43</f>
        <v>0</v>
      </c>
      <c r="U43" s="44">
        <f>D43</f>
        <v>0</v>
      </c>
      <c r="V43" s="53"/>
      <c r="W43" s="31">
        <v>211037</v>
      </c>
      <c r="X43" s="9" t="str">
        <f>IFERROR(INDEX([1]Sheet1!$A$2:$X$1948,MATCH($W$2:$W$268,[1]Sheet1!$G$2:$G$1948,0),8),"")</f>
        <v>느타리버섯(실속 균상 2Kg/EA)</v>
      </c>
      <c r="Y43" s="11">
        <v>2000</v>
      </c>
      <c r="Z43" s="11"/>
      <c r="AA43" s="63">
        <v>15</v>
      </c>
      <c r="AB43" s="63" t="e">
        <f>T43*AD43</f>
        <v>#DIV/0!</v>
      </c>
      <c r="AC43" s="63" t="e">
        <f>U43*AD43</f>
        <v>#DIV/0!</v>
      </c>
      <c r="AD43" s="36" t="e">
        <f>AA43/E43</f>
        <v>#DIV/0!</v>
      </c>
      <c r="AE43" s="31">
        <v>204964</v>
      </c>
      <c r="AF43" s="9" t="str">
        <f>IFERROR(INDEX([1]Sheet1!$A$2:$X$1948,MATCH($AE$2:$AE$268,[1]Sheet1!$G$2:$G$1948,0),8),"")</f>
        <v>냉동표고버섯(슬라이스 1Kg/PAC)</v>
      </c>
      <c r="AG43" s="6">
        <v>15</v>
      </c>
      <c r="AH43" s="6" t="e">
        <f>P43*AJ43</f>
        <v>#DIV/0!</v>
      </c>
      <c r="AI43" s="6" t="e">
        <f>Q43*AJ43</f>
        <v>#DIV/0!</v>
      </c>
      <c r="AJ43" s="36" t="e">
        <f>AG43/$E43</f>
        <v>#DIV/0!</v>
      </c>
      <c r="AK43" s="31">
        <v>226247</v>
      </c>
      <c r="AL43" s="9" t="str">
        <f>IFERROR(INDEX([1]Sheet1!$A$2:$X$1948,MATCH($AK$2:$AK$268,[1]Sheet1!$G$2:$G$1948,0),8),"")</f>
        <v>냉동표고버섯(1.5*1.5cm다이스 1Kg/EA)</v>
      </c>
      <c r="AM43" s="6"/>
      <c r="AN43" s="6"/>
      <c r="AO43" s="6"/>
      <c r="AP43" s="36"/>
    </row>
    <row r="44" spans="1:42">
      <c r="A44" s="30">
        <v>40</v>
      </c>
      <c r="B44" s="146"/>
      <c r="C44" s="134" t="s">
        <v>1217</v>
      </c>
      <c r="D44" s="27"/>
      <c r="E44" s="27"/>
      <c r="F44" s="27"/>
      <c r="G44" s="27"/>
      <c r="H44" s="70" t="s">
        <v>1219</v>
      </c>
      <c r="I44" s="177" t="s">
        <v>826</v>
      </c>
      <c r="J44" s="138" t="s">
        <v>1800</v>
      </c>
      <c r="K44" s="117"/>
      <c r="L44" s="6"/>
      <c r="M44" s="6"/>
      <c r="N44" s="6"/>
      <c r="O44" s="44"/>
      <c r="P44" s="44"/>
      <c r="Q44" s="44"/>
      <c r="R44" s="53"/>
      <c r="S44" s="44"/>
      <c r="T44" s="44"/>
      <c r="U44" s="44"/>
      <c r="V44" s="53"/>
      <c r="W44" s="31"/>
      <c r="X44" s="9"/>
      <c r="Y44" s="11"/>
      <c r="Z44" s="11"/>
      <c r="AA44" s="63"/>
      <c r="AB44" s="63"/>
      <c r="AC44" s="63"/>
      <c r="AD44" s="36"/>
      <c r="AE44" s="31"/>
      <c r="AF44" s="9"/>
      <c r="AG44" s="6"/>
      <c r="AH44" s="6"/>
      <c r="AI44" s="6"/>
      <c r="AJ44" s="36"/>
      <c r="AK44" s="31"/>
      <c r="AL44" s="9"/>
      <c r="AM44" s="6"/>
      <c r="AN44" s="6"/>
      <c r="AO44" s="6"/>
      <c r="AP44" s="36"/>
    </row>
    <row r="45" spans="1:42">
      <c r="A45" s="30">
        <v>41</v>
      </c>
      <c r="B45" s="146"/>
      <c r="C45" s="134" t="s">
        <v>1284</v>
      </c>
      <c r="D45" s="27"/>
      <c r="E45" s="27"/>
      <c r="F45" s="27"/>
      <c r="G45" s="27"/>
      <c r="H45" s="70" t="s">
        <v>814</v>
      </c>
      <c r="I45" s="177" t="s">
        <v>1191</v>
      </c>
      <c r="J45" s="138"/>
      <c r="K45" s="29"/>
      <c r="L45" s="11"/>
      <c r="M45" s="11"/>
      <c r="N45" s="11"/>
      <c r="O45" s="44"/>
      <c r="P45" s="44"/>
      <c r="Q45" s="44"/>
      <c r="R45" s="53"/>
      <c r="S45" s="44"/>
      <c r="T45" s="44"/>
      <c r="U45" s="44"/>
      <c r="V45" s="53"/>
      <c r="W45" s="31"/>
      <c r="X45" s="9"/>
      <c r="Y45" s="11"/>
      <c r="Z45" s="11"/>
      <c r="AA45" s="63"/>
      <c r="AB45" s="63"/>
      <c r="AC45" s="63"/>
      <c r="AD45" s="36"/>
      <c r="AE45" s="31"/>
      <c r="AF45" s="9"/>
      <c r="AG45" s="6"/>
      <c r="AH45" s="6"/>
      <c r="AI45" s="6"/>
      <c r="AJ45" s="36"/>
      <c r="AK45" s="31"/>
      <c r="AL45" s="9"/>
      <c r="AM45" s="6"/>
      <c r="AN45" s="6"/>
      <c r="AO45" s="6"/>
      <c r="AP45" s="36"/>
    </row>
    <row r="46" spans="1:42">
      <c r="A46" s="30">
        <v>42</v>
      </c>
      <c r="B46" s="146"/>
      <c r="C46" s="134" t="s">
        <v>1150</v>
      </c>
      <c r="D46" s="27"/>
      <c r="E46" s="27"/>
      <c r="F46" s="27"/>
      <c r="G46" s="27"/>
      <c r="H46" s="70" t="s">
        <v>1151</v>
      </c>
      <c r="I46" s="177" t="s">
        <v>835</v>
      </c>
      <c r="J46" s="138" t="s">
        <v>1893</v>
      </c>
      <c r="K46" s="117"/>
      <c r="L46" s="6">
        <v>320</v>
      </c>
      <c r="M46" s="6">
        <v>16</v>
      </c>
      <c r="N46" s="6">
        <v>336</v>
      </c>
      <c r="O46" s="44">
        <f>E46</f>
        <v>0</v>
      </c>
      <c r="P46" s="44">
        <f>D46</f>
        <v>0</v>
      </c>
      <c r="Q46" s="44">
        <f>D46</f>
        <v>0</v>
      </c>
      <c r="R46" s="53" t="s">
        <v>70</v>
      </c>
      <c r="S46" s="44">
        <f>E46</f>
        <v>0</v>
      </c>
      <c r="T46" s="44">
        <f>D46</f>
        <v>0</v>
      </c>
      <c r="U46" s="44">
        <f>D46</f>
        <v>0</v>
      </c>
      <c r="V46" s="53"/>
      <c r="W46" s="31">
        <v>318643</v>
      </c>
      <c r="X46" s="9" t="str">
        <f>IFERROR(INDEX([1]Sheet1!$A$2:$X$1948,MATCH($W$2:$W$268,[1]Sheet1!$G$2:$G$1948,0),8),"")</f>
        <v>아이누리 자른건미역(상품 200g/EA)</v>
      </c>
      <c r="Y46" s="11">
        <v>200</v>
      </c>
      <c r="Z46" s="11"/>
      <c r="AA46" s="63">
        <v>3</v>
      </c>
      <c r="AB46" s="63" t="e">
        <f>T46*AD46</f>
        <v>#DIV/0!</v>
      </c>
      <c r="AC46" s="63" t="e">
        <f>U46*AD46</f>
        <v>#DIV/0!</v>
      </c>
      <c r="AD46" s="36" t="e">
        <f>AA46/E46</f>
        <v>#DIV/0!</v>
      </c>
      <c r="AE46" s="31">
        <v>193090</v>
      </c>
      <c r="AF46" s="9" t="str">
        <f>IFERROR(INDEX([1]Sheet1!$A$2:$X$1948,MATCH($AE$2:$AE$268,[1]Sheet1!$G$2:$G$1948,0),8),"")</f>
        <v>냉동감자(절단_3~4cm 1Kg/EA)</v>
      </c>
      <c r="AG46" s="6">
        <v>17</v>
      </c>
      <c r="AH46" s="6" t="e">
        <f>P46*AJ46</f>
        <v>#DIV/0!</v>
      </c>
      <c r="AI46" s="6" t="e">
        <f>Q46*AJ46</f>
        <v>#DIV/0!</v>
      </c>
      <c r="AJ46" s="36" t="e">
        <f>AG46/$E46</f>
        <v>#DIV/0!</v>
      </c>
      <c r="AK46" s="31"/>
      <c r="AL46" s="9">
        <f>IFERROR(INDEX([1]Sheet1!$A$2:$X$1948,MATCH($AK$2:$AK$268,[1]Sheet1!$G$2:$G$1948,0),8),"")</f>
        <v>0</v>
      </c>
      <c r="AM46" s="6"/>
      <c r="AN46" s="6"/>
      <c r="AO46" s="6"/>
      <c r="AP46" s="36"/>
    </row>
    <row r="47" spans="1:42">
      <c r="A47" s="30">
        <v>43</v>
      </c>
      <c r="B47" s="146"/>
      <c r="C47" s="134" t="s">
        <v>796</v>
      </c>
      <c r="D47" s="27"/>
      <c r="E47" s="27"/>
      <c r="F47" s="27"/>
      <c r="G47" s="27"/>
      <c r="H47" s="70" t="s">
        <v>2317</v>
      </c>
      <c r="I47" s="177" t="s">
        <v>880</v>
      </c>
      <c r="J47" s="138" t="s">
        <v>1098</v>
      </c>
      <c r="K47" s="29"/>
      <c r="L47" s="11"/>
      <c r="M47" s="11"/>
      <c r="N47" s="11"/>
      <c r="O47" s="44"/>
      <c r="P47" s="44"/>
      <c r="Q47" s="44"/>
      <c r="R47" s="53"/>
      <c r="S47" s="44"/>
      <c r="T47" s="44"/>
      <c r="U47" s="44"/>
      <c r="V47" s="53"/>
      <c r="W47" s="31"/>
      <c r="X47" s="9"/>
      <c r="Y47" s="11"/>
      <c r="Z47" s="11"/>
      <c r="AA47" s="63"/>
      <c r="AB47" s="63"/>
      <c r="AC47" s="63"/>
      <c r="AD47" s="36"/>
      <c r="AE47" s="31"/>
      <c r="AF47" s="9"/>
      <c r="AG47" s="6"/>
      <c r="AH47" s="6"/>
      <c r="AI47" s="6"/>
      <c r="AJ47" s="36"/>
      <c r="AK47" s="31"/>
      <c r="AL47" s="9"/>
      <c r="AM47" s="6"/>
      <c r="AN47" s="6"/>
      <c r="AO47" s="6"/>
      <c r="AP47" s="36"/>
    </row>
    <row r="48" spans="1:42">
      <c r="A48" s="30">
        <v>44</v>
      </c>
      <c r="B48" s="146"/>
      <c r="C48" s="134" t="s">
        <v>1938</v>
      </c>
      <c r="D48" s="27"/>
      <c r="E48" s="27"/>
      <c r="F48" s="27"/>
      <c r="G48" s="27"/>
      <c r="H48" s="133" t="s">
        <v>2005</v>
      </c>
      <c r="I48" s="181" t="s">
        <v>826</v>
      </c>
      <c r="J48" s="138" t="s">
        <v>1849</v>
      </c>
      <c r="K48" s="117"/>
      <c r="L48" s="6"/>
      <c r="M48" s="6"/>
      <c r="N48" s="6"/>
      <c r="O48" s="44"/>
      <c r="P48" s="44"/>
      <c r="Q48" s="44"/>
      <c r="R48" s="53"/>
      <c r="S48" s="44"/>
      <c r="T48" s="44"/>
      <c r="U48" s="44"/>
      <c r="V48" s="53"/>
      <c r="W48" s="31"/>
      <c r="X48" s="9"/>
      <c r="Y48" s="11"/>
      <c r="Z48" s="11"/>
      <c r="AA48" s="63"/>
      <c r="AB48" s="63"/>
      <c r="AC48" s="63"/>
      <c r="AD48" s="36"/>
      <c r="AE48" s="31"/>
      <c r="AF48" s="9"/>
      <c r="AG48" s="6"/>
      <c r="AH48" s="6"/>
      <c r="AI48" s="6"/>
      <c r="AJ48" s="36"/>
      <c r="AK48" s="31"/>
      <c r="AL48" s="9"/>
      <c r="AM48" s="6"/>
      <c r="AN48" s="6"/>
      <c r="AO48" s="6"/>
      <c r="AP48" s="36"/>
    </row>
    <row r="49" spans="1:42">
      <c r="A49" s="30">
        <v>45</v>
      </c>
      <c r="B49" s="146"/>
      <c r="C49" s="134" t="s">
        <v>333</v>
      </c>
      <c r="D49" s="27"/>
      <c r="E49" s="27"/>
      <c r="F49" s="27"/>
      <c r="G49" s="27"/>
      <c r="H49" s="70" t="s">
        <v>1218</v>
      </c>
      <c r="I49" s="177" t="s">
        <v>826</v>
      </c>
      <c r="J49" s="138" t="s">
        <v>1829</v>
      </c>
      <c r="K49" s="29"/>
      <c r="L49" s="11"/>
      <c r="M49" s="11"/>
      <c r="N49" s="11"/>
      <c r="O49" s="44"/>
      <c r="P49" s="44"/>
      <c r="Q49" s="44"/>
      <c r="R49" s="53"/>
      <c r="S49" s="44"/>
      <c r="T49" s="44"/>
      <c r="U49" s="44"/>
      <c r="V49" s="53"/>
      <c r="W49" s="31"/>
      <c r="X49" s="9"/>
      <c r="Y49" s="11"/>
      <c r="Z49" s="11"/>
      <c r="AA49" s="63"/>
      <c r="AB49" s="63"/>
      <c r="AC49" s="63"/>
      <c r="AD49" s="36"/>
      <c r="AE49" s="31"/>
      <c r="AF49" s="9"/>
      <c r="AG49" s="6"/>
      <c r="AH49" s="6"/>
      <c r="AI49" s="6"/>
      <c r="AJ49" s="36"/>
      <c r="AK49" s="31"/>
      <c r="AL49" s="9"/>
      <c r="AM49" s="6"/>
      <c r="AN49" s="6"/>
      <c r="AO49" s="6"/>
      <c r="AP49" s="36"/>
    </row>
    <row r="50" spans="1:42">
      <c r="A50" s="30">
        <v>46</v>
      </c>
      <c r="B50" s="146"/>
      <c r="C50" s="226" t="s">
        <v>1472</v>
      </c>
      <c r="D50" s="27"/>
      <c r="E50" s="27"/>
      <c r="F50" s="27"/>
      <c r="G50" s="27"/>
      <c r="H50" s="70" t="s">
        <v>1473</v>
      </c>
      <c r="I50" s="177" t="s">
        <v>1561</v>
      </c>
      <c r="J50" s="138" t="s">
        <v>1849</v>
      </c>
      <c r="K50" s="117"/>
      <c r="L50" s="6"/>
      <c r="M50" s="6"/>
      <c r="N50" s="6"/>
      <c r="O50" s="44"/>
      <c r="P50" s="44"/>
      <c r="Q50" s="44"/>
      <c r="R50" s="53"/>
      <c r="S50" s="44"/>
      <c r="T50" s="44"/>
      <c r="U50" s="44"/>
      <c r="V50" s="53"/>
      <c r="W50" s="31"/>
      <c r="X50" s="9"/>
      <c r="Y50" s="11"/>
      <c r="Z50" s="11"/>
      <c r="AA50" s="63"/>
      <c r="AB50" s="63"/>
      <c r="AC50" s="63"/>
      <c r="AD50" s="36"/>
      <c r="AE50" s="31"/>
      <c r="AF50" s="9"/>
      <c r="AG50" s="6"/>
      <c r="AH50" s="6"/>
      <c r="AI50" s="6"/>
      <c r="AJ50" s="36"/>
      <c r="AK50" s="31"/>
      <c r="AL50" s="9"/>
      <c r="AM50" s="6"/>
      <c r="AN50" s="6"/>
      <c r="AO50" s="6"/>
      <c r="AP50" s="36"/>
    </row>
    <row r="51" spans="1:42">
      <c r="A51" s="30">
        <v>47</v>
      </c>
      <c r="B51" s="146"/>
      <c r="C51" s="226" t="s">
        <v>1687</v>
      </c>
      <c r="D51" s="27"/>
      <c r="E51" s="27"/>
      <c r="F51" s="27"/>
      <c r="G51" s="27"/>
      <c r="H51" s="70" t="s">
        <v>1789</v>
      </c>
      <c r="I51" s="177" t="s">
        <v>869</v>
      </c>
      <c r="J51" s="138"/>
      <c r="K51" s="117"/>
      <c r="L51" s="6"/>
      <c r="M51" s="6"/>
      <c r="N51" s="6"/>
      <c r="O51" s="44"/>
      <c r="P51" s="44"/>
      <c r="Q51" s="44"/>
      <c r="R51" s="53"/>
      <c r="S51" s="44"/>
      <c r="T51" s="44"/>
      <c r="U51" s="44"/>
      <c r="V51" s="53"/>
      <c r="W51" s="31"/>
      <c r="X51" s="9"/>
      <c r="Y51" s="11"/>
      <c r="Z51" s="11"/>
      <c r="AA51" s="63"/>
      <c r="AB51" s="63"/>
      <c r="AC51" s="63"/>
      <c r="AD51" s="36"/>
      <c r="AE51" s="31"/>
      <c r="AF51" s="9"/>
      <c r="AG51" s="6"/>
      <c r="AH51" s="6"/>
      <c r="AI51" s="6"/>
      <c r="AJ51" s="36"/>
      <c r="AK51" s="31"/>
      <c r="AL51" s="9"/>
      <c r="AM51" s="6"/>
      <c r="AN51" s="6"/>
      <c r="AO51" s="6"/>
      <c r="AP51" s="36"/>
    </row>
    <row r="52" spans="1:42">
      <c r="A52" s="30"/>
      <c r="B52" s="146"/>
      <c r="C52" s="226" t="s">
        <v>2164</v>
      </c>
      <c r="D52" s="27"/>
      <c r="E52" s="27"/>
      <c r="F52" s="27"/>
      <c r="G52" s="27"/>
      <c r="H52" s="70" t="s">
        <v>2165</v>
      </c>
      <c r="I52" s="177" t="s">
        <v>826</v>
      </c>
      <c r="J52" s="138"/>
      <c r="K52" s="117"/>
      <c r="L52" s="6"/>
      <c r="M52" s="6"/>
      <c r="N52" s="6"/>
      <c r="O52" s="44"/>
      <c r="P52" s="44"/>
      <c r="Q52" s="44"/>
      <c r="R52" s="53"/>
      <c r="S52" s="44"/>
      <c r="T52" s="44"/>
      <c r="U52" s="44"/>
      <c r="V52" s="53"/>
      <c r="W52" s="31"/>
      <c r="X52" s="9"/>
      <c r="Y52" s="11"/>
      <c r="Z52" s="11"/>
      <c r="AA52" s="63"/>
      <c r="AB52" s="63"/>
      <c r="AC52" s="63"/>
      <c r="AD52" s="36"/>
      <c r="AE52" s="31"/>
      <c r="AF52" s="9"/>
      <c r="AG52" s="6"/>
      <c r="AH52" s="6"/>
      <c r="AI52" s="6"/>
      <c r="AJ52" s="36"/>
      <c r="AK52" s="31"/>
      <c r="AL52" s="9"/>
      <c r="AM52" s="6"/>
      <c r="AN52" s="6"/>
      <c r="AO52" s="6"/>
      <c r="AP52" s="36"/>
    </row>
    <row r="53" spans="1:42">
      <c r="A53" s="30">
        <v>48</v>
      </c>
      <c r="B53" s="146"/>
      <c r="C53" s="226" t="s">
        <v>770</v>
      </c>
      <c r="D53" s="27"/>
      <c r="E53" s="27"/>
      <c r="F53" s="27"/>
      <c r="G53" s="27"/>
      <c r="H53" s="70" t="s">
        <v>1681</v>
      </c>
      <c r="I53" s="177" t="s">
        <v>826</v>
      </c>
      <c r="J53" s="138" t="s">
        <v>1850</v>
      </c>
      <c r="K53" s="117"/>
      <c r="L53" s="6"/>
      <c r="M53" s="6"/>
      <c r="N53" s="6"/>
      <c r="O53" s="44"/>
      <c r="P53" s="44"/>
      <c r="Q53" s="44"/>
      <c r="R53" s="53"/>
      <c r="S53" s="44"/>
      <c r="T53" s="44"/>
      <c r="U53" s="44"/>
      <c r="V53" s="53"/>
      <c r="W53" s="31"/>
      <c r="X53" s="9"/>
      <c r="Y53" s="11"/>
      <c r="Z53" s="11"/>
      <c r="AA53" s="63"/>
      <c r="AB53" s="63"/>
      <c r="AC53" s="63"/>
      <c r="AD53" s="36"/>
      <c r="AE53" s="31"/>
      <c r="AF53" s="9"/>
      <c r="AG53" s="6"/>
      <c r="AH53" s="6"/>
      <c r="AI53" s="6"/>
      <c r="AJ53" s="36"/>
      <c r="AK53" s="31"/>
      <c r="AL53" s="9"/>
      <c r="AM53" s="6"/>
      <c r="AN53" s="6"/>
      <c r="AO53" s="6"/>
      <c r="AP53" s="36"/>
    </row>
    <row r="54" spans="1:42" ht="27">
      <c r="A54" s="30">
        <v>49</v>
      </c>
      <c r="B54" s="146"/>
      <c r="C54" s="226" t="s">
        <v>1001</v>
      </c>
      <c r="D54" s="27"/>
      <c r="E54" s="27"/>
      <c r="F54" s="27"/>
      <c r="G54" s="27"/>
      <c r="H54" s="70" t="s">
        <v>1114</v>
      </c>
      <c r="I54" s="177" t="s">
        <v>860</v>
      </c>
      <c r="J54" s="138" t="s">
        <v>1895</v>
      </c>
      <c r="K54" s="29"/>
      <c r="L54" s="11">
        <v>12870</v>
      </c>
      <c r="M54" s="11">
        <v>643.5</v>
      </c>
      <c r="N54" s="11">
        <v>13513.5</v>
      </c>
      <c r="O54" s="44">
        <f>E54</f>
        <v>0</v>
      </c>
      <c r="P54" s="44">
        <v>200</v>
      </c>
      <c r="Q54" s="44">
        <v>300</v>
      </c>
      <c r="R54" s="53" t="s">
        <v>70</v>
      </c>
      <c r="S54" s="44"/>
      <c r="T54" s="46"/>
      <c r="U54" s="46"/>
      <c r="V54" s="53"/>
      <c r="W54" s="31">
        <v>193090</v>
      </c>
      <c r="X54" s="9" t="str">
        <f>IFERROR(INDEX([1]Sheet1!$A$2:$X$1948,MATCH($W$2:$W$268,[1]Sheet1!$G$2:$G$1948,0),8),"")</f>
        <v>냉동감자(절단_3~4cm 1Kg/EA)</v>
      </c>
      <c r="Y54" s="11">
        <v>1000</v>
      </c>
      <c r="Z54" s="11"/>
      <c r="AA54" s="63">
        <v>23</v>
      </c>
      <c r="AB54" s="63" t="e">
        <f>P54*AD54</f>
        <v>#DIV/0!</v>
      </c>
      <c r="AC54" s="63" t="e">
        <f>Q54*AD54</f>
        <v>#DIV/0!</v>
      </c>
      <c r="AD54" s="36" t="e">
        <f>AA54/E54</f>
        <v>#DIV/0!</v>
      </c>
      <c r="AE54" s="31">
        <v>410401</v>
      </c>
      <c r="AF54" s="9" t="str">
        <f>IFERROR(INDEX([1]Sheet1!$A$2:$X$1948,MATCH($AE$2:$AE$268,[1]Sheet1!$G$2:$G$1948,0),8),"")</f>
        <v>체리부로 닭다리살(무항생_100±10g/덩어리_껍질있음 KG)</v>
      </c>
      <c r="AG54" s="6">
        <v>9</v>
      </c>
      <c r="AH54" s="6" t="e">
        <f>P54*AJ54</f>
        <v>#DIV/0!</v>
      </c>
      <c r="AI54" s="6" t="e">
        <f>Q54*AJ54</f>
        <v>#DIV/0!</v>
      </c>
      <c r="AJ54" s="36" t="e">
        <f>AG54/$E54</f>
        <v>#DIV/0!</v>
      </c>
      <c r="AK54" s="31"/>
      <c r="AL54" s="9">
        <f>IFERROR(INDEX([1]Sheet1!$A$2:$X$1948,MATCH($AK$2:$AK$268,[1]Sheet1!$G$2:$G$1948,0),8),"")</f>
        <v>0</v>
      </c>
      <c r="AM54" s="6"/>
      <c r="AN54" s="6" t="e">
        <f>P54*AP54</f>
        <v>#DIV/0!</v>
      </c>
      <c r="AO54" s="6" t="e">
        <f>Q54*AP54</f>
        <v>#DIV/0!</v>
      </c>
      <c r="AP54" s="36" t="e">
        <f>AM54/$E54</f>
        <v>#DIV/0!</v>
      </c>
    </row>
    <row r="55" spans="1:42">
      <c r="A55" s="30">
        <v>50</v>
      </c>
      <c r="B55" s="146"/>
      <c r="C55" s="226" t="s">
        <v>1424</v>
      </c>
      <c r="D55" s="27"/>
      <c r="E55" s="27"/>
      <c r="F55" s="27"/>
      <c r="G55" s="27"/>
      <c r="H55" s="70" t="s">
        <v>1635</v>
      </c>
      <c r="I55" s="177" t="s">
        <v>826</v>
      </c>
      <c r="J55" s="138" t="s">
        <v>1935</v>
      </c>
      <c r="K55" s="29"/>
      <c r="L55" s="11"/>
      <c r="M55" s="11"/>
      <c r="N55" s="11"/>
      <c r="O55" s="44">
        <f>E55</f>
        <v>0</v>
      </c>
      <c r="P55" s="44"/>
      <c r="Q55" s="44"/>
      <c r="R55" s="53" t="s">
        <v>70</v>
      </c>
      <c r="S55" s="44"/>
      <c r="T55" s="46"/>
      <c r="U55" s="46"/>
      <c r="V55" s="53"/>
      <c r="W55" s="31">
        <v>223307</v>
      </c>
      <c r="X55" s="9" t="str">
        <f>IFERROR(INDEX([1]Sheet1!$A$2:$X$1948,MATCH($W$2:$W$268,[1]Sheet1!$G$2:$G$1948,0),8),"")</f>
        <v>냉동얼갈이(IQF 1Kg/EA)</v>
      </c>
      <c r="Y55" s="11">
        <v>1000</v>
      </c>
      <c r="Z55" s="11"/>
      <c r="AA55" s="63">
        <v>26</v>
      </c>
      <c r="AB55" s="63" t="e">
        <f>P55*AD55</f>
        <v>#DIV/0!</v>
      </c>
      <c r="AC55" s="63" t="e">
        <f>Q55*AD55</f>
        <v>#DIV/0!</v>
      </c>
      <c r="AD55" s="36" t="e">
        <f>AA55/E55</f>
        <v>#DIV/0!</v>
      </c>
      <c r="AE55" s="31"/>
      <c r="AF55" s="9">
        <f>IFERROR(INDEX([1]Sheet1!$A$2:$X$1948,MATCH($AE$2:$AE$268,[1]Sheet1!$G$2:$G$1948,0),8),"")</f>
        <v>0</v>
      </c>
      <c r="AG55" s="6"/>
      <c r="AH55" s="6" t="e">
        <f>P55*AJ55</f>
        <v>#DIV/0!</v>
      </c>
      <c r="AI55" s="6" t="e">
        <f>Q55*AJ55</f>
        <v>#DIV/0!</v>
      </c>
      <c r="AJ55" s="36" t="e">
        <f>AG55/$E55</f>
        <v>#DIV/0!</v>
      </c>
      <c r="AK55" s="31"/>
      <c r="AL55" s="9">
        <f>IFERROR(INDEX([1]Sheet1!$A$2:$X$1948,MATCH($AK$2:$AK$268,[1]Sheet1!$G$2:$G$1948,0),8),"")</f>
        <v>0</v>
      </c>
      <c r="AM55" s="6"/>
      <c r="AN55" s="6" t="e">
        <f>P55*AP55</f>
        <v>#DIV/0!</v>
      </c>
      <c r="AO55" s="6" t="e">
        <f>Q55*AP55</f>
        <v>#DIV/0!</v>
      </c>
      <c r="AP55" s="36" t="e">
        <f>AM55/$E55</f>
        <v>#DIV/0!</v>
      </c>
    </row>
    <row r="56" spans="1:42">
      <c r="A56" s="30">
        <v>51</v>
      </c>
      <c r="B56" s="146"/>
      <c r="C56" s="226" t="s">
        <v>1176</v>
      </c>
      <c r="D56" s="27"/>
      <c r="E56" s="27"/>
      <c r="F56" s="27"/>
      <c r="G56" s="27"/>
      <c r="H56" s="70" t="s">
        <v>1177</v>
      </c>
      <c r="I56" s="177" t="s">
        <v>1172</v>
      </c>
      <c r="J56" s="138" t="s">
        <v>1848</v>
      </c>
      <c r="K56" s="29"/>
      <c r="L56" s="11"/>
      <c r="M56" s="11"/>
      <c r="N56" s="11"/>
      <c r="O56" s="44"/>
      <c r="P56" s="44"/>
      <c r="Q56" s="44"/>
      <c r="R56" s="53"/>
      <c r="S56" s="44"/>
      <c r="T56" s="44"/>
      <c r="U56" s="44"/>
      <c r="V56" s="53"/>
      <c r="W56" s="31"/>
      <c r="X56" s="9"/>
      <c r="Y56" s="11"/>
      <c r="Z56" s="11"/>
      <c r="AA56" s="63"/>
      <c r="AB56" s="63"/>
      <c r="AC56" s="63"/>
      <c r="AD56" s="36"/>
      <c r="AE56" s="31"/>
      <c r="AF56" s="9"/>
      <c r="AG56" s="6"/>
      <c r="AH56" s="6"/>
      <c r="AI56" s="6"/>
      <c r="AJ56" s="36"/>
      <c r="AK56" s="31"/>
      <c r="AL56" s="9"/>
      <c r="AM56" s="6"/>
      <c r="AN56" s="6"/>
      <c r="AO56" s="6"/>
      <c r="AP56" s="36"/>
    </row>
    <row r="57" spans="1:42">
      <c r="A57" s="30">
        <v>52</v>
      </c>
      <c r="B57" s="146"/>
      <c r="C57" s="226" t="s">
        <v>973</v>
      </c>
      <c r="D57" s="27"/>
      <c r="E57" s="27"/>
      <c r="F57" s="27"/>
      <c r="G57" s="27"/>
      <c r="H57" s="70" t="s">
        <v>1774</v>
      </c>
      <c r="I57" s="177" t="s">
        <v>826</v>
      </c>
      <c r="J57" s="138" t="s">
        <v>1851</v>
      </c>
      <c r="K57" s="117"/>
      <c r="L57" s="6"/>
      <c r="M57" s="6"/>
      <c r="N57" s="6"/>
      <c r="O57" s="44"/>
      <c r="P57" s="44"/>
      <c r="Q57" s="44"/>
      <c r="R57" s="53"/>
      <c r="S57" s="44"/>
      <c r="T57" s="44"/>
      <c r="U57" s="44"/>
      <c r="V57" s="53"/>
      <c r="W57" s="31"/>
      <c r="X57" s="9"/>
      <c r="Y57" s="11"/>
      <c r="Z57" s="11"/>
      <c r="AA57" s="63"/>
      <c r="AB57" s="63"/>
      <c r="AC57" s="63"/>
      <c r="AD57" s="36"/>
      <c r="AE57" s="31"/>
      <c r="AF57" s="9"/>
      <c r="AG57" s="6"/>
      <c r="AH57" s="6"/>
      <c r="AI57" s="6"/>
      <c r="AJ57" s="36"/>
      <c r="AK57" s="31"/>
      <c r="AL57" s="9"/>
      <c r="AM57" s="6"/>
      <c r="AN57" s="6"/>
      <c r="AO57" s="6"/>
      <c r="AP57" s="36"/>
    </row>
    <row r="58" spans="1:42">
      <c r="A58" s="30">
        <v>53</v>
      </c>
      <c r="B58" s="146"/>
      <c r="C58" s="226" t="s">
        <v>1024</v>
      </c>
      <c r="D58" s="27"/>
      <c r="E58" s="27"/>
      <c r="F58" s="27"/>
      <c r="G58" s="27"/>
      <c r="H58" s="70" t="s">
        <v>1319</v>
      </c>
      <c r="I58" s="177" t="s">
        <v>876</v>
      </c>
      <c r="J58" s="138"/>
      <c r="K58" s="117"/>
      <c r="L58" s="6"/>
      <c r="M58" s="6"/>
      <c r="N58" s="6"/>
      <c r="O58" s="44"/>
      <c r="P58" s="44"/>
      <c r="Q58" s="44"/>
      <c r="R58" s="53"/>
      <c r="S58" s="44"/>
      <c r="T58" s="44"/>
      <c r="U58" s="44"/>
      <c r="V58" s="53"/>
      <c r="W58" s="31"/>
      <c r="X58" s="9"/>
      <c r="Y58" s="11"/>
      <c r="Z58" s="11"/>
      <c r="AA58" s="63"/>
      <c r="AB58" s="63"/>
      <c r="AC58" s="63"/>
      <c r="AD58" s="36"/>
      <c r="AE58" s="31"/>
      <c r="AF58" s="9"/>
      <c r="AG58" s="6"/>
      <c r="AH58" s="6"/>
      <c r="AI58" s="6"/>
      <c r="AJ58" s="36"/>
      <c r="AK58" s="31"/>
      <c r="AL58" s="9"/>
      <c r="AM58" s="6"/>
      <c r="AN58" s="6"/>
      <c r="AO58" s="6"/>
      <c r="AP58" s="36"/>
    </row>
    <row r="59" spans="1:42">
      <c r="A59" s="30">
        <v>54</v>
      </c>
      <c r="B59" s="146"/>
      <c r="C59" s="226" t="s">
        <v>1890</v>
      </c>
      <c r="D59" s="27"/>
      <c r="E59" s="27"/>
      <c r="F59" s="27"/>
      <c r="G59" s="27"/>
      <c r="H59" s="70" t="s">
        <v>1891</v>
      </c>
      <c r="I59" s="177" t="s">
        <v>1892</v>
      </c>
      <c r="J59" s="138" t="s">
        <v>1893</v>
      </c>
      <c r="K59" s="117"/>
      <c r="L59" s="6"/>
      <c r="M59" s="6"/>
      <c r="N59" s="6"/>
      <c r="O59" s="44"/>
      <c r="P59" s="44"/>
      <c r="Q59" s="44"/>
      <c r="R59" s="53"/>
      <c r="S59" s="44"/>
      <c r="T59" s="44"/>
      <c r="U59" s="44"/>
      <c r="V59" s="53"/>
      <c r="W59" s="31"/>
      <c r="X59" s="9"/>
      <c r="Y59" s="11"/>
      <c r="Z59" s="11"/>
      <c r="AA59" s="63"/>
      <c r="AB59" s="63"/>
      <c r="AC59" s="63"/>
      <c r="AD59" s="36"/>
      <c r="AE59" s="31"/>
      <c r="AF59" s="9"/>
      <c r="AG59" s="6"/>
      <c r="AH59" s="6"/>
      <c r="AI59" s="6"/>
      <c r="AJ59" s="36"/>
      <c r="AK59" s="31"/>
      <c r="AL59" s="9"/>
      <c r="AM59" s="6"/>
      <c r="AN59" s="6"/>
      <c r="AO59" s="6"/>
      <c r="AP59" s="36"/>
    </row>
    <row r="60" spans="1:42" ht="20.100000000000001" customHeight="1">
      <c r="A60" s="30">
        <v>55</v>
      </c>
      <c r="B60" s="146"/>
      <c r="C60" s="226" t="s">
        <v>1321</v>
      </c>
      <c r="D60" s="27"/>
      <c r="E60" s="27"/>
      <c r="F60" s="27"/>
      <c r="G60" s="27"/>
      <c r="H60" s="132" t="s">
        <v>1220</v>
      </c>
      <c r="I60" s="180" t="s">
        <v>880</v>
      </c>
      <c r="J60" s="138" t="s">
        <v>1800</v>
      </c>
      <c r="K60" s="117"/>
      <c r="L60" s="6"/>
      <c r="M60" s="6"/>
      <c r="N60" s="6"/>
      <c r="O60" s="44"/>
      <c r="P60" s="44"/>
      <c r="Q60" s="44"/>
      <c r="R60" s="53"/>
      <c r="S60" s="44"/>
      <c r="T60" s="44"/>
      <c r="U60" s="44"/>
      <c r="V60" s="53"/>
      <c r="W60" s="31"/>
      <c r="X60" s="9"/>
      <c r="Y60" s="11"/>
      <c r="Z60" s="11"/>
      <c r="AA60" s="63"/>
      <c r="AB60" s="63"/>
      <c r="AC60" s="63"/>
      <c r="AD60" s="36"/>
      <c r="AE60" s="31"/>
      <c r="AF60" s="9"/>
      <c r="AG60" s="6"/>
      <c r="AH60" s="6"/>
      <c r="AI60" s="6"/>
      <c r="AJ60" s="36"/>
      <c r="AK60" s="31"/>
      <c r="AL60" s="9"/>
      <c r="AM60" s="6"/>
      <c r="AN60" s="6"/>
      <c r="AO60" s="6"/>
      <c r="AP60" s="36"/>
    </row>
    <row r="61" spans="1:42" ht="20.100000000000001" customHeight="1">
      <c r="A61" s="30">
        <v>56</v>
      </c>
      <c r="B61" s="146"/>
      <c r="C61" s="226" t="s">
        <v>1860</v>
      </c>
      <c r="D61" s="27"/>
      <c r="E61" s="27"/>
      <c r="F61" s="27"/>
      <c r="G61" s="27"/>
      <c r="H61" s="132" t="s">
        <v>1859</v>
      </c>
      <c r="I61" s="180" t="s">
        <v>1325</v>
      </c>
      <c r="J61" s="138" t="s">
        <v>1326</v>
      </c>
      <c r="K61" s="117"/>
      <c r="L61" s="6"/>
      <c r="M61" s="6"/>
      <c r="N61" s="6"/>
      <c r="O61" s="44"/>
      <c r="P61" s="44"/>
      <c r="Q61" s="44"/>
      <c r="R61" s="53"/>
      <c r="S61" s="44"/>
      <c r="T61" s="44"/>
      <c r="U61" s="44"/>
      <c r="V61" s="53"/>
      <c r="W61" s="31"/>
      <c r="X61" s="9"/>
      <c r="Y61" s="11"/>
      <c r="Z61" s="11"/>
      <c r="AA61" s="63"/>
      <c r="AB61" s="63"/>
      <c r="AC61" s="63"/>
      <c r="AD61" s="36"/>
      <c r="AE61" s="31"/>
      <c r="AF61" s="9"/>
      <c r="AG61" s="6"/>
      <c r="AH61" s="6"/>
      <c r="AI61" s="6"/>
      <c r="AJ61" s="36"/>
      <c r="AK61" s="31"/>
      <c r="AL61" s="9"/>
      <c r="AM61" s="6"/>
      <c r="AN61" s="6"/>
      <c r="AO61" s="6"/>
      <c r="AP61" s="36"/>
    </row>
    <row r="62" spans="1:42" ht="40.5">
      <c r="A62" s="30">
        <v>57</v>
      </c>
      <c r="B62" s="146"/>
      <c r="C62" s="226" t="s">
        <v>1986</v>
      </c>
      <c r="D62" s="27"/>
      <c r="E62" s="27"/>
      <c r="F62" s="27"/>
      <c r="G62" s="27"/>
      <c r="H62" s="133" t="s">
        <v>1989</v>
      </c>
      <c r="I62" s="181" t="s">
        <v>827</v>
      </c>
      <c r="J62" s="138" t="s">
        <v>1987</v>
      </c>
      <c r="K62" s="117"/>
      <c r="L62" s="6">
        <v>42080</v>
      </c>
      <c r="M62" s="6">
        <v>2104</v>
      </c>
      <c r="N62" s="6">
        <v>44184</v>
      </c>
      <c r="O62" s="44">
        <f>E62</f>
        <v>0</v>
      </c>
      <c r="P62" s="44">
        <f>D62</f>
        <v>0</v>
      </c>
      <c r="Q62" s="44">
        <f>D62</f>
        <v>0</v>
      </c>
      <c r="R62" s="53" t="s">
        <v>70</v>
      </c>
      <c r="S62" s="44">
        <f>E62</f>
        <v>0</v>
      </c>
      <c r="T62" s="44">
        <f>D62</f>
        <v>0</v>
      </c>
      <c r="U62" s="44">
        <f>D62</f>
        <v>0</v>
      </c>
      <c r="V62" s="53"/>
      <c r="W62" s="31">
        <v>204418</v>
      </c>
      <c r="X62" s="9" t="str">
        <f>IFERROR(INDEX([1]Sheet1!$A$2:$X$1948,MATCH($W$2:$W$268,[1]Sheet1!$G$2:$G$1948,0),8),"")</f>
        <v>무우(특품 9~12개입 18Kg/BOX)</v>
      </c>
      <c r="Y62" s="11">
        <v>18000</v>
      </c>
      <c r="Z62" s="11"/>
      <c r="AA62" s="63">
        <v>32</v>
      </c>
      <c r="AB62" s="63" t="e">
        <f>T62*AD62</f>
        <v>#DIV/0!</v>
      </c>
      <c r="AC62" s="63" t="e">
        <f>U62*AD62</f>
        <v>#DIV/0!</v>
      </c>
      <c r="AD62" s="36" t="e">
        <f>AA62/E62</f>
        <v>#DIV/0!</v>
      </c>
      <c r="AE62" s="31">
        <v>313064</v>
      </c>
      <c r="AF62" s="9" t="str">
        <f>IFERROR(INDEX([1]Sheet1!$A$2:$X$1948,MATCH($AE$2:$AE$268,[1]Sheet1!$G$2:$G$1948,0),8),"")</f>
        <v>아이누리 오징어몸채(500g/EA)</v>
      </c>
      <c r="AG62" s="6">
        <v>20</v>
      </c>
      <c r="AH62" s="6" t="e">
        <f>P62*AJ62</f>
        <v>#DIV/0!</v>
      </c>
      <c r="AI62" s="6" t="e">
        <f>Q62*AJ62</f>
        <v>#DIV/0!</v>
      </c>
      <c r="AJ62" s="36" t="e">
        <f>AG62/$E62</f>
        <v>#DIV/0!</v>
      </c>
      <c r="AK62" s="31"/>
      <c r="AL62" s="9">
        <f>IFERROR(INDEX([1]Sheet1!$A$2:$X$1948,MATCH($AK$2:$AK$268,[1]Sheet1!$G$2:$G$1948,0),8),"")</f>
        <v>0</v>
      </c>
      <c r="AM62" s="6"/>
      <c r="AN62" s="6"/>
      <c r="AO62" s="6"/>
      <c r="AP62" s="36"/>
    </row>
    <row r="63" spans="1:42" ht="27">
      <c r="A63" s="30">
        <v>58</v>
      </c>
      <c r="B63" s="146"/>
      <c r="C63" s="226" t="s">
        <v>1552</v>
      </c>
      <c r="D63" s="27"/>
      <c r="E63" s="27"/>
      <c r="F63" s="27"/>
      <c r="G63" s="27"/>
      <c r="H63" s="133" t="s">
        <v>1988</v>
      </c>
      <c r="I63" s="181" t="s">
        <v>938</v>
      </c>
      <c r="J63" s="138" t="s">
        <v>639</v>
      </c>
      <c r="K63" s="117"/>
      <c r="L63" s="6"/>
      <c r="M63" s="6"/>
      <c r="N63" s="6"/>
      <c r="O63" s="44"/>
      <c r="P63" s="44"/>
      <c r="Q63" s="44"/>
      <c r="R63" s="53"/>
      <c r="S63" s="44"/>
      <c r="T63" s="44"/>
      <c r="U63" s="44"/>
      <c r="V63" s="53"/>
      <c r="W63" s="31"/>
      <c r="X63" s="9"/>
      <c r="Y63" s="11"/>
      <c r="Z63" s="11"/>
      <c r="AA63" s="63"/>
      <c r="AB63" s="63"/>
      <c r="AC63" s="63"/>
      <c r="AD63" s="36"/>
      <c r="AE63" s="31"/>
      <c r="AF63" s="9"/>
      <c r="AG63" s="6"/>
      <c r="AH63" s="6"/>
      <c r="AI63" s="6"/>
      <c r="AJ63" s="36"/>
      <c r="AK63" s="31"/>
      <c r="AL63" s="9"/>
      <c r="AM63" s="6"/>
      <c r="AN63" s="6"/>
      <c r="AO63" s="6"/>
      <c r="AP63" s="36"/>
    </row>
    <row r="64" spans="1:42">
      <c r="A64" s="30">
        <v>59</v>
      </c>
      <c r="B64" s="146"/>
      <c r="C64" s="226" t="s">
        <v>1773</v>
      </c>
      <c r="D64" s="27"/>
      <c r="E64" s="27"/>
      <c r="F64" s="27"/>
      <c r="G64" s="27"/>
      <c r="H64" s="70" t="s">
        <v>1115</v>
      </c>
      <c r="I64" s="177" t="s">
        <v>826</v>
      </c>
      <c r="J64" s="138"/>
      <c r="K64" s="117"/>
      <c r="L64" s="6"/>
      <c r="M64" s="6"/>
      <c r="N64" s="6"/>
      <c r="O64" s="44"/>
      <c r="P64" s="44"/>
      <c r="Q64" s="44"/>
      <c r="R64" s="53"/>
      <c r="S64" s="44"/>
      <c r="T64" s="44"/>
      <c r="U64" s="44"/>
      <c r="V64" s="53"/>
      <c r="W64" s="31"/>
      <c r="X64" s="9"/>
      <c r="Y64" s="11"/>
      <c r="Z64" s="11"/>
      <c r="AA64" s="63"/>
      <c r="AB64" s="63"/>
      <c r="AC64" s="63"/>
      <c r="AD64" s="36"/>
      <c r="AE64" s="31"/>
      <c r="AF64" s="9"/>
      <c r="AG64" s="6"/>
      <c r="AH64" s="6"/>
      <c r="AI64" s="6"/>
      <c r="AJ64" s="36"/>
      <c r="AK64" s="31"/>
      <c r="AL64" s="9"/>
      <c r="AM64" s="6"/>
      <c r="AN64" s="6"/>
      <c r="AO64" s="6"/>
      <c r="AP64" s="36"/>
    </row>
    <row r="65" spans="1:42">
      <c r="A65" s="30">
        <v>60</v>
      </c>
      <c r="B65" s="146"/>
      <c r="C65" s="226" t="s">
        <v>1044</v>
      </c>
      <c r="D65" s="27"/>
      <c r="E65" s="27"/>
      <c r="F65" s="27"/>
      <c r="G65" s="27"/>
      <c r="H65" s="133" t="s">
        <v>1110</v>
      </c>
      <c r="I65" s="181" t="s">
        <v>826</v>
      </c>
      <c r="J65" s="138" t="s">
        <v>672</v>
      </c>
      <c r="K65" s="29"/>
      <c r="L65" s="11"/>
      <c r="M65" s="11"/>
      <c r="N65" s="11"/>
      <c r="O65" s="44"/>
      <c r="P65" s="44"/>
      <c r="Q65" s="44"/>
      <c r="R65" s="53"/>
      <c r="S65" s="44"/>
      <c r="T65" s="44"/>
      <c r="U65" s="44"/>
      <c r="V65" s="53"/>
      <c r="W65" s="31"/>
      <c r="X65" s="9"/>
      <c r="Y65" s="11"/>
      <c r="Z65" s="11"/>
      <c r="AA65" s="63"/>
      <c r="AB65" s="63"/>
      <c r="AC65" s="63"/>
      <c r="AD65" s="36"/>
      <c r="AE65" s="31"/>
      <c r="AF65" s="9"/>
      <c r="AG65" s="6"/>
      <c r="AH65" s="6"/>
      <c r="AI65" s="6"/>
      <c r="AJ65" s="36"/>
      <c r="AK65" s="31"/>
      <c r="AL65" s="9"/>
      <c r="AM65" s="6"/>
      <c r="AN65" s="6"/>
      <c r="AO65" s="6"/>
      <c r="AP65" s="36"/>
    </row>
    <row r="66" spans="1:42">
      <c r="A66" s="30">
        <v>61</v>
      </c>
      <c r="B66" s="146"/>
      <c r="C66" s="226" t="s">
        <v>1261</v>
      </c>
      <c r="D66" s="27"/>
      <c r="E66" s="27"/>
      <c r="F66" s="27"/>
      <c r="G66" s="27"/>
      <c r="H66" s="70" t="s">
        <v>1127</v>
      </c>
      <c r="I66" s="177" t="s">
        <v>826</v>
      </c>
      <c r="J66" s="138"/>
      <c r="K66" s="117"/>
      <c r="L66" s="6"/>
      <c r="M66" s="6"/>
      <c r="N66" s="6"/>
      <c r="O66" s="44">
        <f>E66</f>
        <v>0</v>
      </c>
      <c r="P66" s="44">
        <f>D66</f>
        <v>0</v>
      </c>
      <c r="Q66" s="44">
        <f>D66</f>
        <v>0</v>
      </c>
      <c r="R66" s="53" t="s">
        <v>70</v>
      </c>
      <c r="S66" s="44">
        <f>E66</f>
        <v>0</v>
      </c>
      <c r="T66" s="44">
        <f>D66</f>
        <v>0</v>
      </c>
      <c r="U66" s="44">
        <f>D66</f>
        <v>0</v>
      </c>
      <c r="V66" s="53"/>
      <c r="W66" s="31">
        <v>105902</v>
      </c>
      <c r="X66" s="9" t="str">
        <f>IFERROR(INDEX([1]Sheet1!$A$2:$X$1948,MATCH($W$2:$W$268,[1]Sheet1!$G$2:$G$1948,0),8),"")</f>
        <v>아와세 아까미소(일식용 1Kg/EA)</v>
      </c>
      <c r="Y66" s="11">
        <v>1000</v>
      </c>
      <c r="Z66" s="11"/>
      <c r="AA66" s="63">
        <v>15</v>
      </c>
      <c r="AB66" s="63" t="e">
        <f>T66*AD66</f>
        <v>#DIV/0!</v>
      </c>
      <c r="AC66" s="63" t="e">
        <f>U66*AD66</f>
        <v>#DIV/0!</v>
      </c>
      <c r="AD66" s="36" t="e">
        <f>AA66/E66</f>
        <v>#DIV/0!</v>
      </c>
      <c r="AE66" s="31">
        <v>318643</v>
      </c>
      <c r="AF66" s="9" t="str">
        <f>IFERROR(INDEX([1]Sheet1!$A$2:$X$1948,MATCH($AE$2:$AE$268,[1]Sheet1!$G$2:$G$1948,0),8),"")</f>
        <v>아이누리 자른건미역(상품 200g/EA)</v>
      </c>
      <c r="AG66" s="6">
        <v>3</v>
      </c>
      <c r="AH66" s="6" t="e">
        <f>P66*AJ66</f>
        <v>#DIV/0!</v>
      </c>
      <c r="AI66" s="6" t="e">
        <f>Q66*AJ66</f>
        <v>#DIV/0!</v>
      </c>
      <c r="AJ66" s="36" t="e">
        <f>AG66/$E66</f>
        <v>#DIV/0!</v>
      </c>
      <c r="AK66" s="31">
        <v>266412</v>
      </c>
      <c r="AL66" s="9" t="str">
        <f>IFERROR(INDEX([1]Sheet1!$A$2:$X$1948,MATCH($AK$2:$AK$268,[1]Sheet1!$G$2:$G$1948,0),8),"")</f>
        <v>한미식품 유부(슬라이스 1Kg/EA)</v>
      </c>
      <c r="AM66" s="6"/>
      <c r="AN66" s="6"/>
      <c r="AO66" s="6"/>
      <c r="AP66" s="36"/>
    </row>
    <row r="67" spans="1:42" ht="20.100000000000001" customHeight="1">
      <c r="A67" s="30">
        <v>62</v>
      </c>
      <c r="B67" s="146"/>
      <c r="C67" s="226" t="s">
        <v>777</v>
      </c>
      <c r="D67" s="27"/>
      <c r="E67" s="27"/>
      <c r="F67" s="27"/>
      <c r="G67" s="27"/>
      <c r="H67" s="70" t="s">
        <v>1105</v>
      </c>
      <c r="I67" s="177" t="s">
        <v>872</v>
      </c>
      <c r="J67" s="138" t="s">
        <v>1851</v>
      </c>
      <c r="K67" s="117"/>
      <c r="L67" s="6"/>
      <c r="M67" s="6"/>
      <c r="N67" s="6"/>
      <c r="O67" s="44"/>
      <c r="P67" s="44"/>
      <c r="Q67" s="44"/>
      <c r="R67" s="53"/>
      <c r="S67" s="44"/>
      <c r="T67" s="44"/>
      <c r="U67" s="44"/>
      <c r="V67" s="53"/>
      <c r="W67" s="31"/>
      <c r="X67" s="9"/>
      <c r="Y67" s="11"/>
      <c r="Z67" s="11"/>
      <c r="AA67" s="63"/>
      <c r="AB67" s="63"/>
      <c r="AC67" s="63"/>
      <c r="AD67" s="36"/>
      <c r="AE67" s="31"/>
      <c r="AF67" s="9"/>
      <c r="AG67" s="6"/>
      <c r="AH67" s="6"/>
      <c r="AI67" s="6"/>
      <c r="AJ67" s="36"/>
      <c r="AK67" s="31"/>
      <c r="AL67" s="9"/>
      <c r="AM67" s="6"/>
      <c r="AN67" s="6"/>
      <c r="AO67" s="6"/>
      <c r="AP67" s="36"/>
    </row>
    <row r="68" spans="1:42">
      <c r="A68" s="30">
        <v>63</v>
      </c>
      <c r="B68" s="146"/>
      <c r="C68" s="144" t="s">
        <v>957</v>
      </c>
      <c r="D68" s="27"/>
      <c r="E68" s="27"/>
      <c r="F68" s="27"/>
      <c r="G68" s="27"/>
      <c r="H68" s="70" t="s">
        <v>1108</v>
      </c>
      <c r="I68" s="177" t="s">
        <v>826</v>
      </c>
      <c r="J68" s="138" t="s">
        <v>1851</v>
      </c>
      <c r="K68" s="29"/>
      <c r="L68" s="11"/>
      <c r="M68" s="11"/>
      <c r="N68" s="11"/>
      <c r="O68" s="44">
        <f>E68</f>
        <v>0</v>
      </c>
      <c r="P68" s="44">
        <f>D68</f>
        <v>0</v>
      </c>
      <c r="Q68" s="44">
        <f>D68</f>
        <v>0</v>
      </c>
      <c r="R68" s="53" t="s">
        <v>70</v>
      </c>
      <c r="S68" s="44">
        <f>E68</f>
        <v>0</v>
      </c>
      <c r="T68" s="44">
        <f>D68</f>
        <v>0</v>
      </c>
      <c r="U68" s="44">
        <f>D68</f>
        <v>0</v>
      </c>
      <c r="V68" s="53"/>
      <c r="W68" s="31">
        <v>219387</v>
      </c>
      <c r="X68" s="9" t="str">
        <f>IFERROR(INDEX([1]Sheet1!$A$2:$X$1948,MATCH($W$2:$W$268,[1]Sheet1!$G$2:$G$1948,0),8),"")</f>
        <v>냉동배추우거지(1Kg/EA)</v>
      </c>
      <c r="Y68" s="11">
        <v>1000</v>
      </c>
      <c r="Z68" s="11"/>
      <c r="AA68" s="63">
        <v>26</v>
      </c>
      <c r="AB68" s="63" t="e">
        <f>T68*AD68</f>
        <v>#DIV/0!</v>
      </c>
      <c r="AC68" s="63" t="e">
        <f>U68*AD68</f>
        <v>#DIV/0!</v>
      </c>
      <c r="AD68" s="36" t="e">
        <f>AA68/E68</f>
        <v>#DIV/0!</v>
      </c>
      <c r="AE68" s="31">
        <v>168257</v>
      </c>
      <c r="AF68" s="9" t="str">
        <f>IFERROR(INDEX([1]Sheet1!$A$2:$X$1948,MATCH($AE$2:$AE$268,[1]Sheet1!$G$2:$G$1948,0),8),"")</f>
        <v>명품 판두부(찌개용 3Kg/EA)</v>
      </c>
      <c r="AG68" s="6">
        <v>17</v>
      </c>
      <c r="AH68" s="6" t="e">
        <f>P68*AJ68</f>
        <v>#DIV/0!</v>
      </c>
      <c r="AI68" s="6" t="e">
        <f>Q68*AJ68</f>
        <v>#DIV/0!</v>
      </c>
      <c r="AJ68" s="36" t="e">
        <f>AG68/$E68</f>
        <v>#DIV/0!</v>
      </c>
      <c r="AK68" s="31"/>
      <c r="AL68" s="9">
        <f>IFERROR(INDEX([1]Sheet1!$A$2:$X$1948,MATCH($AK$2:$AK$268,[1]Sheet1!$G$2:$G$1948,0),8),"")</f>
        <v>0</v>
      </c>
      <c r="AM68" s="6"/>
      <c r="AN68" s="6"/>
      <c r="AO68" s="6"/>
      <c r="AP68" s="36"/>
    </row>
    <row r="69" spans="1:42">
      <c r="A69" s="30">
        <v>64</v>
      </c>
      <c r="B69" s="146"/>
      <c r="C69" s="144" t="s">
        <v>1436</v>
      </c>
      <c r="D69" s="27"/>
      <c r="E69" s="27"/>
      <c r="F69" s="27"/>
      <c r="G69" s="27"/>
      <c r="H69" s="70" t="s">
        <v>1729</v>
      </c>
      <c r="I69" s="177" t="s">
        <v>880</v>
      </c>
      <c r="J69" s="138"/>
      <c r="K69" s="29"/>
      <c r="L69" s="11"/>
      <c r="M69" s="11"/>
      <c r="N69" s="11"/>
      <c r="O69" s="44">
        <f>E69</f>
        <v>0</v>
      </c>
      <c r="P69" s="44">
        <f>D69</f>
        <v>0</v>
      </c>
      <c r="Q69" s="44">
        <f>D69</f>
        <v>0</v>
      </c>
      <c r="R69" s="53" t="s">
        <v>70</v>
      </c>
      <c r="S69" s="44">
        <f>E69</f>
        <v>0</v>
      </c>
      <c r="T69" s="44">
        <f>D69</f>
        <v>0</v>
      </c>
      <c r="U69" s="44">
        <f>D69</f>
        <v>0</v>
      </c>
      <c r="V69" s="53"/>
      <c r="W69" s="31">
        <v>318643</v>
      </c>
      <c r="X69" s="9" t="str">
        <f>IFERROR(INDEX([1]Sheet1!$A$2:$X$1948,MATCH($W$2:$W$268,[1]Sheet1!$G$2:$G$1948,0),8),"")</f>
        <v>아이누리 자른건미역(상품 200g/EA)</v>
      </c>
      <c r="Y69" s="11">
        <v>200</v>
      </c>
      <c r="Z69" s="11"/>
      <c r="AA69" s="63">
        <v>3</v>
      </c>
      <c r="AB69" s="63" t="e">
        <f>T69*AD69</f>
        <v>#DIV/0!</v>
      </c>
      <c r="AC69" s="63" t="e">
        <f>U69*AD69</f>
        <v>#DIV/0!</v>
      </c>
      <c r="AD69" s="36" t="e">
        <f>AA69/E69</f>
        <v>#DIV/0!</v>
      </c>
      <c r="AE69" s="31">
        <v>424285</v>
      </c>
      <c r="AF69" s="9" t="str">
        <f>IFERROR(INDEX([1]Sheet1!$A$2:$X$1948,MATCH($AE$2:$AE$268,[1]Sheet1!$G$2:$G$1948,0),8),"")</f>
        <v>소양지(3*2*0.3cm_저지방 키즈용_국거리용 KG)</v>
      </c>
      <c r="AG69" s="6">
        <v>10</v>
      </c>
      <c r="AH69" s="6" t="e">
        <f>P69*AJ69</f>
        <v>#DIV/0!</v>
      </c>
      <c r="AI69" s="6" t="e">
        <f>Q69*AJ69</f>
        <v>#DIV/0!</v>
      </c>
      <c r="AJ69" s="36" t="e">
        <f>AG69/$E69</f>
        <v>#DIV/0!</v>
      </c>
      <c r="AK69" s="31"/>
      <c r="AL69" s="9">
        <f>IFERROR(INDEX([1]Sheet1!$A$2:$X$1948,MATCH($AK$2:$AK$268,[1]Sheet1!$G$2:$G$1948,0),8),"")</f>
        <v>0</v>
      </c>
      <c r="AM69" s="6"/>
      <c r="AN69" s="6"/>
      <c r="AO69" s="6"/>
      <c r="AP69" s="36"/>
    </row>
    <row r="70" spans="1:42">
      <c r="A70" s="30"/>
      <c r="B70" s="146"/>
      <c r="C70" s="144" t="s">
        <v>1727</v>
      </c>
      <c r="D70" s="27"/>
      <c r="E70" s="27"/>
      <c r="F70" s="27"/>
      <c r="G70" s="27"/>
      <c r="H70" s="70" t="s">
        <v>1728</v>
      </c>
      <c r="I70" s="177" t="s">
        <v>1191</v>
      </c>
      <c r="J70" s="138" t="s">
        <v>1800</v>
      </c>
      <c r="K70" s="29"/>
      <c r="L70" s="11"/>
      <c r="M70" s="11"/>
      <c r="N70" s="11"/>
      <c r="O70" s="44"/>
      <c r="P70" s="44"/>
      <c r="Q70" s="44"/>
      <c r="R70" s="53"/>
      <c r="S70" s="44"/>
      <c r="T70" s="44"/>
      <c r="U70" s="44"/>
      <c r="V70" s="53"/>
      <c r="W70" s="31"/>
      <c r="X70" s="9"/>
      <c r="Y70" s="11"/>
      <c r="Z70" s="11"/>
      <c r="AA70" s="63"/>
      <c r="AB70" s="63"/>
      <c r="AC70" s="63"/>
      <c r="AD70" s="36"/>
      <c r="AE70" s="31"/>
      <c r="AF70" s="9"/>
      <c r="AG70" s="6"/>
      <c r="AH70" s="6"/>
      <c r="AI70" s="6"/>
      <c r="AJ70" s="36"/>
      <c r="AK70" s="31"/>
      <c r="AL70" s="9"/>
      <c r="AM70" s="6"/>
      <c r="AN70" s="6"/>
      <c r="AO70" s="6"/>
      <c r="AP70" s="36"/>
    </row>
    <row r="71" spans="1:42">
      <c r="A71" s="30">
        <v>65</v>
      </c>
      <c r="B71" s="146"/>
      <c r="C71" s="144" t="s">
        <v>1437</v>
      </c>
      <c r="D71" s="27"/>
      <c r="E71" s="27"/>
      <c r="F71" s="27"/>
      <c r="G71" s="27"/>
      <c r="H71" s="70" t="s">
        <v>1603</v>
      </c>
      <c r="I71" s="177" t="s">
        <v>1438</v>
      </c>
      <c r="J71" s="138"/>
      <c r="K71" s="29"/>
      <c r="L71" s="11"/>
      <c r="M71" s="11"/>
      <c r="N71" s="11"/>
      <c r="O71" s="44"/>
      <c r="P71" s="44"/>
      <c r="Q71" s="44"/>
      <c r="R71" s="53"/>
      <c r="S71" s="44"/>
      <c r="T71" s="44"/>
      <c r="U71" s="44"/>
      <c r="V71" s="53"/>
      <c r="W71" s="31"/>
      <c r="X71" s="9"/>
      <c r="Y71" s="11"/>
      <c r="Z71" s="11"/>
      <c r="AA71" s="63"/>
      <c r="AB71" s="63"/>
      <c r="AC71" s="63"/>
      <c r="AD71" s="36"/>
      <c r="AE71" s="31"/>
      <c r="AF71" s="9"/>
      <c r="AG71" s="6"/>
      <c r="AH71" s="6"/>
      <c r="AI71" s="6"/>
      <c r="AJ71" s="36"/>
      <c r="AK71" s="31"/>
      <c r="AL71" s="9"/>
      <c r="AM71" s="6"/>
      <c r="AN71" s="6"/>
      <c r="AO71" s="6"/>
      <c r="AP71" s="36"/>
    </row>
    <row r="72" spans="1:42">
      <c r="A72" s="30">
        <v>66</v>
      </c>
      <c r="B72" s="146"/>
      <c r="C72" s="144" t="s">
        <v>1857</v>
      </c>
      <c r="D72" s="27"/>
      <c r="E72" s="27"/>
      <c r="F72" s="27"/>
      <c r="G72" s="27"/>
      <c r="H72" s="105" t="s">
        <v>1856</v>
      </c>
      <c r="I72" s="178" t="s">
        <v>894</v>
      </c>
      <c r="J72" s="138"/>
      <c r="K72" s="117"/>
      <c r="L72" s="6"/>
      <c r="M72" s="6"/>
      <c r="N72" s="6"/>
      <c r="O72" s="44"/>
      <c r="P72" s="44"/>
      <c r="Q72" s="44"/>
      <c r="R72" s="53"/>
      <c r="S72" s="44"/>
      <c r="T72" s="44"/>
      <c r="U72" s="44"/>
      <c r="V72" s="53"/>
      <c r="W72" s="31"/>
      <c r="X72" s="9"/>
      <c r="Y72" s="11"/>
      <c r="Z72" s="11"/>
      <c r="AA72" s="63"/>
      <c r="AB72" s="63"/>
      <c r="AC72" s="63"/>
      <c r="AD72" s="36"/>
      <c r="AE72" s="31"/>
      <c r="AF72" s="9"/>
      <c r="AG72" s="6"/>
      <c r="AH72" s="6"/>
      <c r="AI72" s="6"/>
      <c r="AJ72" s="36"/>
      <c r="AK72" s="31"/>
      <c r="AL72" s="9"/>
      <c r="AM72" s="6"/>
      <c r="AN72" s="6"/>
      <c r="AO72" s="6"/>
      <c r="AP72" s="36"/>
    </row>
    <row r="73" spans="1:42">
      <c r="A73" s="30">
        <v>67</v>
      </c>
      <c r="B73" s="146"/>
      <c r="C73" s="144" t="s">
        <v>543</v>
      </c>
      <c r="D73" s="27"/>
      <c r="E73" s="27"/>
      <c r="F73" s="27"/>
      <c r="G73" s="27"/>
      <c r="H73" s="70" t="s">
        <v>622</v>
      </c>
      <c r="I73" s="177" t="s">
        <v>833</v>
      </c>
      <c r="J73" s="138" t="s">
        <v>1887</v>
      </c>
      <c r="K73" s="117"/>
      <c r="L73" s="6"/>
      <c r="M73" s="6"/>
      <c r="N73" s="6"/>
      <c r="O73" s="44"/>
      <c r="P73" s="44"/>
      <c r="Q73" s="44"/>
      <c r="R73" s="53"/>
      <c r="S73" s="44"/>
      <c r="T73" s="44"/>
      <c r="U73" s="44"/>
      <c r="V73" s="53"/>
      <c r="W73" s="31"/>
      <c r="X73" s="9"/>
      <c r="Y73" s="11"/>
      <c r="Z73" s="11"/>
      <c r="AA73" s="63"/>
      <c r="AB73" s="63"/>
      <c r="AC73" s="63"/>
      <c r="AD73" s="36"/>
      <c r="AE73" s="31"/>
      <c r="AF73" s="9"/>
      <c r="AG73" s="6"/>
      <c r="AH73" s="6"/>
      <c r="AI73" s="6"/>
      <c r="AJ73" s="36"/>
      <c r="AK73" s="31"/>
      <c r="AL73" s="9"/>
      <c r="AM73" s="6"/>
      <c r="AN73" s="6"/>
      <c r="AO73" s="6"/>
      <c r="AP73" s="36"/>
    </row>
    <row r="74" spans="1:42">
      <c r="A74" s="30">
        <v>68</v>
      </c>
      <c r="B74" s="146"/>
      <c r="C74" s="144" t="s">
        <v>521</v>
      </c>
      <c r="D74" s="27"/>
      <c r="E74" s="27"/>
      <c r="F74" s="27"/>
      <c r="G74" s="27"/>
      <c r="H74" s="70" t="s">
        <v>829</v>
      </c>
      <c r="I74" s="177" t="s">
        <v>834</v>
      </c>
      <c r="J74" s="138"/>
      <c r="K74" s="117"/>
      <c r="L74" s="6"/>
      <c r="M74" s="6"/>
      <c r="N74" s="6"/>
      <c r="O74" s="44">
        <f>E74</f>
        <v>0</v>
      </c>
      <c r="P74" s="44">
        <f>D74</f>
        <v>0</v>
      </c>
      <c r="Q74" s="44">
        <f>D74</f>
        <v>0</v>
      </c>
      <c r="R74" s="53" t="s">
        <v>70</v>
      </c>
      <c r="S74" s="44">
        <f>E74</f>
        <v>0</v>
      </c>
      <c r="T74" s="44">
        <f>D74</f>
        <v>0</v>
      </c>
      <c r="U74" s="44">
        <f>D74</f>
        <v>0</v>
      </c>
      <c r="V74" s="53"/>
      <c r="W74" s="31">
        <v>143422</v>
      </c>
      <c r="X74" s="9" t="str">
        <f>IFERROR(INDEX([1]Sheet1!$A$2:$X$1948,MATCH($W$2:$W$268,[1]Sheet1!$G$2:$G$1948,0),8),"")</f>
        <v>이츠웰 순두부(1Kg/EA)</v>
      </c>
      <c r="Y74" s="11">
        <v>1000</v>
      </c>
      <c r="Z74" s="11"/>
      <c r="AA74" s="63">
        <v>43</v>
      </c>
      <c r="AB74" s="63" t="e">
        <f>T74*AD74</f>
        <v>#DIV/0!</v>
      </c>
      <c r="AC74" s="63" t="e">
        <f>U74*AD74</f>
        <v>#DIV/0!</v>
      </c>
      <c r="AD74" s="36" t="e">
        <f>AA74/E74</f>
        <v>#DIV/0!</v>
      </c>
      <c r="AE74" s="31">
        <v>138570</v>
      </c>
      <c r="AF74" s="9" t="str">
        <f>IFERROR(INDEX([1]Sheet1!$A$2:$X$1948,MATCH($AE$2:$AE$268,[1]Sheet1!$G$2:$G$1948,0),8),"")</f>
        <v>면사랑 멸치육수(1.8L_보급형 1.8Kg/EA)</v>
      </c>
      <c r="AG74" s="6"/>
      <c r="AH74" s="6" t="e">
        <f>P74*AJ74</f>
        <v>#DIV/0!</v>
      </c>
      <c r="AI74" s="6" t="e">
        <f>Q74*AJ74</f>
        <v>#DIV/0!</v>
      </c>
      <c r="AJ74" s="36" t="e">
        <f>AG74/$E74</f>
        <v>#DIV/0!</v>
      </c>
      <c r="AK74" s="31"/>
      <c r="AL74" s="9">
        <f>IFERROR(INDEX([1]Sheet1!$A$2:$X$1948,MATCH($AK$2:$AK$268,[1]Sheet1!$G$2:$G$1948,0),8),"")</f>
        <v>0</v>
      </c>
      <c r="AM74" s="6"/>
      <c r="AN74" s="6"/>
      <c r="AO74" s="6"/>
      <c r="AP74" s="36"/>
    </row>
    <row r="75" spans="1:42">
      <c r="A75" s="30">
        <v>69</v>
      </c>
      <c r="B75" s="146"/>
      <c r="C75" s="161" t="s">
        <v>1673</v>
      </c>
      <c r="D75" s="27"/>
      <c r="E75" s="27"/>
      <c r="F75" s="27"/>
      <c r="G75" s="27"/>
      <c r="H75" s="70" t="s">
        <v>1682</v>
      </c>
      <c r="I75" s="177" t="s">
        <v>826</v>
      </c>
      <c r="J75" s="138"/>
      <c r="K75" s="117"/>
      <c r="L75" s="6">
        <v>540</v>
      </c>
      <c r="M75" s="6">
        <v>27</v>
      </c>
      <c r="N75" s="6">
        <v>567</v>
      </c>
      <c r="O75" s="6">
        <f>E75</f>
        <v>0</v>
      </c>
      <c r="P75" s="6">
        <f>D75</f>
        <v>0</v>
      </c>
      <c r="Q75" s="6">
        <f>D75</f>
        <v>0</v>
      </c>
      <c r="R75" s="29" t="s">
        <v>70</v>
      </c>
      <c r="S75" s="6">
        <f>E75</f>
        <v>0</v>
      </c>
      <c r="T75" s="6">
        <f>D75</f>
        <v>0</v>
      </c>
      <c r="U75" s="6">
        <f>D75</f>
        <v>0</v>
      </c>
      <c r="V75" s="29"/>
      <c r="W75" s="31">
        <v>318643</v>
      </c>
      <c r="X75" s="9" t="str">
        <f>IFERROR(INDEX([1]Sheet1!$A$2:$X$1948,MATCH($W$2:$W$268,[1]Sheet1!$G$2:$G$1948,0),8),"")</f>
        <v>아이누리 자른건미역(상품 200g/EA)</v>
      </c>
      <c r="Y75" s="11">
        <v>200</v>
      </c>
      <c r="Z75" s="11"/>
      <c r="AA75" s="6">
        <v>3</v>
      </c>
      <c r="AB75" s="6" t="e">
        <f>T75*AD75</f>
        <v>#DIV/0!</v>
      </c>
      <c r="AC75" s="6" t="e">
        <f>U75*AD75</f>
        <v>#DIV/0!</v>
      </c>
      <c r="AD75" s="36" t="e">
        <f>AA75/E75</f>
        <v>#DIV/0!</v>
      </c>
      <c r="AE75" s="31"/>
      <c r="AF75" s="9">
        <f>IFERROR(INDEX([1]Sheet1!$A$2:$X$1948,MATCH($AE$2:$AE$268,[1]Sheet1!$G$2:$G$1948,0),8),"")</f>
        <v>0</v>
      </c>
      <c r="AG75" s="6"/>
      <c r="AH75" s="6" t="e">
        <f>P75*AJ75</f>
        <v>#DIV/0!</v>
      </c>
      <c r="AI75" s="6" t="e">
        <f>Q75*AJ75</f>
        <v>#DIV/0!</v>
      </c>
      <c r="AJ75" s="36" t="e">
        <f>AG75/$E75</f>
        <v>#DIV/0!</v>
      </c>
      <c r="AK75" s="31"/>
      <c r="AL75" s="9">
        <f>IFERROR(INDEX([1]Sheet1!$A$2:$X$1948,MATCH($AK$2:$AK$268,[1]Sheet1!$G$2:$G$1948,0),8),"")</f>
        <v>0</v>
      </c>
      <c r="AM75" s="6"/>
      <c r="AN75" s="6"/>
      <c r="AO75" s="6"/>
      <c r="AP75" s="36"/>
    </row>
    <row r="76" spans="1:42">
      <c r="A76" s="30">
        <v>70</v>
      </c>
      <c r="B76" s="146"/>
      <c r="C76" s="144" t="s">
        <v>1463</v>
      </c>
      <c r="D76" s="27"/>
      <c r="E76" s="27"/>
      <c r="F76" s="27"/>
      <c r="G76" s="27"/>
      <c r="H76" s="70" t="s">
        <v>1464</v>
      </c>
      <c r="I76" s="177" t="s">
        <v>1562</v>
      </c>
      <c r="J76" s="138" t="s">
        <v>1836</v>
      </c>
      <c r="K76" s="117"/>
      <c r="L76" s="6">
        <v>16590</v>
      </c>
      <c r="M76" s="6">
        <v>829.5</v>
      </c>
      <c r="N76" s="6">
        <v>17419.5</v>
      </c>
      <c r="O76" s="44">
        <f>E76</f>
        <v>0</v>
      </c>
      <c r="P76" s="44">
        <f>D76</f>
        <v>0</v>
      </c>
      <c r="Q76" s="44">
        <f>D76</f>
        <v>0</v>
      </c>
      <c r="R76" s="53" t="s">
        <v>70</v>
      </c>
      <c r="S76" s="44">
        <f>E76</f>
        <v>0</v>
      </c>
      <c r="T76" s="44">
        <f>D76</f>
        <v>0</v>
      </c>
      <c r="U76" s="44">
        <f>D76</f>
        <v>0</v>
      </c>
      <c r="V76" s="53"/>
      <c r="W76" s="31">
        <v>204418</v>
      </c>
      <c r="X76" s="9" t="str">
        <f>IFERROR(INDEX([1]Sheet1!$A$2:$X$1948,MATCH($W$2:$W$268,[1]Sheet1!$G$2:$G$1948,0),8),"")</f>
        <v>무우(특품 9~12개입 18Kg/BOX)</v>
      </c>
      <c r="Y76" s="11">
        <v>18000</v>
      </c>
      <c r="Z76" s="11"/>
      <c r="AA76" s="63">
        <v>28</v>
      </c>
      <c r="AB76" s="63" t="e">
        <f>T76*AD76</f>
        <v>#DIV/0!</v>
      </c>
      <c r="AC76" s="63" t="e">
        <f>U76*AD76</f>
        <v>#DIV/0!</v>
      </c>
      <c r="AD76" s="36" t="e">
        <f>AA76/E76</f>
        <v>#DIV/0!</v>
      </c>
      <c r="AE76" s="31">
        <v>424285</v>
      </c>
      <c r="AF76" s="9" t="str">
        <f>IFERROR(INDEX([1]Sheet1!$A$2:$X$1948,MATCH($AE$2:$AE$268,[1]Sheet1!$G$2:$G$1948,0),8),"")</f>
        <v>소양지(3*2*0.3cm_저지방 키즈용_국거리용 KG)</v>
      </c>
      <c r="AG76" s="6">
        <v>17</v>
      </c>
      <c r="AH76" s="6" t="e">
        <f>P76*AJ76</f>
        <v>#DIV/0!</v>
      </c>
      <c r="AI76" s="6" t="e">
        <f>Q76*AJ76</f>
        <v>#DIV/0!</v>
      </c>
      <c r="AJ76" s="36" t="e">
        <f>AG76/$E76</f>
        <v>#DIV/0!</v>
      </c>
      <c r="AK76" s="31"/>
      <c r="AL76" s="9">
        <f>IFERROR(INDEX([1]Sheet1!$A$2:$X$1948,MATCH($AK$2:$AK$268,[1]Sheet1!$G$2:$G$1948,0),8),"")</f>
        <v>0</v>
      </c>
      <c r="AM76" s="6"/>
      <c r="AN76" s="6"/>
      <c r="AO76" s="6"/>
      <c r="AP76" s="36"/>
    </row>
    <row r="77" spans="1:42">
      <c r="A77" s="30"/>
      <c r="B77" s="146"/>
      <c r="C77" s="144" t="s">
        <v>1788</v>
      </c>
      <c r="D77" s="27"/>
      <c r="E77" s="27"/>
      <c r="F77" s="27"/>
      <c r="G77" s="27"/>
      <c r="H77" s="70" t="s">
        <v>1790</v>
      </c>
      <c r="I77" s="177" t="s">
        <v>1791</v>
      </c>
      <c r="J77" s="138"/>
      <c r="K77" s="117"/>
      <c r="L77" s="6"/>
      <c r="M77" s="6"/>
      <c r="N77" s="6"/>
      <c r="O77" s="44"/>
      <c r="P77" s="44"/>
      <c r="Q77" s="44"/>
      <c r="R77" s="53"/>
      <c r="S77" s="44"/>
      <c r="T77" s="44"/>
      <c r="U77" s="44"/>
      <c r="V77" s="53"/>
      <c r="W77" s="31"/>
      <c r="X77" s="9"/>
      <c r="Y77" s="11"/>
      <c r="Z77" s="11"/>
      <c r="AA77" s="63"/>
      <c r="AB77" s="63"/>
      <c r="AC77" s="63"/>
      <c r="AD77" s="36"/>
      <c r="AE77" s="31"/>
      <c r="AF77" s="9"/>
      <c r="AG77" s="6"/>
      <c r="AH77" s="6"/>
      <c r="AI77" s="6"/>
      <c r="AJ77" s="36"/>
      <c r="AK77" s="31"/>
      <c r="AL77" s="9"/>
      <c r="AM77" s="6"/>
      <c r="AN77" s="6"/>
      <c r="AO77" s="6"/>
      <c r="AP77" s="36"/>
    </row>
    <row r="78" spans="1:42">
      <c r="A78" s="30">
        <v>71</v>
      </c>
      <c r="B78" s="146"/>
      <c r="C78" s="161" t="s">
        <v>997</v>
      </c>
      <c r="D78" s="27"/>
      <c r="E78" s="27"/>
      <c r="F78" s="27"/>
      <c r="G78" s="27"/>
      <c r="H78" s="70" t="s">
        <v>2310</v>
      </c>
      <c r="I78" s="177" t="s">
        <v>835</v>
      </c>
      <c r="J78" s="138" t="s">
        <v>1800</v>
      </c>
      <c r="K78" s="117"/>
      <c r="L78" s="6"/>
      <c r="M78" s="6"/>
      <c r="N78" s="6"/>
      <c r="O78" s="6"/>
      <c r="P78" s="6"/>
      <c r="Q78" s="6"/>
      <c r="R78" s="29"/>
      <c r="S78" s="6"/>
      <c r="T78" s="6"/>
      <c r="U78" s="6"/>
      <c r="V78" s="29"/>
      <c r="W78" s="31"/>
      <c r="X78" s="9"/>
      <c r="Y78" s="11"/>
      <c r="Z78" s="11"/>
      <c r="AA78" s="6"/>
      <c r="AB78" s="6"/>
      <c r="AC78" s="6"/>
      <c r="AD78" s="36"/>
      <c r="AE78" s="31"/>
      <c r="AF78" s="9"/>
      <c r="AG78" s="6"/>
      <c r="AH78" s="6"/>
      <c r="AI78" s="6"/>
      <c r="AJ78" s="36"/>
      <c r="AK78" s="31"/>
      <c r="AL78" s="9"/>
      <c r="AM78" s="6"/>
      <c r="AN78" s="6"/>
      <c r="AO78" s="6"/>
      <c r="AP78" s="36"/>
    </row>
    <row r="79" spans="1:42">
      <c r="A79" s="30">
        <v>72</v>
      </c>
      <c r="B79" s="146"/>
      <c r="C79" s="144" t="s">
        <v>696</v>
      </c>
      <c r="D79" s="27"/>
      <c r="E79" s="27"/>
      <c r="F79" s="27"/>
      <c r="G79" s="27"/>
      <c r="H79" s="70" t="s">
        <v>735</v>
      </c>
      <c r="I79" s="177"/>
      <c r="J79" s="138"/>
      <c r="K79" s="117"/>
      <c r="L79" s="6"/>
      <c r="M79" s="6"/>
      <c r="N79" s="6"/>
      <c r="O79" s="44"/>
      <c r="P79" s="44"/>
      <c r="Q79" s="44"/>
      <c r="R79" s="53"/>
      <c r="S79" s="44"/>
      <c r="T79" s="44"/>
      <c r="U79" s="44"/>
      <c r="V79" s="53"/>
      <c r="W79" s="31"/>
      <c r="X79" s="9"/>
      <c r="Y79" s="11"/>
      <c r="Z79" s="11"/>
      <c r="AA79" s="63"/>
      <c r="AB79" s="63"/>
      <c r="AC79" s="63"/>
      <c r="AD79" s="36"/>
      <c r="AE79" s="31"/>
      <c r="AF79" s="9"/>
      <c r="AG79" s="6"/>
      <c r="AH79" s="6"/>
      <c r="AI79" s="6"/>
      <c r="AJ79" s="36"/>
      <c r="AK79" s="31"/>
      <c r="AL79" s="9"/>
      <c r="AM79" s="6"/>
      <c r="AN79" s="6"/>
      <c r="AO79" s="6"/>
      <c r="AP79" s="36"/>
    </row>
    <row r="80" spans="1:42">
      <c r="A80" s="30">
        <v>73</v>
      </c>
      <c r="B80" s="146"/>
      <c r="C80" s="144" t="s">
        <v>507</v>
      </c>
      <c r="D80" s="27"/>
      <c r="E80" s="27"/>
      <c r="F80" s="27"/>
      <c r="G80" s="27"/>
      <c r="H80" s="70" t="s">
        <v>736</v>
      </c>
      <c r="I80" s="177" t="s">
        <v>826</v>
      </c>
      <c r="J80" s="138" t="s">
        <v>1851</v>
      </c>
      <c r="K80" s="29"/>
      <c r="L80" s="11"/>
      <c r="M80" s="11"/>
      <c r="N80" s="11"/>
      <c r="O80" s="44">
        <f>E80</f>
        <v>0</v>
      </c>
      <c r="P80" s="44">
        <f>D80</f>
        <v>0</v>
      </c>
      <c r="Q80" s="44">
        <f>D80</f>
        <v>0</v>
      </c>
      <c r="R80" s="53" t="s">
        <v>70</v>
      </c>
      <c r="S80" s="44">
        <f>E80</f>
        <v>0</v>
      </c>
      <c r="T80" s="44">
        <f>D80</f>
        <v>0</v>
      </c>
      <c r="U80" s="44">
        <f>D80</f>
        <v>0</v>
      </c>
      <c r="V80" s="53"/>
      <c r="W80" s="31">
        <v>193090</v>
      </c>
      <c r="X80" s="9" t="str">
        <f>IFERROR(INDEX([1]Sheet1!$A$2:$X$1948,MATCH($W$2:$W$268,[1]Sheet1!$G$2:$G$1948,0),8),"")</f>
        <v>냉동감자(절단_3~4cm 1Kg/EA)</v>
      </c>
      <c r="Y80" s="11">
        <v>1000</v>
      </c>
      <c r="Z80" s="11"/>
      <c r="AA80" s="63">
        <v>28</v>
      </c>
      <c r="AB80" s="63" t="e">
        <f>T80*AD80</f>
        <v>#DIV/0!</v>
      </c>
      <c r="AC80" s="63" t="e">
        <f>U80*AD80</f>
        <v>#DIV/0!</v>
      </c>
      <c r="AD80" s="36" t="e">
        <f>AA80/E80</f>
        <v>#DIV/0!</v>
      </c>
      <c r="AE80" s="31">
        <v>226247</v>
      </c>
      <c r="AF80" s="9" t="str">
        <f>IFERROR(INDEX([1]Sheet1!$A$2:$X$1948,MATCH($AE$2:$AE$268,[1]Sheet1!$G$2:$G$1948,0),8),"")</f>
        <v>냉동표고버섯(1.5*1.5cm다이스 1Kg/EA)</v>
      </c>
      <c r="AG80" s="6"/>
      <c r="AH80" s="6" t="e">
        <f>P80*AJ80</f>
        <v>#DIV/0!</v>
      </c>
      <c r="AI80" s="6" t="e">
        <f>Q80*AJ80</f>
        <v>#DIV/0!</v>
      </c>
      <c r="AJ80" s="36" t="e">
        <f>AG80/$E80</f>
        <v>#DIV/0!</v>
      </c>
      <c r="AK80" s="31">
        <v>420010</v>
      </c>
      <c r="AL80" s="9" t="str">
        <f>IFERROR(INDEX([1]Sheet1!$A$2:$X$1948,MATCH($AK$2:$AK$268,[1]Sheet1!$G$2:$G$1948,0),8),"")</f>
        <v>알로팜 계란(왕란_무항생제_68g*30입 2.04Kg/EA)</v>
      </c>
      <c r="AM80" s="6"/>
      <c r="AN80" s="6"/>
      <c r="AO80" s="6"/>
      <c r="AP80" s="36"/>
    </row>
    <row r="81" spans="1:42">
      <c r="A81" s="30">
        <v>74</v>
      </c>
      <c r="B81" s="146"/>
      <c r="C81" s="144" t="s">
        <v>1368</v>
      </c>
      <c r="D81" s="27"/>
      <c r="E81" s="27"/>
      <c r="F81" s="27"/>
      <c r="G81" s="27"/>
      <c r="H81" s="70" t="s">
        <v>1096</v>
      </c>
      <c r="I81" s="177" t="s">
        <v>876</v>
      </c>
      <c r="J81" s="138" t="s">
        <v>1852</v>
      </c>
      <c r="K81" s="117"/>
      <c r="L81" s="6"/>
      <c r="M81" s="6"/>
      <c r="N81" s="6"/>
      <c r="O81" s="44"/>
      <c r="P81" s="44"/>
      <c r="Q81" s="44"/>
      <c r="R81" s="53"/>
      <c r="S81" s="44"/>
      <c r="T81" s="44"/>
      <c r="U81" s="44"/>
      <c r="V81" s="53"/>
      <c r="W81" s="31"/>
      <c r="X81" s="9"/>
      <c r="Y81" s="11"/>
      <c r="Z81" s="11"/>
      <c r="AA81" s="63"/>
      <c r="AB81" s="63"/>
      <c r="AC81" s="63"/>
      <c r="AD81" s="36"/>
      <c r="AE81" s="31"/>
      <c r="AF81" s="9"/>
      <c r="AG81" s="6"/>
      <c r="AH81" s="6"/>
      <c r="AI81" s="6"/>
      <c r="AJ81" s="36"/>
      <c r="AK81" s="31"/>
      <c r="AL81" s="9"/>
      <c r="AM81" s="6"/>
      <c r="AN81" s="6"/>
      <c r="AO81" s="6"/>
      <c r="AP81" s="36"/>
    </row>
    <row r="82" spans="1:42">
      <c r="A82" s="30">
        <v>75</v>
      </c>
      <c r="B82" s="146"/>
      <c r="C82" s="144" t="s">
        <v>1454</v>
      </c>
      <c r="D82" s="27"/>
      <c r="E82" s="27"/>
      <c r="F82" s="27"/>
      <c r="G82" s="27"/>
      <c r="H82" s="132" t="s">
        <v>2318</v>
      </c>
      <c r="I82" s="180" t="s">
        <v>1455</v>
      </c>
      <c r="J82" s="138"/>
      <c r="K82" s="117"/>
      <c r="L82" s="6"/>
      <c r="M82" s="6"/>
      <c r="N82" s="6"/>
      <c r="O82" s="44"/>
      <c r="P82" s="44"/>
      <c r="Q82" s="44"/>
      <c r="R82" s="53"/>
      <c r="S82" s="44"/>
      <c r="T82" s="44"/>
      <c r="U82" s="44"/>
      <c r="V82" s="53"/>
      <c r="W82" s="31"/>
      <c r="X82" s="9"/>
      <c r="Y82" s="11"/>
      <c r="Z82" s="11"/>
      <c r="AA82" s="63"/>
      <c r="AB82" s="63"/>
      <c r="AC82" s="63"/>
      <c r="AD82" s="36"/>
      <c r="AE82" s="31"/>
      <c r="AF82" s="9"/>
      <c r="AG82" s="6"/>
      <c r="AH82" s="6"/>
      <c r="AI82" s="6"/>
      <c r="AJ82" s="36"/>
      <c r="AK82" s="31"/>
      <c r="AL82" s="9"/>
      <c r="AM82" s="6"/>
      <c r="AN82" s="6"/>
      <c r="AO82" s="6"/>
      <c r="AP82" s="36"/>
    </row>
    <row r="83" spans="1:42">
      <c r="A83" s="30">
        <v>76</v>
      </c>
      <c r="B83" s="146"/>
      <c r="C83" s="144" t="s">
        <v>1422</v>
      </c>
      <c r="D83" s="27"/>
      <c r="E83" s="27"/>
      <c r="F83" s="27"/>
      <c r="G83" s="27"/>
      <c r="H83" s="70" t="s">
        <v>1423</v>
      </c>
      <c r="I83" s="177" t="s">
        <v>876</v>
      </c>
      <c r="J83" s="138"/>
      <c r="K83" s="117"/>
      <c r="L83" s="6"/>
      <c r="M83" s="6"/>
      <c r="N83" s="6"/>
      <c r="O83" s="44"/>
      <c r="P83" s="44"/>
      <c r="Q83" s="44"/>
      <c r="R83" s="53"/>
      <c r="S83" s="44"/>
      <c r="T83" s="44"/>
      <c r="U83" s="44"/>
      <c r="V83" s="53"/>
      <c r="W83" s="31"/>
      <c r="X83" s="9"/>
      <c r="Y83" s="11"/>
      <c r="Z83" s="11"/>
      <c r="AA83" s="63"/>
      <c r="AB83" s="63"/>
      <c r="AC83" s="63"/>
      <c r="AD83" s="36"/>
      <c r="AE83" s="31"/>
      <c r="AF83" s="9"/>
      <c r="AG83" s="6"/>
      <c r="AH83" s="6"/>
      <c r="AI83" s="6"/>
      <c r="AJ83" s="36"/>
      <c r="AK83" s="31"/>
      <c r="AL83" s="9"/>
      <c r="AM83" s="6"/>
      <c r="AN83" s="6"/>
      <c r="AO83" s="6"/>
      <c r="AP83" s="36"/>
    </row>
    <row r="84" spans="1:42">
      <c r="A84" s="30">
        <v>77</v>
      </c>
      <c r="B84" s="146"/>
      <c r="C84" s="144" t="s">
        <v>1119</v>
      </c>
      <c r="D84" s="27"/>
      <c r="E84" s="27"/>
      <c r="F84" s="27"/>
      <c r="G84" s="27"/>
      <c r="H84" s="70" t="s">
        <v>1118</v>
      </c>
      <c r="I84" s="177" t="s">
        <v>826</v>
      </c>
      <c r="J84" s="138"/>
      <c r="K84" s="117"/>
      <c r="L84" s="6"/>
      <c r="M84" s="6"/>
      <c r="N84" s="6"/>
      <c r="O84" s="44"/>
      <c r="P84" s="44"/>
      <c r="Q84" s="44"/>
      <c r="R84" s="53"/>
      <c r="S84" s="44"/>
      <c r="T84" s="44"/>
      <c r="U84" s="44"/>
      <c r="V84" s="53"/>
      <c r="W84" s="31"/>
      <c r="X84" s="9"/>
      <c r="Y84" s="11"/>
      <c r="Z84" s="11"/>
      <c r="AA84" s="63"/>
      <c r="AB84" s="63"/>
      <c r="AC84" s="63"/>
      <c r="AD84" s="36"/>
      <c r="AE84" s="31"/>
      <c r="AF84" s="9"/>
      <c r="AG84" s="6"/>
      <c r="AH84" s="6"/>
      <c r="AI84" s="6"/>
      <c r="AJ84" s="36"/>
      <c r="AK84" s="31"/>
      <c r="AL84" s="9"/>
      <c r="AM84" s="6"/>
      <c r="AN84" s="6"/>
      <c r="AO84" s="6"/>
      <c r="AP84" s="36"/>
    </row>
    <row r="85" spans="1:42">
      <c r="A85" s="30">
        <v>78</v>
      </c>
      <c r="B85" s="146"/>
      <c r="C85" s="144" t="s">
        <v>1361</v>
      </c>
      <c r="D85" s="27"/>
      <c r="E85" s="27"/>
      <c r="F85" s="27"/>
      <c r="G85" s="27"/>
      <c r="H85" s="70" t="s">
        <v>1362</v>
      </c>
      <c r="I85" s="177" t="s">
        <v>826</v>
      </c>
      <c r="J85" s="138"/>
      <c r="K85" s="117"/>
      <c r="L85" s="6"/>
      <c r="M85" s="6"/>
      <c r="N85" s="6"/>
      <c r="O85" s="44"/>
      <c r="P85" s="44"/>
      <c r="Q85" s="44"/>
      <c r="R85" s="53"/>
      <c r="S85" s="44"/>
      <c r="T85" s="44"/>
      <c r="U85" s="44"/>
      <c r="V85" s="53"/>
      <c r="W85" s="31"/>
      <c r="X85" s="9"/>
      <c r="Y85" s="11"/>
      <c r="Z85" s="11"/>
      <c r="AA85" s="63"/>
      <c r="AB85" s="63"/>
      <c r="AC85" s="63"/>
      <c r="AD85" s="36"/>
      <c r="AE85" s="31"/>
      <c r="AF85" s="9"/>
      <c r="AG85" s="6"/>
      <c r="AH85" s="6"/>
      <c r="AI85" s="6"/>
      <c r="AJ85" s="36"/>
      <c r="AK85" s="31"/>
      <c r="AL85" s="9"/>
      <c r="AM85" s="6"/>
      <c r="AN85" s="6"/>
      <c r="AO85" s="6"/>
      <c r="AP85" s="36"/>
    </row>
    <row r="86" spans="1:42" ht="27">
      <c r="A86" s="30">
        <v>79</v>
      </c>
      <c r="B86" s="146"/>
      <c r="C86" s="144" t="s">
        <v>1491</v>
      </c>
      <c r="D86" s="27"/>
      <c r="E86" s="27"/>
      <c r="F86" s="27"/>
      <c r="G86" s="27"/>
      <c r="H86" s="70" t="s">
        <v>1492</v>
      </c>
      <c r="I86" s="177" t="s">
        <v>881</v>
      </c>
      <c r="J86" s="138" t="s">
        <v>629</v>
      </c>
      <c r="K86" s="117"/>
      <c r="L86" s="6"/>
      <c r="M86" s="6"/>
      <c r="N86" s="6"/>
      <c r="O86" s="44"/>
      <c r="P86" s="44"/>
      <c r="Q86" s="44"/>
      <c r="R86" s="53"/>
      <c r="S86" s="44"/>
      <c r="T86" s="44"/>
      <c r="U86" s="44"/>
      <c r="V86" s="53"/>
      <c r="W86" s="31"/>
      <c r="X86" s="9"/>
      <c r="Y86" s="11"/>
      <c r="Z86" s="11"/>
      <c r="AA86" s="63"/>
      <c r="AB86" s="63"/>
      <c r="AC86" s="63"/>
      <c r="AD86" s="36"/>
      <c r="AE86" s="31"/>
      <c r="AF86" s="9"/>
      <c r="AG86" s="6"/>
      <c r="AH86" s="6"/>
      <c r="AI86" s="6"/>
      <c r="AJ86" s="36"/>
      <c r="AK86" s="31"/>
      <c r="AL86" s="9"/>
      <c r="AM86" s="6"/>
      <c r="AN86" s="6"/>
      <c r="AO86" s="6"/>
      <c r="AP86" s="36"/>
    </row>
    <row r="87" spans="1:42">
      <c r="A87" s="30">
        <v>80</v>
      </c>
      <c r="B87" s="146"/>
      <c r="C87" s="144" t="s">
        <v>813</v>
      </c>
      <c r="D87" s="27"/>
      <c r="E87" s="27"/>
      <c r="F87" s="27"/>
      <c r="G87" s="27"/>
      <c r="H87" s="70" t="s">
        <v>2080</v>
      </c>
      <c r="I87" s="177" t="s">
        <v>881</v>
      </c>
      <c r="J87" s="138" t="s">
        <v>1933</v>
      </c>
      <c r="K87" s="117"/>
      <c r="L87" s="6">
        <v>480</v>
      </c>
      <c r="M87" s="6">
        <v>24</v>
      </c>
      <c r="N87" s="6">
        <v>504</v>
      </c>
      <c r="O87" s="44">
        <f>E87</f>
        <v>0</v>
      </c>
      <c r="P87" s="44">
        <f>D87</f>
        <v>0</v>
      </c>
      <c r="Q87" s="44">
        <f>D87</f>
        <v>0</v>
      </c>
      <c r="R87" s="53" t="s">
        <v>70</v>
      </c>
      <c r="S87" s="44">
        <f>E87</f>
        <v>0</v>
      </c>
      <c r="T87" s="44">
        <f>D87</f>
        <v>0</v>
      </c>
      <c r="U87" s="44">
        <f>D87</f>
        <v>0</v>
      </c>
      <c r="V87" s="53"/>
      <c r="W87" s="31">
        <v>221871</v>
      </c>
      <c r="X87" s="9" t="str">
        <f>IFERROR(INDEX([1]Sheet1!$A$2:$X$1948,MATCH($W$2:$W$268,[1]Sheet1!$G$2:$G$1948,0),8),"")</f>
        <v>냉동시금치(IQF 1Kg/EA)</v>
      </c>
      <c r="Y87" s="11">
        <v>1000</v>
      </c>
      <c r="Z87" s="11"/>
      <c r="AA87" s="63">
        <v>21</v>
      </c>
      <c r="AB87" s="63" t="e">
        <f>T87*AD87</f>
        <v>#DIV/0!</v>
      </c>
      <c r="AC87" s="63" t="e">
        <f>U87*AD87</f>
        <v>#DIV/0!</v>
      </c>
      <c r="AD87" s="36" t="e">
        <f>AA87/E87</f>
        <v>#DIV/0!</v>
      </c>
      <c r="AE87" s="31">
        <v>168384</v>
      </c>
      <c r="AF87" s="9" t="str">
        <f>IFERROR(INDEX([1]Sheet1!$A$2:$X$1948,MATCH($AE$2:$AE$268,[1]Sheet1!$G$2:$G$1948,0),8),"")</f>
        <v>사조대림 사각어묵(알뜰 1Kg/EA)</v>
      </c>
      <c r="AG87" s="6">
        <v>17</v>
      </c>
      <c r="AH87" s="6" t="e">
        <f>P87*AJ87</f>
        <v>#DIV/0!</v>
      </c>
      <c r="AI87" s="6" t="e">
        <f>Q87*AJ87</f>
        <v>#DIV/0!</v>
      </c>
      <c r="AJ87" s="36" t="e">
        <f>AG87/$E87</f>
        <v>#DIV/0!</v>
      </c>
      <c r="AK87" s="31"/>
      <c r="AL87" s="9">
        <f>IFERROR(INDEX([1]Sheet1!$A$2:$X$1948,MATCH($AK$2:$AK$268,[1]Sheet1!$G$2:$G$1948,0),8),"")</f>
        <v>0</v>
      </c>
      <c r="AM87" s="6"/>
      <c r="AN87" s="6"/>
      <c r="AO87" s="6"/>
      <c r="AP87" s="36"/>
    </row>
    <row r="88" spans="1:42">
      <c r="A88" s="30">
        <v>81</v>
      </c>
      <c r="B88" s="146"/>
      <c r="C88" s="144" t="s">
        <v>1575</v>
      </c>
      <c r="D88" s="27"/>
      <c r="E88" s="27"/>
      <c r="F88" s="27"/>
      <c r="G88" s="27"/>
      <c r="H88" s="70" t="s">
        <v>1576</v>
      </c>
      <c r="I88" s="177" t="s">
        <v>826</v>
      </c>
      <c r="J88" s="138" t="s">
        <v>1098</v>
      </c>
      <c r="K88" s="29"/>
      <c r="L88" s="11">
        <v>25650</v>
      </c>
      <c r="M88" s="11">
        <v>1282.5</v>
      </c>
      <c r="N88" s="11">
        <v>26932.5</v>
      </c>
      <c r="O88" s="44">
        <f>E88</f>
        <v>0</v>
      </c>
      <c r="P88" s="44">
        <f>D88</f>
        <v>0</v>
      </c>
      <c r="Q88" s="44">
        <f>D88</f>
        <v>0</v>
      </c>
      <c r="R88" s="53" t="s">
        <v>70</v>
      </c>
      <c r="S88" s="44">
        <f>E88</f>
        <v>0</v>
      </c>
      <c r="T88" s="44">
        <f>D88</f>
        <v>0</v>
      </c>
      <c r="U88" s="44">
        <f>D88</f>
        <v>0</v>
      </c>
      <c r="V88" s="53"/>
      <c r="W88" s="31">
        <v>211696</v>
      </c>
      <c r="X88" s="9" t="str">
        <f>IFERROR(INDEX([1]Sheet1!$A$2:$X$1948,MATCH($W$2:$W$268,[1]Sheet1!$G$2:$G$1948,0),8),"")</f>
        <v>건시래기(데친것 KG)</v>
      </c>
      <c r="Y88" s="11">
        <v>1000</v>
      </c>
      <c r="Z88" s="11"/>
      <c r="AA88" s="63">
        <v>24</v>
      </c>
      <c r="AB88" s="63" t="e">
        <f>T88*AD88</f>
        <v>#DIV/0!</v>
      </c>
      <c r="AC88" s="63" t="e">
        <f>U88*AD88</f>
        <v>#DIV/0!</v>
      </c>
      <c r="AD88" s="36" t="e">
        <f>AA88/E88</f>
        <v>#DIV/0!</v>
      </c>
      <c r="AE88" s="31">
        <v>313570</v>
      </c>
      <c r="AF88" s="9" t="str">
        <f>IFERROR(INDEX([1]Sheet1!$A$2:$X$1948,MATCH($AE$2:$AE$268,[1]Sheet1!$G$2:$G$1948,0),8),"")</f>
        <v>프레시웨이 북어채(1Kg/EA)</v>
      </c>
      <c r="AG88" s="6">
        <v>8</v>
      </c>
      <c r="AH88" s="6" t="e">
        <f>P88*AJ88</f>
        <v>#DIV/0!</v>
      </c>
      <c r="AI88" s="6" t="e">
        <f>Q88*AJ88</f>
        <v>#DIV/0!</v>
      </c>
      <c r="AJ88" s="36" t="e">
        <f>AG88/$E88</f>
        <v>#DIV/0!</v>
      </c>
      <c r="AK88" s="31"/>
      <c r="AL88" s="9">
        <f>IFERROR(INDEX([1]Sheet1!$A$2:$X$1948,MATCH($AK$2:$AK$268,[1]Sheet1!$G$2:$G$1948,0),8),"")</f>
        <v>0</v>
      </c>
      <c r="AM88" s="6"/>
      <c r="AN88" s="6"/>
      <c r="AO88" s="6"/>
      <c r="AP88" s="36"/>
    </row>
    <row r="89" spans="1:42">
      <c r="A89" s="30">
        <v>82</v>
      </c>
      <c r="B89" s="146"/>
      <c r="C89" s="144" t="s">
        <v>1452</v>
      </c>
      <c r="D89" s="27"/>
      <c r="E89" s="27"/>
      <c r="F89" s="27"/>
      <c r="G89" s="27"/>
      <c r="H89" s="70" t="s">
        <v>1453</v>
      </c>
      <c r="I89" s="177" t="s">
        <v>1435</v>
      </c>
      <c r="J89" s="138"/>
      <c r="K89" s="117"/>
      <c r="L89" s="6"/>
      <c r="M89" s="6"/>
      <c r="N89" s="6"/>
      <c r="O89" s="44">
        <f>E89</f>
        <v>0</v>
      </c>
      <c r="P89" s="44">
        <f>D89</f>
        <v>0</v>
      </c>
      <c r="Q89" s="44">
        <f>D89</f>
        <v>0</v>
      </c>
      <c r="R89" s="53" t="s">
        <v>70</v>
      </c>
      <c r="S89" s="44">
        <f>E89</f>
        <v>0</v>
      </c>
      <c r="T89" s="44">
        <f>D89</f>
        <v>0</v>
      </c>
      <c r="U89" s="44">
        <f>D89</f>
        <v>0</v>
      </c>
      <c r="V89" s="53"/>
      <c r="W89" s="31">
        <v>221871</v>
      </c>
      <c r="X89" s="9" t="str">
        <f>IFERROR(INDEX([1]Sheet1!$A$2:$X$1948,MATCH($W$2:$W$268,[1]Sheet1!$G$2:$G$1948,0),8),"")</f>
        <v>냉동시금치(IQF 1Kg/EA)</v>
      </c>
      <c r="Y89" s="11">
        <v>1000</v>
      </c>
      <c r="Z89" s="11"/>
      <c r="AA89" s="63">
        <v>42</v>
      </c>
      <c r="AB89" s="63" t="e">
        <f>T89*AD89</f>
        <v>#DIV/0!</v>
      </c>
      <c r="AC89" s="63" t="e">
        <f>U89*AD89</f>
        <v>#DIV/0!</v>
      </c>
      <c r="AD89" s="36" t="e">
        <f>AA89/E89</f>
        <v>#DIV/0!</v>
      </c>
      <c r="AE89" s="31">
        <v>105943</v>
      </c>
      <c r="AF89" s="9" t="str">
        <f>IFERROR(INDEX([1]Sheet1!$A$2:$X$1948,MATCH($AE$2:$AE$268,[1]Sheet1!$G$2:$G$1948,0),8),"")</f>
        <v>대상 재래된장(지함_재래식숙성 14Kg/EA)</v>
      </c>
      <c r="AG89" s="6"/>
      <c r="AH89" s="6" t="e">
        <f>P89*AJ89</f>
        <v>#DIV/0!</v>
      </c>
      <c r="AI89" s="6" t="e">
        <f>Q89*AJ89</f>
        <v>#DIV/0!</v>
      </c>
      <c r="AJ89" s="36" t="e">
        <f>AG89/$E89</f>
        <v>#DIV/0!</v>
      </c>
      <c r="AK89" s="31"/>
      <c r="AL89" s="9">
        <f>IFERROR(INDEX([1]Sheet1!$A$2:$X$1948,MATCH($AK$2:$AK$268,[1]Sheet1!$G$2:$G$1948,0),8),"")</f>
        <v>0</v>
      </c>
      <c r="AM89" s="6"/>
      <c r="AN89" s="6"/>
      <c r="AO89" s="6"/>
      <c r="AP89" s="36"/>
    </row>
    <row r="90" spans="1:42">
      <c r="A90" s="30">
        <v>83</v>
      </c>
      <c r="B90" s="146"/>
      <c r="C90" s="144" t="s">
        <v>1600</v>
      </c>
      <c r="D90" s="27"/>
      <c r="E90" s="27"/>
      <c r="F90" s="27"/>
      <c r="G90" s="27"/>
      <c r="H90" s="70" t="s">
        <v>1619</v>
      </c>
      <c r="I90" s="177" t="s">
        <v>1434</v>
      </c>
      <c r="J90" s="261" t="s">
        <v>1620</v>
      </c>
      <c r="K90" s="117"/>
      <c r="L90" s="6"/>
      <c r="M90" s="6"/>
      <c r="N90" s="6"/>
      <c r="O90" s="44"/>
      <c r="P90" s="44"/>
      <c r="Q90" s="44"/>
      <c r="R90" s="53"/>
      <c r="S90" s="44"/>
      <c r="T90" s="44"/>
      <c r="U90" s="44"/>
      <c r="V90" s="53"/>
      <c r="W90" s="31"/>
      <c r="X90" s="9"/>
      <c r="Y90" s="11"/>
      <c r="Z90" s="11"/>
      <c r="AA90" s="63"/>
      <c r="AB90" s="63"/>
      <c r="AC90" s="63"/>
      <c r="AD90" s="36"/>
      <c r="AE90" s="31"/>
      <c r="AF90" s="9"/>
      <c r="AG90" s="6"/>
      <c r="AH90" s="6"/>
      <c r="AI90" s="6"/>
      <c r="AJ90" s="36"/>
      <c r="AK90" s="31"/>
      <c r="AL90" s="9"/>
      <c r="AM90" s="6"/>
      <c r="AN90" s="6"/>
      <c r="AO90" s="6"/>
      <c r="AP90" s="36"/>
    </row>
    <row r="91" spans="1:42">
      <c r="A91" s="30">
        <v>84</v>
      </c>
      <c r="B91" s="146"/>
      <c r="C91" s="144" t="s">
        <v>514</v>
      </c>
      <c r="D91" s="27"/>
      <c r="E91" s="27"/>
      <c r="F91" s="27"/>
      <c r="G91" s="27"/>
      <c r="H91" s="70" t="s">
        <v>1034</v>
      </c>
      <c r="I91" s="177" t="s">
        <v>826</v>
      </c>
      <c r="J91" s="138"/>
      <c r="K91" s="117"/>
      <c r="L91" s="6"/>
      <c r="M91" s="6"/>
      <c r="N91" s="6"/>
      <c r="O91" s="44"/>
      <c r="P91" s="44"/>
      <c r="Q91" s="44"/>
      <c r="R91" s="53"/>
      <c r="S91" s="44"/>
      <c r="T91" s="44"/>
      <c r="U91" s="44"/>
      <c r="V91" s="53"/>
      <c r="W91" s="31"/>
      <c r="X91" s="9"/>
      <c r="Y91" s="11"/>
      <c r="Z91" s="11"/>
      <c r="AA91" s="63"/>
      <c r="AB91" s="63"/>
      <c r="AC91" s="63"/>
      <c r="AD91" s="36"/>
      <c r="AE91" s="31"/>
      <c r="AF91" s="9"/>
      <c r="AG91" s="6"/>
      <c r="AH91" s="6"/>
      <c r="AI91" s="6"/>
      <c r="AJ91" s="36"/>
      <c r="AK91" s="31"/>
      <c r="AL91" s="9"/>
      <c r="AM91" s="6"/>
      <c r="AN91" s="6"/>
      <c r="AO91" s="6"/>
      <c r="AP91" s="36"/>
    </row>
    <row r="92" spans="1:42">
      <c r="A92" s="30">
        <v>85</v>
      </c>
      <c r="B92" s="146"/>
      <c r="C92" s="144" t="s">
        <v>531</v>
      </c>
      <c r="D92" s="27"/>
      <c r="E92" s="27"/>
      <c r="F92" s="27"/>
      <c r="G92" s="27"/>
      <c r="H92" s="137" t="s">
        <v>569</v>
      </c>
      <c r="I92" s="177" t="s">
        <v>881</v>
      </c>
      <c r="J92" s="138"/>
      <c r="K92" s="117"/>
      <c r="L92" s="6">
        <v>350</v>
      </c>
      <c r="M92" s="6">
        <v>17.5</v>
      </c>
      <c r="N92" s="6">
        <v>367.5</v>
      </c>
      <c r="O92" s="44">
        <f>E92</f>
        <v>0</v>
      </c>
      <c r="P92" s="44">
        <f>D92</f>
        <v>0</v>
      </c>
      <c r="Q92" s="44">
        <f>D92</f>
        <v>0</v>
      </c>
      <c r="R92" s="53" t="s">
        <v>70</v>
      </c>
      <c r="S92" s="44">
        <f>E92</f>
        <v>0</v>
      </c>
      <c r="T92" s="44">
        <f>D92</f>
        <v>0</v>
      </c>
      <c r="U92" s="44">
        <f>D92</f>
        <v>0</v>
      </c>
      <c r="V92" s="53"/>
      <c r="W92" s="31">
        <v>197120</v>
      </c>
      <c r="X92" s="9" t="str">
        <f>IFERROR(INDEX([1]Sheet1!$A$2:$X$1948,MATCH($W$2:$W$268,[1]Sheet1!$G$2:$G$1948,0),8),"")</f>
        <v>종가집 포기김치(숙성 10Kg/BOX)</v>
      </c>
      <c r="Y92" s="11">
        <v>10000</v>
      </c>
      <c r="Z92" s="11"/>
      <c r="AA92" s="63">
        <v>21</v>
      </c>
      <c r="AB92" s="63" t="e">
        <f>T92*AD92</f>
        <v>#DIV/0!</v>
      </c>
      <c r="AC92" s="63" t="e">
        <f>U92*AD92</f>
        <v>#DIV/0!</v>
      </c>
      <c r="AD92" s="36" t="e">
        <f>AA92/E92</f>
        <v>#DIV/0!</v>
      </c>
      <c r="AE92" s="31">
        <v>192872</v>
      </c>
      <c r="AF92" s="9" t="str">
        <f>IFERROR(INDEX([1]Sheet1!$A$2:$X$1948,MATCH($AE$2:$AE$268,[1]Sheet1!$G$2:$G$1948,0),8),"")</f>
        <v>소이원 콩나물(곱슬이_단채 4Kg/BOX)</v>
      </c>
      <c r="AG92" s="6">
        <v>15</v>
      </c>
      <c r="AH92" s="6" t="e">
        <f>P92*AJ92</f>
        <v>#DIV/0!</v>
      </c>
      <c r="AI92" s="6" t="e">
        <f>Q92*AJ92</f>
        <v>#DIV/0!</v>
      </c>
      <c r="AJ92" s="36" t="e">
        <f>AG92/$E92</f>
        <v>#DIV/0!</v>
      </c>
      <c r="AK92" s="31"/>
      <c r="AL92" s="9">
        <f>IFERROR(INDEX([1]Sheet1!$A$2:$X$1948,MATCH($AK$2:$AK$268,[1]Sheet1!$G$2:$G$1948,0),8),"")</f>
        <v>0</v>
      </c>
      <c r="AM92" s="6"/>
      <c r="AN92" s="6"/>
      <c r="AO92" s="6"/>
      <c r="AP92" s="36"/>
    </row>
    <row r="93" spans="1:42">
      <c r="A93" s="30">
        <v>86</v>
      </c>
      <c r="B93" s="146"/>
      <c r="C93" s="144" t="s">
        <v>1955</v>
      </c>
      <c r="D93" s="27"/>
      <c r="E93" s="27"/>
      <c r="F93" s="27"/>
      <c r="G93" s="27"/>
      <c r="H93" s="105" t="s">
        <v>1956</v>
      </c>
      <c r="I93" s="178" t="s">
        <v>876</v>
      </c>
      <c r="J93" s="138"/>
      <c r="K93" s="117"/>
      <c r="L93" s="6"/>
      <c r="M93" s="6"/>
      <c r="N93" s="6"/>
      <c r="O93" s="44"/>
      <c r="P93" s="44"/>
      <c r="Q93" s="44"/>
      <c r="R93" s="53"/>
      <c r="S93" s="44"/>
      <c r="T93" s="44"/>
      <c r="U93" s="44"/>
      <c r="V93" s="53"/>
      <c r="W93" s="31"/>
      <c r="X93" s="9"/>
      <c r="Y93" s="11"/>
      <c r="Z93" s="11"/>
      <c r="AA93" s="63"/>
      <c r="AB93" s="63"/>
      <c r="AC93" s="63"/>
      <c r="AD93" s="36"/>
      <c r="AE93" s="31"/>
      <c r="AF93" s="9"/>
      <c r="AG93" s="6"/>
      <c r="AH93" s="6"/>
      <c r="AI93" s="6"/>
      <c r="AJ93" s="36"/>
      <c r="AK93" s="31"/>
      <c r="AL93" s="9"/>
      <c r="AM93" s="6"/>
      <c r="AN93" s="6"/>
      <c r="AO93" s="6"/>
      <c r="AP93" s="36"/>
    </row>
    <row r="94" spans="1:42">
      <c r="A94" s="30">
        <v>87</v>
      </c>
      <c r="B94" s="146"/>
      <c r="C94" s="144" t="s">
        <v>2025</v>
      </c>
      <c r="D94" s="27"/>
      <c r="E94" s="27"/>
      <c r="F94" s="27"/>
      <c r="G94" s="27"/>
      <c r="H94" s="105" t="s">
        <v>2026</v>
      </c>
      <c r="I94" s="178" t="s">
        <v>1120</v>
      </c>
      <c r="J94" s="138"/>
      <c r="K94" s="117"/>
      <c r="L94" s="6"/>
      <c r="M94" s="6"/>
      <c r="N94" s="6"/>
      <c r="O94" s="44"/>
      <c r="P94" s="44"/>
      <c r="Q94" s="44"/>
      <c r="R94" s="53"/>
      <c r="S94" s="44"/>
      <c r="T94" s="44"/>
      <c r="U94" s="44"/>
      <c r="V94" s="53"/>
      <c r="W94" s="31"/>
      <c r="X94" s="9"/>
      <c r="Y94" s="11"/>
      <c r="Z94" s="11"/>
      <c r="AA94" s="63"/>
      <c r="AB94" s="63"/>
      <c r="AC94" s="63"/>
      <c r="AD94" s="36"/>
      <c r="AE94" s="31"/>
      <c r="AF94" s="9"/>
      <c r="AG94" s="6"/>
      <c r="AH94" s="6"/>
      <c r="AI94" s="6"/>
      <c r="AJ94" s="36"/>
      <c r="AK94" s="31"/>
      <c r="AL94" s="9"/>
      <c r="AM94" s="6"/>
      <c r="AN94" s="6"/>
      <c r="AO94" s="6"/>
      <c r="AP94" s="36"/>
    </row>
    <row r="95" spans="1:42">
      <c r="A95" s="30">
        <v>88</v>
      </c>
      <c r="B95" s="146"/>
      <c r="C95" s="144" t="s">
        <v>1543</v>
      </c>
      <c r="D95" s="27"/>
      <c r="E95" s="27"/>
      <c r="F95" s="27"/>
      <c r="G95" s="27"/>
      <c r="H95" s="105" t="s">
        <v>1544</v>
      </c>
      <c r="I95" s="178" t="s">
        <v>1545</v>
      </c>
      <c r="J95" s="138"/>
      <c r="K95" s="117"/>
      <c r="L95" s="6"/>
      <c r="M95" s="6"/>
      <c r="N95" s="6"/>
      <c r="O95" s="44"/>
      <c r="P95" s="44"/>
      <c r="Q95" s="44"/>
      <c r="R95" s="53"/>
      <c r="S95" s="44"/>
      <c r="T95" s="44"/>
      <c r="U95" s="44"/>
      <c r="V95" s="53"/>
      <c r="W95" s="31"/>
      <c r="X95" s="9"/>
      <c r="Y95" s="11"/>
      <c r="Z95" s="11"/>
      <c r="AA95" s="63"/>
      <c r="AB95" s="63"/>
      <c r="AC95" s="63"/>
      <c r="AD95" s="36"/>
      <c r="AE95" s="31"/>
      <c r="AF95" s="9"/>
      <c r="AG95" s="6"/>
      <c r="AH95" s="6"/>
      <c r="AI95" s="6"/>
      <c r="AJ95" s="36"/>
      <c r="AK95" s="31"/>
      <c r="AL95" s="9"/>
      <c r="AM95" s="6"/>
      <c r="AN95" s="6"/>
      <c r="AO95" s="6"/>
      <c r="AP95" s="36"/>
    </row>
    <row r="96" spans="1:42">
      <c r="A96" s="30">
        <v>89</v>
      </c>
      <c r="B96" s="146"/>
      <c r="C96" s="144" t="s">
        <v>961</v>
      </c>
      <c r="D96" s="27"/>
      <c r="E96" s="27"/>
      <c r="F96" s="27"/>
      <c r="G96" s="27"/>
      <c r="H96" s="70" t="s">
        <v>1109</v>
      </c>
      <c r="I96" s="177" t="s">
        <v>962</v>
      </c>
      <c r="J96" s="138"/>
      <c r="K96" s="29"/>
      <c r="L96" s="11"/>
      <c r="M96" s="11"/>
      <c r="N96" s="11"/>
      <c r="O96" s="44"/>
      <c r="P96" s="44"/>
      <c r="Q96" s="44"/>
      <c r="R96" s="53"/>
      <c r="S96" s="44"/>
      <c r="T96" s="44"/>
      <c r="U96" s="44"/>
      <c r="V96" s="53"/>
      <c r="W96" s="31"/>
      <c r="X96" s="9"/>
      <c r="Y96" s="11"/>
      <c r="Z96" s="11"/>
      <c r="AA96" s="63"/>
      <c r="AB96" s="63"/>
      <c r="AC96" s="63"/>
      <c r="AD96" s="36"/>
      <c r="AE96" s="31"/>
      <c r="AF96" s="9"/>
      <c r="AG96" s="6"/>
      <c r="AH96" s="6"/>
      <c r="AI96" s="6"/>
      <c r="AJ96" s="36"/>
      <c r="AK96" s="31"/>
      <c r="AL96" s="9"/>
      <c r="AM96" s="6"/>
      <c r="AN96" s="6"/>
      <c r="AO96" s="6"/>
      <c r="AP96" s="36"/>
    </row>
    <row r="97" spans="1:42" ht="20.100000000000001" customHeight="1">
      <c r="A97" s="30">
        <v>90</v>
      </c>
      <c r="B97" s="146"/>
      <c r="C97" s="144" t="s">
        <v>1057</v>
      </c>
      <c r="D97" s="27"/>
      <c r="E97" s="27"/>
      <c r="F97" s="27"/>
      <c r="G97" s="27"/>
      <c r="H97" s="70" t="s">
        <v>1054</v>
      </c>
      <c r="I97" s="177" t="s">
        <v>1002</v>
      </c>
      <c r="J97" s="138"/>
      <c r="K97" s="117"/>
      <c r="L97" s="6"/>
      <c r="M97" s="6"/>
      <c r="N97" s="6"/>
      <c r="O97" s="44"/>
      <c r="P97" s="44"/>
      <c r="Q97" s="44"/>
      <c r="R97" s="53"/>
      <c r="S97" s="44"/>
      <c r="T97" s="44"/>
      <c r="U97" s="44"/>
      <c r="V97" s="53"/>
      <c r="W97" s="31"/>
      <c r="X97" s="9"/>
      <c r="Y97" s="11"/>
      <c r="Z97" s="11"/>
      <c r="AA97" s="63"/>
      <c r="AB97" s="63"/>
      <c r="AC97" s="63"/>
      <c r="AD97" s="36"/>
      <c r="AE97" s="31"/>
      <c r="AF97" s="9"/>
      <c r="AG97" s="6"/>
      <c r="AH97" s="6"/>
      <c r="AI97" s="6"/>
      <c r="AJ97" s="36"/>
      <c r="AK97" s="31"/>
      <c r="AL97" s="9"/>
      <c r="AM97" s="6"/>
      <c r="AN97" s="6"/>
      <c r="AO97" s="6"/>
      <c r="AP97" s="36"/>
    </row>
    <row r="98" spans="1:42" ht="20.100000000000001" customHeight="1">
      <c r="A98" s="30">
        <v>91</v>
      </c>
      <c r="B98" s="146"/>
      <c r="C98" s="144" t="s">
        <v>540</v>
      </c>
      <c r="D98" s="27"/>
      <c r="E98" s="27"/>
      <c r="F98" s="27"/>
      <c r="G98" s="27"/>
      <c r="H98" s="70" t="s">
        <v>1104</v>
      </c>
      <c r="I98" s="177" t="s">
        <v>826</v>
      </c>
      <c r="J98" s="138"/>
      <c r="K98" s="117"/>
      <c r="L98" s="6"/>
      <c r="M98" s="6"/>
      <c r="N98" s="6"/>
      <c r="O98" s="44"/>
      <c r="P98" s="44"/>
      <c r="Q98" s="44"/>
      <c r="R98" s="53"/>
      <c r="S98" s="44"/>
      <c r="T98" s="44"/>
      <c r="U98" s="44"/>
      <c r="V98" s="53"/>
      <c r="W98" s="31"/>
      <c r="X98" s="9"/>
      <c r="Y98" s="11"/>
      <c r="Z98" s="11"/>
      <c r="AA98" s="63"/>
      <c r="AB98" s="63"/>
      <c r="AC98" s="63"/>
      <c r="AD98" s="36"/>
      <c r="AE98" s="31"/>
      <c r="AF98" s="9"/>
      <c r="AG98" s="6"/>
      <c r="AH98" s="6"/>
      <c r="AI98" s="6"/>
      <c r="AJ98" s="36"/>
      <c r="AK98" s="31"/>
      <c r="AL98" s="9"/>
      <c r="AM98" s="6"/>
      <c r="AN98" s="6"/>
      <c r="AO98" s="6"/>
      <c r="AP98" s="36"/>
    </row>
    <row r="99" spans="1:42">
      <c r="A99" s="30">
        <v>92</v>
      </c>
      <c r="B99" s="146"/>
      <c r="C99" s="144" t="s">
        <v>1014</v>
      </c>
      <c r="D99" s="27"/>
      <c r="E99" s="27"/>
      <c r="F99" s="27"/>
      <c r="G99" s="27"/>
      <c r="H99" s="70" t="s">
        <v>1106</v>
      </c>
      <c r="I99" s="177" t="s">
        <v>881</v>
      </c>
      <c r="J99" s="138" t="s">
        <v>1015</v>
      </c>
      <c r="K99" s="117"/>
      <c r="L99" s="6"/>
      <c r="M99" s="6"/>
      <c r="N99" s="6"/>
      <c r="O99" s="44"/>
      <c r="P99" s="44"/>
      <c r="Q99" s="44"/>
      <c r="R99" s="53"/>
      <c r="S99" s="44"/>
      <c r="T99" s="44"/>
      <c r="U99" s="44"/>
      <c r="V99" s="53"/>
      <c r="W99" s="31"/>
      <c r="X99" s="9"/>
      <c r="Y99" s="11"/>
      <c r="Z99" s="11"/>
      <c r="AA99" s="63"/>
      <c r="AB99" s="63"/>
      <c r="AC99" s="63"/>
      <c r="AD99" s="36"/>
      <c r="AE99" s="31"/>
      <c r="AF99" s="9"/>
      <c r="AG99" s="6"/>
      <c r="AH99" s="6"/>
      <c r="AI99" s="6"/>
      <c r="AJ99" s="36"/>
      <c r="AK99" s="31"/>
      <c r="AL99" s="9"/>
      <c r="AM99" s="6"/>
      <c r="AN99" s="6"/>
      <c r="AO99" s="6"/>
      <c r="AP99" s="36"/>
    </row>
    <row r="100" spans="1:42" ht="21.95" customHeight="1">
      <c r="A100" s="30">
        <v>93</v>
      </c>
      <c r="B100" s="146"/>
      <c r="C100" s="144" t="s">
        <v>1980</v>
      </c>
      <c r="D100" s="27"/>
      <c r="E100" s="27"/>
      <c r="F100" s="27"/>
      <c r="G100" s="27"/>
      <c r="H100" s="70" t="s">
        <v>1981</v>
      </c>
      <c r="I100" s="177" t="s">
        <v>982</v>
      </c>
      <c r="J100" s="137" t="s">
        <v>1772</v>
      </c>
      <c r="K100" s="117"/>
      <c r="L100" s="6"/>
      <c r="M100" s="6"/>
      <c r="N100" s="6"/>
      <c r="O100" s="44"/>
      <c r="P100" s="44"/>
      <c r="Q100" s="44"/>
      <c r="R100" s="53"/>
      <c r="S100" s="44"/>
      <c r="T100" s="44"/>
      <c r="U100" s="44"/>
      <c r="V100" s="53"/>
      <c r="W100" s="31"/>
      <c r="X100" s="9"/>
      <c r="Y100" s="11"/>
      <c r="Z100" s="11"/>
      <c r="AA100" s="63"/>
      <c r="AB100" s="63"/>
      <c r="AC100" s="63"/>
      <c r="AD100" s="36"/>
      <c r="AE100" s="31"/>
      <c r="AF100" s="9"/>
      <c r="AG100" s="6"/>
      <c r="AH100" s="6"/>
      <c r="AI100" s="6"/>
      <c r="AJ100" s="36"/>
      <c r="AK100" s="31"/>
      <c r="AL100" s="9"/>
      <c r="AM100" s="6"/>
      <c r="AN100" s="6"/>
      <c r="AO100" s="6"/>
      <c r="AP100" s="36"/>
    </row>
    <row r="101" spans="1:42">
      <c r="A101" s="30">
        <v>94</v>
      </c>
      <c r="B101" s="146"/>
      <c r="C101" s="144" t="s">
        <v>553</v>
      </c>
      <c r="D101" s="27"/>
      <c r="E101" s="27"/>
      <c r="F101" s="27"/>
      <c r="G101" s="27"/>
      <c r="H101" s="133" t="s">
        <v>570</v>
      </c>
      <c r="I101" s="181"/>
      <c r="J101" s="138"/>
      <c r="K101" s="117"/>
      <c r="L101" s="6"/>
      <c r="M101" s="6"/>
      <c r="N101" s="6"/>
      <c r="O101" s="44"/>
      <c r="P101" s="44"/>
      <c r="Q101" s="44"/>
      <c r="R101" s="53"/>
      <c r="S101" s="44"/>
      <c r="T101" s="44"/>
      <c r="U101" s="44"/>
      <c r="V101" s="53"/>
      <c r="W101" s="31"/>
      <c r="X101" s="9"/>
      <c r="Y101" s="11"/>
      <c r="Z101" s="11"/>
      <c r="AA101" s="63"/>
      <c r="AB101" s="63"/>
      <c r="AC101" s="63"/>
      <c r="AD101" s="36"/>
      <c r="AE101" s="31"/>
      <c r="AF101" s="9"/>
      <c r="AG101" s="6"/>
      <c r="AH101" s="6"/>
      <c r="AI101" s="6"/>
      <c r="AJ101" s="36"/>
      <c r="AK101" s="31"/>
      <c r="AL101" s="9"/>
      <c r="AM101" s="6"/>
      <c r="AN101" s="6"/>
      <c r="AO101" s="6"/>
      <c r="AP101" s="36"/>
    </row>
    <row r="102" spans="1:42" ht="20.100000000000001" customHeight="1">
      <c r="A102" s="30">
        <v>95</v>
      </c>
      <c r="B102" s="146"/>
      <c r="C102" s="144" t="s">
        <v>1825</v>
      </c>
      <c r="D102" s="27"/>
      <c r="E102" s="27"/>
      <c r="F102" s="27"/>
      <c r="G102" s="27"/>
      <c r="H102" s="70" t="s">
        <v>1363</v>
      </c>
      <c r="I102" s="177" t="s">
        <v>839</v>
      </c>
      <c r="J102" s="137" t="s">
        <v>1862</v>
      </c>
      <c r="K102" s="117"/>
      <c r="L102" s="6"/>
      <c r="M102" s="6"/>
      <c r="N102" s="6"/>
      <c r="O102" s="44"/>
      <c r="P102" s="44"/>
      <c r="Q102" s="44"/>
      <c r="R102" s="53"/>
      <c r="S102" s="44"/>
      <c r="T102" s="44"/>
      <c r="U102" s="44"/>
      <c r="V102" s="53"/>
      <c r="W102" s="31"/>
      <c r="X102" s="9"/>
      <c r="Y102" s="11"/>
      <c r="Z102" s="11"/>
      <c r="AA102" s="63"/>
      <c r="AB102" s="63"/>
      <c r="AC102" s="63"/>
      <c r="AD102" s="36"/>
      <c r="AE102" s="31"/>
      <c r="AF102" s="9"/>
      <c r="AG102" s="6"/>
      <c r="AH102" s="6"/>
      <c r="AI102" s="6"/>
      <c r="AJ102" s="36"/>
      <c r="AK102" s="31"/>
      <c r="AL102" s="9"/>
      <c r="AM102" s="6"/>
      <c r="AN102" s="6"/>
      <c r="AO102" s="6"/>
      <c r="AP102" s="36"/>
    </row>
    <row r="103" spans="1:42">
      <c r="A103" s="30">
        <v>96</v>
      </c>
      <c r="B103" s="146"/>
      <c r="C103" s="144" t="s">
        <v>2027</v>
      </c>
      <c r="D103" s="27"/>
      <c r="E103" s="27"/>
      <c r="F103" s="27"/>
      <c r="G103" s="27"/>
      <c r="H103" s="70" t="s">
        <v>1405</v>
      </c>
      <c r="I103" s="177" t="s">
        <v>1381</v>
      </c>
      <c r="J103" s="137" t="s">
        <v>1862</v>
      </c>
      <c r="K103" s="117"/>
      <c r="L103" s="6"/>
      <c r="M103" s="6"/>
      <c r="N103" s="6"/>
      <c r="O103" s="44"/>
      <c r="P103" s="44"/>
      <c r="Q103" s="44"/>
      <c r="R103" s="53"/>
      <c r="S103" s="44"/>
      <c r="T103" s="44"/>
      <c r="U103" s="44"/>
      <c r="V103" s="53"/>
      <c r="W103" s="31"/>
      <c r="X103" s="9"/>
      <c r="Y103" s="11"/>
      <c r="Z103" s="11"/>
      <c r="AA103" s="63"/>
      <c r="AB103" s="63"/>
      <c r="AC103" s="63"/>
      <c r="AD103" s="36"/>
      <c r="AE103" s="31"/>
      <c r="AF103" s="9"/>
      <c r="AG103" s="6"/>
      <c r="AH103" s="6"/>
      <c r="AI103" s="6"/>
      <c r="AJ103" s="36"/>
      <c r="AK103" s="31"/>
      <c r="AL103" s="9"/>
      <c r="AM103" s="6"/>
      <c r="AN103" s="6"/>
      <c r="AO103" s="6"/>
      <c r="AP103" s="36"/>
    </row>
    <row r="104" spans="1:42">
      <c r="A104" s="30">
        <v>97</v>
      </c>
      <c r="B104" s="146"/>
      <c r="C104" s="144" t="s">
        <v>1665</v>
      </c>
      <c r="D104" s="27"/>
      <c r="E104" s="27"/>
      <c r="F104" s="27"/>
      <c r="G104" s="27"/>
      <c r="H104" s="70" t="s">
        <v>1666</v>
      </c>
      <c r="I104" s="177" t="s">
        <v>869</v>
      </c>
      <c r="J104" s="138"/>
      <c r="K104" s="117"/>
      <c r="L104" s="6"/>
      <c r="M104" s="6"/>
      <c r="N104" s="6"/>
      <c r="O104" s="44"/>
      <c r="P104" s="44"/>
      <c r="Q104" s="44"/>
      <c r="R104" s="53"/>
      <c r="S104" s="44"/>
      <c r="T104" s="44"/>
      <c r="U104" s="44"/>
      <c r="V104" s="53"/>
      <c r="W104" s="31"/>
      <c r="X104" s="9"/>
      <c r="Y104" s="11"/>
      <c r="Z104" s="11"/>
      <c r="AA104" s="63"/>
      <c r="AB104" s="63"/>
      <c r="AC104" s="63"/>
      <c r="AD104" s="36"/>
      <c r="AE104" s="31"/>
      <c r="AF104" s="9"/>
      <c r="AG104" s="6"/>
      <c r="AH104" s="6"/>
      <c r="AI104" s="6"/>
      <c r="AJ104" s="36"/>
      <c r="AK104" s="31"/>
      <c r="AL104" s="9"/>
      <c r="AM104" s="6"/>
      <c r="AN104" s="6"/>
      <c r="AO104" s="6"/>
      <c r="AP104" s="36"/>
    </row>
    <row r="105" spans="1:42">
      <c r="A105" s="30">
        <v>98</v>
      </c>
      <c r="B105" s="146"/>
      <c r="C105" s="144" t="s">
        <v>2082</v>
      </c>
      <c r="D105" s="27"/>
      <c r="E105" s="27"/>
      <c r="F105" s="27"/>
      <c r="G105" s="27"/>
      <c r="H105" s="70" t="s">
        <v>1601</v>
      </c>
      <c r="I105" s="177" t="s">
        <v>1602</v>
      </c>
      <c r="J105" s="138"/>
      <c r="K105" s="117"/>
      <c r="L105" s="6"/>
      <c r="M105" s="6"/>
      <c r="N105" s="6"/>
      <c r="O105" s="44"/>
      <c r="P105" s="44"/>
      <c r="Q105" s="44"/>
      <c r="R105" s="53"/>
      <c r="S105" s="44"/>
      <c r="T105" s="44"/>
      <c r="U105" s="44"/>
      <c r="V105" s="53"/>
      <c r="W105" s="31"/>
      <c r="X105" s="9"/>
      <c r="Y105" s="11"/>
      <c r="Z105" s="11"/>
      <c r="AA105" s="63"/>
      <c r="AB105" s="63"/>
      <c r="AC105" s="63"/>
      <c r="AD105" s="36"/>
      <c r="AE105" s="31"/>
      <c r="AF105" s="9"/>
      <c r="AG105" s="6"/>
      <c r="AH105" s="6"/>
      <c r="AI105" s="6"/>
      <c r="AJ105" s="36"/>
      <c r="AK105" s="31"/>
      <c r="AL105" s="9"/>
      <c r="AM105" s="6"/>
      <c r="AN105" s="6"/>
      <c r="AO105" s="6"/>
      <c r="AP105" s="36"/>
    </row>
    <row r="106" spans="1:42">
      <c r="A106" s="30">
        <v>99</v>
      </c>
      <c r="B106" s="146"/>
      <c r="C106" s="144" t="s">
        <v>1490</v>
      </c>
      <c r="D106" s="27"/>
      <c r="E106" s="27"/>
      <c r="F106" s="27"/>
      <c r="G106" s="27"/>
      <c r="H106" s="70" t="s">
        <v>2129</v>
      </c>
      <c r="I106" s="177" t="s">
        <v>869</v>
      </c>
      <c r="J106" s="138" t="s">
        <v>2130</v>
      </c>
      <c r="K106" s="117"/>
      <c r="L106" s="6"/>
      <c r="M106" s="6"/>
      <c r="N106" s="6"/>
      <c r="O106" s="44"/>
      <c r="P106" s="44"/>
      <c r="Q106" s="44"/>
      <c r="R106" s="53"/>
      <c r="S106" s="44"/>
      <c r="T106" s="44"/>
      <c r="U106" s="44"/>
      <c r="V106" s="53"/>
      <c r="W106" s="31"/>
      <c r="X106" s="9"/>
      <c r="Y106" s="11"/>
      <c r="Z106" s="11"/>
      <c r="AA106" s="63"/>
      <c r="AB106" s="63"/>
      <c r="AC106" s="63"/>
      <c r="AD106" s="36"/>
      <c r="AE106" s="31"/>
      <c r="AF106" s="9"/>
      <c r="AG106" s="6"/>
      <c r="AH106" s="6"/>
      <c r="AI106" s="6"/>
      <c r="AJ106" s="36"/>
      <c r="AK106" s="31"/>
      <c r="AL106" s="9"/>
      <c r="AM106" s="6"/>
      <c r="AN106" s="6"/>
      <c r="AO106" s="6"/>
      <c r="AP106" s="36"/>
    </row>
    <row r="107" spans="1:42">
      <c r="A107" s="30">
        <v>100</v>
      </c>
      <c r="B107" s="146"/>
      <c r="C107" s="144" t="s">
        <v>1668</v>
      </c>
      <c r="D107" s="27"/>
      <c r="E107" s="27"/>
      <c r="F107" s="27"/>
      <c r="G107" s="27"/>
      <c r="H107" s="70" t="s">
        <v>2131</v>
      </c>
      <c r="I107" s="177" t="s">
        <v>835</v>
      </c>
      <c r="J107" s="138" t="s">
        <v>2130</v>
      </c>
      <c r="K107" s="117"/>
      <c r="L107" s="6"/>
      <c r="M107" s="6"/>
      <c r="N107" s="6"/>
      <c r="O107" s="44"/>
      <c r="P107" s="44"/>
      <c r="Q107" s="44"/>
      <c r="R107" s="53"/>
      <c r="S107" s="44"/>
      <c r="T107" s="44"/>
      <c r="U107" s="44"/>
      <c r="V107" s="53"/>
      <c r="W107" s="31"/>
      <c r="X107" s="9"/>
      <c r="Y107" s="11"/>
      <c r="Z107" s="11"/>
      <c r="AA107" s="63"/>
      <c r="AB107" s="63"/>
      <c r="AC107" s="63"/>
      <c r="AD107" s="36"/>
      <c r="AE107" s="31"/>
      <c r="AF107" s="9"/>
      <c r="AG107" s="6"/>
      <c r="AH107" s="6"/>
      <c r="AI107" s="6"/>
      <c r="AJ107" s="36"/>
      <c r="AK107" s="31"/>
      <c r="AL107" s="9"/>
      <c r="AM107" s="6"/>
      <c r="AN107" s="6"/>
      <c r="AO107" s="6"/>
      <c r="AP107" s="36"/>
    </row>
    <row r="108" spans="1:42">
      <c r="A108" s="30">
        <v>101</v>
      </c>
      <c r="B108" s="146"/>
      <c r="C108" s="144" t="s">
        <v>546</v>
      </c>
      <c r="D108" s="27"/>
      <c r="E108" s="27"/>
      <c r="F108" s="27"/>
      <c r="G108" s="27"/>
      <c r="H108" s="70" t="s">
        <v>1113</v>
      </c>
      <c r="I108" s="177" t="s">
        <v>826</v>
      </c>
      <c r="J108" s="137"/>
      <c r="K108" s="29"/>
      <c r="L108" s="11">
        <v>24600</v>
      </c>
      <c r="M108" s="11">
        <v>1230</v>
      </c>
      <c r="N108" s="11">
        <v>25830</v>
      </c>
      <c r="O108" s="44">
        <f>E108</f>
        <v>0</v>
      </c>
      <c r="P108" s="44">
        <f>D108</f>
        <v>0</v>
      </c>
      <c r="Q108" s="44">
        <f>D108</f>
        <v>0</v>
      </c>
      <c r="R108" s="53" t="s">
        <v>70</v>
      </c>
      <c r="S108" s="44">
        <f>E108</f>
        <v>0</v>
      </c>
      <c r="T108" s="44">
        <f>D108</f>
        <v>0</v>
      </c>
      <c r="U108" s="44">
        <f>D108</f>
        <v>0</v>
      </c>
      <c r="V108" s="53"/>
      <c r="W108" s="31">
        <v>204418</v>
      </c>
      <c r="X108" s="9" t="str">
        <f>IFERROR(INDEX([1]Sheet1!$A$2:$X$1948,MATCH($W$2:$W$268,[1]Sheet1!$G$2:$G$1948,0),8),"")</f>
        <v>무우(특품 9~12개입 18Kg/BOX)</v>
      </c>
      <c r="Y108" s="11">
        <v>18000</v>
      </c>
      <c r="Z108" s="11"/>
      <c r="AA108" s="63">
        <v>30</v>
      </c>
      <c r="AB108" s="63" t="e">
        <f>T108*AD108</f>
        <v>#DIV/0!</v>
      </c>
      <c r="AC108" s="63" t="e">
        <f>U108*AD108</f>
        <v>#DIV/0!</v>
      </c>
      <c r="AD108" s="36" t="e">
        <f>AA108/E108</f>
        <v>#DIV/0!</v>
      </c>
      <c r="AE108" s="31">
        <v>317997</v>
      </c>
      <c r="AF108" s="9" t="str">
        <f>IFERROR(INDEX([1]Sheet1!$A$2:$X$1948,MATCH($AE$2:$AE$268,[1]Sheet1!$G$2:$G$1948,0),8),"")</f>
        <v>바지락살(자숙_100/200 250g/EA)</v>
      </c>
      <c r="AG108" s="6">
        <v>15</v>
      </c>
      <c r="AH108" s="6" t="e">
        <f>P108*AJ108</f>
        <v>#DIV/0!</v>
      </c>
      <c r="AI108" s="6" t="e">
        <f>Q108*AJ108</f>
        <v>#DIV/0!</v>
      </c>
      <c r="AJ108" s="36" t="e">
        <f>AG108/$E108</f>
        <v>#DIV/0!</v>
      </c>
      <c r="AK108" s="31"/>
      <c r="AL108" s="9">
        <f>IFERROR(INDEX([1]Sheet1!$A$2:$X$1948,MATCH($AK$2:$AK$268,[1]Sheet1!$G$2:$G$1948,0),8),"")</f>
        <v>0</v>
      </c>
      <c r="AM108" s="6"/>
      <c r="AN108" s="6"/>
      <c r="AO108" s="6"/>
      <c r="AP108" s="36"/>
    </row>
    <row r="109" spans="1:42" ht="27">
      <c r="A109" s="30">
        <v>102</v>
      </c>
      <c r="B109" s="146"/>
      <c r="C109" s="164" t="s">
        <v>1006</v>
      </c>
      <c r="D109" s="27"/>
      <c r="E109" s="27"/>
      <c r="F109" s="27"/>
      <c r="G109" s="27"/>
      <c r="H109" s="70" t="s">
        <v>1007</v>
      </c>
      <c r="I109" s="177" t="s">
        <v>968</v>
      </c>
      <c r="J109" s="138" t="s">
        <v>653</v>
      </c>
      <c r="K109" s="117"/>
      <c r="L109" s="6"/>
      <c r="M109" s="6"/>
      <c r="N109" s="6"/>
      <c r="O109" s="44">
        <f>E109</f>
        <v>0</v>
      </c>
      <c r="P109" s="44">
        <f>D109</f>
        <v>0</v>
      </c>
      <c r="Q109" s="44">
        <f>D109</f>
        <v>0</v>
      </c>
      <c r="R109" s="53" t="s">
        <v>70</v>
      </c>
      <c r="S109" s="44">
        <f>E109</f>
        <v>0</v>
      </c>
      <c r="T109" s="44">
        <f>D109</f>
        <v>0</v>
      </c>
      <c r="U109" s="44">
        <f>D109</f>
        <v>0</v>
      </c>
      <c r="V109" s="53"/>
      <c r="W109" s="31">
        <v>313570</v>
      </c>
      <c r="X109" s="9" t="str">
        <f>IFERROR(INDEX([1]Sheet1!$A$2:$X$1948,MATCH($W$2:$W$268,[1]Sheet1!$G$2:$G$1948,0),8),"")</f>
        <v>프레시웨이 북어채(1Kg/EA)</v>
      </c>
      <c r="Y109" s="11">
        <v>1000</v>
      </c>
      <c r="Z109" s="11"/>
      <c r="AA109" s="63">
        <v>5</v>
      </c>
      <c r="AB109" s="63" t="e">
        <f>T109*AD109</f>
        <v>#DIV/0!</v>
      </c>
      <c r="AC109" s="63" t="e">
        <f>U109*AD109</f>
        <v>#DIV/0!</v>
      </c>
      <c r="AD109" s="36" t="e">
        <f>AA109/E109</f>
        <v>#DIV/0!</v>
      </c>
      <c r="AE109" s="31">
        <v>168257</v>
      </c>
      <c r="AF109" s="9" t="str">
        <f>IFERROR(INDEX([1]Sheet1!$A$2:$X$1948,MATCH($AE$2:$AE$268,[1]Sheet1!$G$2:$G$1948,0),8),"")</f>
        <v>명품 판두부(찌개용 3Kg/EA)</v>
      </c>
      <c r="AG109" s="6"/>
      <c r="AH109" s="6" t="e">
        <f>P109*AJ109</f>
        <v>#DIV/0!</v>
      </c>
      <c r="AI109" s="6" t="e">
        <f>Q109*AJ109</f>
        <v>#DIV/0!</v>
      </c>
      <c r="AJ109" s="36" t="e">
        <f>AG109/$E109</f>
        <v>#DIV/0!</v>
      </c>
      <c r="AK109" s="31"/>
      <c r="AL109" s="9">
        <f>IFERROR(INDEX([1]Sheet1!$A$2:$X$1948,MATCH($AK$2:$AK$268,[1]Sheet1!$G$2:$G$1948,0),8),"")</f>
        <v>0</v>
      </c>
      <c r="AM109" s="6"/>
      <c r="AN109" s="6"/>
      <c r="AO109" s="6"/>
      <c r="AP109" s="36"/>
    </row>
    <row r="110" spans="1:42">
      <c r="A110" s="30"/>
      <c r="B110" s="146"/>
      <c r="C110" s="164" t="s">
        <v>1690</v>
      </c>
      <c r="D110" s="27"/>
      <c r="E110" s="27"/>
      <c r="F110" s="27"/>
      <c r="G110" s="27"/>
      <c r="H110" s="70" t="s">
        <v>1689</v>
      </c>
      <c r="I110" s="177" t="s">
        <v>1688</v>
      </c>
      <c r="J110" s="138" t="s">
        <v>653</v>
      </c>
      <c r="K110" s="117"/>
      <c r="L110" s="6"/>
      <c r="M110" s="6"/>
      <c r="N110" s="6"/>
      <c r="O110" s="44"/>
      <c r="P110" s="44"/>
      <c r="Q110" s="44"/>
      <c r="R110" s="53"/>
      <c r="S110" s="44"/>
      <c r="T110" s="44"/>
      <c r="U110" s="44"/>
      <c r="V110" s="53"/>
      <c r="W110" s="31"/>
      <c r="X110" s="9"/>
      <c r="Y110" s="11"/>
      <c r="Z110" s="11"/>
      <c r="AA110" s="63"/>
      <c r="AB110" s="63"/>
      <c r="AC110" s="63"/>
      <c r="AD110" s="36"/>
      <c r="AE110" s="31"/>
      <c r="AF110" s="9"/>
      <c r="AG110" s="6"/>
      <c r="AH110" s="6"/>
      <c r="AI110" s="6"/>
      <c r="AJ110" s="36"/>
      <c r="AK110" s="31"/>
      <c r="AL110" s="9"/>
      <c r="AM110" s="6"/>
      <c r="AN110" s="6"/>
      <c r="AO110" s="6"/>
      <c r="AP110" s="36"/>
    </row>
    <row r="111" spans="1:42" ht="27">
      <c r="A111" s="30">
        <v>169</v>
      </c>
      <c r="B111" s="131"/>
      <c r="C111" s="144" t="s">
        <v>966</v>
      </c>
      <c r="D111" s="27"/>
      <c r="E111" s="27"/>
      <c r="F111" s="27"/>
      <c r="G111" s="27"/>
      <c r="H111" s="70" t="s">
        <v>967</v>
      </c>
      <c r="I111" s="177" t="s">
        <v>968</v>
      </c>
      <c r="J111" s="138" t="s">
        <v>653</v>
      </c>
      <c r="K111" s="117"/>
      <c r="L111" s="6">
        <v>25650</v>
      </c>
      <c r="M111" s="6">
        <v>1282.5</v>
      </c>
      <c r="N111" s="6">
        <v>26932.5</v>
      </c>
      <c r="O111" s="44"/>
      <c r="P111" s="44"/>
      <c r="Q111" s="44"/>
      <c r="R111" s="53"/>
      <c r="S111" s="44"/>
      <c r="T111" s="44"/>
      <c r="U111" s="44"/>
      <c r="V111" s="53"/>
      <c r="W111" s="31"/>
      <c r="X111" s="9"/>
      <c r="Y111" s="11"/>
      <c r="Z111" s="11"/>
      <c r="AA111" s="63"/>
      <c r="AB111" s="63"/>
      <c r="AC111" s="63"/>
      <c r="AD111" s="36"/>
      <c r="AE111" s="31"/>
      <c r="AF111" s="9"/>
      <c r="AG111" s="6"/>
      <c r="AH111" s="6"/>
      <c r="AI111" s="6"/>
      <c r="AJ111" s="36"/>
      <c r="AK111" s="31"/>
      <c r="AL111" s="9"/>
      <c r="AM111" s="6"/>
      <c r="AN111" s="6"/>
      <c r="AO111" s="6"/>
      <c r="AP111" s="36"/>
    </row>
    <row r="112" spans="1:42">
      <c r="A112" s="30">
        <v>103</v>
      </c>
      <c r="B112" s="131"/>
      <c r="C112" s="229" t="s">
        <v>350</v>
      </c>
      <c r="D112" s="27"/>
      <c r="E112" s="27"/>
      <c r="F112" s="27"/>
      <c r="G112" s="27"/>
      <c r="H112" s="70" t="s">
        <v>598</v>
      </c>
      <c r="I112" s="177" t="s">
        <v>901</v>
      </c>
      <c r="J112" s="137" t="s">
        <v>597</v>
      </c>
      <c r="K112" s="29"/>
      <c r="L112" s="11">
        <v>7200</v>
      </c>
      <c r="M112" s="11">
        <v>360</v>
      </c>
      <c r="N112" s="11">
        <v>7560</v>
      </c>
      <c r="O112" s="44"/>
      <c r="P112" s="44"/>
      <c r="Q112" s="44"/>
      <c r="R112" s="53"/>
      <c r="S112" s="45"/>
      <c r="T112" s="45"/>
      <c r="U112" s="45"/>
      <c r="V112" s="53"/>
      <c r="W112" s="31"/>
      <c r="X112" s="9"/>
      <c r="Y112" s="11"/>
      <c r="Z112" s="11"/>
      <c r="AA112" s="63"/>
      <c r="AB112" s="63"/>
      <c r="AC112" s="63"/>
      <c r="AD112" s="36"/>
      <c r="AE112" s="31"/>
      <c r="AF112" s="9"/>
      <c r="AG112" s="6"/>
      <c r="AH112" s="6"/>
      <c r="AI112" s="6"/>
      <c r="AJ112" s="36"/>
      <c r="AK112" s="31"/>
      <c r="AL112" s="9"/>
      <c r="AM112" s="6"/>
      <c r="AN112" s="6"/>
      <c r="AO112" s="6"/>
      <c r="AP112" s="36"/>
    </row>
    <row r="113" spans="1:42">
      <c r="A113" s="30">
        <v>104</v>
      </c>
      <c r="B113" s="131"/>
      <c r="C113" s="226" t="s">
        <v>1608</v>
      </c>
      <c r="D113" s="27"/>
      <c r="E113" s="27"/>
      <c r="F113" s="27"/>
      <c r="G113" s="27"/>
      <c r="H113" s="70" t="s">
        <v>725</v>
      </c>
      <c r="I113" s="177" t="s">
        <v>846</v>
      </c>
      <c r="J113" s="138"/>
      <c r="K113" s="29"/>
      <c r="L113" s="11"/>
      <c r="M113" s="11"/>
      <c r="N113" s="11"/>
      <c r="O113" s="44"/>
      <c r="P113" s="44"/>
      <c r="Q113" s="44"/>
      <c r="R113" s="53"/>
      <c r="S113" s="44"/>
      <c r="T113" s="46"/>
      <c r="U113" s="46"/>
      <c r="V113" s="53"/>
      <c r="W113" s="74"/>
      <c r="X113" s="9"/>
      <c r="Y113" s="11"/>
      <c r="Z113" s="11"/>
      <c r="AA113" s="63"/>
      <c r="AB113" s="63"/>
      <c r="AC113" s="63"/>
      <c r="AD113" s="36"/>
      <c r="AE113" s="31"/>
      <c r="AF113" s="75"/>
      <c r="AG113" s="6"/>
      <c r="AH113" s="6"/>
      <c r="AI113" s="6"/>
      <c r="AJ113" s="36"/>
      <c r="AK113" s="31"/>
      <c r="AL113" s="9"/>
      <c r="AM113" s="6"/>
      <c r="AN113" s="6"/>
      <c r="AO113" s="6"/>
      <c r="AP113" s="36"/>
    </row>
    <row r="114" spans="1:42">
      <c r="A114" s="30">
        <v>105</v>
      </c>
      <c r="B114" s="131"/>
      <c r="C114" s="226" t="s">
        <v>1605</v>
      </c>
      <c r="D114" s="27"/>
      <c r="E114" s="27"/>
      <c r="F114" s="27"/>
      <c r="G114" s="27"/>
      <c r="H114" s="70" t="s">
        <v>1606</v>
      </c>
      <c r="I114" s="177" t="s">
        <v>886</v>
      </c>
      <c r="J114" s="138"/>
      <c r="K114" s="117"/>
      <c r="L114" s="6"/>
      <c r="M114" s="6"/>
      <c r="N114" s="6"/>
      <c r="O114" s="44"/>
      <c r="P114" s="44"/>
      <c r="Q114" s="44"/>
      <c r="R114" s="53"/>
      <c r="S114" s="44"/>
      <c r="T114" s="44"/>
      <c r="U114" s="44"/>
      <c r="V114" s="53"/>
      <c r="W114" s="31"/>
      <c r="X114" s="9"/>
      <c r="Y114" s="11"/>
      <c r="Z114" s="11"/>
      <c r="AA114" s="63"/>
      <c r="AB114" s="63"/>
      <c r="AC114" s="63"/>
      <c r="AD114" s="36"/>
      <c r="AE114" s="31"/>
      <c r="AF114" s="9"/>
      <c r="AG114" s="6"/>
      <c r="AH114" s="6"/>
      <c r="AI114" s="6"/>
      <c r="AJ114" s="36"/>
      <c r="AK114" s="31"/>
      <c r="AL114" s="9"/>
      <c r="AM114" s="6"/>
      <c r="AN114" s="6"/>
      <c r="AO114" s="6"/>
      <c r="AP114" s="36"/>
    </row>
    <row r="115" spans="1:42" ht="16.5" customHeight="1">
      <c r="A115" s="30">
        <v>106</v>
      </c>
      <c r="B115" s="131"/>
      <c r="C115" s="226" t="s">
        <v>1587</v>
      </c>
      <c r="D115" s="27"/>
      <c r="E115" s="27"/>
      <c r="F115" s="27"/>
      <c r="G115" s="27"/>
      <c r="H115" s="70" t="s">
        <v>1588</v>
      </c>
      <c r="I115" s="177" t="s">
        <v>886</v>
      </c>
      <c r="J115" s="138"/>
      <c r="K115" s="117"/>
      <c r="L115" s="6"/>
      <c r="M115" s="6"/>
      <c r="N115" s="6"/>
      <c r="O115" s="44"/>
      <c r="P115" s="44"/>
      <c r="Q115" s="44"/>
      <c r="R115" s="53"/>
      <c r="S115" s="44"/>
      <c r="T115" s="44"/>
      <c r="U115" s="44"/>
      <c r="V115" s="53"/>
      <c r="W115" s="31"/>
      <c r="X115" s="9"/>
      <c r="Y115" s="11"/>
      <c r="Z115" s="11"/>
      <c r="AA115" s="63"/>
      <c r="AB115" s="63"/>
      <c r="AC115" s="63"/>
      <c r="AD115" s="36"/>
      <c r="AE115" s="31"/>
      <c r="AF115" s="9"/>
      <c r="AG115" s="6"/>
      <c r="AH115" s="6"/>
      <c r="AI115" s="6"/>
      <c r="AJ115" s="36"/>
      <c r="AK115" s="31"/>
      <c r="AL115" s="9"/>
      <c r="AM115" s="6"/>
      <c r="AN115" s="6"/>
      <c r="AO115" s="6"/>
      <c r="AP115" s="36"/>
    </row>
    <row r="116" spans="1:42">
      <c r="A116" s="30">
        <v>107</v>
      </c>
      <c r="B116" s="131"/>
      <c r="C116" s="226" t="s">
        <v>1010</v>
      </c>
      <c r="D116" s="27"/>
      <c r="E116" s="27"/>
      <c r="F116" s="27"/>
      <c r="G116" s="27"/>
      <c r="H116" s="70" t="s">
        <v>1289</v>
      </c>
      <c r="I116" s="177" t="s">
        <v>1011</v>
      </c>
      <c r="J116" s="137"/>
      <c r="K116" s="117"/>
      <c r="L116" s="6"/>
      <c r="M116" s="6"/>
      <c r="N116" s="6"/>
      <c r="O116" s="44"/>
      <c r="P116" s="44"/>
      <c r="Q116" s="44"/>
      <c r="R116" s="53"/>
      <c r="S116" s="44"/>
      <c r="T116" s="44"/>
      <c r="U116" s="44"/>
      <c r="V116" s="53"/>
      <c r="W116" s="31"/>
      <c r="X116" s="9"/>
      <c r="Y116" s="11"/>
      <c r="Z116" s="11"/>
      <c r="AA116" s="63"/>
      <c r="AB116" s="63"/>
      <c r="AC116" s="63"/>
      <c r="AD116" s="36"/>
      <c r="AE116" s="31"/>
      <c r="AF116" s="9"/>
      <c r="AG116" s="6"/>
      <c r="AH116" s="6"/>
      <c r="AI116" s="6"/>
      <c r="AJ116" s="36"/>
      <c r="AK116" s="31"/>
      <c r="AL116" s="9"/>
      <c r="AM116" s="6"/>
      <c r="AN116" s="6"/>
      <c r="AO116" s="6"/>
      <c r="AP116" s="36"/>
    </row>
    <row r="117" spans="1:42" ht="30" customHeight="1">
      <c r="A117" s="30">
        <v>108</v>
      </c>
      <c r="B117" s="131"/>
      <c r="C117" s="226" t="s">
        <v>1534</v>
      </c>
      <c r="D117" s="27"/>
      <c r="E117" s="27"/>
      <c r="F117" s="27"/>
      <c r="G117" s="27"/>
      <c r="H117" s="70" t="s">
        <v>1239</v>
      </c>
      <c r="I117" s="177" t="s">
        <v>993</v>
      </c>
      <c r="J117" s="138" t="s">
        <v>609</v>
      </c>
      <c r="K117" s="120"/>
      <c r="L117" s="6"/>
      <c r="M117" s="6"/>
      <c r="N117" s="6"/>
      <c r="O117" s="44"/>
      <c r="P117" s="44"/>
      <c r="Q117" s="44"/>
      <c r="R117" s="53"/>
      <c r="S117" s="44"/>
      <c r="T117" s="44"/>
      <c r="U117" s="44"/>
      <c r="V117" s="53"/>
      <c r="W117" s="74"/>
      <c r="X117" s="9"/>
      <c r="Y117" s="11"/>
      <c r="Z117" s="11"/>
      <c r="AA117" s="63"/>
      <c r="AB117" s="63"/>
      <c r="AC117" s="63"/>
      <c r="AD117" s="36"/>
      <c r="AE117" s="31"/>
      <c r="AF117" s="9"/>
      <c r="AG117" s="6"/>
      <c r="AH117" s="6"/>
      <c r="AI117" s="6"/>
      <c r="AJ117" s="36"/>
      <c r="AK117" s="31"/>
      <c r="AL117" s="9"/>
      <c r="AM117" s="6"/>
      <c r="AN117" s="6"/>
      <c r="AO117" s="6"/>
      <c r="AP117" s="36"/>
    </row>
    <row r="118" spans="1:42" ht="20.100000000000001" customHeight="1">
      <c r="A118" s="30">
        <v>109</v>
      </c>
      <c r="B118" s="131"/>
      <c r="C118" s="230" t="s">
        <v>1290</v>
      </c>
      <c r="D118" s="27"/>
      <c r="E118" s="27"/>
      <c r="F118" s="27"/>
      <c r="G118" s="27"/>
      <c r="H118" s="133" t="s">
        <v>1291</v>
      </c>
      <c r="I118" s="181" t="s">
        <v>905</v>
      </c>
      <c r="J118" s="138"/>
      <c r="K118" s="29"/>
      <c r="L118" s="11"/>
      <c r="M118" s="11"/>
      <c r="N118" s="11"/>
      <c r="O118" s="44"/>
      <c r="P118" s="44"/>
      <c r="Q118" s="44"/>
      <c r="R118" s="53"/>
      <c r="S118" s="44"/>
      <c r="T118" s="46"/>
      <c r="U118" s="46"/>
      <c r="V118" s="53"/>
      <c r="W118" s="34"/>
      <c r="X118" s="35"/>
      <c r="Y118" s="61"/>
      <c r="Z118" s="61"/>
      <c r="AA118" s="63"/>
      <c r="AB118" s="63"/>
      <c r="AC118" s="63"/>
      <c r="AD118" s="36"/>
      <c r="AE118" s="34"/>
      <c r="AF118" s="35"/>
      <c r="AG118" s="6"/>
      <c r="AH118" s="6"/>
      <c r="AI118" s="6"/>
      <c r="AJ118" s="36"/>
      <c r="AK118" s="34"/>
      <c r="AL118" s="35"/>
      <c r="AM118" s="6"/>
      <c r="AN118" s="6"/>
      <c r="AO118" s="6"/>
      <c r="AP118" s="36"/>
    </row>
    <row r="119" spans="1:42">
      <c r="A119" s="30">
        <v>149</v>
      </c>
      <c r="B119" s="131"/>
      <c r="C119" s="134" t="s">
        <v>1901</v>
      </c>
      <c r="D119" s="27"/>
      <c r="E119" s="27"/>
      <c r="F119" s="27"/>
      <c r="G119" s="27"/>
      <c r="H119" s="70" t="s">
        <v>1918</v>
      </c>
      <c r="I119" s="177" t="s">
        <v>905</v>
      </c>
      <c r="J119" s="137"/>
      <c r="K119" s="117"/>
      <c r="L119" s="6"/>
      <c r="M119" s="6"/>
      <c r="N119" s="6"/>
      <c r="O119" s="44"/>
      <c r="P119" s="44"/>
      <c r="Q119" s="44"/>
      <c r="R119" s="53"/>
      <c r="S119" s="44"/>
      <c r="T119" s="44"/>
      <c r="U119" s="44"/>
      <c r="V119" s="53"/>
      <c r="W119" s="31"/>
      <c r="X119" s="9"/>
      <c r="Y119" s="11"/>
      <c r="Z119" s="11"/>
      <c r="AA119" s="63"/>
      <c r="AB119" s="63"/>
      <c r="AC119" s="63"/>
      <c r="AD119" s="36"/>
      <c r="AE119" s="31"/>
      <c r="AF119" s="9"/>
      <c r="AG119" s="6"/>
      <c r="AH119" s="6"/>
      <c r="AI119" s="6"/>
      <c r="AJ119" s="36"/>
      <c r="AK119" s="31"/>
      <c r="AL119" s="9"/>
      <c r="AM119" s="6"/>
      <c r="AN119" s="6"/>
      <c r="AO119" s="6"/>
      <c r="AP119" s="36"/>
    </row>
    <row r="120" spans="1:42" ht="30" customHeight="1">
      <c r="A120" s="30">
        <v>110</v>
      </c>
      <c r="B120" s="131"/>
      <c r="C120" s="231" t="s">
        <v>1820</v>
      </c>
      <c r="D120" s="27"/>
      <c r="E120" s="27"/>
      <c r="F120" s="27"/>
      <c r="G120" s="27"/>
      <c r="H120" s="70" t="s">
        <v>1557</v>
      </c>
      <c r="I120" s="177" t="s">
        <v>893</v>
      </c>
      <c r="J120" s="138" t="s">
        <v>816</v>
      </c>
      <c r="K120" s="117"/>
      <c r="L120" s="6">
        <v>19920</v>
      </c>
      <c r="M120" s="6">
        <v>996</v>
      </c>
      <c r="N120" s="6">
        <v>20916</v>
      </c>
      <c r="O120" s="44"/>
      <c r="P120" s="44"/>
      <c r="Q120" s="44"/>
      <c r="R120" s="53"/>
      <c r="S120" s="44"/>
      <c r="T120" s="44"/>
      <c r="U120" s="44"/>
      <c r="V120" s="53"/>
      <c r="W120" s="31"/>
      <c r="X120" s="9"/>
      <c r="Y120" s="11"/>
      <c r="Z120" s="11"/>
      <c r="AA120" s="63"/>
      <c r="AB120" s="63"/>
      <c r="AC120" s="63"/>
      <c r="AD120" s="36"/>
      <c r="AE120" s="31"/>
      <c r="AF120" s="9"/>
      <c r="AG120" s="6"/>
      <c r="AH120" s="6"/>
      <c r="AI120" s="6"/>
      <c r="AJ120" s="36"/>
      <c r="AK120" s="31"/>
      <c r="AL120" s="9"/>
      <c r="AM120" s="6"/>
      <c r="AN120" s="6"/>
      <c r="AO120" s="6"/>
      <c r="AP120" s="36"/>
    </row>
    <row r="121" spans="1:42" ht="18" customHeight="1">
      <c r="A121" s="30"/>
      <c r="B121" s="131"/>
      <c r="C121" s="231" t="s">
        <v>815</v>
      </c>
      <c r="D121" s="27"/>
      <c r="E121" s="27"/>
      <c r="F121" s="27"/>
      <c r="G121" s="27"/>
      <c r="H121" s="70" t="s">
        <v>2029</v>
      </c>
      <c r="I121" s="177" t="s">
        <v>893</v>
      </c>
      <c r="J121" s="138" t="s">
        <v>816</v>
      </c>
      <c r="K121" s="117"/>
      <c r="L121" s="6"/>
      <c r="M121" s="6"/>
      <c r="N121" s="6"/>
      <c r="O121" s="44"/>
      <c r="P121" s="44"/>
      <c r="Q121" s="44"/>
      <c r="R121" s="53"/>
      <c r="S121" s="44"/>
      <c r="T121" s="44"/>
      <c r="U121" s="44"/>
      <c r="V121" s="53"/>
      <c r="W121" s="31"/>
      <c r="X121" s="9"/>
      <c r="Y121" s="11"/>
      <c r="Z121" s="11"/>
      <c r="AA121" s="63"/>
      <c r="AB121" s="63"/>
      <c r="AC121" s="63"/>
      <c r="AD121" s="36"/>
      <c r="AE121" s="31"/>
      <c r="AF121" s="9"/>
      <c r="AG121" s="6"/>
      <c r="AH121" s="6"/>
      <c r="AI121" s="6"/>
      <c r="AJ121" s="36"/>
      <c r="AK121" s="31"/>
      <c r="AL121" s="9"/>
      <c r="AM121" s="6"/>
      <c r="AN121" s="6"/>
      <c r="AO121" s="6"/>
      <c r="AP121" s="36"/>
    </row>
    <row r="122" spans="1:42">
      <c r="A122" s="30">
        <v>111</v>
      </c>
      <c r="B122" s="131"/>
      <c r="C122" s="226" t="s">
        <v>1745</v>
      </c>
      <c r="D122" s="27"/>
      <c r="E122" s="27"/>
      <c r="F122" s="27"/>
      <c r="G122" s="27"/>
      <c r="H122" s="70" t="s">
        <v>1048</v>
      </c>
      <c r="I122" s="177" t="s">
        <v>905</v>
      </c>
      <c r="J122" s="138"/>
      <c r="K122" s="117"/>
      <c r="L122" s="6"/>
      <c r="M122" s="6"/>
      <c r="N122" s="6"/>
      <c r="O122" s="44"/>
      <c r="P122" s="44"/>
      <c r="Q122" s="44"/>
      <c r="R122" s="53"/>
      <c r="S122" s="45"/>
      <c r="T122" s="45"/>
      <c r="U122" s="45"/>
      <c r="V122" s="53"/>
      <c r="W122" s="31"/>
      <c r="X122" s="9"/>
      <c r="Y122" s="11"/>
      <c r="Z122" s="11"/>
      <c r="AA122" s="64"/>
      <c r="AB122" s="64"/>
      <c r="AC122" s="64"/>
      <c r="AD122" s="36"/>
      <c r="AE122" s="31"/>
      <c r="AF122" s="9"/>
      <c r="AG122" s="6"/>
      <c r="AH122" s="6"/>
      <c r="AI122" s="6"/>
      <c r="AJ122" s="36"/>
      <c r="AK122" s="31"/>
      <c r="AL122" s="9"/>
      <c r="AM122" s="6"/>
      <c r="AN122" s="6"/>
      <c r="AO122" s="6"/>
      <c r="AP122" s="36"/>
    </row>
    <row r="123" spans="1:42">
      <c r="A123" s="30"/>
      <c r="B123" s="131"/>
      <c r="C123" s="226" t="s">
        <v>1839</v>
      </c>
      <c r="D123" s="27"/>
      <c r="E123" s="27"/>
      <c r="F123" s="27"/>
      <c r="G123" s="27"/>
      <c r="H123" s="70" t="s">
        <v>1840</v>
      </c>
      <c r="I123" s="181" t="s">
        <v>1657</v>
      </c>
      <c r="J123" s="137" t="s">
        <v>1658</v>
      </c>
      <c r="K123" s="117"/>
      <c r="L123" s="6"/>
      <c r="M123" s="6"/>
      <c r="N123" s="6"/>
      <c r="O123" s="44"/>
      <c r="P123" s="44"/>
      <c r="Q123" s="44"/>
      <c r="R123" s="53"/>
      <c r="S123" s="45"/>
      <c r="T123" s="45"/>
      <c r="U123" s="45"/>
      <c r="V123" s="53"/>
      <c r="W123" s="31"/>
      <c r="X123" s="9"/>
      <c r="Y123" s="11"/>
      <c r="Z123" s="11"/>
      <c r="AA123" s="64"/>
      <c r="AB123" s="64"/>
      <c r="AC123" s="64"/>
      <c r="AD123" s="36"/>
      <c r="AE123" s="31"/>
      <c r="AF123" s="9"/>
      <c r="AG123" s="6"/>
      <c r="AH123" s="6"/>
      <c r="AI123" s="6"/>
      <c r="AJ123" s="36"/>
      <c r="AK123" s="31"/>
      <c r="AL123" s="9"/>
      <c r="AM123" s="6"/>
      <c r="AN123" s="6"/>
      <c r="AO123" s="6"/>
      <c r="AP123" s="36"/>
    </row>
    <row r="124" spans="1:42">
      <c r="A124" s="30">
        <v>112</v>
      </c>
      <c r="B124" s="131"/>
      <c r="C124" s="226" t="s">
        <v>1279</v>
      </c>
      <c r="D124" s="27"/>
      <c r="E124" s="27"/>
      <c r="F124" s="27"/>
      <c r="G124" s="27"/>
      <c r="H124" s="145" t="s">
        <v>741</v>
      </c>
      <c r="I124" s="179" t="s">
        <v>846</v>
      </c>
      <c r="J124" s="136"/>
      <c r="K124" s="117"/>
      <c r="L124" s="6">
        <v>25000</v>
      </c>
      <c r="M124" s="6">
        <v>1250</v>
      </c>
      <c r="N124" s="6">
        <v>26250</v>
      </c>
      <c r="O124" s="44">
        <f>E124</f>
        <v>0</v>
      </c>
      <c r="P124" s="44">
        <f>D124</f>
        <v>0</v>
      </c>
      <c r="Q124" s="44">
        <f>D124</f>
        <v>0</v>
      </c>
      <c r="R124" s="53" t="s">
        <v>70</v>
      </c>
      <c r="S124" s="44">
        <f>E124</f>
        <v>0</v>
      </c>
      <c r="T124" s="44">
        <f>D124</f>
        <v>0</v>
      </c>
      <c r="U124" s="44">
        <f>D124</f>
        <v>0</v>
      </c>
      <c r="V124" s="53"/>
      <c r="W124" s="31">
        <v>219387</v>
      </c>
      <c r="X124" s="9" t="str">
        <f>IFERROR(INDEX([1]Sheet1!$A$2:$X$1948,MATCH($W$2:$W$268,[1]Sheet1!$G$2:$G$1948,0),8),"")</f>
        <v>냉동배추우거지(1Kg/EA)</v>
      </c>
      <c r="Y124" s="11">
        <v>1000</v>
      </c>
      <c r="Z124" s="11"/>
      <c r="AA124" s="63">
        <v>30</v>
      </c>
      <c r="AB124" s="63" t="e">
        <f>T124*AD124</f>
        <v>#DIV/0!</v>
      </c>
      <c r="AC124" s="63" t="e">
        <f>U124*AD124</f>
        <v>#DIV/0!</v>
      </c>
      <c r="AD124" s="36" t="e">
        <f>AA124/E124</f>
        <v>#DIV/0!</v>
      </c>
      <c r="AE124" s="31">
        <v>424285</v>
      </c>
      <c r="AF124" s="9" t="str">
        <f>IFERROR(INDEX([1]Sheet1!$A$2:$X$1948,MATCH($AE$2:$AE$268,[1]Sheet1!$G$2:$G$1948,0),8),"")</f>
        <v>소양지(3*2*0.3cm_저지방 키즈용_국거리용 KG)</v>
      </c>
      <c r="AG124" s="6">
        <v>14</v>
      </c>
      <c r="AH124" s="6" t="e">
        <f>P124*AJ124</f>
        <v>#DIV/0!</v>
      </c>
      <c r="AI124" s="6" t="e">
        <f>Q124*AJ124</f>
        <v>#DIV/0!</v>
      </c>
      <c r="AJ124" s="36" t="e">
        <f>AG124/$E124</f>
        <v>#DIV/0!</v>
      </c>
      <c r="AK124" s="31"/>
      <c r="AL124" s="9">
        <f>IFERROR(INDEX([1]Sheet1!$A$2:$X$1948,MATCH($AK$2:$AK$268,[1]Sheet1!$G$2:$G$1948,0),8),"")</f>
        <v>0</v>
      </c>
      <c r="AM124" s="6"/>
      <c r="AN124" s="6"/>
      <c r="AO124" s="6"/>
      <c r="AP124" s="36"/>
    </row>
    <row r="125" spans="1:42">
      <c r="A125" s="30">
        <v>113</v>
      </c>
      <c r="B125" s="131"/>
      <c r="C125" s="231" t="s">
        <v>686</v>
      </c>
      <c r="D125" s="27"/>
      <c r="E125" s="27"/>
      <c r="F125" s="27"/>
      <c r="G125" s="27"/>
      <c r="H125" s="70" t="s">
        <v>1377</v>
      </c>
      <c r="I125" s="177" t="s">
        <v>1923</v>
      </c>
      <c r="J125" s="138" t="s">
        <v>1089</v>
      </c>
      <c r="K125" s="29"/>
      <c r="L125" s="11"/>
      <c r="M125" s="11"/>
      <c r="N125" s="11"/>
      <c r="O125" s="44"/>
      <c r="P125" s="44"/>
      <c r="Q125" s="44"/>
      <c r="R125" s="53"/>
      <c r="S125" s="44"/>
      <c r="T125" s="46"/>
      <c r="U125" s="46"/>
      <c r="V125" s="53"/>
      <c r="W125" s="74"/>
      <c r="X125" s="9"/>
      <c r="Y125" s="11"/>
      <c r="Z125" s="11"/>
      <c r="AA125" s="63"/>
      <c r="AB125" s="63"/>
      <c r="AC125" s="63"/>
      <c r="AD125" s="36"/>
      <c r="AE125" s="31"/>
      <c r="AF125" s="9"/>
      <c r="AG125" s="6"/>
      <c r="AH125" s="6"/>
      <c r="AI125" s="6"/>
      <c r="AJ125" s="36"/>
      <c r="AK125" s="31"/>
      <c r="AL125" s="9"/>
      <c r="AM125" s="6"/>
      <c r="AN125" s="6"/>
      <c r="AO125" s="6"/>
      <c r="AP125" s="36"/>
    </row>
    <row r="126" spans="1:42">
      <c r="A126" s="30">
        <v>114</v>
      </c>
      <c r="B126" s="131"/>
      <c r="C126" s="226" t="s">
        <v>1146</v>
      </c>
      <c r="D126" s="27"/>
      <c r="E126" s="27"/>
      <c r="F126" s="27"/>
      <c r="G126" s="27"/>
      <c r="H126" s="133" t="s">
        <v>1294</v>
      </c>
      <c r="I126" s="181" t="s">
        <v>895</v>
      </c>
      <c r="J126" s="137" t="s">
        <v>1919</v>
      </c>
      <c r="K126" s="29"/>
      <c r="L126" s="11"/>
      <c r="M126" s="11"/>
      <c r="N126" s="11"/>
      <c r="O126" s="44"/>
      <c r="P126" s="44"/>
      <c r="Q126" s="44"/>
      <c r="R126" s="53"/>
      <c r="S126" s="44"/>
      <c r="T126" s="46"/>
      <c r="U126" s="46"/>
      <c r="V126" s="53"/>
      <c r="W126" s="31"/>
      <c r="X126" s="9"/>
      <c r="Y126" s="11"/>
      <c r="Z126" s="11"/>
      <c r="AA126" s="63"/>
      <c r="AB126" s="63"/>
      <c r="AC126" s="63"/>
      <c r="AD126" s="36"/>
      <c r="AE126" s="31"/>
      <c r="AF126" s="9"/>
      <c r="AG126" s="6"/>
      <c r="AH126" s="6"/>
      <c r="AI126" s="6"/>
      <c r="AJ126" s="36"/>
      <c r="AK126" s="31"/>
      <c r="AL126" s="9"/>
      <c r="AM126" s="6"/>
      <c r="AN126" s="6"/>
      <c r="AO126" s="6"/>
      <c r="AP126" s="36"/>
    </row>
    <row r="127" spans="1:42">
      <c r="A127" s="30">
        <v>115</v>
      </c>
      <c r="B127" s="131"/>
      <c r="C127" s="226" t="s">
        <v>618</v>
      </c>
      <c r="D127" s="27"/>
      <c r="E127" s="27"/>
      <c r="F127" s="27"/>
      <c r="G127" s="27"/>
      <c r="H127" s="70" t="s">
        <v>738</v>
      </c>
      <c r="I127" s="177" t="s">
        <v>845</v>
      </c>
      <c r="J127" s="137" t="s">
        <v>633</v>
      </c>
      <c r="K127" s="117"/>
      <c r="L127" s="6">
        <v>600</v>
      </c>
      <c r="M127" s="6">
        <v>30</v>
      </c>
      <c r="N127" s="6">
        <v>630</v>
      </c>
      <c r="O127" s="44">
        <v>60</v>
      </c>
      <c r="P127" s="44">
        <v>200</v>
      </c>
      <c r="Q127" s="44">
        <v>300</v>
      </c>
      <c r="R127" s="53" t="s">
        <v>70</v>
      </c>
      <c r="S127" s="44"/>
      <c r="T127" s="44"/>
      <c r="U127" s="44"/>
      <c r="V127" s="53"/>
      <c r="W127" s="74">
        <v>411756</v>
      </c>
      <c r="X127" s="9" t="str">
        <f>IFERROR(INDEX([1]Sheet1!$A$2:$X$1948,MATCH($W$2:$W$268,[1]Sheet1!$G$2:$G$1948,0),8),"")</f>
        <v>프레시웨이 돈앞다리(6*5*0.3cm 불고기용 1Kg/EA)</v>
      </c>
      <c r="Y127" s="11">
        <v>1000</v>
      </c>
      <c r="Z127" s="11"/>
      <c r="AA127" s="63">
        <v>50</v>
      </c>
      <c r="AB127" s="63" t="e">
        <f>P127*AD127</f>
        <v>#DIV/0!</v>
      </c>
      <c r="AC127" s="63" t="e">
        <f>Q127*AD127</f>
        <v>#DIV/0!</v>
      </c>
      <c r="AD127" s="36" t="e">
        <f>AA127/E127</f>
        <v>#DIV/0!</v>
      </c>
      <c r="AE127" s="31">
        <v>208301</v>
      </c>
      <c r="AF127" s="9" t="str">
        <f>IFERROR(INDEX([1]Sheet1!$A$2:$X$1948,MATCH($AE$2:$AE$268,[1]Sheet1!$G$2:$G$1948,0),8),"")</f>
        <v>양파(특품 180~240g/개 1Kg/EA)</v>
      </c>
      <c r="AG127" s="6">
        <v>8</v>
      </c>
      <c r="AH127" s="6" t="e">
        <f>P127*AJ127</f>
        <v>#DIV/0!</v>
      </c>
      <c r="AI127" s="6" t="e">
        <f>Q127*AJ127</f>
        <v>#DIV/0!</v>
      </c>
      <c r="AJ127" s="36" t="e">
        <f>AG127/$E127</f>
        <v>#DIV/0!</v>
      </c>
      <c r="AK127" s="31"/>
      <c r="AL127" s="9">
        <f>IFERROR(INDEX([1]Sheet1!$A$2:$X$1948,MATCH($AK$2:$AK$268,[1]Sheet1!$G$2:$G$1948,0),8),"")</f>
        <v>0</v>
      </c>
      <c r="AM127" s="6">
        <v>8</v>
      </c>
      <c r="AN127" s="6" t="e">
        <f>P127*AP127</f>
        <v>#DIV/0!</v>
      </c>
      <c r="AO127" s="6" t="e">
        <f>Q127*AP127</f>
        <v>#DIV/0!</v>
      </c>
      <c r="AP127" s="36" t="e">
        <f>AM127/$E127</f>
        <v>#DIV/0!</v>
      </c>
    </row>
    <row r="128" spans="1:42">
      <c r="A128" s="30">
        <v>116</v>
      </c>
      <c r="B128" s="131"/>
      <c r="C128" s="226" t="s">
        <v>1539</v>
      </c>
      <c r="D128" s="27"/>
      <c r="E128" s="27"/>
      <c r="F128" s="27"/>
      <c r="G128" s="27"/>
      <c r="H128" s="70" t="s">
        <v>1213</v>
      </c>
      <c r="I128" s="177" t="s">
        <v>1214</v>
      </c>
      <c r="J128" s="138"/>
      <c r="K128" s="117"/>
      <c r="L128" s="6"/>
      <c r="M128" s="6"/>
      <c r="N128" s="6"/>
      <c r="O128" s="44"/>
      <c r="P128" s="44"/>
      <c r="Q128" s="44"/>
      <c r="R128" s="53"/>
      <c r="S128" s="44"/>
      <c r="T128" s="44"/>
      <c r="U128" s="44"/>
      <c r="V128" s="53"/>
      <c r="W128" s="31"/>
      <c r="X128" s="9"/>
      <c r="Y128" s="11"/>
      <c r="Z128" s="11"/>
      <c r="AA128" s="63"/>
      <c r="AB128" s="63"/>
      <c r="AC128" s="63"/>
      <c r="AD128" s="36"/>
      <c r="AE128" s="31"/>
      <c r="AF128" s="9"/>
      <c r="AG128" s="6"/>
      <c r="AH128" s="6"/>
      <c r="AI128" s="6"/>
      <c r="AJ128" s="36"/>
      <c r="AK128" s="31"/>
      <c r="AL128" s="9"/>
      <c r="AM128" s="6"/>
      <c r="AN128" s="6"/>
      <c r="AO128" s="6"/>
      <c r="AP128" s="36"/>
    </row>
    <row r="129" spans="1:42" ht="15" customHeight="1">
      <c r="A129" s="30">
        <v>117</v>
      </c>
      <c r="B129" s="131"/>
      <c r="C129" s="226" t="s">
        <v>1228</v>
      </c>
      <c r="D129" s="27"/>
      <c r="E129" s="27"/>
      <c r="F129" s="27"/>
      <c r="G129" s="27"/>
      <c r="H129" s="70" t="s">
        <v>1229</v>
      </c>
      <c r="I129" s="177" t="s">
        <v>939</v>
      </c>
      <c r="J129" s="140"/>
      <c r="K129" s="29"/>
      <c r="L129" s="11"/>
      <c r="M129" s="11"/>
      <c r="N129" s="9"/>
      <c r="O129" s="44"/>
      <c r="P129" s="44"/>
      <c r="Q129" s="44"/>
      <c r="R129" s="53"/>
      <c r="S129" s="44"/>
      <c r="T129" s="46"/>
      <c r="U129" s="46"/>
      <c r="V129" s="53"/>
      <c r="W129" s="31"/>
      <c r="X129" s="70"/>
      <c r="Y129" s="11"/>
      <c r="Z129" s="11"/>
      <c r="AA129" s="63"/>
      <c r="AB129" s="63"/>
      <c r="AC129" s="63"/>
      <c r="AD129" s="36"/>
      <c r="AE129" s="31"/>
      <c r="AF129" s="9"/>
      <c r="AG129" s="6"/>
      <c r="AH129" s="6"/>
      <c r="AI129" s="6"/>
      <c r="AJ129" s="36"/>
      <c r="AK129" s="31"/>
      <c r="AL129" s="9"/>
      <c r="AM129" s="6"/>
      <c r="AN129" s="6"/>
      <c r="AO129" s="6"/>
      <c r="AP129" s="36"/>
    </row>
    <row r="130" spans="1:42">
      <c r="A130" s="30">
        <v>118</v>
      </c>
      <c r="B130" s="131"/>
      <c r="C130" s="226" t="s">
        <v>698</v>
      </c>
      <c r="D130" s="27"/>
      <c r="E130" s="27"/>
      <c r="F130" s="27"/>
      <c r="G130" s="27"/>
      <c r="H130" s="133" t="s">
        <v>2002</v>
      </c>
      <c r="I130" s="181" t="s">
        <v>886</v>
      </c>
      <c r="J130" s="137"/>
      <c r="K130" s="29"/>
      <c r="L130" s="11"/>
      <c r="M130" s="11"/>
      <c r="N130" s="11"/>
      <c r="O130" s="44"/>
      <c r="P130" s="44"/>
      <c r="Q130" s="44"/>
      <c r="R130" s="53"/>
      <c r="S130" s="44"/>
      <c r="T130" s="46"/>
      <c r="U130" s="46"/>
      <c r="V130" s="53"/>
      <c r="W130" s="31"/>
      <c r="X130" s="9"/>
      <c r="Y130" s="11"/>
      <c r="Z130" s="11"/>
      <c r="AA130" s="63"/>
      <c r="AB130" s="63"/>
      <c r="AC130" s="63"/>
      <c r="AD130" s="36"/>
      <c r="AE130" s="31"/>
      <c r="AF130" s="9"/>
      <c r="AG130" s="6"/>
      <c r="AH130" s="6"/>
      <c r="AI130" s="6"/>
      <c r="AJ130" s="36"/>
      <c r="AK130" s="31"/>
      <c r="AL130" s="9"/>
      <c r="AM130" s="6"/>
      <c r="AN130" s="6"/>
      <c r="AO130" s="6"/>
      <c r="AP130" s="36"/>
    </row>
    <row r="131" spans="1:42" ht="27">
      <c r="A131" s="30">
        <v>119</v>
      </c>
      <c r="B131" s="131"/>
      <c r="C131" s="226" t="s">
        <v>1282</v>
      </c>
      <c r="D131" s="27"/>
      <c r="E131" s="27"/>
      <c r="F131" s="27"/>
      <c r="G131" s="27"/>
      <c r="H131" s="70" t="s">
        <v>1433</v>
      </c>
      <c r="I131" s="177" t="s">
        <v>846</v>
      </c>
      <c r="J131" s="138"/>
      <c r="K131" s="29"/>
      <c r="L131" s="11"/>
      <c r="M131" s="11"/>
      <c r="N131" s="11"/>
      <c r="O131" s="44"/>
      <c r="P131" s="44"/>
      <c r="Q131" s="44"/>
      <c r="R131" s="53"/>
      <c r="S131" s="44"/>
      <c r="T131" s="46"/>
      <c r="U131" s="46"/>
      <c r="V131" s="53"/>
      <c r="W131" s="74"/>
      <c r="X131" s="9"/>
      <c r="Y131" s="11"/>
      <c r="Z131" s="11"/>
      <c r="AA131" s="63"/>
      <c r="AB131" s="63"/>
      <c r="AC131" s="63"/>
      <c r="AD131" s="36"/>
      <c r="AE131" s="31"/>
      <c r="AF131" s="9"/>
      <c r="AG131" s="6"/>
      <c r="AH131" s="6"/>
      <c r="AI131" s="6"/>
      <c r="AJ131" s="36"/>
      <c r="AK131" s="31"/>
      <c r="AL131" s="9"/>
      <c r="AM131" s="6"/>
      <c r="AN131" s="6"/>
      <c r="AO131" s="6"/>
      <c r="AP131" s="36"/>
    </row>
    <row r="132" spans="1:42">
      <c r="A132" s="30">
        <v>120</v>
      </c>
      <c r="B132" s="131"/>
      <c r="C132" s="226" t="s">
        <v>1481</v>
      </c>
      <c r="D132" s="27"/>
      <c r="E132" s="27"/>
      <c r="F132" s="27"/>
      <c r="G132" s="27"/>
      <c r="H132" s="70" t="s">
        <v>1589</v>
      </c>
      <c r="I132" s="177" t="s">
        <v>1482</v>
      </c>
      <c r="J132" s="138"/>
      <c r="K132" s="29"/>
      <c r="L132" s="11"/>
      <c r="M132" s="11"/>
      <c r="N132" s="11"/>
      <c r="O132" s="44"/>
      <c r="P132" s="44"/>
      <c r="Q132" s="44"/>
      <c r="R132" s="53"/>
      <c r="S132" s="44"/>
      <c r="T132" s="46"/>
      <c r="U132" s="46"/>
      <c r="V132" s="53"/>
      <c r="W132" s="74"/>
      <c r="X132" s="9"/>
      <c r="Y132" s="11"/>
      <c r="Z132" s="11"/>
      <c r="AA132" s="63"/>
      <c r="AB132" s="63"/>
      <c r="AC132" s="63"/>
      <c r="AD132" s="36"/>
      <c r="AE132" s="31"/>
      <c r="AF132" s="9"/>
      <c r="AG132" s="6"/>
      <c r="AH132" s="6"/>
      <c r="AI132" s="6"/>
      <c r="AJ132" s="36"/>
      <c r="AK132" s="31"/>
      <c r="AL132" s="9"/>
      <c r="AM132" s="6"/>
      <c r="AN132" s="6"/>
      <c r="AO132" s="6"/>
      <c r="AP132" s="36"/>
    </row>
    <row r="133" spans="1:42">
      <c r="A133" s="30">
        <v>121</v>
      </c>
      <c r="B133" s="131"/>
      <c r="C133" s="226" t="s">
        <v>582</v>
      </c>
      <c r="D133" s="27"/>
      <c r="E133" s="27"/>
      <c r="F133" s="27"/>
      <c r="G133" s="27"/>
      <c r="H133" s="70" t="s">
        <v>1226</v>
      </c>
      <c r="I133" s="177" t="s">
        <v>1227</v>
      </c>
      <c r="J133" s="143" t="s">
        <v>1304</v>
      </c>
      <c r="K133" s="29"/>
      <c r="L133" s="11">
        <v>5400</v>
      </c>
      <c r="M133" s="11">
        <v>270</v>
      </c>
      <c r="N133" s="11">
        <v>5670</v>
      </c>
      <c r="O133" s="44">
        <f>E133</f>
        <v>0</v>
      </c>
      <c r="P133" s="44">
        <v>250</v>
      </c>
      <c r="Q133" s="44">
        <v>390</v>
      </c>
      <c r="R133" s="53" t="s">
        <v>70</v>
      </c>
      <c r="S133" s="44"/>
      <c r="T133" s="46"/>
      <c r="U133" s="46"/>
      <c r="V133" s="53"/>
      <c r="W133" s="74">
        <v>422627</v>
      </c>
      <c r="X133" s="9" t="str">
        <f>IFERROR(INDEX([1]Sheet1!$A$2:$X$1948,MATCH($W$2:$W$268,[1]Sheet1!$G$2:$G$1948,0),8),"")</f>
        <v>돈사태(2*2*2cm 키즈용_장조림용 KG)</v>
      </c>
      <c r="Y133" s="11">
        <v>1000</v>
      </c>
      <c r="Z133" s="11"/>
      <c r="AA133" s="63">
        <v>50</v>
      </c>
      <c r="AB133" s="63" t="e">
        <f>P133*AD133</f>
        <v>#DIV/0!</v>
      </c>
      <c r="AC133" s="63" t="e">
        <f>Q133*AD133</f>
        <v>#DIV/0!</v>
      </c>
      <c r="AD133" s="36" t="e">
        <f>AA133/E133</f>
        <v>#DIV/0!</v>
      </c>
      <c r="AE133" s="31">
        <v>210182</v>
      </c>
      <c r="AF133" s="9" t="str">
        <f>IFERROR(INDEX([1]Sheet1!$A$2:$X$1948,MATCH($AE$2:$AE$268,[1]Sheet1!$G$2:$G$1948,0),8),"")</f>
        <v>냉동홍피망(다이스 1Kg/EA)</v>
      </c>
      <c r="AG133" s="6"/>
      <c r="AH133" s="6" t="e">
        <f>P133*AJ133</f>
        <v>#DIV/0!</v>
      </c>
      <c r="AI133" s="6" t="e">
        <f>Q133*AJ133</f>
        <v>#DIV/0!</v>
      </c>
      <c r="AJ133" s="36" t="e">
        <f>AG133/$E133</f>
        <v>#DIV/0!</v>
      </c>
      <c r="AK133" s="31"/>
      <c r="AL133" s="9">
        <f>IFERROR(INDEX([1]Sheet1!$A$2:$X$1948,MATCH($AK$2:$AK$268,[1]Sheet1!$G$2:$G$1948,0),8),"")</f>
        <v>0</v>
      </c>
      <c r="AM133" s="6"/>
      <c r="AN133" s="6" t="e">
        <f>P133*AP133</f>
        <v>#DIV/0!</v>
      </c>
      <c r="AO133" s="6" t="e">
        <f>Q133*AP133</f>
        <v>#DIV/0!</v>
      </c>
      <c r="AP133" s="36" t="e">
        <f>AM133/$E133</f>
        <v>#DIV/0!</v>
      </c>
    </row>
    <row r="134" spans="1:42">
      <c r="A134" s="30">
        <v>122</v>
      </c>
      <c r="B134" s="131"/>
      <c r="C134" s="231" t="s">
        <v>648</v>
      </c>
      <c r="D134" s="27"/>
      <c r="E134" s="27"/>
      <c r="F134" s="27"/>
      <c r="G134" s="27"/>
      <c r="H134" s="70" t="s">
        <v>649</v>
      </c>
      <c r="I134" s="177" t="s">
        <v>960</v>
      </c>
      <c r="J134" s="138" t="s">
        <v>650</v>
      </c>
      <c r="K134" s="29"/>
      <c r="L134" s="11">
        <v>21960</v>
      </c>
      <c r="M134" s="11">
        <v>1098</v>
      </c>
      <c r="N134" s="11">
        <v>23058</v>
      </c>
      <c r="O134" s="44"/>
      <c r="P134" s="44"/>
      <c r="Q134" s="44"/>
      <c r="R134" s="53"/>
      <c r="S134" s="44"/>
      <c r="T134" s="46"/>
      <c r="U134" s="46"/>
      <c r="V134" s="53"/>
      <c r="W134" s="31"/>
      <c r="X134" s="9"/>
      <c r="Y134" s="11"/>
      <c r="Z134" s="11"/>
      <c r="AA134" s="63"/>
      <c r="AB134" s="63"/>
      <c r="AC134" s="63"/>
      <c r="AD134" s="36"/>
      <c r="AE134" s="31"/>
      <c r="AF134" s="9"/>
      <c r="AG134" s="6"/>
      <c r="AH134" s="6"/>
      <c r="AI134" s="6"/>
      <c r="AJ134" s="36"/>
      <c r="AK134" s="31"/>
      <c r="AL134" s="9"/>
      <c r="AM134" s="6"/>
      <c r="AN134" s="6"/>
      <c r="AO134" s="6"/>
      <c r="AP134" s="36"/>
    </row>
    <row r="135" spans="1:42">
      <c r="A135" s="30">
        <v>123</v>
      </c>
      <c r="B135" s="131"/>
      <c r="C135" s="226" t="s">
        <v>1072</v>
      </c>
      <c r="D135" s="27"/>
      <c r="E135" s="27"/>
      <c r="F135" s="27"/>
      <c r="G135" s="27"/>
      <c r="H135" s="133" t="s">
        <v>1407</v>
      </c>
      <c r="I135" s="181" t="s">
        <v>1061</v>
      </c>
      <c r="J135" s="137" t="s">
        <v>1062</v>
      </c>
      <c r="K135" s="29"/>
      <c r="L135" s="11"/>
      <c r="M135" s="11"/>
      <c r="N135" s="11"/>
      <c r="O135" s="44"/>
      <c r="P135" s="44"/>
      <c r="Q135" s="44"/>
      <c r="R135" s="53"/>
      <c r="S135" s="44"/>
      <c r="T135" s="46"/>
      <c r="U135" s="46"/>
      <c r="V135" s="53"/>
      <c r="W135" s="31"/>
      <c r="X135" s="9"/>
      <c r="Y135" s="11"/>
      <c r="Z135" s="11"/>
      <c r="AA135" s="63"/>
      <c r="AB135" s="63"/>
      <c r="AC135" s="63"/>
      <c r="AD135" s="36"/>
      <c r="AE135" s="31"/>
      <c r="AF135" s="9"/>
      <c r="AG135" s="6"/>
      <c r="AH135" s="6"/>
      <c r="AI135" s="6"/>
      <c r="AJ135" s="36"/>
      <c r="AK135" s="31"/>
      <c r="AL135" s="9"/>
      <c r="AM135" s="6"/>
      <c r="AN135" s="6"/>
      <c r="AO135" s="6"/>
      <c r="AP135" s="36"/>
    </row>
    <row r="136" spans="1:42">
      <c r="A136" s="30"/>
      <c r="B136" s="131"/>
      <c r="C136" s="226" t="s">
        <v>1867</v>
      </c>
      <c r="D136" s="27"/>
      <c r="E136" s="27"/>
      <c r="F136" s="27"/>
      <c r="G136" s="27"/>
      <c r="H136" s="133" t="s">
        <v>1894</v>
      </c>
      <c r="I136" s="181" t="s">
        <v>1868</v>
      </c>
      <c r="J136" s="137"/>
      <c r="K136" s="29"/>
      <c r="L136" s="11"/>
      <c r="M136" s="11"/>
      <c r="N136" s="11"/>
      <c r="O136" s="44"/>
      <c r="P136" s="44"/>
      <c r="Q136" s="44"/>
      <c r="R136" s="53"/>
      <c r="S136" s="44"/>
      <c r="T136" s="46"/>
      <c r="U136" s="46"/>
      <c r="V136" s="53"/>
      <c r="W136" s="31"/>
      <c r="X136" s="9"/>
      <c r="Y136" s="11"/>
      <c r="Z136" s="11"/>
      <c r="AA136" s="63"/>
      <c r="AB136" s="63"/>
      <c r="AC136" s="63"/>
      <c r="AD136" s="36"/>
      <c r="AE136" s="31"/>
      <c r="AF136" s="9"/>
      <c r="AG136" s="6"/>
      <c r="AH136" s="6"/>
      <c r="AI136" s="6"/>
      <c r="AJ136" s="36"/>
      <c r="AK136" s="31"/>
      <c r="AL136" s="9"/>
      <c r="AM136" s="6"/>
      <c r="AN136" s="6"/>
      <c r="AO136" s="6"/>
      <c r="AP136" s="36"/>
    </row>
    <row r="137" spans="1:42">
      <c r="A137" s="30">
        <v>124</v>
      </c>
      <c r="B137" s="131"/>
      <c r="C137" s="226" t="s">
        <v>2125</v>
      </c>
      <c r="D137" s="27"/>
      <c r="E137" s="27"/>
      <c r="F137" s="27"/>
      <c r="G137" s="27"/>
      <c r="H137" s="70" t="s">
        <v>1656</v>
      </c>
      <c r="I137" s="181" t="s">
        <v>1657</v>
      </c>
      <c r="J137" s="137" t="s">
        <v>1658</v>
      </c>
      <c r="K137" s="29"/>
      <c r="L137" s="11"/>
      <c r="M137" s="11"/>
      <c r="N137" s="11"/>
      <c r="O137" s="44"/>
      <c r="P137" s="44"/>
      <c r="Q137" s="44"/>
      <c r="R137" s="53"/>
      <c r="S137" s="44"/>
      <c r="T137" s="46"/>
      <c r="U137" s="46"/>
      <c r="V137" s="53"/>
      <c r="W137" s="31"/>
      <c r="X137" s="9"/>
      <c r="Y137" s="11"/>
      <c r="Z137" s="11"/>
      <c r="AA137" s="63"/>
      <c r="AB137" s="63"/>
      <c r="AC137" s="63"/>
      <c r="AD137" s="36"/>
      <c r="AE137" s="31"/>
      <c r="AF137" s="9"/>
      <c r="AG137" s="6"/>
      <c r="AH137" s="6"/>
      <c r="AI137" s="6"/>
      <c r="AJ137" s="36"/>
      <c r="AK137" s="31"/>
      <c r="AL137" s="9"/>
      <c r="AM137" s="6"/>
      <c r="AN137" s="6"/>
      <c r="AO137" s="6"/>
      <c r="AP137" s="36"/>
    </row>
    <row r="138" spans="1:42">
      <c r="A138" s="30">
        <v>125</v>
      </c>
      <c r="B138" s="131"/>
      <c r="C138" s="226" t="s">
        <v>1761</v>
      </c>
      <c r="D138" s="27"/>
      <c r="E138" s="27"/>
      <c r="F138" s="27"/>
      <c r="G138" s="27"/>
      <c r="H138" s="70" t="s">
        <v>1286</v>
      </c>
      <c r="I138" s="177" t="s">
        <v>846</v>
      </c>
      <c r="J138" s="138"/>
      <c r="K138" s="29"/>
      <c r="L138" s="11">
        <v>27600</v>
      </c>
      <c r="M138" s="11">
        <v>1380</v>
      </c>
      <c r="N138" s="11">
        <v>28980</v>
      </c>
      <c r="O138" s="44">
        <f>E138</f>
        <v>0</v>
      </c>
      <c r="P138" s="44">
        <v>200</v>
      </c>
      <c r="Q138" s="44">
        <v>300</v>
      </c>
      <c r="R138" s="53" t="s">
        <v>70</v>
      </c>
      <c r="S138" s="44"/>
      <c r="T138" s="46"/>
      <c r="U138" s="46"/>
      <c r="V138" s="53"/>
      <c r="W138" s="31">
        <v>205184</v>
      </c>
      <c r="X138" s="9" t="str">
        <f>IFERROR(INDEX([1]Sheet1!$A$2:$X$1948,MATCH($W$2:$W$268,[1]Sheet1!$G$2:$G$1948,0),8),"")</f>
        <v>단호박(상품 2등분_속제거 KG)</v>
      </c>
      <c r="Y138" s="11">
        <v>1000</v>
      </c>
      <c r="Z138" s="11"/>
      <c r="AA138" s="63">
        <v>27</v>
      </c>
      <c r="AB138" s="63" t="e">
        <f>P138*AD138</f>
        <v>#DIV/0!</v>
      </c>
      <c r="AC138" s="63" t="e">
        <f>Q138*AD138</f>
        <v>#DIV/0!</v>
      </c>
      <c r="AD138" s="36" t="e">
        <f>AA138/E138</f>
        <v>#DIV/0!</v>
      </c>
      <c r="AE138" s="31">
        <v>212132</v>
      </c>
      <c r="AF138" s="9" t="str">
        <f>IFERROR(INDEX([1]Sheet1!$A$2:$X$1948,MATCH($AE$2:$AE$268,[1]Sheet1!$G$2:$G$1948,0),8),"")</f>
        <v>냉동고구마(맛탕용 1Kg/EA)</v>
      </c>
      <c r="AG138" s="6">
        <v>12</v>
      </c>
      <c r="AH138" s="6" t="e">
        <f>P138*AJ138</f>
        <v>#DIV/0!</v>
      </c>
      <c r="AI138" s="6" t="e">
        <f>Q138*AJ138</f>
        <v>#DIV/0!</v>
      </c>
      <c r="AJ138" s="36" t="e">
        <f>AG138/$E138</f>
        <v>#DIV/0!</v>
      </c>
      <c r="AK138" s="31"/>
      <c r="AL138" s="9">
        <f>IFERROR(INDEX([1]Sheet1!$A$2:$X$1948,MATCH($AK$2:$AK$268,[1]Sheet1!$G$2:$G$1948,0),8),"")</f>
        <v>0</v>
      </c>
      <c r="AM138" s="6"/>
      <c r="AN138" s="6" t="e">
        <f>P138*AP138</f>
        <v>#DIV/0!</v>
      </c>
      <c r="AO138" s="6" t="e">
        <f>Q138*AP138</f>
        <v>#DIV/0!</v>
      </c>
      <c r="AP138" s="36" t="e">
        <f>AM138/$E138</f>
        <v>#DIV/0!</v>
      </c>
    </row>
    <row r="139" spans="1:42">
      <c r="A139" s="30">
        <v>126</v>
      </c>
      <c r="B139" s="131"/>
      <c r="C139" s="134" t="s">
        <v>1303</v>
      </c>
      <c r="D139" s="27"/>
      <c r="E139" s="27"/>
      <c r="F139" s="27"/>
      <c r="G139" s="27"/>
      <c r="H139" s="70" t="s">
        <v>1318</v>
      </c>
      <c r="I139" s="177" t="s">
        <v>845</v>
      </c>
      <c r="J139" s="143"/>
      <c r="K139" s="29"/>
      <c r="L139" s="11"/>
      <c r="M139" s="11"/>
      <c r="N139" s="11"/>
      <c r="O139" s="44"/>
      <c r="P139" s="44"/>
      <c r="Q139" s="44"/>
      <c r="R139" s="53"/>
      <c r="S139" s="44"/>
      <c r="T139" s="46"/>
      <c r="U139" s="46"/>
      <c r="V139" s="53"/>
      <c r="W139" s="74"/>
      <c r="X139" s="9"/>
      <c r="Y139" s="11"/>
      <c r="Z139" s="11"/>
      <c r="AA139" s="63"/>
      <c r="AB139" s="63"/>
      <c r="AC139" s="63"/>
      <c r="AD139" s="36"/>
      <c r="AE139" s="31"/>
      <c r="AF139" s="9"/>
      <c r="AG139" s="6"/>
      <c r="AH139" s="6"/>
      <c r="AI139" s="6"/>
      <c r="AJ139" s="36"/>
      <c r="AK139" s="31"/>
      <c r="AL139" s="9"/>
      <c r="AM139" s="6"/>
      <c r="AN139" s="6"/>
      <c r="AO139" s="6"/>
      <c r="AP139" s="36"/>
    </row>
    <row r="140" spans="1:42">
      <c r="A140" s="30">
        <v>127</v>
      </c>
      <c r="B140" s="131"/>
      <c r="C140" s="134" t="s">
        <v>1091</v>
      </c>
      <c r="D140" s="27"/>
      <c r="E140" s="27"/>
      <c r="F140" s="27"/>
      <c r="G140" s="27"/>
      <c r="H140" s="70" t="s">
        <v>1285</v>
      </c>
      <c r="I140" s="177" t="s">
        <v>846</v>
      </c>
      <c r="J140" s="138"/>
      <c r="K140" s="29"/>
      <c r="L140" s="11">
        <v>12240</v>
      </c>
      <c r="M140" s="11">
        <v>612</v>
      </c>
      <c r="N140" s="11">
        <v>12852</v>
      </c>
      <c r="O140" s="44">
        <f>E140</f>
        <v>0</v>
      </c>
      <c r="P140" s="44">
        <v>200</v>
      </c>
      <c r="Q140" s="44">
        <v>350</v>
      </c>
      <c r="R140" s="53" t="s">
        <v>70</v>
      </c>
      <c r="S140" s="44"/>
      <c r="T140" s="46"/>
      <c r="U140" s="46"/>
      <c r="V140" s="53"/>
      <c r="W140" s="74">
        <v>408460</v>
      </c>
      <c r="X140" s="9" t="str">
        <f>IFERROR(INDEX([1]Sheet1!$A$2:$X$1948,MATCH($W$2:$W$268,[1]Sheet1!$G$2:$G$1948,0),8),"")</f>
        <v>한우목심(2등급 4*4*0.3cm 불고기용 KG)</v>
      </c>
      <c r="Y140" s="11">
        <v>1000</v>
      </c>
      <c r="Z140" s="11"/>
      <c r="AA140" s="63">
        <v>60</v>
      </c>
      <c r="AB140" s="63" t="e">
        <f>P140*AD140</f>
        <v>#DIV/0!</v>
      </c>
      <c r="AC140" s="63" t="e">
        <f>Q140*AD140</f>
        <v>#DIV/0!</v>
      </c>
      <c r="AD140" s="36" t="e">
        <f>AA140/E140</f>
        <v>#DIV/0!</v>
      </c>
      <c r="AE140" s="31">
        <v>211037</v>
      </c>
      <c r="AF140" s="75" t="str">
        <f>IFERROR(INDEX([1]Sheet1!$A$2:$X$1948,MATCH($AE$2:$AE$268,[1]Sheet1!$G$2:$G$1948,0),8),"")</f>
        <v>느타리버섯(실속 균상 2Kg/EA)</v>
      </c>
      <c r="AG140" s="6">
        <v>10</v>
      </c>
      <c r="AH140" s="6" t="e">
        <f>P140*AJ140</f>
        <v>#DIV/0!</v>
      </c>
      <c r="AI140" s="6" t="e">
        <f>Q140*AJ140</f>
        <v>#DIV/0!</v>
      </c>
      <c r="AJ140" s="36" t="e">
        <f>AG140/$E140</f>
        <v>#DIV/0!</v>
      </c>
      <c r="AK140" s="31"/>
      <c r="AL140" s="9">
        <f>IFERROR(INDEX([1]Sheet1!$A$2:$X$1948,MATCH($AK$2:$AK$268,[1]Sheet1!$G$2:$G$1948,0),8),"")</f>
        <v>0</v>
      </c>
      <c r="AM140" s="6">
        <v>10</v>
      </c>
      <c r="AN140" s="6" t="e">
        <f>P140*AP140</f>
        <v>#DIV/0!</v>
      </c>
      <c r="AO140" s="6" t="e">
        <f>Q140*AP140</f>
        <v>#DIV/0!</v>
      </c>
      <c r="AP140" s="36" t="e">
        <f>AM140/$E140</f>
        <v>#DIV/0!</v>
      </c>
    </row>
    <row r="141" spans="1:42">
      <c r="A141" s="30"/>
      <c r="B141" s="131"/>
      <c r="C141" s="134" t="s">
        <v>1801</v>
      </c>
      <c r="D141" s="27"/>
      <c r="E141" s="27"/>
      <c r="F141" s="27"/>
      <c r="G141" s="27"/>
      <c r="H141" s="70" t="s">
        <v>1802</v>
      </c>
      <c r="I141" s="177" t="s">
        <v>846</v>
      </c>
      <c r="J141" s="138"/>
      <c r="K141" s="29"/>
      <c r="L141" s="11"/>
      <c r="M141" s="11"/>
      <c r="N141" s="11"/>
      <c r="O141" s="44"/>
      <c r="P141" s="44"/>
      <c r="Q141" s="44"/>
      <c r="R141" s="53"/>
      <c r="S141" s="44"/>
      <c r="T141" s="46"/>
      <c r="U141" s="46"/>
      <c r="V141" s="53"/>
      <c r="W141" s="74"/>
      <c r="X141" s="9"/>
      <c r="Y141" s="11"/>
      <c r="Z141" s="11"/>
      <c r="AA141" s="63"/>
      <c r="AB141" s="63"/>
      <c r="AC141" s="63"/>
      <c r="AD141" s="36"/>
      <c r="AE141" s="31"/>
      <c r="AF141" s="75"/>
      <c r="AG141" s="6"/>
      <c r="AH141" s="6"/>
      <c r="AI141" s="6"/>
      <c r="AJ141" s="36"/>
      <c r="AK141" s="31"/>
      <c r="AL141" s="9"/>
      <c r="AM141" s="6"/>
      <c r="AN141" s="6"/>
      <c r="AO141" s="6"/>
      <c r="AP141" s="36"/>
    </row>
    <row r="142" spans="1:42">
      <c r="A142" s="30"/>
      <c r="B142" s="131"/>
      <c r="C142" s="134" t="s">
        <v>1870</v>
      </c>
      <c r="D142" s="27"/>
      <c r="E142" s="27"/>
      <c r="F142" s="27"/>
      <c r="G142" s="27"/>
      <c r="H142" s="70" t="s">
        <v>1872</v>
      </c>
      <c r="I142" s="177" t="s">
        <v>846</v>
      </c>
      <c r="J142" s="138"/>
      <c r="K142" s="29"/>
      <c r="L142" s="11"/>
      <c r="M142" s="11"/>
      <c r="N142" s="11"/>
      <c r="O142" s="44"/>
      <c r="P142" s="44"/>
      <c r="Q142" s="44"/>
      <c r="R142" s="53"/>
      <c r="S142" s="44"/>
      <c r="T142" s="46"/>
      <c r="U142" s="46"/>
      <c r="V142" s="53"/>
      <c r="W142" s="74"/>
      <c r="X142" s="9"/>
      <c r="Y142" s="11"/>
      <c r="Z142" s="11"/>
      <c r="AA142" s="63"/>
      <c r="AB142" s="63"/>
      <c r="AC142" s="63"/>
      <c r="AD142" s="36"/>
      <c r="AE142" s="31"/>
      <c r="AF142" s="75"/>
      <c r="AG142" s="6"/>
      <c r="AH142" s="6"/>
      <c r="AI142" s="6"/>
      <c r="AJ142" s="36"/>
      <c r="AK142" s="31"/>
      <c r="AL142" s="9"/>
      <c r="AM142" s="6"/>
      <c r="AN142" s="6"/>
      <c r="AO142" s="6"/>
      <c r="AP142" s="36"/>
    </row>
    <row r="143" spans="1:42">
      <c r="A143" s="30">
        <v>128</v>
      </c>
      <c r="B143" s="131"/>
      <c r="C143" s="134" t="s">
        <v>715</v>
      </c>
      <c r="D143" s="27"/>
      <c r="E143" s="27"/>
      <c r="F143" s="27"/>
      <c r="G143" s="27"/>
      <c r="H143" s="138" t="s">
        <v>1243</v>
      </c>
      <c r="I143" s="177" t="s">
        <v>974</v>
      </c>
      <c r="J143" s="138" t="s">
        <v>1117</v>
      </c>
      <c r="K143" s="120"/>
      <c r="L143" s="6"/>
      <c r="M143" s="6"/>
      <c r="N143" s="6"/>
      <c r="O143" s="44"/>
      <c r="P143" s="44"/>
      <c r="Q143" s="44"/>
      <c r="R143" s="53"/>
      <c r="S143" s="44"/>
      <c r="T143" s="44"/>
      <c r="U143" s="44"/>
      <c r="V143" s="53"/>
      <c r="W143" s="74"/>
      <c r="X143" s="9"/>
      <c r="Y143" s="11"/>
      <c r="Z143" s="11"/>
      <c r="AA143" s="63"/>
      <c r="AB143" s="63"/>
      <c r="AC143" s="63"/>
      <c r="AD143" s="36"/>
      <c r="AE143" s="31"/>
      <c r="AF143" s="9"/>
      <c r="AG143" s="6"/>
      <c r="AH143" s="6"/>
      <c r="AI143" s="6"/>
      <c r="AJ143" s="36"/>
      <c r="AK143" s="31"/>
      <c r="AL143" s="9"/>
      <c r="AM143" s="6"/>
      <c r="AN143" s="6"/>
      <c r="AO143" s="6"/>
      <c r="AP143" s="36"/>
    </row>
    <row r="144" spans="1:42">
      <c r="A144" s="30">
        <v>129</v>
      </c>
      <c r="B144" s="131"/>
      <c r="C144" s="134" t="s">
        <v>1300</v>
      </c>
      <c r="D144" s="27"/>
      <c r="E144" s="27"/>
      <c r="F144" s="27"/>
      <c r="G144" s="27"/>
      <c r="H144" s="70" t="s">
        <v>1301</v>
      </c>
      <c r="I144" s="177" t="s">
        <v>1178</v>
      </c>
      <c r="J144" s="138"/>
      <c r="K144" s="29"/>
      <c r="L144" s="11"/>
      <c r="M144" s="11"/>
      <c r="N144" s="11"/>
      <c r="O144" s="44"/>
      <c r="P144" s="44"/>
      <c r="Q144" s="44"/>
      <c r="R144" s="53"/>
      <c r="S144" s="45"/>
      <c r="T144" s="45"/>
      <c r="U144" s="45"/>
      <c r="V144" s="53"/>
      <c r="W144" s="31"/>
      <c r="X144" s="9"/>
      <c r="Y144" s="11"/>
      <c r="Z144" s="11"/>
      <c r="AA144" s="64"/>
      <c r="AB144" s="64"/>
      <c r="AC144" s="64"/>
      <c r="AD144" s="36"/>
      <c r="AE144" s="31"/>
      <c r="AF144" s="9"/>
      <c r="AG144" s="6"/>
      <c r="AH144" s="6"/>
      <c r="AI144" s="6"/>
      <c r="AJ144" s="36"/>
      <c r="AK144" s="31"/>
      <c r="AL144" s="9"/>
      <c r="AM144" s="6"/>
      <c r="AN144" s="6"/>
      <c r="AO144" s="6"/>
      <c r="AP144" s="36"/>
    </row>
    <row r="145" spans="1:42">
      <c r="A145" s="30">
        <v>130</v>
      </c>
      <c r="B145" s="131"/>
      <c r="C145" s="134" t="s">
        <v>1353</v>
      </c>
      <c r="D145" s="27"/>
      <c r="E145" s="27"/>
      <c r="F145" s="27"/>
      <c r="G145" s="27"/>
      <c r="H145" s="70" t="s">
        <v>1871</v>
      </c>
      <c r="I145" s="177" t="s">
        <v>939</v>
      </c>
      <c r="J145" s="138" t="s">
        <v>1354</v>
      </c>
      <c r="K145" s="29"/>
      <c r="L145" s="11"/>
      <c r="M145" s="11"/>
      <c r="N145" s="11"/>
      <c r="O145" s="44"/>
      <c r="P145" s="44"/>
      <c r="Q145" s="44"/>
      <c r="R145" s="53"/>
      <c r="S145" s="45"/>
      <c r="T145" s="45"/>
      <c r="U145" s="45"/>
      <c r="V145" s="53"/>
      <c r="W145" s="31"/>
      <c r="X145" s="9"/>
      <c r="Y145" s="11"/>
      <c r="Z145" s="11"/>
      <c r="AA145" s="64"/>
      <c r="AB145" s="64"/>
      <c r="AC145" s="64"/>
      <c r="AD145" s="36"/>
      <c r="AE145" s="31"/>
      <c r="AF145" s="9"/>
      <c r="AG145" s="6"/>
      <c r="AH145" s="6"/>
      <c r="AI145" s="6"/>
      <c r="AJ145" s="36"/>
      <c r="AK145" s="31"/>
      <c r="AL145" s="9"/>
      <c r="AM145" s="6"/>
      <c r="AN145" s="6"/>
      <c r="AO145" s="6"/>
      <c r="AP145" s="36"/>
    </row>
    <row r="146" spans="1:42" ht="28.5" customHeight="1">
      <c r="A146" s="30">
        <v>131</v>
      </c>
      <c r="B146" s="131"/>
      <c r="C146" s="134" t="s">
        <v>1692</v>
      </c>
      <c r="D146" s="27"/>
      <c r="E146" s="27"/>
      <c r="F146" s="27"/>
      <c r="G146" s="27"/>
      <c r="H146" s="70" t="s">
        <v>1735</v>
      </c>
      <c r="I146" s="177" t="s">
        <v>1691</v>
      </c>
      <c r="J146" s="138"/>
      <c r="K146" s="117"/>
      <c r="L146" s="6"/>
      <c r="M146" s="6"/>
      <c r="N146" s="6"/>
      <c r="O146" s="44"/>
      <c r="P146" s="44"/>
      <c r="Q146" s="44"/>
      <c r="R146" s="53"/>
      <c r="S146" s="44"/>
      <c r="T146" s="44"/>
      <c r="U146" s="44"/>
      <c r="V146" s="53"/>
      <c r="W146" s="31"/>
      <c r="X146" s="9"/>
      <c r="Y146" s="11"/>
      <c r="Z146" s="11"/>
      <c r="AA146" s="63"/>
      <c r="AB146" s="63"/>
      <c r="AC146" s="63"/>
      <c r="AD146" s="36"/>
      <c r="AE146" s="31"/>
      <c r="AF146" s="9"/>
      <c r="AG146" s="6"/>
      <c r="AH146" s="6"/>
      <c r="AI146" s="6"/>
      <c r="AJ146" s="36"/>
      <c r="AK146" s="31"/>
      <c r="AL146" s="9"/>
      <c r="AM146" s="6"/>
      <c r="AN146" s="6"/>
      <c r="AO146" s="6"/>
      <c r="AP146" s="36"/>
    </row>
    <row r="147" spans="1:42">
      <c r="A147" s="30">
        <v>132</v>
      </c>
      <c r="B147" s="131"/>
      <c r="C147" s="134" t="s">
        <v>542</v>
      </c>
      <c r="D147" s="27"/>
      <c r="E147" s="27"/>
      <c r="F147" s="27"/>
      <c r="G147" s="27"/>
      <c r="H147" s="70" t="s">
        <v>1937</v>
      </c>
      <c r="I147" s="177" t="s">
        <v>846</v>
      </c>
      <c r="J147" s="138"/>
      <c r="K147" s="29"/>
      <c r="L147" s="11"/>
      <c r="M147" s="11"/>
      <c r="N147" s="11"/>
      <c r="O147" s="44"/>
      <c r="P147" s="44"/>
      <c r="Q147" s="44"/>
      <c r="R147" s="53"/>
      <c r="S147" s="44"/>
      <c r="T147" s="46"/>
      <c r="U147" s="46"/>
      <c r="V147" s="53"/>
      <c r="W147" s="74"/>
      <c r="X147" s="9"/>
      <c r="Y147" s="11"/>
      <c r="Z147" s="11"/>
      <c r="AA147" s="63"/>
      <c r="AB147" s="63"/>
      <c r="AC147" s="63"/>
      <c r="AD147" s="36"/>
      <c r="AE147" s="31"/>
      <c r="AF147" s="9"/>
      <c r="AG147" s="6"/>
      <c r="AH147" s="6"/>
      <c r="AI147" s="6"/>
      <c r="AJ147" s="36"/>
      <c r="AK147" s="31"/>
      <c r="AL147" s="9"/>
      <c r="AM147" s="6"/>
      <c r="AN147" s="6"/>
      <c r="AO147" s="6"/>
      <c r="AP147" s="36"/>
    </row>
    <row r="148" spans="1:42" ht="20.100000000000001" customHeight="1">
      <c r="A148" s="30">
        <v>133</v>
      </c>
      <c r="B148" s="131"/>
      <c r="C148" s="134" t="s">
        <v>1160</v>
      </c>
      <c r="D148" s="27"/>
      <c r="E148" s="27"/>
      <c r="F148" s="27"/>
      <c r="G148" s="27"/>
      <c r="H148" s="70" t="s">
        <v>1383</v>
      </c>
      <c r="I148" s="177" t="s">
        <v>847</v>
      </c>
      <c r="J148" s="138"/>
      <c r="K148" s="29"/>
      <c r="L148" s="11"/>
      <c r="M148" s="11"/>
      <c r="N148" s="11"/>
      <c r="O148" s="44">
        <f>E148</f>
        <v>0</v>
      </c>
      <c r="P148" s="44">
        <v>250</v>
      </c>
      <c r="Q148" s="44">
        <v>380</v>
      </c>
      <c r="R148" s="53" t="s">
        <v>70</v>
      </c>
      <c r="S148" s="44"/>
      <c r="T148" s="46"/>
      <c r="U148" s="46"/>
      <c r="V148" s="53"/>
      <c r="W148" s="74">
        <v>408460</v>
      </c>
      <c r="X148" s="70" t="s">
        <v>734</v>
      </c>
      <c r="Y148" s="11">
        <v>1000</v>
      </c>
      <c r="Z148" s="11"/>
      <c r="AA148" s="63">
        <v>30</v>
      </c>
      <c r="AB148" s="63" t="e">
        <f>P148*AD148</f>
        <v>#DIV/0!</v>
      </c>
      <c r="AC148" s="63" t="e">
        <f>Q148*AD148</f>
        <v>#DIV/0!</v>
      </c>
      <c r="AD148" s="36" t="e">
        <f>AA148/E148</f>
        <v>#DIV/0!</v>
      </c>
      <c r="AE148" s="31"/>
      <c r="AF148" s="9"/>
      <c r="AG148" s="6"/>
      <c r="AH148" s="6" t="e">
        <f>P148*AJ148</f>
        <v>#DIV/0!</v>
      </c>
      <c r="AI148" s="6" t="e">
        <f>Q148*AJ148</f>
        <v>#DIV/0!</v>
      </c>
      <c r="AJ148" s="36" t="e">
        <f>AG148/$E148</f>
        <v>#DIV/0!</v>
      </c>
      <c r="AK148" s="31"/>
      <c r="AL148" s="9">
        <f>IFERROR(INDEX([1]Sheet1!$A$2:$X$1948,MATCH($AK$2:$AK$268,[1]Sheet1!$G$2:$G$1948,0),8),"")</f>
        <v>0</v>
      </c>
      <c r="AM148" s="6"/>
      <c r="AN148" s="6" t="e">
        <f>P148*AP148</f>
        <v>#DIV/0!</v>
      </c>
      <c r="AO148" s="6" t="e">
        <f>Q148*AP148</f>
        <v>#DIV/0!</v>
      </c>
      <c r="AP148" s="36" t="e">
        <f>AM148/$E148</f>
        <v>#DIV/0!</v>
      </c>
    </row>
    <row r="149" spans="1:42" ht="20.100000000000001" customHeight="1">
      <c r="A149" s="30">
        <v>134</v>
      </c>
      <c r="B149" s="131"/>
      <c r="C149" s="226" t="s">
        <v>1221</v>
      </c>
      <c r="D149" s="27"/>
      <c r="E149" s="27"/>
      <c r="F149" s="27"/>
      <c r="G149" s="27"/>
      <c r="H149" s="70" t="s">
        <v>1222</v>
      </c>
      <c r="I149" s="177" t="s">
        <v>847</v>
      </c>
      <c r="J149" s="138" t="s">
        <v>840</v>
      </c>
      <c r="K149" s="29"/>
      <c r="L149" s="11"/>
      <c r="M149" s="11"/>
      <c r="N149" s="11"/>
      <c r="O149" s="44"/>
      <c r="P149" s="44"/>
      <c r="Q149" s="44"/>
      <c r="R149" s="53"/>
      <c r="S149" s="44"/>
      <c r="T149" s="46"/>
      <c r="U149" s="46"/>
      <c r="V149" s="53"/>
      <c r="W149" s="74"/>
      <c r="X149" s="70"/>
      <c r="Y149" s="11"/>
      <c r="Z149" s="11"/>
      <c r="AA149" s="63"/>
      <c r="AB149" s="63"/>
      <c r="AC149" s="63"/>
      <c r="AD149" s="36"/>
      <c r="AE149" s="31"/>
      <c r="AF149" s="9"/>
      <c r="AG149" s="6"/>
      <c r="AH149" s="6"/>
      <c r="AI149" s="6"/>
      <c r="AJ149" s="36"/>
      <c r="AK149" s="31"/>
      <c r="AL149" s="9"/>
      <c r="AM149" s="6"/>
      <c r="AN149" s="6"/>
      <c r="AO149" s="6"/>
      <c r="AP149" s="36"/>
    </row>
    <row r="150" spans="1:42" ht="20.100000000000001" customHeight="1">
      <c r="A150" s="30">
        <v>135</v>
      </c>
      <c r="B150" s="131"/>
      <c r="C150" s="144" t="s">
        <v>1904</v>
      </c>
      <c r="D150" s="27"/>
      <c r="E150" s="27"/>
      <c r="F150" s="27"/>
      <c r="G150" s="27"/>
      <c r="H150" s="70" t="s">
        <v>1905</v>
      </c>
      <c r="I150" s="177" t="s">
        <v>1906</v>
      </c>
      <c r="J150" s="138"/>
      <c r="K150" s="29"/>
      <c r="L150" s="11"/>
      <c r="M150" s="11"/>
      <c r="N150" s="11"/>
      <c r="O150" s="44"/>
      <c r="P150" s="44"/>
      <c r="Q150" s="44"/>
      <c r="R150" s="53"/>
      <c r="S150" s="44"/>
      <c r="T150" s="46"/>
      <c r="U150" s="46"/>
      <c r="V150" s="53"/>
      <c r="W150" s="74"/>
      <c r="X150" s="70"/>
      <c r="Y150" s="11"/>
      <c r="Z150" s="11"/>
      <c r="AA150" s="63"/>
      <c r="AB150" s="63"/>
      <c r="AC150" s="63"/>
      <c r="AD150" s="36"/>
      <c r="AE150" s="31"/>
      <c r="AF150" s="9"/>
      <c r="AG150" s="6"/>
      <c r="AH150" s="6"/>
      <c r="AI150" s="6"/>
      <c r="AJ150" s="36"/>
      <c r="AK150" s="31"/>
      <c r="AL150" s="9"/>
      <c r="AM150" s="6"/>
      <c r="AN150" s="6"/>
      <c r="AO150" s="6"/>
      <c r="AP150" s="36"/>
    </row>
    <row r="151" spans="1:42" ht="20.100000000000001" customHeight="1">
      <c r="A151" s="30">
        <v>136</v>
      </c>
      <c r="B151" s="131"/>
      <c r="C151" s="144" t="s">
        <v>1498</v>
      </c>
      <c r="D151" s="27"/>
      <c r="E151" s="27"/>
      <c r="F151" s="27"/>
      <c r="G151" s="27"/>
      <c r="H151" s="70" t="s">
        <v>1723</v>
      </c>
      <c r="I151" s="177" t="s">
        <v>833</v>
      </c>
      <c r="J151" s="138"/>
      <c r="K151" s="29"/>
      <c r="L151" s="11"/>
      <c r="M151" s="11"/>
      <c r="N151" s="11"/>
      <c r="O151" s="44"/>
      <c r="P151" s="44"/>
      <c r="Q151" s="44"/>
      <c r="R151" s="53"/>
      <c r="S151" s="44"/>
      <c r="T151" s="46"/>
      <c r="U151" s="46"/>
      <c r="V151" s="53"/>
      <c r="W151" s="74"/>
      <c r="X151" s="70"/>
      <c r="Y151" s="11"/>
      <c r="Z151" s="11"/>
      <c r="AA151" s="63"/>
      <c r="AB151" s="63"/>
      <c r="AC151" s="63"/>
      <c r="AD151" s="36"/>
      <c r="AE151" s="31"/>
      <c r="AF151" s="9"/>
      <c r="AG151" s="6"/>
      <c r="AH151" s="6"/>
      <c r="AI151" s="6"/>
      <c r="AJ151" s="36"/>
      <c r="AK151" s="31"/>
      <c r="AL151" s="9"/>
      <c r="AM151" s="6"/>
      <c r="AN151" s="6"/>
      <c r="AO151" s="6"/>
      <c r="AP151" s="36"/>
    </row>
    <row r="152" spans="1:42">
      <c r="A152" s="30">
        <v>138</v>
      </c>
      <c r="B152" s="131"/>
      <c r="C152" s="134" t="s">
        <v>848</v>
      </c>
      <c r="D152" s="27"/>
      <c r="E152" s="27"/>
      <c r="F152" s="27"/>
      <c r="G152" s="27"/>
      <c r="H152" s="70" t="s">
        <v>1125</v>
      </c>
      <c r="I152" s="177" t="s">
        <v>1922</v>
      </c>
      <c r="J152" s="137" t="s">
        <v>1920</v>
      </c>
      <c r="K152" s="117"/>
      <c r="L152" s="6"/>
      <c r="M152" s="6"/>
      <c r="N152" s="6"/>
      <c r="O152" s="44"/>
      <c r="P152" s="44"/>
      <c r="Q152" s="44"/>
      <c r="R152" s="53"/>
      <c r="S152" s="44"/>
      <c r="T152" s="44"/>
      <c r="U152" s="44"/>
      <c r="V152" s="53"/>
      <c r="W152" s="31"/>
      <c r="X152" s="9"/>
      <c r="Y152" s="11"/>
      <c r="Z152" s="11"/>
      <c r="AA152" s="63"/>
      <c r="AB152" s="63"/>
      <c r="AC152" s="63"/>
      <c r="AD152" s="36"/>
      <c r="AE152" s="31"/>
      <c r="AF152" s="9"/>
      <c r="AG152" s="6"/>
      <c r="AH152" s="6"/>
      <c r="AI152" s="6"/>
      <c r="AJ152" s="36"/>
      <c r="AK152" s="31"/>
      <c r="AL152" s="9"/>
      <c r="AM152" s="6"/>
      <c r="AN152" s="6"/>
      <c r="AO152" s="6"/>
      <c r="AP152" s="36"/>
    </row>
    <row r="153" spans="1:42" ht="27">
      <c r="A153" s="30">
        <v>139</v>
      </c>
      <c r="B153" s="131"/>
      <c r="C153" s="134" t="s">
        <v>949</v>
      </c>
      <c r="D153" s="27"/>
      <c r="E153" s="27"/>
      <c r="F153" s="27"/>
      <c r="G153" s="27"/>
      <c r="H153" s="70" t="s">
        <v>1525</v>
      </c>
      <c r="I153" s="177" t="s">
        <v>1500</v>
      </c>
      <c r="J153" s="138" t="s">
        <v>633</v>
      </c>
      <c r="K153" s="117"/>
      <c r="L153" s="6">
        <v>20200</v>
      </c>
      <c r="M153" s="6">
        <v>1010</v>
      </c>
      <c r="N153" s="6">
        <v>21210</v>
      </c>
      <c r="O153" s="44">
        <f>E153</f>
        <v>0</v>
      </c>
      <c r="P153" s="44">
        <v>160</v>
      </c>
      <c r="Q153" s="44">
        <v>270</v>
      </c>
      <c r="R153" s="53" t="s">
        <v>70</v>
      </c>
      <c r="S153" s="44"/>
      <c r="T153" s="44"/>
      <c r="U153" s="44"/>
      <c r="V153" s="53"/>
      <c r="W153" s="74">
        <v>400950</v>
      </c>
      <c r="X153" s="9" t="str">
        <f>IFERROR(INDEX([1]Sheet1!$A$2:$X$1948,MATCH($W$2:$W$268,[1]Sheet1!$G$2:$G$1948,0),8),"")</f>
        <v>돈뒷다리(0.5*0.5*5cm 잡채용 KG)</v>
      </c>
      <c r="Y153" s="11">
        <v>1000</v>
      </c>
      <c r="Z153" s="11"/>
      <c r="AA153" s="63">
        <v>25</v>
      </c>
      <c r="AB153" s="63" t="e">
        <f>P153*AD153</f>
        <v>#DIV/0!</v>
      </c>
      <c r="AC153" s="63" t="e">
        <f>Q153*AD153</f>
        <v>#DIV/0!</v>
      </c>
      <c r="AD153" s="36" t="e">
        <f>AA153/E153</f>
        <v>#DIV/0!</v>
      </c>
      <c r="AE153" s="31">
        <v>210182</v>
      </c>
      <c r="AF153" s="9" t="str">
        <f>IFERROR(INDEX([1]Sheet1!$A$2:$X$1948,MATCH($AE$2:$AE$268,[1]Sheet1!$G$2:$G$1948,0),8),"")</f>
        <v>냉동홍피망(다이스 1Kg/EA)</v>
      </c>
      <c r="AG153" s="6">
        <v>12</v>
      </c>
      <c r="AH153" s="6" t="e">
        <f>P153*AJ153</f>
        <v>#DIV/0!</v>
      </c>
      <c r="AI153" s="6" t="e">
        <f>Q153*AJ153</f>
        <v>#DIV/0!</v>
      </c>
      <c r="AJ153" s="36" t="e">
        <f>AG153/$E153</f>
        <v>#DIV/0!</v>
      </c>
      <c r="AK153" s="31"/>
      <c r="AL153" s="9">
        <f>IFERROR(INDEX([1]Sheet1!$A$2:$X$1948,MATCH($AK$2:$AK$268,[1]Sheet1!$G$2:$G$1948,0),8),"")</f>
        <v>0</v>
      </c>
      <c r="AM153" s="6">
        <v>12</v>
      </c>
      <c r="AN153" s="6" t="e">
        <f>P153*AP153</f>
        <v>#DIV/0!</v>
      </c>
      <c r="AO153" s="6" t="e">
        <f>Q153*AP153</f>
        <v>#DIV/0!</v>
      </c>
      <c r="AP153" s="36" t="e">
        <f>AM153/$E153</f>
        <v>#DIV/0!</v>
      </c>
    </row>
    <row r="154" spans="1:42">
      <c r="A154" s="30">
        <v>140</v>
      </c>
      <c r="B154" s="131"/>
      <c r="C154" s="134" t="s">
        <v>1519</v>
      </c>
      <c r="D154" s="27"/>
      <c r="E154" s="27"/>
      <c r="F154" s="27"/>
      <c r="G154" s="27"/>
      <c r="H154" s="70" t="s">
        <v>1830</v>
      </c>
      <c r="I154" s="177" t="s">
        <v>1500</v>
      </c>
      <c r="J154" s="138"/>
      <c r="K154" s="117"/>
      <c r="L154" s="6"/>
      <c r="M154" s="6"/>
      <c r="N154" s="6"/>
      <c r="O154" s="44"/>
      <c r="P154" s="44"/>
      <c r="Q154" s="44"/>
      <c r="R154" s="53"/>
      <c r="S154" s="44"/>
      <c r="T154" s="44"/>
      <c r="U154" s="44"/>
      <c r="V154" s="53"/>
      <c r="W154" s="74"/>
      <c r="X154" s="9"/>
      <c r="Y154" s="11"/>
      <c r="Z154" s="11"/>
      <c r="AA154" s="63"/>
      <c r="AB154" s="63"/>
      <c r="AC154" s="63"/>
      <c r="AD154" s="36"/>
      <c r="AE154" s="31"/>
      <c r="AF154" s="9"/>
      <c r="AG154" s="6"/>
      <c r="AH154" s="6"/>
      <c r="AI154" s="6"/>
      <c r="AJ154" s="36"/>
      <c r="AK154" s="31"/>
      <c r="AL154" s="9"/>
      <c r="AM154" s="6"/>
      <c r="AN154" s="6"/>
      <c r="AO154" s="6"/>
      <c r="AP154" s="36"/>
    </row>
    <row r="155" spans="1:42">
      <c r="A155" s="30">
        <v>141</v>
      </c>
      <c r="B155" s="131"/>
      <c r="C155" s="134" t="s">
        <v>1771</v>
      </c>
      <c r="D155" s="27"/>
      <c r="E155" s="27"/>
      <c r="F155" s="27"/>
      <c r="G155" s="27"/>
      <c r="H155" s="103" t="s">
        <v>701</v>
      </c>
      <c r="I155" s="178" t="s">
        <v>922</v>
      </c>
      <c r="J155" s="138" t="s">
        <v>1842</v>
      </c>
      <c r="K155" s="117"/>
      <c r="L155" s="6"/>
      <c r="M155" s="6"/>
      <c r="N155" s="6"/>
      <c r="O155" s="44"/>
      <c r="P155" s="44"/>
      <c r="Q155" s="44"/>
      <c r="R155" s="53"/>
      <c r="S155" s="44"/>
      <c r="T155" s="44"/>
      <c r="U155" s="44"/>
      <c r="V155" s="53"/>
      <c r="W155" s="31"/>
      <c r="X155" s="9"/>
      <c r="Y155" s="11"/>
      <c r="Z155" s="11"/>
      <c r="AA155" s="63"/>
      <c r="AB155" s="63"/>
      <c r="AC155" s="63"/>
      <c r="AD155" s="36"/>
      <c r="AE155" s="31"/>
      <c r="AF155" s="9"/>
      <c r="AG155" s="6"/>
      <c r="AH155" s="6"/>
      <c r="AI155" s="6"/>
      <c r="AJ155" s="36"/>
      <c r="AK155" s="31"/>
      <c r="AL155" s="9"/>
      <c r="AM155" s="6"/>
      <c r="AN155" s="6"/>
      <c r="AO155" s="6"/>
      <c r="AP155" s="36"/>
    </row>
    <row r="156" spans="1:42" ht="15" customHeight="1">
      <c r="A156" s="30">
        <v>142</v>
      </c>
      <c r="B156" s="131"/>
      <c r="C156" s="134" t="s">
        <v>2142</v>
      </c>
      <c r="D156" s="27"/>
      <c r="E156" s="27"/>
      <c r="F156" s="27"/>
      <c r="G156" s="27"/>
      <c r="H156" s="70" t="s">
        <v>2143</v>
      </c>
      <c r="I156" s="177" t="s">
        <v>845</v>
      </c>
      <c r="J156" s="140"/>
      <c r="K156" s="29"/>
      <c r="L156" s="11"/>
      <c r="M156" s="11"/>
      <c r="N156" s="9"/>
      <c r="O156" s="44"/>
      <c r="P156" s="44"/>
      <c r="Q156" s="44"/>
      <c r="R156" s="53"/>
      <c r="S156" s="44"/>
      <c r="T156" s="46"/>
      <c r="U156" s="46"/>
      <c r="V156" s="53"/>
      <c r="W156" s="31"/>
      <c r="X156" s="70"/>
      <c r="Y156" s="11"/>
      <c r="Z156" s="11"/>
      <c r="AA156" s="63"/>
      <c r="AB156" s="63"/>
      <c r="AC156" s="63"/>
      <c r="AD156" s="36"/>
      <c r="AE156" s="31"/>
      <c r="AF156" s="9"/>
      <c r="AG156" s="6"/>
      <c r="AH156" s="6"/>
      <c r="AI156" s="6"/>
      <c r="AJ156" s="36"/>
      <c r="AK156" s="31"/>
      <c r="AL156" s="9"/>
      <c r="AM156" s="6"/>
      <c r="AN156" s="6"/>
      <c r="AO156" s="6"/>
      <c r="AP156" s="36"/>
    </row>
    <row r="157" spans="1:42">
      <c r="A157" s="30">
        <v>143</v>
      </c>
      <c r="B157" s="131"/>
      <c r="C157" s="134" t="s">
        <v>1306</v>
      </c>
      <c r="D157" s="27"/>
      <c r="E157" s="27"/>
      <c r="F157" s="27"/>
      <c r="G157" s="27"/>
      <c r="H157" s="70" t="s">
        <v>1174</v>
      </c>
      <c r="I157" s="177" t="s">
        <v>1175</v>
      </c>
      <c r="J157" s="137"/>
      <c r="K157" s="117"/>
      <c r="L157" s="6"/>
      <c r="M157" s="6"/>
      <c r="N157" s="6"/>
      <c r="O157" s="44"/>
      <c r="P157" s="44"/>
      <c r="Q157" s="44"/>
      <c r="R157" s="53"/>
      <c r="S157" s="44"/>
      <c r="T157" s="44"/>
      <c r="U157" s="44"/>
      <c r="V157" s="53"/>
      <c r="W157" s="31"/>
      <c r="X157" s="9"/>
      <c r="Y157" s="11"/>
      <c r="Z157" s="11"/>
      <c r="AA157" s="63"/>
      <c r="AB157" s="63"/>
      <c r="AC157" s="63"/>
      <c r="AD157" s="36"/>
      <c r="AE157" s="31"/>
      <c r="AF157" s="9"/>
      <c r="AG157" s="6"/>
      <c r="AH157" s="6"/>
      <c r="AI157" s="6"/>
      <c r="AJ157" s="36"/>
      <c r="AK157" s="31"/>
      <c r="AL157" s="9"/>
      <c r="AM157" s="6"/>
      <c r="AN157" s="6"/>
      <c r="AO157" s="6"/>
      <c r="AP157" s="36"/>
    </row>
    <row r="158" spans="1:42">
      <c r="A158" s="30">
        <v>144</v>
      </c>
      <c r="B158" s="131"/>
      <c r="C158" s="134" t="s">
        <v>1743</v>
      </c>
      <c r="D158" s="27"/>
      <c r="E158" s="27"/>
      <c r="F158" s="27"/>
      <c r="G158" s="27"/>
      <c r="H158" s="70" t="s">
        <v>1179</v>
      </c>
      <c r="I158" s="177" t="s">
        <v>939</v>
      </c>
      <c r="J158" s="138"/>
      <c r="K158" s="29"/>
      <c r="L158" s="11"/>
      <c r="M158" s="11"/>
      <c r="N158" s="11"/>
      <c r="O158" s="44"/>
      <c r="P158" s="44"/>
      <c r="Q158" s="44"/>
      <c r="R158" s="53"/>
      <c r="S158" s="45"/>
      <c r="T158" s="45"/>
      <c r="U158" s="45"/>
      <c r="V158" s="53"/>
      <c r="W158" s="31"/>
      <c r="X158" s="9"/>
      <c r="Y158" s="11"/>
      <c r="Z158" s="11"/>
      <c r="AA158" s="64"/>
      <c r="AB158" s="64"/>
      <c r="AC158" s="64"/>
      <c r="AD158" s="36"/>
      <c r="AE158" s="31"/>
      <c r="AF158" s="9"/>
      <c r="AG158" s="6"/>
      <c r="AH158" s="6"/>
      <c r="AI158" s="6"/>
      <c r="AJ158" s="36"/>
      <c r="AK158" s="31"/>
      <c r="AL158" s="9"/>
      <c r="AM158" s="6"/>
      <c r="AN158" s="6"/>
      <c r="AO158" s="6"/>
      <c r="AP158" s="36"/>
    </row>
    <row r="159" spans="1:42">
      <c r="A159" s="30">
        <v>145</v>
      </c>
      <c r="B159" s="131"/>
      <c r="C159" s="134" t="s">
        <v>576</v>
      </c>
      <c r="D159" s="27"/>
      <c r="E159" s="27"/>
      <c r="F159" s="27"/>
      <c r="G159" s="27"/>
      <c r="H159" s="70" t="s">
        <v>1914</v>
      </c>
      <c r="I159" s="177" t="s">
        <v>1916</v>
      </c>
      <c r="J159" s="138" t="s">
        <v>1915</v>
      </c>
      <c r="K159" s="117"/>
      <c r="L159" s="6">
        <v>12275</v>
      </c>
      <c r="M159" s="6">
        <v>613.75</v>
      </c>
      <c r="N159" s="6">
        <v>12888.75</v>
      </c>
      <c r="O159" s="44">
        <f>E159</f>
        <v>0</v>
      </c>
      <c r="P159" s="44">
        <v>170</v>
      </c>
      <c r="Q159" s="44">
        <v>240</v>
      </c>
      <c r="R159" s="53" t="s">
        <v>70</v>
      </c>
      <c r="S159" s="44"/>
      <c r="T159" s="44"/>
      <c r="U159" s="44"/>
      <c r="V159" s="53"/>
      <c r="W159" s="74">
        <v>400950</v>
      </c>
      <c r="X159" s="9" t="str">
        <f>IFERROR(INDEX([1]Sheet1!$A$2:$X$1948,MATCH($W$2:$W$268,[1]Sheet1!$G$2:$G$1948,0),8),"")</f>
        <v>돈뒷다리(0.5*0.5*5cm 잡채용 KG)</v>
      </c>
      <c r="Y159" s="11">
        <v>1000</v>
      </c>
      <c r="Z159" s="11"/>
      <c r="AA159" s="63">
        <v>10</v>
      </c>
      <c r="AB159" s="63" t="e">
        <f>P159*AD159</f>
        <v>#DIV/0!</v>
      </c>
      <c r="AC159" s="63" t="e">
        <f>Q159*AD159</f>
        <v>#DIV/0!</v>
      </c>
      <c r="AD159" s="36" t="e">
        <f>AA159/E159</f>
        <v>#DIV/0!</v>
      </c>
      <c r="AE159" s="31">
        <v>111912</v>
      </c>
      <c r="AF159" s="9" t="str">
        <f>IFERROR(INDEX([1]Sheet1!$A$2:$X$1948,MATCH($AE$2:$AE$268,[1]Sheet1!$G$2:$G$1948,0),8),"")</f>
        <v>이츠웰 찰당면(14Kg/EA)</v>
      </c>
      <c r="AG159" s="6">
        <v>12</v>
      </c>
      <c r="AH159" s="6" t="e">
        <f>P159*AJ159</f>
        <v>#DIV/0!</v>
      </c>
      <c r="AI159" s="6" t="e">
        <f>Q159*AJ159</f>
        <v>#DIV/0!</v>
      </c>
      <c r="AJ159" s="36" t="e">
        <f>AG159/$E159</f>
        <v>#DIV/0!</v>
      </c>
      <c r="AK159" s="31"/>
      <c r="AL159" s="9">
        <f>IFERROR(INDEX([1]Sheet1!$A$2:$X$1948,MATCH($AK$2:$AK$268,[1]Sheet1!$G$2:$G$1948,0),8),"")</f>
        <v>0</v>
      </c>
      <c r="AM159" s="6">
        <v>12</v>
      </c>
      <c r="AN159" s="6" t="e">
        <f>P159*AP159</f>
        <v>#DIV/0!</v>
      </c>
      <c r="AO159" s="6" t="e">
        <f>Q159*AP159</f>
        <v>#DIV/0!</v>
      </c>
      <c r="AP159" s="36" t="e">
        <f>AM159/$E159</f>
        <v>#DIV/0!</v>
      </c>
    </row>
    <row r="160" spans="1:42">
      <c r="A160" s="30">
        <v>146</v>
      </c>
      <c r="B160" s="131"/>
      <c r="C160" s="134" t="s">
        <v>351</v>
      </c>
      <c r="D160" s="27"/>
      <c r="E160" s="27"/>
      <c r="F160" s="27"/>
      <c r="G160" s="27"/>
      <c r="H160" s="70" t="s">
        <v>1205</v>
      </c>
      <c r="I160" s="177" t="s">
        <v>932</v>
      </c>
      <c r="J160" s="137" t="s">
        <v>16</v>
      </c>
      <c r="K160" s="29"/>
      <c r="L160" s="11">
        <v>17430</v>
      </c>
      <c r="M160" s="11">
        <v>871.5</v>
      </c>
      <c r="N160" s="11">
        <v>18301.5</v>
      </c>
      <c r="O160" s="44"/>
      <c r="P160" s="44"/>
      <c r="Q160" s="44"/>
      <c r="R160" s="53"/>
      <c r="S160" s="47"/>
      <c r="T160" s="47"/>
      <c r="U160" s="47"/>
      <c r="V160" s="53"/>
      <c r="W160" s="31"/>
      <c r="X160" s="9"/>
      <c r="Y160" s="11"/>
      <c r="Z160" s="11"/>
      <c r="AA160" s="67"/>
      <c r="AB160" s="67"/>
      <c r="AC160" s="67"/>
      <c r="AD160" s="36"/>
      <c r="AE160" s="31"/>
      <c r="AF160" s="9"/>
      <c r="AG160" s="6"/>
      <c r="AH160" s="6"/>
      <c r="AI160" s="6"/>
      <c r="AJ160" s="36"/>
      <c r="AK160" s="31"/>
      <c r="AL160" s="9"/>
      <c r="AM160" s="6"/>
      <c r="AN160" s="6"/>
      <c r="AO160" s="6"/>
      <c r="AP160" s="36"/>
    </row>
    <row r="161" spans="1:42" ht="27">
      <c r="A161" s="30">
        <v>147</v>
      </c>
      <c r="B161" s="131"/>
      <c r="C161" s="134" t="s">
        <v>1023</v>
      </c>
      <c r="D161" s="27"/>
      <c r="E161" s="27"/>
      <c r="F161" s="27"/>
      <c r="G161" s="27"/>
      <c r="H161" s="70" t="s">
        <v>719</v>
      </c>
      <c r="I161" s="177" t="s">
        <v>885</v>
      </c>
      <c r="J161" s="138"/>
      <c r="K161" s="117"/>
      <c r="L161" s="6"/>
      <c r="M161" s="6"/>
      <c r="N161" s="6"/>
      <c r="O161" s="44"/>
      <c r="P161" s="44"/>
      <c r="Q161" s="44"/>
      <c r="R161" s="53"/>
      <c r="S161" s="44"/>
      <c r="T161" s="44"/>
      <c r="U161" s="44"/>
      <c r="V161" s="53"/>
      <c r="W161" s="74"/>
      <c r="X161" s="9"/>
      <c r="Y161" s="11"/>
      <c r="Z161" s="11"/>
      <c r="AA161" s="63"/>
      <c r="AB161" s="63"/>
      <c r="AC161" s="63"/>
      <c r="AD161" s="36"/>
      <c r="AE161" s="31"/>
      <c r="AF161" s="9"/>
      <c r="AG161" s="6"/>
      <c r="AH161" s="6"/>
      <c r="AI161" s="6"/>
      <c r="AJ161" s="36"/>
      <c r="AK161" s="31"/>
      <c r="AL161" s="9"/>
      <c r="AM161" s="6"/>
      <c r="AN161" s="6"/>
      <c r="AO161" s="6"/>
      <c r="AP161" s="36"/>
    </row>
    <row r="162" spans="1:42" ht="27">
      <c r="A162" s="30">
        <v>148</v>
      </c>
      <c r="B162" s="131"/>
      <c r="C162" s="134" t="s">
        <v>2036</v>
      </c>
      <c r="D162" s="27"/>
      <c r="E162" s="27"/>
      <c r="F162" s="27"/>
      <c r="G162" s="27"/>
      <c r="H162" s="70" t="s">
        <v>1685</v>
      </c>
      <c r="I162" s="177" t="s">
        <v>885</v>
      </c>
      <c r="J162" s="138"/>
      <c r="K162" s="117"/>
      <c r="L162" s="6"/>
      <c r="M162" s="6"/>
      <c r="N162" s="6"/>
      <c r="O162" s="44"/>
      <c r="P162" s="44"/>
      <c r="Q162" s="44"/>
      <c r="R162" s="53"/>
      <c r="S162" s="44"/>
      <c r="T162" s="44"/>
      <c r="U162" s="44"/>
      <c r="V162" s="53"/>
      <c r="W162" s="74"/>
      <c r="X162" s="9"/>
      <c r="Y162" s="11"/>
      <c r="Z162" s="11"/>
      <c r="AA162" s="63"/>
      <c r="AB162" s="63"/>
      <c r="AC162" s="63"/>
      <c r="AD162" s="36"/>
      <c r="AE162" s="31"/>
      <c r="AF162" s="9"/>
      <c r="AG162" s="6"/>
      <c r="AH162" s="6"/>
      <c r="AI162" s="6"/>
      <c r="AJ162" s="36"/>
      <c r="AK162" s="31"/>
      <c r="AL162" s="9"/>
      <c r="AM162" s="6"/>
      <c r="AN162" s="6"/>
      <c r="AO162" s="6"/>
      <c r="AP162" s="36"/>
    </row>
    <row r="163" spans="1:42" ht="27">
      <c r="A163" s="30"/>
      <c r="B163" s="131"/>
      <c r="C163" s="134" t="s">
        <v>1684</v>
      </c>
      <c r="D163" s="27"/>
      <c r="E163" s="27"/>
      <c r="F163" s="27"/>
      <c r="G163" s="27"/>
      <c r="H163" s="70" t="s">
        <v>1686</v>
      </c>
      <c r="I163" s="177" t="s">
        <v>885</v>
      </c>
      <c r="J163" s="138"/>
      <c r="K163" s="117"/>
      <c r="L163" s="6"/>
      <c r="M163" s="6"/>
      <c r="N163" s="6"/>
      <c r="O163" s="44"/>
      <c r="P163" s="44"/>
      <c r="Q163" s="44"/>
      <c r="R163" s="53"/>
      <c r="S163" s="44"/>
      <c r="T163" s="44"/>
      <c r="U163" s="44"/>
      <c r="V163" s="53"/>
      <c r="W163" s="74"/>
      <c r="X163" s="9"/>
      <c r="Y163" s="11"/>
      <c r="Z163" s="11"/>
      <c r="AA163" s="63"/>
      <c r="AB163" s="63"/>
      <c r="AC163" s="63"/>
      <c r="AD163" s="36"/>
      <c r="AE163" s="31"/>
      <c r="AF163" s="9"/>
      <c r="AG163" s="6"/>
      <c r="AH163" s="6"/>
      <c r="AI163" s="6"/>
      <c r="AJ163" s="36"/>
      <c r="AK163" s="31"/>
      <c r="AL163" s="9"/>
      <c r="AM163" s="6"/>
      <c r="AN163" s="6"/>
      <c r="AO163" s="6"/>
      <c r="AP163" s="36"/>
    </row>
    <row r="164" spans="1:42">
      <c r="A164" s="30">
        <v>150</v>
      </c>
      <c r="B164" s="131"/>
      <c r="C164" s="134" t="s">
        <v>706</v>
      </c>
      <c r="D164" s="27"/>
      <c r="E164" s="27"/>
      <c r="F164" s="27"/>
      <c r="G164" s="27"/>
      <c r="H164" s="70" t="s">
        <v>818</v>
      </c>
      <c r="I164" s="177" t="s">
        <v>1563</v>
      </c>
      <c r="J164" s="138"/>
      <c r="K164" s="29"/>
      <c r="L164" s="11"/>
      <c r="M164" s="11"/>
      <c r="N164" s="11"/>
      <c r="O164" s="44"/>
      <c r="P164" s="44"/>
      <c r="Q164" s="44"/>
      <c r="R164" s="53"/>
      <c r="S164" s="45"/>
      <c r="T164" s="45"/>
      <c r="U164" s="45"/>
      <c r="V164" s="53"/>
      <c r="W164" s="31"/>
      <c r="X164" s="9"/>
      <c r="Y164" s="11"/>
      <c r="Z164" s="11"/>
      <c r="AA164" s="63"/>
      <c r="AB164" s="63"/>
      <c r="AC164" s="63"/>
      <c r="AD164" s="36"/>
      <c r="AE164" s="31"/>
      <c r="AF164" s="9"/>
      <c r="AG164" s="6"/>
      <c r="AH164" s="6"/>
      <c r="AI164" s="6"/>
      <c r="AJ164" s="36"/>
      <c r="AK164" s="31"/>
      <c r="AL164" s="9"/>
      <c r="AM164" s="6"/>
      <c r="AN164" s="6"/>
      <c r="AO164" s="6"/>
      <c r="AP164" s="36"/>
    </row>
    <row r="165" spans="1:42" ht="20.100000000000001" customHeight="1">
      <c r="A165" s="30">
        <v>151</v>
      </c>
      <c r="B165" s="131"/>
      <c r="C165" s="134" t="s">
        <v>1815</v>
      </c>
      <c r="D165" s="27"/>
      <c r="E165" s="27"/>
      <c r="F165" s="27"/>
      <c r="G165" s="27"/>
      <c r="H165" s="70" t="s">
        <v>1384</v>
      </c>
      <c r="I165" s="177" t="s">
        <v>1265</v>
      </c>
      <c r="J165" s="271" t="s">
        <v>1945</v>
      </c>
      <c r="K165" s="29"/>
      <c r="L165" s="11"/>
      <c r="M165" s="11"/>
      <c r="N165" s="11"/>
      <c r="O165" s="44"/>
      <c r="P165" s="44"/>
      <c r="Q165" s="44"/>
      <c r="R165" s="53"/>
      <c r="S165" s="44"/>
      <c r="T165" s="46"/>
      <c r="U165" s="46"/>
      <c r="V165" s="53"/>
      <c r="W165" s="74"/>
      <c r="X165" s="70"/>
      <c r="Y165" s="11"/>
      <c r="Z165" s="11"/>
      <c r="AA165" s="63"/>
      <c r="AB165" s="63"/>
      <c r="AC165" s="63"/>
      <c r="AD165" s="36"/>
      <c r="AE165" s="31"/>
      <c r="AF165" s="9"/>
      <c r="AG165" s="6"/>
      <c r="AH165" s="6"/>
      <c r="AI165" s="6"/>
      <c r="AJ165" s="36"/>
      <c r="AK165" s="31"/>
      <c r="AL165" s="9"/>
      <c r="AM165" s="6"/>
      <c r="AN165" s="6"/>
      <c r="AO165" s="6"/>
      <c r="AP165" s="36"/>
    </row>
    <row r="166" spans="1:42">
      <c r="A166" s="30">
        <v>152</v>
      </c>
      <c r="B166" s="131"/>
      <c r="C166" s="231" t="s">
        <v>1088</v>
      </c>
      <c r="D166" s="27"/>
      <c r="E166" s="27"/>
      <c r="F166" s="27"/>
      <c r="G166" s="27"/>
      <c r="H166" s="70" t="s">
        <v>1378</v>
      </c>
      <c r="I166" s="177" t="s">
        <v>1090</v>
      </c>
      <c r="J166" s="138" t="s">
        <v>1089</v>
      </c>
      <c r="K166" s="29"/>
      <c r="L166" s="11"/>
      <c r="M166" s="11"/>
      <c r="N166" s="11"/>
      <c r="O166" s="44"/>
      <c r="P166" s="44"/>
      <c r="Q166" s="44"/>
      <c r="R166" s="53"/>
      <c r="S166" s="44"/>
      <c r="T166" s="46"/>
      <c r="U166" s="46"/>
      <c r="V166" s="53"/>
      <c r="W166" s="74"/>
      <c r="X166" s="9"/>
      <c r="Y166" s="11"/>
      <c r="Z166" s="11"/>
      <c r="AA166" s="63"/>
      <c r="AB166" s="63"/>
      <c r="AC166" s="63"/>
      <c r="AD166" s="36"/>
      <c r="AE166" s="31"/>
      <c r="AF166" s="9"/>
      <c r="AG166" s="6"/>
      <c r="AH166" s="6"/>
      <c r="AI166" s="6"/>
      <c r="AJ166" s="36"/>
      <c r="AK166" s="31"/>
      <c r="AL166" s="9"/>
      <c r="AM166" s="6"/>
      <c r="AN166" s="6"/>
      <c r="AO166" s="6"/>
      <c r="AP166" s="36"/>
    </row>
    <row r="167" spans="1:42">
      <c r="A167" s="30">
        <v>153</v>
      </c>
      <c r="B167" s="131"/>
      <c r="C167" s="226" t="s">
        <v>1025</v>
      </c>
      <c r="D167" s="27"/>
      <c r="E167" s="27"/>
      <c r="F167" s="27"/>
      <c r="G167" s="27"/>
      <c r="H167" s="70" t="s">
        <v>823</v>
      </c>
      <c r="I167" s="177" t="s">
        <v>890</v>
      </c>
      <c r="J167" s="138"/>
      <c r="K167" s="29"/>
      <c r="L167" s="11"/>
      <c r="M167" s="11"/>
      <c r="N167" s="11"/>
      <c r="O167" s="44"/>
      <c r="P167" s="44"/>
      <c r="Q167" s="44"/>
      <c r="R167" s="53"/>
      <c r="S167" s="44"/>
      <c r="T167" s="46"/>
      <c r="U167" s="46"/>
      <c r="V167" s="53"/>
      <c r="W167" s="74"/>
      <c r="X167" s="9"/>
      <c r="Y167" s="11"/>
      <c r="Z167" s="11"/>
      <c r="AA167" s="63"/>
      <c r="AB167" s="63"/>
      <c r="AC167" s="63"/>
      <c r="AD167" s="36"/>
      <c r="AE167" s="31"/>
      <c r="AF167" s="75"/>
      <c r="AG167" s="6"/>
      <c r="AH167" s="6"/>
      <c r="AI167" s="6"/>
      <c r="AJ167" s="36"/>
      <c r="AK167" s="31"/>
      <c r="AL167" s="9"/>
      <c r="AM167" s="6"/>
      <c r="AN167" s="6"/>
      <c r="AO167" s="6"/>
      <c r="AP167" s="36"/>
    </row>
    <row r="168" spans="1:42" ht="20.100000000000001" customHeight="1">
      <c r="A168" s="30">
        <v>154</v>
      </c>
      <c r="B168" s="131"/>
      <c r="C168" s="230" t="s">
        <v>710</v>
      </c>
      <c r="D168" s="27"/>
      <c r="E168" s="27"/>
      <c r="F168" s="27"/>
      <c r="G168" s="27"/>
      <c r="H168" s="133" t="s">
        <v>1917</v>
      </c>
      <c r="I168" s="181" t="s">
        <v>905</v>
      </c>
      <c r="J168" s="138" t="s">
        <v>1930</v>
      </c>
      <c r="K168" s="29"/>
      <c r="L168" s="11"/>
      <c r="M168" s="11"/>
      <c r="N168" s="11"/>
      <c r="O168" s="44"/>
      <c r="P168" s="44"/>
      <c r="Q168" s="44"/>
      <c r="R168" s="53"/>
      <c r="S168" s="44"/>
      <c r="T168" s="46"/>
      <c r="U168" s="46"/>
      <c r="V168" s="53"/>
      <c r="W168" s="34"/>
      <c r="X168" s="35"/>
      <c r="Y168" s="61"/>
      <c r="Z168" s="61"/>
      <c r="AA168" s="63"/>
      <c r="AB168" s="63"/>
      <c r="AC168" s="63"/>
      <c r="AD168" s="36"/>
      <c r="AE168" s="34"/>
      <c r="AF168" s="35"/>
      <c r="AG168" s="6"/>
      <c r="AH168" s="6"/>
      <c r="AI168" s="6"/>
      <c r="AJ168" s="36"/>
      <c r="AK168" s="34"/>
      <c r="AL168" s="35"/>
      <c r="AM168" s="6"/>
      <c r="AN168" s="6"/>
      <c r="AO168" s="6"/>
      <c r="AP168" s="36"/>
    </row>
    <row r="169" spans="1:42">
      <c r="A169" s="30">
        <v>155</v>
      </c>
      <c r="B169" s="131"/>
      <c r="C169" s="226" t="s">
        <v>349</v>
      </c>
      <c r="D169" s="27"/>
      <c r="E169" s="27"/>
      <c r="F169" s="27"/>
      <c r="G169" s="27"/>
      <c r="H169" s="200" t="s">
        <v>1926</v>
      </c>
      <c r="I169" s="185" t="s">
        <v>1227</v>
      </c>
      <c r="J169" s="138" t="s">
        <v>1915</v>
      </c>
      <c r="K169" s="29"/>
      <c r="L169" s="11"/>
      <c r="M169" s="11"/>
      <c r="N169" s="11"/>
      <c r="O169" s="44"/>
      <c r="P169" s="44"/>
      <c r="Q169" s="44"/>
      <c r="R169" s="53"/>
      <c r="S169" s="44"/>
      <c r="T169" s="46"/>
      <c r="U169" s="46"/>
      <c r="V169" s="53"/>
      <c r="W169" s="31"/>
      <c r="X169" s="9"/>
      <c r="Y169" s="11"/>
      <c r="Z169" s="11"/>
      <c r="AA169" s="63"/>
      <c r="AB169" s="63"/>
      <c r="AC169" s="63"/>
      <c r="AD169" s="36"/>
      <c r="AE169" s="31"/>
      <c r="AF169" s="9"/>
      <c r="AG169" s="6"/>
      <c r="AH169" s="6"/>
      <c r="AI169" s="6"/>
      <c r="AJ169" s="36"/>
      <c r="AK169" s="31"/>
      <c r="AL169" s="9"/>
      <c r="AM169" s="6"/>
      <c r="AN169" s="6"/>
      <c r="AO169" s="6"/>
      <c r="AP169" s="36"/>
    </row>
    <row r="170" spans="1:42">
      <c r="A170" s="30">
        <v>156</v>
      </c>
      <c r="B170" s="131"/>
      <c r="C170" s="226" t="s">
        <v>1537</v>
      </c>
      <c r="D170" s="27"/>
      <c r="E170" s="27"/>
      <c r="F170" s="27"/>
      <c r="G170" s="27"/>
      <c r="H170" s="200" t="s">
        <v>1927</v>
      </c>
      <c r="I170" s="185" t="s">
        <v>1913</v>
      </c>
      <c r="J170" s="138" t="s">
        <v>1915</v>
      </c>
      <c r="K170" s="29"/>
      <c r="L170" s="11"/>
      <c r="M170" s="11"/>
      <c r="N170" s="11"/>
      <c r="O170" s="44"/>
      <c r="P170" s="44"/>
      <c r="Q170" s="44"/>
      <c r="R170" s="53"/>
      <c r="S170" s="44"/>
      <c r="T170" s="46"/>
      <c r="U170" s="46"/>
      <c r="V170" s="53"/>
      <c r="W170" s="31"/>
      <c r="X170" s="9"/>
      <c r="Y170" s="11"/>
      <c r="Z170" s="11"/>
      <c r="AA170" s="63"/>
      <c r="AB170" s="63"/>
      <c r="AC170" s="63"/>
      <c r="AD170" s="36"/>
      <c r="AE170" s="31"/>
      <c r="AF170" s="9"/>
      <c r="AG170" s="6"/>
      <c r="AH170" s="6"/>
      <c r="AI170" s="6"/>
      <c r="AJ170" s="36"/>
      <c r="AK170" s="31"/>
      <c r="AL170" s="9"/>
      <c r="AM170" s="6"/>
      <c r="AN170" s="6"/>
      <c r="AO170" s="6"/>
      <c r="AP170" s="36"/>
    </row>
    <row r="171" spans="1:42">
      <c r="A171" s="30">
        <v>157</v>
      </c>
      <c r="B171" s="131"/>
      <c r="C171" s="226" t="s">
        <v>525</v>
      </c>
      <c r="D171" s="27"/>
      <c r="E171" s="27"/>
      <c r="F171" s="27"/>
      <c r="G171" s="27"/>
      <c r="H171" s="70" t="s">
        <v>1931</v>
      </c>
      <c r="I171" s="177" t="s">
        <v>886</v>
      </c>
      <c r="J171" s="137" t="s">
        <v>640</v>
      </c>
      <c r="K171" s="117"/>
      <c r="L171" s="6"/>
      <c r="M171" s="6"/>
      <c r="N171" s="6"/>
      <c r="O171" s="44"/>
      <c r="P171" s="44"/>
      <c r="Q171" s="44"/>
      <c r="R171" s="53"/>
      <c r="S171" s="44"/>
      <c r="T171" s="44"/>
      <c r="U171" s="44"/>
      <c r="V171" s="53"/>
      <c r="W171" s="31"/>
      <c r="X171" s="9"/>
      <c r="Y171" s="11"/>
      <c r="Z171" s="11"/>
      <c r="AA171" s="63"/>
      <c r="AB171" s="63"/>
      <c r="AC171" s="63"/>
      <c r="AD171" s="36"/>
      <c r="AE171" s="31"/>
      <c r="AF171" s="9"/>
      <c r="AG171" s="6"/>
      <c r="AH171" s="6"/>
      <c r="AI171" s="6"/>
      <c r="AJ171" s="36"/>
      <c r="AK171" s="31"/>
      <c r="AL171" s="9"/>
      <c r="AM171" s="6"/>
      <c r="AN171" s="6"/>
      <c r="AO171" s="6"/>
      <c r="AP171" s="36"/>
    </row>
    <row r="172" spans="1:42">
      <c r="A172" s="30">
        <v>158</v>
      </c>
      <c r="B172" s="131"/>
      <c r="C172" s="226" t="s">
        <v>1845</v>
      </c>
      <c r="D172" s="27"/>
      <c r="E172" s="27"/>
      <c r="F172" s="27"/>
      <c r="G172" s="27"/>
      <c r="H172" s="70" t="s">
        <v>1932</v>
      </c>
      <c r="I172" s="177" t="s">
        <v>1907</v>
      </c>
      <c r="J172" s="137" t="s">
        <v>640</v>
      </c>
      <c r="K172" s="117"/>
      <c r="L172" s="6"/>
      <c r="M172" s="6"/>
      <c r="N172" s="6"/>
      <c r="O172" s="44"/>
      <c r="P172" s="44"/>
      <c r="Q172" s="44"/>
      <c r="R172" s="53"/>
      <c r="S172" s="44"/>
      <c r="T172" s="44"/>
      <c r="U172" s="44"/>
      <c r="V172" s="53"/>
      <c r="W172" s="31"/>
      <c r="X172" s="9"/>
      <c r="Y172" s="11"/>
      <c r="Z172" s="11"/>
      <c r="AA172" s="63"/>
      <c r="AB172" s="63"/>
      <c r="AC172" s="63"/>
      <c r="AD172" s="36"/>
      <c r="AE172" s="31"/>
      <c r="AF172" s="9"/>
      <c r="AG172" s="6"/>
      <c r="AH172" s="6"/>
      <c r="AI172" s="6"/>
      <c r="AJ172" s="36"/>
      <c r="AK172" s="31"/>
      <c r="AL172" s="9"/>
      <c r="AM172" s="6"/>
      <c r="AN172" s="6"/>
      <c r="AO172" s="6"/>
      <c r="AP172" s="36"/>
    </row>
    <row r="173" spans="1:42">
      <c r="A173" s="30">
        <v>159</v>
      </c>
      <c r="B173" s="131"/>
      <c r="C173" s="226" t="s">
        <v>976</v>
      </c>
      <c r="D173" s="27"/>
      <c r="E173" s="27"/>
      <c r="F173" s="27"/>
      <c r="G173" s="27"/>
      <c r="H173" s="70" t="s">
        <v>651</v>
      </c>
      <c r="I173" s="177" t="s">
        <v>892</v>
      </c>
      <c r="J173" s="137" t="s">
        <v>1853</v>
      </c>
      <c r="K173" s="117"/>
      <c r="L173" s="6">
        <v>27450</v>
      </c>
      <c r="M173" s="6">
        <v>1372.5</v>
      </c>
      <c r="N173" s="6">
        <v>28822.5</v>
      </c>
      <c r="O173" s="44"/>
      <c r="P173" s="44"/>
      <c r="Q173" s="44"/>
      <c r="R173" s="53"/>
      <c r="S173" s="45"/>
      <c r="T173" s="45"/>
      <c r="U173" s="45"/>
      <c r="V173" s="53"/>
      <c r="W173" s="31"/>
      <c r="X173" s="9"/>
      <c r="Y173" s="11"/>
      <c r="Z173" s="11"/>
      <c r="AA173" s="68"/>
      <c r="AB173" s="68"/>
      <c r="AC173" s="68"/>
      <c r="AD173" s="36"/>
      <c r="AE173" s="31"/>
      <c r="AF173" s="9"/>
      <c r="AG173" s="6"/>
      <c r="AH173" s="6"/>
      <c r="AI173" s="6"/>
      <c r="AJ173" s="36"/>
      <c r="AK173" s="31"/>
      <c r="AL173" s="9"/>
      <c r="AM173" s="6"/>
      <c r="AN173" s="6"/>
      <c r="AO173" s="6"/>
      <c r="AP173" s="36"/>
    </row>
    <row r="174" spans="1:42">
      <c r="A174" s="30">
        <v>160</v>
      </c>
      <c r="B174" s="131"/>
      <c r="C174" s="226" t="s">
        <v>1646</v>
      </c>
      <c r="D174" s="27"/>
      <c r="E174" s="27"/>
      <c r="F174" s="27"/>
      <c r="G174" s="27"/>
      <c r="H174" s="70" t="s">
        <v>1320</v>
      </c>
      <c r="I174" s="177" t="s">
        <v>905</v>
      </c>
      <c r="J174" s="138"/>
      <c r="K174" s="117"/>
      <c r="L174" s="6"/>
      <c r="M174" s="6"/>
      <c r="N174" s="6"/>
      <c r="O174" s="44"/>
      <c r="P174" s="44"/>
      <c r="Q174" s="44"/>
      <c r="R174" s="53"/>
      <c r="S174" s="44"/>
      <c r="T174" s="44"/>
      <c r="U174" s="44"/>
      <c r="V174" s="53"/>
      <c r="W174" s="31"/>
      <c r="X174" s="9"/>
      <c r="Y174" s="11"/>
      <c r="Z174" s="11"/>
      <c r="AA174" s="63"/>
      <c r="AB174" s="63"/>
      <c r="AC174" s="63"/>
      <c r="AD174" s="36"/>
      <c r="AE174" s="31"/>
      <c r="AF174" s="9"/>
      <c r="AG174" s="6"/>
      <c r="AH174" s="6"/>
      <c r="AI174" s="6"/>
      <c r="AJ174" s="36"/>
      <c r="AK174" s="31"/>
      <c r="AL174" s="9"/>
      <c r="AM174" s="6"/>
      <c r="AN174" s="6"/>
      <c r="AO174" s="6"/>
      <c r="AP174" s="36"/>
    </row>
    <row r="175" spans="1:42">
      <c r="A175" s="30">
        <v>161</v>
      </c>
      <c r="B175" s="131"/>
      <c r="C175" s="226" t="s">
        <v>1520</v>
      </c>
      <c r="D175" s="27"/>
      <c r="E175" s="27"/>
      <c r="F175" s="27"/>
      <c r="G175" s="27"/>
      <c r="H175" s="70" t="s">
        <v>953</v>
      </c>
      <c r="I175" s="177" t="s">
        <v>885</v>
      </c>
      <c r="J175" s="138"/>
      <c r="K175" s="117"/>
      <c r="L175" s="6"/>
      <c r="M175" s="6"/>
      <c r="N175" s="6"/>
      <c r="O175" s="44"/>
      <c r="P175" s="44"/>
      <c r="Q175" s="44"/>
      <c r="R175" s="53"/>
      <c r="S175" s="44"/>
      <c r="T175" s="44"/>
      <c r="U175" s="44"/>
      <c r="V175" s="53"/>
      <c r="W175" s="74"/>
      <c r="X175" s="9"/>
      <c r="Y175" s="11"/>
      <c r="Z175" s="11"/>
      <c r="AA175" s="63"/>
      <c r="AB175" s="63"/>
      <c r="AC175" s="63"/>
      <c r="AD175" s="36"/>
      <c r="AE175" s="31"/>
      <c r="AF175" s="9"/>
      <c r="AG175" s="6"/>
      <c r="AH175" s="6"/>
      <c r="AI175" s="6"/>
      <c r="AJ175" s="36"/>
      <c r="AK175" s="31"/>
      <c r="AL175" s="9"/>
      <c r="AM175" s="6"/>
      <c r="AN175" s="6"/>
      <c r="AO175" s="6"/>
      <c r="AP175" s="36"/>
    </row>
    <row r="176" spans="1:42" ht="15" customHeight="1">
      <c r="A176" s="30">
        <v>162</v>
      </c>
      <c r="B176" s="131"/>
      <c r="C176" s="226" t="s">
        <v>1450</v>
      </c>
      <c r="D176" s="27"/>
      <c r="E176" s="27"/>
      <c r="F176" s="27"/>
      <c r="G176" s="27"/>
      <c r="H176" s="70" t="s">
        <v>1451</v>
      </c>
      <c r="I176" s="177" t="s">
        <v>939</v>
      </c>
      <c r="J176" s="140"/>
      <c r="K176" s="29"/>
      <c r="L176" s="11"/>
      <c r="M176" s="11"/>
      <c r="N176" s="9"/>
      <c r="O176" s="44"/>
      <c r="P176" s="44"/>
      <c r="Q176" s="44"/>
      <c r="R176" s="53"/>
      <c r="S176" s="44"/>
      <c r="T176" s="46"/>
      <c r="U176" s="46"/>
      <c r="V176" s="53"/>
      <c r="W176" s="31"/>
      <c r="X176" s="70"/>
      <c r="Y176" s="11"/>
      <c r="Z176" s="11"/>
      <c r="AA176" s="63"/>
      <c r="AB176" s="63"/>
      <c r="AC176" s="63"/>
      <c r="AD176" s="36"/>
      <c r="AE176" s="31"/>
      <c r="AF176" s="9"/>
      <c r="AG176" s="6"/>
      <c r="AH176" s="6"/>
      <c r="AI176" s="6"/>
      <c r="AJ176" s="36"/>
      <c r="AK176" s="31"/>
      <c r="AL176" s="9"/>
      <c r="AM176" s="6"/>
      <c r="AN176" s="6"/>
      <c r="AO176" s="6"/>
      <c r="AP176" s="36"/>
    </row>
    <row r="177" spans="1:42" ht="15" customHeight="1">
      <c r="A177" s="30">
        <v>163</v>
      </c>
      <c r="B177" s="131"/>
      <c r="C177" s="226" t="s">
        <v>1779</v>
      </c>
      <c r="D177" s="27"/>
      <c r="E177" s="27"/>
      <c r="F177" s="27"/>
      <c r="G177" s="27"/>
      <c r="H177" s="70" t="s">
        <v>1924</v>
      </c>
      <c r="I177" s="177" t="s">
        <v>939</v>
      </c>
      <c r="J177" s="140"/>
      <c r="K177" s="29"/>
      <c r="L177" s="11"/>
      <c r="M177" s="11"/>
      <c r="N177" s="9"/>
      <c r="O177" s="44"/>
      <c r="P177" s="44"/>
      <c r="Q177" s="44"/>
      <c r="R177" s="53"/>
      <c r="S177" s="44"/>
      <c r="T177" s="46"/>
      <c r="U177" s="46"/>
      <c r="V177" s="53"/>
      <c r="W177" s="31"/>
      <c r="X177" s="70"/>
      <c r="Y177" s="11"/>
      <c r="Z177" s="11"/>
      <c r="AA177" s="63"/>
      <c r="AB177" s="63"/>
      <c r="AC177" s="63"/>
      <c r="AD177" s="36"/>
      <c r="AE177" s="31"/>
      <c r="AF177" s="9"/>
      <c r="AG177" s="6"/>
      <c r="AH177" s="6"/>
      <c r="AI177" s="6"/>
      <c r="AJ177" s="36"/>
      <c r="AK177" s="31"/>
      <c r="AL177" s="9"/>
      <c r="AM177" s="6"/>
      <c r="AN177" s="6"/>
      <c r="AO177" s="6"/>
      <c r="AP177" s="36"/>
    </row>
    <row r="178" spans="1:42" ht="15" customHeight="1">
      <c r="A178" s="30"/>
      <c r="B178" s="131"/>
      <c r="C178" s="226" t="s">
        <v>1869</v>
      </c>
      <c r="D178" s="27"/>
      <c r="E178" s="27"/>
      <c r="F178" s="27"/>
      <c r="G178" s="27"/>
      <c r="H178" s="70" t="s">
        <v>1925</v>
      </c>
      <c r="I178" s="177" t="s">
        <v>939</v>
      </c>
      <c r="J178" s="140"/>
      <c r="K178" s="29"/>
      <c r="L178" s="11"/>
      <c r="M178" s="11"/>
      <c r="N178" s="9"/>
      <c r="O178" s="44"/>
      <c r="P178" s="44"/>
      <c r="Q178" s="44"/>
      <c r="R178" s="53"/>
      <c r="S178" s="44"/>
      <c r="T178" s="46"/>
      <c r="U178" s="46"/>
      <c r="V178" s="53"/>
      <c r="W178" s="31"/>
      <c r="X178" s="70"/>
      <c r="Y178" s="11"/>
      <c r="Z178" s="11"/>
      <c r="AA178" s="63"/>
      <c r="AB178" s="63"/>
      <c r="AC178" s="63"/>
      <c r="AD178" s="36"/>
      <c r="AE178" s="31"/>
      <c r="AF178" s="9"/>
      <c r="AG178" s="6"/>
      <c r="AH178" s="6"/>
      <c r="AI178" s="6"/>
      <c r="AJ178" s="36"/>
      <c r="AK178" s="31"/>
      <c r="AL178" s="9"/>
      <c r="AM178" s="6"/>
      <c r="AN178" s="6"/>
      <c r="AO178" s="6"/>
      <c r="AP178" s="36"/>
    </row>
    <row r="179" spans="1:42">
      <c r="A179" s="30">
        <v>164</v>
      </c>
      <c r="B179" s="131"/>
      <c r="C179" s="226" t="s">
        <v>1824</v>
      </c>
      <c r="D179" s="27"/>
      <c r="E179" s="27"/>
      <c r="F179" s="27"/>
      <c r="G179" s="27"/>
      <c r="H179" s="70" t="s">
        <v>1242</v>
      </c>
      <c r="I179" s="177" t="s">
        <v>963</v>
      </c>
      <c r="J179" s="138" t="s">
        <v>609</v>
      </c>
      <c r="K179" s="120"/>
      <c r="L179" s="6"/>
      <c r="M179" s="6"/>
      <c r="N179" s="6"/>
      <c r="O179" s="44"/>
      <c r="P179" s="44"/>
      <c r="Q179" s="44"/>
      <c r="R179" s="53"/>
      <c r="S179" s="44"/>
      <c r="T179" s="44"/>
      <c r="U179" s="44"/>
      <c r="V179" s="53"/>
      <c r="W179" s="74"/>
      <c r="X179" s="9"/>
      <c r="Y179" s="11"/>
      <c r="Z179" s="11"/>
      <c r="AA179" s="63"/>
      <c r="AB179" s="63"/>
      <c r="AC179" s="63"/>
      <c r="AD179" s="36"/>
      <c r="AE179" s="31"/>
      <c r="AF179" s="9"/>
      <c r="AG179" s="6"/>
      <c r="AH179" s="6"/>
      <c r="AI179" s="6"/>
      <c r="AJ179" s="36"/>
      <c r="AK179" s="31"/>
      <c r="AL179" s="9"/>
      <c r="AM179" s="6"/>
      <c r="AN179" s="6"/>
      <c r="AO179" s="6"/>
      <c r="AP179" s="36"/>
    </row>
    <row r="180" spans="1:42">
      <c r="A180" s="30">
        <v>165</v>
      </c>
      <c r="B180" s="131"/>
      <c r="C180" s="226" t="s">
        <v>1421</v>
      </c>
      <c r="D180" s="27"/>
      <c r="E180" s="27"/>
      <c r="F180" s="27"/>
      <c r="G180" s="27"/>
      <c r="H180" s="103" t="s">
        <v>2117</v>
      </c>
      <c r="I180" s="177" t="s">
        <v>922</v>
      </c>
      <c r="J180" s="138" t="s">
        <v>702</v>
      </c>
      <c r="K180" s="120"/>
      <c r="L180" s="6"/>
      <c r="M180" s="6"/>
      <c r="N180" s="6"/>
      <c r="O180" s="44"/>
      <c r="P180" s="44"/>
      <c r="Q180" s="44"/>
      <c r="R180" s="53"/>
      <c r="S180" s="44"/>
      <c r="T180" s="44"/>
      <c r="U180" s="44"/>
      <c r="V180" s="53"/>
      <c r="W180" s="74"/>
      <c r="X180" s="9"/>
      <c r="Y180" s="11"/>
      <c r="Z180" s="11"/>
      <c r="AA180" s="63"/>
      <c r="AB180" s="63"/>
      <c r="AC180" s="63"/>
      <c r="AD180" s="36"/>
      <c r="AE180" s="31"/>
      <c r="AF180" s="9"/>
      <c r="AG180" s="6"/>
      <c r="AH180" s="6"/>
      <c r="AI180" s="6"/>
      <c r="AJ180" s="36"/>
      <c r="AK180" s="31"/>
      <c r="AL180" s="9"/>
      <c r="AM180" s="6"/>
      <c r="AN180" s="6"/>
      <c r="AO180" s="6"/>
      <c r="AP180" s="36"/>
    </row>
    <row r="181" spans="1:42" ht="24">
      <c r="A181" s="30">
        <v>166</v>
      </c>
      <c r="B181" s="131"/>
      <c r="C181" s="226" t="s">
        <v>1322</v>
      </c>
      <c r="D181" s="27"/>
      <c r="E181" s="27"/>
      <c r="F181" s="27"/>
      <c r="G181" s="27"/>
      <c r="H181" s="137" t="s">
        <v>1323</v>
      </c>
      <c r="I181" s="182" t="s">
        <v>899</v>
      </c>
      <c r="J181" s="138" t="s">
        <v>1324</v>
      </c>
      <c r="K181" s="117"/>
      <c r="L181" s="6">
        <v>22500</v>
      </c>
      <c r="M181" s="6">
        <v>1125</v>
      </c>
      <c r="N181" s="6">
        <v>23625</v>
      </c>
      <c r="O181" s="44"/>
      <c r="P181" s="44"/>
      <c r="Q181" s="44"/>
      <c r="R181" s="53"/>
      <c r="S181" s="45"/>
      <c r="T181" s="45"/>
      <c r="U181" s="45"/>
      <c r="V181" s="53"/>
      <c r="W181" s="31"/>
      <c r="X181" s="9"/>
      <c r="Y181" s="11"/>
      <c r="Z181" s="11"/>
      <c r="AA181" s="64"/>
      <c r="AB181" s="64"/>
      <c r="AC181" s="64"/>
      <c r="AD181" s="36"/>
      <c r="AE181" s="31"/>
      <c r="AF181" s="9"/>
      <c r="AG181" s="6"/>
      <c r="AH181" s="6"/>
      <c r="AI181" s="6"/>
      <c r="AJ181" s="36"/>
      <c r="AK181" s="31"/>
      <c r="AL181" s="9"/>
      <c r="AM181" s="6"/>
      <c r="AN181" s="6"/>
      <c r="AO181" s="6"/>
      <c r="AP181" s="36"/>
    </row>
    <row r="182" spans="1:42">
      <c r="A182" s="30">
        <v>167</v>
      </c>
      <c r="B182" s="131"/>
      <c r="C182" s="226" t="s">
        <v>1854</v>
      </c>
      <c r="D182" s="27"/>
      <c r="E182" s="27"/>
      <c r="F182" s="27"/>
      <c r="G182" s="27"/>
      <c r="H182" s="70" t="s">
        <v>1855</v>
      </c>
      <c r="I182" s="177" t="s">
        <v>974</v>
      </c>
      <c r="J182" s="137"/>
      <c r="K182" s="117"/>
      <c r="L182" s="6">
        <v>22750</v>
      </c>
      <c r="M182" s="6">
        <v>1137.5</v>
      </c>
      <c r="N182" s="6">
        <v>23887.5</v>
      </c>
      <c r="O182" s="44"/>
      <c r="P182" s="44"/>
      <c r="Q182" s="44"/>
      <c r="R182" s="53"/>
      <c r="S182" s="45"/>
      <c r="T182" s="45"/>
      <c r="U182" s="45"/>
      <c r="V182" s="53"/>
      <c r="W182" s="31"/>
      <c r="X182" s="9"/>
      <c r="Y182" s="11"/>
      <c r="Z182" s="11"/>
      <c r="AA182" s="64"/>
      <c r="AB182" s="64"/>
      <c r="AC182" s="64"/>
      <c r="AD182" s="36"/>
      <c r="AE182" s="31"/>
      <c r="AF182" s="9"/>
      <c r="AG182" s="6"/>
      <c r="AH182" s="6"/>
      <c r="AI182" s="6"/>
      <c r="AJ182" s="36"/>
      <c r="AK182" s="31"/>
      <c r="AL182" s="9"/>
      <c r="AM182" s="6"/>
      <c r="AN182" s="6"/>
      <c r="AO182" s="6"/>
      <c r="AP182" s="36"/>
    </row>
    <row r="183" spans="1:42">
      <c r="A183" s="30">
        <v>168</v>
      </c>
      <c r="B183" s="131"/>
      <c r="C183" s="144" t="s">
        <v>1592</v>
      </c>
      <c r="D183" s="27"/>
      <c r="E183" s="27"/>
      <c r="F183" s="27"/>
      <c r="G183" s="27"/>
      <c r="H183" s="70" t="s">
        <v>1593</v>
      </c>
      <c r="I183" s="177" t="s">
        <v>860</v>
      </c>
      <c r="J183" s="138" t="s">
        <v>1594</v>
      </c>
      <c r="K183" s="117"/>
      <c r="L183" s="6"/>
      <c r="M183" s="6"/>
      <c r="N183" s="6"/>
      <c r="O183" s="44"/>
      <c r="P183" s="44"/>
      <c r="Q183" s="44"/>
      <c r="R183" s="53"/>
      <c r="S183" s="45"/>
      <c r="T183" s="45"/>
      <c r="U183" s="45"/>
      <c r="V183" s="53"/>
      <c r="W183" s="31"/>
      <c r="X183" s="9"/>
      <c r="Y183" s="11"/>
      <c r="Z183" s="11"/>
      <c r="AA183" s="64"/>
      <c r="AB183" s="64"/>
      <c r="AC183" s="64"/>
      <c r="AD183" s="36"/>
      <c r="AE183" s="31"/>
      <c r="AF183" s="9"/>
      <c r="AG183" s="6"/>
      <c r="AH183" s="6"/>
      <c r="AI183" s="6"/>
      <c r="AJ183" s="36"/>
      <c r="AK183" s="31"/>
      <c r="AL183" s="9"/>
      <c r="AM183" s="6"/>
      <c r="AN183" s="6"/>
      <c r="AO183" s="6"/>
      <c r="AP183" s="36"/>
    </row>
    <row r="184" spans="1:42">
      <c r="A184" s="30">
        <v>170</v>
      </c>
      <c r="B184" s="131"/>
      <c r="C184" s="144" t="s">
        <v>590</v>
      </c>
      <c r="D184" s="27"/>
      <c r="E184" s="27"/>
      <c r="F184" s="27"/>
      <c r="G184" s="27"/>
      <c r="H184" s="137" t="s">
        <v>1328</v>
      </c>
      <c r="I184" s="177" t="s">
        <v>974</v>
      </c>
      <c r="J184" s="138"/>
      <c r="K184" s="117"/>
      <c r="L184" s="6"/>
      <c r="M184" s="6"/>
      <c r="N184" s="6"/>
      <c r="O184" s="44"/>
      <c r="P184" s="44"/>
      <c r="Q184" s="44"/>
      <c r="R184" s="53"/>
      <c r="S184" s="44"/>
      <c r="T184" s="44"/>
      <c r="U184" s="44"/>
      <c r="V184" s="53"/>
      <c r="W184" s="31"/>
      <c r="X184" s="9"/>
      <c r="Y184" s="11"/>
      <c r="Z184" s="11"/>
      <c r="AA184" s="63"/>
      <c r="AB184" s="63"/>
      <c r="AC184" s="63"/>
      <c r="AD184" s="36"/>
      <c r="AE184" s="31"/>
      <c r="AF184" s="9"/>
      <c r="AG184" s="6"/>
      <c r="AH184" s="6"/>
      <c r="AI184" s="6"/>
      <c r="AJ184" s="36"/>
      <c r="AK184" s="31"/>
      <c r="AL184" s="9"/>
      <c r="AM184" s="6"/>
      <c r="AN184" s="6"/>
      <c r="AO184" s="6"/>
      <c r="AP184" s="36"/>
    </row>
    <row r="185" spans="1:42">
      <c r="A185" s="30">
        <v>171</v>
      </c>
      <c r="B185" s="131"/>
      <c r="C185" s="144" t="s">
        <v>1308</v>
      </c>
      <c r="D185" s="27"/>
      <c r="E185" s="27"/>
      <c r="F185" s="27"/>
      <c r="G185" s="27"/>
      <c r="H185" s="70" t="s">
        <v>1309</v>
      </c>
      <c r="I185" s="177" t="s">
        <v>845</v>
      </c>
      <c r="J185" s="137" t="s">
        <v>1919</v>
      </c>
      <c r="K185" s="117"/>
      <c r="L185" s="6"/>
      <c r="M185" s="6"/>
      <c r="N185" s="6"/>
      <c r="O185" s="44"/>
      <c r="P185" s="44"/>
      <c r="Q185" s="44"/>
      <c r="R185" s="53"/>
      <c r="S185" s="44"/>
      <c r="T185" s="44"/>
      <c r="U185" s="44"/>
      <c r="V185" s="53"/>
      <c r="W185" s="31"/>
      <c r="X185" s="9"/>
      <c r="Y185" s="11"/>
      <c r="Z185" s="11"/>
      <c r="AA185" s="63"/>
      <c r="AB185" s="63"/>
      <c r="AC185" s="63"/>
      <c r="AD185" s="36"/>
      <c r="AE185" s="31"/>
      <c r="AF185" s="9"/>
      <c r="AG185" s="6"/>
      <c r="AH185" s="6"/>
      <c r="AI185" s="6"/>
      <c r="AJ185" s="36"/>
      <c r="AK185" s="31"/>
      <c r="AL185" s="9"/>
      <c r="AM185" s="6"/>
      <c r="AN185" s="6"/>
      <c r="AO185" s="6"/>
      <c r="AP185" s="36"/>
    </row>
    <row r="186" spans="1:42">
      <c r="A186" s="30">
        <v>172</v>
      </c>
      <c r="B186" s="131"/>
      <c r="C186" s="144" t="s">
        <v>1533</v>
      </c>
      <c r="D186" s="27"/>
      <c r="E186" s="27"/>
      <c r="F186" s="27"/>
      <c r="G186" s="27"/>
      <c r="H186" s="70" t="s">
        <v>1499</v>
      </c>
      <c r="I186" s="177" t="s">
        <v>845</v>
      </c>
      <c r="J186" s="137"/>
      <c r="K186" s="117"/>
      <c r="L186" s="6"/>
      <c r="M186" s="6"/>
      <c r="N186" s="6"/>
      <c r="O186" s="44"/>
      <c r="P186" s="44"/>
      <c r="Q186" s="44"/>
      <c r="R186" s="53"/>
      <c r="S186" s="44"/>
      <c r="T186" s="44"/>
      <c r="U186" s="44"/>
      <c r="V186" s="53"/>
      <c r="W186" s="31"/>
      <c r="X186" s="9"/>
      <c r="Y186" s="11"/>
      <c r="Z186" s="11"/>
      <c r="AA186" s="63"/>
      <c r="AB186" s="63"/>
      <c r="AC186" s="63"/>
      <c r="AD186" s="36"/>
      <c r="AE186" s="31"/>
      <c r="AF186" s="9"/>
      <c r="AG186" s="6"/>
      <c r="AH186" s="6"/>
      <c r="AI186" s="6"/>
      <c r="AJ186" s="36"/>
      <c r="AK186" s="31"/>
      <c r="AL186" s="9"/>
      <c r="AM186" s="6"/>
      <c r="AN186" s="6"/>
      <c r="AO186" s="6"/>
      <c r="AP186" s="36"/>
    </row>
    <row r="187" spans="1:42">
      <c r="A187" s="30">
        <v>173</v>
      </c>
      <c r="B187" s="131"/>
      <c r="C187" s="144" t="s">
        <v>2124</v>
      </c>
      <c r="D187" s="27"/>
      <c r="E187" s="27"/>
      <c r="F187" s="27"/>
      <c r="G187" s="27"/>
      <c r="H187" s="70" t="s">
        <v>1884</v>
      </c>
      <c r="I187" s="177" t="s">
        <v>1500</v>
      </c>
      <c r="J187" s="137"/>
      <c r="K187" s="117"/>
      <c r="L187" s="6"/>
      <c r="M187" s="6"/>
      <c r="N187" s="6"/>
      <c r="O187" s="44"/>
      <c r="P187" s="44"/>
      <c r="Q187" s="44"/>
      <c r="R187" s="53"/>
      <c r="S187" s="44"/>
      <c r="T187" s="44"/>
      <c r="U187" s="44"/>
      <c r="V187" s="53"/>
      <c r="W187" s="31"/>
      <c r="X187" s="9"/>
      <c r="Y187" s="11"/>
      <c r="Z187" s="11"/>
      <c r="AA187" s="63"/>
      <c r="AB187" s="63"/>
      <c r="AC187" s="63"/>
      <c r="AD187" s="36"/>
      <c r="AE187" s="31"/>
      <c r="AF187" s="9"/>
      <c r="AG187" s="6"/>
      <c r="AH187" s="6"/>
      <c r="AI187" s="6"/>
      <c r="AJ187" s="36"/>
      <c r="AK187" s="31"/>
      <c r="AL187" s="9"/>
      <c r="AM187" s="6"/>
      <c r="AN187" s="6"/>
      <c r="AO187" s="6"/>
      <c r="AP187" s="36"/>
    </row>
    <row r="188" spans="1:42">
      <c r="A188" s="30">
        <v>174</v>
      </c>
      <c r="B188" s="131"/>
      <c r="C188" s="144" t="s">
        <v>1287</v>
      </c>
      <c r="D188" s="27"/>
      <c r="E188" s="27"/>
      <c r="F188" s="27"/>
      <c r="G188" s="27"/>
      <c r="H188" s="70" t="s">
        <v>2225</v>
      </c>
      <c r="I188" s="177" t="s">
        <v>1192</v>
      </c>
      <c r="J188" s="137"/>
      <c r="K188" s="117"/>
      <c r="L188" s="6"/>
      <c r="M188" s="6"/>
      <c r="N188" s="6"/>
      <c r="O188" s="44"/>
      <c r="P188" s="44"/>
      <c r="Q188" s="44"/>
      <c r="R188" s="53"/>
      <c r="S188" s="44"/>
      <c r="T188" s="44"/>
      <c r="U188" s="44"/>
      <c r="V188" s="53"/>
      <c r="W188" s="31"/>
      <c r="X188" s="9"/>
      <c r="Y188" s="11"/>
      <c r="Z188" s="11"/>
      <c r="AA188" s="63"/>
      <c r="AB188" s="63"/>
      <c r="AC188" s="63"/>
      <c r="AD188" s="36"/>
      <c r="AE188" s="31"/>
      <c r="AF188" s="9"/>
      <c r="AG188" s="6"/>
      <c r="AH188" s="6"/>
      <c r="AI188" s="6"/>
      <c r="AJ188" s="36"/>
      <c r="AK188" s="31"/>
      <c r="AL188" s="9"/>
      <c r="AM188" s="6"/>
      <c r="AN188" s="6"/>
      <c r="AO188" s="6"/>
      <c r="AP188" s="36"/>
    </row>
    <row r="189" spans="1:42" ht="27">
      <c r="A189" s="30">
        <v>175</v>
      </c>
      <c r="B189" s="131"/>
      <c r="C189" s="144" t="s">
        <v>1340</v>
      </c>
      <c r="D189" s="27"/>
      <c r="E189" s="27"/>
      <c r="F189" s="27"/>
      <c r="G189" s="27"/>
      <c r="H189" s="70" t="s">
        <v>1275</v>
      </c>
      <c r="I189" s="177" t="s">
        <v>1005</v>
      </c>
      <c r="J189" s="137"/>
      <c r="K189" s="117"/>
      <c r="L189" s="6"/>
      <c r="M189" s="6"/>
      <c r="N189" s="6"/>
      <c r="O189" s="44"/>
      <c r="P189" s="44"/>
      <c r="Q189" s="44"/>
      <c r="R189" s="53"/>
      <c r="S189" s="44"/>
      <c r="T189" s="44"/>
      <c r="U189" s="44"/>
      <c r="V189" s="53"/>
      <c r="W189" s="31"/>
      <c r="X189" s="9"/>
      <c r="Y189" s="11"/>
      <c r="Z189" s="11"/>
      <c r="AA189" s="63"/>
      <c r="AB189" s="63"/>
      <c r="AC189" s="63"/>
      <c r="AD189" s="36"/>
      <c r="AE189" s="31"/>
      <c r="AF189" s="9"/>
      <c r="AG189" s="6"/>
      <c r="AH189" s="6"/>
      <c r="AI189" s="6"/>
      <c r="AJ189" s="36"/>
      <c r="AK189" s="31"/>
      <c r="AL189" s="9"/>
      <c r="AM189" s="6"/>
      <c r="AN189" s="6"/>
      <c r="AO189" s="6"/>
      <c r="AP189" s="36"/>
    </row>
    <row r="190" spans="1:42">
      <c r="A190" s="30">
        <v>176</v>
      </c>
      <c r="B190" s="131"/>
      <c r="C190" s="144" t="s">
        <v>1509</v>
      </c>
      <c r="D190" s="27"/>
      <c r="E190" s="27"/>
      <c r="F190" s="27"/>
      <c r="G190" s="27"/>
      <c r="H190" s="70" t="s">
        <v>1510</v>
      </c>
      <c r="I190" s="177" t="s">
        <v>1511</v>
      </c>
      <c r="J190" s="137"/>
      <c r="K190" s="117"/>
      <c r="L190" s="6"/>
      <c r="M190" s="6"/>
      <c r="N190" s="6"/>
      <c r="O190" s="44"/>
      <c r="P190" s="44"/>
      <c r="Q190" s="44"/>
      <c r="R190" s="53"/>
      <c r="S190" s="44"/>
      <c r="T190" s="44"/>
      <c r="U190" s="44"/>
      <c r="V190" s="53"/>
      <c r="W190" s="31"/>
      <c r="X190" s="9"/>
      <c r="Y190" s="11"/>
      <c r="Z190" s="11"/>
      <c r="AA190" s="63"/>
      <c r="AB190" s="63"/>
      <c r="AC190" s="63"/>
      <c r="AD190" s="36"/>
      <c r="AE190" s="31"/>
      <c r="AF190" s="9"/>
      <c r="AG190" s="6"/>
      <c r="AH190" s="6"/>
      <c r="AI190" s="6"/>
      <c r="AJ190" s="36"/>
      <c r="AK190" s="31"/>
      <c r="AL190" s="9"/>
      <c r="AM190" s="6"/>
      <c r="AN190" s="6"/>
      <c r="AO190" s="6"/>
      <c r="AP190" s="36"/>
    </row>
    <row r="191" spans="1:42">
      <c r="A191" s="30">
        <v>177</v>
      </c>
      <c r="B191" s="131"/>
      <c r="C191" s="144" t="s">
        <v>787</v>
      </c>
      <c r="D191" s="27"/>
      <c r="E191" s="27"/>
      <c r="F191" s="27"/>
      <c r="G191" s="27"/>
      <c r="H191" s="9" t="s">
        <v>788</v>
      </c>
      <c r="I191" s="183"/>
      <c r="J191" s="138"/>
      <c r="K191" s="117"/>
      <c r="L191" s="6"/>
      <c r="M191" s="6"/>
      <c r="N191" s="6"/>
      <c r="O191" s="44"/>
      <c r="P191" s="44"/>
      <c r="Q191" s="44"/>
      <c r="R191" s="53"/>
      <c r="S191" s="44"/>
      <c r="T191" s="44"/>
      <c r="U191" s="44"/>
      <c r="V191" s="53"/>
      <c r="W191" s="31"/>
      <c r="X191" s="9"/>
      <c r="Y191" s="11"/>
      <c r="Z191" s="11"/>
      <c r="AA191" s="63"/>
      <c r="AB191" s="63"/>
      <c r="AC191" s="63"/>
      <c r="AD191" s="36"/>
      <c r="AE191" s="31"/>
      <c r="AF191" s="9"/>
      <c r="AG191" s="6"/>
      <c r="AH191" s="6"/>
      <c r="AI191" s="6"/>
      <c r="AJ191" s="36"/>
      <c r="AK191" s="31"/>
      <c r="AL191" s="9"/>
      <c r="AM191" s="6"/>
      <c r="AN191" s="6"/>
      <c r="AO191" s="6"/>
      <c r="AP191" s="36"/>
    </row>
    <row r="192" spans="1:42" ht="27">
      <c r="A192" s="30">
        <v>178</v>
      </c>
      <c r="B192" s="131"/>
      <c r="C192" s="144" t="s">
        <v>2001</v>
      </c>
      <c r="D192" s="27"/>
      <c r="E192" s="27"/>
      <c r="F192" s="27"/>
      <c r="G192" s="27"/>
      <c r="H192" s="70" t="s">
        <v>739</v>
      </c>
      <c r="I192" s="177" t="s">
        <v>885</v>
      </c>
      <c r="J192" s="138"/>
      <c r="K192" s="117"/>
      <c r="L192" s="6">
        <v>23805</v>
      </c>
      <c r="M192" s="6">
        <v>1190.25</v>
      </c>
      <c r="N192" s="6">
        <v>24995.25</v>
      </c>
      <c r="O192" s="44">
        <f>E192</f>
        <v>0</v>
      </c>
      <c r="P192" s="44">
        <v>300</v>
      </c>
      <c r="Q192" s="44">
        <v>400</v>
      </c>
      <c r="R192" s="53" t="s">
        <v>70</v>
      </c>
      <c r="S192" s="44"/>
      <c r="T192" s="44"/>
      <c r="U192" s="44"/>
      <c r="V192" s="53"/>
      <c r="W192" s="74">
        <v>411752</v>
      </c>
      <c r="X192" s="9" t="str">
        <f>IFERROR(INDEX([1]Sheet1!$A$2:$X$1948,MATCH($W$2:$W$268,[1]Sheet1!$G$2:$G$1948,0),8),"")</f>
        <v>프레시웨이 돈등심(2.5*2.5*2.5cm 장조림용 5Kg/EA)</v>
      </c>
      <c r="Y192" s="11">
        <v>5000</v>
      </c>
      <c r="Z192" s="11"/>
      <c r="AA192" s="63">
        <v>60</v>
      </c>
      <c r="AB192" s="63" t="e">
        <f>P192*AD192</f>
        <v>#DIV/0!</v>
      </c>
      <c r="AC192" s="63" t="e">
        <f>Q192*AD192</f>
        <v>#DIV/0!</v>
      </c>
      <c r="AD192" s="36" t="e">
        <f>AA192/E192</f>
        <v>#DIV/0!</v>
      </c>
      <c r="AE192" s="31"/>
      <c r="AF192" s="9">
        <f>IFERROR(INDEX([1]Sheet1!$A$2:$X$1948,MATCH($AE$2:$AE$268,[1]Sheet1!$G$2:$G$1948,0),8),"")</f>
        <v>0</v>
      </c>
      <c r="AG192" s="6"/>
      <c r="AH192" s="6" t="e">
        <f>P192*AJ192</f>
        <v>#DIV/0!</v>
      </c>
      <c r="AI192" s="6" t="e">
        <f>Q192*AJ192</f>
        <v>#DIV/0!</v>
      </c>
      <c r="AJ192" s="36" t="e">
        <f>AG192/$E192</f>
        <v>#DIV/0!</v>
      </c>
      <c r="AK192" s="31"/>
      <c r="AL192" s="9">
        <f>IFERROR(INDEX([1]Sheet1!$A$2:$X$1948,MATCH($AK$2:$AK$268,[1]Sheet1!$G$2:$G$1948,0),8),"")</f>
        <v>0</v>
      </c>
      <c r="AM192" s="6"/>
      <c r="AN192" s="6" t="e">
        <f>P192*AP192</f>
        <v>#DIV/0!</v>
      </c>
      <c r="AO192" s="6" t="e">
        <f>Q192*AP192</f>
        <v>#DIV/0!</v>
      </c>
      <c r="AP192" s="36" t="e">
        <f>AM192/$E192</f>
        <v>#DIV/0!</v>
      </c>
    </row>
    <row r="193" spans="1:42">
      <c r="A193" s="30">
        <v>179</v>
      </c>
      <c r="B193" s="131"/>
      <c r="C193" s="144" t="s">
        <v>1496</v>
      </c>
      <c r="D193" s="27"/>
      <c r="E193" s="27"/>
      <c r="F193" s="27"/>
      <c r="G193" s="27"/>
      <c r="H193" s="70" t="s">
        <v>1497</v>
      </c>
      <c r="I193" s="177" t="s">
        <v>885</v>
      </c>
      <c r="J193" s="138"/>
      <c r="K193" s="117"/>
      <c r="L193" s="6"/>
      <c r="M193" s="6"/>
      <c r="N193" s="6"/>
      <c r="O193" s="44"/>
      <c r="P193" s="44"/>
      <c r="Q193" s="44"/>
      <c r="R193" s="53"/>
      <c r="S193" s="44"/>
      <c r="T193" s="44"/>
      <c r="U193" s="44"/>
      <c r="V193" s="53"/>
      <c r="W193" s="74"/>
      <c r="X193" s="9"/>
      <c r="Y193" s="11"/>
      <c r="Z193" s="11"/>
      <c r="AA193" s="63"/>
      <c r="AB193" s="63"/>
      <c r="AC193" s="63"/>
      <c r="AD193" s="36"/>
      <c r="AE193" s="31"/>
      <c r="AF193" s="9"/>
      <c r="AG193" s="6"/>
      <c r="AH193" s="6"/>
      <c r="AI193" s="6"/>
      <c r="AJ193" s="36"/>
      <c r="AK193" s="31"/>
      <c r="AL193" s="9"/>
      <c r="AM193" s="6"/>
      <c r="AN193" s="6"/>
      <c r="AO193" s="6"/>
      <c r="AP193" s="36"/>
    </row>
    <row r="194" spans="1:42">
      <c r="A194" s="30">
        <v>180</v>
      </c>
      <c r="B194" s="131"/>
      <c r="C194" s="144" t="s">
        <v>2189</v>
      </c>
      <c r="D194" s="27"/>
      <c r="E194" s="27"/>
      <c r="F194" s="27"/>
      <c r="G194" s="27"/>
      <c r="H194" s="70" t="s">
        <v>2192</v>
      </c>
      <c r="I194" s="177" t="s">
        <v>2194</v>
      </c>
      <c r="J194" s="138" t="s">
        <v>2193</v>
      </c>
      <c r="K194" s="117"/>
      <c r="L194" s="6"/>
      <c r="M194" s="6"/>
      <c r="N194" s="6"/>
      <c r="O194" s="44"/>
      <c r="P194" s="44"/>
      <c r="Q194" s="44"/>
      <c r="R194" s="53"/>
      <c r="S194" s="44"/>
      <c r="T194" s="44"/>
      <c r="U194" s="44"/>
      <c r="V194" s="53"/>
      <c r="W194" s="74"/>
      <c r="X194" s="9"/>
      <c r="Y194" s="11"/>
      <c r="Z194" s="11"/>
      <c r="AA194" s="63"/>
      <c r="AB194" s="63"/>
      <c r="AC194" s="63"/>
      <c r="AD194" s="36"/>
      <c r="AE194" s="31"/>
      <c r="AF194" s="9"/>
      <c r="AG194" s="6"/>
      <c r="AH194" s="6"/>
      <c r="AI194" s="6"/>
      <c r="AJ194" s="36"/>
      <c r="AK194" s="31"/>
      <c r="AL194" s="9"/>
      <c r="AM194" s="6"/>
      <c r="AN194" s="6"/>
      <c r="AO194" s="6"/>
      <c r="AP194" s="36"/>
    </row>
    <row r="195" spans="1:42" ht="27">
      <c r="A195" s="30">
        <v>181</v>
      </c>
      <c r="B195" s="131"/>
      <c r="C195" s="144" t="s">
        <v>2190</v>
      </c>
      <c r="D195" s="27"/>
      <c r="E195" s="27"/>
      <c r="F195" s="27"/>
      <c r="G195" s="27"/>
      <c r="H195" s="70" t="s">
        <v>2191</v>
      </c>
      <c r="I195" s="177" t="s">
        <v>885</v>
      </c>
      <c r="J195" s="138"/>
      <c r="K195" s="117"/>
      <c r="L195" s="6"/>
      <c r="M195" s="6"/>
      <c r="N195" s="6"/>
      <c r="O195" s="44"/>
      <c r="P195" s="44"/>
      <c r="Q195" s="44"/>
      <c r="R195" s="53"/>
      <c r="S195" s="44"/>
      <c r="T195" s="44"/>
      <c r="U195" s="44"/>
      <c r="V195" s="53"/>
      <c r="W195" s="74"/>
      <c r="X195" s="9"/>
      <c r="Y195" s="11"/>
      <c r="Z195" s="11"/>
      <c r="AA195" s="63"/>
      <c r="AB195" s="63"/>
      <c r="AC195" s="63"/>
      <c r="AD195" s="36"/>
      <c r="AE195" s="31"/>
      <c r="AF195" s="9"/>
      <c r="AG195" s="6"/>
      <c r="AH195" s="6"/>
      <c r="AI195" s="6"/>
      <c r="AJ195" s="36"/>
      <c r="AK195" s="31"/>
      <c r="AL195" s="9"/>
      <c r="AM195" s="6"/>
      <c r="AN195" s="6"/>
      <c r="AO195" s="6"/>
      <c r="AP195" s="36"/>
    </row>
    <row r="196" spans="1:42">
      <c r="A196" s="30">
        <v>182</v>
      </c>
      <c r="B196" s="131"/>
      <c r="C196" s="144" t="s">
        <v>2083</v>
      </c>
      <c r="D196" s="27"/>
      <c r="E196" s="27"/>
      <c r="F196" s="27"/>
      <c r="G196" s="27"/>
      <c r="H196" s="70" t="s">
        <v>1412</v>
      </c>
      <c r="I196" s="177" t="s">
        <v>1041</v>
      </c>
      <c r="J196" s="138"/>
      <c r="K196" s="117"/>
      <c r="L196" s="6"/>
      <c r="M196" s="6"/>
      <c r="N196" s="6"/>
      <c r="O196" s="44"/>
      <c r="P196" s="44"/>
      <c r="Q196" s="44"/>
      <c r="R196" s="53"/>
      <c r="S196" s="44"/>
      <c r="T196" s="44"/>
      <c r="U196" s="44"/>
      <c r="V196" s="53"/>
      <c r="W196" s="74"/>
      <c r="X196" s="9"/>
      <c r="Y196" s="11"/>
      <c r="Z196" s="11"/>
      <c r="AA196" s="63"/>
      <c r="AB196" s="63"/>
      <c r="AC196" s="63"/>
      <c r="AD196" s="36"/>
      <c r="AE196" s="31"/>
      <c r="AF196" s="9"/>
      <c r="AG196" s="6"/>
      <c r="AH196" s="6"/>
      <c r="AI196" s="6"/>
      <c r="AJ196" s="36"/>
      <c r="AK196" s="31"/>
      <c r="AL196" s="9"/>
      <c r="AM196" s="6"/>
      <c r="AN196" s="6"/>
      <c r="AO196" s="6"/>
      <c r="AP196" s="36"/>
    </row>
    <row r="197" spans="1:42">
      <c r="A197" s="30">
        <v>183</v>
      </c>
      <c r="B197" s="131"/>
      <c r="C197" s="144" t="s">
        <v>1866</v>
      </c>
      <c r="D197" s="27"/>
      <c r="E197" s="27"/>
      <c r="F197" s="27"/>
      <c r="G197" s="27"/>
      <c r="H197" s="70" t="s">
        <v>1683</v>
      </c>
      <c r="I197" s="177" t="s">
        <v>903</v>
      </c>
      <c r="J197" s="140" t="s">
        <v>592</v>
      </c>
      <c r="K197" s="117"/>
      <c r="L197" s="6"/>
      <c r="M197" s="6"/>
      <c r="N197" s="6"/>
      <c r="O197" s="44"/>
      <c r="P197" s="44"/>
      <c r="Q197" s="44"/>
      <c r="R197" s="53"/>
      <c r="S197" s="44"/>
      <c r="T197" s="44"/>
      <c r="U197" s="44"/>
      <c r="V197" s="53"/>
      <c r="W197" s="74"/>
      <c r="X197" s="9"/>
      <c r="Y197" s="11"/>
      <c r="Z197" s="11"/>
      <c r="AA197" s="63"/>
      <c r="AB197" s="63"/>
      <c r="AC197" s="63"/>
      <c r="AD197" s="36"/>
      <c r="AE197" s="31"/>
      <c r="AF197" s="9"/>
      <c r="AG197" s="6"/>
      <c r="AH197" s="6"/>
      <c r="AI197" s="6"/>
      <c r="AJ197" s="36"/>
      <c r="AK197" s="31"/>
      <c r="AL197" s="9"/>
      <c r="AM197" s="6"/>
      <c r="AN197" s="6"/>
      <c r="AO197" s="6"/>
      <c r="AP197" s="36"/>
    </row>
    <row r="198" spans="1:42" ht="15" customHeight="1">
      <c r="A198" s="30">
        <v>184</v>
      </c>
      <c r="B198" s="131"/>
      <c r="C198" s="144" t="s">
        <v>697</v>
      </c>
      <c r="D198" s="27"/>
      <c r="E198" s="27"/>
      <c r="F198" s="27"/>
      <c r="G198" s="27"/>
      <c r="H198" s="70" t="s">
        <v>1953</v>
      </c>
      <c r="I198" s="177" t="s">
        <v>1954</v>
      </c>
      <c r="J198" s="140"/>
      <c r="K198" s="29"/>
      <c r="L198" s="11">
        <v>18810</v>
      </c>
      <c r="M198" s="11">
        <v>940.5</v>
      </c>
      <c r="N198" s="9"/>
      <c r="O198" s="44">
        <f>E198</f>
        <v>0</v>
      </c>
      <c r="P198" s="44">
        <v>170</v>
      </c>
      <c r="Q198" s="44">
        <v>260</v>
      </c>
      <c r="R198" s="53" t="s">
        <v>70</v>
      </c>
      <c r="S198" s="44"/>
      <c r="T198" s="46"/>
      <c r="U198" s="46"/>
      <c r="V198" s="53"/>
      <c r="W198" s="31">
        <v>408460</v>
      </c>
      <c r="X198" s="70" t="s">
        <v>734</v>
      </c>
      <c r="Y198" s="11">
        <v>1000</v>
      </c>
      <c r="Z198" s="11"/>
      <c r="AA198" s="63">
        <v>60</v>
      </c>
      <c r="AB198" s="63" t="e">
        <f>P198*AD198</f>
        <v>#DIV/0!</v>
      </c>
      <c r="AC198" s="63" t="e">
        <f>Q198*AD198</f>
        <v>#DIV/0!</v>
      </c>
      <c r="AD198" s="36" t="e">
        <f>AA198/E198</f>
        <v>#DIV/0!</v>
      </c>
      <c r="AE198" s="31"/>
      <c r="AF198" s="9"/>
      <c r="AG198" s="6"/>
      <c r="AH198" s="6" t="e">
        <f>P198*AJ198</f>
        <v>#DIV/0!</v>
      </c>
      <c r="AI198" s="6" t="e">
        <f>Q198*AJ198</f>
        <v>#DIV/0!</v>
      </c>
      <c r="AJ198" s="36" t="e">
        <f>AG198/$E198</f>
        <v>#DIV/0!</v>
      </c>
      <c r="AK198" s="31"/>
      <c r="AL198" s="9">
        <f>IFERROR(INDEX([1]Sheet1!$A$2:$X$1948,MATCH($AK$2:$AK$268,[1]Sheet1!$G$2:$G$1948,0),8),"")</f>
        <v>0</v>
      </c>
      <c r="AM198" s="6"/>
      <c r="AN198" s="6" t="e">
        <f>P198*AP198</f>
        <v>#DIV/0!</v>
      </c>
      <c r="AO198" s="6" t="e">
        <f>Q198*AP198</f>
        <v>#DIV/0!</v>
      </c>
      <c r="AP198" s="36" t="e">
        <f>AM198/$E198</f>
        <v>#DIV/0!</v>
      </c>
    </row>
    <row r="199" spans="1:42" ht="15" customHeight="1">
      <c r="A199" s="30">
        <v>185</v>
      </c>
      <c r="B199" s="131"/>
      <c r="C199" s="144" t="s">
        <v>1411</v>
      </c>
      <c r="D199" s="27"/>
      <c r="E199" s="27"/>
      <c r="F199" s="27"/>
      <c r="G199" s="27"/>
      <c r="H199" s="70" t="s">
        <v>1413</v>
      </c>
      <c r="I199" s="177" t="s">
        <v>881</v>
      </c>
      <c r="J199" s="140" t="s">
        <v>1470</v>
      </c>
      <c r="K199" s="29"/>
      <c r="L199" s="11"/>
      <c r="M199" s="11"/>
      <c r="N199" s="9"/>
      <c r="O199" s="44"/>
      <c r="P199" s="44"/>
      <c r="Q199" s="44"/>
      <c r="R199" s="53"/>
      <c r="S199" s="44"/>
      <c r="T199" s="46"/>
      <c r="U199" s="46"/>
      <c r="V199" s="53"/>
      <c r="W199" s="31"/>
      <c r="X199" s="70"/>
      <c r="Y199" s="11"/>
      <c r="Z199" s="11"/>
      <c r="AA199" s="63"/>
      <c r="AB199" s="63"/>
      <c r="AC199" s="63"/>
      <c r="AD199" s="36"/>
      <c r="AE199" s="31"/>
      <c r="AF199" s="9"/>
      <c r="AG199" s="6"/>
      <c r="AH199" s="6"/>
      <c r="AI199" s="6"/>
      <c r="AJ199" s="36"/>
      <c r="AK199" s="31"/>
      <c r="AL199" s="9"/>
      <c r="AM199" s="6"/>
      <c r="AN199" s="6"/>
      <c r="AO199" s="6"/>
      <c r="AP199" s="36"/>
    </row>
    <row r="200" spans="1:42" ht="27">
      <c r="A200" s="30">
        <v>186</v>
      </c>
      <c r="B200" s="131"/>
      <c r="C200" s="144" t="s">
        <v>1468</v>
      </c>
      <c r="D200" s="27"/>
      <c r="E200" s="27"/>
      <c r="F200" s="27"/>
      <c r="G200" s="27"/>
      <c r="H200" s="133" t="s">
        <v>1469</v>
      </c>
      <c r="I200" s="181" t="s">
        <v>1123</v>
      </c>
      <c r="J200" s="140" t="s">
        <v>1470</v>
      </c>
      <c r="K200" s="29"/>
      <c r="L200" s="11"/>
      <c r="M200" s="11"/>
      <c r="N200" s="11"/>
      <c r="O200" s="44"/>
      <c r="P200" s="44"/>
      <c r="Q200" s="44"/>
      <c r="R200" s="53"/>
      <c r="S200" s="44"/>
      <c r="T200" s="46"/>
      <c r="U200" s="46"/>
      <c r="V200" s="53"/>
      <c r="W200" s="74"/>
      <c r="X200" s="9"/>
      <c r="Y200" s="11"/>
      <c r="Z200" s="11"/>
      <c r="AA200" s="63"/>
      <c r="AB200" s="63"/>
      <c r="AC200" s="63"/>
      <c r="AD200" s="36"/>
      <c r="AE200" s="31"/>
      <c r="AF200" s="9"/>
      <c r="AG200" s="6"/>
      <c r="AH200" s="6"/>
      <c r="AI200" s="6"/>
      <c r="AJ200" s="36"/>
      <c r="AK200" s="31"/>
      <c r="AL200" s="9"/>
      <c r="AM200" s="6"/>
      <c r="AN200" s="6"/>
      <c r="AO200" s="6"/>
      <c r="AP200" s="36"/>
    </row>
    <row r="201" spans="1:42" ht="15" customHeight="1">
      <c r="A201" s="30">
        <v>187</v>
      </c>
      <c r="B201" s="131"/>
      <c r="C201" s="144" t="s">
        <v>346</v>
      </c>
      <c r="D201" s="27"/>
      <c r="E201" s="27"/>
      <c r="F201" s="27"/>
      <c r="G201" s="27"/>
      <c r="H201" s="70" t="s">
        <v>726</v>
      </c>
      <c r="I201" s="177" t="s">
        <v>874</v>
      </c>
      <c r="J201" s="137" t="s">
        <v>2315</v>
      </c>
      <c r="K201" s="29"/>
      <c r="L201" s="11"/>
      <c r="M201" s="11"/>
      <c r="N201" s="9"/>
      <c r="O201" s="44"/>
      <c r="P201" s="44"/>
      <c r="Q201" s="44"/>
      <c r="R201" s="53"/>
      <c r="S201" s="44"/>
      <c r="T201" s="46"/>
      <c r="U201" s="46"/>
      <c r="V201" s="53"/>
      <c r="W201" s="31"/>
      <c r="X201" s="70"/>
      <c r="Y201" s="11"/>
      <c r="Z201" s="11"/>
      <c r="AA201" s="63"/>
      <c r="AB201" s="63"/>
      <c r="AC201" s="63"/>
      <c r="AD201" s="36"/>
      <c r="AE201" s="31"/>
      <c r="AF201" s="9"/>
      <c r="AG201" s="6"/>
      <c r="AH201" s="6"/>
      <c r="AI201" s="6"/>
      <c r="AJ201" s="36"/>
      <c r="AK201" s="31"/>
      <c r="AL201" s="9"/>
      <c r="AM201" s="6"/>
      <c r="AN201" s="6"/>
      <c r="AO201" s="6"/>
      <c r="AP201" s="36"/>
    </row>
    <row r="202" spans="1:42">
      <c r="A202" s="30">
        <v>188</v>
      </c>
      <c r="B202" s="131"/>
      <c r="C202" s="144" t="s">
        <v>2008</v>
      </c>
      <c r="D202" s="27"/>
      <c r="E202" s="27"/>
      <c r="F202" s="27"/>
      <c r="G202" s="27"/>
      <c r="H202" s="106" t="s">
        <v>624</v>
      </c>
      <c r="I202" s="184" t="s">
        <v>875</v>
      </c>
      <c r="J202" s="138" t="s">
        <v>623</v>
      </c>
      <c r="K202" s="117"/>
      <c r="L202" s="6">
        <v>600</v>
      </c>
      <c r="M202" s="6">
        <v>30</v>
      </c>
      <c r="N202" s="6">
        <v>630</v>
      </c>
      <c r="O202" s="44">
        <f>E202</f>
        <v>0</v>
      </c>
      <c r="P202" s="44">
        <v>2</v>
      </c>
      <c r="Q202" s="44">
        <v>2.5</v>
      </c>
      <c r="R202" s="53" t="s">
        <v>70</v>
      </c>
      <c r="S202" s="48">
        <v>0.5</v>
      </c>
      <c r="T202" s="48">
        <v>2</v>
      </c>
      <c r="U202" s="48">
        <v>2.5</v>
      </c>
      <c r="V202" s="53" t="s">
        <v>72</v>
      </c>
      <c r="W202" s="31">
        <v>173374</v>
      </c>
      <c r="X202" s="9" t="str">
        <f>IFERROR(INDEX([1]Sheet1!$A$2:$X$1948,MATCH($W$2:$W$268,[1]Sheet1!$G$2:$G$1948,0),8),"")</f>
        <v>쉐프솔루션 진짜통등심돈까스(130g*20입 2.6Kg/EA)</v>
      </c>
      <c r="Y202" s="11">
        <v>2600</v>
      </c>
      <c r="Z202" s="11">
        <v>20</v>
      </c>
      <c r="AA202" s="66">
        <v>0.5</v>
      </c>
      <c r="AB202" s="66">
        <v>2.5</v>
      </c>
      <c r="AC202" s="66">
        <v>3</v>
      </c>
      <c r="AD202" s="36"/>
      <c r="AE202" s="31"/>
      <c r="AF202" s="9">
        <f>IFERROR(INDEX([1]Sheet1!$A$2:$X$1948,MATCH($AE$2:$AE$268,[1]Sheet1!$G$2:$G$1948,0),8),"")</f>
        <v>0</v>
      </c>
      <c r="AG202" s="6"/>
      <c r="AH202" s="6" t="e">
        <f>P202*AJ202</f>
        <v>#DIV/0!</v>
      </c>
      <c r="AI202" s="6" t="e">
        <f>Q202*AJ202</f>
        <v>#DIV/0!</v>
      </c>
      <c r="AJ202" s="36" t="e">
        <f>AG202/$E202</f>
        <v>#DIV/0!</v>
      </c>
      <c r="AK202" s="31"/>
      <c r="AL202" s="9">
        <f>IFERROR(INDEX([1]Sheet1!$A$2:$X$1948,MATCH($AK$2:$AK$268,[1]Sheet1!$G$2:$G$1948,0),8),"")</f>
        <v>0</v>
      </c>
      <c r="AM202" s="6"/>
      <c r="AN202" s="6" t="e">
        <f>P202*AP202</f>
        <v>#DIV/0!</v>
      </c>
      <c r="AO202" s="6" t="e">
        <f>Q202*AP202</f>
        <v>#DIV/0!</v>
      </c>
      <c r="AP202" s="36" t="e">
        <f>AM202/$E202</f>
        <v>#DIV/0!</v>
      </c>
    </row>
    <row r="203" spans="1:42">
      <c r="A203" s="30">
        <v>189</v>
      </c>
      <c r="B203" s="131"/>
      <c r="C203" s="144" t="s">
        <v>548</v>
      </c>
      <c r="D203" s="27"/>
      <c r="E203" s="27"/>
      <c r="F203" s="27"/>
      <c r="G203" s="27"/>
      <c r="H203" s="70" t="s">
        <v>1471</v>
      </c>
      <c r="I203" s="177"/>
      <c r="J203" s="137"/>
      <c r="K203" s="29"/>
      <c r="L203" s="11"/>
      <c r="M203" s="11"/>
      <c r="N203" s="11"/>
      <c r="O203" s="44"/>
      <c r="P203" s="44"/>
      <c r="Q203" s="44"/>
      <c r="R203" s="53"/>
      <c r="S203" s="44"/>
      <c r="T203" s="46"/>
      <c r="U203" s="46"/>
      <c r="V203" s="53"/>
      <c r="W203" s="74"/>
      <c r="X203" s="9"/>
      <c r="Y203" s="11"/>
      <c r="Z203" s="11"/>
      <c r="AA203" s="63"/>
      <c r="AB203" s="63"/>
      <c r="AC203" s="63"/>
      <c r="AD203" s="36"/>
      <c r="AE203" s="31"/>
      <c r="AF203" s="9"/>
      <c r="AG203" s="6"/>
      <c r="AH203" s="6"/>
      <c r="AI203" s="6"/>
      <c r="AJ203" s="36"/>
      <c r="AK203" s="31"/>
      <c r="AL203" s="9"/>
      <c r="AM203" s="6"/>
      <c r="AN203" s="6"/>
      <c r="AO203" s="6"/>
      <c r="AP203" s="36"/>
    </row>
    <row r="204" spans="1:42">
      <c r="A204" s="30">
        <v>192</v>
      </c>
      <c r="B204" s="131"/>
      <c r="C204" s="144" t="s">
        <v>539</v>
      </c>
      <c r="D204" s="27"/>
      <c r="E204" s="27"/>
      <c r="F204" s="27"/>
      <c r="G204" s="27"/>
      <c r="H204" s="70" t="s">
        <v>740</v>
      </c>
      <c r="I204" s="177" t="s">
        <v>846</v>
      </c>
      <c r="J204" s="138"/>
      <c r="K204" s="29"/>
      <c r="L204" s="11"/>
      <c r="M204" s="11"/>
      <c r="N204" s="11"/>
      <c r="O204" s="44">
        <f>E204</f>
        <v>0</v>
      </c>
      <c r="P204" s="44"/>
      <c r="Q204" s="44"/>
      <c r="R204" s="53"/>
      <c r="S204" s="45"/>
      <c r="T204" s="45"/>
      <c r="U204" s="45"/>
      <c r="V204" s="53"/>
      <c r="W204" s="31"/>
      <c r="X204" s="9"/>
      <c r="Y204" s="11"/>
      <c r="Z204" s="11"/>
      <c r="AA204" s="63"/>
      <c r="AB204" s="63"/>
      <c r="AC204" s="63"/>
      <c r="AD204" s="36"/>
      <c r="AE204" s="31"/>
      <c r="AF204" s="9"/>
      <c r="AG204" s="6"/>
      <c r="AH204" s="6"/>
      <c r="AI204" s="6"/>
      <c r="AJ204" s="36" t="e">
        <f>AG204/$E204</f>
        <v>#DIV/0!</v>
      </c>
      <c r="AK204" s="31"/>
      <c r="AL204" s="9"/>
      <c r="AM204" s="6"/>
      <c r="AN204" s="6"/>
      <c r="AO204" s="6"/>
      <c r="AP204" s="36" t="e">
        <f>AM204/$E204</f>
        <v>#DIV/0!</v>
      </c>
    </row>
    <row r="205" spans="1:42">
      <c r="A205" s="30"/>
      <c r="B205" s="131"/>
      <c r="C205" s="144" t="s">
        <v>1701</v>
      </c>
      <c r="D205" s="27"/>
      <c r="E205" s="27"/>
      <c r="F205" s="27"/>
      <c r="G205" s="27"/>
      <c r="H205" s="70" t="s">
        <v>1705</v>
      </c>
      <c r="I205" s="177" t="s">
        <v>1706</v>
      </c>
      <c r="J205" s="138"/>
      <c r="K205" s="29"/>
      <c r="L205" s="11"/>
      <c r="M205" s="11"/>
      <c r="N205" s="11"/>
      <c r="O205" s="44"/>
      <c r="P205" s="44"/>
      <c r="Q205" s="44"/>
      <c r="R205" s="53"/>
      <c r="S205" s="45"/>
      <c r="T205" s="45"/>
      <c r="U205" s="45"/>
      <c r="V205" s="53"/>
      <c r="W205" s="31"/>
      <c r="X205" s="9"/>
      <c r="Y205" s="11"/>
      <c r="Z205" s="11"/>
      <c r="AA205" s="63"/>
      <c r="AB205" s="63"/>
      <c r="AC205" s="63"/>
      <c r="AD205" s="36"/>
      <c r="AE205" s="31"/>
      <c r="AF205" s="9"/>
      <c r="AG205" s="6"/>
      <c r="AH205" s="6"/>
      <c r="AI205" s="6"/>
      <c r="AJ205" s="36"/>
      <c r="AK205" s="31"/>
      <c r="AL205" s="9"/>
      <c r="AM205" s="6"/>
      <c r="AN205" s="6"/>
      <c r="AO205" s="6"/>
      <c r="AP205" s="36"/>
    </row>
    <row r="206" spans="1:42">
      <c r="A206" s="30">
        <v>193</v>
      </c>
      <c r="B206" s="131"/>
      <c r="C206" s="144" t="s">
        <v>602</v>
      </c>
      <c r="D206" s="27"/>
      <c r="E206" s="27"/>
      <c r="F206" s="27"/>
      <c r="G206" s="27"/>
      <c r="H206" s="133" t="s">
        <v>2319</v>
      </c>
      <c r="I206" s="179" t="s">
        <v>846</v>
      </c>
      <c r="J206" s="138"/>
      <c r="K206" s="29"/>
      <c r="L206" s="11"/>
      <c r="M206" s="11"/>
      <c r="N206" s="11"/>
      <c r="O206" s="44">
        <f>E206</f>
        <v>0</v>
      </c>
      <c r="P206" s="44"/>
      <c r="Q206" s="44"/>
      <c r="R206" s="53"/>
      <c r="S206" s="47"/>
      <c r="T206" s="47"/>
      <c r="U206" s="47"/>
      <c r="V206" s="53"/>
      <c r="W206" s="31"/>
      <c r="X206" s="9"/>
      <c r="Y206" s="11"/>
      <c r="Z206" s="11"/>
      <c r="AA206" s="67"/>
      <c r="AB206" s="67"/>
      <c r="AC206" s="67"/>
      <c r="AD206" s="36"/>
      <c r="AE206" s="31"/>
      <c r="AF206" s="9"/>
      <c r="AG206" s="6"/>
      <c r="AH206" s="6"/>
      <c r="AI206" s="6"/>
      <c r="AJ206" s="36" t="e">
        <f>AG206/$E206</f>
        <v>#DIV/0!</v>
      </c>
      <c r="AK206" s="31"/>
      <c r="AL206" s="9"/>
      <c r="AM206" s="6"/>
      <c r="AN206" s="6"/>
      <c r="AO206" s="6"/>
      <c r="AP206" s="36" t="e">
        <f>AM206/$E206</f>
        <v>#DIV/0!</v>
      </c>
    </row>
    <row r="207" spans="1:42">
      <c r="A207" s="30">
        <v>194</v>
      </c>
      <c r="B207" s="131"/>
      <c r="C207" s="160" t="s">
        <v>955</v>
      </c>
      <c r="D207" s="27"/>
      <c r="E207" s="27"/>
      <c r="F207" s="27"/>
      <c r="G207" s="27"/>
      <c r="H207" s="70" t="s">
        <v>1379</v>
      </c>
      <c r="I207" s="177" t="s">
        <v>1061</v>
      </c>
      <c r="J207" s="138" t="s">
        <v>1089</v>
      </c>
      <c r="K207" s="29"/>
      <c r="L207" s="11"/>
      <c r="M207" s="11"/>
      <c r="N207" s="11"/>
      <c r="O207" s="44"/>
      <c r="P207" s="44"/>
      <c r="Q207" s="44"/>
      <c r="R207" s="53"/>
      <c r="S207" s="44"/>
      <c r="T207" s="46"/>
      <c r="U207" s="46"/>
      <c r="V207" s="53"/>
      <c r="W207" s="74"/>
      <c r="X207" s="9"/>
      <c r="Y207" s="11"/>
      <c r="Z207" s="11"/>
      <c r="AA207" s="63"/>
      <c r="AB207" s="63"/>
      <c r="AC207" s="63"/>
      <c r="AD207" s="36"/>
      <c r="AE207" s="31"/>
      <c r="AF207" s="9"/>
      <c r="AG207" s="6"/>
      <c r="AH207" s="6"/>
      <c r="AI207" s="6"/>
      <c r="AJ207" s="36"/>
      <c r="AK207" s="31"/>
      <c r="AL207" s="9"/>
      <c r="AM207" s="6"/>
      <c r="AN207" s="6"/>
      <c r="AO207" s="6"/>
      <c r="AP207" s="36"/>
    </row>
    <row r="208" spans="1:42">
      <c r="A208" s="30">
        <v>195</v>
      </c>
      <c r="B208" s="131"/>
      <c r="C208" s="144" t="s">
        <v>1230</v>
      </c>
      <c r="D208" s="27"/>
      <c r="E208" s="27"/>
      <c r="F208" s="27"/>
      <c r="G208" s="27"/>
      <c r="H208" s="133" t="s">
        <v>1231</v>
      </c>
      <c r="I208" s="181" t="s">
        <v>1232</v>
      </c>
      <c r="J208" s="138"/>
      <c r="K208" s="29"/>
      <c r="L208" s="11"/>
      <c r="M208" s="11"/>
      <c r="N208" s="11"/>
      <c r="O208" s="44"/>
      <c r="P208" s="44"/>
      <c r="Q208" s="44"/>
      <c r="R208" s="53"/>
      <c r="S208" s="44"/>
      <c r="T208" s="46"/>
      <c r="U208" s="46"/>
      <c r="V208" s="53"/>
      <c r="W208" s="74"/>
      <c r="X208" s="9"/>
      <c r="Y208" s="11"/>
      <c r="Z208" s="11"/>
      <c r="AA208" s="63"/>
      <c r="AB208" s="63"/>
      <c r="AC208" s="63"/>
      <c r="AD208" s="36"/>
      <c r="AE208" s="31"/>
      <c r="AF208" s="9"/>
      <c r="AG208" s="6"/>
      <c r="AH208" s="6"/>
      <c r="AI208" s="6"/>
      <c r="AJ208" s="36"/>
      <c r="AK208" s="31"/>
      <c r="AL208" s="9"/>
      <c r="AM208" s="6"/>
      <c r="AN208" s="6"/>
      <c r="AO208" s="6"/>
      <c r="AP208" s="36"/>
    </row>
    <row r="209" spans="1:42">
      <c r="A209" s="30">
        <v>196</v>
      </c>
      <c r="B209" s="131"/>
      <c r="C209" s="162" t="s">
        <v>1672</v>
      </c>
      <c r="D209" s="27"/>
      <c r="E209" s="27"/>
      <c r="F209" s="27"/>
      <c r="G209" s="27"/>
      <c r="H209" s="133" t="s">
        <v>1395</v>
      </c>
      <c r="I209" s="181" t="s">
        <v>1396</v>
      </c>
      <c r="J209" s="138"/>
      <c r="K209" s="29"/>
      <c r="L209" s="11"/>
      <c r="M209" s="11"/>
      <c r="N209" s="11"/>
      <c r="O209" s="44"/>
      <c r="P209" s="44"/>
      <c r="Q209" s="44"/>
      <c r="R209" s="53"/>
      <c r="S209" s="44"/>
      <c r="T209" s="46"/>
      <c r="U209" s="46"/>
      <c r="V209" s="53"/>
      <c r="W209" s="74"/>
      <c r="X209" s="9"/>
      <c r="Y209" s="11"/>
      <c r="Z209" s="11"/>
      <c r="AA209" s="63"/>
      <c r="AB209" s="63"/>
      <c r="AC209" s="63"/>
      <c r="AD209" s="36"/>
      <c r="AE209" s="31"/>
      <c r="AF209" s="9"/>
      <c r="AG209" s="6"/>
      <c r="AH209" s="6"/>
      <c r="AI209" s="6"/>
      <c r="AJ209" s="36"/>
      <c r="AK209" s="31"/>
      <c r="AL209" s="9"/>
      <c r="AM209" s="6"/>
      <c r="AN209" s="6"/>
      <c r="AO209" s="6"/>
      <c r="AP209" s="36"/>
    </row>
    <row r="210" spans="1:42">
      <c r="A210" s="30">
        <v>197</v>
      </c>
      <c r="B210" s="131"/>
      <c r="C210" s="144" t="s">
        <v>1493</v>
      </c>
      <c r="D210" s="27"/>
      <c r="E210" s="27"/>
      <c r="F210" s="27"/>
      <c r="G210" s="27"/>
      <c r="H210" s="133" t="s">
        <v>1494</v>
      </c>
      <c r="I210" s="181" t="s">
        <v>1495</v>
      </c>
      <c r="J210" s="138"/>
      <c r="K210" s="29"/>
      <c r="L210" s="11"/>
      <c r="M210" s="11"/>
      <c r="N210" s="11"/>
      <c r="O210" s="44"/>
      <c r="P210" s="44"/>
      <c r="Q210" s="44"/>
      <c r="R210" s="53"/>
      <c r="S210" s="44"/>
      <c r="T210" s="46"/>
      <c r="U210" s="46"/>
      <c r="V210" s="53"/>
      <c r="W210" s="74"/>
      <c r="X210" s="9"/>
      <c r="Y210" s="11"/>
      <c r="Z210" s="11"/>
      <c r="AA210" s="63"/>
      <c r="AB210" s="63"/>
      <c r="AC210" s="63"/>
      <c r="AD210" s="36"/>
      <c r="AE210" s="31"/>
      <c r="AF210" s="9"/>
      <c r="AG210" s="6"/>
      <c r="AH210" s="6"/>
      <c r="AI210" s="6"/>
      <c r="AJ210" s="36"/>
      <c r="AK210" s="31"/>
      <c r="AL210" s="9"/>
      <c r="AM210" s="6"/>
      <c r="AN210" s="6"/>
      <c r="AO210" s="6"/>
      <c r="AP210" s="36"/>
    </row>
    <row r="211" spans="1:42">
      <c r="A211" s="30">
        <v>198</v>
      </c>
      <c r="B211" s="131"/>
      <c r="C211" s="144" t="s">
        <v>999</v>
      </c>
      <c r="D211" s="27"/>
      <c r="E211" s="27"/>
      <c r="F211" s="27"/>
      <c r="G211" s="27"/>
      <c r="H211" s="133" t="s">
        <v>1000</v>
      </c>
      <c r="I211" s="181" t="s">
        <v>928</v>
      </c>
      <c r="J211" s="138"/>
      <c r="K211" s="29"/>
      <c r="L211" s="11"/>
      <c r="M211" s="11"/>
      <c r="N211" s="11"/>
      <c r="O211" s="44"/>
      <c r="P211" s="44"/>
      <c r="Q211" s="44"/>
      <c r="R211" s="53"/>
      <c r="S211" s="44"/>
      <c r="T211" s="46"/>
      <c r="U211" s="46"/>
      <c r="V211" s="53"/>
      <c r="W211" s="74"/>
      <c r="X211" s="9"/>
      <c r="Y211" s="11"/>
      <c r="Z211" s="11"/>
      <c r="AA211" s="63"/>
      <c r="AB211" s="63"/>
      <c r="AC211" s="63"/>
      <c r="AD211" s="36"/>
      <c r="AE211" s="31"/>
      <c r="AF211" s="9"/>
      <c r="AG211" s="6"/>
      <c r="AH211" s="6"/>
      <c r="AI211" s="6"/>
      <c r="AJ211" s="36"/>
      <c r="AK211" s="31"/>
      <c r="AL211" s="9"/>
      <c r="AM211" s="6"/>
      <c r="AN211" s="6"/>
      <c r="AO211" s="6"/>
      <c r="AP211" s="36"/>
    </row>
    <row r="212" spans="1:42">
      <c r="A212" s="30">
        <v>199</v>
      </c>
      <c r="B212" s="131"/>
      <c r="C212" s="238" t="s">
        <v>1418</v>
      </c>
      <c r="D212" s="27"/>
      <c r="E212" s="27"/>
      <c r="F212" s="27"/>
      <c r="G212" s="27"/>
      <c r="H212" s="70" t="s">
        <v>1936</v>
      </c>
      <c r="I212" s="181" t="s">
        <v>1420</v>
      </c>
      <c r="J212" s="138" t="s">
        <v>1419</v>
      </c>
      <c r="K212" s="29"/>
      <c r="L212" s="11"/>
      <c r="M212" s="11"/>
      <c r="N212" s="11"/>
      <c r="O212" s="44"/>
      <c r="P212" s="44"/>
      <c r="Q212" s="44"/>
      <c r="R212" s="53"/>
      <c r="S212" s="44"/>
      <c r="T212" s="46"/>
      <c r="U212" s="46"/>
      <c r="V212" s="53"/>
      <c r="W212" s="74"/>
      <c r="X212" s="9"/>
      <c r="Y212" s="11"/>
      <c r="Z212" s="11"/>
      <c r="AA212" s="63"/>
      <c r="AB212" s="63"/>
      <c r="AC212" s="63"/>
      <c r="AD212" s="36"/>
      <c r="AE212" s="31"/>
      <c r="AF212" s="9"/>
      <c r="AG212" s="6"/>
      <c r="AH212" s="6"/>
      <c r="AI212" s="6"/>
      <c r="AJ212" s="36"/>
      <c r="AK212" s="31"/>
      <c r="AL212" s="9"/>
      <c r="AM212" s="6"/>
      <c r="AN212" s="6"/>
      <c r="AO212" s="6"/>
      <c r="AP212" s="36"/>
    </row>
    <row r="213" spans="1:42">
      <c r="A213" s="30">
        <v>200</v>
      </c>
      <c r="B213" s="131"/>
      <c r="C213" s="144" t="s">
        <v>683</v>
      </c>
      <c r="D213" s="27"/>
      <c r="E213" s="27"/>
      <c r="F213" s="27"/>
      <c r="G213" s="27"/>
      <c r="H213" s="133" t="s">
        <v>742</v>
      </c>
      <c r="I213" s="181"/>
      <c r="J213" s="138"/>
      <c r="K213" s="29"/>
      <c r="L213" s="11"/>
      <c r="M213" s="11"/>
      <c r="N213" s="11"/>
      <c r="O213" s="44"/>
      <c r="P213" s="44"/>
      <c r="Q213" s="44"/>
      <c r="R213" s="53"/>
      <c r="S213" s="44"/>
      <c r="T213" s="46"/>
      <c r="U213" s="46"/>
      <c r="V213" s="53"/>
      <c r="W213" s="74"/>
      <c r="X213" s="9"/>
      <c r="Y213" s="11"/>
      <c r="Z213" s="11"/>
      <c r="AA213" s="63"/>
      <c r="AB213" s="63"/>
      <c r="AC213" s="63"/>
      <c r="AD213" s="36"/>
      <c r="AE213" s="31"/>
      <c r="AF213" s="9"/>
      <c r="AG213" s="6"/>
      <c r="AH213" s="6"/>
      <c r="AI213" s="6"/>
      <c r="AJ213" s="36"/>
      <c r="AK213" s="31"/>
      <c r="AL213" s="9"/>
      <c r="AM213" s="6"/>
      <c r="AN213" s="6"/>
      <c r="AO213" s="6"/>
      <c r="AP213" s="36"/>
    </row>
    <row r="214" spans="1:42">
      <c r="A214" s="30">
        <v>201</v>
      </c>
      <c r="B214" s="131"/>
      <c r="C214" s="144" t="s">
        <v>1899</v>
      </c>
      <c r="D214" s="27"/>
      <c r="E214" s="27"/>
      <c r="F214" s="27"/>
      <c r="G214" s="27"/>
      <c r="H214" s="133" t="s">
        <v>1225</v>
      </c>
      <c r="I214" s="181" t="s">
        <v>846</v>
      </c>
      <c r="J214" s="138"/>
      <c r="K214" s="29"/>
      <c r="L214" s="11"/>
      <c r="M214" s="11"/>
      <c r="N214" s="11"/>
      <c r="O214" s="44"/>
      <c r="P214" s="44"/>
      <c r="Q214" s="44"/>
      <c r="R214" s="53"/>
      <c r="S214" s="44"/>
      <c r="T214" s="46"/>
      <c r="U214" s="46"/>
      <c r="V214" s="53"/>
      <c r="W214" s="74"/>
      <c r="X214" s="9"/>
      <c r="Y214" s="11"/>
      <c r="Z214" s="11"/>
      <c r="AA214" s="63"/>
      <c r="AB214" s="63"/>
      <c r="AC214" s="63"/>
      <c r="AD214" s="36"/>
      <c r="AE214" s="31"/>
      <c r="AF214" s="9"/>
      <c r="AG214" s="6"/>
      <c r="AH214" s="6"/>
      <c r="AI214" s="6"/>
      <c r="AJ214" s="36"/>
      <c r="AK214" s="31"/>
      <c r="AL214" s="9"/>
      <c r="AM214" s="6"/>
      <c r="AN214" s="6"/>
      <c r="AO214" s="6"/>
      <c r="AP214" s="36"/>
    </row>
    <row r="215" spans="1:42">
      <c r="A215" s="30">
        <v>202</v>
      </c>
      <c r="B215" s="131"/>
      <c r="C215" s="144" t="s">
        <v>1659</v>
      </c>
      <c r="D215" s="27"/>
      <c r="E215" s="27"/>
      <c r="F215" s="27"/>
      <c r="G215" s="27"/>
      <c r="H215" s="133" t="s">
        <v>1660</v>
      </c>
      <c r="I215" s="181" t="s">
        <v>1661</v>
      </c>
      <c r="J215" s="138"/>
      <c r="K215" s="29"/>
      <c r="L215" s="11"/>
      <c r="M215" s="11"/>
      <c r="N215" s="11"/>
      <c r="O215" s="44"/>
      <c r="P215" s="44"/>
      <c r="Q215" s="44"/>
      <c r="R215" s="53"/>
      <c r="S215" s="44"/>
      <c r="T215" s="46"/>
      <c r="U215" s="46"/>
      <c r="V215" s="53"/>
      <c r="W215" s="74"/>
      <c r="X215" s="9"/>
      <c r="Y215" s="11"/>
      <c r="Z215" s="11"/>
      <c r="AA215" s="63"/>
      <c r="AB215" s="63"/>
      <c r="AC215" s="63"/>
      <c r="AD215" s="36"/>
      <c r="AE215" s="31"/>
      <c r="AF215" s="9"/>
      <c r="AG215" s="6"/>
      <c r="AH215" s="6"/>
      <c r="AI215" s="6"/>
      <c r="AJ215" s="36"/>
      <c r="AK215" s="31"/>
      <c r="AL215" s="9"/>
      <c r="AM215" s="6"/>
      <c r="AN215" s="6"/>
      <c r="AO215" s="6"/>
      <c r="AP215" s="36"/>
    </row>
    <row r="216" spans="1:42" ht="27">
      <c r="A216" s="30">
        <v>203</v>
      </c>
      <c r="B216" s="131"/>
      <c r="C216" s="144" t="s">
        <v>527</v>
      </c>
      <c r="D216" s="27"/>
      <c r="E216" s="27"/>
      <c r="F216" s="27"/>
      <c r="G216" s="27"/>
      <c r="H216" s="70" t="s">
        <v>817</v>
      </c>
      <c r="I216" s="177" t="s">
        <v>889</v>
      </c>
      <c r="J216" s="138" t="s">
        <v>634</v>
      </c>
      <c r="K216" s="29"/>
      <c r="L216" s="11"/>
      <c r="M216" s="11"/>
      <c r="N216" s="11"/>
      <c r="O216" s="44"/>
      <c r="P216" s="44"/>
      <c r="Q216" s="44"/>
      <c r="R216" s="53"/>
      <c r="S216" s="44"/>
      <c r="T216" s="46"/>
      <c r="U216" s="46"/>
      <c r="V216" s="53"/>
      <c r="W216" s="74"/>
      <c r="X216" s="9"/>
      <c r="Y216" s="11"/>
      <c r="Z216" s="11"/>
      <c r="AA216" s="63"/>
      <c r="AB216" s="63"/>
      <c r="AC216" s="63"/>
      <c r="AD216" s="36"/>
      <c r="AE216" s="31"/>
      <c r="AF216" s="75"/>
      <c r="AG216" s="6"/>
      <c r="AH216" s="6"/>
      <c r="AI216" s="6"/>
      <c r="AJ216" s="36"/>
      <c r="AK216" s="31"/>
      <c r="AL216" s="9"/>
      <c r="AM216" s="6"/>
      <c r="AN216" s="6"/>
      <c r="AO216" s="6"/>
      <c r="AP216" s="36"/>
    </row>
    <row r="217" spans="1:42" ht="17.25" customHeight="1">
      <c r="A217" s="30">
        <v>204</v>
      </c>
      <c r="B217" s="131"/>
      <c r="C217" s="144" t="s">
        <v>562</v>
      </c>
      <c r="D217" s="27"/>
      <c r="E217" s="27"/>
      <c r="F217" s="27"/>
      <c r="G217" s="27"/>
      <c r="H217" s="70" t="s">
        <v>1288</v>
      </c>
      <c r="I217" s="177" t="s">
        <v>869</v>
      </c>
      <c r="J217" s="137"/>
      <c r="K217" s="117"/>
      <c r="L217" s="6"/>
      <c r="M217" s="6"/>
      <c r="N217" s="6"/>
      <c r="O217" s="44"/>
      <c r="P217" s="44"/>
      <c r="Q217" s="44"/>
      <c r="R217" s="53"/>
      <c r="S217" s="44"/>
      <c r="T217" s="44"/>
      <c r="U217" s="44"/>
      <c r="V217" s="53"/>
      <c r="W217" s="74"/>
      <c r="X217" s="9"/>
      <c r="Y217" s="11"/>
      <c r="Z217" s="11"/>
      <c r="AA217" s="63"/>
      <c r="AB217" s="63"/>
      <c r="AC217" s="63"/>
      <c r="AD217" s="36"/>
      <c r="AE217" s="31"/>
      <c r="AF217" s="9"/>
      <c r="AG217" s="6"/>
      <c r="AH217" s="6"/>
      <c r="AI217" s="6"/>
      <c r="AJ217" s="36"/>
      <c r="AK217" s="31"/>
      <c r="AL217" s="9"/>
      <c r="AM217" s="6"/>
      <c r="AN217" s="6"/>
      <c r="AO217" s="6"/>
      <c r="AP217" s="36"/>
    </row>
    <row r="218" spans="1:42">
      <c r="A218" s="30">
        <v>205</v>
      </c>
      <c r="B218" s="131"/>
      <c r="C218" s="144" t="s">
        <v>1517</v>
      </c>
      <c r="D218" s="27"/>
      <c r="E218" s="27"/>
      <c r="F218" s="27"/>
      <c r="G218" s="27"/>
      <c r="H218" s="70" t="s">
        <v>1518</v>
      </c>
      <c r="I218" s="177" t="s">
        <v>938</v>
      </c>
      <c r="J218" s="138" t="s">
        <v>1559</v>
      </c>
      <c r="K218" s="117"/>
      <c r="L218" s="6"/>
      <c r="M218" s="6"/>
      <c r="N218" s="6"/>
      <c r="O218" s="44"/>
      <c r="P218" s="44"/>
      <c r="Q218" s="44"/>
      <c r="R218" s="53"/>
      <c r="S218" s="44"/>
      <c r="T218" s="44"/>
      <c r="U218" s="44"/>
      <c r="V218" s="53"/>
      <c r="W218" s="31"/>
      <c r="X218" s="9"/>
      <c r="Y218" s="11"/>
      <c r="Z218" s="11"/>
      <c r="AA218" s="63"/>
      <c r="AB218" s="63"/>
      <c r="AC218" s="63"/>
      <c r="AD218" s="36"/>
      <c r="AE218" s="31"/>
      <c r="AF218" s="9"/>
      <c r="AG218" s="6"/>
      <c r="AH218" s="6"/>
      <c r="AI218" s="6"/>
      <c r="AJ218" s="36"/>
      <c r="AK218" s="31"/>
      <c r="AL218" s="9"/>
      <c r="AM218" s="6"/>
      <c r="AN218" s="6"/>
      <c r="AO218" s="6"/>
      <c r="AP218" s="36"/>
    </row>
    <row r="219" spans="1:42">
      <c r="A219" s="30">
        <v>206</v>
      </c>
      <c r="B219" s="131"/>
      <c r="C219" s="144" t="s">
        <v>1768</v>
      </c>
      <c r="D219" s="27"/>
      <c r="E219" s="27"/>
      <c r="F219" s="27"/>
      <c r="G219" s="27"/>
      <c r="H219" s="70" t="s">
        <v>1769</v>
      </c>
      <c r="I219" s="177" t="s">
        <v>1373</v>
      </c>
      <c r="J219" s="138"/>
      <c r="K219" s="117"/>
      <c r="L219" s="6"/>
      <c r="M219" s="6"/>
      <c r="N219" s="6"/>
      <c r="O219" s="44"/>
      <c r="P219" s="44"/>
      <c r="Q219" s="44"/>
      <c r="R219" s="53"/>
      <c r="S219" s="44"/>
      <c r="T219" s="44"/>
      <c r="U219" s="44"/>
      <c r="V219" s="53"/>
      <c r="W219" s="31"/>
      <c r="X219" s="9"/>
      <c r="Y219" s="11"/>
      <c r="Z219" s="11"/>
      <c r="AA219" s="63"/>
      <c r="AB219" s="63"/>
      <c r="AC219" s="63"/>
      <c r="AD219" s="36"/>
      <c r="AE219" s="31"/>
      <c r="AF219" s="9"/>
      <c r="AG219" s="6"/>
      <c r="AH219" s="6"/>
      <c r="AI219" s="6"/>
      <c r="AJ219" s="36"/>
      <c r="AK219" s="31"/>
      <c r="AL219" s="9"/>
      <c r="AM219" s="6"/>
      <c r="AN219" s="6"/>
      <c r="AO219" s="6"/>
      <c r="AP219" s="36"/>
    </row>
    <row r="220" spans="1:42">
      <c r="A220" s="30">
        <v>207</v>
      </c>
      <c r="B220" s="131"/>
      <c r="C220" s="144" t="s">
        <v>508</v>
      </c>
      <c r="D220" s="27"/>
      <c r="E220" s="27"/>
      <c r="F220" s="27"/>
      <c r="G220" s="27"/>
      <c r="H220" s="70" t="s">
        <v>992</v>
      </c>
      <c r="I220" s="177" t="s">
        <v>905</v>
      </c>
      <c r="J220" s="138"/>
      <c r="K220" s="117"/>
      <c r="L220" s="6">
        <v>600</v>
      </c>
      <c r="M220" s="6">
        <v>30</v>
      </c>
      <c r="N220" s="6">
        <v>630</v>
      </c>
      <c r="O220" s="44"/>
      <c r="P220" s="44"/>
      <c r="Q220" s="44"/>
      <c r="R220" s="53"/>
      <c r="S220" s="45"/>
      <c r="T220" s="45"/>
      <c r="U220" s="45"/>
      <c r="V220" s="53"/>
      <c r="W220" s="31"/>
      <c r="X220" s="9"/>
      <c r="Y220" s="11"/>
      <c r="Z220" s="11"/>
      <c r="AA220" s="64"/>
      <c r="AB220" s="64"/>
      <c r="AC220" s="64"/>
      <c r="AD220" s="36"/>
      <c r="AE220" s="31"/>
      <c r="AF220" s="9"/>
      <c r="AG220" s="6"/>
      <c r="AH220" s="6"/>
      <c r="AI220" s="6"/>
      <c r="AJ220" s="36"/>
      <c r="AK220" s="31"/>
      <c r="AL220" s="9"/>
      <c r="AM220" s="6"/>
      <c r="AN220" s="6"/>
      <c r="AO220" s="6"/>
      <c r="AP220" s="36"/>
    </row>
    <row r="221" spans="1:42">
      <c r="A221" s="30">
        <v>208</v>
      </c>
      <c r="B221" s="131"/>
      <c r="C221" s="144" t="s">
        <v>645</v>
      </c>
      <c r="D221" s="27"/>
      <c r="E221" s="27"/>
      <c r="F221" s="27"/>
      <c r="G221" s="27"/>
      <c r="H221" s="70" t="s">
        <v>947</v>
      </c>
      <c r="I221" s="177" t="s">
        <v>1483</v>
      </c>
      <c r="J221" s="137" t="s">
        <v>640</v>
      </c>
      <c r="K221" s="117"/>
      <c r="L221" s="6"/>
      <c r="M221" s="6"/>
      <c r="N221" s="6"/>
      <c r="O221" s="44"/>
      <c r="P221" s="44"/>
      <c r="Q221" s="44"/>
      <c r="R221" s="53"/>
      <c r="S221" s="44"/>
      <c r="T221" s="44"/>
      <c r="U221" s="44"/>
      <c r="V221" s="53"/>
      <c r="W221" s="31"/>
      <c r="X221" s="9"/>
      <c r="Y221" s="11"/>
      <c r="Z221" s="11"/>
      <c r="AA221" s="63"/>
      <c r="AB221" s="63"/>
      <c r="AC221" s="63"/>
      <c r="AD221" s="36"/>
      <c r="AE221" s="31"/>
      <c r="AF221" s="9"/>
      <c r="AG221" s="6"/>
      <c r="AH221" s="6"/>
      <c r="AI221" s="6"/>
      <c r="AJ221" s="36"/>
      <c r="AK221" s="31"/>
      <c r="AL221" s="9"/>
      <c r="AM221" s="6"/>
      <c r="AN221" s="6"/>
      <c r="AO221" s="6"/>
      <c r="AP221" s="36"/>
    </row>
    <row r="222" spans="1:42">
      <c r="A222" s="30">
        <v>209</v>
      </c>
      <c r="B222" s="131"/>
      <c r="C222" s="144" t="s">
        <v>1343</v>
      </c>
      <c r="D222" s="27"/>
      <c r="E222" s="27"/>
      <c r="F222" s="27"/>
      <c r="G222" s="27"/>
      <c r="H222" s="103" t="s">
        <v>2028</v>
      </c>
      <c r="I222" s="178" t="s">
        <v>940</v>
      </c>
      <c r="J222" s="138" t="s">
        <v>702</v>
      </c>
      <c r="K222" s="117"/>
      <c r="L222" s="6"/>
      <c r="M222" s="6"/>
      <c r="N222" s="6"/>
      <c r="O222" s="44"/>
      <c r="P222" s="44"/>
      <c r="Q222" s="44"/>
      <c r="R222" s="53"/>
      <c r="S222" s="44"/>
      <c r="T222" s="44"/>
      <c r="U222" s="44"/>
      <c r="V222" s="53"/>
      <c r="W222" s="31"/>
      <c r="X222" s="9"/>
      <c r="AA222" s="112"/>
      <c r="AB222" s="112"/>
      <c r="AC222" s="112"/>
      <c r="AE222" s="111"/>
      <c r="AG222" s="8"/>
      <c r="AH222" s="8"/>
      <c r="AI222" s="8"/>
      <c r="AK222" s="111"/>
      <c r="AM222" s="8"/>
      <c r="AN222" s="8"/>
      <c r="AO222" s="8"/>
    </row>
    <row r="223" spans="1:42">
      <c r="A223" s="30">
        <v>210</v>
      </c>
      <c r="B223" s="131"/>
      <c r="C223" s="144" t="s">
        <v>1397</v>
      </c>
      <c r="D223" s="27"/>
      <c r="E223" s="27"/>
      <c r="F223" s="27"/>
      <c r="G223" s="27"/>
      <c r="H223" s="103" t="s">
        <v>1398</v>
      </c>
      <c r="I223" s="178" t="s">
        <v>1965</v>
      </c>
      <c r="J223" s="138" t="s">
        <v>1399</v>
      </c>
      <c r="K223" s="117"/>
      <c r="L223" s="6"/>
      <c r="M223" s="6"/>
      <c r="N223" s="6"/>
      <c r="O223" s="44"/>
      <c r="P223" s="44"/>
      <c r="Q223" s="44"/>
      <c r="R223" s="53"/>
      <c r="S223" s="44"/>
      <c r="T223" s="44"/>
      <c r="U223" s="44"/>
      <c r="V223" s="53"/>
      <c r="W223" s="31"/>
      <c r="X223" s="9"/>
      <c r="AA223" s="112"/>
      <c r="AB223" s="112"/>
      <c r="AC223" s="112"/>
      <c r="AE223" s="111"/>
      <c r="AG223" s="8"/>
      <c r="AH223" s="8"/>
      <c r="AI223" s="8"/>
      <c r="AK223" s="111"/>
      <c r="AM223" s="8"/>
      <c r="AN223" s="8"/>
      <c r="AO223" s="8"/>
    </row>
    <row r="224" spans="1:42">
      <c r="A224" s="30">
        <v>211</v>
      </c>
      <c r="B224" s="131"/>
      <c r="C224" s="144" t="s">
        <v>811</v>
      </c>
      <c r="D224" s="27"/>
      <c r="E224" s="27"/>
      <c r="F224" s="27"/>
      <c r="G224" s="27"/>
      <c r="H224" s="103" t="s">
        <v>821</v>
      </c>
      <c r="I224" s="178" t="s">
        <v>972</v>
      </c>
      <c r="J224" s="138" t="s">
        <v>822</v>
      </c>
      <c r="K224" s="117"/>
      <c r="L224" s="6"/>
      <c r="M224" s="6"/>
      <c r="N224" s="6"/>
      <c r="O224" s="44"/>
      <c r="P224" s="44"/>
      <c r="Q224" s="44"/>
      <c r="R224" s="53"/>
      <c r="S224" s="44"/>
      <c r="T224" s="44"/>
      <c r="U224" s="44"/>
      <c r="V224" s="53"/>
      <c r="W224" s="31"/>
      <c r="X224" s="9"/>
      <c r="AA224" s="112"/>
      <c r="AB224" s="112"/>
      <c r="AC224" s="112"/>
      <c r="AE224" s="111"/>
      <c r="AG224" s="8"/>
      <c r="AH224" s="8"/>
      <c r="AI224" s="8"/>
      <c r="AK224" s="111"/>
      <c r="AM224" s="8"/>
      <c r="AN224" s="8"/>
      <c r="AO224" s="8"/>
    </row>
    <row r="225" spans="1:42">
      <c r="A225" s="30">
        <v>212</v>
      </c>
      <c r="B225" s="131"/>
      <c r="C225" s="144" t="s">
        <v>1415</v>
      </c>
      <c r="D225" s="27"/>
      <c r="E225" s="27"/>
      <c r="F225" s="27"/>
      <c r="G225" s="27"/>
      <c r="H225" s="103" t="s">
        <v>722</v>
      </c>
      <c r="I225" s="178" t="s">
        <v>940</v>
      </c>
      <c r="J225" s="138"/>
      <c r="K225" s="117"/>
      <c r="L225" s="6"/>
      <c r="M225" s="6"/>
      <c r="N225" s="6"/>
      <c r="O225" s="44"/>
      <c r="P225" s="44"/>
      <c r="Q225" s="44"/>
      <c r="R225" s="53"/>
      <c r="S225" s="44"/>
      <c r="T225" s="44"/>
      <c r="U225" s="44"/>
      <c r="V225" s="53"/>
      <c r="W225" s="31"/>
      <c r="X225" s="9"/>
      <c r="AA225" s="112"/>
      <c r="AB225" s="112"/>
      <c r="AC225" s="112"/>
      <c r="AE225" s="111"/>
      <c r="AG225" s="8"/>
      <c r="AH225" s="8"/>
      <c r="AI225" s="8"/>
      <c r="AK225" s="111"/>
      <c r="AM225" s="8"/>
      <c r="AN225" s="8"/>
      <c r="AO225" s="8"/>
    </row>
    <row r="226" spans="1:42">
      <c r="A226" s="30">
        <v>213</v>
      </c>
      <c r="B226" s="131"/>
      <c r="C226" s="144" t="s">
        <v>1704</v>
      </c>
      <c r="D226" s="27"/>
      <c r="E226" s="27"/>
      <c r="F226" s="27"/>
      <c r="G226" s="27"/>
      <c r="H226" s="103" t="s">
        <v>1702</v>
      </c>
      <c r="I226" s="178" t="s">
        <v>1186</v>
      </c>
      <c r="J226" s="138" t="s">
        <v>1703</v>
      </c>
      <c r="K226" s="117"/>
      <c r="L226" s="6"/>
      <c r="M226" s="6"/>
      <c r="N226" s="6"/>
      <c r="O226" s="44"/>
      <c r="P226" s="44"/>
      <c r="Q226" s="44"/>
      <c r="R226" s="53"/>
      <c r="S226" s="44"/>
      <c r="T226" s="44"/>
      <c r="U226" s="44"/>
      <c r="V226" s="53"/>
      <c r="W226" s="31"/>
      <c r="X226" s="9"/>
      <c r="AA226" s="112"/>
      <c r="AB226" s="112"/>
      <c r="AC226" s="112"/>
      <c r="AE226" s="111"/>
      <c r="AG226" s="8"/>
      <c r="AH226" s="8"/>
      <c r="AI226" s="8"/>
      <c r="AK226" s="111"/>
      <c r="AM226" s="8"/>
      <c r="AN226" s="8"/>
      <c r="AO226" s="8"/>
    </row>
    <row r="227" spans="1:42" ht="20.100000000000001" customHeight="1">
      <c r="A227" s="30">
        <v>214</v>
      </c>
      <c r="B227" s="131"/>
      <c r="C227" s="144" t="s">
        <v>644</v>
      </c>
      <c r="D227" s="27"/>
      <c r="E227" s="27"/>
      <c r="F227" s="27"/>
      <c r="G227" s="27"/>
      <c r="H227" s="70" t="s">
        <v>724</v>
      </c>
      <c r="I227" s="177" t="s">
        <v>845</v>
      </c>
      <c r="J227" s="137" t="s">
        <v>640</v>
      </c>
      <c r="K227" s="29"/>
      <c r="L227" s="11">
        <v>30800</v>
      </c>
      <c r="M227" s="11">
        <v>1540</v>
      </c>
      <c r="N227" s="11">
        <v>32340</v>
      </c>
      <c r="O227" s="44"/>
      <c r="P227" s="44"/>
      <c r="Q227" s="44"/>
      <c r="R227" s="53"/>
      <c r="S227" s="44"/>
      <c r="T227" s="46"/>
      <c r="U227" s="46"/>
      <c r="V227" s="53"/>
      <c r="W227" s="34"/>
      <c r="X227" s="35"/>
      <c r="Y227" s="61"/>
      <c r="Z227" s="61"/>
      <c r="AA227" s="63"/>
      <c r="AB227" s="63"/>
      <c r="AC227" s="63"/>
      <c r="AD227" s="36"/>
      <c r="AE227" s="34"/>
      <c r="AF227" s="35"/>
      <c r="AG227" s="6"/>
      <c r="AH227" s="6"/>
      <c r="AI227" s="6"/>
      <c r="AJ227" s="36"/>
      <c r="AK227" s="34"/>
      <c r="AL227" s="35"/>
      <c r="AM227" s="6"/>
      <c r="AN227" s="6"/>
      <c r="AO227" s="6"/>
      <c r="AP227" s="36"/>
    </row>
    <row r="228" spans="1:42" ht="20.100000000000001" customHeight="1">
      <c r="A228" s="30">
        <v>215</v>
      </c>
      <c r="B228" s="131"/>
      <c r="C228" s="144" t="s">
        <v>1017</v>
      </c>
      <c r="D228" s="27"/>
      <c r="E228" s="27"/>
      <c r="F228" s="27"/>
      <c r="G228" s="27"/>
      <c r="H228" s="133" t="s">
        <v>733</v>
      </c>
      <c r="I228" s="181" t="s">
        <v>1018</v>
      </c>
      <c r="J228" s="138"/>
      <c r="K228" s="29"/>
      <c r="L228" s="11"/>
      <c r="M228" s="11"/>
      <c r="N228" s="11"/>
      <c r="O228" s="44"/>
      <c r="P228" s="44"/>
      <c r="Q228" s="44"/>
      <c r="R228" s="53"/>
      <c r="S228" s="44"/>
      <c r="T228" s="46"/>
      <c r="U228" s="46"/>
      <c r="V228" s="53"/>
      <c r="W228" s="34"/>
      <c r="X228" s="35"/>
      <c r="Y228" s="61"/>
      <c r="Z228" s="61"/>
      <c r="AA228" s="63"/>
      <c r="AB228" s="63"/>
      <c r="AC228" s="63"/>
      <c r="AD228" s="36"/>
      <c r="AE228" s="34"/>
      <c r="AF228" s="35"/>
      <c r="AG228" s="6"/>
      <c r="AH228" s="6"/>
      <c r="AI228" s="6"/>
      <c r="AJ228" s="36"/>
      <c r="AK228" s="34"/>
      <c r="AL228" s="35"/>
      <c r="AM228" s="6"/>
      <c r="AN228" s="6"/>
      <c r="AO228" s="6"/>
      <c r="AP228" s="36"/>
    </row>
    <row r="229" spans="1:42" ht="20.100000000000001" customHeight="1">
      <c r="A229" s="30">
        <v>216</v>
      </c>
      <c r="B229" s="131"/>
      <c r="C229" s="144" t="s">
        <v>970</v>
      </c>
      <c r="D229" s="27"/>
      <c r="E229" s="27"/>
      <c r="F229" s="27"/>
      <c r="G229" s="27"/>
      <c r="H229" s="133" t="s">
        <v>971</v>
      </c>
      <c r="I229" s="181" t="s">
        <v>878</v>
      </c>
      <c r="J229" s="138"/>
      <c r="K229" s="29"/>
      <c r="L229" s="11"/>
      <c r="M229" s="11"/>
      <c r="N229" s="11"/>
      <c r="O229" s="44"/>
      <c r="P229" s="44"/>
      <c r="Q229" s="44"/>
      <c r="R229" s="53"/>
      <c r="S229" s="44"/>
      <c r="T229" s="46"/>
      <c r="U229" s="46"/>
      <c r="V229" s="53"/>
      <c r="W229" s="34"/>
      <c r="X229" s="35"/>
      <c r="Y229" s="61"/>
      <c r="Z229" s="61"/>
      <c r="AA229" s="63"/>
      <c r="AB229" s="63"/>
      <c r="AC229" s="63"/>
      <c r="AD229" s="36"/>
      <c r="AE229" s="34"/>
      <c r="AF229" s="35"/>
      <c r="AG229" s="6"/>
      <c r="AH229" s="6"/>
      <c r="AI229" s="6"/>
      <c r="AJ229" s="36"/>
      <c r="AK229" s="34"/>
      <c r="AL229" s="35"/>
      <c r="AM229" s="6"/>
      <c r="AN229" s="6"/>
      <c r="AO229" s="6"/>
      <c r="AP229" s="36"/>
    </row>
    <row r="230" spans="1:42">
      <c r="A230" s="30">
        <v>217</v>
      </c>
      <c r="B230" s="131"/>
      <c r="C230" s="144" t="s">
        <v>1597</v>
      </c>
      <c r="D230" s="27"/>
      <c r="E230" s="27"/>
      <c r="F230" s="27"/>
      <c r="G230" s="27"/>
      <c r="H230" s="104" t="s">
        <v>1371</v>
      </c>
      <c r="I230" s="186" t="s">
        <v>1135</v>
      </c>
      <c r="J230" s="137" t="s">
        <v>1372</v>
      </c>
      <c r="K230" s="29"/>
      <c r="L230" s="11"/>
      <c r="M230" s="11"/>
      <c r="N230" s="11"/>
      <c r="O230" s="44"/>
      <c r="P230" s="44"/>
      <c r="Q230" s="44"/>
      <c r="R230" s="53"/>
      <c r="S230" s="44"/>
      <c r="T230" s="46"/>
      <c r="U230" s="46"/>
      <c r="V230" s="53"/>
      <c r="W230" s="31"/>
      <c r="X230" s="9"/>
      <c r="Y230" s="11"/>
      <c r="Z230" s="11"/>
      <c r="AA230" s="63"/>
      <c r="AB230" s="63"/>
      <c r="AC230" s="63"/>
      <c r="AD230" s="36"/>
      <c r="AE230" s="31"/>
      <c r="AF230" s="9"/>
      <c r="AG230" s="6"/>
      <c r="AH230" s="6"/>
      <c r="AI230" s="6"/>
      <c r="AJ230" s="36"/>
      <c r="AK230" s="31"/>
      <c r="AL230" s="9"/>
      <c r="AM230" s="6"/>
      <c r="AN230" s="6"/>
      <c r="AO230" s="6"/>
      <c r="AP230" s="36"/>
    </row>
    <row r="231" spans="1:42">
      <c r="A231" s="30">
        <v>218</v>
      </c>
      <c r="B231" s="131"/>
      <c r="C231" s="144" t="s">
        <v>564</v>
      </c>
      <c r="D231" s="27"/>
      <c r="E231" s="27"/>
      <c r="F231" s="27"/>
      <c r="G231" s="27"/>
      <c r="H231" s="104" t="s">
        <v>743</v>
      </c>
      <c r="I231" s="186"/>
      <c r="J231" s="137"/>
      <c r="K231" s="117"/>
      <c r="L231" s="6">
        <v>24885</v>
      </c>
      <c r="M231" s="6">
        <v>1244.25</v>
      </c>
      <c r="N231" s="6">
        <v>26129.25</v>
      </c>
      <c r="O231" s="44"/>
      <c r="P231" s="44"/>
      <c r="Q231" s="44"/>
      <c r="R231" s="53"/>
      <c r="S231" s="44"/>
      <c r="T231" s="44"/>
      <c r="U231" s="44"/>
      <c r="V231" s="53"/>
      <c r="W231" s="31"/>
      <c r="X231" s="9"/>
      <c r="Y231" s="11"/>
      <c r="Z231" s="11"/>
      <c r="AA231" s="63"/>
      <c r="AB231" s="63"/>
      <c r="AC231" s="63"/>
      <c r="AD231" s="36"/>
      <c r="AE231" s="31"/>
      <c r="AF231" s="9"/>
      <c r="AG231" s="6"/>
      <c r="AH231" s="6"/>
      <c r="AI231" s="6"/>
      <c r="AJ231" s="36"/>
      <c r="AK231" s="31"/>
      <c r="AL231" s="9"/>
      <c r="AM231" s="6"/>
      <c r="AN231" s="6"/>
      <c r="AO231" s="6"/>
      <c r="AP231" s="36"/>
    </row>
    <row r="232" spans="1:42" ht="27">
      <c r="A232" s="30">
        <v>219</v>
      </c>
      <c r="B232" s="131"/>
      <c r="C232" s="144" t="s">
        <v>330</v>
      </c>
      <c r="D232" s="27"/>
      <c r="E232" s="27"/>
      <c r="F232" s="27"/>
      <c r="G232" s="27"/>
      <c r="H232" s="70" t="s">
        <v>1204</v>
      </c>
      <c r="I232" s="177"/>
      <c r="J232" s="137" t="s">
        <v>1921</v>
      </c>
      <c r="K232" s="117"/>
      <c r="L232" s="6"/>
      <c r="M232" s="6"/>
      <c r="N232" s="6"/>
      <c r="O232" s="44"/>
      <c r="P232" s="44"/>
      <c r="Q232" s="44"/>
      <c r="R232" s="53"/>
      <c r="S232" s="44"/>
      <c r="T232" s="44"/>
      <c r="U232" s="44"/>
      <c r="V232" s="53"/>
      <c r="W232" s="31"/>
      <c r="X232" s="9"/>
      <c r="Y232" s="11"/>
      <c r="Z232" s="11"/>
      <c r="AA232" s="63"/>
      <c r="AB232" s="63"/>
      <c r="AC232" s="63"/>
      <c r="AD232" s="36"/>
      <c r="AE232" s="31"/>
      <c r="AF232" s="9"/>
      <c r="AG232" s="6"/>
      <c r="AH232" s="6"/>
      <c r="AI232" s="6"/>
      <c r="AJ232" s="36"/>
      <c r="AK232" s="31"/>
      <c r="AL232" s="9"/>
      <c r="AM232" s="6"/>
      <c r="AN232" s="6"/>
      <c r="AO232" s="6"/>
      <c r="AP232" s="36"/>
    </row>
    <row r="233" spans="1:42">
      <c r="A233" s="30">
        <v>220</v>
      </c>
      <c r="B233" s="131"/>
      <c r="C233" s="144" t="s">
        <v>1662</v>
      </c>
      <c r="D233" s="27"/>
      <c r="E233" s="27"/>
      <c r="F233" s="27"/>
      <c r="G233" s="27"/>
      <c r="H233" s="70" t="s">
        <v>1663</v>
      </c>
      <c r="I233" s="177" t="s">
        <v>1186</v>
      </c>
      <c r="J233" s="137" t="s">
        <v>1664</v>
      </c>
      <c r="K233" s="117"/>
      <c r="L233" s="6"/>
      <c r="M233" s="6"/>
      <c r="N233" s="6"/>
      <c r="O233" s="44"/>
      <c r="P233" s="44"/>
      <c r="Q233" s="44"/>
      <c r="R233" s="53"/>
      <c r="S233" s="44"/>
      <c r="T233" s="44"/>
      <c r="U233" s="44"/>
      <c r="V233" s="53"/>
      <c r="W233" s="31"/>
      <c r="X233" s="9"/>
      <c r="Y233" s="11"/>
      <c r="Z233" s="11"/>
      <c r="AA233" s="63"/>
      <c r="AB233" s="63"/>
      <c r="AC233" s="63"/>
      <c r="AD233" s="36"/>
      <c r="AE233" s="31"/>
      <c r="AF233" s="9"/>
      <c r="AG233" s="6"/>
      <c r="AH233" s="6"/>
      <c r="AI233" s="6"/>
      <c r="AJ233" s="36"/>
      <c r="AK233" s="31"/>
      <c r="AL233" s="9"/>
      <c r="AM233" s="6"/>
      <c r="AN233" s="6"/>
      <c r="AO233" s="6"/>
      <c r="AP233" s="36"/>
    </row>
    <row r="234" spans="1:42">
      <c r="A234" s="30">
        <v>137</v>
      </c>
      <c r="B234" s="131"/>
      <c r="C234" s="134" t="s">
        <v>1049</v>
      </c>
      <c r="D234" s="27"/>
      <c r="E234" s="27"/>
      <c r="F234" s="27"/>
      <c r="G234" s="27"/>
      <c r="H234" s="70" t="s">
        <v>2011</v>
      </c>
      <c r="I234" s="177" t="s">
        <v>2012</v>
      </c>
      <c r="J234" s="137" t="s">
        <v>1553</v>
      </c>
      <c r="K234" s="29"/>
      <c r="L234" s="11"/>
      <c r="M234" s="11"/>
      <c r="N234" s="11"/>
      <c r="O234" s="44"/>
      <c r="P234" s="44"/>
      <c r="Q234" s="44"/>
      <c r="R234" s="53"/>
      <c r="S234" s="44"/>
      <c r="T234" s="46"/>
      <c r="U234" s="46"/>
      <c r="V234" s="53"/>
      <c r="W234" s="31"/>
      <c r="X234" s="9"/>
      <c r="Y234" s="11"/>
      <c r="Z234" s="11"/>
      <c r="AA234" s="63"/>
      <c r="AB234" s="63"/>
      <c r="AC234" s="63"/>
      <c r="AD234" s="36"/>
      <c r="AE234" s="31"/>
      <c r="AF234" s="9"/>
      <c r="AG234" s="6"/>
      <c r="AH234" s="6"/>
      <c r="AI234" s="6"/>
      <c r="AJ234" s="36"/>
      <c r="AK234" s="31"/>
      <c r="AL234" s="9"/>
      <c r="AM234" s="6"/>
      <c r="AN234" s="6"/>
      <c r="AO234" s="6"/>
      <c r="AP234" s="36"/>
    </row>
    <row r="235" spans="1:42">
      <c r="A235" s="30">
        <v>190</v>
      </c>
      <c r="B235" s="131"/>
      <c r="C235" s="144" t="s">
        <v>1059</v>
      </c>
      <c r="D235" s="27"/>
      <c r="E235" s="27"/>
      <c r="F235" s="27"/>
      <c r="G235" s="27"/>
      <c r="H235" s="197" t="s">
        <v>1063</v>
      </c>
      <c r="I235" s="177" t="s">
        <v>826</v>
      </c>
      <c r="J235" s="137" t="s">
        <v>621</v>
      </c>
      <c r="K235" s="29"/>
      <c r="L235" s="11"/>
      <c r="M235" s="11"/>
      <c r="N235" s="11"/>
      <c r="O235" s="44"/>
      <c r="P235" s="44"/>
      <c r="Q235" s="44"/>
      <c r="R235" s="53"/>
      <c r="S235" s="44"/>
      <c r="T235" s="46"/>
      <c r="U235" s="46"/>
      <c r="V235" s="53"/>
      <c r="W235" s="34"/>
      <c r="X235" s="35"/>
      <c r="Y235" s="61"/>
      <c r="Z235" s="61"/>
      <c r="AA235" s="63"/>
      <c r="AB235" s="63"/>
      <c r="AC235" s="63"/>
      <c r="AD235" s="36"/>
      <c r="AE235" s="34"/>
      <c r="AF235" s="35"/>
      <c r="AG235" s="6"/>
      <c r="AH235" s="6"/>
      <c r="AI235" s="6"/>
      <c r="AJ235" s="36"/>
      <c r="AK235" s="34"/>
      <c r="AL235" s="35"/>
      <c r="AM235" s="6"/>
      <c r="AN235" s="6"/>
      <c r="AO235" s="6"/>
      <c r="AP235" s="36"/>
    </row>
    <row r="236" spans="1:42">
      <c r="A236" s="30">
        <v>191</v>
      </c>
      <c r="B236" s="131"/>
      <c r="C236" s="144" t="s">
        <v>1465</v>
      </c>
      <c r="D236" s="27"/>
      <c r="E236" s="27"/>
      <c r="F236" s="27"/>
      <c r="G236" s="27"/>
      <c r="H236" s="70" t="s">
        <v>1466</v>
      </c>
      <c r="I236" s="177" t="s">
        <v>1467</v>
      </c>
      <c r="J236" s="137"/>
      <c r="K236" s="29"/>
      <c r="L236" s="11"/>
      <c r="M236" s="11"/>
      <c r="N236" s="11"/>
      <c r="O236" s="44"/>
      <c r="P236" s="44"/>
      <c r="Q236" s="44"/>
      <c r="R236" s="53"/>
      <c r="S236" s="45"/>
      <c r="T236" s="45"/>
      <c r="U236" s="45"/>
      <c r="V236" s="53"/>
      <c r="W236" s="31"/>
      <c r="X236" s="9"/>
      <c r="Y236" s="11"/>
      <c r="Z236" s="11"/>
      <c r="AA236" s="63"/>
      <c r="AB236" s="63"/>
      <c r="AC236" s="63"/>
      <c r="AD236" s="36"/>
      <c r="AE236" s="31"/>
      <c r="AF236" s="9"/>
      <c r="AG236" s="6"/>
      <c r="AH236" s="6"/>
      <c r="AI236" s="6"/>
      <c r="AJ236" s="36"/>
      <c r="AK236" s="31"/>
      <c r="AL236" s="9"/>
      <c r="AM236" s="6"/>
      <c r="AN236" s="6"/>
      <c r="AO236" s="6"/>
      <c r="AP236" s="36"/>
    </row>
    <row r="237" spans="1:42" ht="27">
      <c r="A237" s="30">
        <v>221</v>
      </c>
      <c r="B237" s="131"/>
      <c r="C237" s="144" t="s">
        <v>1350</v>
      </c>
      <c r="D237" s="27"/>
      <c r="E237" s="27"/>
      <c r="F237" s="27"/>
      <c r="G237" s="27"/>
      <c r="H237" s="70" t="s">
        <v>1505</v>
      </c>
      <c r="I237" s="177" t="s">
        <v>1370</v>
      </c>
      <c r="J237" s="137" t="s">
        <v>1843</v>
      </c>
      <c r="K237" s="29"/>
      <c r="L237" s="11"/>
      <c r="M237" s="11"/>
      <c r="N237" s="11"/>
      <c r="O237" s="44"/>
      <c r="P237" s="44"/>
      <c r="Q237" s="44"/>
      <c r="R237" s="53"/>
      <c r="S237" s="45"/>
      <c r="T237" s="45"/>
      <c r="U237" s="45"/>
      <c r="V237" s="53"/>
      <c r="W237" s="31"/>
      <c r="X237" s="9"/>
      <c r="Y237" s="11"/>
      <c r="Z237" s="11"/>
      <c r="AA237" s="64"/>
      <c r="AB237" s="64"/>
      <c r="AC237" s="64"/>
      <c r="AD237" s="36"/>
      <c r="AE237" s="31"/>
      <c r="AF237" s="9"/>
      <c r="AG237" s="6"/>
      <c r="AH237" s="6"/>
      <c r="AI237" s="6"/>
      <c r="AJ237" s="36"/>
      <c r="AK237" s="31"/>
      <c r="AL237" s="9"/>
      <c r="AM237" s="6"/>
      <c r="AN237" s="6"/>
      <c r="AO237" s="6"/>
      <c r="AP237" s="36"/>
    </row>
    <row r="238" spans="1:42">
      <c r="A238" s="30"/>
      <c r="B238" s="131"/>
      <c r="C238" s="144" t="s">
        <v>2018</v>
      </c>
      <c r="D238" s="27"/>
      <c r="E238" s="27"/>
      <c r="F238" s="27"/>
      <c r="G238" s="27"/>
      <c r="H238" s="70" t="s">
        <v>2017</v>
      </c>
      <c r="I238" s="177" t="s">
        <v>1740</v>
      </c>
      <c r="J238" s="137"/>
      <c r="K238" s="29"/>
      <c r="L238" s="11"/>
      <c r="M238" s="11"/>
      <c r="N238" s="11"/>
      <c r="O238" s="44"/>
      <c r="P238" s="44"/>
      <c r="Q238" s="44"/>
      <c r="R238" s="53"/>
      <c r="S238" s="45"/>
      <c r="T238" s="45"/>
      <c r="U238" s="45"/>
      <c r="V238" s="53"/>
      <c r="W238" s="31"/>
      <c r="X238" s="9"/>
      <c r="Y238" s="11"/>
      <c r="Z238" s="11"/>
      <c r="AA238" s="64"/>
      <c r="AB238" s="64"/>
      <c r="AC238" s="64"/>
      <c r="AD238" s="36"/>
      <c r="AE238" s="31"/>
      <c r="AF238" s="9"/>
      <c r="AG238" s="6"/>
      <c r="AH238" s="6"/>
      <c r="AI238" s="6"/>
      <c r="AJ238" s="36"/>
      <c r="AK238" s="31"/>
      <c r="AL238" s="9"/>
      <c r="AM238" s="6"/>
      <c r="AN238" s="6"/>
      <c r="AO238" s="6"/>
      <c r="AP238" s="36"/>
    </row>
    <row r="239" spans="1:42" ht="27">
      <c r="A239" s="30">
        <v>353</v>
      </c>
      <c r="B239" s="131"/>
      <c r="C239" s="144" t="s">
        <v>1429</v>
      </c>
      <c r="D239" s="27"/>
      <c r="E239" s="27"/>
      <c r="F239" s="27"/>
      <c r="G239" s="27"/>
      <c r="H239" s="70" t="s">
        <v>1428</v>
      </c>
      <c r="I239" s="177" t="s">
        <v>1803</v>
      </c>
      <c r="J239" s="138" t="s">
        <v>857</v>
      </c>
      <c r="K239" s="29"/>
      <c r="L239" s="11"/>
      <c r="M239" s="11"/>
      <c r="N239" s="11"/>
      <c r="O239" s="44"/>
      <c r="P239" s="44"/>
      <c r="Q239" s="44"/>
      <c r="R239" s="53"/>
      <c r="S239" s="90"/>
      <c r="T239" s="90"/>
      <c r="U239" s="90"/>
      <c r="V239" s="53"/>
      <c r="W239" s="31"/>
      <c r="X239" s="9"/>
      <c r="Y239" s="11"/>
      <c r="Z239" s="11"/>
      <c r="AA239" s="91"/>
      <c r="AB239" s="91"/>
      <c r="AC239" s="91"/>
      <c r="AD239" s="36"/>
      <c r="AE239" s="31"/>
      <c r="AF239" s="9"/>
      <c r="AG239" s="6"/>
      <c r="AH239" s="6"/>
      <c r="AI239" s="6"/>
      <c r="AJ239" s="36"/>
      <c r="AK239" s="31"/>
      <c r="AL239" s="9"/>
      <c r="AM239" s="6"/>
      <c r="AN239" s="6"/>
      <c r="AO239" s="6"/>
      <c r="AP239" s="36"/>
    </row>
    <row r="240" spans="1:42">
      <c r="A240" s="30">
        <v>222</v>
      </c>
      <c r="B240" s="131"/>
      <c r="C240" s="144" t="s">
        <v>526</v>
      </c>
      <c r="D240" s="27"/>
      <c r="E240" s="27"/>
      <c r="F240" s="27"/>
      <c r="G240" s="27"/>
      <c r="H240" s="70" t="s">
        <v>1507</v>
      </c>
      <c r="I240" s="177" t="s">
        <v>896</v>
      </c>
      <c r="J240" s="138" t="s">
        <v>958</v>
      </c>
      <c r="K240" s="117"/>
      <c r="L240" s="6"/>
      <c r="M240" s="6"/>
      <c r="N240" s="6"/>
      <c r="O240" s="44"/>
      <c r="P240" s="44"/>
      <c r="Q240" s="44"/>
      <c r="R240" s="53"/>
      <c r="S240" s="48"/>
      <c r="T240" s="48"/>
      <c r="U240" s="48"/>
      <c r="V240" s="53"/>
      <c r="W240" s="31"/>
      <c r="X240" s="9"/>
      <c r="Y240" s="11"/>
      <c r="Z240" s="11"/>
      <c r="AA240" s="66"/>
      <c r="AB240" s="66"/>
      <c r="AC240" s="66"/>
      <c r="AD240" s="36"/>
      <c r="AE240" s="31"/>
      <c r="AF240" s="9"/>
      <c r="AG240" s="6"/>
      <c r="AH240" s="6"/>
      <c r="AI240" s="6"/>
      <c r="AJ240" s="36"/>
      <c r="AK240" s="31"/>
      <c r="AL240" s="9"/>
      <c r="AM240" s="6"/>
      <c r="AN240" s="6"/>
      <c r="AO240" s="6"/>
      <c r="AP240" s="36"/>
    </row>
    <row r="241" spans="1:44" ht="27">
      <c r="A241" s="30">
        <v>223</v>
      </c>
      <c r="B241" s="131"/>
      <c r="C241" s="144" t="s">
        <v>579</v>
      </c>
      <c r="D241" s="27"/>
      <c r="E241" s="27"/>
      <c r="F241" s="27"/>
      <c r="G241" s="27"/>
      <c r="H241" s="70" t="s">
        <v>1506</v>
      </c>
      <c r="I241" s="177" t="s">
        <v>1508</v>
      </c>
      <c r="J241" s="138" t="s">
        <v>620</v>
      </c>
      <c r="K241" s="29"/>
      <c r="L241" s="11"/>
      <c r="M241" s="11"/>
      <c r="N241" s="11"/>
      <c r="O241" s="44"/>
      <c r="P241" s="44"/>
      <c r="Q241" s="44"/>
      <c r="R241" s="53"/>
      <c r="S241" s="44"/>
      <c r="T241" s="46"/>
      <c r="U241" s="46"/>
      <c r="V241" s="53"/>
      <c r="W241" s="31"/>
      <c r="X241" s="9"/>
      <c r="Y241" s="11"/>
      <c r="Z241" s="11"/>
      <c r="AA241" s="63"/>
      <c r="AB241" s="63"/>
      <c r="AC241" s="63"/>
      <c r="AD241" s="36"/>
      <c r="AE241" s="31"/>
      <c r="AF241" s="9"/>
      <c r="AG241" s="6"/>
      <c r="AH241" s="6"/>
      <c r="AI241" s="6"/>
      <c r="AJ241" s="36"/>
      <c r="AK241" s="31"/>
      <c r="AL241" s="9"/>
      <c r="AM241" s="6"/>
      <c r="AN241" s="6"/>
      <c r="AO241" s="6"/>
      <c r="AP241" s="36"/>
    </row>
    <row r="242" spans="1:44">
      <c r="A242" s="30">
        <v>224</v>
      </c>
      <c r="B242" s="131"/>
      <c r="C242" s="144" t="s">
        <v>1003</v>
      </c>
      <c r="D242" s="27"/>
      <c r="E242" s="27"/>
      <c r="F242" s="27"/>
      <c r="G242" s="27"/>
      <c r="H242" s="135" t="s">
        <v>1678</v>
      </c>
      <c r="I242" s="177" t="s">
        <v>1236</v>
      </c>
      <c r="J242" s="138" t="s">
        <v>1679</v>
      </c>
      <c r="K242" s="99">
        <v>276200</v>
      </c>
      <c r="L242" s="11">
        <v>24200</v>
      </c>
      <c r="M242" s="11">
        <v>1210</v>
      </c>
      <c r="N242" s="11">
        <v>25410</v>
      </c>
      <c r="O242" s="44"/>
      <c r="P242" s="44"/>
      <c r="Q242" s="44"/>
      <c r="R242" s="53"/>
      <c r="S242" s="47"/>
      <c r="T242" s="47"/>
      <c r="U242" s="47"/>
      <c r="V242" s="53"/>
      <c r="W242" s="31"/>
      <c r="X242" s="9"/>
      <c r="Y242" s="11"/>
      <c r="Z242" s="11"/>
      <c r="AA242" s="67"/>
      <c r="AB242" s="67"/>
      <c r="AC242" s="67"/>
      <c r="AD242" s="36"/>
      <c r="AE242" s="31"/>
      <c r="AF242" s="9"/>
      <c r="AG242" s="6"/>
      <c r="AH242" s="6"/>
      <c r="AI242" s="6"/>
      <c r="AJ242" s="36"/>
      <c r="AK242" s="31"/>
      <c r="AL242" s="9"/>
      <c r="AM242" s="6"/>
      <c r="AN242" s="6"/>
      <c r="AO242" s="6"/>
      <c r="AP242" s="36"/>
    </row>
    <row r="243" spans="1:44">
      <c r="A243" s="30">
        <v>225</v>
      </c>
      <c r="B243" s="131"/>
      <c r="C243" s="144" t="s">
        <v>506</v>
      </c>
      <c r="D243" s="27"/>
      <c r="E243" s="27"/>
      <c r="F243" s="27"/>
      <c r="G243" s="27"/>
      <c r="H243" s="130" t="s">
        <v>659</v>
      </c>
      <c r="I243" s="187" t="s">
        <v>1073</v>
      </c>
      <c r="J243" s="138" t="s">
        <v>658</v>
      </c>
      <c r="K243" s="29"/>
      <c r="L243" s="11">
        <v>16929</v>
      </c>
      <c r="M243" s="11">
        <v>846.45</v>
      </c>
      <c r="N243" s="11">
        <v>17775.45</v>
      </c>
      <c r="O243" s="44"/>
      <c r="P243" s="44"/>
      <c r="Q243" s="44"/>
      <c r="R243" s="53"/>
      <c r="S243" s="149" t="s">
        <v>664</v>
      </c>
      <c r="T243" s="45"/>
      <c r="U243" s="45"/>
      <c r="V243" s="53"/>
      <c r="W243" s="31"/>
      <c r="X243" s="9"/>
      <c r="Y243" s="11"/>
      <c r="Z243" s="11"/>
      <c r="AA243" s="63"/>
      <c r="AB243" s="63"/>
      <c r="AC243" s="63"/>
      <c r="AD243" s="36"/>
      <c r="AE243" s="31"/>
      <c r="AF243" s="9"/>
      <c r="AG243" s="6"/>
      <c r="AH243" s="6"/>
      <c r="AI243" s="6"/>
      <c r="AJ243" s="36"/>
      <c r="AK243" s="31"/>
      <c r="AL243" s="9"/>
      <c r="AM243" s="6"/>
      <c r="AN243" s="6"/>
      <c r="AO243" s="6"/>
      <c r="AP243" s="36"/>
    </row>
    <row r="244" spans="1:44">
      <c r="A244" s="30">
        <v>226</v>
      </c>
      <c r="B244" s="131"/>
      <c r="C244" s="144" t="s">
        <v>987</v>
      </c>
      <c r="D244" s="27"/>
      <c r="E244" s="27"/>
      <c r="F244" s="27"/>
      <c r="G244" s="27"/>
      <c r="H244" s="130" t="s">
        <v>652</v>
      </c>
      <c r="I244" s="187" t="s">
        <v>902</v>
      </c>
      <c r="J244" s="138" t="s">
        <v>660</v>
      </c>
      <c r="K244" s="117"/>
      <c r="L244" s="6">
        <v>540</v>
      </c>
      <c r="M244" s="6">
        <v>27</v>
      </c>
      <c r="N244" s="6">
        <v>567</v>
      </c>
      <c r="O244" s="44"/>
      <c r="P244" s="44"/>
      <c r="Q244" s="44"/>
      <c r="R244" s="53"/>
      <c r="S244" s="44"/>
      <c r="T244" s="44"/>
      <c r="U244" s="44"/>
      <c r="V244" s="53"/>
      <c r="W244" s="74"/>
      <c r="X244" s="9"/>
      <c r="Y244" s="11"/>
      <c r="Z244" s="11"/>
      <c r="AA244" s="63"/>
      <c r="AB244" s="63"/>
      <c r="AC244" s="63"/>
      <c r="AD244" s="36"/>
      <c r="AE244" s="31"/>
      <c r="AF244" s="9"/>
      <c r="AG244" s="6"/>
      <c r="AH244" s="6"/>
      <c r="AI244" s="6"/>
      <c r="AJ244" s="36"/>
      <c r="AK244" s="31"/>
      <c r="AL244" s="9"/>
      <c r="AM244" s="6"/>
      <c r="AN244" s="6"/>
      <c r="AO244" s="6"/>
      <c r="AP244" s="36"/>
    </row>
    <row r="245" spans="1:44">
      <c r="A245" s="30">
        <v>227</v>
      </c>
      <c r="B245" s="131"/>
      <c r="C245" s="144" t="s">
        <v>1480</v>
      </c>
      <c r="D245" s="27"/>
      <c r="E245" s="27"/>
      <c r="F245" s="27"/>
      <c r="G245" s="27"/>
      <c r="H245" s="70" t="s">
        <v>1240</v>
      </c>
      <c r="I245" s="177" t="s">
        <v>827</v>
      </c>
      <c r="J245" s="138" t="s">
        <v>609</v>
      </c>
      <c r="K245" s="120">
        <v>123913</v>
      </c>
      <c r="L245" s="6"/>
      <c r="M245" s="6"/>
      <c r="N245" s="6"/>
      <c r="O245" s="44"/>
      <c r="P245" s="44"/>
      <c r="Q245" s="44"/>
      <c r="R245" s="53"/>
      <c r="S245" s="44"/>
      <c r="T245" s="44"/>
      <c r="U245" s="44"/>
      <c r="V245" s="53"/>
      <c r="W245" s="74"/>
      <c r="X245" s="9"/>
      <c r="Y245" s="11"/>
      <c r="Z245" s="11"/>
      <c r="AA245" s="63"/>
      <c r="AB245" s="63"/>
      <c r="AC245" s="63"/>
      <c r="AD245" s="36"/>
      <c r="AE245" s="31"/>
      <c r="AF245" s="9"/>
      <c r="AG245" s="6"/>
      <c r="AH245" s="6"/>
      <c r="AI245" s="6"/>
      <c r="AJ245" s="36"/>
      <c r="AK245" s="31"/>
      <c r="AL245" s="9"/>
      <c r="AM245" s="6"/>
      <c r="AN245" s="6"/>
      <c r="AO245" s="6"/>
      <c r="AP245" s="36"/>
    </row>
    <row r="246" spans="1:44">
      <c r="A246" s="30">
        <v>228</v>
      </c>
      <c r="B246" s="131"/>
      <c r="C246" s="144" t="s">
        <v>1782</v>
      </c>
      <c r="D246" s="27"/>
      <c r="E246" s="27"/>
      <c r="F246" s="27"/>
      <c r="G246" s="27"/>
      <c r="H246" s="70" t="s">
        <v>1241</v>
      </c>
      <c r="I246" s="177" t="s">
        <v>827</v>
      </c>
      <c r="J246" s="138" t="s">
        <v>609</v>
      </c>
      <c r="K246" s="120"/>
      <c r="L246" s="6"/>
      <c r="M246" s="6"/>
      <c r="N246" s="6"/>
      <c r="O246" s="44"/>
      <c r="P246" s="44"/>
      <c r="Q246" s="44"/>
      <c r="R246" s="53"/>
      <c r="S246" s="44"/>
      <c r="T246" s="44"/>
      <c r="U246" s="44"/>
      <c r="V246" s="53"/>
      <c r="W246" s="74"/>
      <c r="X246" s="9"/>
      <c r="Y246" s="11"/>
      <c r="Z246" s="11"/>
      <c r="AA246" s="63"/>
      <c r="AB246" s="63"/>
      <c r="AC246" s="63"/>
      <c r="AD246" s="36"/>
      <c r="AE246" s="31"/>
      <c r="AF246" s="9"/>
      <c r="AG246" s="6"/>
      <c r="AH246" s="6"/>
      <c r="AI246" s="6"/>
      <c r="AJ246" s="36"/>
      <c r="AK246" s="31"/>
      <c r="AL246" s="9"/>
      <c r="AM246" s="6"/>
      <c r="AN246" s="6"/>
      <c r="AO246" s="6"/>
      <c r="AP246" s="36"/>
    </row>
    <row r="247" spans="1:44">
      <c r="A247" s="30">
        <v>229</v>
      </c>
      <c r="B247" s="131"/>
      <c r="C247" s="144" t="s">
        <v>1677</v>
      </c>
      <c r="D247" s="27"/>
      <c r="E247" s="27"/>
      <c r="F247" s="27"/>
      <c r="G247" s="27"/>
      <c r="H247" s="135" t="s">
        <v>1680</v>
      </c>
      <c r="I247" s="177" t="s">
        <v>1357</v>
      </c>
      <c r="J247" s="138" t="s">
        <v>1679</v>
      </c>
      <c r="K247" s="117"/>
      <c r="L247" s="6">
        <v>540</v>
      </c>
      <c r="M247" s="6">
        <v>27</v>
      </c>
      <c r="N247" s="6">
        <v>567</v>
      </c>
      <c r="O247" s="44"/>
      <c r="P247" s="44"/>
      <c r="Q247" s="44"/>
      <c r="R247" s="53"/>
      <c r="S247" s="44"/>
      <c r="T247" s="44"/>
      <c r="U247" s="44"/>
      <c r="V247" s="53"/>
      <c r="W247" s="74"/>
      <c r="X247" s="25"/>
      <c r="Y247" s="11"/>
      <c r="Z247" s="11"/>
      <c r="AA247" s="63"/>
      <c r="AB247" s="63"/>
      <c r="AC247" s="63"/>
      <c r="AD247" s="36"/>
      <c r="AE247" s="31"/>
      <c r="AF247" s="25"/>
      <c r="AG247" s="6"/>
      <c r="AH247" s="6"/>
      <c r="AI247" s="6"/>
      <c r="AJ247" s="36"/>
      <c r="AK247" s="31"/>
      <c r="AL247" s="25"/>
      <c r="AM247" s="6"/>
      <c r="AN247" s="6"/>
      <c r="AO247" s="6"/>
      <c r="AP247" s="36"/>
    </row>
    <row r="248" spans="1:44">
      <c r="A248" s="30">
        <v>230</v>
      </c>
      <c r="B248" s="131"/>
      <c r="C248" s="144" t="s">
        <v>1736</v>
      </c>
      <c r="D248" s="27"/>
      <c r="E248" s="27"/>
      <c r="F248" s="27"/>
      <c r="G248" s="27"/>
      <c r="H248" s="138" t="s">
        <v>1737</v>
      </c>
      <c r="I248" s="177" t="s">
        <v>974</v>
      </c>
      <c r="J248" s="138" t="s">
        <v>593</v>
      </c>
      <c r="K248" s="29"/>
      <c r="L248" s="11"/>
      <c r="M248" s="11"/>
      <c r="N248" s="11"/>
      <c r="O248" s="6"/>
      <c r="P248" s="11"/>
      <c r="Q248" s="11"/>
      <c r="R248" s="29"/>
      <c r="S248" s="6"/>
      <c r="T248" s="11"/>
      <c r="U248" s="11"/>
      <c r="V248" s="29"/>
      <c r="W248" s="31"/>
      <c r="X248" s="9"/>
      <c r="Y248" s="11"/>
      <c r="Z248" s="11"/>
      <c r="AA248" s="6"/>
      <c r="AB248" s="6"/>
      <c r="AC248" s="6"/>
      <c r="AD248" s="36"/>
      <c r="AE248" s="31"/>
      <c r="AF248" s="9"/>
      <c r="AG248" s="6"/>
      <c r="AH248" s="6"/>
      <c r="AI248" s="6"/>
      <c r="AJ248" s="36"/>
      <c r="AK248" s="31"/>
      <c r="AL248" s="9"/>
      <c r="AM248" s="6"/>
      <c r="AN248" s="6"/>
      <c r="AO248" s="6"/>
      <c r="AP248" s="36"/>
    </row>
    <row r="249" spans="1:44">
      <c r="A249" s="30">
        <v>231</v>
      </c>
      <c r="B249" s="131"/>
      <c r="C249" s="160" t="s">
        <v>1252</v>
      </c>
      <c r="D249" s="27"/>
      <c r="E249" s="27"/>
      <c r="F249" s="27"/>
      <c r="G249" s="27"/>
      <c r="H249" s="138" t="s">
        <v>2320</v>
      </c>
      <c r="I249" s="177" t="s">
        <v>1253</v>
      </c>
      <c r="J249" s="138"/>
      <c r="K249" s="29"/>
      <c r="L249" s="11"/>
      <c r="M249" s="11"/>
      <c r="N249" s="11"/>
      <c r="O249" s="6"/>
      <c r="P249" s="11"/>
      <c r="Q249" s="11"/>
      <c r="R249" s="29"/>
      <c r="S249" s="6"/>
      <c r="T249" s="11"/>
      <c r="U249" s="11"/>
      <c r="V249" s="29"/>
      <c r="W249" s="31"/>
      <c r="X249" s="9"/>
      <c r="Y249" s="11"/>
      <c r="Z249" s="11"/>
      <c r="AA249" s="6"/>
      <c r="AB249" s="6"/>
      <c r="AC249" s="6"/>
      <c r="AD249" s="36"/>
      <c r="AE249" s="31"/>
      <c r="AF249" s="9"/>
      <c r="AG249" s="6"/>
      <c r="AH249" s="6"/>
      <c r="AI249" s="6"/>
      <c r="AJ249" s="36"/>
      <c r="AK249" s="31"/>
      <c r="AL249" s="9"/>
      <c r="AM249" s="6"/>
      <c r="AN249" s="6"/>
      <c r="AO249" s="6"/>
      <c r="AP249" s="36"/>
    </row>
    <row r="250" spans="1:44" ht="27">
      <c r="A250" s="30">
        <v>232</v>
      </c>
      <c r="B250" s="131"/>
      <c r="C250" s="144" t="s">
        <v>1257</v>
      </c>
      <c r="D250" s="27"/>
      <c r="E250" s="27"/>
      <c r="F250" s="27"/>
      <c r="G250" s="27"/>
      <c r="H250" s="70" t="s">
        <v>1258</v>
      </c>
      <c r="I250" s="177" t="s">
        <v>856</v>
      </c>
      <c r="J250" s="138" t="s">
        <v>594</v>
      </c>
      <c r="K250" s="117"/>
      <c r="L250" s="6"/>
      <c r="M250" s="6"/>
      <c r="N250" s="6"/>
      <c r="O250" s="44"/>
      <c r="P250" s="44"/>
      <c r="Q250" s="44"/>
      <c r="R250" s="53"/>
      <c r="S250" s="44"/>
      <c r="T250" s="44"/>
      <c r="U250" s="44"/>
      <c r="V250" s="53"/>
      <c r="W250" s="74"/>
      <c r="X250" s="25"/>
      <c r="Y250" s="11"/>
      <c r="Z250" s="11"/>
      <c r="AA250" s="63"/>
      <c r="AB250" s="63"/>
      <c r="AC250" s="63"/>
      <c r="AD250" s="36"/>
      <c r="AE250" s="31"/>
      <c r="AF250" s="9"/>
      <c r="AG250" s="6"/>
      <c r="AH250" s="6"/>
      <c r="AI250" s="6"/>
      <c r="AJ250" s="36"/>
      <c r="AK250" s="31"/>
      <c r="AL250" s="25"/>
      <c r="AM250" s="6"/>
      <c r="AN250" s="6"/>
      <c r="AO250" s="6"/>
      <c r="AP250" s="36"/>
      <c r="AR250" s="58"/>
    </row>
    <row r="251" spans="1:44">
      <c r="A251" s="30">
        <v>233</v>
      </c>
      <c r="B251" s="131"/>
      <c r="C251" s="144" t="s">
        <v>1713</v>
      </c>
      <c r="D251" s="27"/>
      <c r="E251" s="27"/>
      <c r="F251" s="27"/>
      <c r="G251" s="27"/>
      <c r="H251" s="70" t="s">
        <v>1757</v>
      </c>
      <c r="I251" s="177" t="s">
        <v>904</v>
      </c>
      <c r="J251" s="138" t="s">
        <v>1758</v>
      </c>
      <c r="K251" s="29"/>
      <c r="L251" s="11">
        <v>26840</v>
      </c>
      <c r="M251" s="11">
        <v>1342</v>
      </c>
      <c r="N251" s="11">
        <v>28182</v>
      </c>
      <c r="O251" s="44"/>
      <c r="P251" s="44"/>
      <c r="Q251" s="44"/>
      <c r="R251" s="53"/>
      <c r="S251" s="44"/>
      <c r="T251" s="46"/>
      <c r="U251" s="46"/>
      <c r="V251" s="53"/>
      <c r="W251" s="74"/>
      <c r="X251" s="25"/>
      <c r="Y251" s="11"/>
      <c r="Z251" s="11"/>
      <c r="AA251" s="63"/>
      <c r="AB251" s="63"/>
      <c r="AC251" s="63"/>
      <c r="AD251" s="36"/>
      <c r="AE251" s="31"/>
      <c r="AF251" s="9"/>
      <c r="AG251" s="6"/>
      <c r="AH251" s="6"/>
      <c r="AI251" s="6"/>
      <c r="AJ251" s="36"/>
      <c r="AK251" s="31"/>
      <c r="AL251" s="25"/>
      <c r="AM251" s="6"/>
      <c r="AN251" s="6"/>
      <c r="AO251" s="6"/>
      <c r="AP251" s="36"/>
    </row>
    <row r="252" spans="1:44">
      <c r="A252" s="30">
        <v>234</v>
      </c>
      <c r="B252" s="131"/>
      <c r="C252" s="144" t="s">
        <v>580</v>
      </c>
      <c r="D252" s="27"/>
      <c r="E252" s="27"/>
      <c r="F252" s="27"/>
      <c r="G252" s="27"/>
      <c r="H252" s="70" t="s">
        <v>732</v>
      </c>
      <c r="I252" s="177" t="s">
        <v>933</v>
      </c>
      <c r="J252" s="137" t="s">
        <v>1714</v>
      </c>
      <c r="K252" s="117"/>
      <c r="L252" s="6">
        <v>600</v>
      </c>
      <c r="M252" s="6">
        <v>30</v>
      </c>
      <c r="N252" s="6">
        <v>630</v>
      </c>
      <c r="O252" s="44"/>
      <c r="P252" s="44"/>
      <c r="Q252" s="44"/>
      <c r="R252" s="53"/>
      <c r="S252" s="48"/>
      <c r="T252" s="48"/>
      <c r="U252" s="48"/>
      <c r="V252" s="53"/>
      <c r="W252" s="31"/>
      <c r="X252" s="9"/>
      <c r="Y252" s="11"/>
      <c r="Z252" s="11"/>
      <c r="AA252" s="66"/>
      <c r="AB252" s="66"/>
      <c r="AC252" s="66"/>
      <c r="AD252" s="36"/>
      <c r="AE252" s="31"/>
      <c r="AF252" s="9"/>
      <c r="AG252" s="6"/>
      <c r="AH252" s="6"/>
      <c r="AI252" s="6"/>
      <c r="AJ252" s="36"/>
      <c r="AK252" s="31"/>
      <c r="AL252" s="9"/>
      <c r="AM252" s="6"/>
      <c r="AN252" s="6"/>
      <c r="AO252" s="6"/>
      <c r="AP252" s="36"/>
    </row>
    <row r="253" spans="1:44" ht="27">
      <c r="A253" s="30">
        <v>235</v>
      </c>
      <c r="B253" s="131"/>
      <c r="C253" s="160" t="s">
        <v>1058</v>
      </c>
      <c r="D253" s="27"/>
      <c r="E253" s="27"/>
      <c r="F253" s="27"/>
      <c r="G253" s="27"/>
      <c r="H253" s="70" t="s">
        <v>2014</v>
      </c>
      <c r="I253" s="177" t="s">
        <v>933</v>
      </c>
      <c r="J253" s="137" t="s">
        <v>1994</v>
      </c>
      <c r="K253" s="117"/>
      <c r="L253" s="6"/>
      <c r="M253" s="6"/>
      <c r="N253" s="6"/>
      <c r="O253" s="44"/>
      <c r="P253" s="44"/>
      <c r="Q253" s="44"/>
      <c r="R253" s="53"/>
      <c r="S253" s="48"/>
      <c r="T253" s="48"/>
      <c r="U253" s="48"/>
      <c r="V253" s="53"/>
      <c r="W253" s="31"/>
      <c r="X253" s="9"/>
      <c r="Y253" s="11"/>
      <c r="Z253" s="11"/>
      <c r="AA253" s="66"/>
      <c r="AB253" s="66"/>
      <c r="AC253" s="66"/>
      <c r="AD253" s="36"/>
      <c r="AE253" s="31"/>
      <c r="AF253" s="9"/>
      <c r="AG253" s="6"/>
      <c r="AH253" s="6"/>
      <c r="AI253" s="6"/>
      <c r="AJ253" s="36"/>
      <c r="AK253" s="31"/>
      <c r="AL253" s="9"/>
      <c r="AM253" s="6"/>
      <c r="AN253" s="6"/>
      <c r="AO253" s="6"/>
      <c r="AP253" s="36"/>
    </row>
    <row r="254" spans="1:44">
      <c r="A254" s="30">
        <v>236</v>
      </c>
      <c r="B254" s="131"/>
      <c r="C254" s="144" t="s">
        <v>1077</v>
      </c>
      <c r="D254" s="27"/>
      <c r="E254" s="27"/>
      <c r="F254" s="27"/>
      <c r="G254" s="27"/>
      <c r="H254" s="70" t="s">
        <v>1078</v>
      </c>
      <c r="I254" s="177" t="s">
        <v>931</v>
      </c>
      <c r="J254" s="137" t="s">
        <v>1079</v>
      </c>
      <c r="K254" s="117"/>
      <c r="L254" s="6"/>
      <c r="M254" s="6"/>
      <c r="N254" s="6"/>
      <c r="O254" s="44"/>
      <c r="P254" s="44"/>
      <c r="Q254" s="44"/>
      <c r="R254" s="53"/>
      <c r="S254" s="48"/>
      <c r="T254" s="48"/>
      <c r="U254" s="48"/>
      <c r="V254" s="53"/>
      <c r="W254" s="31"/>
      <c r="X254" s="9"/>
      <c r="Y254" s="11"/>
      <c r="Z254" s="11"/>
      <c r="AA254" s="66"/>
      <c r="AB254" s="66"/>
      <c r="AC254" s="66"/>
      <c r="AD254" s="36"/>
      <c r="AE254" s="31"/>
      <c r="AF254" s="9"/>
      <c r="AG254" s="6"/>
      <c r="AH254" s="6"/>
      <c r="AI254" s="6"/>
      <c r="AJ254" s="36"/>
      <c r="AK254" s="31"/>
      <c r="AL254" s="9"/>
      <c r="AM254" s="6"/>
      <c r="AN254" s="6"/>
      <c r="AO254" s="6"/>
      <c r="AP254" s="36"/>
    </row>
    <row r="255" spans="1:44">
      <c r="A255" s="30">
        <v>237</v>
      </c>
      <c r="B255" s="131"/>
      <c r="C255" s="144" t="s">
        <v>1206</v>
      </c>
      <c r="D255" s="27"/>
      <c r="E255" s="27"/>
      <c r="F255" s="27"/>
      <c r="G255" s="27"/>
      <c r="H255" s="70" t="s">
        <v>2013</v>
      </c>
      <c r="I255" s="177" t="s">
        <v>836</v>
      </c>
      <c r="J255" s="138" t="s">
        <v>802</v>
      </c>
      <c r="K255" s="29"/>
      <c r="L255" s="11">
        <v>15480</v>
      </c>
      <c r="M255" s="11">
        <v>774</v>
      </c>
      <c r="N255" s="11">
        <v>16254</v>
      </c>
      <c r="O255" s="44"/>
      <c r="P255" s="44"/>
      <c r="Q255" s="44"/>
      <c r="R255" s="53"/>
      <c r="S255" s="44"/>
      <c r="T255" s="46"/>
      <c r="U255" s="46"/>
      <c r="V255" s="53"/>
      <c r="W255" s="31"/>
      <c r="X255" s="9"/>
      <c r="Y255" s="11"/>
      <c r="Z255" s="11"/>
      <c r="AA255" s="63"/>
      <c r="AB255" s="63"/>
      <c r="AC255" s="63"/>
      <c r="AD255" s="36"/>
      <c r="AE255" s="31"/>
      <c r="AF255" s="9"/>
      <c r="AG255" s="6"/>
      <c r="AH255" s="6"/>
      <c r="AI255" s="6"/>
      <c r="AJ255" s="36"/>
      <c r="AK255" s="31"/>
      <c r="AL255" s="9"/>
      <c r="AM255" s="6"/>
      <c r="AN255" s="6"/>
      <c r="AO255" s="6"/>
      <c r="AP255" s="36"/>
    </row>
    <row r="256" spans="1:44">
      <c r="A256" s="30">
        <v>238</v>
      </c>
      <c r="B256" s="131"/>
      <c r="C256" s="144" t="s">
        <v>1295</v>
      </c>
      <c r="D256" s="27"/>
      <c r="E256" s="27"/>
      <c r="F256" s="27"/>
      <c r="G256" s="27"/>
      <c r="H256" s="70" t="s">
        <v>1296</v>
      </c>
      <c r="I256" s="177" t="s">
        <v>869</v>
      </c>
      <c r="J256" s="138" t="s">
        <v>1297</v>
      </c>
      <c r="K256" s="117"/>
      <c r="L256" s="6"/>
      <c r="M256" s="6"/>
      <c r="N256" s="6"/>
      <c r="O256" s="44"/>
      <c r="P256" s="44"/>
      <c r="Q256" s="44"/>
      <c r="R256" s="53"/>
      <c r="S256" s="48"/>
      <c r="T256" s="48"/>
      <c r="U256" s="48"/>
      <c r="V256" s="53"/>
      <c r="W256" s="31"/>
      <c r="X256" s="9"/>
      <c r="Y256" s="11"/>
      <c r="Z256" s="11"/>
      <c r="AA256" s="66"/>
      <c r="AB256" s="66"/>
      <c r="AC256" s="66"/>
      <c r="AD256" s="36"/>
      <c r="AE256" s="31"/>
      <c r="AF256" s="9"/>
      <c r="AG256" s="6"/>
      <c r="AH256" s="6"/>
      <c r="AI256" s="6"/>
      <c r="AJ256" s="36"/>
      <c r="AK256" s="31"/>
      <c r="AL256" s="9"/>
      <c r="AM256" s="6"/>
      <c r="AN256" s="6"/>
      <c r="AO256" s="6"/>
      <c r="AP256" s="36"/>
    </row>
    <row r="257" spans="1:42">
      <c r="A257" s="30">
        <v>239</v>
      </c>
      <c r="B257" s="131"/>
      <c r="C257" s="144" t="s">
        <v>1056</v>
      </c>
      <c r="D257" s="27"/>
      <c r="E257" s="27"/>
      <c r="F257" s="27"/>
      <c r="G257" s="27"/>
      <c r="H257" s="70" t="s">
        <v>1055</v>
      </c>
      <c r="I257" s="177" t="s">
        <v>926</v>
      </c>
      <c r="J257" s="138" t="s">
        <v>620</v>
      </c>
      <c r="K257" s="29"/>
      <c r="L257" s="11"/>
      <c r="M257" s="11"/>
      <c r="N257" s="11"/>
      <c r="O257" s="44"/>
      <c r="P257" s="44"/>
      <c r="Q257" s="44"/>
      <c r="R257" s="53"/>
      <c r="S257" s="44"/>
      <c r="T257" s="46"/>
      <c r="U257" s="46"/>
      <c r="V257" s="53"/>
      <c r="W257" s="31"/>
      <c r="X257" s="9"/>
      <c r="Y257" s="11"/>
      <c r="Z257" s="11"/>
      <c r="AA257" s="63"/>
      <c r="AB257" s="63"/>
      <c r="AC257" s="63"/>
      <c r="AD257" s="36"/>
      <c r="AE257" s="31"/>
      <c r="AF257" s="9"/>
      <c r="AG257" s="6"/>
      <c r="AH257" s="6"/>
      <c r="AI257" s="6"/>
      <c r="AJ257" s="36"/>
      <c r="AK257" s="31"/>
      <c r="AL257" s="9"/>
      <c r="AM257" s="6"/>
      <c r="AN257" s="6"/>
      <c r="AO257" s="6"/>
      <c r="AP257" s="36"/>
    </row>
    <row r="258" spans="1:42">
      <c r="A258" s="30">
        <v>240</v>
      </c>
      <c r="B258" s="131"/>
      <c r="C258" s="144" t="s">
        <v>1255</v>
      </c>
      <c r="D258" s="27"/>
      <c r="E258" s="27"/>
      <c r="F258" s="27"/>
      <c r="G258" s="27"/>
      <c r="H258" s="70" t="s">
        <v>1256</v>
      </c>
      <c r="I258" s="177" t="s">
        <v>1191</v>
      </c>
      <c r="J258" s="137"/>
      <c r="K258" s="117"/>
      <c r="L258" s="6"/>
      <c r="M258" s="6"/>
      <c r="N258" s="6"/>
      <c r="O258" s="44"/>
      <c r="P258" s="44"/>
      <c r="Q258" s="44"/>
      <c r="R258" s="53"/>
      <c r="S258" s="44"/>
      <c r="T258" s="44"/>
      <c r="U258" s="44"/>
      <c r="V258" s="53"/>
      <c r="W258" s="31"/>
      <c r="X258" s="9"/>
      <c r="Y258" s="11"/>
      <c r="Z258" s="11"/>
      <c r="AA258" s="63"/>
      <c r="AB258" s="63"/>
      <c r="AC258" s="63"/>
      <c r="AD258" s="36"/>
      <c r="AE258" s="31"/>
      <c r="AF258" s="9"/>
      <c r="AG258" s="6"/>
      <c r="AH258" s="6"/>
      <c r="AI258" s="6"/>
      <c r="AJ258" s="36"/>
      <c r="AK258" s="31"/>
      <c r="AL258" s="9"/>
      <c r="AM258" s="6"/>
      <c r="AN258" s="6"/>
      <c r="AO258" s="6"/>
      <c r="AP258" s="36"/>
    </row>
    <row r="259" spans="1:42" ht="27">
      <c r="A259" s="30">
        <v>241</v>
      </c>
      <c r="B259" s="131"/>
      <c r="C259" s="160" t="s">
        <v>1478</v>
      </c>
      <c r="D259" s="27"/>
      <c r="E259" s="27"/>
      <c r="F259" s="27"/>
      <c r="G259" s="27"/>
      <c r="H259" s="70" t="s">
        <v>862</v>
      </c>
      <c r="I259" s="177" t="s">
        <v>863</v>
      </c>
      <c r="J259" s="138" t="s">
        <v>861</v>
      </c>
      <c r="K259" s="118"/>
      <c r="L259" s="86"/>
      <c r="M259" s="86"/>
      <c r="N259" s="86"/>
      <c r="O259" s="44"/>
      <c r="P259" s="44"/>
      <c r="Q259" s="44"/>
      <c r="R259" s="53"/>
      <c r="S259" s="44"/>
      <c r="T259" s="44"/>
      <c r="U259" s="44"/>
      <c r="V259" s="53"/>
      <c r="W259" s="111"/>
      <c r="AA259" s="112"/>
      <c r="AB259" s="112"/>
      <c r="AC259" s="112"/>
      <c r="AE259" s="111"/>
      <c r="AG259" s="8"/>
      <c r="AH259" s="8"/>
      <c r="AI259" s="8"/>
      <c r="AK259" s="111"/>
      <c r="AM259" s="8"/>
      <c r="AN259" s="8"/>
      <c r="AO259" s="8"/>
    </row>
    <row r="260" spans="1:42">
      <c r="A260" s="30">
        <v>242</v>
      </c>
      <c r="B260" s="131"/>
      <c r="C260" s="160" t="s">
        <v>2306</v>
      </c>
      <c r="D260" s="27"/>
      <c r="E260" s="27"/>
      <c r="F260" s="27"/>
      <c r="G260" s="27"/>
      <c r="H260" s="70" t="s">
        <v>2288</v>
      </c>
      <c r="I260" s="177" t="s">
        <v>876</v>
      </c>
      <c r="J260" s="138" t="s">
        <v>2287</v>
      </c>
      <c r="K260" s="118"/>
      <c r="L260" s="86"/>
      <c r="M260" s="86"/>
      <c r="N260" s="86"/>
      <c r="O260" s="44"/>
      <c r="P260" s="44"/>
      <c r="Q260" s="44"/>
      <c r="R260" s="53"/>
      <c r="S260" s="44"/>
      <c r="T260" s="44"/>
      <c r="U260" s="44"/>
      <c r="V260" s="53"/>
      <c r="W260" s="111"/>
      <c r="AA260" s="112"/>
      <c r="AB260" s="112"/>
      <c r="AC260" s="112"/>
      <c r="AE260" s="111"/>
      <c r="AG260" s="8"/>
      <c r="AH260" s="8"/>
      <c r="AI260" s="8"/>
      <c r="AK260" s="111"/>
      <c r="AM260" s="8"/>
      <c r="AN260" s="8"/>
      <c r="AO260" s="8"/>
    </row>
    <row r="261" spans="1:42">
      <c r="A261" s="30"/>
      <c r="B261" s="131"/>
      <c r="C261" s="160" t="s">
        <v>2295</v>
      </c>
      <c r="D261" s="27"/>
      <c r="E261" s="27"/>
      <c r="F261" s="27"/>
      <c r="G261" s="27"/>
      <c r="H261" s="70" t="s">
        <v>2297</v>
      </c>
      <c r="I261" s="177" t="s">
        <v>2305</v>
      </c>
      <c r="J261" s="138" t="s">
        <v>2296</v>
      </c>
      <c r="K261" s="118"/>
      <c r="L261" s="86"/>
      <c r="M261" s="86"/>
      <c r="N261" s="86"/>
      <c r="O261" s="44"/>
      <c r="P261" s="44"/>
      <c r="Q261" s="44"/>
      <c r="R261" s="53"/>
      <c r="S261" s="44"/>
      <c r="T261" s="44"/>
      <c r="U261" s="44"/>
      <c r="V261" s="53"/>
      <c r="W261" s="111"/>
      <c r="AA261" s="112"/>
      <c r="AB261" s="112"/>
      <c r="AC261" s="112"/>
      <c r="AE261" s="111"/>
      <c r="AG261" s="8"/>
      <c r="AH261" s="8"/>
      <c r="AI261" s="8"/>
      <c r="AK261" s="111"/>
      <c r="AM261" s="8"/>
      <c r="AN261" s="8"/>
      <c r="AO261" s="8"/>
    </row>
    <row r="262" spans="1:42">
      <c r="A262" s="30">
        <v>243</v>
      </c>
      <c r="B262" s="131"/>
      <c r="C262" s="144" t="s">
        <v>1717</v>
      </c>
      <c r="D262" s="27"/>
      <c r="E262" s="27"/>
      <c r="F262" s="27"/>
      <c r="G262" s="27"/>
      <c r="H262" s="86" t="s">
        <v>1718</v>
      </c>
      <c r="I262" s="188" t="s">
        <v>1719</v>
      </c>
      <c r="J262" s="140" t="s">
        <v>1184</v>
      </c>
      <c r="K262" s="118"/>
      <c r="L262" s="86"/>
      <c r="M262" s="86"/>
      <c r="N262" s="86"/>
      <c r="O262" s="44"/>
      <c r="P262" s="44"/>
      <c r="Q262" s="44"/>
      <c r="R262" s="53"/>
      <c r="S262" s="44"/>
      <c r="T262" s="44"/>
      <c r="U262" s="44"/>
      <c r="V262" s="53"/>
      <c r="W262" s="111"/>
      <c r="AA262" s="112"/>
      <c r="AB262" s="112"/>
      <c r="AC262" s="112"/>
      <c r="AE262" s="111"/>
      <c r="AG262" s="8"/>
      <c r="AH262" s="8"/>
      <c r="AI262" s="8"/>
      <c r="AK262" s="111"/>
      <c r="AM262" s="8"/>
      <c r="AN262" s="8"/>
      <c r="AO262" s="8"/>
    </row>
    <row r="263" spans="1:42">
      <c r="A263" s="30">
        <v>244</v>
      </c>
      <c r="B263" s="131"/>
      <c r="C263" s="144" t="s">
        <v>1188</v>
      </c>
      <c r="D263" s="27"/>
      <c r="E263" s="27"/>
      <c r="F263" s="27"/>
      <c r="G263" s="27"/>
      <c r="H263" s="86" t="s">
        <v>1190</v>
      </c>
      <c r="I263" s="188" t="s">
        <v>1191</v>
      </c>
      <c r="J263" s="140" t="s">
        <v>1189</v>
      </c>
      <c r="K263" s="118"/>
      <c r="L263" s="86"/>
      <c r="M263" s="86"/>
      <c r="N263" s="86"/>
      <c r="O263" s="44"/>
      <c r="P263" s="44"/>
      <c r="Q263" s="44"/>
      <c r="R263" s="53"/>
      <c r="S263" s="44"/>
      <c r="T263" s="44"/>
      <c r="U263" s="44"/>
      <c r="V263" s="53"/>
      <c r="W263" s="111"/>
      <c r="AA263" s="112"/>
      <c r="AB263" s="112"/>
      <c r="AC263" s="112"/>
      <c r="AE263" s="111"/>
      <c r="AG263" s="8"/>
      <c r="AH263" s="8"/>
      <c r="AI263" s="8"/>
      <c r="AK263" s="111"/>
      <c r="AM263" s="8"/>
      <c r="AN263" s="8"/>
      <c r="AO263" s="8"/>
    </row>
    <row r="264" spans="1:42">
      <c r="A264" s="30">
        <v>245</v>
      </c>
      <c r="B264" s="131"/>
      <c r="C264" s="144" t="s">
        <v>1355</v>
      </c>
      <c r="D264" s="27"/>
      <c r="E264" s="27"/>
      <c r="F264" s="27"/>
      <c r="G264" s="27"/>
      <c r="H264" s="86" t="s">
        <v>1356</v>
      </c>
      <c r="I264" s="188" t="s">
        <v>1357</v>
      </c>
      <c r="J264" s="140" t="s">
        <v>1375</v>
      </c>
      <c r="K264" s="118"/>
      <c r="L264" s="86"/>
      <c r="M264" s="86"/>
      <c r="N264" s="86"/>
      <c r="O264" s="44"/>
      <c r="P264" s="44"/>
      <c r="Q264" s="44"/>
      <c r="R264" s="53"/>
      <c r="S264" s="44"/>
      <c r="T264" s="44"/>
      <c r="U264" s="44"/>
      <c r="V264" s="53"/>
      <c r="W264" s="111"/>
      <c r="AA264" s="112"/>
      <c r="AB264" s="112"/>
      <c r="AC264" s="112"/>
      <c r="AE264" s="111"/>
      <c r="AG264" s="8"/>
      <c r="AH264" s="8"/>
      <c r="AI264" s="8"/>
      <c r="AK264" s="111"/>
      <c r="AM264" s="8"/>
      <c r="AN264" s="8"/>
      <c r="AO264" s="8"/>
    </row>
    <row r="265" spans="1:42" ht="27">
      <c r="A265" s="30">
        <v>246</v>
      </c>
      <c r="B265" s="131"/>
      <c r="C265" s="144" t="s">
        <v>1358</v>
      </c>
      <c r="D265" s="27"/>
      <c r="E265" s="27"/>
      <c r="F265" s="27"/>
      <c r="G265" s="27"/>
      <c r="H265" s="70" t="s">
        <v>1360</v>
      </c>
      <c r="I265" s="189" t="s">
        <v>1236</v>
      </c>
      <c r="J265" s="140" t="s">
        <v>1359</v>
      </c>
      <c r="K265" s="29"/>
      <c r="L265" s="11">
        <v>25200</v>
      </c>
      <c r="M265" s="11">
        <v>1260</v>
      </c>
      <c r="N265" s="9"/>
      <c r="O265" s="44"/>
      <c r="P265" s="44"/>
      <c r="Q265" s="44"/>
      <c r="R265" s="53"/>
      <c r="S265" s="44"/>
      <c r="T265" s="46"/>
      <c r="U265" s="46"/>
      <c r="V265" s="53"/>
      <c r="W265" s="31"/>
      <c r="X265" s="9"/>
      <c r="Y265" s="11"/>
      <c r="Z265" s="11"/>
      <c r="AA265" s="63"/>
      <c r="AB265" s="63"/>
      <c r="AC265" s="63"/>
      <c r="AD265" s="36"/>
      <c r="AE265" s="31"/>
      <c r="AF265" s="9"/>
      <c r="AG265" s="6"/>
      <c r="AH265" s="6"/>
      <c r="AI265" s="6"/>
      <c r="AJ265" s="36"/>
      <c r="AK265" s="31"/>
      <c r="AL265" s="9"/>
      <c r="AM265" s="6"/>
      <c r="AN265" s="6"/>
      <c r="AO265" s="6"/>
      <c r="AP265" s="36"/>
    </row>
    <row r="266" spans="1:42">
      <c r="A266" s="30"/>
      <c r="B266" s="131"/>
      <c r="C266" s="144" t="s">
        <v>1982</v>
      </c>
      <c r="D266" s="27"/>
      <c r="E266" s="27"/>
      <c r="F266" s="27"/>
      <c r="G266" s="27"/>
      <c r="H266" s="70" t="s">
        <v>1983</v>
      </c>
      <c r="I266" s="177" t="s">
        <v>1984</v>
      </c>
      <c r="J266" s="140" t="s">
        <v>1985</v>
      </c>
      <c r="K266" s="54"/>
      <c r="L266" s="60"/>
      <c r="M266" s="60"/>
      <c r="N266" s="18"/>
      <c r="O266" s="109"/>
      <c r="P266" s="109"/>
      <c r="Q266" s="109"/>
      <c r="R266" s="110"/>
      <c r="S266" s="109"/>
      <c r="T266" s="274"/>
      <c r="U266" s="274"/>
      <c r="V266" s="110"/>
      <c r="W266" s="111"/>
      <c r="AA266" s="112"/>
      <c r="AB266" s="112"/>
      <c r="AC266" s="112"/>
      <c r="AE266" s="111"/>
      <c r="AG266" s="8"/>
      <c r="AH266" s="8"/>
      <c r="AI266" s="8"/>
      <c r="AK266" s="111"/>
      <c r="AM266" s="8"/>
      <c r="AN266" s="8"/>
      <c r="AO266" s="8"/>
    </row>
    <row r="267" spans="1:42">
      <c r="A267" s="30">
        <v>247</v>
      </c>
      <c r="B267" s="131"/>
      <c r="C267" s="144" t="s">
        <v>1456</v>
      </c>
      <c r="D267" s="27"/>
      <c r="E267" s="27"/>
      <c r="F267" s="27"/>
      <c r="G267" s="27"/>
      <c r="H267" s="70" t="s">
        <v>1457</v>
      </c>
      <c r="I267" s="177" t="s">
        <v>1458</v>
      </c>
      <c r="J267" s="140" t="s">
        <v>1459</v>
      </c>
      <c r="N267"/>
      <c r="O267" s="109"/>
      <c r="P267" s="109"/>
      <c r="Q267" s="109"/>
      <c r="R267" s="110"/>
      <c r="S267" s="109"/>
      <c r="T267" s="109"/>
      <c r="U267" s="109"/>
      <c r="V267" s="110"/>
      <c r="W267" s="111"/>
      <c r="AA267" s="112"/>
      <c r="AB267" s="112"/>
      <c r="AC267" s="112"/>
      <c r="AE267" s="111"/>
      <c r="AG267" s="8"/>
      <c r="AH267" s="8"/>
      <c r="AI267" s="8"/>
      <c r="AK267" s="111"/>
      <c r="AM267" s="8"/>
      <c r="AN267" s="8"/>
      <c r="AO267" s="8"/>
    </row>
    <row r="268" spans="1:42">
      <c r="A268" s="30">
        <v>248</v>
      </c>
      <c r="B268" s="131"/>
      <c r="C268" s="144" t="s">
        <v>937</v>
      </c>
      <c r="D268" s="27"/>
      <c r="E268" s="27"/>
      <c r="F268" s="27"/>
      <c r="G268" s="27"/>
      <c r="H268" s="70" t="s">
        <v>797</v>
      </c>
      <c r="I268" s="177" t="s">
        <v>914</v>
      </c>
      <c r="J268" s="140"/>
      <c r="K268" s="117"/>
      <c r="L268" s="6">
        <v>192</v>
      </c>
      <c r="M268" s="6">
        <v>9.6000000000000014</v>
      </c>
      <c r="N268" s="5"/>
      <c r="O268" s="44"/>
      <c r="P268" s="44"/>
      <c r="Q268" s="44"/>
      <c r="R268" s="53"/>
      <c r="S268" s="44"/>
      <c r="T268" s="44"/>
      <c r="U268" s="44"/>
      <c r="V268" s="53"/>
      <c r="W268" s="31"/>
      <c r="X268" s="9"/>
      <c r="Y268" s="11"/>
      <c r="Z268" s="11"/>
      <c r="AA268" s="63"/>
      <c r="AB268" s="63"/>
      <c r="AC268" s="63"/>
      <c r="AD268" s="36"/>
      <c r="AE268" s="31"/>
      <c r="AF268" s="9"/>
      <c r="AG268" s="6"/>
      <c r="AH268" s="6"/>
      <c r="AI268" s="6"/>
      <c r="AJ268" s="36"/>
      <c r="AK268" s="31"/>
      <c r="AL268" s="9"/>
      <c r="AM268" s="6"/>
      <c r="AN268" s="6"/>
      <c r="AO268" s="6"/>
      <c r="AP268" s="36"/>
    </row>
    <row r="269" spans="1:42">
      <c r="A269" s="30">
        <v>249</v>
      </c>
      <c r="B269" s="131"/>
      <c r="C269" s="144" t="s">
        <v>944</v>
      </c>
      <c r="D269" s="27"/>
      <c r="E269" s="27"/>
      <c r="F269" s="27"/>
      <c r="G269" s="27"/>
      <c r="H269" s="70" t="s">
        <v>797</v>
      </c>
      <c r="I269" s="177" t="s">
        <v>914</v>
      </c>
      <c r="J269" s="140"/>
      <c r="K269" s="117"/>
      <c r="L269" s="6"/>
      <c r="M269" s="6"/>
      <c r="N269" s="5"/>
      <c r="O269" s="44"/>
      <c r="P269" s="44"/>
      <c r="Q269" s="44"/>
      <c r="R269" s="53"/>
      <c r="S269" s="44"/>
      <c r="T269" s="44"/>
      <c r="U269" s="44"/>
      <c r="V269" s="53"/>
      <c r="W269" s="31"/>
      <c r="X269" s="9"/>
      <c r="AA269" s="112"/>
      <c r="AB269" s="112"/>
      <c r="AC269" s="112"/>
      <c r="AE269" s="111"/>
      <c r="AG269" s="8"/>
      <c r="AH269" s="8"/>
      <c r="AI269" s="8"/>
      <c r="AK269" s="111"/>
      <c r="AM269" s="8"/>
      <c r="AN269" s="8"/>
      <c r="AO269" s="8"/>
    </row>
    <row r="270" spans="1:42">
      <c r="A270" s="30">
        <v>250</v>
      </c>
      <c r="B270" s="131"/>
      <c r="C270" s="144" t="s">
        <v>1013</v>
      </c>
      <c r="D270" s="27"/>
      <c r="E270" s="27"/>
      <c r="F270" s="27"/>
      <c r="G270" s="27"/>
      <c r="H270" s="70" t="s">
        <v>1738</v>
      </c>
      <c r="I270" s="177" t="s">
        <v>926</v>
      </c>
      <c r="J270" s="140" t="s">
        <v>925</v>
      </c>
      <c r="K270" s="118"/>
      <c r="L270" s="86"/>
      <c r="M270" s="86"/>
      <c r="N270" s="86"/>
      <c r="O270" s="44"/>
      <c r="P270" s="44"/>
      <c r="Q270" s="44"/>
      <c r="R270" s="53"/>
      <c r="S270" s="44"/>
      <c r="T270" s="44"/>
      <c r="U270" s="44"/>
      <c r="V270" s="53"/>
      <c r="W270" s="31"/>
      <c r="X270" s="9"/>
      <c r="AA270" s="112"/>
      <c r="AB270" s="112"/>
      <c r="AC270" s="112"/>
      <c r="AE270" s="111"/>
      <c r="AG270" s="8"/>
      <c r="AH270" s="8"/>
      <c r="AI270" s="8"/>
      <c r="AK270" s="111"/>
      <c r="AM270" s="8"/>
      <c r="AN270" s="8"/>
      <c r="AO270" s="8"/>
    </row>
    <row r="271" spans="1:42">
      <c r="A271" s="30">
        <v>251</v>
      </c>
      <c r="B271" s="131"/>
      <c r="C271" s="144" t="s">
        <v>1747</v>
      </c>
      <c r="D271" s="27"/>
      <c r="E271" s="27"/>
      <c r="F271" s="27"/>
      <c r="G271" s="27"/>
      <c r="H271" s="70" t="s">
        <v>1748</v>
      </c>
      <c r="I271" s="177" t="s">
        <v>1749</v>
      </c>
      <c r="J271" s="140" t="s">
        <v>925</v>
      </c>
      <c r="K271" s="118"/>
      <c r="L271" s="86"/>
      <c r="M271" s="86"/>
      <c r="N271" s="86"/>
      <c r="O271" s="44"/>
      <c r="P271" s="44"/>
      <c r="Q271" s="44"/>
      <c r="R271" s="53"/>
      <c r="S271" s="44"/>
      <c r="T271" s="44"/>
      <c r="U271" s="44"/>
      <c r="V271" s="53"/>
      <c r="W271" s="74"/>
      <c r="X271" s="9"/>
      <c r="Y271" s="11"/>
      <c r="Z271" s="11"/>
      <c r="AA271" s="63"/>
      <c r="AB271" s="63"/>
      <c r="AC271" s="63"/>
      <c r="AD271" s="36"/>
      <c r="AE271" s="31"/>
      <c r="AF271" s="9"/>
      <c r="AG271" s="6"/>
      <c r="AH271" s="6"/>
      <c r="AI271" s="6"/>
      <c r="AJ271" s="36"/>
      <c r="AK271" s="31"/>
      <c r="AL271" s="9"/>
      <c r="AM271" s="6"/>
      <c r="AN271" s="6"/>
      <c r="AO271" s="6"/>
      <c r="AP271" s="36"/>
    </row>
    <row r="272" spans="1:42">
      <c r="A272" s="30">
        <v>252</v>
      </c>
      <c r="B272" s="134"/>
      <c r="C272" s="144" t="s">
        <v>1116</v>
      </c>
      <c r="D272" s="27"/>
      <c r="E272" s="27"/>
      <c r="F272" s="27"/>
      <c r="G272" s="27"/>
      <c r="H272" s="70" t="s">
        <v>566</v>
      </c>
      <c r="I272" s="272" t="s">
        <v>938</v>
      </c>
      <c r="J272" s="273" t="s">
        <v>1952</v>
      </c>
      <c r="K272" s="118"/>
      <c r="L272" s="86"/>
      <c r="M272" s="86"/>
      <c r="N272" s="86"/>
      <c r="O272" s="44"/>
      <c r="P272" s="44"/>
      <c r="Q272" s="44"/>
      <c r="R272" s="53"/>
      <c r="S272" s="44"/>
      <c r="T272" s="44"/>
      <c r="U272" s="44"/>
      <c r="V272" s="53"/>
      <c r="W272" s="31"/>
      <c r="X272" s="9"/>
      <c r="AA272" s="112"/>
      <c r="AB272" s="112"/>
      <c r="AC272" s="112"/>
      <c r="AE272" s="111"/>
      <c r="AG272" s="8"/>
      <c r="AH272" s="8"/>
      <c r="AI272" s="8"/>
      <c r="AK272" s="111"/>
      <c r="AM272" s="8"/>
      <c r="AN272" s="8"/>
      <c r="AO272" s="8"/>
    </row>
    <row r="273" spans="1:42" ht="27">
      <c r="A273" s="30">
        <v>253</v>
      </c>
      <c r="B273" s="134"/>
      <c r="C273" s="144" t="s">
        <v>1337</v>
      </c>
      <c r="D273" s="27"/>
      <c r="E273" s="27"/>
      <c r="F273" s="27"/>
      <c r="G273" s="27"/>
      <c r="H273" s="70" t="s">
        <v>1338</v>
      </c>
      <c r="I273" s="177" t="s">
        <v>1183</v>
      </c>
      <c r="J273" s="140" t="s">
        <v>1339</v>
      </c>
      <c r="K273" s="118"/>
      <c r="L273" s="86"/>
      <c r="M273" s="86"/>
      <c r="N273" s="86"/>
      <c r="O273" s="44"/>
      <c r="P273" s="44"/>
      <c r="Q273" s="44"/>
      <c r="R273" s="53"/>
      <c r="S273" s="44"/>
      <c r="T273" s="44"/>
      <c r="U273" s="44"/>
      <c r="V273" s="53"/>
      <c r="W273" s="31"/>
      <c r="X273" s="9"/>
      <c r="AA273" s="112"/>
      <c r="AB273" s="112"/>
      <c r="AC273" s="112"/>
      <c r="AE273" s="111"/>
      <c r="AG273" s="8"/>
      <c r="AH273" s="8"/>
      <c r="AI273" s="8"/>
      <c r="AK273" s="111"/>
      <c r="AM273" s="8"/>
      <c r="AN273" s="8"/>
      <c r="AO273" s="8"/>
    </row>
    <row r="274" spans="1:42">
      <c r="A274" s="30">
        <v>254</v>
      </c>
      <c r="B274" s="134"/>
      <c r="C274" s="198" t="s">
        <v>1035</v>
      </c>
      <c r="D274" s="199"/>
      <c r="E274" s="199"/>
      <c r="F274" s="199"/>
      <c r="G274" s="199"/>
      <c r="H274" s="200" t="s">
        <v>798</v>
      </c>
      <c r="I274" s="201" t="s">
        <v>934</v>
      </c>
      <c r="J274" s="138" t="s">
        <v>799</v>
      </c>
      <c r="K274" s="117"/>
      <c r="L274" s="6"/>
      <c r="M274" s="6"/>
      <c r="N274" s="6"/>
      <c r="O274" s="44"/>
      <c r="P274" s="44"/>
      <c r="Q274" s="44"/>
      <c r="R274" s="53"/>
      <c r="S274" s="45"/>
      <c r="T274" s="45"/>
      <c r="U274" s="45"/>
      <c r="V274" s="53"/>
      <c r="W274" s="31"/>
      <c r="X274" s="9"/>
      <c r="Y274" s="11"/>
      <c r="Z274" s="29"/>
      <c r="AA274" s="68"/>
      <c r="AB274" s="68"/>
      <c r="AC274" s="68"/>
      <c r="AD274" s="36"/>
      <c r="AE274" s="31"/>
      <c r="AF274" s="9"/>
      <c r="AG274" s="6"/>
      <c r="AH274" s="6"/>
      <c r="AI274" s="6"/>
      <c r="AJ274" s="36"/>
      <c r="AK274" s="31"/>
      <c r="AL274" s="9"/>
      <c r="AM274" s="6"/>
      <c r="AN274" s="6"/>
      <c r="AO274" s="6"/>
      <c r="AP274" s="36"/>
    </row>
    <row r="275" spans="1:42">
      <c r="A275" s="30">
        <v>255</v>
      </c>
      <c r="B275" s="134"/>
      <c r="C275" s="144" t="s">
        <v>583</v>
      </c>
      <c r="D275" s="27"/>
      <c r="E275" s="27"/>
      <c r="F275" s="27"/>
      <c r="G275" s="27"/>
      <c r="H275" s="133" t="s">
        <v>744</v>
      </c>
      <c r="I275" s="181"/>
      <c r="J275" s="135"/>
      <c r="K275" s="118"/>
      <c r="L275" s="86"/>
      <c r="M275" s="86"/>
      <c r="N275" s="86"/>
      <c r="O275" s="44"/>
      <c r="P275" s="44"/>
      <c r="Q275" s="44"/>
      <c r="R275" s="53"/>
      <c r="S275" s="44"/>
      <c r="T275" s="44"/>
      <c r="U275" s="44"/>
      <c r="V275" s="53"/>
      <c r="W275" s="31"/>
      <c r="X275" s="9"/>
      <c r="AA275" s="112"/>
      <c r="AB275" s="112"/>
      <c r="AC275" s="112"/>
      <c r="AE275" s="111"/>
      <c r="AG275" s="8"/>
      <c r="AH275" s="8"/>
      <c r="AI275" s="8"/>
      <c r="AK275" s="111"/>
      <c r="AM275" s="8"/>
      <c r="AN275" s="8"/>
      <c r="AO275" s="8"/>
    </row>
    <row r="276" spans="1:42">
      <c r="A276" s="30">
        <v>256</v>
      </c>
      <c r="B276" s="134"/>
      <c r="C276" s="144" t="s">
        <v>1529</v>
      </c>
      <c r="D276" s="27"/>
      <c r="E276" s="27"/>
      <c r="F276" s="27"/>
      <c r="G276" s="27"/>
      <c r="H276" s="70" t="s">
        <v>1734</v>
      </c>
      <c r="I276" s="177" t="s">
        <v>1004</v>
      </c>
      <c r="J276" s="140" t="s">
        <v>1667</v>
      </c>
      <c r="K276" s="118"/>
      <c r="L276" s="86"/>
      <c r="M276" s="86"/>
      <c r="N276" s="86"/>
      <c r="O276" s="44"/>
      <c r="P276" s="44"/>
      <c r="Q276" s="44"/>
      <c r="R276" s="53"/>
      <c r="S276" s="44"/>
      <c r="T276" s="44"/>
      <c r="U276" s="44"/>
      <c r="V276" s="53"/>
      <c r="W276" s="31"/>
      <c r="X276" s="9"/>
      <c r="AA276" s="112"/>
      <c r="AB276" s="112"/>
      <c r="AC276" s="112"/>
      <c r="AE276" s="111"/>
      <c r="AG276" s="8"/>
      <c r="AH276" s="8"/>
      <c r="AI276" s="8"/>
      <c r="AK276" s="111"/>
      <c r="AM276" s="8"/>
      <c r="AN276" s="8"/>
      <c r="AO276" s="8"/>
    </row>
    <row r="277" spans="1:42">
      <c r="A277" s="30">
        <v>257</v>
      </c>
      <c r="B277" s="134"/>
      <c r="C277" s="144" t="s">
        <v>682</v>
      </c>
      <c r="D277" s="27"/>
      <c r="E277" s="27"/>
      <c r="F277" s="27"/>
      <c r="G277" s="27"/>
      <c r="H277" s="70" t="s">
        <v>1033</v>
      </c>
      <c r="I277" s="177" t="s">
        <v>960</v>
      </c>
      <c r="J277" s="140" t="s">
        <v>1032</v>
      </c>
      <c r="K277" s="118"/>
      <c r="L277" s="86"/>
      <c r="M277" s="86"/>
      <c r="N277" s="86"/>
      <c r="O277" s="44"/>
      <c r="P277" s="44"/>
      <c r="Q277" s="44"/>
      <c r="R277" s="53"/>
      <c r="S277" s="44"/>
      <c r="T277" s="44"/>
      <c r="U277" s="44"/>
      <c r="V277" s="53"/>
      <c r="W277" s="31"/>
      <c r="X277" s="9"/>
      <c r="AA277" s="112"/>
      <c r="AB277" s="112"/>
      <c r="AC277" s="112"/>
      <c r="AE277" s="111"/>
      <c r="AG277" s="8"/>
      <c r="AH277" s="8"/>
      <c r="AI277" s="8"/>
      <c r="AK277" s="111"/>
      <c r="AM277" s="8"/>
      <c r="AN277" s="8"/>
      <c r="AO277" s="8"/>
    </row>
    <row r="278" spans="1:42">
      <c r="A278" s="30"/>
      <c r="B278" s="134"/>
      <c r="C278" s="144" t="s">
        <v>1753</v>
      </c>
      <c r="D278" s="27"/>
      <c r="E278" s="27"/>
      <c r="F278" s="27"/>
      <c r="G278" s="27"/>
      <c r="H278" s="70" t="s">
        <v>1754</v>
      </c>
      <c r="I278" s="177" t="s">
        <v>1755</v>
      </c>
      <c r="J278" s="140" t="s">
        <v>1756</v>
      </c>
      <c r="K278" s="118"/>
      <c r="L278" s="86"/>
      <c r="M278" s="86"/>
      <c r="N278" s="86"/>
      <c r="O278" s="44"/>
      <c r="P278" s="44"/>
      <c r="Q278" s="44"/>
      <c r="R278" s="53"/>
      <c r="S278" s="44"/>
      <c r="T278" s="44"/>
      <c r="U278" s="44"/>
      <c r="V278" s="53"/>
      <c r="W278" s="31"/>
      <c r="X278" s="9"/>
      <c r="AA278" s="112"/>
      <c r="AB278" s="112"/>
      <c r="AC278" s="112"/>
      <c r="AE278" s="111"/>
      <c r="AG278" s="8"/>
      <c r="AH278" s="8"/>
      <c r="AI278" s="8"/>
      <c r="AK278" s="111"/>
      <c r="AM278" s="8"/>
      <c r="AN278" s="8"/>
      <c r="AO278" s="8"/>
    </row>
    <row r="279" spans="1:42">
      <c r="A279" s="30">
        <v>258</v>
      </c>
      <c r="B279" s="134"/>
      <c r="C279" s="144" t="s">
        <v>1019</v>
      </c>
      <c r="D279" s="27"/>
      <c r="E279" s="27"/>
      <c r="F279" s="27"/>
      <c r="G279" s="27"/>
      <c r="H279" s="70" t="s">
        <v>1021</v>
      </c>
      <c r="I279" s="177" t="s">
        <v>1022</v>
      </c>
      <c r="J279" s="140" t="s">
        <v>1020</v>
      </c>
      <c r="K279" s="118"/>
      <c r="L279" s="86"/>
      <c r="M279" s="86"/>
      <c r="N279" s="86"/>
      <c r="O279" s="44"/>
      <c r="P279" s="44"/>
      <c r="Q279" s="44"/>
      <c r="R279" s="53"/>
      <c r="S279" s="44"/>
      <c r="T279" s="44"/>
      <c r="U279" s="44"/>
      <c r="V279" s="53"/>
      <c r="W279" s="31"/>
      <c r="X279" s="9"/>
      <c r="AA279" s="112"/>
      <c r="AB279" s="112"/>
      <c r="AC279" s="112"/>
      <c r="AE279" s="111"/>
      <c r="AG279" s="8"/>
      <c r="AH279" s="8"/>
      <c r="AI279" s="8"/>
      <c r="AK279" s="111"/>
      <c r="AM279" s="8"/>
      <c r="AN279" s="8"/>
      <c r="AO279" s="8"/>
    </row>
    <row r="280" spans="1:42" ht="27">
      <c r="A280" s="30">
        <v>259</v>
      </c>
      <c r="B280" s="134"/>
      <c r="C280" s="144" t="s">
        <v>784</v>
      </c>
      <c r="D280" s="27"/>
      <c r="E280" s="27"/>
      <c r="F280" s="27"/>
      <c r="G280" s="27"/>
      <c r="H280" s="70" t="s">
        <v>786</v>
      </c>
      <c r="I280" s="177"/>
      <c r="J280" s="140" t="s">
        <v>785</v>
      </c>
      <c r="K280" s="118"/>
      <c r="L280" s="86"/>
      <c r="M280" s="86"/>
      <c r="N280" s="86"/>
      <c r="O280" s="44"/>
      <c r="P280" s="44"/>
      <c r="Q280" s="44"/>
      <c r="R280" s="53"/>
      <c r="S280" s="44"/>
      <c r="T280" s="44"/>
      <c r="U280" s="44"/>
      <c r="V280" s="53"/>
      <c r="W280" s="31"/>
      <c r="X280" s="9"/>
      <c r="AA280" s="112"/>
      <c r="AB280" s="112"/>
      <c r="AC280" s="112"/>
      <c r="AE280" s="111"/>
      <c r="AG280" s="8"/>
      <c r="AH280" s="8"/>
      <c r="AI280" s="8"/>
      <c r="AK280" s="111"/>
      <c r="AM280" s="8"/>
      <c r="AN280" s="8"/>
      <c r="AO280" s="8"/>
    </row>
    <row r="281" spans="1:42" ht="27">
      <c r="A281" s="30">
        <v>260</v>
      </c>
      <c r="B281" s="134"/>
      <c r="C281" s="144" t="s">
        <v>1267</v>
      </c>
      <c r="D281" s="27"/>
      <c r="E281" s="27"/>
      <c r="F281" s="27"/>
      <c r="G281" s="27"/>
      <c r="H281" s="70" t="s">
        <v>1272</v>
      </c>
      <c r="I281" s="177" t="s">
        <v>1273</v>
      </c>
      <c r="J281" s="140" t="s">
        <v>1276</v>
      </c>
      <c r="K281" s="118"/>
      <c r="L281" s="86"/>
      <c r="M281" s="86"/>
      <c r="N281" s="86"/>
      <c r="O281" s="44"/>
      <c r="P281" s="44"/>
      <c r="Q281" s="44"/>
      <c r="R281" s="53"/>
      <c r="S281" s="44"/>
      <c r="T281" s="44"/>
      <c r="U281" s="44"/>
      <c r="V281" s="53"/>
      <c r="W281" s="31"/>
      <c r="X281" s="9"/>
      <c r="AA281" s="112"/>
      <c r="AB281" s="112"/>
      <c r="AC281" s="112"/>
      <c r="AE281" s="111"/>
      <c r="AG281" s="8"/>
      <c r="AH281" s="8"/>
      <c r="AI281" s="8"/>
      <c r="AK281" s="111"/>
      <c r="AM281" s="8"/>
      <c r="AN281" s="8"/>
      <c r="AO281" s="8"/>
    </row>
    <row r="282" spans="1:42" ht="27">
      <c r="A282" s="30">
        <v>261</v>
      </c>
      <c r="B282" s="134"/>
      <c r="C282" s="144" t="s">
        <v>1031</v>
      </c>
      <c r="D282" s="27"/>
      <c r="E282" s="27"/>
      <c r="F282" s="27"/>
      <c r="G282" s="27"/>
      <c r="H282" s="70" t="s">
        <v>1238</v>
      </c>
      <c r="I282" s="177" t="s">
        <v>904</v>
      </c>
      <c r="J282" s="140" t="s">
        <v>1237</v>
      </c>
      <c r="K282" s="118"/>
      <c r="L282" s="86"/>
      <c r="M282" s="86"/>
      <c r="N282" s="86"/>
      <c r="O282" s="44"/>
      <c r="P282" s="44"/>
      <c r="Q282" s="44"/>
      <c r="R282" s="53"/>
      <c r="S282" s="44"/>
      <c r="T282" s="44"/>
      <c r="U282" s="44"/>
      <c r="V282" s="53"/>
      <c r="W282" s="31"/>
      <c r="X282" s="9"/>
      <c r="AA282" s="112"/>
      <c r="AB282" s="112"/>
      <c r="AC282" s="112"/>
      <c r="AE282" s="111"/>
      <c r="AG282" s="8"/>
      <c r="AH282" s="8"/>
      <c r="AI282" s="8"/>
      <c r="AK282" s="111"/>
      <c r="AM282" s="8"/>
      <c r="AN282" s="8"/>
      <c r="AO282" s="8"/>
    </row>
    <row r="283" spans="1:42">
      <c r="A283" s="30">
        <v>262</v>
      </c>
      <c r="B283" s="134"/>
      <c r="C283" s="144" t="s">
        <v>1268</v>
      </c>
      <c r="D283" s="27"/>
      <c r="E283" s="27"/>
      <c r="F283" s="27"/>
      <c r="G283" s="27"/>
      <c r="H283" s="70" t="s">
        <v>1271</v>
      </c>
      <c r="I283" s="177" t="s">
        <v>1198</v>
      </c>
      <c r="J283" s="140"/>
      <c r="K283" s="118"/>
      <c r="L283" s="86"/>
      <c r="M283" s="86"/>
      <c r="N283" s="86"/>
      <c r="O283" s="44"/>
      <c r="P283" s="44"/>
      <c r="Q283" s="44"/>
      <c r="R283" s="53"/>
      <c r="S283" s="44"/>
      <c r="T283" s="44"/>
      <c r="U283" s="44"/>
      <c r="V283" s="53"/>
      <c r="W283" s="31"/>
      <c r="X283" s="9"/>
      <c r="AA283" s="112"/>
      <c r="AB283" s="112"/>
      <c r="AC283" s="112"/>
      <c r="AE283" s="111"/>
      <c r="AG283" s="8"/>
      <c r="AH283" s="8"/>
      <c r="AI283" s="8"/>
      <c r="AK283" s="111"/>
      <c r="AM283" s="8"/>
      <c r="AN283" s="8"/>
      <c r="AO283" s="8"/>
    </row>
    <row r="284" spans="1:42">
      <c r="A284" s="30">
        <v>263</v>
      </c>
      <c r="B284" s="134"/>
      <c r="C284" s="144" t="s">
        <v>708</v>
      </c>
      <c r="D284" s="27"/>
      <c r="E284" s="27"/>
      <c r="F284" s="27"/>
      <c r="G284" s="27"/>
      <c r="H284" s="70" t="s">
        <v>703</v>
      </c>
      <c r="I284" s="177" t="s">
        <v>860</v>
      </c>
      <c r="J284" s="140" t="s">
        <v>704</v>
      </c>
      <c r="K284" s="118"/>
      <c r="L284" s="86"/>
      <c r="M284" s="86"/>
      <c r="N284" s="86"/>
      <c r="O284" s="44"/>
      <c r="P284" s="44"/>
      <c r="Q284" s="44"/>
      <c r="R284" s="53"/>
      <c r="S284" s="44"/>
      <c r="T284" s="44"/>
      <c r="U284" s="44"/>
      <c r="V284" s="53"/>
      <c r="W284" s="31"/>
      <c r="X284" s="9"/>
      <c r="AA284" s="112"/>
      <c r="AB284" s="112"/>
      <c r="AC284" s="112"/>
      <c r="AE284" s="111"/>
      <c r="AG284" s="8"/>
      <c r="AH284" s="8"/>
      <c r="AI284" s="8"/>
      <c r="AK284" s="111"/>
      <c r="AM284" s="8"/>
      <c r="AN284" s="8"/>
      <c r="AO284" s="8"/>
    </row>
    <row r="285" spans="1:42">
      <c r="A285" s="30">
        <v>264</v>
      </c>
      <c r="B285" s="134"/>
      <c r="C285" s="144" t="s">
        <v>1674</v>
      </c>
      <c r="D285" s="27"/>
      <c r="E285" s="27"/>
      <c r="F285" s="27"/>
      <c r="G285" s="27"/>
      <c r="H285" s="70" t="s">
        <v>1675</v>
      </c>
      <c r="I285" s="190" t="s">
        <v>1676</v>
      </c>
      <c r="J285" s="138" t="s">
        <v>1641</v>
      </c>
      <c r="K285" s="118"/>
      <c r="L285" s="86"/>
      <c r="M285" s="86"/>
      <c r="N285" s="86"/>
      <c r="O285" s="44"/>
      <c r="P285" s="44"/>
      <c r="Q285" s="44"/>
      <c r="R285" s="53"/>
      <c r="S285" s="44"/>
      <c r="T285" s="44"/>
      <c r="U285" s="44"/>
      <c r="V285" s="53"/>
      <c r="W285" s="31"/>
      <c r="X285" s="9"/>
      <c r="AA285" s="112"/>
      <c r="AB285" s="112"/>
      <c r="AC285" s="112"/>
      <c r="AE285" s="111"/>
      <c r="AG285" s="8"/>
      <c r="AH285" s="8"/>
      <c r="AI285" s="8"/>
      <c r="AK285" s="111"/>
      <c r="AM285" s="8"/>
      <c r="AN285" s="8"/>
      <c r="AO285" s="8"/>
    </row>
    <row r="286" spans="1:42">
      <c r="A286" s="30"/>
      <c r="B286" s="134"/>
      <c r="C286" s="144" t="s">
        <v>1873</v>
      </c>
      <c r="D286" s="27"/>
      <c r="E286" s="27"/>
      <c r="F286" s="27"/>
      <c r="G286" s="27"/>
      <c r="H286" s="133" t="s">
        <v>1874</v>
      </c>
      <c r="I286" s="181" t="s">
        <v>922</v>
      </c>
      <c r="J286" s="138"/>
      <c r="K286" s="118"/>
      <c r="L286" s="86"/>
      <c r="M286" s="86"/>
      <c r="N286" s="86"/>
      <c r="O286" s="44"/>
      <c r="P286" s="44"/>
      <c r="Q286" s="44"/>
      <c r="R286" s="53"/>
      <c r="S286" s="44"/>
      <c r="T286" s="44"/>
      <c r="U286" s="44"/>
      <c r="V286" s="53"/>
      <c r="W286" s="31"/>
      <c r="X286" s="9"/>
      <c r="AA286" s="112"/>
      <c r="AB286" s="112"/>
      <c r="AC286" s="112"/>
      <c r="AE286" s="111"/>
      <c r="AG286" s="8"/>
      <c r="AH286" s="8"/>
      <c r="AI286" s="8"/>
      <c r="AK286" s="111"/>
      <c r="AM286" s="8"/>
      <c r="AN286" s="8"/>
      <c r="AO286" s="8"/>
    </row>
    <row r="287" spans="1:42">
      <c r="A287" s="30">
        <v>265</v>
      </c>
      <c r="B287" s="131"/>
      <c r="C287" s="163" t="s">
        <v>1640</v>
      </c>
      <c r="D287" s="203"/>
      <c r="E287" s="203"/>
      <c r="F287" s="203"/>
      <c r="G287" s="203"/>
      <c r="H287" s="143" t="s">
        <v>1642</v>
      </c>
      <c r="I287" s="190" t="s">
        <v>938</v>
      </c>
      <c r="J287" s="138" t="s">
        <v>1641</v>
      </c>
      <c r="K287" s="117"/>
      <c r="L287" s="6"/>
      <c r="M287" s="6"/>
      <c r="N287" s="6"/>
      <c r="O287" s="44"/>
      <c r="P287" s="44"/>
      <c r="Q287" s="44"/>
      <c r="R287" s="53"/>
      <c r="S287" s="44"/>
      <c r="T287" s="44"/>
      <c r="U287" s="44"/>
      <c r="V287" s="53"/>
      <c r="W287" s="31"/>
      <c r="X287" s="9"/>
      <c r="Y287" s="11"/>
      <c r="Z287" s="11"/>
      <c r="AA287" s="63"/>
      <c r="AB287" s="63"/>
      <c r="AC287" s="63"/>
      <c r="AD287" s="36"/>
      <c r="AE287" s="31"/>
      <c r="AF287" s="9"/>
      <c r="AG287" s="6"/>
      <c r="AH287" s="6"/>
      <c r="AI287" s="6"/>
      <c r="AJ287" s="36"/>
      <c r="AK287" s="31"/>
      <c r="AL287" s="9"/>
      <c r="AM287" s="6"/>
      <c r="AN287" s="6"/>
      <c r="AO287" s="6"/>
      <c r="AP287" s="36"/>
    </row>
    <row r="288" spans="1:42">
      <c r="A288" s="30">
        <v>266</v>
      </c>
      <c r="B288" s="131"/>
      <c r="C288" s="144" t="s">
        <v>954</v>
      </c>
      <c r="D288" s="27"/>
      <c r="E288" s="27"/>
      <c r="F288" s="27"/>
      <c r="G288" s="27"/>
      <c r="H288" s="133" t="s">
        <v>721</v>
      </c>
      <c r="J288" s="138"/>
      <c r="K288" s="29"/>
      <c r="L288" s="11"/>
      <c r="M288" s="11"/>
      <c r="N288" s="11"/>
      <c r="O288" s="44"/>
      <c r="P288" s="44"/>
      <c r="Q288" s="44"/>
      <c r="R288" s="53"/>
      <c r="S288" s="44"/>
      <c r="T288" s="46"/>
      <c r="U288" s="46"/>
      <c r="V288" s="53"/>
      <c r="W288" s="31"/>
      <c r="X288" s="9"/>
      <c r="Y288" s="11"/>
      <c r="Z288" s="11"/>
      <c r="AA288" s="63"/>
      <c r="AB288" s="63"/>
      <c r="AC288" s="63"/>
      <c r="AD288" s="36"/>
      <c r="AE288" s="31"/>
      <c r="AF288" s="9"/>
      <c r="AG288" s="6"/>
      <c r="AH288" s="6"/>
      <c r="AI288" s="6"/>
      <c r="AJ288" s="36"/>
      <c r="AK288" s="31"/>
      <c r="AL288" s="9"/>
      <c r="AM288" s="6"/>
      <c r="AN288" s="6"/>
      <c r="AO288" s="6"/>
      <c r="AP288" s="36"/>
    </row>
    <row r="289" spans="1:42">
      <c r="A289" s="30"/>
      <c r="B289" s="131"/>
      <c r="C289" s="144" t="s">
        <v>1826</v>
      </c>
      <c r="D289" s="27"/>
      <c r="E289" s="27"/>
      <c r="F289" s="27"/>
      <c r="G289" s="27"/>
      <c r="H289" s="133" t="s">
        <v>1827</v>
      </c>
      <c r="I289" s="181" t="s">
        <v>1260</v>
      </c>
      <c r="J289" s="138"/>
      <c r="K289" s="29"/>
      <c r="L289" s="11"/>
      <c r="M289" s="11"/>
      <c r="N289" s="11"/>
      <c r="O289" s="44"/>
      <c r="P289" s="44"/>
      <c r="Q289" s="44"/>
      <c r="R289" s="53"/>
      <c r="S289" s="44"/>
      <c r="T289" s="46"/>
      <c r="U289" s="46"/>
      <c r="V289" s="53"/>
      <c r="W289" s="31"/>
      <c r="X289" s="9"/>
      <c r="Y289" s="11"/>
      <c r="Z289" s="11"/>
      <c r="AA289" s="63"/>
      <c r="AB289" s="63"/>
      <c r="AC289" s="63"/>
      <c r="AD289" s="36"/>
      <c r="AE289" s="31"/>
      <c r="AF289" s="9"/>
      <c r="AG289" s="6"/>
      <c r="AH289" s="6"/>
      <c r="AI289" s="6"/>
      <c r="AJ289" s="36"/>
      <c r="AK289" s="31"/>
      <c r="AL289" s="9"/>
      <c r="AM289" s="6"/>
      <c r="AN289" s="6"/>
      <c r="AO289" s="6"/>
      <c r="AP289" s="36"/>
    </row>
    <row r="290" spans="1:42">
      <c r="A290" s="30">
        <v>267</v>
      </c>
      <c r="B290" s="131"/>
      <c r="C290" s="144" t="s">
        <v>1173</v>
      </c>
      <c r="D290" s="27"/>
      <c r="E290" s="27"/>
      <c r="F290" s="27"/>
      <c r="G290" s="27"/>
      <c r="H290" s="70" t="s">
        <v>1234</v>
      </c>
      <c r="I290" s="177" t="s">
        <v>834</v>
      </c>
      <c r="J290" s="138"/>
      <c r="K290" s="29"/>
      <c r="L290" s="11"/>
      <c r="M290" s="11"/>
      <c r="N290" s="11"/>
      <c r="O290" s="44"/>
      <c r="P290" s="44"/>
      <c r="Q290" s="44"/>
      <c r="R290" s="53"/>
      <c r="S290" s="44"/>
      <c r="T290" s="46"/>
      <c r="U290" s="46"/>
      <c r="V290" s="53"/>
      <c r="W290" s="31"/>
      <c r="X290" s="9"/>
      <c r="Y290" s="11"/>
      <c r="Z290" s="11"/>
      <c r="AA290" s="63"/>
      <c r="AB290" s="63"/>
      <c r="AC290" s="63"/>
      <c r="AD290" s="36"/>
      <c r="AE290" s="31"/>
      <c r="AF290" s="9"/>
      <c r="AG290" s="6"/>
      <c r="AH290" s="6"/>
      <c r="AI290" s="6"/>
      <c r="AJ290" s="36"/>
      <c r="AK290" s="31"/>
      <c r="AL290" s="9"/>
      <c r="AM290" s="6"/>
      <c r="AN290" s="6"/>
      <c r="AO290" s="6"/>
      <c r="AP290" s="36"/>
    </row>
    <row r="291" spans="1:42">
      <c r="A291" s="30">
        <v>268</v>
      </c>
      <c r="B291" s="134"/>
      <c r="C291" s="144" t="s">
        <v>1831</v>
      </c>
      <c r="D291" s="27"/>
      <c r="E291" s="27"/>
      <c r="F291" s="27"/>
      <c r="G291" s="27"/>
      <c r="H291" s="70" t="s">
        <v>1832</v>
      </c>
      <c r="I291" s="177" t="s">
        <v>1135</v>
      </c>
      <c r="J291" s="138" t="s">
        <v>1833</v>
      </c>
      <c r="K291" s="29"/>
      <c r="L291" s="11"/>
      <c r="M291" s="11"/>
      <c r="N291" s="11"/>
      <c r="O291" s="44"/>
      <c r="P291" s="44"/>
      <c r="Q291" s="44"/>
      <c r="R291" s="53"/>
      <c r="S291" s="44"/>
      <c r="T291" s="46"/>
      <c r="U291" s="46"/>
      <c r="V291" s="53"/>
      <c r="W291" s="31"/>
      <c r="X291" s="9"/>
      <c r="Y291" s="11"/>
      <c r="Z291" s="11"/>
      <c r="AA291" s="63"/>
      <c r="AB291" s="63"/>
      <c r="AC291" s="63"/>
      <c r="AD291" s="36"/>
      <c r="AE291" s="31"/>
      <c r="AF291" s="9"/>
      <c r="AG291" s="6"/>
      <c r="AH291" s="6"/>
      <c r="AI291" s="6"/>
      <c r="AJ291" s="36"/>
      <c r="AK291" s="31"/>
      <c r="AL291" s="9"/>
      <c r="AM291" s="6"/>
      <c r="AN291" s="6"/>
      <c r="AO291" s="6"/>
      <c r="AP291" s="36"/>
    </row>
    <row r="292" spans="1:42">
      <c r="A292" s="30">
        <v>269</v>
      </c>
      <c r="B292" s="131"/>
      <c r="C292" s="144" t="s">
        <v>1124</v>
      </c>
      <c r="D292" s="27"/>
      <c r="E292" s="27"/>
      <c r="F292" s="27"/>
      <c r="G292" s="27"/>
      <c r="H292" s="70" t="s">
        <v>795</v>
      </c>
      <c r="I292" s="177" t="s">
        <v>833</v>
      </c>
      <c r="J292" s="138"/>
      <c r="K292" s="29"/>
      <c r="L292" s="11"/>
      <c r="M292" s="11"/>
      <c r="N292" s="11"/>
      <c r="O292" s="44"/>
      <c r="P292" s="44"/>
      <c r="Q292" s="44"/>
      <c r="R292" s="53"/>
      <c r="S292" s="44"/>
      <c r="T292" s="46"/>
      <c r="U292" s="46"/>
      <c r="V292" s="53"/>
      <c r="W292" s="31"/>
      <c r="X292" s="9"/>
      <c r="Y292" s="11"/>
      <c r="Z292" s="11"/>
      <c r="AA292" s="63"/>
      <c r="AB292" s="63"/>
      <c r="AC292" s="63"/>
      <c r="AD292" s="36"/>
      <c r="AE292" s="31"/>
      <c r="AF292" s="9"/>
      <c r="AG292" s="6"/>
      <c r="AH292" s="6"/>
      <c r="AI292" s="6"/>
      <c r="AJ292" s="36"/>
      <c r="AK292" s="31"/>
      <c r="AL292" s="9"/>
      <c r="AM292" s="6"/>
      <c r="AN292" s="6"/>
      <c r="AO292" s="6"/>
      <c r="AP292" s="36"/>
    </row>
    <row r="293" spans="1:42">
      <c r="A293" s="30">
        <v>270</v>
      </c>
      <c r="B293" s="134"/>
      <c r="C293" s="144" t="s">
        <v>545</v>
      </c>
      <c r="D293" s="27"/>
      <c r="E293" s="27"/>
      <c r="F293" s="27"/>
      <c r="G293" s="27"/>
      <c r="H293" s="70" t="s">
        <v>690</v>
      </c>
      <c r="I293" s="177" t="s">
        <v>1139</v>
      </c>
      <c r="J293" s="138" t="s">
        <v>1144</v>
      </c>
      <c r="K293" s="29"/>
      <c r="L293" s="11"/>
      <c r="M293" s="11"/>
      <c r="N293" s="11"/>
      <c r="O293" s="44"/>
      <c r="P293" s="44"/>
      <c r="Q293" s="44"/>
      <c r="R293" s="53"/>
      <c r="S293" s="44"/>
      <c r="T293" s="46"/>
      <c r="U293" s="46"/>
      <c r="V293" s="53"/>
      <c r="W293" s="31"/>
      <c r="X293" s="9"/>
      <c r="Y293" s="11"/>
      <c r="Z293" s="11"/>
      <c r="AA293" s="63"/>
      <c r="AB293" s="63"/>
      <c r="AC293" s="63"/>
      <c r="AD293" s="36"/>
      <c r="AE293" s="31"/>
      <c r="AF293" s="9"/>
      <c r="AG293" s="6"/>
      <c r="AH293" s="6"/>
      <c r="AI293" s="6"/>
      <c r="AJ293" s="36"/>
      <c r="AK293" s="31"/>
      <c r="AL293" s="9"/>
      <c r="AM293" s="6"/>
      <c r="AN293" s="6"/>
      <c r="AO293" s="6"/>
      <c r="AP293" s="36"/>
    </row>
    <row r="294" spans="1:42">
      <c r="A294" s="30">
        <v>271</v>
      </c>
      <c r="B294" s="134"/>
      <c r="C294" s="144" t="s">
        <v>2037</v>
      </c>
      <c r="D294" s="27"/>
      <c r="E294" s="27"/>
      <c r="F294" s="27"/>
      <c r="G294" s="27"/>
      <c r="H294" s="70" t="s">
        <v>2038</v>
      </c>
      <c r="I294" s="177" t="s">
        <v>1626</v>
      </c>
      <c r="J294" s="138" t="s">
        <v>1625</v>
      </c>
      <c r="K294" s="29"/>
      <c r="L294" s="11"/>
      <c r="M294" s="11"/>
      <c r="N294" s="11"/>
      <c r="O294" s="44"/>
      <c r="P294" s="44"/>
      <c r="Q294" s="44"/>
      <c r="R294" s="53"/>
      <c r="S294" s="44"/>
      <c r="T294" s="46"/>
      <c r="U294" s="46"/>
      <c r="V294" s="53"/>
      <c r="W294" s="31"/>
      <c r="X294" s="9"/>
      <c r="Y294" s="11"/>
      <c r="Z294" s="11"/>
      <c r="AA294" s="63"/>
      <c r="AB294" s="63"/>
      <c r="AC294" s="63"/>
      <c r="AD294" s="36"/>
      <c r="AE294" s="31"/>
      <c r="AF294" s="9"/>
      <c r="AG294" s="6"/>
      <c r="AH294" s="6"/>
      <c r="AI294" s="6"/>
      <c r="AJ294" s="36"/>
      <c r="AK294" s="31"/>
      <c r="AL294" s="9"/>
      <c r="AM294" s="6"/>
      <c r="AN294" s="6"/>
      <c r="AO294" s="6"/>
      <c r="AP294" s="36"/>
    </row>
    <row r="295" spans="1:42">
      <c r="A295" s="30">
        <v>272</v>
      </c>
      <c r="B295" s="134"/>
      <c r="C295" s="144" t="s">
        <v>1540</v>
      </c>
      <c r="D295" s="27"/>
      <c r="E295" s="27"/>
      <c r="F295" s="27"/>
      <c r="G295" s="27"/>
      <c r="H295" s="70" t="s">
        <v>1541</v>
      </c>
      <c r="I295" s="177" t="s">
        <v>1542</v>
      </c>
      <c r="J295" s="138"/>
      <c r="K295" s="29"/>
      <c r="L295" s="11"/>
      <c r="M295" s="11"/>
      <c r="N295" s="11"/>
      <c r="O295" s="44"/>
      <c r="P295" s="44"/>
      <c r="Q295" s="44"/>
      <c r="R295" s="53"/>
      <c r="S295" s="44"/>
      <c r="T295" s="46"/>
      <c r="U295" s="46"/>
      <c r="V295" s="53"/>
      <c r="W295" s="31"/>
      <c r="X295" s="9"/>
      <c r="Y295" s="11"/>
      <c r="Z295" s="11"/>
      <c r="AA295" s="63"/>
      <c r="AB295" s="63"/>
      <c r="AC295" s="63"/>
      <c r="AD295" s="36"/>
      <c r="AE295" s="31"/>
      <c r="AF295" s="9"/>
      <c r="AG295" s="6"/>
      <c r="AH295" s="6"/>
      <c r="AI295" s="6"/>
      <c r="AJ295" s="36"/>
      <c r="AK295" s="31"/>
      <c r="AL295" s="9"/>
      <c r="AM295" s="6"/>
      <c r="AN295" s="6"/>
      <c r="AO295" s="6"/>
      <c r="AP295" s="36"/>
    </row>
    <row r="296" spans="1:42">
      <c r="A296" s="30">
        <v>273</v>
      </c>
      <c r="B296" s="134"/>
      <c r="C296" s="144" t="s">
        <v>2015</v>
      </c>
      <c r="D296" s="27"/>
      <c r="E296" s="27"/>
      <c r="F296" s="27"/>
      <c r="G296" s="27"/>
      <c r="H296" s="70" t="s">
        <v>2016</v>
      </c>
      <c r="I296" s="177" t="s">
        <v>851</v>
      </c>
      <c r="J296" s="138" t="s">
        <v>1143</v>
      </c>
      <c r="K296" s="29"/>
      <c r="L296" s="11"/>
      <c r="M296" s="11"/>
      <c r="N296" s="11"/>
      <c r="O296" s="44"/>
      <c r="P296" s="44"/>
      <c r="Q296" s="44"/>
      <c r="R296" s="53"/>
      <c r="S296" s="44"/>
      <c r="T296" s="46"/>
      <c r="U296" s="46"/>
      <c r="V296" s="53"/>
      <c r="W296" s="31"/>
      <c r="X296" s="9"/>
      <c r="Y296" s="11"/>
      <c r="Z296" s="11"/>
      <c r="AA296" s="63"/>
      <c r="AB296" s="63"/>
      <c r="AC296" s="63"/>
      <c r="AD296" s="36"/>
      <c r="AE296" s="31"/>
      <c r="AF296" s="9"/>
      <c r="AG296" s="6"/>
      <c r="AH296" s="6"/>
      <c r="AI296" s="6"/>
      <c r="AJ296" s="36"/>
      <c r="AK296" s="31"/>
      <c r="AL296" s="9"/>
      <c r="AM296" s="6"/>
      <c r="AN296" s="6"/>
      <c r="AO296" s="6"/>
      <c r="AP296" s="36"/>
    </row>
    <row r="297" spans="1:42">
      <c r="A297" s="30">
        <v>274</v>
      </c>
      <c r="B297" s="131"/>
      <c r="C297" s="144" t="s">
        <v>779</v>
      </c>
      <c r="D297" s="27"/>
      <c r="E297" s="27"/>
      <c r="F297" s="27"/>
      <c r="G297" s="27"/>
      <c r="H297" s="70" t="s">
        <v>771</v>
      </c>
      <c r="I297" s="177" t="s">
        <v>884</v>
      </c>
      <c r="J297" s="138"/>
      <c r="K297" s="29"/>
      <c r="L297" s="11"/>
      <c r="M297" s="11"/>
      <c r="N297" s="11"/>
      <c r="O297" s="44"/>
      <c r="P297" s="44"/>
      <c r="Q297" s="44"/>
      <c r="R297" s="53"/>
      <c r="S297" s="44"/>
      <c r="T297" s="46"/>
      <c r="U297" s="46"/>
      <c r="V297" s="53"/>
      <c r="W297" s="31"/>
      <c r="X297" s="9"/>
      <c r="Y297" s="11"/>
      <c r="Z297" s="11"/>
      <c r="AA297" s="63"/>
      <c r="AB297" s="63"/>
      <c r="AC297" s="63"/>
      <c r="AD297" s="36"/>
      <c r="AE297" s="31"/>
      <c r="AF297" s="9"/>
      <c r="AG297" s="6"/>
      <c r="AH297" s="6"/>
      <c r="AI297" s="6"/>
      <c r="AJ297" s="36"/>
      <c r="AK297" s="31"/>
      <c r="AL297" s="9"/>
      <c r="AM297" s="6"/>
      <c r="AN297" s="6"/>
      <c r="AO297" s="6"/>
      <c r="AP297" s="36"/>
    </row>
    <row r="298" spans="1:42">
      <c r="A298" s="30">
        <v>275</v>
      </c>
      <c r="B298" s="131"/>
      <c r="C298" s="144" t="s">
        <v>988</v>
      </c>
      <c r="D298" s="27"/>
      <c r="E298" s="27"/>
      <c r="F298" s="27"/>
      <c r="G298" s="27"/>
      <c r="H298" s="70" t="s">
        <v>989</v>
      </c>
      <c r="I298" s="177" t="s">
        <v>990</v>
      </c>
      <c r="J298" s="137" t="s">
        <v>991</v>
      </c>
      <c r="K298" s="29"/>
      <c r="L298" s="11"/>
      <c r="M298" s="11"/>
      <c r="N298" s="11"/>
      <c r="O298" s="44"/>
      <c r="P298" s="44"/>
      <c r="Q298" s="44"/>
      <c r="R298" s="53"/>
      <c r="S298" s="44"/>
      <c r="T298" s="46"/>
      <c r="U298" s="46"/>
      <c r="V298" s="53"/>
      <c r="W298" s="31"/>
      <c r="X298" s="9"/>
      <c r="Y298" s="11"/>
      <c r="Z298" s="11"/>
      <c r="AA298" s="63"/>
      <c r="AB298" s="63"/>
      <c r="AC298" s="63"/>
      <c r="AD298" s="36"/>
      <c r="AE298" s="31"/>
      <c r="AF298" s="9"/>
      <c r="AG298" s="6"/>
      <c r="AH298" s="6"/>
      <c r="AI298" s="6"/>
      <c r="AJ298" s="36"/>
      <c r="AK298" s="31"/>
      <c r="AL298" s="9"/>
      <c r="AM298" s="6"/>
      <c r="AN298" s="6"/>
      <c r="AO298" s="6"/>
      <c r="AP298" s="36"/>
    </row>
    <row r="299" spans="1:42">
      <c r="A299" s="30">
        <v>276</v>
      </c>
      <c r="B299" s="131"/>
      <c r="C299" s="144" t="s">
        <v>1211</v>
      </c>
      <c r="D299" s="27"/>
      <c r="E299" s="27"/>
      <c r="F299" s="27"/>
      <c r="G299" s="27"/>
      <c r="H299" s="70" t="s">
        <v>1403</v>
      </c>
      <c r="I299" s="177" t="s">
        <v>826</v>
      </c>
      <c r="J299" s="137"/>
      <c r="K299" s="29"/>
      <c r="L299" s="11"/>
      <c r="M299" s="11"/>
      <c r="N299" s="11"/>
      <c r="O299" s="44"/>
      <c r="P299" s="44"/>
      <c r="Q299" s="44"/>
      <c r="R299" s="53"/>
      <c r="S299" s="44"/>
      <c r="T299" s="46"/>
      <c r="U299" s="46"/>
      <c r="V299" s="53"/>
      <c r="W299" s="31"/>
      <c r="X299" s="9"/>
      <c r="Y299" s="11"/>
      <c r="Z299" s="11"/>
      <c r="AA299" s="63"/>
      <c r="AB299" s="63"/>
      <c r="AC299" s="63"/>
      <c r="AD299" s="36"/>
      <c r="AE299" s="31"/>
      <c r="AF299" s="9"/>
      <c r="AG299" s="6"/>
      <c r="AH299" s="6"/>
      <c r="AI299" s="6"/>
      <c r="AJ299" s="36"/>
      <c r="AK299" s="31"/>
      <c r="AL299" s="9"/>
      <c r="AM299" s="6"/>
      <c r="AN299" s="6"/>
      <c r="AO299" s="6"/>
      <c r="AP299" s="36"/>
    </row>
    <row r="300" spans="1:42">
      <c r="A300" s="30">
        <v>277</v>
      </c>
      <c r="B300" s="131"/>
      <c r="C300" s="144" t="s">
        <v>603</v>
      </c>
      <c r="D300" s="27"/>
      <c r="E300" s="27"/>
      <c r="F300" s="27"/>
      <c r="G300" s="27"/>
      <c r="H300" s="70" t="s">
        <v>1942</v>
      </c>
      <c r="I300" s="177" t="s">
        <v>847</v>
      </c>
      <c r="J300" s="138" t="s">
        <v>629</v>
      </c>
      <c r="K300" s="29"/>
      <c r="L300" s="11">
        <v>11560</v>
      </c>
      <c r="M300" s="11">
        <v>578</v>
      </c>
      <c r="N300" s="11">
        <v>12138</v>
      </c>
      <c r="O300" s="44"/>
      <c r="P300" s="44"/>
      <c r="Q300" s="44"/>
      <c r="R300" s="53"/>
      <c r="S300" s="44"/>
      <c r="T300" s="46"/>
      <c r="U300" s="46"/>
      <c r="V300" s="53"/>
      <c r="W300" s="31"/>
      <c r="X300" s="9"/>
      <c r="Y300" s="11"/>
      <c r="Z300" s="11"/>
      <c r="AA300" s="63"/>
      <c r="AB300" s="63"/>
      <c r="AC300" s="63"/>
      <c r="AD300" s="36"/>
      <c r="AE300" s="31"/>
      <c r="AF300" s="9"/>
      <c r="AG300" s="6"/>
      <c r="AH300" s="6"/>
      <c r="AI300" s="6"/>
      <c r="AJ300" s="36"/>
      <c r="AK300" s="31"/>
      <c r="AL300" s="9"/>
      <c r="AM300" s="6"/>
      <c r="AN300" s="6"/>
      <c r="AO300" s="6"/>
      <c r="AP300" s="36"/>
    </row>
    <row r="301" spans="1:42" ht="27">
      <c r="A301" s="30">
        <v>278</v>
      </c>
      <c r="B301" s="146"/>
      <c r="C301" s="144" t="s">
        <v>2329</v>
      </c>
      <c r="D301" s="27"/>
      <c r="E301" s="27"/>
      <c r="F301" s="27"/>
      <c r="G301" s="27"/>
      <c r="H301" s="70" t="s">
        <v>1941</v>
      </c>
      <c r="I301" s="177" t="s">
        <v>868</v>
      </c>
      <c r="J301" s="138" t="s">
        <v>1051</v>
      </c>
      <c r="K301" s="117"/>
      <c r="L301" s="6"/>
      <c r="M301" s="6"/>
      <c r="N301" s="6"/>
      <c r="O301" s="44"/>
      <c r="P301" s="44"/>
      <c r="Q301" s="44"/>
      <c r="R301" s="53"/>
      <c r="S301" s="44"/>
      <c r="T301" s="44"/>
      <c r="U301" s="44"/>
      <c r="V301" s="53"/>
      <c r="W301" s="31"/>
      <c r="X301" s="9"/>
      <c r="Y301" s="11"/>
      <c r="Z301" s="11"/>
      <c r="AA301" s="63"/>
      <c r="AB301" s="63"/>
      <c r="AC301" s="63"/>
      <c r="AD301" s="36"/>
      <c r="AE301" s="31"/>
      <c r="AF301" s="9"/>
      <c r="AG301" s="6"/>
      <c r="AH301" s="6"/>
      <c r="AI301" s="6"/>
      <c r="AJ301" s="36"/>
      <c r="AK301" s="31"/>
      <c r="AL301" s="9"/>
      <c r="AM301" s="6"/>
      <c r="AN301" s="6"/>
      <c r="AO301" s="6"/>
      <c r="AP301" s="36"/>
    </row>
    <row r="302" spans="1:42">
      <c r="A302" s="30">
        <v>279</v>
      </c>
      <c r="B302" s="131"/>
      <c r="C302" s="144" t="s">
        <v>389</v>
      </c>
      <c r="D302" s="27"/>
      <c r="E302" s="27"/>
      <c r="F302" s="27"/>
      <c r="G302" s="27"/>
      <c r="H302" s="70" t="s">
        <v>865</v>
      </c>
      <c r="I302" s="177" t="s">
        <v>866</v>
      </c>
      <c r="J302" s="138" t="s">
        <v>864</v>
      </c>
      <c r="K302" s="117"/>
      <c r="L302" s="6"/>
      <c r="M302" s="6"/>
      <c r="N302" s="6"/>
      <c r="O302" s="44"/>
      <c r="P302" s="44"/>
      <c r="Q302" s="44"/>
      <c r="R302" s="53"/>
      <c r="S302" s="47"/>
      <c r="T302" s="47"/>
      <c r="U302" s="47"/>
      <c r="V302" s="53"/>
      <c r="W302" s="31"/>
      <c r="X302" s="9"/>
      <c r="Y302" s="11"/>
      <c r="Z302" s="11"/>
      <c r="AA302" s="91"/>
      <c r="AB302" s="91"/>
      <c r="AC302" s="91"/>
      <c r="AD302" s="36"/>
      <c r="AE302" s="31"/>
      <c r="AF302" s="9"/>
      <c r="AG302" s="92"/>
      <c r="AH302" s="92"/>
      <c r="AI302" s="92"/>
      <c r="AJ302" s="36"/>
      <c r="AK302" s="31"/>
      <c r="AL302" s="9"/>
      <c r="AM302" s="6"/>
      <c r="AN302" s="6"/>
      <c r="AO302" s="6"/>
      <c r="AP302" s="36"/>
    </row>
    <row r="303" spans="1:42">
      <c r="A303" s="30"/>
      <c r="B303" s="131"/>
      <c r="C303" s="144" t="s">
        <v>1812</v>
      </c>
      <c r="D303" s="27"/>
      <c r="E303" s="27"/>
      <c r="F303" s="27"/>
      <c r="G303" s="27"/>
      <c r="H303" s="70" t="s">
        <v>1813</v>
      </c>
      <c r="I303" s="177" t="s">
        <v>1657</v>
      </c>
      <c r="J303" s="138"/>
      <c r="K303" s="117"/>
      <c r="L303" s="6"/>
      <c r="M303" s="6"/>
      <c r="N303" s="6"/>
      <c r="O303" s="44"/>
      <c r="P303" s="44"/>
      <c r="Q303" s="44"/>
      <c r="R303" s="53"/>
      <c r="S303" s="47"/>
      <c r="T303" s="47"/>
      <c r="U303" s="47"/>
      <c r="V303" s="53"/>
      <c r="W303" s="31"/>
      <c r="X303" s="9"/>
      <c r="Y303" s="11"/>
      <c r="Z303" s="11"/>
      <c r="AA303" s="91"/>
      <c r="AB303" s="91"/>
      <c r="AC303" s="91"/>
      <c r="AD303" s="36"/>
      <c r="AE303" s="31"/>
      <c r="AF303" s="9"/>
      <c r="AG303" s="92"/>
      <c r="AH303" s="92"/>
      <c r="AI303" s="92"/>
      <c r="AJ303" s="36"/>
      <c r="AK303" s="31"/>
      <c r="AL303" s="9"/>
      <c r="AM303" s="6"/>
      <c r="AN303" s="6"/>
      <c r="AO303" s="6"/>
      <c r="AP303" s="36"/>
    </row>
    <row r="304" spans="1:42">
      <c r="A304" s="30">
        <v>280</v>
      </c>
      <c r="B304" s="131"/>
      <c r="C304" s="144" t="s">
        <v>1897</v>
      </c>
      <c r="D304" s="27"/>
      <c r="E304" s="27"/>
      <c r="F304" s="27"/>
      <c r="G304" s="27"/>
      <c r="H304" s="70" t="s">
        <v>1898</v>
      </c>
      <c r="I304" s="177" t="s">
        <v>900</v>
      </c>
      <c r="J304" s="138"/>
      <c r="K304" s="29"/>
      <c r="L304" s="11">
        <v>67200</v>
      </c>
      <c r="M304" s="11">
        <v>3360</v>
      </c>
      <c r="N304" s="11">
        <v>70560</v>
      </c>
      <c r="O304" s="44"/>
      <c r="P304" s="44"/>
      <c r="Q304" s="44"/>
      <c r="R304" s="53"/>
      <c r="S304" s="44"/>
      <c r="T304" s="46"/>
      <c r="U304" s="46"/>
      <c r="V304" s="53"/>
      <c r="W304" s="31"/>
      <c r="X304" s="9"/>
      <c r="Y304" s="11"/>
      <c r="Z304" s="11"/>
      <c r="AA304" s="63"/>
      <c r="AB304" s="63"/>
      <c r="AC304" s="63"/>
      <c r="AD304" s="36"/>
      <c r="AE304" s="31"/>
      <c r="AF304" s="9"/>
      <c r="AG304" s="6"/>
      <c r="AH304" s="6"/>
      <c r="AI304" s="6"/>
      <c r="AJ304" s="36"/>
      <c r="AK304" s="31"/>
      <c r="AL304" s="9"/>
      <c r="AM304" s="6"/>
      <c r="AN304" s="6"/>
      <c r="AO304" s="6"/>
      <c r="AP304" s="36"/>
    </row>
    <row r="305" spans="1:42">
      <c r="A305" s="30">
        <v>281</v>
      </c>
      <c r="B305" s="131"/>
      <c r="C305" s="144" t="s">
        <v>1477</v>
      </c>
      <c r="D305" s="27"/>
      <c r="E305" s="27"/>
      <c r="F305" s="27"/>
      <c r="G305" s="27"/>
      <c r="H305" s="70" t="s">
        <v>1327</v>
      </c>
      <c r="I305" s="177" t="s">
        <v>855</v>
      </c>
      <c r="J305" s="138" t="s">
        <v>854</v>
      </c>
      <c r="K305" s="117"/>
      <c r="L305" s="6"/>
      <c r="M305" s="6"/>
      <c r="N305" s="6"/>
      <c r="O305" s="44"/>
      <c r="P305" s="44"/>
      <c r="Q305" s="44"/>
      <c r="R305" s="53"/>
      <c r="S305" s="44"/>
      <c r="T305" s="44"/>
      <c r="U305" s="44"/>
      <c r="V305" s="53"/>
      <c r="W305" s="31"/>
      <c r="X305" s="9"/>
      <c r="Y305" s="11"/>
      <c r="Z305" s="11"/>
      <c r="AA305" s="63"/>
      <c r="AB305" s="63"/>
      <c r="AC305" s="63"/>
      <c r="AD305" s="36"/>
      <c r="AE305" s="31"/>
      <c r="AF305" s="9"/>
      <c r="AG305" s="6"/>
      <c r="AH305" s="6"/>
      <c r="AI305" s="6"/>
      <c r="AJ305" s="36"/>
      <c r="AK305" s="31"/>
      <c r="AL305" s="9"/>
      <c r="AM305" s="6"/>
      <c r="AN305" s="6"/>
      <c r="AO305" s="6"/>
      <c r="AP305" s="36"/>
    </row>
    <row r="306" spans="1:42">
      <c r="A306" s="30">
        <v>282</v>
      </c>
      <c r="B306" s="131"/>
      <c r="C306" s="144" t="s">
        <v>1530</v>
      </c>
      <c r="D306" s="27"/>
      <c r="E306" s="27"/>
      <c r="F306" s="27"/>
      <c r="G306" s="27"/>
      <c r="H306" s="70" t="s">
        <v>1316</v>
      </c>
      <c r="I306" s="177" t="s">
        <v>1317</v>
      </c>
      <c r="J306" s="138" t="s">
        <v>1315</v>
      </c>
      <c r="K306" s="117"/>
      <c r="L306" s="6"/>
      <c r="M306" s="6"/>
      <c r="N306" s="6"/>
      <c r="O306" s="44"/>
      <c r="P306" s="44"/>
      <c r="Q306" s="44"/>
      <c r="R306" s="53"/>
      <c r="S306" s="44"/>
      <c r="T306" s="44"/>
      <c r="U306" s="44"/>
      <c r="V306" s="53"/>
      <c r="W306" s="31"/>
      <c r="X306" s="9"/>
      <c r="Y306" s="11"/>
      <c r="Z306" s="11"/>
      <c r="AA306" s="63"/>
      <c r="AB306" s="63"/>
      <c r="AC306" s="63"/>
      <c r="AD306" s="36"/>
      <c r="AE306" s="31"/>
      <c r="AF306" s="9"/>
      <c r="AG306" s="6"/>
      <c r="AH306" s="6"/>
      <c r="AI306" s="6"/>
      <c r="AJ306" s="36"/>
      <c r="AK306" s="31"/>
      <c r="AL306" s="9"/>
      <c r="AM306" s="6"/>
      <c r="AN306" s="6"/>
      <c r="AO306" s="6"/>
      <c r="AP306" s="36"/>
    </row>
    <row r="307" spans="1:42">
      <c r="A307" s="30">
        <v>283</v>
      </c>
      <c r="B307" s="131"/>
      <c r="C307" s="144" t="s">
        <v>535</v>
      </c>
      <c r="D307" s="27"/>
      <c r="E307" s="27"/>
      <c r="F307" s="27"/>
      <c r="G307" s="27"/>
      <c r="H307" s="70" t="s">
        <v>2311</v>
      </c>
      <c r="I307" s="177" t="s">
        <v>846</v>
      </c>
      <c r="J307" s="138"/>
      <c r="K307" s="117"/>
      <c r="L307" s="6">
        <v>0</v>
      </c>
      <c r="M307" s="6">
        <v>0</v>
      </c>
      <c r="N307" s="6">
        <v>0</v>
      </c>
      <c r="O307" s="44"/>
      <c r="P307" s="44"/>
      <c r="Q307" s="44"/>
      <c r="R307" s="53"/>
      <c r="S307" s="45"/>
      <c r="T307" s="45"/>
      <c r="U307" s="45"/>
      <c r="V307" s="53"/>
      <c r="W307" s="31"/>
      <c r="X307" s="9"/>
      <c r="Y307" s="11"/>
      <c r="Z307" s="29"/>
      <c r="AA307" s="68"/>
      <c r="AB307" s="68"/>
      <c r="AC307" s="68"/>
      <c r="AD307" s="36"/>
      <c r="AE307" s="31"/>
      <c r="AF307" s="9"/>
      <c r="AG307" s="6"/>
      <c r="AH307" s="6"/>
      <c r="AI307" s="6"/>
      <c r="AJ307" s="36"/>
      <c r="AK307" s="31"/>
      <c r="AL307" s="9"/>
      <c r="AM307" s="6"/>
      <c r="AN307" s="6"/>
      <c r="AO307" s="6"/>
      <c r="AP307" s="36"/>
    </row>
    <row r="308" spans="1:42">
      <c r="A308" s="30">
        <v>284</v>
      </c>
      <c r="B308" s="131"/>
      <c r="C308" s="144" t="s">
        <v>923</v>
      </c>
      <c r="D308" s="27"/>
      <c r="E308" s="27"/>
      <c r="F308" s="27"/>
      <c r="G308" s="27"/>
      <c r="H308" s="70" t="s">
        <v>2034</v>
      </c>
      <c r="I308" s="177" t="s">
        <v>924</v>
      </c>
      <c r="J308" s="138"/>
      <c r="K308" s="117"/>
      <c r="L308" s="6"/>
      <c r="M308" s="6"/>
      <c r="N308" s="6"/>
      <c r="O308" s="44"/>
      <c r="P308" s="44"/>
      <c r="Q308" s="44"/>
      <c r="R308" s="53"/>
      <c r="S308" s="45"/>
      <c r="T308" s="45"/>
      <c r="U308" s="45"/>
      <c r="V308" s="53"/>
      <c r="W308" s="31"/>
      <c r="X308" s="9"/>
      <c r="Y308" s="11"/>
      <c r="Z308" s="29"/>
      <c r="AA308" s="68"/>
      <c r="AB308" s="68"/>
      <c r="AC308" s="68"/>
      <c r="AD308" s="36"/>
      <c r="AE308" s="31"/>
      <c r="AF308" s="9"/>
      <c r="AG308" s="6"/>
      <c r="AH308" s="6"/>
      <c r="AI308" s="6"/>
      <c r="AJ308" s="36"/>
      <c r="AK308" s="31"/>
      <c r="AL308" s="9"/>
      <c r="AM308" s="6"/>
      <c r="AN308" s="6"/>
      <c r="AO308" s="6"/>
      <c r="AP308" s="36"/>
    </row>
    <row r="309" spans="1:42" ht="27">
      <c r="A309" s="30">
        <v>286</v>
      </c>
      <c r="B309" s="131"/>
      <c r="C309" s="144" t="s">
        <v>372</v>
      </c>
      <c r="D309" s="27"/>
      <c r="E309" s="27"/>
      <c r="F309" s="27"/>
      <c r="G309" s="27"/>
      <c r="H309" s="70" t="s">
        <v>636</v>
      </c>
      <c r="I309" s="177" t="s">
        <v>927</v>
      </c>
      <c r="J309" s="137" t="s">
        <v>614</v>
      </c>
      <c r="K309" s="117"/>
      <c r="L309" s="6">
        <v>25000</v>
      </c>
      <c r="M309" s="6">
        <v>1250</v>
      </c>
      <c r="N309" s="6">
        <v>26250</v>
      </c>
      <c r="O309" s="44"/>
      <c r="P309" s="44"/>
      <c r="Q309" s="44"/>
      <c r="R309" s="53"/>
      <c r="S309" s="45"/>
      <c r="T309" s="45"/>
      <c r="U309" s="45"/>
      <c r="V309" s="53"/>
      <c r="W309" s="31"/>
      <c r="X309" s="9"/>
      <c r="Y309" s="11"/>
      <c r="Z309" s="11"/>
      <c r="AA309" s="64"/>
      <c r="AB309" s="64"/>
      <c r="AC309" s="64"/>
      <c r="AD309" s="36"/>
      <c r="AE309" s="31"/>
      <c r="AF309" s="9"/>
      <c r="AG309" s="6"/>
      <c r="AH309" s="6"/>
      <c r="AI309" s="6"/>
      <c r="AJ309" s="36"/>
      <c r="AK309" s="31"/>
      <c r="AL309" s="9"/>
      <c r="AM309" s="6"/>
      <c r="AN309" s="6"/>
      <c r="AO309" s="6"/>
      <c r="AP309" s="36"/>
    </row>
    <row r="310" spans="1:42">
      <c r="A310" s="30">
        <v>287</v>
      </c>
      <c r="B310" s="131"/>
      <c r="C310" s="144" t="s">
        <v>1385</v>
      </c>
      <c r="D310" s="27"/>
      <c r="E310" s="27"/>
      <c r="F310" s="27"/>
      <c r="G310" s="27"/>
      <c r="H310" s="133" t="s">
        <v>1203</v>
      </c>
      <c r="I310" s="181" t="s">
        <v>943</v>
      </c>
      <c r="J310" s="137" t="s">
        <v>1202</v>
      </c>
      <c r="K310" s="117"/>
      <c r="L310" s="6"/>
      <c r="M310" s="6"/>
      <c r="N310" s="6"/>
      <c r="O310" s="44"/>
      <c r="P310" s="44"/>
      <c r="Q310" s="44"/>
      <c r="R310" s="53"/>
      <c r="S310" s="48"/>
      <c r="T310" s="48"/>
      <c r="U310" s="48"/>
      <c r="V310" s="53"/>
      <c r="W310" s="31"/>
      <c r="X310" s="9"/>
      <c r="Y310" s="11"/>
      <c r="Z310" s="11"/>
      <c r="AA310" s="66"/>
      <c r="AB310" s="66"/>
      <c r="AC310" s="66"/>
      <c r="AD310" s="36"/>
      <c r="AE310" s="31"/>
      <c r="AF310" s="9"/>
      <c r="AG310" s="77"/>
      <c r="AH310" s="77"/>
      <c r="AI310" s="77"/>
      <c r="AJ310" s="36"/>
      <c r="AK310" s="31"/>
      <c r="AL310" s="9"/>
      <c r="AM310" s="6"/>
      <c r="AN310" s="6"/>
      <c r="AO310" s="6"/>
      <c r="AP310" s="36"/>
    </row>
    <row r="311" spans="1:42" ht="24">
      <c r="A311" s="30">
        <v>289</v>
      </c>
      <c r="B311" s="131"/>
      <c r="C311" s="144" t="s">
        <v>980</v>
      </c>
      <c r="D311" s="27"/>
      <c r="E311" s="27"/>
      <c r="F311" s="27"/>
      <c r="G311" s="27"/>
      <c r="H311" s="137" t="s">
        <v>981</v>
      </c>
      <c r="I311" s="182" t="s">
        <v>982</v>
      </c>
      <c r="J311" s="138"/>
      <c r="K311" s="117"/>
      <c r="L311" s="6"/>
      <c r="M311" s="6"/>
      <c r="N311" s="6"/>
      <c r="O311" s="44"/>
      <c r="P311" s="44"/>
      <c r="Q311" s="44"/>
      <c r="R311" s="53"/>
      <c r="S311" s="48"/>
      <c r="T311" s="48"/>
      <c r="U311" s="48"/>
      <c r="V311" s="53"/>
      <c r="W311" s="31"/>
      <c r="X311" s="9"/>
      <c r="Y311" s="11"/>
      <c r="Z311" s="11"/>
      <c r="AA311" s="66"/>
      <c r="AB311" s="66"/>
      <c r="AC311" s="66"/>
      <c r="AD311" s="36"/>
      <c r="AE311" s="31"/>
      <c r="AF311" s="9"/>
      <c r="AG311" s="77"/>
      <c r="AH311" s="77"/>
      <c r="AI311" s="77"/>
      <c r="AJ311" s="36"/>
      <c r="AK311" s="31"/>
      <c r="AL311" s="9"/>
      <c r="AM311" s="6"/>
      <c r="AN311" s="6"/>
      <c r="AO311" s="6"/>
      <c r="AP311" s="36"/>
    </row>
    <row r="312" spans="1:42">
      <c r="A312" s="30">
        <v>290</v>
      </c>
      <c r="B312" s="131"/>
      <c r="C312" s="144" t="s">
        <v>1246</v>
      </c>
      <c r="D312" s="27"/>
      <c r="E312" s="27"/>
      <c r="F312" s="27"/>
      <c r="G312" s="27"/>
      <c r="H312" s="70" t="s">
        <v>1247</v>
      </c>
      <c r="I312" s="177"/>
      <c r="J312" s="138"/>
      <c r="K312" s="117"/>
      <c r="L312" s="6">
        <v>22860</v>
      </c>
      <c r="M312" s="6">
        <v>1143</v>
      </c>
      <c r="N312" s="6">
        <v>24003</v>
      </c>
      <c r="O312" s="44"/>
      <c r="P312" s="44"/>
      <c r="Q312" s="44"/>
      <c r="R312" s="53"/>
      <c r="S312" s="45"/>
      <c r="T312" s="45"/>
      <c r="U312" s="45"/>
      <c r="V312" s="53"/>
      <c r="W312" s="31"/>
      <c r="X312" s="9"/>
      <c r="Y312" s="11"/>
      <c r="Z312" s="11"/>
      <c r="AA312" s="68"/>
      <c r="AB312" s="68"/>
      <c r="AC312" s="68"/>
      <c r="AD312" s="36"/>
      <c r="AE312" s="31"/>
      <c r="AF312" s="9"/>
      <c r="AG312" s="6"/>
      <c r="AH312" s="6"/>
      <c r="AI312" s="6"/>
      <c r="AJ312" s="36"/>
      <c r="AK312" s="31"/>
      <c r="AL312" s="9"/>
      <c r="AM312" s="6"/>
      <c r="AN312" s="6"/>
      <c r="AO312" s="6"/>
      <c r="AP312" s="36"/>
    </row>
    <row r="313" spans="1:42" s="101" customFormat="1">
      <c r="A313" s="30">
        <v>291</v>
      </c>
      <c r="B313" s="131"/>
      <c r="C313" s="144" t="s">
        <v>1065</v>
      </c>
      <c r="D313" s="27"/>
      <c r="E313" s="27"/>
      <c r="F313" s="27"/>
      <c r="G313" s="27"/>
      <c r="H313" s="70" t="s">
        <v>1066</v>
      </c>
      <c r="I313" s="177" t="s">
        <v>922</v>
      </c>
      <c r="J313" s="140" t="s">
        <v>1841</v>
      </c>
      <c r="K313" s="117"/>
      <c r="L313" s="6"/>
      <c r="M313" s="6"/>
      <c r="N313" s="6"/>
      <c r="O313" s="98"/>
      <c r="P313" s="98"/>
      <c r="Q313" s="98"/>
      <c r="R313" s="99"/>
      <c r="S313" s="98"/>
      <c r="T313" s="98"/>
      <c r="U313" s="98"/>
      <c r="V313" s="99"/>
      <c r="W313" s="74"/>
      <c r="X313" s="75"/>
      <c r="Y313" s="97"/>
      <c r="Z313" s="97"/>
      <c r="AA313" s="98"/>
      <c r="AB313" s="98"/>
      <c r="AC313" s="98"/>
      <c r="AD313" s="100"/>
      <c r="AE313" s="74"/>
      <c r="AF313" s="75"/>
      <c r="AG313" s="98"/>
      <c r="AH313" s="98"/>
      <c r="AI313" s="98"/>
      <c r="AJ313" s="100"/>
      <c r="AK313" s="74"/>
      <c r="AL313" s="75"/>
      <c r="AM313" s="98"/>
      <c r="AN313" s="98"/>
      <c r="AO313" s="98"/>
      <c r="AP313" s="100"/>
    </row>
    <row r="314" spans="1:42">
      <c r="A314" s="30">
        <v>292</v>
      </c>
      <c r="B314" s="131"/>
      <c r="C314" s="144" t="s">
        <v>723</v>
      </c>
      <c r="D314" s="27"/>
      <c r="E314" s="27"/>
      <c r="F314" s="27"/>
      <c r="G314" s="27"/>
      <c r="H314" s="70" t="s">
        <v>1278</v>
      </c>
      <c r="I314" s="177" t="s">
        <v>965</v>
      </c>
      <c r="J314" s="137" t="s">
        <v>1724</v>
      </c>
      <c r="K314" s="117"/>
      <c r="L314" s="6">
        <v>33085</v>
      </c>
      <c r="M314" s="6">
        <v>1654.25</v>
      </c>
      <c r="N314" s="5"/>
      <c r="O314" s="44"/>
      <c r="P314" s="44"/>
      <c r="Q314" s="44"/>
      <c r="R314" s="53"/>
      <c r="S314" s="44"/>
      <c r="T314" s="44"/>
      <c r="U314" s="44"/>
      <c r="V314" s="53"/>
      <c r="W314" s="31"/>
      <c r="X314" s="9"/>
      <c r="Y314" s="11"/>
      <c r="Z314" s="11"/>
      <c r="AA314" s="63"/>
      <c r="AB314" s="63"/>
      <c r="AC314" s="63"/>
      <c r="AD314" s="36"/>
      <c r="AE314" s="31"/>
      <c r="AF314" s="9"/>
      <c r="AG314" s="6"/>
      <c r="AH314" s="6"/>
      <c r="AI314" s="6"/>
      <c r="AJ314" s="36"/>
      <c r="AK314" s="31"/>
      <c r="AL314" s="9"/>
      <c r="AM314" s="6"/>
      <c r="AN314" s="6"/>
      <c r="AO314" s="6"/>
      <c r="AP314" s="36"/>
    </row>
    <row r="315" spans="1:42">
      <c r="A315" s="30">
        <v>293</v>
      </c>
      <c r="B315" s="131"/>
      <c r="C315" s="144" t="s">
        <v>1858</v>
      </c>
      <c r="D315" s="27"/>
      <c r="E315" s="27"/>
      <c r="F315" s="27"/>
      <c r="G315" s="27"/>
      <c r="H315" s="70" t="s">
        <v>2273</v>
      </c>
      <c r="I315" s="177" t="s">
        <v>847</v>
      </c>
      <c r="J315" s="138" t="s">
        <v>2274</v>
      </c>
      <c r="K315" s="117"/>
      <c r="L315" s="6">
        <v>240</v>
      </c>
      <c r="M315" s="6">
        <v>12</v>
      </c>
      <c r="N315" s="6">
        <v>252</v>
      </c>
      <c r="O315" s="44"/>
      <c r="P315" s="44"/>
      <c r="Q315" s="44"/>
      <c r="R315" s="53"/>
      <c r="S315" s="44"/>
      <c r="T315" s="44"/>
      <c r="U315" s="44"/>
      <c r="V315" s="53"/>
      <c r="W315" s="31"/>
      <c r="X315" s="9"/>
      <c r="Y315" s="11"/>
      <c r="Z315" s="11"/>
      <c r="AA315" s="63"/>
      <c r="AB315" s="63"/>
      <c r="AC315" s="63"/>
      <c r="AD315" s="36"/>
      <c r="AE315" s="31"/>
      <c r="AF315" s="9"/>
      <c r="AG315" s="6"/>
      <c r="AH315" s="6"/>
      <c r="AI315" s="6"/>
      <c r="AJ315" s="36"/>
      <c r="AK315" s="31"/>
      <c r="AL315" s="9"/>
      <c r="AM315" s="6"/>
      <c r="AN315" s="6"/>
      <c r="AO315" s="6"/>
      <c r="AP315" s="36"/>
    </row>
    <row r="316" spans="1:42">
      <c r="A316" s="30">
        <v>294</v>
      </c>
      <c r="B316" s="131"/>
      <c r="C316" s="144" t="s">
        <v>789</v>
      </c>
      <c r="D316" s="27"/>
      <c r="E316" s="27"/>
      <c r="F316" s="27"/>
      <c r="G316" s="27"/>
      <c r="H316" s="70" t="s">
        <v>790</v>
      </c>
      <c r="I316" s="177" t="s">
        <v>847</v>
      </c>
      <c r="J316" s="138"/>
      <c r="K316" s="117"/>
      <c r="L316" s="6"/>
      <c r="M316" s="6"/>
      <c r="N316" s="6"/>
      <c r="O316" s="44"/>
      <c r="P316" s="44"/>
      <c r="Q316" s="44"/>
      <c r="R316" s="53"/>
      <c r="S316" s="44"/>
      <c r="T316" s="44"/>
      <c r="U316" s="44"/>
      <c r="V316" s="53"/>
      <c r="W316" s="31"/>
      <c r="X316" s="9"/>
      <c r="Y316" s="11"/>
      <c r="Z316" s="11"/>
      <c r="AA316" s="63"/>
      <c r="AB316" s="63"/>
      <c r="AC316" s="63"/>
      <c r="AD316" s="36"/>
      <c r="AE316" s="31"/>
      <c r="AF316" s="9"/>
      <c r="AG316" s="6"/>
      <c r="AH316" s="6"/>
      <c r="AI316" s="6"/>
      <c r="AJ316" s="36"/>
      <c r="AK316" s="31"/>
      <c r="AL316" s="9"/>
      <c r="AM316" s="6"/>
      <c r="AN316" s="6"/>
      <c r="AO316" s="6"/>
      <c r="AP316" s="36"/>
    </row>
    <row r="317" spans="1:42">
      <c r="A317" s="30">
        <v>295</v>
      </c>
      <c r="B317" s="131"/>
      <c r="C317" s="144" t="s">
        <v>707</v>
      </c>
      <c r="D317" s="27"/>
      <c r="E317" s="27"/>
      <c r="F317" s="27"/>
      <c r="G317" s="27"/>
      <c r="H317" s="70" t="s">
        <v>1694</v>
      </c>
      <c r="I317" s="177" t="s">
        <v>847</v>
      </c>
      <c r="J317" s="138"/>
      <c r="K317" s="117"/>
      <c r="L317" s="6"/>
      <c r="M317" s="6"/>
      <c r="N317" s="6"/>
      <c r="O317" s="44"/>
      <c r="P317" s="44"/>
      <c r="Q317" s="44"/>
      <c r="R317" s="53"/>
      <c r="S317" s="44"/>
      <c r="T317" s="44"/>
      <c r="U317" s="44"/>
      <c r="V317" s="53"/>
      <c r="W317" s="31"/>
      <c r="X317" s="9"/>
      <c r="Y317" s="11"/>
      <c r="Z317" s="11"/>
      <c r="AA317" s="63"/>
      <c r="AB317" s="63"/>
      <c r="AC317" s="63"/>
      <c r="AD317" s="36"/>
      <c r="AE317" s="31"/>
      <c r="AF317" s="9"/>
      <c r="AG317" s="6"/>
      <c r="AH317" s="6"/>
      <c r="AI317" s="6"/>
      <c r="AJ317" s="36"/>
      <c r="AK317" s="31"/>
      <c r="AL317" s="9"/>
      <c r="AM317" s="6"/>
      <c r="AN317" s="6"/>
      <c r="AO317" s="6"/>
      <c r="AP317" s="36"/>
    </row>
    <row r="318" spans="1:42">
      <c r="A318" s="30">
        <v>296</v>
      </c>
      <c r="B318" s="131"/>
      <c r="C318" s="144" t="s">
        <v>1693</v>
      </c>
      <c r="D318" s="27"/>
      <c r="E318" s="27"/>
      <c r="F318" s="27"/>
      <c r="G318" s="27"/>
      <c r="H318" s="70" t="s">
        <v>1695</v>
      </c>
      <c r="I318" s="177" t="s">
        <v>847</v>
      </c>
      <c r="J318" s="138"/>
      <c r="K318" s="117"/>
      <c r="L318" s="6">
        <v>20360</v>
      </c>
      <c r="M318" s="6">
        <v>1018</v>
      </c>
      <c r="N318" s="5"/>
      <c r="O318" s="78"/>
      <c r="P318" s="78"/>
      <c r="Q318" s="78"/>
      <c r="R318" s="53"/>
      <c r="S318" s="57"/>
      <c r="T318" s="73"/>
      <c r="U318" s="73"/>
      <c r="V318" s="53"/>
      <c r="W318" s="31"/>
      <c r="X318" s="9"/>
      <c r="Y318" s="11"/>
      <c r="Z318" s="11"/>
      <c r="AA318" s="72"/>
      <c r="AB318" s="71"/>
      <c r="AC318" s="71"/>
      <c r="AD318" s="36"/>
      <c r="AE318" s="32"/>
      <c r="AF318" s="9"/>
      <c r="AG318" s="6"/>
      <c r="AH318" s="6"/>
      <c r="AI318" s="6"/>
      <c r="AJ318" s="36"/>
      <c r="AK318" s="32"/>
      <c r="AL318" s="9"/>
      <c r="AM318" s="6"/>
      <c r="AN318" s="6"/>
      <c r="AO318" s="6"/>
      <c r="AP318" s="36"/>
    </row>
    <row r="319" spans="1:42">
      <c r="A319" s="30">
        <v>297</v>
      </c>
      <c r="B319" s="131"/>
      <c r="C319" s="144" t="s">
        <v>1741</v>
      </c>
      <c r="D319" s="27"/>
      <c r="E319" s="27"/>
      <c r="F319" s="27"/>
      <c r="G319" s="27"/>
      <c r="H319" s="70" t="s">
        <v>898</v>
      </c>
      <c r="I319" s="177" t="s">
        <v>896</v>
      </c>
      <c r="J319" s="138" t="s">
        <v>781</v>
      </c>
      <c r="K319" s="117"/>
      <c r="L319" s="6"/>
      <c r="M319" s="6"/>
      <c r="N319" s="5"/>
      <c r="O319" s="78"/>
      <c r="P319" s="78"/>
      <c r="Q319" s="78"/>
      <c r="R319" s="53"/>
      <c r="S319" s="57"/>
      <c r="T319" s="73"/>
      <c r="U319" s="73"/>
      <c r="V319" s="53"/>
      <c r="W319" s="31"/>
      <c r="X319" s="9"/>
      <c r="Y319" s="11"/>
      <c r="Z319" s="11"/>
      <c r="AA319" s="72"/>
      <c r="AB319" s="71"/>
      <c r="AC319" s="71"/>
      <c r="AD319" s="36"/>
      <c r="AE319" s="32"/>
      <c r="AF319" s="9"/>
      <c r="AG319" s="6"/>
      <c r="AH319" s="6"/>
      <c r="AI319" s="6"/>
      <c r="AJ319" s="36"/>
      <c r="AK319" s="32"/>
      <c r="AL319" s="9"/>
      <c r="AM319" s="6"/>
      <c r="AN319" s="6"/>
      <c r="AO319" s="6"/>
      <c r="AP319" s="36"/>
    </row>
    <row r="320" spans="1:42" ht="27">
      <c r="A320" s="30">
        <v>298</v>
      </c>
      <c r="B320" s="131"/>
      <c r="C320" s="144" t="s">
        <v>2289</v>
      </c>
      <c r="D320" s="27"/>
      <c r="E320" s="27"/>
      <c r="F320" s="27"/>
      <c r="G320" s="27"/>
      <c r="H320" s="70" t="s">
        <v>2291</v>
      </c>
      <c r="I320" s="177" t="s">
        <v>2290</v>
      </c>
      <c r="J320" s="138"/>
      <c r="K320" s="117"/>
      <c r="L320" s="6"/>
      <c r="M320" s="6"/>
      <c r="N320" s="5"/>
      <c r="O320" s="78"/>
      <c r="P320" s="78"/>
      <c r="Q320" s="78"/>
      <c r="R320" s="53"/>
      <c r="S320" s="57"/>
      <c r="T320" s="73"/>
      <c r="U320" s="73"/>
      <c r="V320" s="53"/>
      <c r="W320" s="31"/>
      <c r="X320" s="9"/>
      <c r="Y320" s="11"/>
      <c r="Z320" s="11"/>
      <c r="AA320" s="72"/>
      <c r="AB320" s="71"/>
      <c r="AC320" s="71"/>
      <c r="AD320" s="36"/>
      <c r="AE320" s="32"/>
      <c r="AF320" s="9"/>
      <c r="AG320" s="6"/>
      <c r="AH320" s="6"/>
      <c r="AI320" s="6"/>
      <c r="AJ320" s="36"/>
      <c r="AK320" s="32"/>
      <c r="AL320" s="9"/>
      <c r="AM320" s="6"/>
      <c r="AN320" s="6"/>
      <c r="AO320" s="6"/>
      <c r="AP320" s="36"/>
    </row>
    <row r="321" spans="1:42">
      <c r="A321" s="30">
        <v>299</v>
      </c>
      <c r="B321" s="131"/>
      <c r="C321" s="144" t="s">
        <v>994</v>
      </c>
      <c r="D321" s="27"/>
      <c r="E321" s="27"/>
      <c r="F321" s="27"/>
      <c r="G321" s="27"/>
      <c r="H321" s="70" t="s">
        <v>810</v>
      </c>
      <c r="I321" s="177" t="s">
        <v>935</v>
      </c>
      <c r="J321" s="138" t="s">
        <v>62</v>
      </c>
      <c r="K321" s="117"/>
      <c r="L321" s="6"/>
      <c r="M321" s="6"/>
      <c r="N321" s="5"/>
      <c r="O321" s="78"/>
      <c r="P321" s="78"/>
      <c r="Q321" s="78"/>
      <c r="R321" s="53"/>
      <c r="S321" s="57"/>
      <c r="T321" s="73"/>
      <c r="U321" s="73"/>
      <c r="V321" s="53"/>
      <c r="W321" s="31"/>
      <c r="X321" s="9"/>
      <c r="Y321" s="11"/>
      <c r="Z321" s="11"/>
      <c r="AA321" s="72"/>
      <c r="AB321" s="71"/>
      <c r="AC321" s="71"/>
      <c r="AD321" s="36"/>
      <c r="AE321" s="32"/>
      <c r="AF321" s="9"/>
      <c r="AG321" s="6"/>
      <c r="AH321" s="6"/>
      <c r="AI321" s="6"/>
      <c r="AJ321" s="36"/>
      <c r="AK321" s="32"/>
      <c r="AL321" s="9"/>
      <c r="AM321" s="6"/>
      <c r="AN321" s="6"/>
      <c r="AO321" s="6"/>
      <c r="AP321" s="36"/>
    </row>
    <row r="322" spans="1:42">
      <c r="A322" s="30">
        <v>300</v>
      </c>
      <c r="B322" s="131"/>
      <c r="C322" s="144" t="s">
        <v>1762</v>
      </c>
      <c r="D322" s="27"/>
      <c r="E322" s="27"/>
      <c r="F322" s="27"/>
      <c r="G322" s="27"/>
      <c r="H322" s="70" t="s">
        <v>1763</v>
      </c>
      <c r="I322" s="177" t="s">
        <v>935</v>
      </c>
      <c r="J322" s="138"/>
      <c r="K322" s="117"/>
      <c r="L322" s="6">
        <v>540</v>
      </c>
      <c r="M322" s="6">
        <v>27</v>
      </c>
      <c r="N322" s="6">
        <v>567</v>
      </c>
      <c r="O322" s="44"/>
      <c r="P322" s="44"/>
      <c r="Q322" s="44"/>
      <c r="R322" s="53"/>
      <c r="S322" s="45"/>
      <c r="T322" s="49"/>
      <c r="U322" s="49"/>
      <c r="V322" s="53"/>
      <c r="W322" s="31"/>
      <c r="X322" s="9"/>
      <c r="Y322" s="11"/>
      <c r="Z322" s="11"/>
      <c r="AA322" s="69"/>
      <c r="AB322" s="69"/>
      <c r="AC322" s="69"/>
      <c r="AD322" s="36"/>
      <c r="AE322" s="31"/>
      <c r="AF322" s="9"/>
      <c r="AG322" s="6"/>
      <c r="AH322" s="6"/>
      <c r="AI322" s="6"/>
      <c r="AJ322" s="36"/>
      <c r="AK322" s="31"/>
      <c r="AL322" s="9"/>
      <c r="AM322" s="6"/>
      <c r="AN322" s="6"/>
      <c r="AO322" s="6"/>
      <c r="AP322" s="36"/>
    </row>
    <row r="323" spans="1:42">
      <c r="A323" s="30">
        <v>301</v>
      </c>
      <c r="B323" s="131"/>
      <c r="C323" s="144" t="s">
        <v>1250</v>
      </c>
      <c r="D323" s="27"/>
      <c r="E323" s="27"/>
      <c r="F323" s="27"/>
      <c r="G323" s="27"/>
      <c r="H323" s="70" t="s">
        <v>1251</v>
      </c>
      <c r="I323" s="177" t="s">
        <v>935</v>
      </c>
      <c r="J323" s="138" t="s">
        <v>585</v>
      </c>
      <c r="K323" s="117"/>
      <c r="L323" s="6"/>
      <c r="M323" s="6"/>
      <c r="N323" s="6"/>
      <c r="O323" s="44"/>
      <c r="P323" s="44"/>
      <c r="Q323" s="44"/>
      <c r="R323" s="53"/>
      <c r="S323" s="45"/>
      <c r="T323" s="49"/>
      <c r="U323" s="49"/>
      <c r="V323" s="53"/>
      <c r="W323" s="31"/>
      <c r="X323" s="9"/>
      <c r="Y323" s="11"/>
      <c r="Z323" s="11"/>
      <c r="AA323" s="69"/>
      <c r="AB323" s="69"/>
      <c r="AC323" s="69"/>
      <c r="AD323" s="36"/>
      <c r="AE323" s="31"/>
      <c r="AF323" s="9"/>
      <c r="AG323" s="6"/>
      <c r="AH323" s="6"/>
      <c r="AI323" s="6"/>
      <c r="AJ323" s="36"/>
      <c r="AK323" s="31"/>
      <c r="AL323" s="9"/>
      <c r="AM323" s="6"/>
      <c r="AN323" s="6"/>
      <c r="AO323" s="6"/>
      <c r="AP323" s="36"/>
    </row>
    <row r="324" spans="1:42">
      <c r="A324" s="30">
        <v>302</v>
      </c>
      <c r="B324" s="131"/>
      <c r="C324" s="144" t="s">
        <v>2116</v>
      </c>
      <c r="D324" s="27"/>
      <c r="E324" s="27"/>
      <c r="F324" s="27"/>
      <c r="G324" s="27"/>
      <c r="H324" s="70" t="s">
        <v>2312</v>
      </c>
      <c r="I324" s="177" t="s">
        <v>935</v>
      </c>
      <c r="J324" s="138"/>
      <c r="K324" s="117"/>
      <c r="L324" s="6"/>
      <c r="M324" s="6"/>
      <c r="N324" s="6"/>
      <c r="O324" s="44"/>
      <c r="P324" s="44"/>
      <c r="Q324" s="44"/>
      <c r="R324" s="53"/>
      <c r="S324" s="45"/>
      <c r="T324" s="49"/>
      <c r="U324" s="49"/>
      <c r="V324" s="53"/>
      <c r="W324" s="31"/>
      <c r="X324" s="9"/>
      <c r="Y324" s="11"/>
      <c r="Z324" s="11"/>
      <c r="AA324" s="69"/>
      <c r="AB324" s="69"/>
      <c r="AC324" s="69"/>
      <c r="AD324" s="36"/>
      <c r="AE324" s="31"/>
      <c r="AF324" s="9"/>
      <c r="AG324" s="6"/>
      <c r="AH324" s="6"/>
      <c r="AI324" s="6"/>
      <c r="AJ324" s="36"/>
      <c r="AK324" s="31"/>
      <c r="AL324" s="9"/>
      <c r="AM324" s="6"/>
      <c r="AN324" s="6"/>
      <c r="AO324" s="6"/>
      <c r="AP324" s="36"/>
    </row>
    <row r="325" spans="1:42">
      <c r="A325" s="30">
        <v>303</v>
      </c>
      <c r="B325" s="131"/>
      <c r="C325" s="144" t="s">
        <v>364</v>
      </c>
      <c r="D325" s="27"/>
      <c r="E325" s="27"/>
      <c r="F325" s="27"/>
      <c r="G325" s="27"/>
      <c r="H325" s="70" t="s">
        <v>727</v>
      </c>
      <c r="I325" s="177" t="s">
        <v>846</v>
      </c>
      <c r="J325" s="138"/>
      <c r="K325" s="117"/>
      <c r="L325" s="6">
        <v>600</v>
      </c>
      <c r="M325" s="6">
        <v>30</v>
      </c>
      <c r="N325" s="6">
        <v>630</v>
      </c>
      <c r="O325" s="44"/>
      <c r="P325" s="44"/>
      <c r="Q325" s="44"/>
      <c r="R325" s="53"/>
      <c r="S325" s="45"/>
      <c r="T325" s="49"/>
      <c r="U325" s="49"/>
      <c r="V325" s="53"/>
      <c r="W325" s="31"/>
      <c r="X325" s="9"/>
      <c r="Y325" s="11"/>
      <c r="Z325" s="11"/>
      <c r="AA325" s="69"/>
      <c r="AB325" s="69"/>
      <c r="AC325" s="69"/>
      <c r="AD325" s="36"/>
      <c r="AE325" s="31"/>
      <c r="AF325" s="9"/>
      <c r="AG325" s="6"/>
      <c r="AH325" s="6"/>
      <c r="AI325" s="6"/>
      <c r="AJ325" s="36"/>
      <c r="AK325" s="31"/>
      <c r="AL325" s="9"/>
      <c r="AM325" s="6"/>
      <c r="AN325" s="6"/>
      <c r="AO325" s="6"/>
      <c r="AP325" s="36"/>
    </row>
    <row r="326" spans="1:42">
      <c r="A326" s="30">
        <v>304</v>
      </c>
      <c r="B326" s="131"/>
      <c r="C326" s="144" t="s">
        <v>692</v>
      </c>
      <c r="D326" s="27"/>
      <c r="E326" s="27"/>
      <c r="F326" s="27"/>
      <c r="G326" s="27"/>
      <c r="H326" s="70" t="s">
        <v>728</v>
      </c>
      <c r="I326" s="177"/>
      <c r="J326" s="138"/>
      <c r="K326" s="117"/>
      <c r="L326" s="6"/>
      <c r="M326" s="6"/>
      <c r="N326" s="6"/>
      <c r="O326" s="44"/>
      <c r="P326" s="44"/>
      <c r="Q326" s="44"/>
      <c r="R326" s="53"/>
      <c r="S326" s="45"/>
      <c r="T326" s="49"/>
      <c r="U326" s="49"/>
      <c r="V326" s="53"/>
      <c r="W326" s="31"/>
      <c r="X326" s="9"/>
      <c r="Y326" s="11"/>
      <c r="Z326" s="11"/>
      <c r="AA326" s="69"/>
      <c r="AB326" s="69"/>
      <c r="AC326" s="69"/>
      <c r="AD326" s="36"/>
      <c r="AE326" s="31"/>
      <c r="AF326" s="9"/>
      <c r="AG326" s="6"/>
      <c r="AH326" s="6"/>
      <c r="AI326" s="6"/>
      <c r="AJ326" s="36"/>
      <c r="AK326" s="31"/>
      <c r="AL326" s="9"/>
      <c r="AM326" s="6"/>
      <c r="AN326" s="6"/>
      <c r="AO326" s="6"/>
      <c r="AP326" s="36"/>
    </row>
    <row r="327" spans="1:42" ht="24">
      <c r="A327" s="30">
        <v>305</v>
      </c>
      <c r="B327" s="131"/>
      <c r="C327" s="144" t="s">
        <v>2123</v>
      </c>
      <c r="D327" s="27"/>
      <c r="E327" s="27"/>
      <c r="F327" s="27"/>
      <c r="G327" s="27"/>
      <c r="H327" s="137" t="s">
        <v>2323</v>
      </c>
      <c r="I327" s="177" t="s">
        <v>969</v>
      </c>
      <c r="J327" s="138" t="s">
        <v>638</v>
      </c>
      <c r="K327" s="117"/>
      <c r="L327" s="6"/>
      <c r="M327" s="6"/>
      <c r="N327" s="6"/>
      <c r="O327" s="44"/>
      <c r="P327" s="44"/>
      <c r="Q327" s="44"/>
      <c r="R327" s="53"/>
      <c r="S327" s="44"/>
      <c r="T327" s="44"/>
      <c r="U327" s="44"/>
      <c r="V327" s="53"/>
      <c r="W327" s="74"/>
      <c r="X327" s="9"/>
      <c r="Y327" s="11"/>
      <c r="Z327" s="11"/>
      <c r="AA327" s="63"/>
      <c r="AB327" s="63"/>
      <c r="AC327" s="63"/>
      <c r="AD327" s="36"/>
      <c r="AE327" s="31"/>
      <c r="AF327" s="9"/>
      <c r="AG327" s="6"/>
      <c r="AH327" s="6"/>
      <c r="AI327" s="6"/>
      <c r="AJ327" s="36"/>
      <c r="AK327" s="31"/>
      <c r="AL327" s="9"/>
      <c r="AM327" s="6"/>
      <c r="AN327" s="6"/>
      <c r="AO327" s="6"/>
      <c r="AP327" s="36"/>
    </row>
    <row r="328" spans="1:42" ht="27">
      <c r="A328" s="30">
        <v>306</v>
      </c>
      <c r="B328" s="131"/>
      <c r="C328" s="144" t="s">
        <v>1604</v>
      </c>
      <c r="D328" s="27"/>
      <c r="E328" s="27"/>
      <c r="F328" s="27"/>
      <c r="G328" s="27"/>
      <c r="H328" s="70" t="s">
        <v>1636</v>
      </c>
      <c r="I328" s="177" t="s">
        <v>969</v>
      </c>
      <c r="J328" s="138" t="s">
        <v>1210</v>
      </c>
      <c r="K328" s="117"/>
      <c r="L328" s="6"/>
      <c r="M328" s="6"/>
      <c r="N328" s="6"/>
      <c r="O328" s="44"/>
      <c r="P328" s="44"/>
      <c r="Q328" s="44"/>
      <c r="R328" s="53"/>
      <c r="S328" s="44"/>
      <c r="T328" s="44"/>
      <c r="U328" s="44"/>
      <c r="V328" s="53"/>
      <c r="W328" s="74"/>
      <c r="X328" s="9"/>
      <c r="Y328" s="11"/>
      <c r="Z328" s="11"/>
      <c r="AA328" s="63"/>
      <c r="AB328" s="63"/>
      <c r="AC328" s="63"/>
      <c r="AD328" s="36"/>
      <c r="AE328" s="31"/>
      <c r="AF328" s="9"/>
      <c r="AG328" s="6"/>
      <c r="AH328" s="6"/>
      <c r="AI328" s="6"/>
      <c r="AJ328" s="36"/>
      <c r="AK328" s="31"/>
      <c r="AL328" s="9"/>
      <c r="AM328" s="6"/>
      <c r="AN328" s="6"/>
      <c r="AO328" s="6"/>
      <c r="AP328" s="36"/>
    </row>
    <row r="329" spans="1:42">
      <c r="A329" s="30">
        <v>307</v>
      </c>
      <c r="B329" s="131"/>
      <c r="C329" s="144" t="s">
        <v>1182</v>
      </c>
      <c r="D329" s="27"/>
      <c r="E329" s="27"/>
      <c r="F329" s="27"/>
      <c r="G329" s="27"/>
      <c r="H329" s="70" t="s">
        <v>1348</v>
      </c>
      <c r="I329" s="177" t="s">
        <v>1194</v>
      </c>
      <c r="J329" s="138" t="s">
        <v>1193</v>
      </c>
      <c r="K329" s="117"/>
      <c r="L329" s="6"/>
      <c r="M329" s="6"/>
      <c r="N329" s="6"/>
      <c r="O329" s="44"/>
      <c r="P329" s="44"/>
      <c r="Q329" s="44"/>
      <c r="R329" s="53"/>
      <c r="S329" s="44"/>
      <c r="T329" s="44"/>
      <c r="U329" s="44"/>
      <c r="V329" s="53"/>
      <c r="W329" s="74"/>
      <c r="X329" s="9"/>
      <c r="Y329" s="11"/>
      <c r="Z329" s="11"/>
      <c r="AA329" s="63"/>
      <c r="AB329" s="63"/>
      <c r="AC329" s="63"/>
      <c r="AD329" s="36"/>
      <c r="AE329" s="31"/>
      <c r="AF329" s="9"/>
      <c r="AG329" s="6"/>
      <c r="AH329" s="6"/>
      <c r="AI329" s="6"/>
      <c r="AJ329" s="36"/>
      <c r="AK329" s="31"/>
      <c r="AL329" s="9"/>
      <c r="AM329" s="6"/>
      <c r="AN329" s="6"/>
      <c r="AO329" s="6"/>
      <c r="AP329" s="36"/>
    </row>
    <row r="330" spans="1:42">
      <c r="A330" s="30">
        <v>308</v>
      </c>
      <c r="B330" s="131"/>
      <c r="C330" s="144" t="s">
        <v>1948</v>
      </c>
      <c r="D330" s="27"/>
      <c r="E330" s="27"/>
      <c r="F330" s="27"/>
      <c r="G330" s="27"/>
      <c r="H330" s="137" t="s">
        <v>1946</v>
      </c>
      <c r="I330" s="177" t="s">
        <v>1947</v>
      </c>
      <c r="J330" s="138" t="s">
        <v>638</v>
      </c>
      <c r="K330" s="117"/>
      <c r="L330" s="6">
        <v>22905</v>
      </c>
      <c r="M330" s="6">
        <v>1145.25</v>
      </c>
      <c r="N330" s="6">
        <v>24050.25</v>
      </c>
      <c r="O330" s="44"/>
      <c r="P330" s="44"/>
      <c r="Q330" s="44"/>
      <c r="R330" s="53"/>
      <c r="S330" s="45"/>
      <c r="T330" s="45"/>
      <c r="U330" s="45"/>
      <c r="V330" s="53"/>
      <c r="W330" s="31"/>
      <c r="X330" s="9"/>
      <c r="Y330" s="11"/>
      <c r="Z330" s="11"/>
      <c r="AA330" s="64"/>
      <c r="AB330" s="64"/>
      <c r="AC330" s="64"/>
      <c r="AD330" s="36"/>
      <c r="AE330" s="31"/>
      <c r="AF330" s="9"/>
      <c r="AG330" s="6"/>
      <c r="AH330" s="6"/>
      <c r="AI330" s="6"/>
      <c r="AJ330" s="36"/>
      <c r="AK330" s="31"/>
      <c r="AL330" s="9"/>
      <c r="AM330" s="6"/>
      <c r="AN330" s="6"/>
      <c r="AO330" s="6"/>
      <c r="AP330" s="36"/>
    </row>
    <row r="331" spans="1:42" ht="27">
      <c r="A331" s="30">
        <v>309</v>
      </c>
      <c r="B331" s="131"/>
      <c r="C331" s="144" t="s">
        <v>2119</v>
      </c>
      <c r="D331" s="27"/>
      <c r="E331" s="27"/>
      <c r="F331" s="27"/>
      <c r="G331" s="27"/>
      <c r="H331" s="70" t="s">
        <v>745</v>
      </c>
      <c r="I331" s="177" t="s">
        <v>1223</v>
      </c>
      <c r="J331" s="138" t="s">
        <v>678</v>
      </c>
      <c r="K331" s="117"/>
      <c r="L331" s="6"/>
      <c r="M331" s="6"/>
      <c r="N331" s="6"/>
      <c r="O331" s="44"/>
      <c r="P331" s="44"/>
      <c r="Q331" s="44"/>
      <c r="R331" s="53"/>
      <c r="S331" s="44"/>
      <c r="T331" s="44"/>
      <c r="U331" s="44"/>
      <c r="V331" s="53"/>
      <c r="W331" s="31"/>
      <c r="X331" s="9"/>
      <c r="Y331" s="11"/>
      <c r="Z331" s="11"/>
      <c r="AA331" s="63"/>
      <c r="AB331" s="63"/>
      <c r="AC331" s="63"/>
      <c r="AD331" s="36"/>
      <c r="AE331" s="31"/>
      <c r="AF331" s="9"/>
      <c r="AG331" s="6"/>
      <c r="AH331" s="6"/>
      <c r="AI331" s="6"/>
      <c r="AJ331" s="36"/>
      <c r="AK331" s="31"/>
      <c r="AL331" s="9"/>
      <c r="AM331" s="6"/>
      <c r="AN331" s="6"/>
      <c r="AO331" s="6"/>
      <c r="AP331" s="36"/>
    </row>
    <row r="332" spans="1:42">
      <c r="A332" s="30">
        <v>310</v>
      </c>
      <c r="B332" s="131"/>
      <c r="C332" s="144" t="s">
        <v>1269</v>
      </c>
      <c r="D332" s="27"/>
      <c r="E332" s="27"/>
      <c r="F332" s="27"/>
      <c r="G332" s="27"/>
      <c r="H332" s="70" t="s">
        <v>1270</v>
      </c>
      <c r="I332" s="177" t="s">
        <v>1002</v>
      </c>
      <c r="J332" s="138"/>
      <c r="K332" s="117"/>
      <c r="L332" s="6"/>
      <c r="M332" s="6"/>
      <c r="N332" s="6"/>
      <c r="O332" s="44"/>
      <c r="P332" s="44"/>
      <c r="Q332" s="44"/>
      <c r="R332" s="53"/>
      <c r="S332" s="44"/>
      <c r="T332" s="44"/>
      <c r="U332" s="44"/>
      <c r="V332" s="53"/>
      <c r="W332" s="31"/>
      <c r="X332" s="9"/>
      <c r="Y332" s="11"/>
      <c r="Z332" s="11"/>
      <c r="AA332" s="63"/>
      <c r="AB332" s="63"/>
      <c r="AC332" s="63"/>
      <c r="AD332" s="36"/>
      <c r="AE332" s="31"/>
      <c r="AF332" s="9"/>
      <c r="AG332" s="6"/>
      <c r="AH332" s="6"/>
      <c r="AI332" s="6"/>
      <c r="AJ332" s="36"/>
      <c r="AK332" s="31"/>
      <c r="AL332" s="9"/>
      <c r="AM332" s="6"/>
      <c r="AN332" s="6"/>
      <c r="AO332" s="6"/>
      <c r="AP332" s="36"/>
    </row>
    <row r="333" spans="1:42">
      <c r="A333" s="30">
        <v>311</v>
      </c>
      <c r="B333" s="131"/>
      <c r="C333" s="144" t="s">
        <v>677</v>
      </c>
      <c r="D333" s="27"/>
      <c r="E333" s="27"/>
      <c r="F333" s="27"/>
      <c r="G333" s="27"/>
      <c r="H333" s="70" t="s">
        <v>679</v>
      </c>
      <c r="I333" s="177" t="s">
        <v>1053</v>
      </c>
      <c r="J333" s="138" t="s">
        <v>678</v>
      </c>
      <c r="K333" s="117"/>
      <c r="L333" s="6"/>
      <c r="M333" s="6"/>
      <c r="N333" s="6"/>
      <c r="O333" s="44"/>
      <c r="P333" s="44"/>
      <c r="Q333" s="44"/>
      <c r="R333" s="53"/>
      <c r="S333" s="44"/>
      <c r="T333" s="44"/>
      <c r="U333" s="44"/>
      <c r="V333" s="53"/>
      <c r="W333" s="31"/>
      <c r="X333" s="9"/>
      <c r="Y333" s="11"/>
      <c r="Z333" s="11"/>
      <c r="AA333" s="63"/>
      <c r="AB333" s="63"/>
      <c r="AC333" s="63"/>
      <c r="AD333" s="36"/>
      <c r="AE333" s="31"/>
      <c r="AF333" s="9"/>
      <c r="AG333" s="6"/>
      <c r="AH333" s="6"/>
      <c r="AI333" s="6"/>
      <c r="AJ333" s="36"/>
      <c r="AK333" s="31"/>
      <c r="AL333" s="9"/>
      <c r="AM333" s="6"/>
      <c r="AN333" s="6"/>
      <c r="AO333" s="6"/>
      <c r="AP333" s="36"/>
    </row>
    <row r="334" spans="1:42">
      <c r="A334" s="30">
        <v>312</v>
      </c>
      <c r="B334" s="131"/>
      <c r="C334" s="144" t="s">
        <v>505</v>
      </c>
      <c r="D334" s="27"/>
      <c r="E334" s="27"/>
      <c r="F334" s="27"/>
      <c r="G334" s="27"/>
      <c r="H334" s="70" t="s">
        <v>1133</v>
      </c>
      <c r="I334" s="177" t="s">
        <v>922</v>
      </c>
      <c r="J334" s="138" t="s">
        <v>1134</v>
      </c>
      <c r="K334" s="117"/>
      <c r="L334" s="6"/>
      <c r="M334" s="6"/>
      <c r="N334" s="6"/>
      <c r="O334" s="44"/>
      <c r="P334" s="44"/>
      <c r="Q334" s="44"/>
      <c r="R334" s="53"/>
      <c r="S334" s="44"/>
      <c r="T334" s="44"/>
      <c r="U334" s="44"/>
      <c r="V334" s="53"/>
      <c r="W334" s="31"/>
      <c r="X334" s="9"/>
      <c r="Y334" s="11"/>
      <c r="Z334" s="11"/>
      <c r="AA334" s="63"/>
      <c r="AB334" s="63"/>
      <c r="AC334" s="63"/>
      <c r="AD334" s="36"/>
      <c r="AE334" s="31"/>
      <c r="AF334" s="9"/>
      <c r="AG334" s="6"/>
      <c r="AH334" s="6"/>
      <c r="AI334" s="6"/>
      <c r="AJ334" s="36"/>
      <c r="AK334" s="31"/>
      <c r="AL334" s="9"/>
      <c r="AM334" s="6"/>
      <c r="AN334" s="6"/>
      <c r="AO334" s="6"/>
      <c r="AP334" s="36"/>
    </row>
    <row r="335" spans="1:42">
      <c r="A335" s="30">
        <v>313</v>
      </c>
      <c r="B335" s="131"/>
      <c r="C335" s="144" t="s">
        <v>1963</v>
      </c>
      <c r="D335" s="27"/>
      <c r="E335" s="27"/>
      <c r="F335" s="27"/>
      <c r="G335" s="27"/>
      <c r="H335" s="70" t="s">
        <v>1964</v>
      </c>
      <c r="I335" s="177" t="s">
        <v>1965</v>
      </c>
      <c r="J335" s="138" t="s">
        <v>1966</v>
      </c>
      <c r="K335" s="117"/>
      <c r="L335" s="6"/>
      <c r="M335" s="6"/>
      <c r="N335" s="6"/>
      <c r="O335" s="44"/>
      <c r="P335" s="44"/>
      <c r="Q335" s="44"/>
      <c r="R335" s="53"/>
      <c r="S335" s="44"/>
      <c r="T335" s="44"/>
      <c r="U335" s="44"/>
      <c r="V335" s="53"/>
      <c r="W335" s="31"/>
      <c r="X335" s="9"/>
      <c r="Y335" s="11"/>
      <c r="Z335" s="11"/>
      <c r="AA335" s="63"/>
      <c r="AB335" s="63"/>
      <c r="AC335" s="63"/>
      <c r="AD335" s="36"/>
      <c r="AE335" s="31"/>
      <c r="AF335" s="9"/>
      <c r="AG335" s="6"/>
      <c r="AH335" s="6"/>
      <c r="AI335" s="6"/>
      <c r="AJ335" s="36"/>
      <c r="AK335" s="31"/>
      <c r="AL335" s="9"/>
      <c r="AM335" s="6"/>
      <c r="AN335" s="6"/>
      <c r="AO335" s="6"/>
      <c r="AP335" s="36"/>
    </row>
    <row r="336" spans="1:42">
      <c r="A336" s="30">
        <v>314</v>
      </c>
      <c r="B336" s="131"/>
      <c r="C336" s="144" t="s">
        <v>1607</v>
      </c>
      <c r="D336" s="27"/>
      <c r="E336" s="27"/>
      <c r="F336" s="27"/>
      <c r="G336" s="27"/>
      <c r="H336" s="70" t="s">
        <v>780</v>
      </c>
      <c r="I336" s="177" t="s">
        <v>834</v>
      </c>
      <c r="J336" s="138"/>
      <c r="K336" s="117"/>
      <c r="L336" s="6"/>
      <c r="M336" s="6"/>
      <c r="N336" s="6"/>
      <c r="O336" s="44"/>
      <c r="P336" s="44"/>
      <c r="Q336" s="44"/>
      <c r="R336" s="53"/>
      <c r="S336" s="44"/>
      <c r="T336" s="44"/>
      <c r="U336" s="44"/>
      <c r="V336" s="53"/>
      <c r="W336" s="31"/>
      <c r="X336" s="9"/>
      <c r="Y336" s="11"/>
      <c r="Z336" s="11"/>
      <c r="AA336" s="63"/>
      <c r="AB336" s="63"/>
      <c r="AC336" s="63"/>
      <c r="AD336" s="36"/>
      <c r="AE336" s="31"/>
      <c r="AF336" s="9"/>
      <c r="AG336" s="6"/>
      <c r="AH336" s="6"/>
      <c r="AI336" s="6"/>
      <c r="AJ336" s="36"/>
      <c r="AK336" s="31"/>
      <c r="AL336" s="9"/>
      <c r="AM336" s="6"/>
      <c r="AN336" s="6"/>
      <c r="AO336" s="6"/>
      <c r="AP336" s="36"/>
    </row>
    <row r="337" spans="1:42">
      <c r="A337" s="30">
        <v>315</v>
      </c>
      <c r="B337" s="131"/>
      <c r="C337" s="160" t="s">
        <v>843</v>
      </c>
      <c r="D337" s="27"/>
      <c r="E337" s="27"/>
      <c r="F337" s="27"/>
      <c r="G337" s="27"/>
      <c r="H337" s="70" t="s">
        <v>844</v>
      </c>
      <c r="I337" s="177" t="s">
        <v>1047</v>
      </c>
      <c r="J337" s="138"/>
      <c r="K337" s="117"/>
      <c r="L337" s="6"/>
      <c r="M337" s="6"/>
      <c r="N337" s="6"/>
      <c r="O337" s="44"/>
      <c r="P337" s="44"/>
      <c r="Q337" s="44"/>
      <c r="R337" s="53"/>
      <c r="S337" s="44"/>
      <c r="T337" s="44"/>
      <c r="U337" s="44"/>
      <c r="V337" s="53"/>
      <c r="W337" s="31"/>
      <c r="X337" s="9"/>
      <c r="Y337" s="11"/>
      <c r="Z337" s="11"/>
      <c r="AA337" s="63"/>
      <c r="AB337" s="63"/>
      <c r="AC337" s="63"/>
      <c r="AD337" s="36"/>
      <c r="AE337" s="31"/>
      <c r="AF337" s="9"/>
      <c r="AG337" s="6"/>
      <c r="AH337" s="6"/>
      <c r="AI337" s="6"/>
      <c r="AJ337" s="36"/>
      <c r="AK337" s="31"/>
      <c r="AL337" s="9"/>
      <c r="AM337" s="6"/>
      <c r="AN337" s="6"/>
      <c r="AO337" s="6"/>
      <c r="AP337" s="36"/>
    </row>
    <row r="338" spans="1:42">
      <c r="A338" s="30">
        <v>316</v>
      </c>
      <c r="B338" s="131"/>
      <c r="C338" s="144" t="s">
        <v>1129</v>
      </c>
      <c r="D338" s="27"/>
      <c r="E338" s="27"/>
      <c r="F338" s="27"/>
      <c r="G338" s="27"/>
      <c r="H338" s="70" t="s">
        <v>977</v>
      </c>
      <c r="I338" s="177" t="s">
        <v>1046</v>
      </c>
      <c r="J338" s="138"/>
      <c r="K338" s="117"/>
      <c r="L338" s="6"/>
      <c r="M338" s="6"/>
      <c r="N338" s="6"/>
      <c r="O338" s="44"/>
      <c r="P338" s="44"/>
      <c r="Q338" s="44"/>
      <c r="R338" s="53"/>
      <c r="S338" s="81"/>
      <c r="T338" s="81"/>
      <c r="U338" s="81"/>
      <c r="V338" s="53"/>
      <c r="W338" s="31"/>
      <c r="X338" s="9"/>
      <c r="Y338" s="11"/>
      <c r="Z338" s="80"/>
      <c r="AA338" s="65"/>
      <c r="AB338" s="65"/>
      <c r="AC338" s="65"/>
      <c r="AD338" s="36"/>
      <c r="AE338" s="31"/>
      <c r="AF338" s="9"/>
      <c r="AG338" s="6"/>
      <c r="AH338" s="6"/>
      <c r="AI338" s="6"/>
      <c r="AJ338" s="36"/>
      <c r="AK338" s="31"/>
      <c r="AL338" s="9"/>
      <c r="AM338" s="6"/>
      <c r="AN338" s="6"/>
      <c r="AO338" s="6"/>
      <c r="AP338" s="36"/>
    </row>
    <row r="339" spans="1:42">
      <c r="A339" s="30">
        <v>317</v>
      </c>
      <c r="B339" s="131"/>
      <c r="C339" s="144" t="s">
        <v>1369</v>
      </c>
      <c r="D339" s="27"/>
      <c r="E339" s="27"/>
      <c r="F339" s="27"/>
      <c r="G339" s="27"/>
      <c r="H339" s="70" t="s">
        <v>831</v>
      </c>
      <c r="I339" s="177" t="s">
        <v>868</v>
      </c>
      <c r="J339" s="138"/>
      <c r="K339" s="117"/>
      <c r="L339" s="6"/>
      <c r="M339" s="6"/>
      <c r="N339" s="6"/>
      <c r="O339" s="44"/>
      <c r="P339" s="44"/>
      <c r="Q339" s="44"/>
      <c r="R339" s="53"/>
      <c r="S339" s="44"/>
      <c r="T339" s="44"/>
      <c r="U339" s="44"/>
      <c r="V339" s="53"/>
      <c r="W339" s="31"/>
      <c r="X339" s="9"/>
      <c r="Y339" s="11"/>
      <c r="Z339" s="11"/>
      <c r="AA339" s="63"/>
      <c r="AB339" s="63"/>
      <c r="AC339" s="63"/>
      <c r="AD339" s="36"/>
      <c r="AE339" s="31"/>
      <c r="AF339" s="9"/>
      <c r="AG339" s="6"/>
      <c r="AH339" s="6"/>
      <c r="AI339" s="6"/>
      <c r="AJ339" s="36"/>
      <c r="AK339" s="31"/>
      <c r="AL339" s="9"/>
      <c r="AM339" s="6"/>
      <c r="AN339" s="6"/>
      <c r="AO339" s="6"/>
      <c r="AP339" s="36"/>
    </row>
    <row r="340" spans="1:42">
      <c r="A340" s="30">
        <v>318</v>
      </c>
      <c r="B340" s="131"/>
      <c r="C340" s="144" t="s">
        <v>552</v>
      </c>
      <c r="D340" s="27"/>
      <c r="E340" s="27"/>
      <c r="F340" s="27"/>
      <c r="G340" s="27"/>
      <c r="H340" s="70" t="s">
        <v>832</v>
      </c>
      <c r="I340" s="177" t="s">
        <v>900</v>
      </c>
      <c r="J340" s="177" t="s">
        <v>900</v>
      </c>
      <c r="K340" s="117"/>
      <c r="L340" s="6">
        <v>480</v>
      </c>
      <c r="M340" s="6">
        <v>24</v>
      </c>
      <c r="N340" s="6">
        <v>504</v>
      </c>
      <c r="O340" s="44"/>
      <c r="P340" s="44"/>
      <c r="Q340" s="44"/>
      <c r="R340" s="53"/>
      <c r="S340" s="44"/>
      <c r="T340" s="44"/>
      <c r="U340" s="44"/>
      <c r="V340" s="53"/>
      <c r="W340" s="31"/>
      <c r="X340" s="9"/>
      <c r="Y340" s="11"/>
      <c r="Z340" s="11"/>
      <c r="AA340" s="63"/>
      <c r="AB340" s="63"/>
      <c r="AC340" s="63"/>
      <c r="AD340" s="36"/>
      <c r="AE340" s="31"/>
      <c r="AF340" s="9"/>
      <c r="AG340" s="6"/>
      <c r="AH340" s="6"/>
      <c r="AI340" s="6"/>
      <c r="AJ340" s="36"/>
      <c r="AK340" s="31"/>
      <c r="AL340" s="9"/>
      <c r="AM340" s="6"/>
      <c r="AN340" s="6"/>
      <c r="AO340" s="6"/>
      <c r="AP340" s="36"/>
    </row>
    <row r="341" spans="1:42" ht="27">
      <c r="A341" s="30">
        <v>319</v>
      </c>
      <c r="B341" s="131"/>
      <c r="C341" s="144" t="s">
        <v>1087</v>
      </c>
      <c r="D341" s="27"/>
      <c r="E341" s="27"/>
      <c r="F341" s="27"/>
      <c r="G341" s="27"/>
      <c r="H341" s="70" t="s">
        <v>805</v>
      </c>
      <c r="I341" s="177" t="s">
        <v>938</v>
      </c>
      <c r="J341" s="138" t="s">
        <v>806</v>
      </c>
      <c r="K341" s="117"/>
      <c r="L341" s="6"/>
      <c r="M341" s="6"/>
      <c r="N341" s="6"/>
      <c r="O341" s="44"/>
      <c r="P341" s="44"/>
      <c r="Q341" s="44"/>
      <c r="R341" s="53"/>
      <c r="S341" s="44"/>
      <c r="T341" s="44"/>
      <c r="U341" s="44"/>
      <c r="V341" s="53"/>
      <c r="W341" s="31"/>
      <c r="X341" s="9"/>
      <c r="Y341" s="11"/>
      <c r="Z341" s="11"/>
      <c r="AA341" s="63"/>
      <c r="AB341" s="63"/>
      <c r="AC341" s="63"/>
      <c r="AD341" s="36"/>
      <c r="AE341" s="31"/>
      <c r="AF341" s="9"/>
      <c r="AG341" s="6"/>
      <c r="AH341" s="6"/>
      <c r="AI341" s="6"/>
      <c r="AJ341" s="36"/>
      <c r="AK341" s="31"/>
      <c r="AL341" s="9"/>
      <c r="AM341" s="6"/>
      <c r="AN341" s="6"/>
      <c r="AO341" s="6"/>
      <c r="AP341" s="36"/>
    </row>
    <row r="342" spans="1:42" ht="27">
      <c r="A342" s="30">
        <v>320</v>
      </c>
      <c r="B342" s="131"/>
      <c r="C342" s="144" t="s">
        <v>807</v>
      </c>
      <c r="D342" s="27"/>
      <c r="E342" s="27"/>
      <c r="F342" s="27"/>
      <c r="G342" s="27"/>
      <c r="H342" s="70" t="s">
        <v>808</v>
      </c>
      <c r="I342" s="177" t="s">
        <v>1028</v>
      </c>
      <c r="J342" s="138" t="s">
        <v>809</v>
      </c>
      <c r="K342" s="117"/>
      <c r="L342" s="6"/>
      <c r="M342" s="6"/>
      <c r="N342" s="6"/>
      <c r="O342" s="44"/>
      <c r="P342" s="44"/>
      <c r="Q342" s="44"/>
      <c r="R342" s="53"/>
      <c r="S342" s="44"/>
      <c r="T342" s="44"/>
      <c r="U342" s="44"/>
      <c r="V342" s="53"/>
      <c r="W342" s="31"/>
      <c r="X342" s="9"/>
      <c r="Y342" s="11"/>
      <c r="Z342" s="11"/>
      <c r="AA342" s="63"/>
      <c r="AB342" s="63"/>
      <c r="AC342" s="63"/>
      <c r="AD342" s="36"/>
      <c r="AE342" s="31"/>
      <c r="AF342" s="9"/>
      <c r="AG342" s="6"/>
      <c r="AH342" s="6"/>
      <c r="AI342" s="6"/>
      <c r="AJ342" s="36"/>
      <c r="AK342" s="31"/>
      <c r="AL342" s="9"/>
      <c r="AM342" s="6"/>
      <c r="AN342" s="6"/>
      <c r="AO342" s="6"/>
      <c r="AP342" s="36"/>
    </row>
    <row r="343" spans="1:42">
      <c r="A343" s="30">
        <v>321</v>
      </c>
      <c r="B343" s="131"/>
      <c r="C343" s="144" t="s">
        <v>1449</v>
      </c>
      <c r="D343" s="27"/>
      <c r="E343" s="27"/>
      <c r="F343" s="27"/>
      <c r="G343" s="27"/>
      <c r="H343" s="70" t="s">
        <v>1725</v>
      </c>
      <c r="I343" s="177" t="s">
        <v>893</v>
      </c>
      <c r="J343" s="138" t="s">
        <v>1726</v>
      </c>
      <c r="K343" s="117"/>
      <c r="L343" s="6">
        <v>24900</v>
      </c>
      <c r="M343" s="6">
        <v>1245</v>
      </c>
      <c r="N343" s="6">
        <v>26145</v>
      </c>
      <c r="O343" s="44"/>
      <c r="P343" s="44"/>
      <c r="Q343" s="44"/>
      <c r="R343" s="53"/>
      <c r="S343" s="44"/>
      <c r="T343" s="44"/>
      <c r="U343" s="44"/>
      <c r="V343" s="53"/>
      <c r="W343" s="74"/>
      <c r="X343" s="9"/>
      <c r="Y343" s="11"/>
      <c r="Z343" s="11"/>
      <c r="AA343" s="63"/>
      <c r="AB343" s="63"/>
      <c r="AC343" s="63"/>
      <c r="AD343" s="36"/>
      <c r="AE343" s="31"/>
      <c r="AF343" s="9"/>
      <c r="AG343" s="6"/>
      <c r="AH343" s="6"/>
      <c r="AI343" s="6"/>
      <c r="AJ343" s="36"/>
      <c r="AK343" s="31"/>
      <c r="AL343" s="9"/>
      <c r="AM343" s="6"/>
      <c r="AN343" s="6"/>
      <c r="AO343" s="6"/>
      <c r="AP343" s="36"/>
    </row>
    <row r="344" spans="1:42">
      <c r="A344" s="30">
        <v>322</v>
      </c>
      <c r="B344" s="131"/>
      <c r="C344" s="144" t="s">
        <v>557</v>
      </c>
      <c r="D344" s="27"/>
      <c r="E344" s="27"/>
      <c r="F344" s="27"/>
      <c r="G344" s="27"/>
      <c r="H344" s="70" t="s">
        <v>746</v>
      </c>
      <c r="I344" s="177" t="s">
        <v>897</v>
      </c>
      <c r="J344" s="138" t="s">
        <v>641</v>
      </c>
      <c r="K344" s="117"/>
      <c r="L344" s="6"/>
      <c r="M344" s="6"/>
      <c r="N344" s="6"/>
      <c r="O344" s="44"/>
      <c r="P344" s="44"/>
      <c r="Q344" s="44"/>
      <c r="R344" s="53"/>
      <c r="S344" s="44"/>
      <c r="T344" s="44"/>
      <c r="U344" s="44"/>
      <c r="V344" s="53"/>
      <c r="W344" s="74"/>
      <c r="X344" s="9"/>
      <c r="Y344" s="11"/>
      <c r="Z344" s="11"/>
      <c r="AA344" s="63"/>
      <c r="AB344" s="63"/>
      <c r="AC344" s="63"/>
      <c r="AD344" s="36"/>
      <c r="AE344" s="31"/>
      <c r="AF344" s="9"/>
      <c r="AG344" s="6"/>
      <c r="AH344" s="6"/>
      <c r="AI344" s="6"/>
      <c r="AJ344" s="36"/>
      <c r="AK344" s="31"/>
      <c r="AL344" s="9"/>
      <c r="AM344" s="6"/>
      <c r="AN344" s="6"/>
      <c r="AO344" s="6"/>
      <c r="AP344" s="36"/>
    </row>
    <row r="345" spans="1:42" ht="20.100000000000001" customHeight="1">
      <c r="A345" s="30">
        <v>323</v>
      </c>
      <c r="B345" s="131"/>
      <c r="C345" s="144" t="s">
        <v>1380</v>
      </c>
      <c r="D345" s="27"/>
      <c r="E345" s="27"/>
      <c r="F345" s="27"/>
      <c r="G345" s="27"/>
      <c r="H345" s="70" t="s">
        <v>1310</v>
      </c>
      <c r="I345" s="177" t="s">
        <v>965</v>
      </c>
      <c r="J345" s="138"/>
      <c r="K345" s="117"/>
      <c r="L345" s="6">
        <v>600</v>
      </c>
      <c r="M345" s="6">
        <v>30</v>
      </c>
      <c r="N345" s="6">
        <v>630</v>
      </c>
      <c r="O345" s="44"/>
      <c r="P345" s="44"/>
      <c r="Q345" s="44"/>
      <c r="R345" s="53"/>
      <c r="S345" s="44"/>
      <c r="T345" s="44"/>
      <c r="U345" s="44"/>
      <c r="V345" s="53"/>
      <c r="W345" s="31"/>
      <c r="X345" s="9"/>
      <c r="Y345" s="11"/>
      <c r="Z345" s="11"/>
      <c r="AA345" s="63"/>
      <c r="AB345" s="63"/>
      <c r="AC345" s="63"/>
      <c r="AD345" s="36"/>
      <c r="AE345" s="31"/>
      <c r="AF345" s="9"/>
      <c r="AG345" s="6"/>
      <c r="AH345" s="6"/>
      <c r="AI345" s="6"/>
      <c r="AJ345" s="36"/>
      <c r="AK345" s="31"/>
      <c r="AL345" s="9"/>
      <c r="AM345" s="6"/>
      <c r="AN345" s="6"/>
      <c r="AO345" s="6"/>
      <c r="AP345" s="36"/>
    </row>
    <row r="346" spans="1:42" ht="20.100000000000001" customHeight="1">
      <c r="A346" s="30">
        <v>324</v>
      </c>
      <c r="B346" s="131"/>
      <c r="C346" s="144" t="s">
        <v>1715</v>
      </c>
      <c r="D346" s="27"/>
      <c r="E346" s="27"/>
      <c r="F346" s="27"/>
      <c r="G346" s="27"/>
      <c r="H346" s="70" t="s">
        <v>1716</v>
      </c>
      <c r="I346" s="177" t="s">
        <v>932</v>
      </c>
      <c r="J346" s="138"/>
      <c r="K346" s="117"/>
      <c r="L346" s="6"/>
      <c r="M346" s="6"/>
      <c r="N346" s="6"/>
      <c r="O346" s="44"/>
      <c r="P346" s="44"/>
      <c r="Q346" s="44"/>
      <c r="R346" s="53"/>
      <c r="S346" s="44"/>
      <c r="T346" s="44"/>
      <c r="U346" s="44"/>
      <c r="V346" s="53"/>
      <c r="W346" s="31"/>
      <c r="X346" s="9"/>
      <c r="Y346" s="11"/>
      <c r="Z346" s="11"/>
      <c r="AA346" s="63"/>
      <c r="AB346" s="63"/>
      <c r="AC346" s="63"/>
      <c r="AD346" s="36"/>
      <c r="AE346" s="31"/>
      <c r="AF346" s="9"/>
      <c r="AG346" s="6"/>
      <c r="AH346" s="6"/>
      <c r="AI346" s="6"/>
      <c r="AJ346" s="36"/>
      <c r="AK346" s="31"/>
      <c r="AL346" s="9"/>
      <c r="AM346" s="6"/>
      <c r="AN346" s="6"/>
      <c r="AO346" s="6"/>
      <c r="AP346" s="36"/>
    </row>
    <row r="347" spans="1:42">
      <c r="A347" s="30">
        <v>325</v>
      </c>
      <c r="B347" s="131"/>
      <c r="C347" s="144" t="s">
        <v>560</v>
      </c>
      <c r="D347" s="27"/>
      <c r="E347" s="27"/>
      <c r="F347" s="27"/>
      <c r="G347" s="27"/>
      <c r="H347" s="70" t="s">
        <v>554</v>
      </c>
      <c r="I347" s="177" t="s">
        <v>891</v>
      </c>
      <c r="J347" s="138" t="s">
        <v>656</v>
      </c>
      <c r="K347" s="117"/>
      <c r="L347" s="6">
        <v>480</v>
      </c>
      <c r="M347" s="6">
        <v>24</v>
      </c>
      <c r="N347" s="6">
        <v>504</v>
      </c>
      <c r="O347" s="44"/>
      <c r="P347" s="44"/>
      <c r="Q347" s="44"/>
      <c r="R347" s="53"/>
      <c r="S347" s="44"/>
      <c r="T347" s="44"/>
      <c r="U347" s="44"/>
      <c r="V347" s="53"/>
      <c r="W347" s="31"/>
      <c r="X347" s="9"/>
      <c r="Y347" s="11"/>
      <c r="Z347" s="11"/>
      <c r="AA347" s="63"/>
      <c r="AB347" s="63"/>
      <c r="AC347" s="63"/>
      <c r="AD347" s="36"/>
      <c r="AE347" s="31"/>
      <c r="AF347" s="9"/>
      <c r="AG347" s="6"/>
      <c r="AH347" s="6"/>
      <c r="AI347" s="6"/>
      <c r="AJ347" s="36"/>
      <c r="AK347" s="31"/>
      <c r="AL347" s="9"/>
      <c r="AM347" s="6"/>
      <c r="AN347" s="6"/>
      <c r="AO347" s="6"/>
      <c r="AP347" s="36"/>
    </row>
    <row r="348" spans="1:42">
      <c r="A348" s="30">
        <v>326</v>
      </c>
      <c r="B348" s="131"/>
      <c r="C348" s="144" t="s">
        <v>774</v>
      </c>
      <c r="D348" s="27"/>
      <c r="E348" s="27"/>
      <c r="F348" s="27"/>
      <c r="G348" s="27"/>
      <c r="H348" s="70" t="s">
        <v>642</v>
      </c>
      <c r="I348" s="177" t="s">
        <v>881</v>
      </c>
      <c r="J348" s="138" t="s">
        <v>643</v>
      </c>
      <c r="K348" s="117"/>
      <c r="L348" s="6"/>
      <c r="M348" s="6"/>
      <c r="N348" s="6"/>
      <c r="O348" s="44"/>
      <c r="P348" s="44"/>
      <c r="Q348" s="44"/>
      <c r="R348" s="53"/>
      <c r="S348" s="45"/>
      <c r="T348" s="45"/>
      <c r="U348" s="45"/>
      <c r="V348" s="53"/>
      <c r="W348" s="74"/>
      <c r="X348" s="9"/>
      <c r="Y348" s="11"/>
      <c r="Z348" s="11"/>
      <c r="AA348" s="64"/>
      <c r="AB348" s="64"/>
      <c r="AC348" s="64"/>
      <c r="AD348" s="36"/>
      <c r="AE348" s="31"/>
      <c r="AF348" s="9"/>
      <c r="AG348" s="6"/>
      <c r="AH348" s="6"/>
      <c r="AI348" s="6"/>
      <c r="AJ348" s="36"/>
      <c r="AK348" s="31"/>
      <c r="AL348" s="9"/>
      <c r="AM348" s="6"/>
      <c r="AN348" s="6"/>
      <c r="AO348" s="6"/>
      <c r="AP348" s="36"/>
    </row>
    <row r="349" spans="1:42">
      <c r="A349" s="30">
        <v>327</v>
      </c>
      <c r="B349" s="131"/>
      <c r="C349" s="144" t="s">
        <v>1650</v>
      </c>
      <c r="D349" s="27"/>
      <c r="E349" s="27"/>
      <c r="F349" s="27"/>
      <c r="G349" s="27"/>
      <c r="H349" s="70" t="s">
        <v>1649</v>
      </c>
      <c r="I349" s="177" t="s">
        <v>835</v>
      </c>
      <c r="J349" s="138"/>
      <c r="K349" s="117"/>
      <c r="L349" s="6"/>
      <c r="M349" s="6"/>
      <c r="N349" s="6"/>
      <c r="O349" s="44"/>
      <c r="P349" s="44"/>
      <c r="Q349" s="44"/>
      <c r="R349" s="53"/>
      <c r="S349" s="45"/>
      <c r="T349" s="45"/>
      <c r="U349" s="45"/>
      <c r="V349" s="53"/>
      <c r="W349" s="31"/>
      <c r="X349" s="9"/>
      <c r="Y349" s="11"/>
      <c r="Z349" s="11"/>
      <c r="AA349" s="64"/>
      <c r="AB349" s="64"/>
      <c r="AC349" s="64"/>
      <c r="AD349" s="36"/>
      <c r="AE349" s="31"/>
      <c r="AF349" s="9"/>
      <c r="AG349" s="6"/>
      <c r="AH349" s="6"/>
      <c r="AI349" s="6"/>
      <c r="AJ349" s="36"/>
      <c r="AK349" s="31"/>
      <c r="AL349" s="9"/>
      <c r="AM349" s="6"/>
      <c r="AN349" s="6"/>
      <c r="AO349" s="6"/>
      <c r="AP349" s="36"/>
    </row>
    <row r="350" spans="1:42">
      <c r="A350" s="30">
        <v>328</v>
      </c>
      <c r="B350" s="131"/>
      <c r="C350" s="144" t="s">
        <v>1708</v>
      </c>
      <c r="D350" s="27"/>
      <c r="E350" s="27"/>
      <c r="F350" s="27"/>
      <c r="G350" s="27"/>
      <c r="H350" s="70" t="s">
        <v>1709</v>
      </c>
      <c r="I350" s="177" t="s">
        <v>833</v>
      </c>
      <c r="J350" s="138"/>
      <c r="K350" s="117"/>
      <c r="L350" s="6"/>
      <c r="M350" s="6"/>
      <c r="N350" s="6"/>
      <c r="O350" s="44"/>
      <c r="P350" s="44"/>
      <c r="Q350" s="44"/>
      <c r="R350" s="53"/>
      <c r="S350" s="45"/>
      <c r="T350" s="45"/>
      <c r="U350" s="45"/>
      <c r="V350" s="53"/>
      <c r="W350" s="31"/>
      <c r="X350" s="9"/>
      <c r="Y350" s="11"/>
      <c r="Z350" s="11"/>
      <c r="AA350" s="64"/>
      <c r="AB350" s="64"/>
      <c r="AC350" s="64"/>
      <c r="AD350" s="36"/>
      <c r="AE350" s="31"/>
      <c r="AF350" s="9"/>
      <c r="AG350" s="6"/>
      <c r="AH350" s="6"/>
      <c r="AI350" s="6"/>
      <c r="AJ350" s="36"/>
      <c r="AK350" s="31"/>
      <c r="AL350" s="9"/>
      <c r="AM350" s="6"/>
      <c r="AN350" s="6"/>
      <c r="AO350" s="6"/>
      <c r="AP350" s="36"/>
    </row>
    <row r="351" spans="1:42">
      <c r="A351" s="30">
        <v>329</v>
      </c>
      <c r="B351" s="131"/>
      <c r="C351" s="144" t="s">
        <v>1142</v>
      </c>
      <c r="D351" s="27"/>
      <c r="E351" s="27"/>
      <c r="F351" s="27"/>
      <c r="G351" s="27"/>
      <c r="H351" s="70" t="s">
        <v>1145</v>
      </c>
      <c r="I351" s="177" t="s">
        <v>939</v>
      </c>
      <c r="J351" s="138"/>
      <c r="K351" s="117"/>
      <c r="L351" s="6"/>
      <c r="M351" s="6"/>
      <c r="N351" s="6"/>
      <c r="O351" s="44"/>
      <c r="P351" s="44"/>
      <c r="Q351" s="44"/>
      <c r="R351" s="53"/>
      <c r="S351" s="45"/>
      <c r="T351" s="45"/>
      <c r="U351" s="45"/>
      <c r="V351" s="53"/>
      <c r="W351" s="31"/>
      <c r="X351" s="9"/>
      <c r="Y351" s="11"/>
      <c r="Z351" s="11"/>
      <c r="AA351" s="64"/>
      <c r="AB351" s="64"/>
      <c r="AC351" s="64"/>
      <c r="AD351" s="36"/>
      <c r="AE351" s="31"/>
      <c r="AF351" s="9"/>
      <c r="AG351" s="6"/>
      <c r="AH351" s="6"/>
      <c r="AI351" s="6"/>
      <c r="AJ351" s="36"/>
      <c r="AK351" s="31"/>
      <c r="AL351" s="9"/>
      <c r="AM351" s="6"/>
      <c r="AN351" s="6"/>
      <c r="AO351" s="6"/>
      <c r="AP351" s="36"/>
    </row>
    <row r="352" spans="1:42">
      <c r="A352" s="30">
        <v>330</v>
      </c>
      <c r="B352" s="131"/>
      <c r="C352" s="144" t="s">
        <v>1126</v>
      </c>
      <c r="D352" s="27"/>
      <c r="E352" s="27"/>
      <c r="F352" s="27"/>
      <c r="G352" s="27"/>
      <c r="H352" s="70" t="s">
        <v>975</v>
      </c>
      <c r="I352" s="177" t="s">
        <v>834</v>
      </c>
      <c r="J352" s="138" t="s">
        <v>673</v>
      </c>
      <c r="K352" s="29"/>
      <c r="L352" s="11">
        <v>22000</v>
      </c>
      <c r="M352" s="11">
        <v>1100</v>
      </c>
      <c r="N352" s="11">
        <v>23100</v>
      </c>
      <c r="O352" s="44"/>
      <c r="P352" s="44"/>
      <c r="Q352" s="44"/>
      <c r="R352" s="53"/>
      <c r="S352" s="44"/>
      <c r="T352" s="46"/>
      <c r="U352" s="46"/>
      <c r="V352" s="53"/>
      <c r="W352" s="31"/>
      <c r="X352" s="9"/>
      <c r="Y352" s="11"/>
      <c r="Z352" s="11"/>
      <c r="AA352" s="63"/>
      <c r="AB352" s="63"/>
      <c r="AC352" s="63"/>
      <c r="AD352" s="36"/>
      <c r="AE352" s="31"/>
      <c r="AF352" s="9"/>
      <c r="AG352" s="6"/>
      <c r="AH352" s="6"/>
      <c r="AI352" s="6"/>
      <c r="AJ352" s="36"/>
      <c r="AK352" s="31"/>
      <c r="AL352" s="9"/>
      <c r="AM352" s="6"/>
      <c r="AN352" s="6"/>
      <c r="AO352" s="6"/>
      <c r="AP352" s="36"/>
    </row>
    <row r="353" spans="1:42">
      <c r="A353" s="30">
        <v>331</v>
      </c>
      <c r="B353" s="131"/>
      <c r="C353" s="144" t="s">
        <v>877</v>
      </c>
      <c r="D353" s="27"/>
      <c r="E353" s="27"/>
      <c r="F353" s="27"/>
      <c r="G353" s="27"/>
      <c r="H353" s="137" t="s">
        <v>1344</v>
      </c>
      <c r="I353" s="182" t="s">
        <v>876</v>
      </c>
      <c r="J353" s="138" t="s">
        <v>2132</v>
      </c>
      <c r="K353" s="117"/>
      <c r="L353" s="6">
        <v>600</v>
      </c>
      <c r="M353" s="6">
        <v>30</v>
      </c>
      <c r="N353" s="6">
        <v>630</v>
      </c>
      <c r="O353" s="44"/>
      <c r="P353" s="44"/>
      <c r="Q353" s="44"/>
      <c r="R353" s="53"/>
      <c r="S353" s="44"/>
      <c r="T353" s="44"/>
      <c r="U353" s="44"/>
      <c r="V353" s="53"/>
      <c r="W353" s="31"/>
      <c r="X353" s="9"/>
      <c r="Y353" s="11"/>
      <c r="Z353" s="11"/>
      <c r="AA353" s="63"/>
      <c r="AB353" s="63"/>
      <c r="AC353" s="63"/>
      <c r="AD353" s="36"/>
      <c r="AE353" s="31"/>
      <c r="AF353" s="9"/>
      <c r="AG353" s="6"/>
      <c r="AH353" s="6"/>
      <c r="AI353" s="6"/>
      <c r="AJ353" s="36"/>
      <c r="AK353" s="31"/>
      <c r="AL353" s="9"/>
      <c r="AM353" s="6"/>
      <c r="AN353" s="6"/>
      <c r="AO353" s="6"/>
      <c r="AP353" s="36"/>
    </row>
    <row r="354" spans="1:42">
      <c r="A354" s="30">
        <v>332</v>
      </c>
      <c r="B354" s="131"/>
      <c r="C354" s="144" t="s">
        <v>524</v>
      </c>
      <c r="D354" s="27"/>
      <c r="E354" s="27"/>
      <c r="F354" s="27"/>
      <c r="G354" s="27"/>
      <c r="H354" s="106" t="s">
        <v>1443</v>
      </c>
      <c r="I354" s="184" t="s">
        <v>1444</v>
      </c>
      <c r="J354" s="138" t="s">
        <v>1445</v>
      </c>
      <c r="K354" s="117"/>
      <c r="L354" s="6">
        <v>0</v>
      </c>
      <c r="M354" s="6">
        <v>0</v>
      </c>
      <c r="N354" s="6">
        <v>0</v>
      </c>
      <c r="O354" s="44"/>
      <c r="P354" s="44"/>
      <c r="Q354" s="44"/>
      <c r="R354" s="53"/>
      <c r="S354" s="44"/>
      <c r="T354" s="44"/>
      <c r="U354" s="44"/>
      <c r="V354" s="53"/>
      <c r="W354" s="31"/>
      <c r="X354" s="9"/>
      <c r="Y354" s="11"/>
      <c r="Z354" s="11"/>
      <c r="AA354" s="63"/>
      <c r="AB354" s="63"/>
      <c r="AC354" s="63"/>
      <c r="AD354" s="36"/>
      <c r="AE354" s="31"/>
      <c r="AF354" s="9"/>
      <c r="AG354" s="6"/>
      <c r="AH354" s="6"/>
      <c r="AI354" s="6"/>
      <c r="AJ354" s="36"/>
      <c r="AK354" s="31"/>
      <c r="AL354" s="9"/>
      <c r="AM354" s="6"/>
      <c r="AN354" s="6"/>
      <c r="AO354" s="6"/>
      <c r="AP354" s="36"/>
    </row>
    <row r="355" spans="1:42">
      <c r="A355" s="30">
        <v>333</v>
      </c>
      <c r="B355" s="131"/>
      <c r="C355" s="144" t="s">
        <v>2118</v>
      </c>
      <c r="D355" s="27"/>
      <c r="E355" s="27"/>
      <c r="F355" s="27"/>
      <c r="G355" s="27"/>
      <c r="H355" s="70" t="s">
        <v>2035</v>
      </c>
      <c r="I355" s="177" t="s">
        <v>834</v>
      </c>
      <c r="J355" s="138"/>
      <c r="K355" s="117"/>
      <c r="L355" s="6">
        <v>25400</v>
      </c>
      <c r="M355" s="6">
        <v>1270</v>
      </c>
      <c r="N355" s="6">
        <v>26670</v>
      </c>
      <c r="O355" s="44"/>
      <c r="P355" s="44"/>
      <c r="Q355" s="44"/>
      <c r="R355" s="53"/>
      <c r="S355" s="44"/>
      <c r="T355" s="44"/>
      <c r="U355" s="44"/>
      <c r="V355" s="53"/>
      <c r="W355" s="31"/>
      <c r="X355" s="9"/>
      <c r="Y355" s="11"/>
      <c r="Z355" s="11"/>
      <c r="AA355" s="63"/>
      <c r="AB355" s="63"/>
      <c r="AC355" s="63"/>
      <c r="AD355" s="36"/>
      <c r="AE355" s="31"/>
      <c r="AF355" s="9"/>
      <c r="AG355" s="6"/>
      <c r="AH355" s="6"/>
      <c r="AI355" s="6"/>
      <c r="AJ355" s="36"/>
      <c r="AK355" s="31"/>
      <c r="AL355" s="9"/>
      <c r="AM355" s="6"/>
      <c r="AN355" s="6"/>
      <c r="AO355" s="6"/>
      <c r="AP355" s="36"/>
    </row>
    <row r="356" spans="1:42">
      <c r="A356" s="30">
        <v>334</v>
      </c>
      <c r="B356" s="131"/>
      <c r="C356" s="144" t="s">
        <v>1783</v>
      </c>
      <c r="D356" s="27"/>
      <c r="E356" s="27"/>
      <c r="F356" s="27"/>
      <c r="G356" s="27"/>
      <c r="H356" s="70" t="s">
        <v>1885</v>
      </c>
      <c r="I356" s="177" t="s">
        <v>1998</v>
      </c>
      <c r="J356" s="138"/>
      <c r="K356" s="117"/>
      <c r="L356" s="6"/>
      <c r="M356" s="6"/>
      <c r="N356" s="6"/>
      <c r="O356" s="44"/>
      <c r="P356" s="44"/>
      <c r="Q356" s="44"/>
      <c r="R356" s="53"/>
      <c r="S356" s="50"/>
      <c r="T356" s="50"/>
      <c r="U356" s="50"/>
      <c r="V356" s="53"/>
      <c r="W356" s="31"/>
      <c r="X356" s="9"/>
      <c r="Y356" s="11"/>
      <c r="Z356" s="11"/>
      <c r="AA356" s="82"/>
      <c r="AB356" s="82"/>
      <c r="AC356" s="82"/>
      <c r="AD356" s="36"/>
      <c r="AE356" s="31"/>
      <c r="AF356" s="9"/>
      <c r="AG356" s="6"/>
      <c r="AH356" s="6"/>
      <c r="AI356" s="6"/>
      <c r="AJ356" s="36"/>
      <c r="AK356" s="31"/>
      <c r="AL356" s="9"/>
      <c r="AM356" s="6"/>
      <c r="AN356" s="6"/>
      <c r="AO356" s="6"/>
      <c r="AP356" s="36"/>
    </row>
    <row r="357" spans="1:42">
      <c r="A357" s="30">
        <v>335</v>
      </c>
      <c r="B357" s="131"/>
      <c r="C357" s="144" t="s">
        <v>1277</v>
      </c>
      <c r="D357" s="27"/>
      <c r="E357" s="27"/>
      <c r="F357" s="27"/>
      <c r="G357" s="27"/>
      <c r="H357" s="70" t="s">
        <v>1264</v>
      </c>
      <c r="I357" s="177" t="s">
        <v>833</v>
      </c>
      <c r="J357" s="138"/>
      <c r="K357" s="117"/>
      <c r="L357" s="6">
        <v>19160</v>
      </c>
      <c r="M357" s="6">
        <v>958</v>
      </c>
      <c r="N357" s="6">
        <v>20118</v>
      </c>
      <c r="O357" s="44"/>
      <c r="P357" s="44"/>
      <c r="Q357" s="44"/>
      <c r="R357" s="53"/>
      <c r="S357" s="81"/>
      <c r="T357" s="81"/>
      <c r="U357" s="81"/>
      <c r="V357" s="53"/>
      <c r="W357" s="31"/>
      <c r="X357" s="9"/>
      <c r="Y357" s="11"/>
      <c r="Z357" s="11"/>
      <c r="AA357" s="65"/>
      <c r="AB357" s="65"/>
      <c r="AC357" s="65"/>
      <c r="AD357" s="36"/>
      <c r="AE357" s="31"/>
      <c r="AF357" s="9"/>
      <c r="AG357" s="6"/>
      <c r="AH357" s="6"/>
      <c r="AI357" s="6"/>
      <c r="AJ357" s="36"/>
      <c r="AK357" s="31"/>
      <c r="AL357" s="9"/>
      <c r="AM357" s="6"/>
      <c r="AN357" s="6"/>
      <c r="AO357" s="6"/>
      <c r="AP357" s="36"/>
    </row>
    <row r="358" spans="1:42">
      <c r="A358" s="30">
        <v>336</v>
      </c>
      <c r="B358" s="131"/>
      <c r="C358" s="144" t="s">
        <v>1030</v>
      </c>
      <c r="D358" s="27"/>
      <c r="E358" s="27"/>
      <c r="F358" s="27"/>
      <c r="G358" s="27"/>
      <c r="H358" s="70" t="s">
        <v>1050</v>
      </c>
      <c r="I358" s="177" t="s">
        <v>833</v>
      </c>
      <c r="J358" s="138"/>
      <c r="K358" s="117"/>
      <c r="L358" s="6"/>
      <c r="M358" s="6"/>
      <c r="N358" s="6"/>
      <c r="O358" s="44"/>
      <c r="P358" s="44"/>
      <c r="Q358" s="44"/>
      <c r="R358" s="53"/>
      <c r="S358" s="81"/>
      <c r="T358" s="81"/>
      <c r="U358" s="81"/>
      <c r="V358" s="53"/>
      <c r="W358" s="31"/>
      <c r="X358" s="9"/>
      <c r="Y358" s="11"/>
      <c r="Z358" s="11"/>
      <c r="AA358" s="65"/>
      <c r="AB358" s="65"/>
      <c r="AC358" s="65"/>
      <c r="AD358" s="36"/>
      <c r="AE358" s="31"/>
      <c r="AF358" s="9"/>
      <c r="AG358" s="6"/>
      <c r="AH358" s="6"/>
      <c r="AI358" s="6"/>
      <c r="AJ358" s="36"/>
      <c r="AK358" s="31"/>
      <c r="AL358" s="9"/>
      <c r="AM358" s="6"/>
      <c r="AN358" s="6"/>
      <c r="AO358" s="6"/>
      <c r="AP358" s="36"/>
    </row>
    <row r="359" spans="1:42">
      <c r="A359" s="30">
        <v>337</v>
      </c>
      <c r="B359" s="131"/>
      <c r="C359" s="144" t="s">
        <v>1846</v>
      </c>
      <c r="D359" s="27"/>
      <c r="E359" s="27"/>
      <c r="F359" s="27"/>
      <c r="G359" s="27"/>
      <c r="H359" s="70" t="s">
        <v>1009</v>
      </c>
      <c r="I359" s="177" t="s">
        <v>847</v>
      </c>
      <c r="J359" s="138"/>
      <c r="K359" s="117"/>
      <c r="L359" s="6"/>
      <c r="M359" s="6"/>
      <c r="N359" s="6"/>
      <c r="O359" s="44"/>
      <c r="P359" s="44"/>
      <c r="Q359" s="44"/>
      <c r="R359" s="53"/>
      <c r="S359" s="81"/>
      <c r="T359" s="81"/>
      <c r="U359" s="81"/>
      <c r="V359" s="53"/>
      <c r="W359" s="31"/>
      <c r="X359" s="9"/>
      <c r="Y359" s="11"/>
      <c r="Z359" s="11"/>
      <c r="AA359" s="65"/>
      <c r="AB359" s="65"/>
      <c r="AC359" s="65"/>
      <c r="AD359" s="36"/>
      <c r="AE359" s="31"/>
      <c r="AF359" s="9"/>
      <c r="AG359" s="6"/>
      <c r="AH359" s="6"/>
      <c r="AI359" s="6"/>
      <c r="AJ359" s="36"/>
      <c r="AK359" s="31"/>
      <c r="AL359" s="9"/>
      <c r="AM359" s="6"/>
      <c r="AN359" s="6"/>
      <c r="AO359" s="6"/>
      <c r="AP359" s="36"/>
    </row>
    <row r="360" spans="1:42">
      <c r="A360" s="30">
        <v>338</v>
      </c>
      <c r="B360" s="131"/>
      <c r="C360" s="144" t="s">
        <v>1147</v>
      </c>
      <c r="D360" s="27"/>
      <c r="E360" s="27"/>
      <c r="F360" s="27"/>
      <c r="G360" s="27"/>
      <c r="H360" s="70" t="s">
        <v>1148</v>
      </c>
      <c r="I360" s="177" t="s">
        <v>847</v>
      </c>
      <c r="J360" s="138" t="s">
        <v>1149</v>
      </c>
      <c r="K360" s="117"/>
      <c r="L360" s="6"/>
      <c r="M360" s="6"/>
      <c r="N360" s="6"/>
      <c r="O360" s="44"/>
      <c r="P360" s="44"/>
      <c r="Q360" s="44"/>
      <c r="R360" s="53"/>
      <c r="S360" s="81"/>
      <c r="T360" s="81"/>
      <c r="U360" s="81"/>
      <c r="V360" s="53"/>
      <c r="W360" s="31"/>
      <c r="X360" s="9"/>
      <c r="Y360" s="11"/>
      <c r="Z360" s="11"/>
      <c r="AA360" s="65"/>
      <c r="AB360" s="65"/>
      <c r="AC360" s="65"/>
      <c r="AD360" s="36"/>
      <c r="AE360" s="31"/>
      <c r="AF360" s="9"/>
      <c r="AG360" s="6"/>
      <c r="AH360" s="6"/>
      <c r="AI360" s="6"/>
      <c r="AJ360" s="36"/>
      <c r="AK360" s="31"/>
      <c r="AL360" s="9"/>
      <c r="AM360" s="6"/>
      <c r="AN360" s="6"/>
      <c r="AO360" s="6"/>
      <c r="AP360" s="36"/>
    </row>
    <row r="361" spans="1:42">
      <c r="A361" s="30">
        <v>339</v>
      </c>
      <c r="B361" s="131"/>
      <c r="C361" s="144" t="s">
        <v>793</v>
      </c>
      <c r="D361" s="27"/>
      <c r="E361" s="27"/>
      <c r="F361" s="27"/>
      <c r="G361" s="27"/>
      <c r="H361" s="70" t="s">
        <v>794</v>
      </c>
      <c r="I361" s="177" t="s">
        <v>833</v>
      </c>
      <c r="J361" s="138"/>
      <c r="K361" s="117"/>
      <c r="L361" s="6"/>
      <c r="M361" s="6"/>
      <c r="N361" s="6"/>
      <c r="O361" s="44"/>
      <c r="P361" s="44"/>
      <c r="Q361" s="44"/>
      <c r="R361" s="53"/>
      <c r="S361" s="44"/>
      <c r="T361" s="44"/>
      <c r="U361" s="44"/>
      <c r="V361" s="53"/>
      <c r="W361" s="31"/>
      <c r="X361" s="9"/>
      <c r="Y361" s="11"/>
      <c r="Z361" s="11"/>
      <c r="AA361" s="63"/>
      <c r="AB361" s="63"/>
      <c r="AC361" s="63"/>
      <c r="AD361" s="36"/>
      <c r="AE361" s="31"/>
      <c r="AF361" s="9"/>
      <c r="AG361" s="6"/>
      <c r="AH361" s="6"/>
      <c r="AI361" s="6"/>
      <c r="AJ361" s="36"/>
      <c r="AK361" s="31"/>
      <c r="AL361" s="9"/>
      <c r="AM361" s="6"/>
      <c r="AN361" s="6"/>
      <c r="AO361" s="6"/>
      <c r="AP361" s="36"/>
    </row>
    <row r="362" spans="1:42">
      <c r="A362" s="30">
        <v>340</v>
      </c>
      <c r="B362" s="131"/>
      <c r="C362" s="144" t="s">
        <v>414</v>
      </c>
      <c r="D362" s="27"/>
      <c r="E362" s="27"/>
      <c r="F362" s="27"/>
      <c r="G362" s="27"/>
      <c r="H362" s="70" t="s">
        <v>1376</v>
      </c>
      <c r="I362" s="177" t="s">
        <v>853</v>
      </c>
      <c r="J362" s="138"/>
      <c r="K362" s="117"/>
      <c r="L362" s="6"/>
      <c r="M362" s="6"/>
      <c r="N362" s="6"/>
      <c r="O362" s="44"/>
      <c r="P362" s="44"/>
      <c r="Q362" s="44"/>
      <c r="R362" s="53"/>
      <c r="S362" s="44"/>
      <c r="T362" s="44"/>
      <c r="U362" s="44"/>
      <c r="V362" s="53"/>
      <c r="W362" s="31"/>
      <c r="X362" s="9"/>
      <c r="Y362" s="11"/>
      <c r="Z362" s="11"/>
      <c r="AA362" s="63"/>
      <c r="AB362" s="63"/>
      <c r="AC362" s="63"/>
      <c r="AD362" s="36"/>
      <c r="AE362" s="31"/>
      <c r="AF362" s="9"/>
      <c r="AG362" s="6"/>
      <c r="AH362" s="6"/>
      <c r="AI362" s="6"/>
      <c r="AJ362" s="36"/>
      <c r="AK362" s="31"/>
      <c r="AL362" s="9"/>
      <c r="AM362" s="6"/>
      <c r="AN362" s="6"/>
      <c r="AO362" s="6"/>
      <c r="AP362" s="36"/>
    </row>
    <row r="363" spans="1:42">
      <c r="A363" s="30">
        <v>341</v>
      </c>
      <c r="B363" s="131"/>
      <c r="C363" s="144" t="s">
        <v>516</v>
      </c>
      <c r="D363" s="27"/>
      <c r="E363" s="27"/>
      <c r="F363" s="27"/>
      <c r="G363" s="27"/>
      <c r="H363" s="70" t="s">
        <v>948</v>
      </c>
      <c r="I363" s="177" t="s">
        <v>833</v>
      </c>
      <c r="J363" s="138"/>
      <c r="K363" s="29"/>
      <c r="L363" s="11"/>
      <c r="M363" s="11"/>
      <c r="N363" s="11"/>
      <c r="O363" s="44"/>
      <c r="P363" s="44"/>
      <c r="Q363" s="44"/>
      <c r="R363" s="53"/>
      <c r="S363" s="47"/>
      <c r="T363" s="51"/>
      <c r="U363" s="51"/>
      <c r="V363" s="53"/>
      <c r="W363" s="31"/>
      <c r="X363" s="9"/>
      <c r="Y363" s="11"/>
      <c r="Z363" s="11"/>
      <c r="AA363" s="63"/>
      <c r="AB363" s="63"/>
      <c r="AC363" s="63"/>
      <c r="AD363" s="36"/>
      <c r="AE363" s="31"/>
      <c r="AF363" s="9"/>
      <c r="AG363" s="6"/>
      <c r="AH363" s="6"/>
      <c r="AI363" s="6"/>
      <c r="AJ363" s="36"/>
      <c r="AK363" s="31"/>
      <c r="AL363" s="9"/>
      <c r="AM363" s="6"/>
      <c r="AN363" s="6"/>
      <c r="AO363" s="6"/>
      <c r="AP363" s="36"/>
    </row>
    <row r="364" spans="1:42">
      <c r="A364" s="30">
        <v>342</v>
      </c>
      <c r="B364" s="131"/>
      <c r="C364" s="144" t="s">
        <v>1314</v>
      </c>
      <c r="D364" s="27"/>
      <c r="E364" s="27"/>
      <c r="F364" s="27"/>
      <c r="G364" s="27"/>
      <c r="H364" s="70" t="s">
        <v>1312</v>
      </c>
      <c r="I364" s="177" t="s">
        <v>1311</v>
      </c>
      <c r="J364" s="138" t="s">
        <v>1313</v>
      </c>
      <c r="K364" s="29"/>
      <c r="L364" s="11"/>
      <c r="M364" s="11"/>
      <c r="N364" s="11"/>
      <c r="O364" s="44"/>
      <c r="P364" s="44"/>
      <c r="Q364" s="44"/>
      <c r="R364" s="53"/>
      <c r="S364" s="47"/>
      <c r="T364" s="51"/>
      <c r="U364" s="51"/>
      <c r="V364" s="53"/>
      <c r="W364" s="31"/>
      <c r="X364" s="9"/>
      <c r="Y364" s="11"/>
      <c r="Z364" s="11"/>
      <c r="AA364" s="63"/>
      <c r="AB364" s="63"/>
      <c r="AC364" s="63"/>
      <c r="AD364" s="36"/>
      <c r="AE364" s="31"/>
      <c r="AF364" s="9"/>
      <c r="AG364" s="6"/>
      <c r="AH364" s="6"/>
      <c r="AI364" s="6"/>
      <c r="AJ364" s="36"/>
      <c r="AK364" s="31"/>
      <c r="AL364" s="9"/>
      <c r="AM364" s="6"/>
      <c r="AN364" s="6"/>
      <c r="AO364" s="6"/>
      <c r="AP364" s="36"/>
    </row>
    <row r="365" spans="1:42">
      <c r="A365" s="30">
        <v>343</v>
      </c>
      <c r="B365" s="131"/>
      <c r="C365" s="144" t="s">
        <v>1388</v>
      </c>
      <c r="D365" s="27"/>
      <c r="E365" s="27"/>
      <c r="F365" s="27"/>
      <c r="G365" s="27"/>
      <c r="H365" s="70" t="s">
        <v>1390</v>
      </c>
      <c r="I365" s="177" t="s">
        <v>1391</v>
      </c>
      <c r="J365" s="138" t="s">
        <v>1389</v>
      </c>
      <c r="K365" s="29"/>
      <c r="L365" s="11">
        <v>12400</v>
      </c>
      <c r="M365" s="11">
        <v>620</v>
      </c>
      <c r="N365" s="11">
        <v>13020</v>
      </c>
      <c r="O365" s="44"/>
      <c r="P365" s="44"/>
      <c r="Q365" s="44"/>
      <c r="R365" s="53"/>
      <c r="S365" s="44"/>
      <c r="T365" s="46"/>
      <c r="U365" s="46"/>
      <c r="V365" s="53"/>
      <c r="W365" s="31"/>
      <c r="X365" s="9"/>
      <c r="Y365" s="11"/>
      <c r="Z365" s="11"/>
      <c r="AA365" s="63"/>
      <c r="AB365" s="63"/>
      <c r="AC365" s="63"/>
      <c r="AD365" s="36"/>
      <c r="AE365" s="31"/>
      <c r="AF365" s="9"/>
      <c r="AG365" s="6"/>
      <c r="AH365" s="6"/>
      <c r="AI365" s="6"/>
      <c r="AJ365" s="36"/>
      <c r="AK365" s="31"/>
      <c r="AL365" s="9"/>
      <c r="AM365" s="6"/>
      <c r="AN365" s="6"/>
      <c r="AO365" s="6"/>
      <c r="AP365" s="36"/>
    </row>
    <row r="366" spans="1:42">
      <c r="A366" s="30">
        <v>344</v>
      </c>
      <c r="B366" s="131"/>
      <c r="C366" s="144" t="s">
        <v>956</v>
      </c>
      <c r="D366" s="27"/>
      <c r="E366" s="27"/>
      <c r="F366" s="27"/>
      <c r="G366" s="27"/>
      <c r="H366" s="70" t="s">
        <v>637</v>
      </c>
      <c r="I366" s="177"/>
      <c r="J366" s="138" t="s">
        <v>782</v>
      </c>
      <c r="K366" s="29"/>
      <c r="L366" s="11">
        <v>12400</v>
      </c>
      <c r="M366" s="11">
        <v>620</v>
      </c>
      <c r="N366" s="11">
        <v>13020</v>
      </c>
      <c r="O366" s="44"/>
      <c r="P366" s="44"/>
      <c r="Q366" s="44"/>
      <c r="R366" s="53"/>
      <c r="S366" s="44"/>
      <c r="T366" s="46"/>
      <c r="U366" s="46"/>
      <c r="V366" s="53"/>
      <c r="W366" s="111"/>
      <c r="AA366" s="112"/>
      <c r="AB366" s="112"/>
      <c r="AC366" s="112"/>
      <c r="AE366" s="111"/>
      <c r="AG366" s="8"/>
      <c r="AH366" s="8"/>
      <c r="AI366" s="8"/>
      <c r="AK366" s="111"/>
      <c r="AM366" s="8"/>
      <c r="AN366" s="8"/>
      <c r="AO366" s="8"/>
    </row>
    <row r="367" spans="1:42" ht="27">
      <c r="A367" s="30">
        <v>345</v>
      </c>
      <c r="B367" s="131"/>
      <c r="C367" s="144" t="s">
        <v>2120</v>
      </c>
      <c r="D367" s="27"/>
      <c r="E367" s="27"/>
      <c r="F367" s="27"/>
      <c r="G367" s="27"/>
      <c r="H367" s="70" t="s">
        <v>2122</v>
      </c>
      <c r="I367" s="177" t="s">
        <v>1186</v>
      </c>
      <c r="J367" s="138" t="s">
        <v>2121</v>
      </c>
      <c r="K367" s="29"/>
      <c r="L367" s="11"/>
      <c r="M367" s="11"/>
      <c r="N367" s="11"/>
      <c r="O367" s="44"/>
      <c r="P367" s="44"/>
      <c r="Q367" s="44"/>
      <c r="R367" s="53"/>
      <c r="S367" s="44"/>
      <c r="T367" s="46"/>
      <c r="U367" s="46"/>
      <c r="V367" s="53"/>
      <c r="W367" s="111"/>
      <c r="AA367" s="112"/>
      <c r="AB367" s="112"/>
      <c r="AC367" s="112"/>
      <c r="AE367" s="111"/>
      <c r="AG367" s="8"/>
      <c r="AH367" s="8"/>
      <c r="AI367" s="8"/>
      <c r="AK367" s="111"/>
      <c r="AM367" s="8"/>
      <c r="AN367" s="8"/>
      <c r="AO367" s="8"/>
    </row>
    <row r="368" spans="1:42">
      <c r="A368" s="30">
        <v>346</v>
      </c>
      <c r="B368" s="131"/>
      <c r="C368" s="144" t="s">
        <v>1195</v>
      </c>
      <c r="D368" s="27"/>
      <c r="E368" s="27"/>
      <c r="F368" s="27"/>
      <c r="G368" s="27"/>
      <c r="H368" s="106" t="s">
        <v>964</v>
      </c>
      <c r="I368" s="184" t="s">
        <v>946</v>
      </c>
      <c r="J368" s="138"/>
      <c r="K368" s="29"/>
      <c r="L368" s="11"/>
      <c r="M368" s="11"/>
      <c r="N368" s="11"/>
      <c r="O368" s="44"/>
      <c r="P368" s="44"/>
      <c r="Q368" s="44"/>
      <c r="R368" s="53"/>
      <c r="S368" s="44"/>
      <c r="T368" s="46"/>
      <c r="U368" s="46"/>
      <c r="V368" s="53"/>
      <c r="W368" s="111"/>
      <c r="AA368" s="112"/>
      <c r="AB368" s="112"/>
      <c r="AC368" s="112"/>
      <c r="AE368" s="111"/>
      <c r="AG368" s="8"/>
      <c r="AH368" s="8"/>
      <c r="AI368" s="8"/>
      <c r="AK368" s="111"/>
      <c r="AM368" s="8"/>
      <c r="AN368" s="8"/>
      <c r="AO368" s="8"/>
    </row>
    <row r="369" spans="1:42">
      <c r="A369" s="30">
        <v>347</v>
      </c>
      <c r="B369" s="131"/>
      <c r="C369" s="144" t="s">
        <v>1400</v>
      </c>
      <c r="D369" s="27"/>
      <c r="E369" s="27"/>
      <c r="F369" s="27"/>
      <c r="G369" s="27"/>
      <c r="H369" s="106" t="s">
        <v>1401</v>
      </c>
      <c r="I369" s="184" t="s">
        <v>946</v>
      </c>
      <c r="J369" s="138" t="s">
        <v>1402</v>
      </c>
      <c r="K369" s="29"/>
      <c r="L369" s="11"/>
      <c r="M369" s="11"/>
      <c r="N369" s="11"/>
      <c r="O369" s="44"/>
      <c r="P369" s="44"/>
      <c r="Q369" s="44"/>
      <c r="R369" s="53"/>
      <c r="S369" s="44"/>
      <c r="T369" s="46"/>
      <c r="U369" s="46"/>
      <c r="V369" s="53"/>
      <c r="W369" s="111"/>
      <c r="AA369" s="112"/>
      <c r="AB369" s="112"/>
      <c r="AC369" s="112"/>
      <c r="AE369" s="111"/>
      <c r="AG369" s="8"/>
      <c r="AH369" s="8"/>
      <c r="AI369" s="8"/>
      <c r="AK369" s="111"/>
      <c r="AM369" s="8"/>
      <c r="AN369" s="8"/>
      <c r="AO369" s="8"/>
    </row>
    <row r="370" spans="1:42" ht="27">
      <c r="A370" s="30">
        <v>348</v>
      </c>
      <c r="B370" s="131"/>
      <c r="C370" s="144" t="s">
        <v>561</v>
      </c>
      <c r="D370" s="27"/>
      <c r="E370" s="27"/>
      <c r="F370" s="27"/>
      <c r="G370" s="27"/>
      <c r="H370" s="70" t="s">
        <v>747</v>
      </c>
      <c r="I370" s="177"/>
      <c r="J370" s="138"/>
      <c r="K370" s="29"/>
      <c r="L370" s="11">
        <v>12400</v>
      </c>
      <c r="M370" s="11">
        <v>620</v>
      </c>
      <c r="N370" s="11">
        <v>13020</v>
      </c>
      <c r="O370" s="44"/>
      <c r="P370" s="44"/>
      <c r="Q370" s="44"/>
      <c r="R370" s="53"/>
      <c r="S370" s="44"/>
      <c r="T370" s="46"/>
      <c r="U370" s="46"/>
      <c r="V370" s="53"/>
      <c r="W370" s="111"/>
      <c r="AA370" s="112"/>
      <c r="AB370" s="112"/>
      <c r="AC370" s="112"/>
      <c r="AE370" s="111"/>
      <c r="AG370" s="8"/>
      <c r="AH370" s="8"/>
      <c r="AI370" s="8"/>
      <c r="AK370" s="111"/>
      <c r="AM370" s="8"/>
      <c r="AN370" s="8"/>
      <c r="AO370" s="8"/>
    </row>
    <row r="371" spans="1:42">
      <c r="A371" s="30">
        <v>349</v>
      </c>
      <c r="B371" s="131"/>
      <c r="C371" s="144" t="s">
        <v>1949</v>
      </c>
      <c r="D371" s="27"/>
      <c r="E371" s="27"/>
      <c r="F371" s="27"/>
      <c r="G371" s="27"/>
      <c r="H371" s="70" t="s">
        <v>2006</v>
      </c>
      <c r="I371" s="177" t="s">
        <v>1950</v>
      </c>
      <c r="J371" s="138" t="s">
        <v>657</v>
      </c>
      <c r="K371" s="29"/>
      <c r="L371" s="11">
        <v>12400</v>
      </c>
      <c r="M371" s="11">
        <v>620</v>
      </c>
      <c r="N371" s="11">
        <v>13020</v>
      </c>
      <c r="O371" s="44"/>
      <c r="P371" s="44"/>
      <c r="Q371" s="44"/>
      <c r="R371" s="53"/>
      <c r="S371" s="44"/>
      <c r="T371" s="46"/>
      <c r="U371" s="46"/>
      <c r="V371" s="53"/>
      <c r="W371" s="111"/>
      <c r="AA371" s="112"/>
      <c r="AB371" s="112"/>
      <c r="AC371" s="112"/>
      <c r="AE371" s="111"/>
      <c r="AG371" s="8"/>
      <c r="AH371" s="8"/>
      <c r="AI371" s="8"/>
      <c r="AK371" s="111"/>
      <c r="AM371" s="8"/>
      <c r="AN371" s="8"/>
      <c r="AO371" s="8"/>
    </row>
    <row r="372" spans="1:42">
      <c r="A372" s="30">
        <v>350</v>
      </c>
      <c r="B372" s="131"/>
      <c r="C372" s="144" t="s">
        <v>596</v>
      </c>
      <c r="D372" s="27"/>
      <c r="E372" s="27"/>
      <c r="F372" s="27"/>
      <c r="G372" s="27"/>
      <c r="H372" s="70" t="s">
        <v>1951</v>
      </c>
      <c r="I372" s="177" t="s">
        <v>1950</v>
      </c>
      <c r="J372" s="138" t="s">
        <v>616</v>
      </c>
      <c r="K372" s="29"/>
      <c r="L372" s="11"/>
      <c r="M372" s="11"/>
      <c r="N372" s="11"/>
      <c r="O372" s="44"/>
      <c r="P372" s="44"/>
      <c r="Q372" s="44"/>
      <c r="R372" s="53"/>
      <c r="S372" s="44"/>
      <c r="T372" s="46"/>
      <c r="U372" s="46"/>
      <c r="V372" s="53"/>
      <c r="W372" s="111"/>
      <c r="AA372" s="112"/>
      <c r="AB372" s="112"/>
      <c r="AC372" s="112"/>
      <c r="AE372" s="111"/>
      <c r="AG372" s="8"/>
      <c r="AH372" s="8"/>
      <c r="AI372" s="8"/>
      <c r="AK372" s="111"/>
      <c r="AM372" s="8"/>
      <c r="AN372" s="8"/>
      <c r="AO372" s="8"/>
    </row>
    <row r="373" spans="1:42">
      <c r="A373" s="30">
        <v>351</v>
      </c>
      <c r="B373" s="131"/>
      <c r="C373" s="144" t="s">
        <v>1531</v>
      </c>
      <c r="D373" s="27"/>
      <c r="E373" s="27"/>
      <c r="F373" s="27"/>
      <c r="G373" s="27"/>
      <c r="H373" s="70" t="s">
        <v>1532</v>
      </c>
      <c r="I373" s="177"/>
      <c r="J373" s="138" t="s">
        <v>146</v>
      </c>
      <c r="K373" s="29"/>
      <c r="L373" s="11">
        <v>12400</v>
      </c>
      <c r="M373" s="11">
        <v>620</v>
      </c>
      <c r="N373" s="11">
        <v>13020</v>
      </c>
      <c r="O373" s="44"/>
      <c r="P373" s="44"/>
      <c r="Q373" s="44"/>
      <c r="R373" s="53"/>
      <c r="S373" s="44"/>
      <c r="T373" s="46"/>
      <c r="U373" s="46"/>
      <c r="V373" s="53"/>
      <c r="W373" s="111"/>
      <c r="AA373" s="112"/>
      <c r="AB373" s="112"/>
      <c r="AC373" s="112"/>
      <c r="AE373" s="111"/>
      <c r="AG373" s="8"/>
      <c r="AH373" s="8"/>
      <c r="AI373" s="8"/>
      <c r="AK373" s="111"/>
      <c r="AM373" s="8"/>
      <c r="AN373" s="8"/>
      <c r="AO373" s="8"/>
    </row>
    <row r="374" spans="1:42">
      <c r="A374" s="30">
        <v>352</v>
      </c>
      <c r="B374" s="131"/>
      <c r="C374" s="144" t="s">
        <v>365</v>
      </c>
      <c r="D374" s="27"/>
      <c r="E374" s="27"/>
      <c r="F374" s="27"/>
      <c r="G374" s="27"/>
      <c r="H374" s="70" t="s">
        <v>1439</v>
      </c>
      <c r="I374" s="177" t="s">
        <v>1440</v>
      </c>
      <c r="J374" s="138" t="s">
        <v>613</v>
      </c>
      <c r="K374" s="117"/>
      <c r="L374" s="6">
        <v>7020</v>
      </c>
      <c r="M374" s="6">
        <v>351</v>
      </c>
      <c r="N374" s="6">
        <v>7371</v>
      </c>
      <c r="O374" s="44"/>
      <c r="P374" s="44"/>
      <c r="Q374" s="44"/>
      <c r="R374" s="53"/>
      <c r="S374" s="44"/>
      <c r="T374" s="44"/>
      <c r="U374" s="44"/>
      <c r="V374" s="53"/>
      <c r="W374" s="31"/>
      <c r="X374" s="9"/>
      <c r="Y374" s="11"/>
      <c r="Z374" s="11"/>
      <c r="AA374" s="63"/>
      <c r="AB374" s="63"/>
      <c r="AC374" s="63"/>
      <c r="AD374" s="36"/>
      <c r="AE374" s="31"/>
      <c r="AF374" s="9"/>
      <c r="AG374" s="6"/>
      <c r="AH374" s="6"/>
      <c r="AI374" s="6"/>
      <c r="AJ374" s="36"/>
      <c r="AK374" s="31"/>
      <c r="AL374" s="9"/>
      <c r="AM374" s="6"/>
      <c r="AN374" s="6"/>
      <c r="AO374" s="6"/>
      <c r="AP374" s="36"/>
    </row>
    <row r="375" spans="1:42">
      <c r="A375" s="30">
        <v>353</v>
      </c>
      <c r="B375" s="131"/>
      <c r="C375" s="144" t="s">
        <v>281</v>
      </c>
      <c r="D375" s="27"/>
      <c r="E375" s="27"/>
      <c r="F375" s="27"/>
      <c r="G375" s="27"/>
      <c r="H375" s="70" t="s">
        <v>1441</v>
      </c>
      <c r="I375" s="177" t="s">
        <v>951</v>
      </c>
      <c r="J375" s="138" t="s">
        <v>613</v>
      </c>
      <c r="K375" s="117"/>
      <c r="L375" s="6">
        <v>480</v>
      </c>
      <c r="M375" s="6">
        <v>24</v>
      </c>
      <c r="N375" s="6">
        <v>504</v>
      </c>
      <c r="O375" s="44"/>
      <c r="P375" s="44"/>
      <c r="Q375" s="44"/>
      <c r="R375" s="53"/>
      <c r="S375" s="45"/>
      <c r="T375" s="45"/>
      <c r="U375" s="45"/>
      <c r="V375" s="53"/>
      <c r="W375" s="31"/>
      <c r="X375" s="9"/>
      <c r="Y375" s="11"/>
      <c r="Z375" s="11"/>
      <c r="AA375" s="63"/>
      <c r="AB375" s="63"/>
      <c r="AC375" s="63"/>
      <c r="AD375" s="36"/>
      <c r="AE375" s="31"/>
      <c r="AF375" s="9"/>
      <c r="AG375" s="6"/>
      <c r="AH375" s="6"/>
      <c r="AI375" s="6"/>
      <c r="AJ375" s="36"/>
      <c r="AK375" s="31"/>
      <c r="AL375" s="9"/>
      <c r="AM375" s="6"/>
      <c r="AN375" s="6"/>
      <c r="AO375" s="6"/>
      <c r="AP375" s="36"/>
    </row>
    <row r="376" spans="1:42">
      <c r="A376" s="30">
        <v>354</v>
      </c>
      <c r="B376" s="131"/>
      <c r="C376" s="144" t="s">
        <v>367</v>
      </c>
      <c r="D376" s="27"/>
      <c r="E376" s="27"/>
      <c r="F376" s="27"/>
      <c r="G376" s="27"/>
      <c r="H376" s="70" t="s">
        <v>748</v>
      </c>
      <c r="I376" s="177" t="s">
        <v>876</v>
      </c>
      <c r="J376" s="138" t="s">
        <v>685</v>
      </c>
      <c r="K376" s="117"/>
      <c r="L376" s="6"/>
      <c r="M376" s="6"/>
      <c r="N376" s="6"/>
      <c r="O376" s="44"/>
      <c r="P376" s="44"/>
      <c r="Q376" s="44"/>
      <c r="R376" s="53"/>
      <c r="S376" s="45"/>
      <c r="T376" s="45"/>
      <c r="U376" s="45"/>
      <c r="V376" s="53"/>
      <c r="W376" s="31"/>
      <c r="X376" s="9"/>
      <c r="Y376" s="11"/>
      <c r="Z376" s="11"/>
      <c r="AA376" s="63"/>
      <c r="AB376" s="63"/>
      <c r="AC376" s="63"/>
      <c r="AD376" s="36"/>
      <c r="AE376" s="31"/>
      <c r="AF376" s="9"/>
      <c r="AG376" s="6"/>
      <c r="AH376" s="6"/>
      <c r="AI376" s="6"/>
      <c r="AJ376" s="36"/>
      <c r="AK376" s="31"/>
      <c r="AL376" s="9"/>
      <c r="AM376" s="6"/>
      <c r="AN376" s="6"/>
      <c r="AO376" s="6"/>
      <c r="AP376" s="36"/>
    </row>
    <row r="377" spans="1:42">
      <c r="A377" s="30">
        <v>355</v>
      </c>
      <c r="B377" s="131"/>
      <c r="C377" s="144" t="s">
        <v>1990</v>
      </c>
      <c r="D377" s="27"/>
      <c r="E377" s="27"/>
      <c r="F377" s="27"/>
      <c r="G377" s="27"/>
      <c r="H377" s="70" t="s">
        <v>1991</v>
      </c>
      <c r="I377" s="177" t="s">
        <v>876</v>
      </c>
      <c r="J377" s="138"/>
      <c r="K377" s="117"/>
      <c r="L377" s="6"/>
      <c r="M377" s="6"/>
      <c r="N377" s="6"/>
      <c r="O377" s="44"/>
      <c r="P377" s="44"/>
      <c r="Q377" s="44"/>
      <c r="R377" s="53"/>
      <c r="S377" s="45"/>
      <c r="T377" s="45"/>
      <c r="U377" s="45"/>
      <c r="V377" s="53"/>
      <c r="W377" s="31"/>
      <c r="X377" s="9"/>
      <c r="Y377" s="11"/>
      <c r="Z377" s="11"/>
      <c r="AA377" s="63"/>
      <c r="AB377" s="63"/>
      <c r="AC377" s="63"/>
      <c r="AD377" s="36"/>
      <c r="AE377" s="31"/>
      <c r="AF377" s="9"/>
      <c r="AG377" s="6"/>
      <c r="AH377" s="6"/>
      <c r="AI377" s="6"/>
      <c r="AJ377" s="36"/>
      <c r="AK377" s="31"/>
      <c r="AL377" s="9"/>
      <c r="AM377" s="6"/>
      <c r="AN377" s="6"/>
      <c r="AO377" s="6"/>
      <c r="AP377" s="36"/>
    </row>
    <row r="378" spans="1:42" ht="27">
      <c r="A378" s="30">
        <v>356</v>
      </c>
      <c r="B378" s="131"/>
      <c r="C378" s="144" t="s">
        <v>256</v>
      </c>
      <c r="D378" s="27"/>
      <c r="E378" s="27"/>
      <c r="F378" s="27"/>
      <c r="G378" s="27"/>
      <c r="H378" s="70" t="s">
        <v>858</v>
      </c>
      <c r="I378" s="177" t="s">
        <v>859</v>
      </c>
      <c r="J378" s="138" t="s">
        <v>857</v>
      </c>
      <c r="K378" s="29"/>
      <c r="L378" s="11">
        <v>21600</v>
      </c>
      <c r="M378" s="11">
        <v>1080</v>
      </c>
      <c r="N378" s="11">
        <v>22680</v>
      </c>
      <c r="O378" s="44"/>
      <c r="P378" s="44"/>
      <c r="Q378" s="44"/>
      <c r="R378" s="53"/>
      <c r="S378" s="90"/>
      <c r="T378" s="90"/>
      <c r="U378" s="90"/>
      <c r="V378" s="53"/>
      <c r="W378" s="31"/>
      <c r="X378" s="9"/>
      <c r="Y378" s="11"/>
      <c r="Z378" s="11"/>
      <c r="AA378" s="91"/>
      <c r="AB378" s="91"/>
      <c r="AC378" s="91"/>
      <c r="AD378" s="36"/>
      <c r="AE378" s="31"/>
      <c r="AF378" s="9"/>
      <c r="AG378" s="6"/>
      <c r="AH378" s="6"/>
      <c r="AI378" s="6"/>
      <c r="AJ378" s="36"/>
      <c r="AK378" s="31"/>
      <c r="AL378" s="9"/>
      <c r="AM378" s="6"/>
      <c r="AN378" s="6"/>
      <c r="AO378" s="6"/>
      <c r="AP378" s="36"/>
    </row>
    <row r="379" spans="1:42" ht="27">
      <c r="A379" s="30">
        <v>357</v>
      </c>
      <c r="B379" s="131"/>
      <c r="C379" s="144" t="s">
        <v>1394</v>
      </c>
      <c r="D379" s="27"/>
      <c r="E379" s="27"/>
      <c r="F379" s="27"/>
      <c r="G379" s="27"/>
      <c r="H379" s="70" t="s">
        <v>1392</v>
      </c>
      <c r="I379" s="177" t="s">
        <v>874</v>
      </c>
      <c r="J379" s="138" t="s">
        <v>1393</v>
      </c>
      <c r="K379" s="29"/>
      <c r="L379" s="11"/>
      <c r="M379" s="11"/>
      <c r="N379" s="11"/>
      <c r="O379" s="44"/>
      <c r="P379" s="44"/>
      <c r="Q379" s="44"/>
      <c r="R379" s="53"/>
      <c r="S379" s="90"/>
      <c r="T379" s="90"/>
      <c r="U379" s="90"/>
      <c r="V379" s="53"/>
      <c r="W379" s="31"/>
      <c r="X379" s="9"/>
      <c r="Y379" s="11"/>
      <c r="Z379" s="11"/>
      <c r="AA379" s="91"/>
      <c r="AB379" s="91"/>
      <c r="AC379" s="91"/>
      <c r="AD379" s="36"/>
      <c r="AE379" s="31"/>
      <c r="AF379" s="9"/>
      <c r="AG379" s="6"/>
      <c r="AH379" s="6"/>
      <c r="AI379" s="6"/>
      <c r="AJ379" s="36"/>
      <c r="AK379" s="31"/>
      <c r="AL379" s="9"/>
      <c r="AM379" s="6"/>
      <c r="AN379" s="6"/>
      <c r="AO379" s="6"/>
      <c r="AP379" s="36"/>
    </row>
    <row r="380" spans="1:42">
      <c r="A380" s="30">
        <v>358</v>
      </c>
      <c r="B380" s="131"/>
      <c r="C380" s="144" t="s">
        <v>1527</v>
      </c>
      <c r="D380" s="27"/>
      <c r="E380" s="27"/>
      <c r="F380" s="27"/>
      <c r="G380" s="27"/>
      <c r="H380" s="70" t="s">
        <v>1504</v>
      </c>
      <c r="I380" s="177" t="s">
        <v>1503</v>
      </c>
      <c r="J380" s="138" t="s">
        <v>1502</v>
      </c>
      <c r="K380" s="29"/>
      <c r="L380" s="11"/>
      <c r="M380" s="11"/>
      <c r="N380" s="11"/>
      <c r="O380" s="44"/>
      <c r="P380" s="44"/>
      <c r="Q380" s="44"/>
      <c r="R380" s="53"/>
      <c r="S380" s="90"/>
      <c r="T380" s="90"/>
      <c r="U380" s="90"/>
      <c r="V380" s="53"/>
      <c r="W380" s="31"/>
      <c r="X380" s="9"/>
      <c r="Y380" s="11"/>
      <c r="Z380" s="11"/>
      <c r="AA380" s="91"/>
      <c r="AB380" s="91"/>
      <c r="AC380" s="91"/>
      <c r="AD380" s="36"/>
      <c r="AE380" s="31"/>
      <c r="AF380" s="9"/>
      <c r="AG380" s="6"/>
      <c r="AH380" s="6"/>
      <c r="AI380" s="6"/>
      <c r="AJ380" s="36"/>
      <c r="AK380" s="31"/>
      <c r="AL380" s="9"/>
      <c r="AM380" s="6"/>
      <c r="AN380" s="6"/>
      <c r="AO380" s="6"/>
      <c r="AP380" s="36"/>
    </row>
    <row r="381" spans="1:42" ht="27">
      <c r="A381" s="30">
        <v>359</v>
      </c>
      <c r="B381" s="131"/>
      <c r="C381" s="144" t="s">
        <v>1821</v>
      </c>
      <c r="D381" s="27"/>
      <c r="E381" s="27"/>
      <c r="F381" s="27"/>
      <c r="G381" s="27"/>
      <c r="H381" s="70" t="s">
        <v>792</v>
      </c>
      <c r="I381" s="177" t="s">
        <v>860</v>
      </c>
      <c r="J381" s="138" t="s">
        <v>253</v>
      </c>
      <c r="K381" s="29"/>
      <c r="L381" s="11"/>
      <c r="M381" s="11"/>
      <c r="N381" s="11"/>
      <c r="O381" s="44"/>
      <c r="P381" s="44"/>
      <c r="Q381" s="44"/>
      <c r="R381" s="53"/>
      <c r="S381" s="90"/>
      <c r="T381" s="90"/>
      <c r="U381" s="90"/>
      <c r="V381" s="53"/>
      <c r="W381" s="31"/>
      <c r="X381" s="9"/>
      <c r="Y381" s="11"/>
      <c r="Z381" s="11"/>
      <c r="AA381" s="91"/>
      <c r="AB381" s="91"/>
      <c r="AC381" s="91"/>
      <c r="AD381" s="36"/>
      <c r="AE381" s="31"/>
      <c r="AF381" s="9"/>
      <c r="AG381" s="6"/>
      <c r="AH381" s="6"/>
      <c r="AI381" s="6"/>
      <c r="AJ381" s="36"/>
      <c r="AK381" s="31"/>
      <c r="AL381" s="9"/>
      <c r="AM381" s="6"/>
      <c r="AN381" s="6"/>
      <c r="AO381" s="6"/>
      <c r="AP381" s="36"/>
    </row>
    <row r="382" spans="1:42">
      <c r="A382" s="30">
        <v>360</v>
      </c>
      <c r="B382" s="131"/>
      <c r="C382" s="144" t="s">
        <v>1130</v>
      </c>
      <c r="D382" s="27"/>
      <c r="E382" s="27"/>
      <c r="F382" s="27"/>
      <c r="G382" s="27"/>
      <c r="H382" s="70" t="s">
        <v>667</v>
      </c>
      <c r="I382" s="177" t="s">
        <v>873</v>
      </c>
      <c r="J382" s="138" t="s">
        <v>666</v>
      </c>
      <c r="K382" s="29"/>
      <c r="L382" s="11">
        <v>3915</v>
      </c>
      <c r="M382" s="11">
        <v>195.75</v>
      </c>
      <c r="N382" s="11">
        <v>4110.75</v>
      </c>
      <c r="O382" s="44"/>
      <c r="P382" s="44"/>
      <c r="Q382" s="44"/>
      <c r="R382" s="53"/>
      <c r="S382" s="44"/>
      <c r="T382" s="46"/>
      <c r="U382" s="46"/>
      <c r="V382" s="53"/>
      <c r="W382" s="31"/>
      <c r="X382" s="9"/>
      <c r="Y382" s="11"/>
      <c r="Z382" s="11"/>
      <c r="AA382" s="63"/>
      <c r="AB382" s="63"/>
      <c r="AC382" s="63"/>
      <c r="AD382" s="36"/>
      <c r="AE382" s="31"/>
      <c r="AF382" s="9"/>
      <c r="AG382" s="6"/>
      <c r="AH382" s="6"/>
      <c r="AI382" s="6"/>
      <c r="AJ382" s="36"/>
      <c r="AK382" s="31"/>
      <c r="AL382" s="9"/>
      <c r="AM382" s="6"/>
      <c r="AN382" s="6"/>
      <c r="AO382" s="6"/>
      <c r="AP382" s="36"/>
    </row>
    <row r="383" spans="1:42">
      <c r="A383" s="30">
        <v>361</v>
      </c>
      <c r="B383" s="131"/>
      <c r="C383" s="144" t="s">
        <v>619</v>
      </c>
      <c r="D383" s="27"/>
      <c r="E383" s="27"/>
      <c r="F383" s="27"/>
      <c r="G383" s="27"/>
      <c r="H383" s="70" t="s">
        <v>749</v>
      </c>
      <c r="I383" s="177"/>
      <c r="J383" s="138"/>
      <c r="K383" s="117"/>
      <c r="L383" s="6">
        <v>400</v>
      </c>
      <c r="M383" s="6">
        <v>20</v>
      </c>
      <c r="N383" s="6">
        <v>420</v>
      </c>
      <c r="O383" s="44"/>
      <c r="P383" s="44"/>
      <c r="Q383" s="44"/>
      <c r="R383" s="53"/>
      <c r="S383" s="44"/>
      <c r="T383" s="44"/>
      <c r="U383" s="44"/>
      <c r="V383" s="53"/>
      <c r="W383" s="31"/>
      <c r="X383" s="9"/>
      <c r="Y383" s="11"/>
      <c r="Z383" s="11"/>
      <c r="AA383" s="63"/>
      <c r="AB383" s="63"/>
      <c r="AC383" s="63"/>
      <c r="AD383" s="36"/>
      <c r="AE383" s="31"/>
      <c r="AF383" s="9"/>
      <c r="AG383" s="6"/>
      <c r="AH383" s="6"/>
      <c r="AI383" s="6"/>
      <c r="AJ383" s="36"/>
      <c r="AK383" s="31"/>
      <c r="AL383" s="9"/>
      <c r="AM383" s="6"/>
      <c r="AN383" s="6"/>
      <c r="AO383" s="6"/>
      <c r="AP383" s="36"/>
    </row>
    <row r="384" spans="1:42">
      <c r="A384" s="30">
        <v>362</v>
      </c>
      <c r="B384" s="131"/>
      <c r="C384" s="144" t="s">
        <v>549</v>
      </c>
      <c r="D384" s="27"/>
      <c r="E384" s="27"/>
      <c r="F384" s="27"/>
      <c r="G384" s="27"/>
      <c r="H384" s="70" t="s">
        <v>750</v>
      </c>
      <c r="I384" s="177" t="s">
        <v>945</v>
      </c>
      <c r="J384" s="138" t="s">
        <v>604</v>
      </c>
      <c r="K384" s="29"/>
      <c r="L384" s="11">
        <v>24130</v>
      </c>
      <c r="M384" s="11">
        <v>1206.5</v>
      </c>
      <c r="N384" s="11">
        <v>25336.5</v>
      </c>
      <c r="O384" s="44"/>
      <c r="P384" s="44"/>
      <c r="Q384" s="44"/>
      <c r="R384" s="53"/>
      <c r="S384" s="44"/>
      <c r="T384" s="46"/>
      <c r="U384" s="46"/>
      <c r="V384" s="53"/>
      <c r="W384" s="31"/>
      <c r="X384" s="9"/>
      <c r="Y384" s="11"/>
      <c r="Z384" s="11"/>
      <c r="AA384" s="63"/>
      <c r="AB384" s="63"/>
      <c r="AC384" s="63"/>
      <c r="AD384" s="36"/>
      <c r="AE384" s="31"/>
      <c r="AF384" s="9"/>
      <c r="AG384" s="6"/>
      <c r="AH384" s="6"/>
      <c r="AI384" s="6"/>
      <c r="AJ384" s="36"/>
      <c r="AK384" s="31"/>
      <c r="AL384" s="9"/>
      <c r="AM384" s="6"/>
      <c r="AN384" s="6"/>
      <c r="AO384" s="6"/>
      <c r="AP384" s="36"/>
    </row>
    <row r="385" spans="1:42">
      <c r="A385" s="30">
        <v>363</v>
      </c>
      <c r="B385" s="131"/>
      <c r="C385" s="164" t="s">
        <v>1707</v>
      </c>
      <c r="D385" s="196"/>
      <c r="E385" s="196"/>
      <c r="F385" s="196"/>
      <c r="G385" s="196"/>
      <c r="H385" s="70" t="s">
        <v>1696</v>
      </c>
      <c r="I385" s="177" t="s">
        <v>1489</v>
      </c>
      <c r="J385" s="138"/>
      <c r="K385" s="120"/>
      <c r="L385" s="6"/>
      <c r="M385" s="6"/>
      <c r="N385" s="6"/>
      <c r="O385" s="44"/>
      <c r="P385" s="44"/>
      <c r="Q385" s="44"/>
      <c r="R385" s="53"/>
      <c r="S385" s="44"/>
      <c r="T385" s="44"/>
      <c r="U385" s="44"/>
      <c r="V385" s="53"/>
      <c r="W385" s="31"/>
      <c r="X385" s="9"/>
      <c r="Y385" s="11"/>
      <c r="Z385" s="11"/>
      <c r="AA385" s="63"/>
      <c r="AB385" s="63"/>
      <c r="AC385" s="63"/>
      <c r="AD385" s="36"/>
      <c r="AE385" s="31"/>
      <c r="AF385" s="9"/>
      <c r="AG385" s="6"/>
      <c r="AH385" s="6"/>
      <c r="AI385" s="6"/>
      <c r="AJ385" s="36"/>
      <c r="AK385" s="31"/>
      <c r="AL385" s="9"/>
      <c r="AM385" s="6"/>
      <c r="AN385" s="6"/>
      <c r="AO385" s="6"/>
      <c r="AP385" s="36"/>
    </row>
    <row r="386" spans="1:42">
      <c r="A386" s="30">
        <v>364</v>
      </c>
      <c r="B386" s="131"/>
      <c r="C386" s="144" t="s">
        <v>254</v>
      </c>
      <c r="D386" s="27"/>
      <c r="E386" s="27"/>
      <c r="F386" s="27"/>
      <c r="G386" s="27"/>
      <c r="H386" s="70" t="s">
        <v>751</v>
      </c>
      <c r="I386" s="177" t="s">
        <v>1995</v>
      </c>
      <c r="J386" s="138" t="s">
        <v>613</v>
      </c>
      <c r="K386" s="117"/>
      <c r="L386" s="6">
        <v>17185</v>
      </c>
      <c r="M386" s="6">
        <v>859.25</v>
      </c>
      <c r="N386" s="6">
        <v>18044.25</v>
      </c>
      <c r="O386" s="44"/>
      <c r="P386" s="44"/>
      <c r="Q386" s="44"/>
      <c r="R386" s="53"/>
      <c r="S386" s="44"/>
      <c r="T386" s="44"/>
      <c r="U386" s="44"/>
      <c r="V386" s="53"/>
      <c r="W386" s="31"/>
      <c r="X386" s="9"/>
      <c r="Y386" s="11"/>
      <c r="Z386" s="11"/>
      <c r="AA386" s="63"/>
      <c r="AB386" s="63"/>
      <c r="AC386" s="63"/>
      <c r="AD386" s="36"/>
      <c r="AE386" s="31"/>
      <c r="AF386" s="9"/>
      <c r="AG386" s="6"/>
      <c r="AH386" s="6"/>
      <c r="AI386" s="6"/>
      <c r="AJ386" s="36"/>
      <c r="AK386" s="31"/>
      <c r="AL386" s="9"/>
      <c r="AM386" s="6"/>
      <c r="AN386" s="6"/>
      <c r="AO386" s="6"/>
      <c r="AP386" s="36"/>
    </row>
    <row r="387" spans="1:42">
      <c r="A387" s="30">
        <v>365</v>
      </c>
      <c r="B387" s="131"/>
      <c r="C387" s="144" t="s">
        <v>1643</v>
      </c>
      <c r="D387" s="27"/>
      <c r="E387" s="27"/>
      <c r="F387" s="27"/>
      <c r="G387" s="27"/>
      <c r="H387" s="70" t="s">
        <v>1644</v>
      </c>
      <c r="I387" s="177" t="s">
        <v>1999</v>
      </c>
      <c r="J387" s="137" t="s">
        <v>991</v>
      </c>
      <c r="K387" s="117"/>
      <c r="L387" s="6"/>
      <c r="M387" s="6"/>
      <c r="N387" s="6"/>
      <c r="O387" s="44"/>
      <c r="P387" s="44"/>
      <c r="Q387" s="44"/>
      <c r="R387" s="53"/>
      <c r="S387" s="45"/>
      <c r="T387" s="45"/>
      <c r="U387" s="45"/>
      <c r="V387" s="53"/>
      <c r="W387" s="31"/>
      <c r="X387" s="9"/>
      <c r="Y387" s="11"/>
      <c r="Z387" s="11"/>
      <c r="AA387" s="68"/>
      <c r="AB387" s="68"/>
      <c r="AC387" s="68"/>
      <c r="AD387" s="36"/>
      <c r="AE387" s="31"/>
      <c r="AF387" s="9"/>
      <c r="AG387" s="6"/>
      <c r="AH387" s="6"/>
      <c r="AI387" s="6"/>
      <c r="AJ387" s="36"/>
      <c r="AK387" s="31"/>
      <c r="AL387" s="9"/>
      <c r="AM387" s="6"/>
      <c r="AN387" s="6"/>
      <c r="AO387" s="6"/>
      <c r="AP387" s="36"/>
    </row>
    <row r="388" spans="1:42">
      <c r="A388" s="30">
        <v>366</v>
      </c>
      <c r="B388" s="131"/>
      <c r="C388" s="144" t="s">
        <v>1908</v>
      </c>
      <c r="D388" s="27"/>
      <c r="E388" s="27"/>
      <c r="F388" s="27"/>
      <c r="G388" s="27"/>
      <c r="H388" s="70" t="s">
        <v>1442</v>
      </c>
      <c r="I388" s="177" t="s">
        <v>2000</v>
      </c>
      <c r="J388" s="137"/>
      <c r="K388" s="117"/>
      <c r="L388" s="6"/>
      <c r="M388" s="6"/>
      <c r="N388" s="6"/>
      <c r="O388" s="44"/>
      <c r="P388" s="44"/>
      <c r="Q388" s="44"/>
      <c r="R388" s="53"/>
      <c r="S388" s="45"/>
      <c r="T388" s="45"/>
      <c r="U388" s="45"/>
      <c r="V388" s="53"/>
      <c r="W388" s="31"/>
      <c r="X388" s="9"/>
      <c r="Y388" s="11"/>
      <c r="Z388" s="11"/>
      <c r="AA388" s="68"/>
      <c r="AB388" s="68"/>
      <c r="AC388" s="68"/>
      <c r="AD388" s="36"/>
      <c r="AE388" s="31"/>
      <c r="AF388" s="9"/>
      <c r="AG388" s="6"/>
      <c r="AH388" s="6"/>
      <c r="AI388" s="6"/>
      <c r="AJ388" s="36"/>
      <c r="AK388" s="31"/>
      <c r="AL388" s="9"/>
      <c r="AM388" s="6"/>
      <c r="AN388" s="6"/>
      <c r="AO388" s="6"/>
      <c r="AP388" s="36"/>
    </row>
    <row r="389" spans="1:42">
      <c r="A389" s="30">
        <v>367</v>
      </c>
      <c r="B389" s="131"/>
      <c r="C389" s="144" t="s">
        <v>360</v>
      </c>
      <c r="D389" s="27"/>
      <c r="E389" s="27"/>
      <c r="F389" s="27"/>
      <c r="G389" s="27"/>
      <c r="H389" s="70" t="s">
        <v>752</v>
      </c>
      <c r="I389" s="177"/>
      <c r="J389" s="140"/>
      <c r="K389" s="117"/>
      <c r="L389" s="6"/>
      <c r="M389" s="6"/>
      <c r="N389" s="6"/>
      <c r="O389" s="44"/>
      <c r="P389" s="44"/>
      <c r="Q389" s="44"/>
      <c r="R389" s="53"/>
      <c r="S389" s="44"/>
      <c r="T389" s="44"/>
      <c r="U389" s="44"/>
      <c r="V389" s="53"/>
      <c r="W389" s="31"/>
      <c r="X389" s="9"/>
      <c r="Y389" s="11"/>
      <c r="Z389" s="11"/>
      <c r="AA389" s="63"/>
      <c r="AB389" s="63"/>
      <c r="AC389" s="63"/>
      <c r="AD389" s="36"/>
      <c r="AE389" s="31"/>
      <c r="AF389" s="9"/>
      <c r="AG389" s="6"/>
      <c r="AH389" s="6"/>
      <c r="AI389" s="6"/>
      <c r="AJ389" s="36"/>
      <c r="AK389" s="31"/>
      <c r="AL389" s="9"/>
      <c r="AM389" s="6"/>
      <c r="AN389" s="6"/>
      <c r="AO389" s="6"/>
      <c r="AP389" s="36"/>
    </row>
    <row r="390" spans="1:42">
      <c r="A390" s="30">
        <v>368</v>
      </c>
      <c r="B390" s="147"/>
      <c r="C390" s="144" t="s">
        <v>533</v>
      </c>
      <c r="D390" s="27"/>
      <c r="E390" s="27"/>
      <c r="F390" s="27"/>
      <c r="G390" s="27"/>
      <c r="H390" s="70" t="s">
        <v>628</v>
      </c>
      <c r="I390" s="177"/>
      <c r="J390" s="140" t="s">
        <v>627</v>
      </c>
      <c r="K390" s="117"/>
      <c r="L390" s="6"/>
      <c r="M390" s="6"/>
      <c r="N390" s="5"/>
      <c r="O390" s="44"/>
      <c r="P390" s="44"/>
      <c r="Q390" s="44"/>
      <c r="R390" s="53"/>
      <c r="S390" s="44"/>
      <c r="T390" s="44"/>
      <c r="U390" s="44"/>
      <c r="V390" s="53"/>
      <c r="W390" s="31"/>
      <c r="X390" s="9"/>
      <c r="Y390" s="11"/>
      <c r="Z390" s="11"/>
      <c r="AA390" s="63"/>
      <c r="AB390" s="63"/>
      <c r="AC390" s="63"/>
      <c r="AD390" s="36"/>
      <c r="AE390" s="31"/>
      <c r="AF390" s="9"/>
      <c r="AG390" s="6"/>
      <c r="AH390" s="6"/>
      <c r="AI390" s="6"/>
      <c r="AJ390" s="36"/>
      <c r="AK390" s="31"/>
      <c r="AL390" s="9"/>
      <c r="AM390" s="6"/>
      <c r="AN390" s="6"/>
      <c r="AO390" s="6"/>
      <c r="AP390" s="36"/>
    </row>
    <row r="391" spans="1:42">
      <c r="A391" s="30">
        <v>369</v>
      </c>
      <c r="B391" s="147"/>
      <c r="C391" s="144" t="s">
        <v>1571</v>
      </c>
      <c r="D391" s="27"/>
      <c r="E391" s="27"/>
      <c r="F391" s="27"/>
      <c r="G391" s="27"/>
      <c r="H391" s="70" t="s">
        <v>1733</v>
      </c>
      <c r="I391" s="177" t="s">
        <v>876</v>
      </c>
      <c r="J391" s="138" t="s">
        <v>952</v>
      </c>
      <c r="K391" s="117"/>
      <c r="L391" s="6"/>
      <c r="M391" s="6"/>
      <c r="N391" s="5"/>
      <c r="O391" s="44"/>
      <c r="P391" s="44"/>
      <c r="Q391" s="44"/>
      <c r="R391" s="53"/>
      <c r="S391" s="44"/>
      <c r="T391" s="44"/>
      <c r="U391" s="44"/>
      <c r="V391" s="53"/>
      <c r="W391" s="31"/>
      <c r="X391" s="9"/>
      <c r="Y391" s="11"/>
      <c r="Z391" s="11"/>
      <c r="AA391" s="63"/>
      <c r="AB391" s="63"/>
      <c r="AC391" s="63"/>
      <c r="AD391" s="36"/>
      <c r="AE391" s="31"/>
      <c r="AF391" s="9"/>
      <c r="AG391" s="6"/>
      <c r="AH391" s="6"/>
      <c r="AI391" s="6"/>
      <c r="AJ391" s="36"/>
      <c r="AK391" s="31"/>
      <c r="AL391" s="9"/>
      <c r="AM391" s="6"/>
      <c r="AN391" s="6"/>
      <c r="AO391" s="6"/>
      <c r="AP391" s="36"/>
    </row>
    <row r="392" spans="1:42">
      <c r="A392" s="30">
        <v>370</v>
      </c>
      <c r="B392" s="147"/>
      <c r="C392" s="144" t="s">
        <v>550</v>
      </c>
      <c r="D392" s="27"/>
      <c r="E392" s="27"/>
      <c r="F392" s="27"/>
      <c r="G392" s="27"/>
      <c r="H392" s="70" t="s">
        <v>1710</v>
      </c>
      <c r="I392" s="177" t="s">
        <v>833</v>
      </c>
      <c r="J392" s="138"/>
      <c r="K392" s="117"/>
      <c r="L392" s="6"/>
      <c r="M392" s="6"/>
      <c r="N392" s="6"/>
      <c r="O392" s="44"/>
      <c r="P392" s="44"/>
      <c r="Q392" s="44"/>
      <c r="R392" s="53"/>
      <c r="S392" s="44"/>
      <c r="T392" s="44"/>
      <c r="U392" s="44"/>
      <c r="V392" s="53"/>
      <c r="W392" s="31"/>
      <c r="X392" s="9"/>
      <c r="Y392" s="11"/>
      <c r="Z392" s="11"/>
      <c r="AA392" s="63"/>
      <c r="AB392" s="63"/>
      <c r="AC392" s="63"/>
      <c r="AD392" s="36"/>
      <c r="AE392" s="31"/>
      <c r="AF392" s="9"/>
      <c r="AG392" s="6"/>
      <c r="AH392" s="6"/>
      <c r="AI392" s="6"/>
      <c r="AJ392" s="36"/>
      <c r="AK392" s="31"/>
      <c r="AL392" s="9"/>
      <c r="AM392" s="6"/>
      <c r="AN392" s="6"/>
      <c r="AO392" s="6"/>
      <c r="AP392" s="36"/>
    </row>
    <row r="393" spans="1:42">
      <c r="A393" s="30">
        <v>371</v>
      </c>
      <c r="B393" s="147"/>
      <c r="C393" s="144" t="s">
        <v>1785</v>
      </c>
      <c r="D393" s="27"/>
      <c r="E393" s="27"/>
      <c r="F393" s="27"/>
      <c r="G393" s="27"/>
      <c r="H393" s="70" t="s">
        <v>1780</v>
      </c>
      <c r="I393" s="177" t="s">
        <v>833</v>
      </c>
      <c r="J393" s="138"/>
      <c r="K393" s="117"/>
      <c r="L393" s="6"/>
      <c r="M393" s="6"/>
      <c r="N393" s="6"/>
      <c r="O393" s="44"/>
      <c r="P393" s="44"/>
      <c r="Q393" s="44"/>
      <c r="R393" s="53"/>
      <c r="S393" s="44"/>
      <c r="T393" s="44"/>
      <c r="U393" s="44"/>
      <c r="V393" s="53"/>
      <c r="W393" s="31"/>
      <c r="X393" s="9"/>
      <c r="Y393" s="11"/>
      <c r="Z393" s="11"/>
      <c r="AA393" s="63"/>
      <c r="AB393" s="63"/>
      <c r="AC393" s="63"/>
      <c r="AD393" s="36"/>
      <c r="AE393" s="31"/>
      <c r="AF393" s="9"/>
      <c r="AG393" s="6"/>
      <c r="AH393" s="6"/>
      <c r="AI393" s="6"/>
      <c r="AJ393" s="36"/>
      <c r="AK393" s="31"/>
      <c r="AL393" s="9"/>
      <c r="AM393" s="6"/>
      <c r="AN393" s="6"/>
      <c r="AO393" s="6"/>
      <c r="AP393" s="36"/>
    </row>
    <row r="394" spans="1:42">
      <c r="A394" s="30">
        <v>372</v>
      </c>
      <c r="B394" s="147"/>
      <c r="C394" s="144" t="s">
        <v>551</v>
      </c>
      <c r="D394" s="27"/>
      <c r="E394" s="27"/>
      <c r="F394" s="27"/>
      <c r="G394" s="27"/>
      <c r="H394" s="70" t="s">
        <v>753</v>
      </c>
      <c r="I394" s="177" t="s">
        <v>833</v>
      </c>
      <c r="J394" s="138"/>
      <c r="K394" s="117"/>
      <c r="L394" s="6">
        <v>18760</v>
      </c>
      <c r="M394" s="6">
        <v>938</v>
      </c>
      <c r="N394" s="6">
        <v>19698</v>
      </c>
      <c r="O394" s="44"/>
      <c r="P394" s="44"/>
      <c r="Q394" s="44"/>
      <c r="R394" s="53"/>
      <c r="S394" s="81"/>
      <c r="T394" s="81"/>
      <c r="U394" s="81"/>
      <c r="V394" s="53"/>
      <c r="W394" s="31"/>
      <c r="X394" s="9"/>
      <c r="Y394" s="11"/>
      <c r="Z394" s="11"/>
      <c r="AA394" s="65"/>
      <c r="AB394" s="65"/>
      <c r="AC394" s="65"/>
      <c r="AD394" s="36"/>
      <c r="AE394" s="31"/>
      <c r="AF394" s="9"/>
      <c r="AG394" s="6"/>
      <c r="AH394" s="6"/>
      <c r="AI394" s="6"/>
      <c r="AJ394" s="36"/>
      <c r="AK394" s="31"/>
      <c r="AL394" s="9"/>
      <c r="AM394" s="6"/>
      <c r="AN394" s="6"/>
      <c r="AO394" s="6"/>
      <c r="AP394" s="36"/>
    </row>
    <row r="395" spans="1:42">
      <c r="A395" s="30">
        <v>373</v>
      </c>
      <c r="B395" s="147"/>
      <c r="C395" s="144" t="s">
        <v>1777</v>
      </c>
      <c r="D395" s="27"/>
      <c r="E395" s="27"/>
      <c r="F395" s="27"/>
      <c r="G395" s="27"/>
      <c r="H395" s="70" t="s">
        <v>1778</v>
      </c>
      <c r="I395" s="177" t="s">
        <v>833</v>
      </c>
      <c r="J395" s="138" t="s">
        <v>625</v>
      </c>
      <c r="K395" s="117"/>
      <c r="L395" s="6"/>
      <c r="M395" s="6"/>
      <c r="N395" s="6"/>
      <c r="O395" s="44"/>
      <c r="P395" s="44"/>
      <c r="Q395" s="44"/>
      <c r="R395" s="53"/>
      <c r="S395" s="81"/>
      <c r="T395" s="81"/>
      <c r="U395" s="81"/>
      <c r="V395" s="53"/>
      <c r="W395" s="31"/>
      <c r="X395" s="9"/>
      <c r="Y395" s="11"/>
      <c r="Z395" s="11"/>
      <c r="AA395" s="65"/>
      <c r="AB395" s="65"/>
      <c r="AC395" s="65"/>
      <c r="AD395" s="36"/>
      <c r="AE395" s="31"/>
      <c r="AF395" s="9"/>
      <c r="AG395" s="6"/>
      <c r="AH395" s="6"/>
      <c r="AI395" s="6"/>
      <c r="AJ395" s="36"/>
      <c r="AK395" s="31"/>
      <c r="AL395" s="9"/>
      <c r="AM395" s="6"/>
      <c r="AN395" s="6"/>
      <c r="AO395" s="6"/>
      <c r="AP395" s="36"/>
    </row>
    <row r="396" spans="1:42">
      <c r="A396" s="30">
        <v>374</v>
      </c>
      <c r="B396" s="147"/>
      <c r="C396" s="144" t="s">
        <v>1671</v>
      </c>
      <c r="D396" s="27"/>
      <c r="E396" s="27"/>
      <c r="F396" s="27"/>
      <c r="G396" s="27"/>
      <c r="H396" s="70" t="s">
        <v>1334</v>
      </c>
      <c r="I396" s="177" t="s">
        <v>833</v>
      </c>
      <c r="J396" s="138" t="s">
        <v>625</v>
      </c>
      <c r="K396" s="117"/>
      <c r="L396" s="6">
        <v>15390</v>
      </c>
      <c r="M396" s="6">
        <v>769.5</v>
      </c>
      <c r="N396" s="6">
        <v>16159.5</v>
      </c>
      <c r="O396" s="44"/>
      <c r="P396" s="44"/>
      <c r="Q396" s="44"/>
      <c r="R396" s="53"/>
      <c r="S396" s="44"/>
      <c r="T396" s="44"/>
      <c r="U396" s="44"/>
      <c r="V396" s="53"/>
      <c r="W396" s="31"/>
      <c r="X396" s="9"/>
      <c r="Y396" s="11"/>
      <c r="Z396" s="11"/>
      <c r="AA396" s="63"/>
      <c r="AB396" s="63"/>
      <c r="AC396" s="63"/>
      <c r="AD396" s="36"/>
      <c r="AE396" s="31"/>
      <c r="AF396" s="9"/>
      <c r="AG396" s="6"/>
      <c r="AH396" s="6"/>
      <c r="AI396" s="6"/>
      <c r="AJ396" s="36"/>
      <c r="AK396" s="31"/>
      <c r="AL396" s="9"/>
      <c r="AM396" s="6"/>
      <c r="AN396" s="6"/>
      <c r="AO396" s="6"/>
      <c r="AP396" s="36"/>
    </row>
    <row r="397" spans="1:42">
      <c r="A397" s="30">
        <v>375</v>
      </c>
      <c r="B397" s="147"/>
      <c r="C397" s="144" t="s">
        <v>1957</v>
      </c>
      <c r="D397" s="27"/>
      <c r="E397" s="27"/>
      <c r="F397" s="27"/>
      <c r="G397" s="27"/>
      <c r="H397" s="70" t="s">
        <v>1958</v>
      </c>
      <c r="I397" s="177" t="s">
        <v>1959</v>
      </c>
      <c r="J397" s="138"/>
      <c r="K397" s="117"/>
      <c r="L397" s="6"/>
      <c r="M397" s="6"/>
      <c r="N397" s="6"/>
      <c r="O397" s="44"/>
      <c r="P397" s="44"/>
      <c r="Q397" s="44"/>
      <c r="R397" s="53"/>
      <c r="S397" s="44"/>
      <c r="T397" s="44"/>
      <c r="U397" s="44"/>
      <c r="V397" s="53"/>
      <c r="W397" s="31"/>
      <c r="X397" s="9"/>
      <c r="Y397" s="11"/>
      <c r="Z397" s="11"/>
      <c r="AA397" s="63"/>
      <c r="AB397" s="63"/>
      <c r="AC397" s="63"/>
      <c r="AD397" s="36"/>
      <c r="AE397" s="31"/>
      <c r="AF397" s="9"/>
      <c r="AG397" s="6"/>
      <c r="AH397" s="6"/>
      <c r="AI397" s="6"/>
      <c r="AJ397" s="36"/>
      <c r="AK397" s="31"/>
      <c r="AL397" s="9"/>
      <c r="AM397" s="6"/>
      <c r="AN397" s="6"/>
      <c r="AO397" s="6"/>
      <c r="AP397" s="36"/>
    </row>
    <row r="398" spans="1:42">
      <c r="A398" s="30">
        <v>376</v>
      </c>
      <c r="B398" s="147"/>
      <c r="C398" s="144" t="s">
        <v>532</v>
      </c>
      <c r="D398" s="27"/>
      <c r="E398" s="27"/>
      <c r="F398" s="27"/>
      <c r="G398" s="27"/>
      <c r="H398" s="70" t="s">
        <v>626</v>
      </c>
      <c r="I398" s="177"/>
      <c r="J398" s="138" t="s">
        <v>587</v>
      </c>
      <c r="K398" s="117"/>
      <c r="L398" s="6"/>
      <c r="M398" s="6"/>
      <c r="N398" s="6"/>
      <c r="O398" s="44"/>
      <c r="P398" s="44"/>
      <c r="Q398" s="44"/>
      <c r="R398" s="53"/>
      <c r="S398" s="44"/>
      <c r="T398" s="44"/>
      <c r="U398" s="44"/>
      <c r="V398" s="53"/>
      <c r="W398" s="31"/>
      <c r="X398" s="9"/>
      <c r="Y398" s="11"/>
      <c r="Z398" s="11"/>
      <c r="AA398" s="63"/>
      <c r="AB398" s="63"/>
      <c r="AC398" s="63"/>
      <c r="AD398" s="36"/>
      <c r="AE398" s="31"/>
      <c r="AF398" s="9"/>
      <c r="AG398" s="6"/>
      <c r="AH398" s="6"/>
      <c r="AI398" s="6"/>
      <c r="AJ398" s="36"/>
      <c r="AK398" s="31"/>
      <c r="AL398" s="9"/>
      <c r="AM398" s="6"/>
      <c r="AN398" s="6"/>
      <c r="AO398" s="6"/>
      <c r="AP398" s="36"/>
    </row>
    <row r="399" spans="1:42">
      <c r="A399" s="30">
        <v>377</v>
      </c>
      <c r="B399" s="147"/>
      <c r="C399" s="144" t="s">
        <v>1764</v>
      </c>
      <c r="D399" s="27"/>
      <c r="E399" s="27"/>
      <c r="F399" s="27"/>
      <c r="G399" s="27"/>
      <c r="H399" s="70" t="s">
        <v>1765</v>
      </c>
      <c r="I399" s="177" t="s">
        <v>847</v>
      </c>
      <c r="J399" s="138"/>
      <c r="K399" s="117"/>
      <c r="L399" s="6"/>
      <c r="M399" s="6"/>
      <c r="N399" s="6"/>
      <c r="O399" s="44"/>
      <c r="P399" s="44"/>
      <c r="Q399" s="44"/>
      <c r="R399" s="53"/>
      <c r="S399" s="44"/>
      <c r="T399" s="44"/>
      <c r="U399" s="44"/>
      <c r="V399" s="53"/>
      <c r="W399" s="31"/>
      <c r="X399" s="9"/>
      <c r="Y399" s="11"/>
      <c r="Z399" s="11"/>
      <c r="AA399" s="63"/>
      <c r="AB399" s="63"/>
      <c r="AC399" s="63"/>
      <c r="AD399" s="36"/>
      <c r="AE399" s="31"/>
      <c r="AF399" s="9"/>
      <c r="AG399" s="6"/>
      <c r="AH399" s="6"/>
      <c r="AI399" s="6"/>
      <c r="AJ399" s="36"/>
      <c r="AK399" s="31"/>
      <c r="AL399" s="9"/>
      <c r="AM399" s="6"/>
      <c r="AN399" s="6"/>
      <c r="AO399" s="6"/>
      <c r="AP399" s="36"/>
    </row>
    <row r="400" spans="1:42">
      <c r="A400" s="30">
        <v>378</v>
      </c>
      <c r="B400" s="147"/>
      <c r="C400" s="144" t="s">
        <v>1766</v>
      </c>
      <c r="D400" s="27"/>
      <c r="E400" s="27"/>
      <c r="F400" s="27"/>
      <c r="G400" s="27"/>
      <c r="H400" s="108" t="s">
        <v>1564</v>
      </c>
      <c r="I400" s="186" t="s">
        <v>833</v>
      </c>
      <c r="J400" s="138"/>
      <c r="K400" s="117"/>
      <c r="L400" s="6"/>
      <c r="M400" s="6"/>
      <c r="N400" s="6"/>
      <c r="O400" s="44"/>
      <c r="P400" s="44"/>
      <c r="Q400" s="44"/>
      <c r="R400" s="53"/>
      <c r="S400" s="44"/>
      <c r="T400" s="44"/>
      <c r="U400" s="44"/>
      <c r="V400" s="53"/>
      <c r="W400" s="31"/>
      <c r="X400" s="9"/>
      <c r="Y400" s="11"/>
      <c r="Z400" s="11"/>
      <c r="AA400" s="63"/>
      <c r="AB400" s="63"/>
      <c r="AC400" s="63"/>
      <c r="AD400" s="36"/>
      <c r="AE400" s="31"/>
      <c r="AF400" s="9"/>
      <c r="AG400" s="6"/>
      <c r="AH400" s="6"/>
      <c r="AI400" s="6"/>
      <c r="AJ400" s="36"/>
      <c r="AK400" s="31"/>
      <c r="AL400" s="9"/>
      <c r="AM400" s="6"/>
      <c r="AN400" s="6"/>
      <c r="AO400" s="6"/>
      <c r="AP400" s="36"/>
    </row>
    <row r="401" spans="1:42">
      <c r="A401" s="30">
        <v>379</v>
      </c>
      <c r="B401" s="147"/>
      <c r="C401" s="144" t="s">
        <v>1342</v>
      </c>
      <c r="D401" s="27"/>
      <c r="E401" s="27"/>
      <c r="F401" s="27"/>
      <c r="G401" s="27"/>
      <c r="H401" s="108" t="s">
        <v>1610</v>
      </c>
      <c r="I401" s="186" t="s">
        <v>833</v>
      </c>
      <c r="J401" s="138"/>
      <c r="K401" s="117"/>
      <c r="L401" s="6"/>
      <c r="M401" s="6"/>
      <c r="N401" s="6"/>
      <c r="O401" s="44"/>
      <c r="P401" s="44"/>
      <c r="Q401" s="44"/>
      <c r="R401" s="53"/>
      <c r="S401" s="44"/>
      <c r="T401" s="44"/>
      <c r="U401" s="44"/>
      <c r="V401" s="53"/>
      <c r="W401" s="31"/>
      <c r="X401" s="9"/>
      <c r="Y401" s="11"/>
      <c r="Z401" s="11"/>
      <c r="AA401" s="63"/>
      <c r="AB401" s="63"/>
      <c r="AC401" s="63"/>
      <c r="AD401" s="36"/>
      <c r="AE401" s="31"/>
      <c r="AF401" s="9"/>
      <c r="AG401" s="6"/>
      <c r="AH401" s="6"/>
      <c r="AI401" s="6"/>
      <c r="AJ401" s="36"/>
      <c r="AK401" s="31"/>
      <c r="AL401" s="9"/>
      <c r="AM401" s="6"/>
      <c r="AN401" s="6"/>
      <c r="AO401" s="6"/>
      <c r="AP401" s="36"/>
    </row>
    <row r="402" spans="1:42">
      <c r="A402" s="30">
        <v>380</v>
      </c>
      <c r="B402" s="147"/>
      <c r="C402" s="144" t="s">
        <v>1744</v>
      </c>
      <c r="D402" s="27"/>
      <c r="E402" s="27"/>
      <c r="F402" s="27"/>
      <c r="G402" s="27"/>
      <c r="H402" s="108" t="s">
        <v>1609</v>
      </c>
      <c r="I402" s="186" t="s">
        <v>833</v>
      </c>
      <c r="J402" s="138"/>
      <c r="K402" s="117"/>
      <c r="L402" s="6"/>
      <c r="M402" s="6"/>
      <c r="N402" s="6"/>
      <c r="O402" s="44"/>
      <c r="P402" s="44"/>
      <c r="Q402" s="44"/>
      <c r="R402" s="53"/>
      <c r="S402" s="44"/>
      <c r="T402" s="44"/>
      <c r="U402" s="44"/>
      <c r="V402" s="53"/>
      <c r="W402" s="31"/>
      <c r="X402" s="9"/>
      <c r="Y402" s="11"/>
      <c r="Z402" s="11"/>
      <c r="AA402" s="63"/>
      <c r="AB402" s="63"/>
      <c r="AC402" s="63"/>
      <c r="AD402" s="36"/>
      <c r="AE402" s="31"/>
      <c r="AF402" s="9"/>
      <c r="AG402" s="6"/>
      <c r="AH402" s="6"/>
      <c r="AI402" s="6"/>
      <c r="AJ402" s="36"/>
      <c r="AK402" s="31"/>
      <c r="AL402" s="9"/>
      <c r="AM402" s="6"/>
      <c r="AN402" s="6"/>
      <c r="AO402" s="6"/>
      <c r="AP402" s="36"/>
    </row>
    <row r="403" spans="1:42">
      <c r="A403" s="30">
        <v>381</v>
      </c>
      <c r="B403" s="147"/>
      <c r="C403" s="144" t="s">
        <v>595</v>
      </c>
      <c r="D403" s="27"/>
      <c r="E403" s="27"/>
      <c r="F403" s="27"/>
      <c r="G403" s="27"/>
      <c r="H403" s="70" t="s">
        <v>754</v>
      </c>
      <c r="I403" s="186" t="s">
        <v>833</v>
      </c>
      <c r="J403" s="138"/>
      <c r="K403" s="117"/>
      <c r="L403" s="6"/>
      <c r="M403" s="6"/>
      <c r="N403" s="6"/>
      <c r="O403" s="44"/>
      <c r="P403" s="44"/>
      <c r="Q403" s="44"/>
      <c r="R403" s="53"/>
      <c r="S403" s="44"/>
      <c r="T403" s="44"/>
      <c r="U403" s="44"/>
      <c r="V403" s="53"/>
      <c r="W403" s="31"/>
      <c r="X403" s="9"/>
      <c r="Y403" s="11"/>
      <c r="Z403" s="11"/>
      <c r="AA403" s="63"/>
      <c r="AB403" s="63"/>
      <c r="AC403" s="63"/>
      <c r="AD403" s="36"/>
      <c r="AE403" s="31"/>
      <c r="AF403" s="9"/>
      <c r="AG403" s="6"/>
      <c r="AH403" s="6"/>
      <c r="AI403" s="6"/>
      <c r="AJ403" s="36"/>
      <c r="AK403" s="31"/>
      <c r="AL403" s="9"/>
      <c r="AM403" s="6"/>
      <c r="AN403" s="6"/>
      <c r="AO403" s="6"/>
      <c r="AP403" s="36"/>
    </row>
    <row r="404" spans="1:42">
      <c r="A404" s="30">
        <v>382</v>
      </c>
      <c r="B404" s="147"/>
      <c r="C404" s="144" t="s">
        <v>567</v>
      </c>
      <c r="D404" s="27"/>
      <c r="E404" s="27"/>
      <c r="F404" s="27"/>
      <c r="G404" s="27"/>
      <c r="H404" s="70" t="s">
        <v>1249</v>
      </c>
      <c r="I404" s="177" t="s">
        <v>1037</v>
      </c>
      <c r="J404" s="138"/>
      <c r="K404" s="117"/>
      <c r="L404" s="6">
        <v>24950</v>
      </c>
      <c r="M404" s="6">
        <v>1247.5</v>
      </c>
      <c r="N404" s="6">
        <v>26197.5</v>
      </c>
      <c r="O404" s="44"/>
      <c r="P404" s="44"/>
      <c r="Q404" s="44"/>
      <c r="R404" s="53"/>
      <c r="S404" s="44"/>
      <c r="T404" s="44"/>
      <c r="U404" s="44"/>
      <c r="V404" s="53"/>
      <c r="W404" s="31"/>
      <c r="X404" s="9"/>
      <c r="Y404" s="11"/>
      <c r="Z404" s="11"/>
      <c r="AA404" s="63"/>
      <c r="AB404" s="63"/>
      <c r="AC404" s="63"/>
      <c r="AD404" s="36"/>
      <c r="AE404" s="74"/>
      <c r="AF404" s="9"/>
      <c r="AG404" s="6"/>
      <c r="AH404" s="6"/>
      <c r="AI404" s="6"/>
      <c r="AJ404" s="36"/>
      <c r="AK404" s="31"/>
      <c r="AL404" s="9"/>
      <c r="AM404" s="6"/>
      <c r="AN404" s="6"/>
      <c r="AO404" s="6"/>
      <c r="AP404" s="36"/>
    </row>
    <row r="405" spans="1:42">
      <c r="A405" s="30">
        <v>383</v>
      </c>
      <c r="B405" s="147"/>
      <c r="C405" s="144" t="s">
        <v>850</v>
      </c>
      <c r="D405" s="27"/>
      <c r="E405" s="27"/>
      <c r="F405" s="27"/>
      <c r="G405" s="27"/>
      <c r="H405" s="70" t="s">
        <v>849</v>
      </c>
      <c r="I405" s="177" t="s">
        <v>851</v>
      </c>
      <c r="J405" s="138"/>
      <c r="K405" s="117"/>
      <c r="L405" s="6">
        <v>540</v>
      </c>
      <c r="M405" s="6">
        <v>27</v>
      </c>
      <c r="N405" s="6">
        <v>567</v>
      </c>
      <c r="O405" s="44"/>
      <c r="P405" s="44"/>
      <c r="Q405" s="44"/>
      <c r="R405" s="53"/>
      <c r="S405" s="44"/>
      <c r="T405" s="44"/>
      <c r="U405" s="44"/>
      <c r="V405" s="53"/>
      <c r="W405" s="31"/>
      <c r="X405" s="9"/>
      <c r="Y405" s="11"/>
      <c r="Z405" s="11"/>
      <c r="AA405" s="63"/>
      <c r="AB405" s="63"/>
      <c r="AC405" s="63"/>
      <c r="AD405" s="36"/>
      <c r="AE405" s="31"/>
      <c r="AF405" s="9"/>
      <c r="AG405" s="6"/>
      <c r="AH405" s="6"/>
      <c r="AI405" s="6"/>
      <c r="AJ405" s="36"/>
      <c r="AK405" s="31"/>
      <c r="AL405" s="9"/>
      <c r="AM405" s="6"/>
      <c r="AN405" s="6"/>
      <c r="AO405" s="6"/>
      <c r="AP405" s="36"/>
    </row>
    <row r="406" spans="1:42">
      <c r="A406" s="30">
        <v>384</v>
      </c>
      <c r="B406" s="147"/>
      <c r="C406" s="144" t="s">
        <v>385</v>
      </c>
      <c r="D406" s="27"/>
      <c r="E406" s="27"/>
      <c r="F406" s="27"/>
      <c r="G406" s="27"/>
      <c r="H406" s="70" t="s">
        <v>32</v>
      </c>
      <c r="I406" s="177" t="s">
        <v>833</v>
      </c>
      <c r="J406" s="138"/>
      <c r="K406" s="117"/>
      <c r="L406" s="6"/>
      <c r="M406" s="6"/>
      <c r="N406" s="6"/>
      <c r="O406" s="44"/>
      <c r="P406" s="44"/>
      <c r="Q406" s="44"/>
      <c r="R406" s="53"/>
      <c r="S406" s="44"/>
      <c r="T406" s="44"/>
      <c r="U406" s="44"/>
      <c r="V406" s="53"/>
      <c r="W406" s="31"/>
      <c r="X406" s="9"/>
      <c r="Y406" s="11"/>
      <c r="Z406" s="11"/>
      <c r="AA406" s="63"/>
      <c r="AB406" s="63"/>
      <c r="AC406" s="63"/>
      <c r="AD406" s="36"/>
      <c r="AE406" s="31"/>
      <c r="AF406" s="9"/>
      <c r="AG406" s="6"/>
      <c r="AH406" s="6"/>
      <c r="AI406" s="6"/>
      <c r="AJ406" s="36"/>
      <c r="AK406" s="31"/>
      <c r="AL406" s="9"/>
      <c r="AM406" s="6"/>
      <c r="AN406" s="6"/>
      <c r="AO406" s="6"/>
      <c r="AP406" s="36"/>
    </row>
    <row r="407" spans="1:42">
      <c r="A407" s="30">
        <v>385</v>
      </c>
      <c r="B407" s="147"/>
      <c r="C407" s="144" t="s">
        <v>565</v>
      </c>
      <c r="D407" s="27"/>
      <c r="E407" s="27"/>
      <c r="F407" s="27"/>
      <c r="G407" s="27"/>
      <c r="H407" s="70" t="s">
        <v>730</v>
      </c>
      <c r="I407" s="177"/>
      <c r="J407" s="138"/>
      <c r="K407" s="29"/>
      <c r="L407" s="11"/>
      <c r="M407" s="11"/>
      <c r="N407" s="11"/>
      <c r="O407" s="44"/>
      <c r="P407" s="44"/>
      <c r="Q407" s="44"/>
      <c r="R407" s="53"/>
      <c r="S407" s="44"/>
      <c r="T407" s="46"/>
      <c r="U407" s="46"/>
      <c r="V407" s="53"/>
      <c r="W407" s="31"/>
      <c r="X407" s="9"/>
      <c r="Y407" s="11"/>
      <c r="Z407" s="11"/>
      <c r="AA407" s="63"/>
      <c r="AB407" s="63"/>
      <c r="AC407" s="63"/>
      <c r="AD407" s="36"/>
      <c r="AE407" s="31"/>
      <c r="AF407" s="9"/>
      <c r="AG407" s="6"/>
      <c r="AH407" s="6"/>
      <c r="AI407" s="6"/>
      <c r="AJ407" s="36"/>
      <c r="AK407" s="31"/>
      <c r="AL407" s="9"/>
      <c r="AM407" s="6"/>
      <c r="AN407" s="6"/>
      <c r="AO407" s="6"/>
      <c r="AP407" s="36"/>
    </row>
    <row r="408" spans="1:42">
      <c r="A408" s="30">
        <v>386</v>
      </c>
      <c r="B408" s="147"/>
      <c r="C408" s="144" t="s">
        <v>2298</v>
      </c>
      <c r="D408" s="27"/>
      <c r="E408" s="27"/>
      <c r="F408" s="27"/>
      <c r="G408" s="27"/>
      <c r="H408" s="70" t="s">
        <v>2299</v>
      </c>
      <c r="I408" s="177" t="s">
        <v>842</v>
      </c>
      <c r="J408" s="138" t="s">
        <v>2300</v>
      </c>
      <c r="K408" s="29"/>
      <c r="L408" s="11"/>
      <c r="M408" s="11"/>
      <c r="N408" s="11"/>
      <c r="O408" s="44"/>
      <c r="P408" s="44"/>
      <c r="Q408" s="44"/>
      <c r="R408" s="53"/>
      <c r="S408" s="44"/>
      <c r="T408" s="46"/>
      <c r="U408" s="46"/>
      <c r="V408" s="53"/>
      <c r="W408" s="31"/>
      <c r="X408" s="9"/>
      <c r="Y408" s="11"/>
      <c r="Z408" s="11"/>
      <c r="AA408" s="63"/>
      <c r="AB408" s="63"/>
      <c r="AC408" s="63"/>
      <c r="AD408" s="36"/>
      <c r="AE408" s="31"/>
      <c r="AF408" s="9"/>
      <c r="AG408" s="6"/>
      <c r="AH408" s="6"/>
      <c r="AI408" s="6"/>
      <c r="AJ408" s="36"/>
      <c r="AK408" s="31"/>
      <c r="AL408" s="9"/>
      <c r="AM408" s="6"/>
      <c r="AN408" s="6"/>
      <c r="AO408" s="6"/>
      <c r="AP408" s="36"/>
    </row>
    <row r="409" spans="1:42">
      <c r="A409" s="30"/>
      <c r="B409" s="147"/>
      <c r="C409" s="144" t="s">
        <v>2301</v>
      </c>
      <c r="D409" s="27"/>
      <c r="E409" s="27"/>
      <c r="F409" s="27"/>
      <c r="G409" s="27"/>
      <c r="H409" s="70" t="s">
        <v>2302</v>
      </c>
      <c r="I409" s="177" t="s">
        <v>2303</v>
      </c>
      <c r="J409" s="138" t="s">
        <v>2304</v>
      </c>
      <c r="K409" s="29"/>
      <c r="L409" s="11"/>
      <c r="M409" s="11"/>
      <c r="N409" s="11"/>
      <c r="O409" s="44"/>
      <c r="P409" s="44"/>
      <c r="Q409" s="44"/>
      <c r="R409" s="53"/>
      <c r="S409" s="44"/>
      <c r="T409" s="46"/>
      <c r="U409" s="46"/>
      <c r="V409" s="53"/>
      <c r="W409" s="31"/>
      <c r="X409" s="9"/>
      <c r="Y409" s="11"/>
      <c r="Z409" s="11"/>
      <c r="AA409" s="63"/>
      <c r="AB409" s="63"/>
      <c r="AC409" s="63"/>
      <c r="AD409" s="36"/>
      <c r="AE409" s="31"/>
      <c r="AF409" s="9"/>
      <c r="AG409" s="6"/>
      <c r="AH409" s="6"/>
      <c r="AI409" s="6"/>
      <c r="AJ409" s="36"/>
      <c r="AK409" s="31"/>
      <c r="AL409" s="9"/>
      <c r="AM409" s="6"/>
      <c r="AN409" s="6"/>
      <c r="AO409" s="6"/>
      <c r="AP409" s="36"/>
    </row>
    <row r="410" spans="1:42" ht="27">
      <c r="A410" s="30">
        <v>387</v>
      </c>
      <c r="B410" s="147"/>
      <c r="C410" s="144" t="s">
        <v>978</v>
      </c>
      <c r="D410" s="27"/>
      <c r="E410" s="27"/>
      <c r="F410" s="27"/>
      <c r="G410" s="27"/>
      <c r="H410" s="70" t="s">
        <v>979</v>
      </c>
      <c r="I410" s="177" t="s">
        <v>1598</v>
      </c>
      <c r="J410" s="140"/>
      <c r="K410" s="117"/>
      <c r="L410" s="6">
        <v>240</v>
      </c>
      <c r="M410" s="6">
        <v>12</v>
      </c>
      <c r="N410" s="6">
        <v>252</v>
      </c>
      <c r="O410" s="44"/>
      <c r="P410" s="44"/>
      <c r="Q410" s="44"/>
      <c r="R410" s="53"/>
      <c r="S410" s="44"/>
      <c r="T410" s="44"/>
      <c r="U410" s="44"/>
      <c r="V410" s="53"/>
      <c r="W410" s="74"/>
      <c r="X410" s="9"/>
      <c r="Y410" s="11"/>
      <c r="Z410" s="11"/>
      <c r="AA410" s="63"/>
      <c r="AB410" s="63"/>
      <c r="AC410" s="63"/>
      <c r="AD410" s="36"/>
      <c r="AE410" s="31"/>
      <c r="AF410" s="9"/>
      <c r="AG410" s="77"/>
      <c r="AH410" s="77"/>
      <c r="AI410" s="77"/>
      <c r="AJ410" s="36"/>
      <c r="AK410" s="31"/>
      <c r="AL410" s="9"/>
      <c r="AM410" s="6"/>
      <c r="AN410" s="6"/>
      <c r="AO410" s="6"/>
      <c r="AP410" s="36"/>
    </row>
    <row r="411" spans="1:42">
      <c r="A411" s="30">
        <v>388</v>
      </c>
      <c r="B411" s="147"/>
      <c r="C411" s="144" t="s">
        <v>1992</v>
      </c>
      <c r="D411" s="27"/>
      <c r="E411" s="27"/>
      <c r="F411" s="27"/>
      <c r="G411" s="27"/>
      <c r="H411" s="70" t="s">
        <v>1599</v>
      </c>
      <c r="I411" s="177" t="s">
        <v>946</v>
      </c>
      <c r="J411" s="140"/>
      <c r="K411" s="117"/>
      <c r="L411" s="6"/>
      <c r="M411" s="6"/>
      <c r="N411" s="6"/>
      <c r="O411" s="44"/>
      <c r="P411" s="44"/>
      <c r="Q411" s="44"/>
      <c r="R411" s="53"/>
      <c r="S411" s="44"/>
      <c r="T411" s="44"/>
      <c r="U411" s="44"/>
      <c r="V411" s="53"/>
      <c r="W411" s="74"/>
      <c r="X411" s="9"/>
      <c r="Y411" s="11"/>
      <c r="Z411" s="11"/>
      <c r="AA411" s="63"/>
      <c r="AB411" s="63"/>
      <c r="AC411" s="63"/>
      <c r="AD411" s="36"/>
      <c r="AE411" s="31"/>
      <c r="AF411" s="9"/>
      <c r="AG411" s="77"/>
      <c r="AH411" s="77"/>
      <c r="AI411" s="77"/>
      <c r="AJ411" s="36"/>
      <c r="AK411" s="31"/>
      <c r="AL411" s="9"/>
      <c r="AM411" s="6"/>
      <c r="AN411" s="6"/>
      <c r="AO411" s="6"/>
      <c r="AP411" s="36"/>
    </row>
    <row r="412" spans="1:42" ht="27">
      <c r="A412" s="30">
        <v>389</v>
      </c>
      <c r="B412" s="147"/>
      <c r="C412" s="144" t="s">
        <v>2181</v>
      </c>
      <c r="D412" s="27"/>
      <c r="E412" s="27"/>
      <c r="F412" s="27"/>
      <c r="G412" s="27"/>
      <c r="H412" s="70" t="s">
        <v>1828</v>
      </c>
      <c r="I412" s="177" t="s">
        <v>826</v>
      </c>
      <c r="J412" s="137"/>
      <c r="K412" s="29"/>
      <c r="L412" s="11"/>
      <c r="M412" s="11"/>
      <c r="N412" s="11"/>
      <c r="O412" s="44"/>
      <c r="P412" s="44"/>
      <c r="Q412" s="44"/>
      <c r="R412" s="53"/>
      <c r="S412" s="44"/>
      <c r="T412" s="46"/>
      <c r="U412" s="46"/>
      <c r="V412" s="53"/>
      <c r="W412" s="31"/>
      <c r="X412" s="9"/>
      <c r="Y412" s="11"/>
      <c r="Z412" s="11"/>
      <c r="AA412" s="63"/>
      <c r="AB412" s="63"/>
      <c r="AC412" s="63"/>
      <c r="AD412" s="36"/>
      <c r="AE412" s="31"/>
      <c r="AF412" s="9"/>
      <c r="AG412" s="6"/>
      <c r="AH412" s="6"/>
      <c r="AI412" s="6"/>
      <c r="AJ412" s="36"/>
      <c r="AK412" s="31"/>
      <c r="AL412" s="9"/>
      <c r="AM412" s="6"/>
      <c r="AN412" s="6"/>
      <c r="AO412" s="6"/>
      <c r="AP412" s="36"/>
    </row>
    <row r="413" spans="1:42">
      <c r="A413" s="30">
        <v>390</v>
      </c>
      <c r="B413" s="131"/>
      <c r="C413" s="144" t="s">
        <v>1967</v>
      </c>
      <c r="D413" s="27"/>
      <c r="E413" s="27"/>
      <c r="F413" s="27"/>
      <c r="G413" s="27"/>
      <c r="H413" s="70" t="s">
        <v>1971</v>
      </c>
      <c r="I413" s="177"/>
      <c r="J413" s="138"/>
      <c r="K413" s="120"/>
      <c r="L413" s="6"/>
      <c r="M413" s="6"/>
      <c r="N413" s="6"/>
      <c r="O413" s="44"/>
      <c r="P413" s="44"/>
      <c r="Q413" s="44"/>
      <c r="R413" s="53"/>
      <c r="S413" s="44"/>
      <c r="T413" s="44"/>
      <c r="U413" s="44"/>
      <c r="V413" s="53"/>
      <c r="W413" s="31"/>
      <c r="X413" s="9"/>
      <c r="Y413" s="11"/>
      <c r="Z413" s="11"/>
      <c r="AA413" s="63"/>
      <c r="AB413" s="63"/>
      <c r="AC413" s="63"/>
      <c r="AD413" s="36"/>
      <c r="AE413" s="31"/>
      <c r="AF413" s="9"/>
      <c r="AG413" s="6"/>
      <c r="AH413" s="6"/>
      <c r="AI413" s="6"/>
      <c r="AJ413" s="36"/>
      <c r="AK413" s="31"/>
      <c r="AL413" s="9"/>
      <c r="AM413" s="6"/>
      <c r="AN413" s="6"/>
      <c r="AO413" s="6"/>
      <c r="AP413" s="36"/>
    </row>
    <row r="414" spans="1:42">
      <c r="A414" s="30">
        <v>391</v>
      </c>
      <c r="B414" s="147"/>
      <c r="C414" s="144" t="s">
        <v>1180</v>
      </c>
      <c r="D414" s="27"/>
      <c r="E414" s="27"/>
      <c r="F414" s="27"/>
      <c r="G414" s="27"/>
      <c r="H414" s="70" t="s">
        <v>2020</v>
      </c>
      <c r="I414" s="177" t="s">
        <v>1968</v>
      </c>
      <c r="J414" s="138" t="s">
        <v>1970</v>
      </c>
      <c r="K414" s="117"/>
      <c r="L414" s="6"/>
      <c r="M414" s="6"/>
      <c r="N414" s="6"/>
      <c r="O414" s="44"/>
      <c r="P414" s="44"/>
      <c r="Q414" s="44"/>
      <c r="R414" s="53"/>
      <c r="S414" s="44"/>
      <c r="T414" s="44"/>
      <c r="U414" s="44"/>
      <c r="V414" s="53"/>
      <c r="W414" s="31"/>
      <c r="AA414" s="112"/>
      <c r="AB414" s="112"/>
      <c r="AC414" s="112"/>
      <c r="AE414" s="111"/>
      <c r="AG414" s="8"/>
      <c r="AH414" s="8"/>
      <c r="AI414" s="8"/>
      <c r="AK414" s="111"/>
      <c r="AM414" s="8"/>
      <c r="AN414" s="8"/>
      <c r="AO414" s="8"/>
    </row>
    <row r="415" spans="1:42">
      <c r="A415" s="30">
        <v>392</v>
      </c>
      <c r="B415" s="147"/>
      <c r="C415" s="144" t="s">
        <v>1549</v>
      </c>
      <c r="D415" s="27"/>
      <c r="E415" s="27"/>
      <c r="F415" s="27"/>
      <c r="G415" s="27"/>
      <c r="H415" s="70" t="s">
        <v>1550</v>
      </c>
      <c r="I415" s="177" t="s">
        <v>826</v>
      </c>
      <c r="J415" s="138" t="s">
        <v>1551</v>
      </c>
      <c r="K415" s="29"/>
      <c r="L415" s="11"/>
      <c r="M415" s="11"/>
      <c r="N415" s="11"/>
      <c r="O415" s="44"/>
      <c r="P415" s="44"/>
      <c r="Q415" s="44"/>
      <c r="R415" s="53"/>
      <c r="S415" s="44"/>
      <c r="T415" s="46"/>
      <c r="U415" s="46"/>
      <c r="V415" s="53"/>
      <c r="W415" s="31"/>
      <c r="X415" s="9"/>
      <c r="Y415" s="11"/>
      <c r="Z415" s="11"/>
      <c r="AA415" s="63"/>
      <c r="AB415" s="63"/>
      <c r="AC415" s="63"/>
      <c r="AD415" s="36"/>
      <c r="AE415" s="31"/>
      <c r="AF415" s="9"/>
      <c r="AG415" s="6"/>
      <c r="AH415" s="6"/>
      <c r="AI415" s="6"/>
      <c r="AJ415" s="36"/>
      <c r="AK415" s="31"/>
      <c r="AL415" s="9"/>
      <c r="AM415" s="6"/>
      <c r="AN415" s="6"/>
      <c r="AO415" s="6"/>
      <c r="AP415" s="36"/>
    </row>
    <row r="416" spans="1:42">
      <c r="A416" s="30">
        <v>393</v>
      </c>
      <c r="B416" s="147"/>
      <c r="C416" s="144" t="s">
        <v>1302</v>
      </c>
      <c r="D416" s="27"/>
      <c r="E416" s="27"/>
      <c r="F416" s="27"/>
      <c r="G416" s="27"/>
      <c r="H416" s="70" t="s">
        <v>1248</v>
      </c>
      <c r="I416" s="177"/>
      <c r="J416" s="137"/>
      <c r="K416" s="29"/>
      <c r="L416" s="11"/>
      <c r="M416" s="11"/>
      <c r="N416" s="11"/>
      <c r="O416" s="44"/>
      <c r="P416" s="44"/>
      <c r="Q416" s="44"/>
      <c r="R416" s="53"/>
      <c r="S416" s="44"/>
      <c r="T416" s="46"/>
      <c r="U416" s="46"/>
      <c r="V416" s="53"/>
      <c r="W416" s="31"/>
      <c r="X416" s="9"/>
      <c r="Y416" s="11"/>
      <c r="Z416" s="11"/>
      <c r="AA416" s="63"/>
      <c r="AB416" s="63"/>
      <c r="AC416" s="63"/>
      <c r="AD416" s="36"/>
      <c r="AE416" s="31"/>
      <c r="AF416" s="9"/>
      <c r="AG416" s="6"/>
      <c r="AH416" s="6"/>
      <c r="AI416" s="6"/>
      <c r="AJ416" s="36"/>
      <c r="AK416" s="31"/>
      <c r="AL416" s="9"/>
      <c r="AM416" s="6"/>
      <c r="AN416" s="6"/>
      <c r="AO416" s="6"/>
      <c r="AP416" s="36"/>
    </row>
    <row r="417" spans="1:42">
      <c r="A417" s="30">
        <v>394</v>
      </c>
      <c r="B417" s="147"/>
      <c r="C417" s="144" t="s">
        <v>2278</v>
      </c>
      <c r="D417" s="27"/>
      <c r="E417" s="27"/>
      <c r="F417" s="27"/>
      <c r="G417" s="27"/>
      <c r="H417" s="70" t="s">
        <v>2293</v>
      </c>
      <c r="I417" s="177" t="s">
        <v>2294</v>
      </c>
      <c r="J417" s="137" t="s">
        <v>2292</v>
      </c>
      <c r="K417" s="29"/>
      <c r="L417" s="11"/>
      <c r="M417" s="11"/>
      <c r="N417" s="11"/>
      <c r="O417" s="44"/>
      <c r="P417" s="44"/>
      <c r="Q417" s="44"/>
      <c r="R417" s="53"/>
      <c r="S417" s="44"/>
      <c r="T417" s="46"/>
      <c r="U417" s="46"/>
      <c r="V417" s="53"/>
      <c r="W417" s="31"/>
      <c r="X417" s="9"/>
      <c r="Y417" s="11"/>
      <c r="Z417" s="11"/>
      <c r="AA417" s="63"/>
      <c r="AB417" s="63"/>
      <c r="AC417" s="63"/>
      <c r="AD417" s="36"/>
      <c r="AE417" s="31"/>
      <c r="AF417" s="9"/>
      <c r="AG417" s="6"/>
      <c r="AH417" s="6"/>
      <c r="AI417" s="6"/>
      <c r="AJ417" s="36"/>
      <c r="AK417" s="31"/>
      <c r="AL417" s="9"/>
      <c r="AM417" s="6"/>
      <c r="AN417" s="6"/>
      <c r="AO417" s="6"/>
      <c r="AP417" s="36"/>
    </row>
    <row r="418" spans="1:42">
      <c r="A418" s="30">
        <v>395</v>
      </c>
      <c r="B418" s="147"/>
      <c r="C418" s="144" t="s">
        <v>188</v>
      </c>
      <c r="D418" s="27"/>
      <c r="E418" s="27"/>
      <c r="F418" s="27"/>
      <c r="G418" s="27"/>
      <c r="H418" s="70" t="s">
        <v>11</v>
      </c>
      <c r="I418" s="177" t="s">
        <v>935</v>
      </c>
      <c r="J418" s="138" t="s">
        <v>700</v>
      </c>
      <c r="K418" s="117"/>
      <c r="L418" s="6"/>
      <c r="M418" s="6"/>
      <c r="N418" s="6"/>
      <c r="O418" s="44"/>
      <c r="P418" s="44"/>
      <c r="Q418" s="44"/>
      <c r="R418" s="53"/>
      <c r="S418" s="87"/>
      <c r="T418" s="87"/>
      <c r="U418" s="87"/>
      <c r="V418" s="53"/>
      <c r="W418" s="31"/>
      <c r="X418" s="9"/>
      <c r="Y418" s="11"/>
      <c r="Z418" s="11"/>
      <c r="AA418" s="88"/>
      <c r="AB418" s="88"/>
      <c r="AC418" s="88"/>
      <c r="AD418" s="36"/>
      <c r="AE418" s="31"/>
      <c r="AF418" s="9"/>
      <c r="AG418" s="6"/>
      <c r="AH418" s="6"/>
      <c r="AI418" s="6"/>
      <c r="AJ418" s="36"/>
      <c r="AK418" s="31"/>
      <c r="AL418" s="9"/>
      <c r="AM418" s="77"/>
      <c r="AN418" s="77"/>
      <c r="AO418" s="77"/>
      <c r="AP418" s="36"/>
    </row>
    <row r="419" spans="1:42">
      <c r="A419" s="30">
        <v>396</v>
      </c>
      <c r="B419" s="147"/>
      <c r="C419" s="144" t="s">
        <v>1305</v>
      </c>
      <c r="D419" s="27"/>
      <c r="E419" s="27"/>
      <c r="F419" s="27"/>
      <c r="G419" s="27"/>
      <c r="H419" s="70" t="s">
        <v>1414</v>
      </c>
      <c r="I419" s="177" t="s">
        <v>1565</v>
      </c>
      <c r="J419" s="138" t="s">
        <v>674</v>
      </c>
      <c r="K419" s="29"/>
      <c r="L419" s="11">
        <v>24000</v>
      </c>
      <c r="M419" s="11">
        <v>1200</v>
      </c>
      <c r="N419" s="11">
        <v>25200</v>
      </c>
      <c r="O419" s="44"/>
      <c r="P419" s="44"/>
      <c r="Q419" s="44"/>
      <c r="R419" s="53"/>
      <c r="S419" s="44"/>
      <c r="T419" s="46"/>
      <c r="U419" s="46"/>
      <c r="V419" s="53"/>
      <c r="W419" s="31"/>
      <c r="X419" s="9"/>
      <c r="Y419" s="11"/>
      <c r="Z419" s="11"/>
      <c r="AA419" s="63"/>
      <c r="AB419" s="63"/>
      <c r="AC419" s="63"/>
      <c r="AD419" s="36"/>
      <c r="AE419" s="31"/>
      <c r="AF419" s="9"/>
      <c r="AG419" s="6"/>
      <c r="AH419" s="6"/>
      <c r="AI419" s="6"/>
      <c r="AJ419" s="36"/>
      <c r="AK419" s="31"/>
      <c r="AL419" s="9"/>
      <c r="AM419" s="6"/>
      <c r="AN419" s="6"/>
      <c r="AO419" s="6"/>
      <c r="AP419" s="36"/>
    </row>
    <row r="420" spans="1:42">
      <c r="A420" s="30">
        <v>397</v>
      </c>
      <c r="B420" s="147"/>
      <c r="C420" s="144" t="s">
        <v>1817</v>
      </c>
      <c r="D420" s="27"/>
      <c r="E420" s="27"/>
      <c r="F420" s="27"/>
      <c r="G420" s="27"/>
      <c r="H420" s="241" t="s">
        <v>1816</v>
      </c>
      <c r="I420" s="177" t="s">
        <v>1484</v>
      </c>
      <c r="J420" s="138" t="s">
        <v>1878</v>
      </c>
      <c r="K420" s="29"/>
      <c r="L420" s="11"/>
      <c r="M420" s="11"/>
      <c r="N420" s="11"/>
      <c r="O420" s="44"/>
      <c r="P420" s="44"/>
      <c r="Q420" s="44"/>
      <c r="R420" s="53"/>
      <c r="S420" s="44"/>
      <c r="T420" s="46"/>
      <c r="U420" s="46"/>
      <c r="V420" s="53"/>
      <c r="W420" s="31"/>
      <c r="X420" s="9"/>
      <c r="Y420" s="11"/>
      <c r="Z420" s="11"/>
      <c r="AA420" s="63"/>
      <c r="AB420" s="63"/>
      <c r="AC420" s="63"/>
      <c r="AD420" s="36"/>
      <c r="AE420" s="31"/>
      <c r="AF420" s="9"/>
      <c r="AG420" s="6"/>
      <c r="AH420" s="6"/>
      <c r="AI420" s="6"/>
      <c r="AJ420" s="36"/>
      <c r="AK420" s="31"/>
      <c r="AL420" s="9"/>
      <c r="AM420" s="6"/>
      <c r="AN420" s="6"/>
      <c r="AO420" s="6"/>
      <c r="AP420" s="36"/>
    </row>
    <row r="421" spans="1:42">
      <c r="A421" s="30">
        <v>398</v>
      </c>
      <c r="B421" s="147"/>
      <c r="C421" s="144" t="s">
        <v>1572</v>
      </c>
      <c r="D421" s="27"/>
      <c r="E421" s="27"/>
      <c r="F421" s="27"/>
      <c r="G421" s="27"/>
      <c r="H421" s="105" t="s">
        <v>1577</v>
      </c>
      <c r="I421" s="177" t="s">
        <v>833</v>
      </c>
      <c r="J421" s="138"/>
      <c r="K421" s="29"/>
      <c r="L421" s="11"/>
      <c r="M421" s="11"/>
      <c r="N421" s="11"/>
      <c r="O421" s="44"/>
      <c r="P421" s="44"/>
      <c r="Q421" s="44"/>
      <c r="R421" s="53"/>
      <c r="S421" s="44"/>
      <c r="T421" s="46"/>
      <c r="U421" s="46"/>
      <c r="V421" s="53"/>
      <c r="W421" s="31"/>
      <c r="X421" s="9"/>
      <c r="Y421" s="11"/>
      <c r="Z421" s="11"/>
      <c r="AA421" s="63"/>
      <c r="AB421" s="63"/>
      <c r="AC421" s="63"/>
      <c r="AD421" s="36"/>
      <c r="AE421" s="31"/>
      <c r="AF421" s="9"/>
      <c r="AG421" s="6"/>
      <c r="AH421" s="6"/>
      <c r="AI421" s="6"/>
      <c r="AJ421" s="36"/>
      <c r="AK421" s="31"/>
      <c r="AL421" s="9"/>
      <c r="AM421" s="6"/>
      <c r="AN421" s="6"/>
      <c r="AO421" s="6"/>
      <c r="AP421" s="36"/>
    </row>
    <row r="422" spans="1:42">
      <c r="A422" s="30">
        <v>399</v>
      </c>
      <c r="B422" s="147"/>
      <c r="C422" s="144" t="s">
        <v>1903</v>
      </c>
      <c r="D422" s="27"/>
      <c r="E422" s="27"/>
      <c r="F422" s="27"/>
      <c r="G422" s="27"/>
      <c r="H422" s="70" t="s">
        <v>1814</v>
      </c>
      <c r="I422" s="177" t="s">
        <v>900</v>
      </c>
      <c r="J422" s="138"/>
      <c r="K422" s="117"/>
      <c r="L422" s="6">
        <v>17920</v>
      </c>
      <c r="M422" s="6">
        <v>896</v>
      </c>
      <c r="N422" s="6">
        <v>18816</v>
      </c>
      <c r="O422" s="44"/>
      <c r="P422" s="44"/>
      <c r="Q422" s="44"/>
      <c r="R422" s="53"/>
      <c r="S422" s="44"/>
      <c r="T422" s="44"/>
      <c r="U422" s="44"/>
      <c r="V422" s="53"/>
      <c r="W422" s="31"/>
      <c r="X422" s="9"/>
      <c r="Y422" s="11"/>
      <c r="Z422" s="11"/>
      <c r="AA422" s="63"/>
      <c r="AB422" s="63"/>
      <c r="AC422" s="63"/>
      <c r="AD422" s="36"/>
      <c r="AE422" s="31"/>
      <c r="AF422" s="9"/>
      <c r="AG422" s="6"/>
      <c r="AH422" s="6"/>
      <c r="AI422" s="6"/>
      <c r="AJ422" s="36"/>
      <c r="AK422" s="31"/>
      <c r="AL422" s="9"/>
      <c r="AM422" s="6"/>
      <c r="AN422" s="6"/>
      <c r="AO422" s="6"/>
      <c r="AP422" s="36"/>
    </row>
    <row r="423" spans="1:42">
      <c r="A423" s="30">
        <v>400</v>
      </c>
      <c r="B423" s="147"/>
      <c r="C423" s="144" t="s">
        <v>1742</v>
      </c>
      <c r="D423" s="27"/>
      <c r="E423" s="27"/>
      <c r="F423" s="27"/>
      <c r="G423" s="27"/>
      <c r="H423" s="70" t="s">
        <v>2003</v>
      </c>
      <c r="I423" s="177" t="s">
        <v>1590</v>
      </c>
      <c r="J423" s="138"/>
      <c r="K423" s="117"/>
      <c r="L423" s="6"/>
      <c r="M423" s="6"/>
      <c r="N423" s="6"/>
      <c r="O423" s="44"/>
      <c r="P423" s="44"/>
      <c r="Q423" s="44"/>
      <c r="R423" s="53"/>
      <c r="S423" s="44"/>
      <c r="T423" s="44"/>
      <c r="U423" s="44"/>
      <c r="V423" s="53"/>
      <c r="W423" s="31"/>
      <c r="X423" s="9"/>
      <c r="Y423" s="11"/>
      <c r="Z423" s="11"/>
      <c r="AA423" s="63"/>
      <c r="AB423" s="63"/>
      <c r="AC423" s="63"/>
      <c r="AD423" s="36"/>
      <c r="AE423" s="31"/>
      <c r="AF423" s="9"/>
      <c r="AG423" s="6"/>
      <c r="AH423" s="6"/>
      <c r="AI423" s="6"/>
      <c r="AJ423" s="36"/>
      <c r="AK423" s="31"/>
      <c r="AL423" s="9"/>
      <c r="AM423" s="6"/>
      <c r="AN423" s="6"/>
      <c r="AO423" s="6"/>
      <c r="AP423" s="36"/>
    </row>
    <row r="424" spans="1:42">
      <c r="A424" s="30">
        <v>401</v>
      </c>
      <c r="B424" s="147"/>
      <c r="C424" s="144" t="s">
        <v>520</v>
      </c>
      <c r="D424" s="27"/>
      <c r="E424" s="27"/>
      <c r="F424" s="27"/>
      <c r="G424" s="27"/>
      <c r="H424" s="70" t="s">
        <v>612</v>
      </c>
      <c r="I424" s="177" t="s">
        <v>838</v>
      </c>
      <c r="J424" s="138"/>
      <c r="K424" s="117"/>
      <c r="L424" s="6"/>
      <c r="M424" s="6"/>
      <c r="N424" s="6"/>
      <c r="O424" s="44"/>
      <c r="P424" s="44"/>
      <c r="Q424" s="44"/>
      <c r="R424" s="53"/>
      <c r="S424" s="44"/>
      <c r="T424" s="44"/>
      <c r="U424" s="44"/>
      <c r="V424" s="53"/>
      <c r="W424" s="31"/>
      <c r="X424" s="9"/>
      <c r="Y424" s="11"/>
      <c r="Z424" s="11"/>
      <c r="AA424" s="63"/>
      <c r="AB424" s="63"/>
      <c r="AC424" s="63"/>
      <c r="AD424" s="36"/>
      <c r="AE424" s="31"/>
      <c r="AF424" s="9"/>
      <c r="AG424" s="6"/>
      <c r="AH424" s="6"/>
      <c r="AI424" s="6"/>
      <c r="AJ424" s="36"/>
      <c r="AK424" s="31"/>
      <c r="AL424" s="9"/>
      <c r="AM424" s="6"/>
      <c r="AN424" s="6"/>
      <c r="AO424" s="6"/>
      <c r="AP424" s="36"/>
    </row>
    <row r="425" spans="1:42">
      <c r="A425" s="30">
        <v>402</v>
      </c>
      <c r="B425" s="147"/>
      <c r="C425" s="144" t="s">
        <v>1864</v>
      </c>
      <c r="D425" s="27"/>
      <c r="E425" s="27"/>
      <c r="F425" s="27"/>
      <c r="G425" s="27"/>
      <c r="H425" s="70" t="s">
        <v>2133</v>
      </c>
      <c r="I425" s="177" t="s">
        <v>1865</v>
      </c>
      <c r="J425" s="138" t="s">
        <v>2132</v>
      </c>
      <c r="K425" s="117"/>
      <c r="L425" s="6"/>
      <c r="M425" s="6"/>
      <c r="N425" s="6"/>
      <c r="O425" s="44"/>
      <c r="P425" s="44"/>
      <c r="Q425" s="44"/>
      <c r="R425" s="53"/>
      <c r="S425" s="44"/>
      <c r="T425" s="44"/>
      <c r="U425" s="44"/>
      <c r="V425" s="53"/>
      <c r="W425" s="31"/>
      <c r="X425" s="9"/>
      <c r="Y425" s="11"/>
      <c r="Z425" s="11"/>
      <c r="AA425" s="63"/>
      <c r="AB425" s="63"/>
      <c r="AC425" s="63"/>
      <c r="AD425" s="36"/>
      <c r="AE425" s="31"/>
      <c r="AF425" s="9"/>
      <c r="AG425" s="6"/>
      <c r="AH425" s="6"/>
      <c r="AI425" s="6"/>
      <c r="AJ425" s="36"/>
      <c r="AK425" s="31"/>
      <c r="AL425" s="9"/>
      <c r="AM425" s="6"/>
      <c r="AN425" s="6"/>
      <c r="AO425" s="6"/>
      <c r="AP425" s="36"/>
    </row>
    <row r="426" spans="1:42">
      <c r="A426" s="30">
        <v>403</v>
      </c>
      <c r="B426" s="147"/>
      <c r="C426" s="144" t="s">
        <v>1875</v>
      </c>
      <c r="D426" s="27"/>
      <c r="E426" s="27"/>
      <c r="F426" s="27"/>
      <c r="G426" s="27"/>
      <c r="H426" s="70" t="s">
        <v>1876</v>
      </c>
      <c r="I426" s="177" t="s">
        <v>1877</v>
      </c>
      <c r="J426" s="138"/>
      <c r="K426" s="117"/>
      <c r="L426" s="6"/>
      <c r="M426" s="6"/>
      <c r="N426" s="6"/>
      <c r="O426" s="44"/>
      <c r="P426" s="44"/>
      <c r="Q426" s="44"/>
      <c r="R426" s="53"/>
      <c r="S426" s="47"/>
      <c r="T426" s="47"/>
      <c r="U426" s="47"/>
      <c r="V426" s="53"/>
      <c r="W426" s="31"/>
      <c r="X426" s="9"/>
      <c r="Y426" s="11"/>
      <c r="Z426" s="80"/>
      <c r="AA426" s="79"/>
      <c r="AB426" s="79"/>
      <c r="AC426" s="79"/>
      <c r="AD426" s="36"/>
      <c r="AE426" s="31"/>
      <c r="AF426" s="9"/>
      <c r="AG426" s="6"/>
      <c r="AH426" s="6"/>
      <c r="AI426" s="6"/>
      <c r="AJ426" s="36"/>
      <c r="AK426" s="31"/>
      <c r="AL426" s="9"/>
      <c r="AM426" s="6"/>
      <c r="AN426" s="6"/>
      <c r="AO426" s="6"/>
      <c r="AP426" s="36"/>
    </row>
    <row r="427" spans="1:42">
      <c r="A427" s="30">
        <v>404</v>
      </c>
      <c r="B427" s="147"/>
      <c r="C427" s="144" t="s">
        <v>1627</v>
      </c>
      <c r="D427" s="27"/>
      <c r="E427" s="27"/>
      <c r="F427" s="27"/>
      <c r="G427" s="27"/>
      <c r="H427" s="70" t="s">
        <v>1630</v>
      </c>
      <c r="I427" s="177" t="s">
        <v>1629</v>
      </c>
      <c r="J427" s="138" t="s">
        <v>1628</v>
      </c>
      <c r="K427" s="117"/>
      <c r="L427" s="6"/>
      <c r="M427" s="6"/>
      <c r="N427" s="6"/>
      <c r="O427" s="44"/>
      <c r="P427" s="44"/>
      <c r="Q427" s="44"/>
      <c r="R427" s="53"/>
      <c r="S427" s="47"/>
      <c r="T427" s="47"/>
      <c r="U427" s="47"/>
      <c r="V427" s="53"/>
      <c r="W427" s="31"/>
      <c r="X427" s="9"/>
      <c r="Y427" s="11"/>
      <c r="Z427" s="80"/>
      <c r="AA427" s="79"/>
      <c r="AB427" s="79"/>
      <c r="AC427" s="79"/>
      <c r="AD427" s="36"/>
      <c r="AE427" s="31"/>
      <c r="AF427" s="9"/>
      <c r="AG427" s="6"/>
      <c r="AH427" s="6"/>
      <c r="AI427" s="6"/>
      <c r="AJ427" s="36"/>
      <c r="AK427" s="31"/>
      <c r="AL427" s="9"/>
      <c r="AM427" s="6"/>
      <c r="AN427" s="6"/>
      <c r="AO427" s="6"/>
      <c r="AP427" s="36"/>
    </row>
    <row r="428" spans="1:42">
      <c r="A428" s="30">
        <v>405</v>
      </c>
      <c r="B428" s="147"/>
      <c r="C428" s="144" t="s">
        <v>386</v>
      </c>
      <c r="D428" s="27"/>
      <c r="E428" s="27"/>
      <c r="F428" s="27"/>
      <c r="G428" s="27"/>
      <c r="H428" s="70" t="s">
        <v>33</v>
      </c>
      <c r="I428" s="177" t="s">
        <v>833</v>
      </c>
      <c r="J428" s="138"/>
      <c r="K428" s="117"/>
      <c r="L428" s="6">
        <v>24900</v>
      </c>
      <c r="M428" s="6">
        <v>1245</v>
      </c>
      <c r="N428" s="6">
        <v>26145</v>
      </c>
      <c r="O428" s="44"/>
      <c r="P428" s="44"/>
      <c r="Q428" s="44"/>
      <c r="R428" s="53"/>
      <c r="S428" s="44"/>
      <c r="T428" s="44"/>
      <c r="U428" s="44"/>
      <c r="V428" s="53"/>
      <c r="W428" s="31"/>
      <c r="X428" s="9"/>
      <c r="Y428" s="11"/>
      <c r="Z428" s="11"/>
      <c r="AA428" s="63"/>
      <c r="AB428" s="63"/>
      <c r="AC428" s="63"/>
      <c r="AD428" s="36"/>
      <c r="AE428" s="31"/>
      <c r="AF428" s="9"/>
      <c r="AG428" s="6"/>
      <c r="AH428" s="6"/>
      <c r="AI428" s="6"/>
      <c r="AJ428" s="36"/>
      <c r="AK428" s="31"/>
      <c r="AL428" s="9"/>
      <c r="AM428" s="6"/>
      <c r="AN428" s="6"/>
      <c r="AO428" s="6"/>
      <c r="AP428" s="36"/>
    </row>
    <row r="429" spans="1:42">
      <c r="A429" s="30">
        <v>406</v>
      </c>
      <c r="B429" s="147"/>
      <c r="C429" s="144" t="s">
        <v>1775</v>
      </c>
      <c r="D429" s="27"/>
      <c r="E429" s="27"/>
      <c r="F429" s="27"/>
      <c r="G429" s="27"/>
      <c r="H429" s="70" t="s">
        <v>1776</v>
      </c>
      <c r="I429" s="177" t="s">
        <v>1784</v>
      </c>
      <c r="J429" s="138"/>
      <c r="K429" s="117"/>
      <c r="L429" s="6"/>
      <c r="M429" s="6"/>
      <c r="N429" s="6"/>
      <c r="O429" s="44"/>
      <c r="P429" s="44"/>
      <c r="Q429" s="44"/>
      <c r="R429" s="53"/>
      <c r="S429" s="44"/>
      <c r="T429" s="44"/>
      <c r="U429" s="44"/>
      <c r="V429" s="53"/>
      <c r="W429" s="31"/>
      <c r="X429" s="9"/>
      <c r="Y429" s="11"/>
      <c r="Z429" s="11"/>
      <c r="AA429" s="63"/>
      <c r="AB429" s="63"/>
      <c r="AC429" s="63"/>
      <c r="AD429" s="36"/>
      <c r="AE429" s="31"/>
      <c r="AF429" s="9"/>
      <c r="AG429" s="6"/>
      <c r="AH429" s="6"/>
      <c r="AI429" s="6"/>
      <c r="AJ429" s="36"/>
      <c r="AK429" s="31"/>
      <c r="AL429" s="9"/>
      <c r="AM429" s="6"/>
      <c r="AN429" s="6"/>
      <c r="AO429" s="6"/>
      <c r="AP429" s="36"/>
    </row>
    <row r="430" spans="1:42">
      <c r="A430" s="30">
        <v>407</v>
      </c>
      <c r="B430" s="147"/>
      <c r="C430" s="144" t="s">
        <v>522</v>
      </c>
      <c r="D430" s="27"/>
      <c r="E430" s="27"/>
      <c r="F430" s="27"/>
      <c r="G430" s="27"/>
      <c r="H430" s="70" t="s">
        <v>1299</v>
      </c>
      <c r="I430" s="177"/>
      <c r="J430" s="138"/>
      <c r="K430" s="117"/>
      <c r="L430" s="6">
        <v>81800</v>
      </c>
      <c r="M430" s="6">
        <v>4090</v>
      </c>
      <c r="N430" s="6">
        <v>85890</v>
      </c>
      <c r="O430" s="44"/>
      <c r="P430" s="44"/>
      <c r="Q430" s="44"/>
      <c r="R430" s="53"/>
      <c r="S430" s="44"/>
      <c r="T430" s="44"/>
      <c r="U430" s="44"/>
      <c r="V430" s="53"/>
      <c r="W430" s="31"/>
      <c r="X430" s="9"/>
      <c r="Y430" s="11"/>
      <c r="Z430" s="11"/>
      <c r="AA430" s="63"/>
      <c r="AB430" s="63"/>
      <c r="AC430" s="63"/>
      <c r="AD430" s="36"/>
      <c r="AE430" s="31"/>
      <c r="AF430" s="9"/>
      <c r="AG430" s="6"/>
      <c r="AH430" s="6"/>
      <c r="AI430" s="6"/>
      <c r="AJ430" s="36"/>
      <c r="AK430" s="31"/>
      <c r="AL430" s="9"/>
      <c r="AM430" s="6"/>
      <c r="AN430" s="6"/>
      <c r="AO430" s="6"/>
      <c r="AP430" s="36"/>
    </row>
    <row r="431" spans="1:42">
      <c r="A431" s="30">
        <v>408</v>
      </c>
      <c r="B431" s="147"/>
      <c r="C431" s="144" t="s">
        <v>1621</v>
      </c>
      <c r="D431" s="27"/>
      <c r="E431" s="27"/>
      <c r="F431" s="27"/>
      <c r="G431" s="27"/>
      <c r="H431" s="70" t="s">
        <v>1647</v>
      </c>
      <c r="I431" s="177" t="s">
        <v>900</v>
      </c>
      <c r="J431" s="138" t="s">
        <v>1008</v>
      </c>
      <c r="K431" s="117"/>
      <c r="L431" s="6">
        <v>16870</v>
      </c>
      <c r="M431" s="6">
        <v>843.5</v>
      </c>
      <c r="N431" s="6">
        <v>17713.5</v>
      </c>
      <c r="O431" s="44"/>
      <c r="P431" s="44"/>
      <c r="Q431" s="44"/>
      <c r="R431" s="53"/>
      <c r="S431" s="81"/>
      <c r="T431" s="81"/>
      <c r="U431" s="81"/>
      <c r="V431" s="53"/>
      <c r="W431" s="31"/>
      <c r="X431" s="9"/>
      <c r="Y431" s="11"/>
      <c r="Z431" s="80"/>
      <c r="AA431" s="65"/>
      <c r="AB431" s="65"/>
      <c r="AC431" s="65"/>
      <c r="AD431" s="36"/>
      <c r="AE431" s="31"/>
      <c r="AF431" s="9"/>
      <c r="AG431" s="6"/>
      <c r="AH431" s="6"/>
      <c r="AI431" s="6"/>
      <c r="AJ431" s="36"/>
      <c r="AK431" s="31"/>
      <c r="AL431" s="9"/>
      <c r="AM431" s="6"/>
      <c r="AN431" s="6"/>
      <c r="AO431" s="6"/>
      <c r="AP431" s="36"/>
    </row>
    <row r="432" spans="1:42">
      <c r="A432" s="30">
        <v>409</v>
      </c>
      <c r="B432" s="147"/>
      <c r="C432" s="144" t="s">
        <v>1351</v>
      </c>
      <c r="D432" s="27"/>
      <c r="E432" s="27"/>
      <c r="F432" s="27"/>
      <c r="G432" s="27"/>
      <c r="H432" s="70" t="s">
        <v>1352</v>
      </c>
      <c r="I432" s="177" t="s">
        <v>882</v>
      </c>
      <c r="J432" s="138" t="s">
        <v>601</v>
      </c>
      <c r="K432" s="117"/>
      <c r="L432" s="6"/>
      <c r="M432" s="6"/>
      <c r="N432" s="6"/>
      <c r="O432" s="44"/>
      <c r="P432" s="44"/>
      <c r="Q432" s="44"/>
      <c r="R432" s="53"/>
      <c r="S432" s="81"/>
      <c r="T432" s="81"/>
      <c r="U432" s="81"/>
      <c r="V432" s="53"/>
      <c r="W432" s="31"/>
      <c r="X432" s="9"/>
      <c r="Y432" s="11"/>
      <c r="Z432" s="80"/>
      <c r="AA432" s="65"/>
      <c r="AB432" s="65"/>
      <c r="AC432" s="65"/>
      <c r="AD432" s="36"/>
      <c r="AE432" s="31"/>
      <c r="AF432" s="9"/>
      <c r="AG432" s="6"/>
      <c r="AH432" s="6"/>
      <c r="AI432" s="6"/>
      <c r="AJ432" s="36"/>
      <c r="AK432" s="31"/>
      <c r="AL432" s="9"/>
      <c r="AM432" s="6"/>
      <c r="AN432" s="6"/>
      <c r="AO432" s="6"/>
      <c r="AP432" s="36"/>
    </row>
    <row r="433" spans="1:42">
      <c r="A433" s="30">
        <v>410</v>
      </c>
      <c r="B433" s="147"/>
      <c r="C433" s="144" t="s">
        <v>2134</v>
      </c>
      <c r="D433" s="27"/>
      <c r="E433" s="27"/>
      <c r="F433" s="27"/>
      <c r="G433" s="27"/>
      <c r="H433" s="70" t="s">
        <v>2135</v>
      </c>
      <c r="I433" s="177" t="s">
        <v>1565</v>
      </c>
      <c r="J433" s="138"/>
      <c r="K433" s="117"/>
      <c r="L433" s="6"/>
      <c r="M433" s="6"/>
      <c r="N433" s="6"/>
      <c r="O433" s="44"/>
      <c r="P433" s="44"/>
      <c r="Q433" s="44"/>
      <c r="R433" s="53"/>
      <c r="S433" s="81"/>
      <c r="T433" s="81"/>
      <c r="U433" s="81"/>
      <c r="V433" s="53"/>
      <c r="W433" s="31"/>
      <c r="X433" s="9"/>
      <c r="Y433" s="11"/>
      <c r="Z433" s="80"/>
      <c r="AA433" s="65"/>
      <c r="AB433" s="65"/>
      <c r="AC433" s="65"/>
      <c r="AD433" s="36"/>
      <c r="AE433" s="31"/>
      <c r="AF433" s="9"/>
      <c r="AG433" s="6"/>
      <c r="AH433" s="6"/>
      <c r="AI433" s="6"/>
      <c r="AJ433" s="36"/>
      <c r="AK433" s="31"/>
      <c r="AL433" s="9"/>
      <c r="AM433" s="6"/>
      <c r="AN433" s="6"/>
      <c r="AO433" s="6"/>
      <c r="AP433" s="36"/>
    </row>
    <row r="434" spans="1:42">
      <c r="A434" s="30">
        <v>411</v>
      </c>
      <c r="B434" s="147"/>
      <c r="C434" s="144" t="s">
        <v>1786</v>
      </c>
      <c r="D434" s="27"/>
      <c r="E434" s="27"/>
      <c r="F434" s="27"/>
      <c r="G434" s="27"/>
      <c r="H434" s="70" t="s">
        <v>1613</v>
      </c>
      <c r="I434" s="177" t="s">
        <v>833</v>
      </c>
      <c r="J434" s="138"/>
      <c r="K434" s="117"/>
      <c r="L434" s="6"/>
      <c r="M434" s="6"/>
      <c r="N434" s="6"/>
      <c r="O434" s="44"/>
      <c r="P434" s="44"/>
      <c r="Q434" s="44"/>
      <c r="R434" s="53"/>
      <c r="S434" s="81"/>
      <c r="T434" s="81"/>
      <c r="U434" s="81"/>
      <c r="V434" s="53"/>
      <c r="W434" s="31"/>
      <c r="X434" s="9"/>
      <c r="Y434" s="11"/>
      <c r="Z434" s="80"/>
      <c r="AA434" s="65"/>
      <c r="AB434" s="65"/>
      <c r="AC434" s="65"/>
      <c r="AD434" s="36"/>
      <c r="AE434" s="31"/>
      <c r="AF434" s="9"/>
      <c r="AG434" s="6"/>
      <c r="AH434" s="6"/>
      <c r="AI434" s="6"/>
      <c r="AJ434" s="36"/>
      <c r="AK434" s="31"/>
      <c r="AL434" s="9"/>
      <c r="AM434" s="6"/>
      <c r="AN434" s="6"/>
      <c r="AO434" s="6"/>
      <c r="AP434" s="36"/>
    </row>
    <row r="435" spans="1:42">
      <c r="A435" s="30">
        <v>412</v>
      </c>
      <c r="B435" s="147"/>
      <c r="C435" s="144" t="s">
        <v>1787</v>
      </c>
      <c r="D435" s="27"/>
      <c r="E435" s="27"/>
      <c r="F435" s="27"/>
      <c r="G435" s="27"/>
      <c r="H435" s="70" t="s">
        <v>1307</v>
      </c>
      <c r="I435" s="177" t="s">
        <v>1538</v>
      </c>
      <c r="J435" s="138"/>
      <c r="K435" s="117"/>
      <c r="L435" s="6"/>
      <c r="M435" s="6"/>
      <c r="N435" s="6"/>
      <c r="O435" s="44"/>
      <c r="P435" s="44"/>
      <c r="Q435" s="44"/>
      <c r="R435" s="53"/>
      <c r="S435" s="81"/>
      <c r="T435" s="81"/>
      <c r="U435" s="81"/>
      <c r="V435" s="53"/>
      <c r="W435" s="31"/>
      <c r="X435" s="9"/>
      <c r="Y435" s="11"/>
      <c r="Z435" s="80"/>
      <c r="AA435" s="65"/>
      <c r="AB435" s="65"/>
      <c r="AC435" s="65"/>
      <c r="AD435" s="36"/>
      <c r="AE435" s="31"/>
      <c r="AF435" s="9"/>
      <c r="AG435" s="6"/>
      <c r="AH435" s="6"/>
      <c r="AI435" s="6"/>
      <c r="AJ435" s="36"/>
      <c r="AK435" s="31"/>
      <c r="AL435" s="9"/>
      <c r="AM435" s="6"/>
      <c r="AN435" s="6"/>
      <c r="AO435" s="6"/>
      <c r="AP435" s="36"/>
    </row>
    <row r="436" spans="1:42">
      <c r="A436" s="30">
        <v>413</v>
      </c>
      <c r="B436" s="147"/>
      <c r="C436" s="144" t="s">
        <v>558</v>
      </c>
      <c r="D436" s="27"/>
      <c r="E436" s="27"/>
      <c r="F436" s="27"/>
      <c r="G436" s="27"/>
      <c r="H436" s="70" t="s">
        <v>729</v>
      </c>
      <c r="I436" s="177"/>
      <c r="J436" s="138"/>
      <c r="K436" s="117"/>
      <c r="L436" s="6"/>
      <c r="M436" s="6"/>
      <c r="N436" s="6"/>
      <c r="O436" s="44"/>
      <c r="P436" s="44"/>
      <c r="Q436" s="44"/>
      <c r="R436" s="53"/>
      <c r="S436" s="81"/>
      <c r="T436" s="81"/>
      <c r="U436" s="81"/>
      <c r="V436" s="53"/>
      <c r="W436" s="31"/>
      <c r="X436" s="9"/>
      <c r="Y436" s="11"/>
      <c r="Z436" s="80"/>
      <c r="AA436" s="65"/>
      <c r="AB436" s="65"/>
      <c r="AC436" s="65"/>
      <c r="AD436" s="36"/>
      <c r="AE436" s="31"/>
      <c r="AF436" s="9"/>
      <c r="AG436" s="6"/>
      <c r="AH436" s="6"/>
      <c r="AI436" s="6"/>
      <c r="AJ436" s="36"/>
      <c r="AK436" s="31"/>
      <c r="AL436" s="9"/>
      <c r="AM436" s="6"/>
      <c r="AN436" s="6"/>
      <c r="AO436" s="6"/>
      <c r="AP436" s="36"/>
    </row>
    <row r="437" spans="1:42">
      <c r="A437" s="30">
        <v>414</v>
      </c>
      <c r="B437" s="147"/>
      <c r="C437" s="144" t="s">
        <v>812</v>
      </c>
      <c r="D437" s="27"/>
      <c r="E437" s="27"/>
      <c r="F437" s="27"/>
      <c r="G437" s="27"/>
      <c r="H437" s="70" t="s">
        <v>1085</v>
      </c>
      <c r="I437" s="177" t="s">
        <v>833</v>
      </c>
      <c r="J437" s="138"/>
      <c r="K437" s="29"/>
      <c r="L437" s="11"/>
      <c r="M437" s="11"/>
      <c r="N437" s="11"/>
      <c r="O437" s="44"/>
      <c r="P437" s="44"/>
      <c r="Q437" s="44"/>
      <c r="R437" s="53"/>
      <c r="S437" s="45"/>
      <c r="T437" s="45"/>
      <c r="U437" s="45"/>
      <c r="V437" s="53"/>
      <c r="W437" s="31"/>
      <c r="X437" s="9"/>
      <c r="Y437" s="11"/>
      <c r="Z437" s="11"/>
      <c r="AA437" s="64"/>
      <c r="AB437" s="64"/>
      <c r="AC437" s="64"/>
      <c r="AD437" s="36"/>
      <c r="AE437" s="31"/>
      <c r="AF437" s="9"/>
      <c r="AG437" s="6"/>
      <c r="AH437" s="6"/>
      <c r="AI437" s="6"/>
      <c r="AJ437" s="36"/>
      <c r="AK437" s="31"/>
      <c r="AL437" s="9"/>
      <c r="AM437" s="6"/>
      <c r="AN437" s="6"/>
      <c r="AO437" s="6"/>
      <c r="AP437" s="36"/>
    </row>
    <row r="438" spans="1:42">
      <c r="A438" s="30">
        <v>415</v>
      </c>
      <c r="B438" s="147"/>
      <c r="C438" s="144" t="s">
        <v>1158</v>
      </c>
      <c r="D438" s="27"/>
      <c r="E438" s="27"/>
      <c r="F438" s="27"/>
      <c r="G438" s="27"/>
      <c r="H438" s="70" t="s">
        <v>1159</v>
      </c>
      <c r="I438" s="177"/>
      <c r="J438" s="138"/>
      <c r="K438" s="29"/>
      <c r="L438" s="11"/>
      <c r="M438" s="11"/>
      <c r="N438" s="11"/>
      <c r="O438" s="44"/>
      <c r="P438" s="44"/>
      <c r="Q438" s="44"/>
      <c r="R438" s="53"/>
      <c r="S438" s="45"/>
      <c r="T438" s="45"/>
      <c r="U438" s="45"/>
      <c r="V438" s="53"/>
      <c r="W438" s="31"/>
      <c r="X438" s="9"/>
      <c r="Y438" s="11"/>
      <c r="Z438" s="11"/>
      <c r="AA438" s="64"/>
      <c r="AB438" s="64"/>
      <c r="AC438" s="64"/>
      <c r="AD438" s="36"/>
      <c r="AE438" s="31"/>
      <c r="AF438" s="9"/>
      <c r="AG438" s="6"/>
      <c r="AH438" s="6"/>
      <c r="AI438" s="6"/>
      <c r="AJ438" s="36"/>
      <c r="AK438" s="31"/>
      <c r="AL438" s="9"/>
      <c r="AM438" s="6"/>
      <c r="AN438" s="6"/>
      <c r="AO438" s="6"/>
      <c r="AP438" s="36"/>
    </row>
    <row r="439" spans="1:42">
      <c r="A439" s="30">
        <v>416</v>
      </c>
      <c r="B439" s="147"/>
      <c r="C439" s="144" t="s">
        <v>388</v>
      </c>
      <c r="D439" s="27"/>
      <c r="E439" s="27"/>
      <c r="F439" s="27"/>
      <c r="G439" s="27"/>
      <c r="H439" s="70" t="s">
        <v>985</v>
      </c>
      <c r="I439" s="177" t="s">
        <v>906</v>
      </c>
      <c r="J439" s="137" t="s">
        <v>991</v>
      </c>
      <c r="K439" s="117"/>
      <c r="L439" s="6">
        <v>22860</v>
      </c>
      <c r="M439" s="6">
        <v>1143</v>
      </c>
      <c r="N439" s="6">
        <v>24003</v>
      </c>
      <c r="O439" s="44"/>
      <c r="P439" s="44"/>
      <c r="Q439" s="44"/>
      <c r="R439" s="53"/>
      <c r="S439" s="44"/>
      <c r="T439" s="44"/>
      <c r="U439" s="44"/>
      <c r="V439" s="53"/>
      <c r="W439" s="31"/>
      <c r="X439" s="9"/>
      <c r="Y439" s="11"/>
      <c r="Z439" s="11"/>
      <c r="AA439" s="63"/>
      <c r="AB439" s="63"/>
      <c r="AC439" s="63"/>
      <c r="AD439" s="36"/>
      <c r="AE439" s="31"/>
      <c r="AF439" s="9"/>
      <c r="AG439" s="6"/>
      <c r="AH439" s="6"/>
      <c r="AI439" s="6"/>
      <c r="AJ439" s="36"/>
      <c r="AK439" s="31"/>
      <c r="AL439" s="9"/>
      <c r="AM439" s="6"/>
      <c r="AN439" s="6"/>
      <c r="AO439" s="6"/>
      <c r="AP439" s="36"/>
    </row>
    <row r="440" spans="1:42">
      <c r="A440" s="30">
        <v>417</v>
      </c>
      <c r="B440" s="147"/>
      <c r="C440" s="144" t="s">
        <v>1367</v>
      </c>
      <c r="D440" s="27"/>
      <c r="E440" s="27"/>
      <c r="F440" s="27"/>
      <c r="G440" s="27"/>
      <c r="H440" s="70" t="s">
        <v>983</v>
      </c>
      <c r="I440" s="177" t="s">
        <v>828</v>
      </c>
      <c r="J440" s="138"/>
      <c r="K440" s="117"/>
      <c r="L440" s="6"/>
      <c r="M440" s="6"/>
      <c r="N440" s="6"/>
      <c r="O440" s="44"/>
      <c r="P440" s="44"/>
      <c r="Q440" s="44"/>
      <c r="R440" s="53"/>
      <c r="S440" s="44"/>
      <c r="T440" s="44"/>
      <c r="U440" s="44"/>
      <c r="V440" s="53"/>
      <c r="W440" s="31"/>
      <c r="X440" s="9"/>
      <c r="Y440" s="11"/>
      <c r="Z440" s="11"/>
      <c r="AA440" s="63"/>
      <c r="AB440" s="63"/>
      <c r="AC440" s="63"/>
      <c r="AD440" s="36"/>
      <c r="AE440" s="31"/>
      <c r="AF440" s="9"/>
      <c r="AG440" s="6"/>
      <c r="AH440" s="6"/>
      <c r="AI440" s="6"/>
      <c r="AJ440" s="36"/>
      <c r="AK440" s="31"/>
      <c r="AL440" s="9"/>
      <c r="AM440" s="6"/>
      <c r="AN440" s="6"/>
      <c r="AO440" s="6"/>
      <c r="AP440" s="36"/>
    </row>
    <row r="441" spans="1:42">
      <c r="A441" s="30">
        <v>418</v>
      </c>
      <c r="B441" s="147"/>
      <c r="C441" s="144" t="s">
        <v>1596</v>
      </c>
      <c r="D441" s="27"/>
      <c r="E441" s="27"/>
      <c r="F441" s="27"/>
      <c r="G441" s="27"/>
      <c r="H441" s="70" t="s">
        <v>755</v>
      </c>
      <c r="I441" s="177"/>
      <c r="J441" s="138"/>
      <c r="K441" s="117"/>
      <c r="L441" s="6"/>
      <c r="M441" s="6"/>
      <c r="N441" s="6"/>
      <c r="O441" s="44"/>
      <c r="P441" s="44"/>
      <c r="Q441" s="44"/>
      <c r="R441" s="53"/>
      <c r="S441" s="44"/>
      <c r="T441" s="44"/>
      <c r="U441" s="44"/>
      <c r="V441" s="53"/>
      <c r="W441" s="31"/>
      <c r="X441" s="9"/>
      <c r="Y441" s="11"/>
      <c r="Z441" s="11"/>
      <c r="AA441" s="63"/>
      <c r="AB441" s="63"/>
      <c r="AC441" s="63"/>
      <c r="AD441" s="36"/>
      <c r="AE441" s="31"/>
      <c r="AF441" s="9"/>
      <c r="AG441" s="6"/>
      <c r="AH441" s="6"/>
      <c r="AI441" s="6"/>
      <c r="AJ441" s="36"/>
      <c r="AK441" s="31"/>
      <c r="AL441" s="9"/>
      <c r="AM441" s="6"/>
      <c r="AN441" s="6"/>
      <c r="AO441" s="6"/>
      <c r="AP441" s="36"/>
    </row>
    <row r="442" spans="1:42">
      <c r="A442" s="30">
        <v>419</v>
      </c>
      <c r="B442" s="147"/>
      <c r="C442" s="144" t="s">
        <v>712</v>
      </c>
      <c r="D442" s="27"/>
      <c r="E442" s="27"/>
      <c r="F442" s="27"/>
      <c r="G442" s="27"/>
      <c r="H442" s="70" t="s">
        <v>984</v>
      </c>
      <c r="I442" s="177"/>
      <c r="J442" s="138"/>
      <c r="K442" s="117"/>
      <c r="L442" s="6"/>
      <c r="M442" s="6"/>
      <c r="N442" s="6"/>
      <c r="O442" s="44"/>
      <c r="P442" s="44"/>
      <c r="Q442" s="44"/>
      <c r="R442" s="53"/>
      <c r="S442" s="44"/>
      <c r="T442" s="44"/>
      <c r="U442" s="44"/>
      <c r="V442" s="53"/>
      <c r="W442" s="31"/>
      <c r="X442" s="9"/>
      <c r="Y442" s="11"/>
      <c r="Z442" s="11"/>
      <c r="AA442" s="63"/>
      <c r="AB442" s="63"/>
      <c r="AC442" s="63"/>
      <c r="AD442" s="36"/>
      <c r="AE442" s="31"/>
      <c r="AF442" s="9"/>
      <c r="AG442" s="6"/>
      <c r="AH442" s="6"/>
      <c r="AI442" s="6"/>
      <c r="AJ442" s="36"/>
      <c r="AK442" s="31"/>
      <c r="AL442" s="9"/>
      <c r="AM442" s="6"/>
      <c r="AN442" s="6"/>
      <c r="AO442" s="6"/>
      <c r="AP442" s="36"/>
    </row>
    <row r="443" spans="1:42">
      <c r="A443" s="30">
        <v>420</v>
      </c>
      <c r="B443" s="147"/>
      <c r="C443" s="144" t="s">
        <v>2024</v>
      </c>
      <c r="D443" s="27"/>
      <c r="E443" s="27"/>
      <c r="F443" s="27"/>
      <c r="G443" s="27"/>
      <c r="H443" s="70" t="s">
        <v>1016</v>
      </c>
      <c r="I443" s="177" t="s">
        <v>833</v>
      </c>
      <c r="J443" s="138"/>
      <c r="K443" s="117"/>
      <c r="L443" s="6"/>
      <c r="M443" s="6"/>
      <c r="N443" s="6"/>
      <c r="O443" s="44"/>
      <c r="P443" s="44"/>
      <c r="Q443" s="44"/>
      <c r="R443" s="53"/>
      <c r="S443" s="44"/>
      <c r="T443" s="44"/>
      <c r="U443" s="44"/>
      <c r="V443" s="53"/>
      <c r="W443" s="31"/>
      <c r="X443" s="9"/>
      <c r="Y443" s="11"/>
      <c r="Z443" s="11"/>
      <c r="AA443" s="63"/>
      <c r="AB443" s="63"/>
      <c r="AC443" s="63"/>
      <c r="AD443" s="36"/>
      <c r="AE443" s="31"/>
      <c r="AF443" s="9"/>
      <c r="AG443" s="6"/>
      <c r="AH443" s="6"/>
      <c r="AI443" s="6"/>
      <c r="AJ443" s="36"/>
      <c r="AK443" s="31"/>
      <c r="AL443" s="9"/>
      <c r="AM443" s="6"/>
      <c r="AN443" s="6"/>
      <c r="AO443" s="6"/>
      <c r="AP443" s="36"/>
    </row>
    <row r="444" spans="1:42">
      <c r="A444" s="30">
        <v>421</v>
      </c>
      <c r="B444" s="147"/>
      <c r="C444" s="144" t="s">
        <v>695</v>
      </c>
      <c r="D444" s="27"/>
      <c r="E444" s="27"/>
      <c r="F444" s="27"/>
      <c r="G444" s="27"/>
      <c r="H444" s="70" t="s">
        <v>879</v>
      </c>
      <c r="I444" s="177" t="s">
        <v>828</v>
      </c>
      <c r="J444" s="138"/>
      <c r="K444" s="117"/>
      <c r="L444" s="6"/>
      <c r="M444" s="6"/>
      <c r="N444" s="6"/>
      <c r="O444" s="44"/>
      <c r="P444" s="44"/>
      <c r="Q444" s="44"/>
      <c r="R444" s="53"/>
      <c r="S444" s="44"/>
      <c r="T444" s="44"/>
      <c r="U444" s="44"/>
      <c r="V444" s="53"/>
      <c r="W444" s="31"/>
      <c r="X444" s="9"/>
      <c r="Y444" s="11"/>
      <c r="Z444" s="11"/>
      <c r="AA444" s="63"/>
      <c r="AB444" s="63"/>
      <c r="AC444" s="63"/>
      <c r="AD444" s="36"/>
      <c r="AE444" s="31"/>
      <c r="AF444" s="9"/>
      <c r="AG444" s="6"/>
      <c r="AH444" s="6"/>
      <c r="AI444" s="6"/>
      <c r="AJ444" s="36"/>
      <c r="AK444" s="31"/>
      <c r="AL444" s="9"/>
      <c r="AM444" s="6"/>
      <c r="AN444" s="6"/>
      <c r="AO444" s="6"/>
      <c r="AP444" s="36"/>
    </row>
    <row r="445" spans="1:42">
      <c r="A445" s="30">
        <v>422</v>
      </c>
      <c r="B445" s="147"/>
      <c r="C445" s="144" t="s">
        <v>559</v>
      </c>
      <c r="D445" s="27"/>
      <c r="E445" s="27"/>
      <c r="F445" s="27"/>
      <c r="G445" s="27"/>
      <c r="H445" s="105" t="s">
        <v>756</v>
      </c>
      <c r="I445" s="178"/>
      <c r="J445" s="138" t="s">
        <v>599</v>
      </c>
      <c r="K445" s="119">
        <v>338152</v>
      </c>
      <c r="L445" s="6"/>
      <c r="M445" s="6"/>
      <c r="N445" s="6"/>
      <c r="O445" s="44"/>
      <c r="P445" s="44"/>
      <c r="Q445" s="44"/>
      <c r="R445" s="53"/>
      <c r="S445" s="44"/>
      <c r="T445" s="44"/>
      <c r="U445" s="44"/>
      <c r="V445" s="53"/>
      <c r="W445" s="31"/>
      <c r="X445" s="9"/>
      <c r="Y445" s="11"/>
      <c r="Z445" s="11"/>
      <c r="AA445" s="63"/>
      <c r="AB445" s="63"/>
      <c r="AC445" s="63"/>
      <c r="AD445" s="36"/>
      <c r="AE445" s="31"/>
      <c r="AF445" s="9"/>
      <c r="AG445" s="6"/>
      <c r="AH445" s="6"/>
      <c r="AI445" s="6"/>
      <c r="AJ445" s="36"/>
      <c r="AK445" s="31"/>
      <c r="AL445" s="9"/>
      <c r="AM445" s="6"/>
      <c r="AN445" s="6"/>
      <c r="AO445" s="6"/>
      <c r="AP445" s="36"/>
    </row>
    <row r="446" spans="1:42">
      <c r="A446" s="30">
        <v>423</v>
      </c>
      <c r="B446" s="147"/>
      <c r="C446" s="144" t="s">
        <v>1076</v>
      </c>
      <c r="D446" s="27"/>
      <c r="E446" s="27"/>
      <c r="F446" s="27"/>
      <c r="G446" s="27"/>
      <c r="H446" s="70" t="s">
        <v>819</v>
      </c>
      <c r="I446" s="177" t="s">
        <v>833</v>
      </c>
      <c r="J446" s="138"/>
      <c r="K446" s="119"/>
      <c r="L446" s="6"/>
      <c r="M446" s="6"/>
      <c r="N446" s="6"/>
      <c r="O446" s="44"/>
      <c r="P446" s="44"/>
      <c r="Q446" s="44"/>
      <c r="R446" s="53"/>
      <c r="S446" s="44"/>
      <c r="T446" s="44"/>
      <c r="U446" s="44"/>
      <c r="V446" s="53"/>
      <c r="W446" s="31"/>
      <c r="X446" s="9"/>
      <c r="Y446" s="11"/>
      <c r="Z446" s="11"/>
      <c r="AA446" s="63"/>
      <c r="AB446" s="63"/>
      <c r="AC446" s="63"/>
      <c r="AD446" s="36"/>
      <c r="AE446" s="31"/>
      <c r="AF446" s="9"/>
      <c r="AG446" s="6"/>
      <c r="AH446" s="6"/>
      <c r="AI446" s="6"/>
      <c r="AJ446" s="36"/>
      <c r="AK446" s="31"/>
      <c r="AL446" s="9"/>
      <c r="AM446" s="6"/>
      <c r="AN446" s="6"/>
      <c r="AO446" s="6"/>
      <c r="AP446" s="36"/>
    </row>
    <row r="447" spans="1:42">
      <c r="A447" s="30">
        <v>424</v>
      </c>
      <c r="B447" s="147"/>
      <c r="C447" s="144" t="s">
        <v>1121</v>
      </c>
      <c r="D447" s="27"/>
      <c r="E447" s="27"/>
      <c r="F447" s="27"/>
      <c r="G447" s="27"/>
      <c r="H447" s="70" t="s">
        <v>1122</v>
      </c>
      <c r="I447" s="177" t="s">
        <v>833</v>
      </c>
      <c r="J447" s="138"/>
      <c r="K447" s="117"/>
      <c r="L447" s="6"/>
      <c r="M447" s="6"/>
      <c r="N447" s="6"/>
      <c r="O447" s="44"/>
      <c r="P447" s="44"/>
      <c r="Q447" s="44"/>
      <c r="R447" s="53"/>
      <c r="S447" s="44"/>
      <c r="T447" s="44"/>
      <c r="U447" s="44"/>
      <c r="V447" s="53"/>
      <c r="W447" s="31"/>
      <c r="X447" s="9"/>
      <c r="Y447" s="11"/>
      <c r="Z447" s="11"/>
      <c r="AA447" s="63"/>
      <c r="AB447" s="63"/>
      <c r="AC447" s="63"/>
      <c r="AD447" s="36"/>
      <c r="AE447" s="31"/>
      <c r="AF447" s="9"/>
      <c r="AG447" s="6"/>
      <c r="AH447" s="6"/>
      <c r="AI447" s="6"/>
      <c r="AJ447" s="36"/>
      <c r="AK447" s="31"/>
      <c r="AL447" s="9"/>
      <c r="AM447" s="6"/>
      <c r="AN447" s="6"/>
      <c r="AO447" s="6"/>
      <c r="AP447" s="36"/>
    </row>
    <row r="448" spans="1:42">
      <c r="A448" s="30">
        <v>425</v>
      </c>
      <c r="B448" s="147"/>
      <c r="C448" s="144" t="s">
        <v>1623</v>
      </c>
      <c r="D448" s="27"/>
      <c r="E448" s="27"/>
      <c r="F448" s="27"/>
      <c r="G448" s="27"/>
      <c r="H448" s="70" t="s">
        <v>1624</v>
      </c>
      <c r="I448" s="177" t="s">
        <v>833</v>
      </c>
      <c r="J448" s="138"/>
      <c r="K448" s="117"/>
      <c r="L448" s="6"/>
      <c r="M448" s="6"/>
      <c r="N448" s="6"/>
      <c r="O448" s="44"/>
      <c r="P448" s="44"/>
      <c r="Q448" s="44"/>
      <c r="R448" s="53"/>
      <c r="S448" s="44"/>
      <c r="T448" s="44"/>
      <c r="U448" s="44"/>
      <c r="V448" s="53"/>
      <c r="W448" s="31"/>
      <c r="X448" s="9"/>
      <c r="Y448" s="11"/>
      <c r="Z448" s="11"/>
      <c r="AA448" s="63"/>
      <c r="AB448" s="63"/>
      <c r="AC448" s="63"/>
      <c r="AD448" s="36"/>
      <c r="AE448" s="31"/>
      <c r="AF448" s="9"/>
      <c r="AG448" s="6"/>
      <c r="AH448" s="6"/>
      <c r="AI448" s="6"/>
      <c r="AJ448" s="36"/>
      <c r="AK448" s="31"/>
      <c r="AL448" s="9"/>
      <c r="AM448" s="6"/>
      <c r="AN448" s="6"/>
      <c r="AO448" s="6"/>
      <c r="AP448" s="36"/>
    </row>
    <row r="449" spans="1:42">
      <c r="A449" s="30">
        <v>426</v>
      </c>
      <c r="B449" s="147"/>
      <c r="C449" s="144" t="s">
        <v>538</v>
      </c>
      <c r="D449" s="27"/>
      <c r="E449" s="27"/>
      <c r="F449" s="27"/>
      <c r="G449" s="27"/>
      <c r="H449" s="70" t="s">
        <v>530</v>
      </c>
      <c r="I449" s="177"/>
      <c r="J449" s="138" t="s">
        <v>587</v>
      </c>
      <c r="K449" s="117"/>
      <c r="L449" s="6"/>
      <c r="M449" s="6"/>
      <c r="N449" s="6"/>
      <c r="O449" s="44"/>
      <c r="P449" s="44"/>
      <c r="Q449" s="44"/>
      <c r="R449" s="53"/>
      <c r="S449" s="81"/>
      <c r="T449" s="81"/>
      <c r="U449" s="81"/>
      <c r="V449" s="53"/>
      <c r="W449" s="31"/>
      <c r="X449" s="9"/>
      <c r="Y449" s="11"/>
      <c r="Z449" s="80"/>
      <c r="AA449" s="65"/>
      <c r="AB449" s="65"/>
      <c r="AC449" s="65"/>
      <c r="AD449" s="36"/>
      <c r="AE449" s="31"/>
      <c r="AF449" s="9"/>
      <c r="AG449" s="6"/>
      <c r="AH449" s="6"/>
      <c r="AI449" s="6"/>
      <c r="AJ449" s="36"/>
      <c r="AK449" s="31"/>
      <c r="AL449" s="9"/>
      <c r="AM449" s="6"/>
      <c r="AN449" s="6"/>
      <c r="AO449" s="6"/>
      <c r="AP449" s="36"/>
    </row>
    <row r="450" spans="1:42">
      <c r="A450" s="30">
        <v>427</v>
      </c>
      <c r="B450" s="147"/>
      <c r="C450" s="144" t="s">
        <v>547</v>
      </c>
      <c r="D450" s="27"/>
      <c r="E450" s="27"/>
      <c r="F450" s="27"/>
      <c r="G450" s="27"/>
      <c r="H450" s="70" t="s">
        <v>757</v>
      </c>
      <c r="I450" s="177"/>
      <c r="J450" s="138"/>
      <c r="K450" s="117"/>
      <c r="L450" s="6"/>
      <c r="M450" s="6"/>
      <c r="N450" s="6"/>
      <c r="O450" s="44"/>
      <c r="P450" s="44"/>
      <c r="Q450" s="44"/>
      <c r="R450" s="53"/>
      <c r="S450" s="44"/>
      <c r="T450" s="44"/>
      <c r="U450" s="44"/>
      <c r="V450" s="53"/>
      <c r="W450" s="31"/>
      <c r="X450" s="9"/>
      <c r="Y450" s="11"/>
      <c r="Z450" s="11"/>
      <c r="AA450" s="63"/>
      <c r="AB450" s="63"/>
      <c r="AC450" s="63"/>
      <c r="AD450" s="36"/>
      <c r="AE450" s="31"/>
      <c r="AF450" s="9"/>
      <c r="AG450" s="6"/>
      <c r="AH450" s="6"/>
      <c r="AI450" s="6"/>
      <c r="AJ450" s="36"/>
      <c r="AK450" s="31"/>
      <c r="AL450" s="9"/>
      <c r="AM450" s="6"/>
      <c r="AN450" s="6"/>
      <c r="AO450" s="6"/>
      <c r="AP450" s="36"/>
    </row>
    <row r="451" spans="1:42">
      <c r="A451" s="30">
        <v>428</v>
      </c>
      <c r="B451" s="147"/>
      <c r="C451" s="144" t="s">
        <v>1386</v>
      </c>
      <c r="D451" s="27"/>
      <c r="E451" s="27"/>
      <c r="F451" s="27"/>
      <c r="G451" s="27"/>
      <c r="H451" s="70" t="s">
        <v>1404</v>
      </c>
      <c r="I451" s="177" t="s">
        <v>1387</v>
      </c>
      <c r="J451" s="140"/>
      <c r="K451" s="117"/>
      <c r="L451" s="6"/>
      <c r="M451" s="6"/>
      <c r="N451" s="6"/>
      <c r="O451" s="44"/>
      <c r="P451" s="44"/>
      <c r="Q451" s="44"/>
      <c r="R451" s="53"/>
      <c r="S451" s="44"/>
      <c r="T451" s="44"/>
      <c r="U451" s="44"/>
      <c r="V451" s="53"/>
      <c r="W451" s="31"/>
      <c r="X451" s="9"/>
      <c r="Y451" s="11"/>
      <c r="Z451" s="11"/>
      <c r="AA451" s="63"/>
      <c r="AB451" s="63"/>
      <c r="AC451" s="63"/>
      <c r="AD451" s="36"/>
      <c r="AE451" s="31"/>
      <c r="AF451" s="9"/>
      <c r="AG451" s="6"/>
      <c r="AH451" s="6"/>
      <c r="AI451" s="6"/>
      <c r="AJ451" s="36"/>
      <c r="AK451" s="31"/>
      <c r="AL451" s="9"/>
      <c r="AM451" s="6"/>
      <c r="AN451" s="6"/>
      <c r="AO451" s="6"/>
      <c r="AP451" s="36"/>
    </row>
    <row r="452" spans="1:42">
      <c r="A452" s="30">
        <v>429</v>
      </c>
      <c r="B452" s="147"/>
      <c r="C452" s="160" t="s">
        <v>1943</v>
      </c>
      <c r="D452" s="27"/>
      <c r="E452" s="27"/>
      <c r="F452" s="27"/>
      <c r="G452" s="27"/>
      <c r="H452" s="70" t="s">
        <v>1944</v>
      </c>
      <c r="I452" s="177" t="s">
        <v>1561</v>
      </c>
      <c r="J452" s="140"/>
      <c r="K452" s="29"/>
      <c r="L452" s="11"/>
      <c r="M452" s="11"/>
      <c r="N452" s="9"/>
      <c r="O452" s="44"/>
      <c r="P452" s="44"/>
      <c r="Q452" s="44"/>
      <c r="R452" s="53"/>
      <c r="S452" s="44"/>
      <c r="T452" s="46"/>
      <c r="U452" s="46"/>
      <c r="V452" s="53"/>
      <c r="W452" s="31"/>
      <c r="X452" s="9"/>
      <c r="Y452" s="11"/>
      <c r="Z452" s="11"/>
      <c r="AA452" s="63"/>
      <c r="AB452" s="63"/>
      <c r="AC452" s="63"/>
      <c r="AD452" s="36"/>
      <c r="AE452" s="31"/>
      <c r="AF452" s="9"/>
      <c r="AG452" s="6"/>
      <c r="AH452" s="6"/>
      <c r="AI452" s="6"/>
      <c r="AJ452" s="36"/>
      <c r="AK452" s="31"/>
      <c r="AL452" s="9"/>
      <c r="AM452" s="6"/>
      <c r="AN452" s="6"/>
      <c r="AO452" s="6"/>
      <c r="AP452" s="36"/>
    </row>
    <row r="453" spans="1:42">
      <c r="A453" s="30">
        <v>430</v>
      </c>
      <c r="B453" s="147"/>
      <c r="C453" s="144" t="s">
        <v>1140</v>
      </c>
      <c r="D453" s="27"/>
      <c r="E453" s="27"/>
      <c r="F453" s="27"/>
      <c r="G453" s="27"/>
      <c r="H453" s="70" t="s">
        <v>1141</v>
      </c>
      <c r="I453" s="177" t="s">
        <v>833</v>
      </c>
      <c r="J453" s="140"/>
      <c r="K453" s="29"/>
      <c r="L453" s="11"/>
      <c r="M453" s="11"/>
      <c r="N453" s="9"/>
      <c r="O453" s="44"/>
      <c r="P453" s="44"/>
      <c r="Q453" s="44"/>
      <c r="R453" s="53"/>
      <c r="S453" s="44"/>
      <c r="T453" s="46"/>
      <c r="U453" s="46"/>
      <c r="V453" s="53"/>
      <c r="W453" s="31"/>
      <c r="X453" s="9"/>
      <c r="Y453" s="11"/>
      <c r="Z453" s="11"/>
      <c r="AA453" s="63"/>
      <c r="AB453" s="63"/>
      <c r="AC453" s="63"/>
      <c r="AD453" s="36"/>
      <c r="AE453" s="31"/>
      <c r="AF453" s="9"/>
      <c r="AG453" s="6"/>
      <c r="AH453" s="6"/>
      <c r="AI453" s="6"/>
      <c r="AJ453" s="36"/>
      <c r="AK453" s="31"/>
      <c r="AL453" s="9"/>
      <c r="AM453" s="6"/>
      <c r="AN453" s="6"/>
      <c r="AO453" s="6"/>
      <c r="AP453" s="36"/>
    </row>
    <row r="454" spans="1:42">
      <c r="A454" s="30">
        <v>431</v>
      </c>
      <c r="B454" s="147"/>
      <c r="C454" s="144" t="s">
        <v>1781</v>
      </c>
      <c r="D454" s="27"/>
      <c r="E454" s="27"/>
      <c r="F454" s="27"/>
      <c r="G454" s="27"/>
      <c r="H454" s="70" t="s">
        <v>1645</v>
      </c>
      <c r="I454" s="177" t="s">
        <v>835</v>
      </c>
      <c r="J454" s="140"/>
      <c r="K454" s="29"/>
      <c r="L454" s="11"/>
      <c r="M454" s="11"/>
      <c r="N454" s="9"/>
      <c r="O454" s="44"/>
      <c r="P454" s="44"/>
      <c r="Q454" s="44"/>
      <c r="R454" s="53"/>
      <c r="S454" s="44"/>
      <c r="T454" s="46"/>
      <c r="U454" s="46"/>
      <c r="V454" s="53"/>
      <c r="W454" s="31"/>
      <c r="X454" s="9"/>
      <c r="Y454" s="11"/>
      <c r="Z454" s="11"/>
      <c r="AA454" s="63"/>
      <c r="AB454" s="63"/>
      <c r="AC454" s="63"/>
      <c r="AD454" s="36"/>
      <c r="AE454" s="31"/>
      <c r="AF454" s="9"/>
      <c r="AG454" s="6"/>
      <c r="AH454" s="6"/>
      <c r="AI454" s="6"/>
      <c r="AJ454" s="36"/>
      <c r="AK454" s="31"/>
      <c r="AL454" s="9"/>
      <c r="AM454" s="6"/>
      <c r="AN454" s="6"/>
      <c r="AO454" s="6"/>
      <c r="AP454" s="36"/>
    </row>
    <row r="455" spans="1:42">
      <c r="A455" s="30">
        <v>432</v>
      </c>
      <c r="B455" s="147"/>
      <c r="C455" s="144" t="s">
        <v>1341</v>
      </c>
      <c r="D455" s="27"/>
      <c r="E455" s="27"/>
      <c r="F455" s="27"/>
      <c r="G455" s="27"/>
      <c r="H455" s="70" t="s">
        <v>1216</v>
      </c>
      <c r="I455" s="177" t="s">
        <v>833</v>
      </c>
      <c r="J455" s="137"/>
      <c r="K455" s="117"/>
      <c r="L455" s="6"/>
      <c r="M455" s="6"/>
      <c r="N455" s="6"/>
      <c r="O455" s="44"/>
      <c r="P455" s="44"/>
      <c r="Q455" s="44"/>
      <c r="R455" s="53"/>
      <c r="S455" s="44"/>
      <c r="T455" s="44"/>
      <c r="U455" s="44"/>
      <c r="V455" s="53"/>
      <c r="W455" s="31"/>
      <c r="X455" s="9"/>
      <c r="Y455" s="11"/>
      <c r="Z455" s="11"/>
      <c r="AA455" s="63"/>
      <c r="AB455" s="63"/>
      <c r="AC455" s="63"/>
      <c r="AD455" s="36"/>
      <c r="AE455" s="31"/>
      <c r="AF455" s="9"/>
      <c r="AG455" s="6"/>
      <c r="AH455" s="6"/>
      <c r="AI455" s="6"/>
      <c r="AJ455" s="36"/>
      <c r="AK455" s="31"/>
      <c r="AL455" s="9"/>
      <c r="AM455" s="6"/>
      <c r="AN455" s="6"/>
      <c r="AO455" s="6"/>
      <c r="AP455" s="36"/>
    </row>
    <row r="456" spans="1:42">
      <c r="A456" s="30">
        <v>433</v>
      </c>
      <c r="B456" s="147"/>
      <c r="C456" s="161" t="s">
        <v>1038</v>
      </c>
      <c r="D456" s="27"/>
      <c r="E456" s="27"/>
      <c r="F456" s="27"/>
      <c r="G456" s="27"/>
      <c r="H456" s="70" t="s">
        <v>1012</v>
      </c>
      <c r="I456" s="177" t="s">
        <v>900</v>
      </c>
      <c r="J456" s="138" t="s">
        <v>632</v>
      </c>
      <c r="K456" s="117"/>
      <c r="L456" s="6"/>
      <c r="M456" s="6"/>
      <c r="N456" s="6"/>
      <c r="O456" s="44"/>
      <c r="P456" s="44"/>
      <c r="Q456" s="44"/>
      <c r="R456" s="53"/>
      <c r="S456" s="45"/>
      <c r="T456" s="45"/>
      <c r="U456" s="45"/>
      <c r="V456" s="53"/>
      <c r="W456" s="31"/>
      <c r="X456" s="9"/>
      <c r="Y456" s="11"/>
      <c r="Z456" s="11"/>
      <c r="AA456" s="65"/>
      <c r="AB456" s="65"/>
      <c r="AC456" s="65"/>
      <c r="AD456" s="36"/>
      <c r="AE456" s="31"/>
      <c r="AF456" s="9"/>
      <c r="AG456" s="6"/>
      <c r="AH456" s="6"/>
      <c r="AI456" s="6"/>
      <c r="AJ456" s="36"/>
      <c r="AK456" s="31"/>
      <c r="AL456" s="9"/>
      <c r="AM456" s="6"/>
      <c r="AN456" s="6"/>
      <c r="AO456" s="6"/>
      <c r="AP456" s="36"/>
    </row>
    <row r="457" spans="1:42">
      <c r="A457" s="30">
        <v>434</v>
      </c>
      <c r="B457" s="147"/>
      <c r="C457" s="160" t="s">
        <v>1039</v>
      </c>
      <c r="D457" s="27"/>
      <c r="E457" s="27"/>
      <c r="F457" s="27"/>
      <c r="G457" s="27"/>
      <c r="H457" s="70" t="s">
        <v>824</v>
      </c>
      <c r="I457" s="177" t="s">
        <v>847</v>
      </c>
      <c r="J457" s="138" t="s">
        <v>632</v>
      </c>
      <c r="K457" s="117"/>
      <c r="L457" s="6"/>
      <c r="M457" s="6"/>
      <c r="N457" s="6"/>
      <c r="O457" s="44"/>
      <c r="P457" s="44"/>
      <c r="Q457" s="44"/>
      <c r="R457" s="53"/>
      <c r="S457" s="45"/>
      <c r="T457" s="45"/>
      <c r="U457" s="45"/>
      <c r="V457" s="53"/>
      <c r="W457" s="31"/>
      <c r="X457" s="9"/>
      <c r="Y457" s="11"/>
      <c r="Z457" s="11"/>
      <c r="AA457" s="65"/>
      <c r="AB457" s="65"/>
      <c r="AC457" s="65"/>
      <c r="AD457" s="36"/>
      <c r="AE457" s="31"/>
      <c r="AF457" s="9"/>
      <c r="AG457" s="6"/>
      <c r="AH457" s="6"/>
      <c r="AI457" s="6"/>
      <c r="AJ457" s="36"/>
      <c r="AK457" s="31"/>
      <c r="AL457" s="9"/>
      <c r="AM457" s="6"/>
      <c r="AN457" s="6"/>
      <c r="AO457" s="6"/>
      <c r="AP457" s="36"/>
    </row>
    <row r="458" spans="1:42">
      <c r="A458" s="30">
        <v>435</v>
      </c>
      <c r="B458" s="147"/>
      <c r="C458" s="160" t="s">
        <v>1166</v>
      </c>
      <c r="D458" s="27"/>
      <c r="E458" s="27"/>
      <c r="F458" s="27"/>
      <c r="G458" s="27"/>
      <c r="H458" s="70" t="s">
        <v>1167</v>
      </c>
      <c r="I458" s="177" t="s">
        <v>1168</v>
      </c>
      <c r="J458" s="138" t="s">
        <v>632</v>
      </c>
      <c r="K458" s="117"/>
      <c r="L458" s="6"/>
      <c r="M458" s="6"/>
      <c r="N458" s="6"/>
      <c r="O458" s="44"/>
      <c r="P458" s="44"/>
      <c r="Q458" s="44"/>
      <c r="R458" s="53"/>
      <c r="S458" s="45"/>
      <c r="T458" s="45"/>
      <c r="U458" s="45"/>
      <c r="V458" s="53"/>
      <c r="W458" s="31"/>
      <c r="X458" s="9"/>
      <c r="Y458" s="11"/>
      <c r="Z458" s="11"/>
      <c r="AA458" s="65"/>
      <c r="AB458" s="65"/>
      <c r="AC458" s="65"/>
      <c r="AD458" s="36"/>
      <c r="AE458" s="31"/>
      <c r="AF458" s="9"/>
      <c r="AG458" s="6"/>
      <c r="AH458" s="6"/>
      <c r="AI458" s="6"/>
      <c r="AJ458" s="36"/>
      <c r="AK458" s="31"/>
      <c r="AL458" s="9"/>
      <c r="AM458" s="6"/>
      <c r="AN458" s="6"/>
      <c r="AO458" s="6"/>
      <c r="AP458" s="36"/>
    </row>
    <row r="459" spans="1:42">
      <c r="A459" s="30">
        <v>436</v>
      </c>
      <c r="B459" s="147"/>
      <c r="C459" s="160" t="s">
        <v>671</v>
      </c>
      <c r="D459" s="27"/>
      <c r="E459" s="27"/>
      <c r="F459" s="27"/>
      <c r="G459" s="27"/>
      <c r="H459" s="70" t="s">
        <v>758</v>
      </c>
      <c r="I459" s="177"/>
      <c r="J459" s="138"/>
      <c r="K459" s="117"/>
      <c r="L459" s="6"/>
      <c r="M459" s="6"/>
      <c r="N459" s="6"/>
      <c r="O459" s="44"/>
      <c r="P459" s="44"/>
      <c r="Q459" s="44"/>
      <c r="R459" s="53"/>
      <c r="S459" s="45"/>
      <c r="T459" s="45"/>
      <c r="U459" s="45"/>
      <c r="V459" s="53"/>
      <c r="W459" s="31"/>
      <c r="X459" s="9"/>
      <c r="Y459" s="11"/>
      <c r="Z459" s="11"/>
      <c r="AA459" s="65"/>
      <c r="AB459" s="65"/>
      <c r="AC459" s="65"/>
      <c r="AD459" s="36"/>
      <c r="AE459" s="31"/>
      <c r="AF459" s="9"/>
      <c r="AG459" s="6"/>
      <c r="AH459" s="6"/>
      <c r="AI459" s="6"/>
      <c r="AJ459" s="36"/>
      <c r="AK459" s="31"/>
      <c r="AL459" s="9"/>
      <c r="AM459" s="6"/>
      <c r="AN459" s="6"/>
      <c r="AO459" s="6"/>
      <c r="AP459" s="36"/>
    </row>
    <row r="460" spans="1:42">
      <c r="A460" s="30">
        <v>437</v>
      </c>
      <c r="B460" s="147"/>
      <c r="C460" s="160" t="s">
        <v>1131</v>
      </c>
      <c r="D460" s="27"/>
      <c r="E460" s="27"/>
      <c r="F460" s="27"/>
      <c r="G460" s="27"/>
      <c r="H460" s="70" t="s">
        <v>1132</v>
      </c>
      <c r="I460" s="177" t="s">
        <v>826</v>
      </c>
      <c r="J460" s="138"/>
      <c r="K460" s="117"/>
      <c r="L460" s="6"/>
      <c r="M460" s="6"/>
      <c r="N460" s="6"/>
      <c r="O460" s="44"/>
      <c r="P460" s="44"/>
      <c r="Q460" s="44"/>
      <c r="R460" s="53"/>
      <c r="S460" s="45"/>
      <c r="T460" s="45"/>
      <c r="U460" s="45"/>
      <c r="V460" s="53"/>
      <c r="W460" s="31"/>
      <c r="X460" s="9"/>
      <c r="Y460" s="11"/>
      <c r="Z460" s="11"/>
      <c r="AA460" s="65"/>
      <c r="AB460" s="65"/>
      <c r="AC460" s="65"/>
      <c r="AD460" s="36"/>
      <c r="AE460" s="31"/>
      <c r="AF460" s="9"/>
      <c r="AG460" s="6"/>
      <c r="AH460" s="6"/>
      <c r="AI460" s="6"/>
      <c r="AJ460" s="36"/>
      <c r="AK460" s="31"/>
      <c r="AL460" s="9"/>
      <c r="AM460" s="6"/>
      <c r="AN460" s="6"/>
      <c r="AO460" s="6"/>
      <c r="AP460" s="36"/>
    </row>
    <row r="461" spans="1:42">
      <c r="A461" s="30">
        <v>438</v>
      </c>
      <c r="B461" s="147"/>
      <c r="C461" s="160" t="s">
        <v>1074</v>
      </c>
      <c r="D461" s="27"/>
      <c r="E461" s="27"/>
      <c r="F461" s="27"/>
      <c r="G461" s="27"/>
      <c r="H461" s="70" t="s">
        <v>1075</v>
      </c>
      <c r="I461" s="177" t="s">
        <v>826</v>
      </c>
      <c r="J461" s="138"/>
      <c r="K461" s="29"/>
      <c r="L461" s="11"/>
      <c r="M461" s="11"/>
      <c r="N461" s="11"/>
      <c r="O461" s="44"/>
      <c r="P461" s="44"/>
      <c r="Q461" s="44"/>
      <c r="R461" s="53"/>
      <c r="S461" s="44"/>
      <c r="T461" s="46"/>
      <c r="U461" s="46"/>
      <c r="V461" s="53"/>
      <c r="W461" s="31"/>
      <c r="X461" s="9"/>
      <c r="Y461" s="11"/>
      <c r="Z461" s="11"/>
      <c r="AA461" s="63"/>
      <c r="AB461" s="63"/>
      <c r="AC461" s="63"/>
      <c r="AD461" s="36"/>
      <c r="AE461" s="31"/>
      <c r="AF461" s="9"/>
      <c r="AG461" s="6"/>
      <c r="AH461" s="6"/>
      <c r="AI461" s="6"/>
      <c r="AJ461" s="36"/>
      <c r="AK461" s="31"/>
      <c r="AL461" s="25"/>
      <c r="AM461" s="6"/>
      <c r="AN461" s="6"/>
      <c r="AO461" s="6"/>
      <c r="AP461" s="36"/>
    </row>
    <row r="462" spans="1:42">
      <c r="A462" s="30">
        <v>439</v>
      </c>
      <c r="B462" s="147"/>
      <c r="C462" s="160" t="s">
        <v>1697</v>
      </c>
      <c r="D462" s="27"/>
      <c r="E462" s="27"/>
      <c r="F462" s="27"/>
      <c r="G462" s="27"/>
      <c r="H462" s="70" t="s">
        <v>1698</v>
      </c>
      <c r="I462" s="177" t="s">
        <v>1563</v>
      </c>
      <c r="J462" s="138"/>
      <c r="K462" s="29"/>
      <c r="L462" s="11"/>
      <c r="M462" s="11"/>
      <c r="N462" s="11"/>
      <c r="O462" s="44"/>
      <c r="P462" s="44"/>
      <c r="Q462" s="44"/>
      <c r="R462" s="53"/>
      <c r="S462" s="44"/>
      <c r="T462" s="46"/>
      <c r="U462" s="46"/>
      <c r="V462" s="53"/>
      <c r="W462" s="31"/>
      <c r="X462" s="9"/>
      <c r="Y462" s="11"/>
      <c r="Z462" s="11"/>
      <c r="AA462" s="63"/>
      <c r="AB462" s="63"/>
      <c r="AC462" s="63"/>
      <c r="AD462" s="36"/>
      <c r="AE462" s="31"/>
      <c r="AF462" s="9"/>
      <c r="AG462" s="6"/>
      <c r="AH462" s="6"/>
      <c r="AI462" s="6"/>
      <c r="AJ462" s="36"/>
      <c r="AK462" s="31"/>
      <c r="AL462" s="25"/>
      <c r="AM462" s="6"/>
      <c r="AN462" s="6"/>
      <c r="AO462" s="6"/>
      <c r="AP462" s="36"/>
    </row>
    <row r="463" spans="1:42">
      <c r="A463" s="30">
        <v>440</v>
      </c>
      <c r="B463" s="147"/>
      <c r="C463" s="144" t="s">
        <v>1365</v>
      </c>
      <c r="D463" s="27"/>
      <c r="E463" s="27"/>
      <c r="F463" s="27"/>
      <c r="G463" s="27"/>
      <c r="H463" s="70" t="s">
        <v>1366</v>
      </c>
      <c r="I463" s="177" t="s">
        <v>1565</v>
      </c>
      <c r="J463" s="137"/>
      <c r="K463" s="117"/>
      <c r="L463" s="6"/>
      <c r="M463" s="6"/>
      <c r="N463" s="6"/>
      <c r="O463" s="44"/>
      <c r="P463" s="44"/>
      <c r="Q463" s="44"/>
      <c r="R463" s="53"/>
      <c r="S463" s="44"/>
      <c r="T463" s="44"/>
      <c r="U463" s="44"/>
      <c r="V463" s="53"/>
      <c r="W463" s="31"/>
      <c r="X463" s="9"/>
      <c r="Y463" s="11"/>
      <c r="Z463" s="11"/>
      <c r="AA463" s="63"/>
      <c r="AB463" s="63"/>
      <c r="AC463" s="63"/>
      <c r="AD463" s="36"/>
      <c r="AE463" s="31"/>
      <c r="AF463" s="9"/>
      <c r="AG463" s="6"/>
      <c r="AH463" s="6"/>
      <c r="AI463" s="6"/>
      <c r="AJ463" s="36"/>
      <c r="AK463" s="31"/>
      <c r="AL463" s="9"/>
      <c r="AM463" s="6"/>
      <c r="AN463" s="6"/>
      <c r="AO463" s="6"/>
      <c r="AP463" s="36"/>
    </row>
    <row r="464" spans="1:42">
      <c r="A464" s="30">
        <v>441</v>
      </c>
      <c r="B464" s="147"/>
      <c r="C464" s="144" t="s">
        <v>2030</v>
      </c>
      <c r="D464" s="27"/>
      <c r="E464" s="27"/>
      <c r="F464" s="27"/>
      <c r="G464" s="27"/>
      <c r="H464" s="70" t="s">
        <v>2032</v>
      </c>
      <c r="I464" s="177" t="s">
        <v>2031</v>
      </c>
      <c r="J464" s="137"/>
      <c r="K464" s="117"/>
      <c r="L464" s="6"/>
      <c r="M464" s="6"/>
      <c r="N464" s="6"/>
      <c r="O464" s="44"/>
      <c r="P464" s="44"/>
      <c r="Q464" s="44"/>
      <c r="R464" s="53"/>
      <c r="S464" s="44"/>
      <c r="T464" s="44"/>
      <c r="U464" s="44"/>
      <c r="V464" s="53"/>
      <c r="W464" s="31"/>
      <c r="X464" s="9"/>
      <c r="Y464" s="11"/>
      <c r="Z464" s="11"/>
      <c r="AA464" s="63"/>
      <c r="AB464" s="63"/>
      <c r="AC464" s="63"/>
      <c r="AD464" s="36"/>
      <c r="AE464" s="31"/>
      <c r="AF464" s="9"/>
      <c r="AG464" s="6"/>
      <c r="AH464" s="6"/>
      <c r="AI464" s="6"/>
      <c r="AJ464" s="36"/>
      <c r="AK464" s="31"/>
      <c r="AL464" s="9"/>
      <c r="AM464" s="6"/>
      <c r="AN464" s="6"/>
      <c r="AO464" s="6"/>
      <c r="AP464" s="36"/>
    </row>
    <row r="465" spans="1:42">
      <c r="A465" s="30">
        <v>442</v>
      </c>
      <c r="B465" s="147"/>
      <c r="C465" s="144" t="s">
        <v>1882</v>
      </c>
      <c r="D465" s="27"/>
      <c r="E465" s="27"/>
      <c r="F465" s="27"/>
      <c r="G465" s="27"/>
      <c r="H465" s="70" t="s">
        <v>1770</v>
      </c>
      <c r="I465" s="177" t="s">
        <v>1565</v>
      </c>
      <c r="J465" s="137"/>
      <c r="K465" s="117"/>
      <c r="L465" s="6"/>
      <c r="M465" s="6"/>
      <c r="N465" s="6"/>
      <c r="O465" s="44"/>
      <c r="P465" s="44"/>
      <c r="Q465" s="44"/>
      <c r="R465" s="53"/>
      <c r="S465" s="44"/>
      <c r="T465" s="44"/>
      <c r="U465" s="44"/>
      <c r="V465" s="53"/>
      <c r="W465" s="31"/>
      <c r="X465" s="9"/>
      <c r="Y465" s="11"/>
      <c r="Z465" s="11"/>
      <c r="AA465" s="63"/>
      <c r="AB465" s="63"/>
      <c r="AC465" s="63"/>
      <c r="AD465" s="36"/>
      <c r="AE465" s="31"/>
      <c r="AF465" s="9"/>
      <c r="AG465" s="6"/>
      <c r="AH465" s="6"/>
      <c r="AI465" s="6"/>
      <c r="AJ465" s="36"/>
      <c r="AK465" s="31"/>
      <c r="AL465" s="9"/>
      <c r="AM465" s="6"/>
      <c r="AN465" s="6"/>
      <c r="AO465" s="6"/>
      <c r="AP465" s="36"/>
    </row>
    <row r="466" spans="1:42" ht="27">
      <c r="A466" s="30">
        <v>443</v>
      </c>
      <c r="B466" s="147"/>
      <c r="C466" s="144" t="s">
        <v>1283</v>
      </c>
      <c r="D466" s="27"/>
      <c r="E466" s="27"/>
      <c r="F466" s="27"/>
      <c r="G466" s="27"/>
      <c r="H466" s="70" t="s">
        <v>1128</v>
      </c>
      <c r="I466" s="177" t="s">
        <v>1170</v>
      </c>
      <c r="J466" s="137" t="s">
        <v>783</v>
      </c>
      <c r="K466" s="117"/>
      <c r="L466" s="6"/>
      <c r="M466" s="6"/>
      <c r="N466" s="6"/>
      <c r="O466" s="44"/>
      <c r="P466" s="44"/>
      <c r="Q466" s="44"/>
      <c r="R466" s="53"/>
      <c r="S466" s="44"/>
      <c r="T466" s="44"/>
      <c r="U466" s="44"/>
      <c r="V466" s="53"/>
      <c r="W466" s="31"/>
      <c r="X466" s="9"/>
      <c r="Y466" s="11"/>
      <c r="Z466" s="11"/>
      <c r="AA466" s="63"/>
      <c r="AB466" s="63"/>
      <c r="AC466" s="63"/>
      <c r="AD466" s="36"/>
      <c r="AE466" s="31"/>
      <c r="AF466" s="9"/>
      <c r="AG466" s="6"/>
      <c r="AH466" s="6"/>
      <c r="AI466" s="6"/>
      <c r="AJ466" s="36"/>
      <c r="AK466" s="31"/>
      <c r="AL466" s="9"/>
      <c r="AM466" s="6"/>
      <c r="AN466" s="6"/>
      <c r="AO466" s="6"/>
      <c r="AP466" s="36"/>
    </row>
    <row r="467" spans="1:42" ht="27">
      <c r="A467" s="30">
        <v>444</v>
      </c>
      <c r="B467" s="147"/>
      <c r="C467" s="144" t="s">
        <v>1730</v>
      </c>
      <c r="D467" s="27"/>
      <c r="E467" s="27"/>
      <c r="F467" s="27"/>
      <c r="G467" s="27"/>
      <c r="H467" s="70" t="s">
        <v>1731</v>
      </c>
      <c r="I467" s="177" t="s">
        <v>1170</v>
      </c>
      <c r="J467" s="137"/>
      <c r="K467" s="117"/>
      <c r="L467" s="6"/>
      <c r="M467" s="6"/>
      <c r="N467" s="6"/>
      <c r="O467" s="44"/>
      <c r="P467" s="44"/>
      <c r="Q467" s="44"/>
      <c r="R467" s="53"/>
      <c r="S467" s="44"/>
      <c r="T467" s="44"/>
      <c r="U467" s="44"/>
      <c r="V467" s="53"/>
      <c r="W467" s="31"/>
      <c r="X467" s="9"/>
      <c r="Y467" s="11"/>
      <c r="Z467" s="11"/>
      <c r="AA467" s="63"/>
      <c r="AB467" s="63"/>
      <c r="AC467" s="63"/>
      <c r="AD467" s="36"/>
      <c r="AE467" s="31"/>
      <c r="AF467" s="9"/>
      <c r="AG467" s="6"/>
      <c r="AH467" s="6"/>
      <c r="AI467" s="6"/>
      <c r="AJ467" s="36"/>
      <c r="AK467" s="31"/>
      <c r="AL467" s="9"/>
      <c r="AM467" s="6"/>
      <c r="AN467" s="6"/>
      <c r="AO467" s="6"/>
      <c r="AP467" s="36"/>
    </row>
    <row r="468" spans="1:42">
      <c r="A468" s="30">
        <v>445</v>
      </c>
      <c r="B468" s="147"/>
      <c r="C468" s="144" t="s">
        <v>2009</v>
      </c>
      <c r="D468" s="27"/>
      <c r="E468" s="27"/>
      <c r="F468" s="27"/>
      <c r="G468" s="27"/>
      <c r="H468" s="70" t="s">
        <v>2010</v>
      </c>
      <c r="I468" s="177" t="s">
        <v>833</v>
      </c>
      <c r="J468" s="138"/>
      <c r="K468" s="29"/>
      <c r="L468" s="11">
        <v>51900</v>
      </c>
      <c r="M468" s="11">
        <v>2595</v>
      </c>
      <c r="N468" s="11">
        <v>54495</v>
      </c>
      <c r="O468" s="44"/>
      <c r="P468" s="44"/>
      <c r="Q468" s="44"/>
      <c r="R468" s="53"/>
      <c r="S468" s="44"/>
      <c r="T468" s="46"/>
      <c r="U468" s="46"/>
      <c r="V468" s="53"/>
      <c r="W468" s="31"/>
      <c r="X468" s="9"/>
      <c r="Y468" s="11"/>
      <c r="Z468" s="11"/>
      <c r="AA468" s="63"/>
      <c r="AB468" s="63"/>
      <c r="AC468" s="63"/>
      <c r="AD468" s="36"/>
      <c r="AE468" s="31"/>
      <c r="AF468" s="9"/>
      <c r="AG468" s="6"/>
      <c r="AH468" s="6"/>
      <c r="AI468" s="6"/>
      <c r="AJ468" s="36"/>
      <c r="AK468" s="31"/>
      <c r="AL468" s="9"/>
      <c r="AM468" s="6"/>
      <c r="AN468" s="6"/>
      <c r="AO468" s="6"/>
      <c r="AP468" s="36"/>
    </row>
    <row r="469" spans="1:42">
      <c r="A469" s="30">
        <v>446</v>
      </c>
      <c r="B469" s="147"/>
      <c r="C469" s="144" t="s">
        <v>1528</v>
      </c>
      <c r="D469" s="27"/>
      <c r="E469" s="27"/>
      <c r="F469" s="27"/>
      <c r="G469" s="27"/>
      <c r="H469" s="70" t="s">
        <v>1558</v>
      </c>
      <c r="I469" s="177"/>
      <c r="J469" s="140" t="s">
        <v>610</v>
      </c>
      <c r="K469" s="29"/>
      <c r="L469" s="11"/>
      <c r="M469" s="11"/>
      <c r="N469" s="9"/>
      <c r="O469" s="44"/>
      <c r="P469" s="44"/>
      <c r="Q469" s="44"/>
      <c r="R469" s="53"/>
      <c r="S469" s="44"/>
      <c r="T469" s="46"/>
      <c r="U469" s="46"/>
      <c r="V469" s="53"/>
      <c r="W469" s="31"/>
      <c r="X469" s="9"/>
      <c r="Y469" s="11"/>
      <c r="Z469" s="11"/>
      <c r="AA469" s="63"/>
      <c r="AB469" s="63"/>
      <c r="AC469" s="63"/>
      <c r="AD469" s="36"/>
      <c r="AE469" s="31"/>
      <c r="AF469" s="9"/>
      <c r="AG469" s="6"/>
      <c r="AH469" s="6"/>
      <c r="AI469" s="6"/>
      <c r="AJ469" s="36"/>
      <c r="AK469" s="31"/>
      <c r="AL469" s="9"/>
      <c r="AM469" s="6"/>
      <c r="AN469" s="6"/>
      <c r="AO469" s="6"/>
      <c r="AP469" s="36"/>
    </row>
    <row r="470" spans="1:42">
      <c r="A470" s="30">
        <v>447</v>
      </c>
      <c r="B470" s="147"/>
      <c r="C470" s="144" t="s">
        <v>1446</v>
      </c>
      <c r="D470" s="27"/>
      <c r="E470" s="27"/>
      <c r="F470" s="27"/>
      <c r="G470" s="27"/>
      <c r="H470" s="70" t="s">
        <v>1447</v>
      </c>
      <c r="I470" s="177" t="s">
        <v>1448</v>
      </c>
      <c r="J470" s="138"/>
      <c r="K470" s="117"/>
      <c r="L470" s="6">
        <v>51240</v>
      </c>
      <c r="M470" s="6">
        <v>2562</v>
      </c>
      <c r="N470" s="6">
        <v>53802</v>
      </c>
      <c r="O470" s="6"/>
      <c r="P470" s="6"/>
      <c r="Q470" s="6"/>
      <c r="R470" s="29"/>
      <c r="S470" s="6"/>
      <c r="T470" s="6"/>
      <c r="U470" s="6"/>
      <c r="V470" s="29"/>
      <c r="W470" s="31"/>
      <c r="X470" s="9"/>
      <c r="Y470" s="11"/>
      <c r="Z470" s="11"/>
      <c r="AA470" s="6"/>
      <c r="AB470" s="6"/>
      <c r="AC470" s="6"/>
      <c r="AD470" s="36"/>
      <c r="AE470" s="31"/>
      <c r="AF470" s="9"/>
      <c r="AG470" s="6"/>
      <c r="AH470" s="6"/>
      <c r="AI470" s="6"/>
      <c r="AJ470" s="36"/>
      <c r="AK470" s="31"/>
      <c r="AL470" s="9"/>
      <c r="AM470" s="6"/>
      <c r="AN470" s="6"/>
      <c r="AO470" s="6"/>
      <c r="AP470" s="36"/>
    </row>
    <row r="471" spans="1:42">
      <c r="A471" s="30">
        <v>448</v>
      </c>
      <c r="B471" s="147"/>
      <c r="C471" s="144" t="s">
        <v>1810</v>
      </c>
      <c r="D471" s="27"/>
      <c r="E471" s="27"/>
      <c r="F471" s="27"/>
      <c r="G471" s="27"/>
      <c r="H471" s="70" t="s">
        <v>1811</v>
      </c>
      <c r="I471" s="177" t="s">
        <v>833</v>
      </c>
      <c r="J471" s="138"/>
      <c r="K471" s="117"/>
      <c r="L471" s="6"/>
      <c r="M471" s="6"/>
      <c r="N471" s="6"/>
      <c r="O471" s="6"/>
      <c r="P471" s="6"/>
      <c r="Q471" s="6"/>
      <c r="R471" s="29"/>
      <c r="S471" s="6"/>
      <c r="T471" s="6"/>
      <c r="U471" s="6"/>
      <c r="V471" s="29"/>
      <c r="W471" s="31"/>
      <c r="X471" s="9"/>
      <c r="Y471" s="11"/>
      <c r="Z471" s="11"/>
      <c r="AA471" s="6"/>
      <c r="AB471" s="6"/>
      <c r="AC471" s="6"/>
      <c r="AD471" s="36"/>
      <c r="AE471" s="31"/>
      <c r="AF471" s="9"/>
      <c r="AG471" s="6"/>
      <c r="AH471" s="6"/>
      <c r="AI471" s="6"/>
      <c r="AJ471" s="36"/>
      <c r="AK471" s="31"/>
      <c r="AL471" s="9"/>
      <c r="AM471" s="6"/>
      <c r="AN471" s="6"/>
      <c r="AO471" s="6"/>
      <c r="AP471" s="36"/>
    </row>
    <row r="472" spans="1:42">
      <c r="A472" s="30">
        <v>449</v>
      </c>
      <c r="B472" s="147"/>
      <c r="C472" s="144" t="s">
        <v>1896</v>
      </c>
      <c r="D472" s="27"/>
      <c r="E472" s="27"/>
      <c r="F472" s="27"/>
      <c r="G472" s="27"/>
      <c r="H472" s="70" t="s">
        <v>1902</v>
      </c>
      <c r="I472" s="177" t="s">
        <v>833</v>
      </c>
      <c r="J472" s="138"/>
      <c r="K472" s="117"/>
      <c r="L472" s="6"/>
      <c r="M472" s="6"/>
      <c r="N472" s="6"/>
      <c r="O472" s="6"/>
      <c r="P472" s="6"/>
      <c r="Q472" s="6"/>
      <c r="R472" s="29"/>
      <c r="S472" s="6"/>
      <c r="T472" s="6"/>
      <c r="U472" s="6"/>
      <c r="V472" s="29"/>
      <c r="W472" s="31"/>
      <c r="X472" s="9"/>
      <c r="Y472" s="11"/>
      <c r="Z472" s="11"/>
      <c r="AA472" s="6"/>
      <c r="AB472" s="6"/>
      <c r="AC472" s="6"/>
      <c r="AD472" s="36"/>
      <c r="AE472" s="31"/>
      <c r="AF472" s="9"/>
      <c r="AG472" s="6"/>
      <c r="AH472" s="6"/>
      <c r="AI472" s="6"/>
      <c r="AJ472" s="36"/>
      <c r="AK472" s="31"/>
      <c r="AL472" s="9"/>
      <c r="AM472" s="6"/>
      <c r="AN472" s="6"/>
      <c r="AO472" s="6"/>
      <c r="AP472" s="36"/>
    </row>
    <row r="473" spans="1:42" ht="27">
      <c r="A473" s="30">
        <v>450</v>
      </c>
      <c r="B473" s="147"/>
      <c r="C473" s="144" t="s">
        <v>1535</v>
      </c>
      <c r="D473" s="27"/>
      <c r="E473" s="27"/>
      <c r="F473" s="27"/>
      <c r="G473" s="27"/>
      <c r="H473" s="70" t="s">
        <v>1536</v>
      </c>
      <c r="I473" s="177" t="s">
        <v>914</v>
      </c>
      <c r="J473" s="138"/>
      <c r="K473" s="117"/>
      <c r="L473" s="6"/>
      <c r="M473" s="6"/>
      <c r="N473" s="6"/>
      <c r="O473" s="6"/>
      <c r="P473" s="6"/>
      <c r="Q473" s="6"/>
      <c r="R473" s="29"/>
      <c r="S473" s="6"/>
      <c r="T473" s="6"/>
      <c r="U473" s="6"/>
      <c r="V473" s="29"/>
      <c r="W473" s="31"/>
      <c r="X473" s="9"/>
      <c r="Y473" s="11"/>
      <c r="Z473" s="11"/>
      <c r="AA473" s="6"/>
      <c r="AB473" s="6"/>
      <c r="AC473" s="6"/>
      <c r="AD473" s="36"/>
      <c r="AE473" s="31"/>
      <c r="AF473" s="9"/>
      <c r="AG473" s="6"/>
      <c r="AH473" s="6"/>
      <c r="AI473" s="6"/>
      <c r="AJ473" s="36"/>
      <c r="AK473" s="31"/>
      <c r="AL473" s="9"/>
      <c r="AM473" s="6"/>
      <c r="AN473" s="6"/>
      <c r="AO473" s="6"/>
      <c r="AP473" s="36"/>
    </row>
    <row r="474" spans="1:42">
      <c r="A474" s="30">
        <v>451</v>
      </c>
      <c r="B474" s="147"/>
      <c r="C474" s="144" t="s">
        <v>405</v>
      </c>
      <c r="D474" s="27"/>
      <c r="E474" s="27"/>
      <c r="F474" s="27"/>
      <c r="G474" s="27"/>
      <c r="H474" s="70" t="s">
        <v>1244</v>
      </c>
      <c r="I474" s="177" t="s">
        <v>833</v>
      </c>
      <c r="J474" s="138"/>
      <c r="K474" s="29"/>
      <c r="L474" s="11">
        <v>2200</v>
      </c>
      <c r="M474" s="11">
        <v>110</v>
      </c>
      <c r="N474" s="11">
        <v>2310</v>
      </c>
      <c r="O474" s="44"/>
      <c r="P474" s="44"/>
      <c r="Q474" s="44"/>
      <c r="R474" s="53"/>
      <c r="S474" s="44"/>
      <c r="T474" s="46"/>
      <c r="U474" s="46"/>
      <c r="V474" s="53"/>
      <c r="W474" s="31"/>
      <c r="X474" s="9"/>
      <c r="Y474" s="11"/>
      <c r="Z474" s="11"/>
      <c r="AA474" s="63"/>
      <c r="AB474" s="63"/>
      <c r="AC474" s="63"/>
      <c r="AD474" s="36"/>
      <c r="AE474" s="31"/>
      <c r="AF474" s="9"/>
      <c r="AG474" s="6"/>
      <c r="AH474" s="6"/>
      <c r="AI474" s="6"/>
      <c r="AJ474" s="36"/>
      <c r="AK474" s="31"/>
      <c r="AL474" s="9"/>
      <c r="AM474" s="6"/>
      <c r="AN474" s="6"/>
      <c r="AO474" s="6"/>
      <c r="AP474" s="36"/>
    </row>
    <row r="475" spans="1:42">
      <c r="A475" s="30">
        <v>452</v>
      </c>
      <c r="B475" s="147"/>
      <c r="C475" s="144" t="s">
        <v>791</v>
      </c>
      <c r="D475" s="27"/>
      <c r="E475" s="27"/>
      <c r="F475" s="27"/>
      <c r="G475" s="27"/>
      <c r="H475" s="70" t="s">
        <v>871</v>
      </c>
      <c r="I475" s="177" t="s">
        <v>1565</v>
      </c>
      <c r="J475" s="138"/>
      <c r="K475" s="29"/>
      <c r="L475" s="11"/>
      <c r="M475" s="11"/>
      <c r="N475" s="11"/>
      <c r="O475" s="44"/>
      <c r="P475" s="44"/>
      <c r="Q475" s="44"/>
      <c r="R475" s="53"/>
      <c r="S475" s="44"/>
      <c r="T475" s="46"/>
      <c r="U475" s="46"/>
      <c r="V475" s="53"/>
      <c r="W475" s="31"/>
      <c r="X475" s="9"/>
      <c r="Y475" s="11"/>
      <c r="Z475" s="11"/>
      <c r="AA475" s="63"/>
      <c r="AB475" s="63"/>
      <c r="AC475" s="63"/>
      <c r="AD475" s="36"/>
      <c r="AE475" s="31"/>
      <c r="AF475" s="9"/>
      <c r="AG475" s="6"/>
      <c r="AH475" s="6"/>
      <c r="AI475" s="6"/>
      <c r="AJ475" s="36"/>
      <c r="AK475" s="31"/>
      <c r="AL475" s="9"/>
      <c r="AM475" s="6"/>
      <c r="AN475" s="6"/>
      <c r="AO475" s="6"/>
      <c r="AP475" s="36"/>
    </row>
    <row r="476" spans="1:42">
      <c r="A476" s="30">
        <v>453</v>
      </c>
      <c r="B476" s="147"/>
      <c r="C476" s="144" t="s">
        <v>1711</v>
      </c>
      <c r="D476" s="27"/>
      <c r="E476" s="27"/>
      <c r="F476" s="27"/>
      <c r="G476" s="27"/>
      <c r="H476" s="70" t="s">
        <v>1712</v>
      </c>
      <c r="I476" s="177" t="s">
        <v>828</v>
      </c>
      <c r="J476" s="138"/>
      <c r="K476" s="29"/>
      <c r="L476" s="11"/>
      <c r="M476" s="11"/>
      <c r="N476" s="11"/>
      <c r="O476" s="44"/>
      <c r="P476" s="44"/>
      <c r="Q476" s="44"/>
      <c r="R476" s="53"/>
      <c r="S476" s="44"/>
      <c r="T476" s="46"/>
      <c r="U476" s="46"/>
      <c r="V476" s="53"/>
      <c r="W476" s="31"/>
      <c r="X476" s="9"/>
      <c r="Y476" s="11"/>
      <c r="Z476" s="11"/>
      <c r="AA476" s="63"/>
      <c r="AB476" s="63"/>
      <c r="AC476" s="63"/>
      <c r="AD476" s="36"/>
      <c r="AE476" s="31"/>
      <c r="AF476" s="9"/>
      <c r="AG476" s="6"/>
      <c r="AH476" s="6"/>
      <c r="AI476" s="6"/>
      <c r="AJ476" s="36"/>
      <c r="AK476" s="31"/>
      <c r="AL476" s="9"/>
      <c r="AM476" s="6"/>
      <c r="AN476" s="6"/>
      <c r="AO476" s="6"/>
      <c r="AP476" s="36"/>
    </row>
    <row r="477" spans="1:42">
      <c r="A477" s="30">
        <v>454</v>
      </c>
      <c r="B477" s="147"/>
      <c r="C477" s="144" t="s">
        <v>1614</v>
      </c>
      <c r="D477" s="27"/>
      <c r="E477" s="27"/>
      <c r="F477" s="27"/>
      <c r="G477" s="27"/>
      <c r="H477" s="70" t="s">
        <v>1615</v>
      </c>
      <c r="I477" s="177" t="s">
        <v>828</v>
      </c>
      <c r="J477" s="138"/>
      <c r="K477" s="29"/>
      <c r="L477" s="11"/>
      <c r="M477" s="11"/>
      <c r="N477" s="11"/>
      <c r="O477" s="44"/>
      <c r="P477" s="44"/>
      <c r="Q477" s="44"/>
      <c r="R477" s="53"/>
      <c r="S477" s="44"/>
      <c r="T477" s="46"/>
      <c r="U477" s="46"/>
      <c r="V477" s="53"/>
      <c r="W477" s="31"/>
      <c r="X477" s="9"/>
      <c r="Y477" s="11"/>
      <c r="Z477" s="11"/>
      <c r="AA477" s="63"/>
      <c r="AB477" s="63"/>
      <c r="AC477" s="63"/>
      <c r="AD477" s="36"/>
      <c r="AE477" s="31"/>
      <c r="AF477" s="9"/>
      <c r="AG477" s="6"/>
      <c r="AH477" s="6"/>
      <c r="AI477" s="6"/>
      <c r="AJ477" s="36"/>
      <c r="AK477" s="31"/>
      <c r="AL477" s="9"/>
      <c r="AM477" s="6"/>
      <c r="AN477" s="6"/>
      <c r="AO477" s="6"/>
      <c r="AP477" s="36"/>
    </row>
    <row r="478" spans="1:42">
      <c r="A478" s="30">
        <v>455</v>
      </c>
      <c r="B478" s="147"/>
      <c r="C478" s="165" t="s">
        <v>800</v>
      </c>
      <c r="D478" s="155"/>
      <c r="E478" s="155"/>
      <c r="F478" s="155"/>
      <c r="G478" s="155"/>
      <c r="H478" s="156" t="s">
        <v>801</v>
      </c>
      <c r="I478" s="191" t="s">
        <v>828</v>
      </c>
      <c r="J478" s="138"/>
      <c r="K478" s="29"/>
      <c r="L478" s="11"/>
      <c r="M478" s="11"/>
      <c r="N478" s="11"/>
      <c r="O478" s="44"/>
      <c r="P478" s="44"/>
      <c r="Q478" s="44"/>
      <c r="R478" s="53"/>
      <c r="S478" s="44"/>
      <c r="T478" s="46"/>
      <c r="U478" s="46"/>
      <c r="V478" s="53"/>
      <c r="W478" s="31"/>
      <c r="X478" s="9"/>
      <c r="Y478" s="11"/>
      <c r="Z478" s="11"/>
      <c r="AA478" s="63"/>
      <c r="AB478" s="63"/>
      <c r="AC478" s="63"/>
      <c r="AD478" s="36"/>
      <c r="AE478" s="31"/>
      <c r="AF478" s="9"/>
      <c r="AG478" s="6"/>
      <c r="AH478" s="6"/>
      <c r="AI478" s="6"/>
      <c r="AJ478" s="36"/>
      <c r="AK478" s="31"/>
      <c r="AL478" s="9"/>
      <c r="AM478" s="6"/>
      <c r="AN478" s="6"/>
      <c r="AO478" s="6"/>
      <c r="AP478" s="36"/>
    </row>
    <row r="479" spans="1:42">
      <c r="A479" s="30">
        <v>456</v>
      </c>
      <c r="B479" s="147"/>
      <c r="C479" s="164" t="s">
        <v>1699</v>
      </c>
      <c r="D479" s="259"/>
      <c r="E479" s="259"/>
      <c r="F479" s="259"/>
      <c r="G479" s="259"/>
      <c r="H479" s="260" t="s">
        <v>1700</v>
      </c>
      <c r="I479" s="177" t="s">
        <v>847</v>
      </c>
      <c r="J479" s="138" t="s">
        <v>1611</v>
      </c>
      <c r="K479" s="29"/>
      <c r="L479" s="11"/>
      <c r="M479" s="11"/>
      <c r="N479" s="11"/>
      <c r="O479" s="44"/>
      <c r="P479" s="44"/>
      <c r="Q479" s="44"/>
      <c r="R479" s="53"/>
      <c r="S479" s="44"/>
      <c r="T479" s="46"/>
      <c r="U479" s="46"/>
      <c r="V479" s="53"/>
      <c r="W479" s="31"/>
      <c r="X479" s="9"/>
      <c r="Y479" s="11"/>
      <c r="Z479" s="11"/>
      <c r="AA479" s="63"/>
      <c r="AB479" s="63"/>
      <c r="AC479" s="63"/>
      <c r="AD479" s="36"/>
      <c r="AE479" s="31"/>
      <c r="AF479" s="9"/>
      <c r="AG479" s="6"/>
      <c r="AH479" s="6"/>
      <c r="AI479" s="6"/>
      <c r="AJ479" s="36"/>
      <c r="AK479" s="31"/>
      <c r="AL479" s="9"/>
      <c r="AM479" s="6"/>
      <c r="AN479" s="6"/>
      <c r="AO479" s="6"/>
      <c r="AP479" s="36"/>
    </row>
    <row r="480" spans="1:42">
      <c r="A480" s="30">
        <v>457</v>
      </c>
      <c r="B480" s="147"/>
      <c r="C480" s="144" t="s">
        <v>1045</v>
      </c>
      <c r="D480" s="27"/>
      <c r="E480" s="27"/>
      <c r="F480" s="27"/>
      <c r="G480" s="27"/>
      <c r="H480" s="70" t="s">
        <v>772</v>
      </c>
      <c r="I480" s="177"/>
      <c r="J480" s="138"/>
      <c r="K480" s="117"/>
      <c r="L480" s="6">
        <v>0</v>
      </c>
      <c r="M480" s="6">
        <v>0</v>
      </c>
      <c r="N480" s="6">
        <v>0</v>
      </c>
      <c r="O480" s="44"/>
      <c r="P480" s="44"/>
      <c r="Q480" s="44"/>
      <c r="R480" s="53"/>
      <c r="S480" s="44"/>
      <c r="T480" s="44"/>
      <c r="U480" s="44"/>
      <c r="V480" s="53"/>
      <c r="W480" s="31"/>
      <c r="X480" s="9"/>
      <c r="Y480" s="11"/>
      <c r="Z480" s="11"/>
      <c r="AA480" s="63"/>
      <c r="AB480" s="63"/>
      <c r="AC480" s="63"/>
      <c r="AD480" s="36"/>
      <c r="AE480" s="31"/>
      <c r="AF480" s="9"/>
      <c r="AG480" s="6"/>
      <c r="AH480" s="6"/>
      <c r="AI480" s="6"/>
      <c r="AJ480" s="36"/>
      <c r="AK480" s="31"/>
      <c r="AL480" s="9"/>
      <c r="AM480" s="6"/>
      <c r="AN480" s="6"/>
      <c r="AO480" s="6"/>
      <c r="AP480" s="36"/>
    </row>
    <row r="481" spans="1:42">
      <c r="A481" s="30">
        <v>458</v>
      </c>
      <c r="B481" s="147"/>
      <c r="C481" s="144" t="s">
        <v>1274</v>
      </c>
      <c r="D481" s="27"/>
      <c r="E481" s="27"/>
      <c r="F481" s="27"/>
      <c r="G481" s="27"/>
      <c r="H481" s="70" t="s">
        <v>887</v>
      </c>
      <c r="I481" s="177" t="s">
        <v>828</v>
      </c>
      <c r="J481" s="138"/>
      <c r="K481" s="117"/>
      <c r="L481" s="6"/>
      <c r="M481" s="6"/>
      <c r="N481" s="6"/>
      <c r="O481" s="44"/>
      <c r="P481" s="44"/>
      <c r="Q481" s="44"/>
      <c r="R481" s="53"/>
      <c r="S481" s="44"/>
      <c r="T481" s="44"/>
      <c r="U481" s="44"/>
      <c r="V481" s="53"/>
      <c r="W481" s="31"/>
      <c r="X481" s="9"/>
      <c r="Y481" s="11"/>
      <c r="Z481" s="11"/>
      <c r="AA481" s="63"/>
      <c r="AB481" s="63"/>
      <c r="AC481" s="63"/>
      <c r="AD481" s="36"/>
      <c r="AE481" s="31"/>
      <c r="AF481" s="9"/>
      <c r="AG481" s="6"/>
      <c r="AH481" s="6"/>
      <c r="AI481" s="6"/>
      <c r="AJ481" s="36"/>
      <c r="AK481" s="31"/>
      <c r="AL481" s="9"/>
      <c r="AM481" s="6"/>
      <c r="AN481" s="6"/>
      <c r="AO481" s="6"/>
      <c r="AP481" s="36"/>
    </row>
    <row r="482" spans="1:42">
      <c r="A482" s="30">
        <v>459</v>
      </c>
      <c r="B482" s="147"/>
      <c r="C482" s="144" t="s">
        <v>1026</v>
      </c>
      <c r="D482" s="27"/>
      <c r="E482" s="27"/>
      <c r="F482" s="27"/>
      <c r="G482" s="27"/>
      <c r="H482" s="70" t="s">
        <v>1027</v>
      </c>
      <c r="I482" s="177" t="s">
        <v>833</v>
      </c>
      <c r="J482" s="138"/>
      <c r="K482" s="117"/>
      <c r="L482" s="6"/>
      <c r="M482" s="6"/>
      <c r="N482" s="6"/>
      <c r="O482" s="44"/>
      <c r="P482" s="44"/>
      <c r="Q482" s="44"/>
      <c r="R482" s="53"/>
      <c r="S482" s="44"/>
      <c r="T482" s="44"/>
      <c r="U482" s="44"/>
      <c r="V482" s="53"/>
      <c r="W482" s="31"/>
      <c r="X482" s="9"/>
      <c r="Y482" s="11"/>
      <c r="Z482" s="11"/>
      <c r="AA482" s="63"/>
      <c r="AB482" s="63"/>
      <c r="AC482" s="63"/>
      <c r="AD482" s="36"/>
      <c r="AE482" s="31"/>
      <c r="AF482" s="9"/>
      <c r="AG482" s="6"/>
      <c r="AH482" s="6"/>
      <c r="AI482" s="6"/>
      <c r="AJ482" s="36"/>
      <c r="AK482" s="31"/>
      <c r="AL482" s="9"/>
      <c r="AM482" s="6"/>
      <c r="AN482" s="6"/>
      <c r="AO482" s="6"/>
      <c r="AP482" s="36"/>
    </row>
    <row r="483" spans="1:42">
      <c r="A483" s="30">
        <v>460</v>
      </c>
      <c r="B483" s="147"/>
      <c r="C483" s="144" t="s">
        <v>1582</v>
      </c>
      <c r="D483" s="27"/>
      <c r="E483" s="27"/>
      <c r="F483" s="27"/>
      <c r="G483" s="27"/>
      <c r="H483" s="70" t="s">
        <v>1583</v>
      </c>
      <c r="I483" s="177"/>
      <c r="J483" s="137" t="s">
        <v>589</v>
      </c>
      <c r="K483" s="117"/>
      <c r="L483" s="6"/>
      <c r="M483" s="6"/>
      <c r="N483" s="6"/>
      <c r="O483" s="44"/>
      <c r="P483" s="44"/>
      <c r="Q483" s="44"/>
      <c r="R483" s="53"/>
      <c r="S483" s="44"/>
      <c r="T483" s="44"/>
      <c r="U483" s="44"/>
      <c r="V483" s="53"/>
      <c r="W483" s="31"/>
      <c r="X483" s="9"/>
      <c r="Y483" s="11"/>
      <c r="Z483" s="11"/>
      <c r="AA483" s="63"/>
      <c r="AB483" s="63"/>
      <c r="AC483" s="63"/>
      <c r="AD483" s="36"/>
      <c r="AE483" s="31"/>
      <c r="AF483" s="9"/>
      <c r="AG483" s="6"/>
      <c r="AH483" s="6"/>
      <c r="AI483" s="6"/>
      <c r="AJ483" s="36"/>
      <c r="AK483" s="31"/>
      <c r="AL483" s="9"/>
      <c r="AM483" s="6"/>
      <c r="AN483" s="6"/>
      <c r="AO483" s="6"/>
      <c r="AP483" s="36"/>
    </row>
    <row r="484" spans="1:42">
      <c r="A484" s="30">
        <v>461</v>
      </c>
      <c r="B484" s="147"/>
      <c r="C484" s="144" t="s">
        <v>680</v>
      </c>
      <c r="D484" s="27"/>
      <c r="E484" s="27"/>
      <c r="F484" s="27"/>
      <c r="G484" s="27"/>
      <c r="H484" s="70" t="s">
        <v>759</v>
      </c>
      <c r="I484" s="177"/>
      <c r="J484" s="137" t="s">
        <v>681</v>
      </c>
      <c r="K484" s="117"/>
      <c r="L484" s="6"/>
      <c r="M484" s="6"/>
      <c r="N484" s="6"/>
      <c r="O484" s="44"/>
      <c r="P484" s="44"/>
      <c r="Q484" s="44"/>
      <c r="R484" s="53"/>
      <c r="S484" s="44"/>
      <c r="T484" s="44"/>
      <c r="U484" s="44"/>
      <c r="V484" s="53"/>
      <c r="W484" s="31"/>
      <c r="X484" s="9"/>
      <c r="Y484" s="11"/>
      <c r="Z484" s="11"/>
      <c r="AA484" s="63"/>
      <c r="AB484" s="63"/>
      <c r="AC484" s="63"/>
      <c r="AD484" s="36"/>
      <c r="AE484" s="31"/>
      <c r="AF484" s="9"/>
      <c r="AG484" s="6"/>
      <c r="AH484" s="6"/>
      <c r="AI484" s="6"/>
      <c r="AJ484" s="36"/>
      <c r="AK484" s="31"/>
      <c r="AL484" s="9"/>
      <c r="AM484" s="6"/>
      <c r="AN484" s="6"/>
      <c r="AO484" s="6"/>
      <c r="AP484" s="36"/>
    </row>
    <row r="485" spans="1:42">
      <c r="A485" s="30">
        <v>462</v>
      </c>
      <c r="B485" s="147"/>
      <c r="C485" s="144" t="s">
        <v>1280</v>
      </c>
      <c r="D485" s="27"/>
      <c r="E485" s="27"/>
      <c r="F485" s="27"/>
      <c r="G485" s="27"/>
      <c r="H485" s="70" t="s">
        <v>1281</v>
      </c>
      <c r="I485" s="177"/>
      <c r="J485" s="137"/>
      <c r="K485" s="117"/>
      <c r="L485" s="6"/>
      <c r="M485" s="6"/>
      <c r="N485" s="6"/>
      <c r="O485" s="44"/>
      <c r="P485" s="44"/>
      <c r="Q485" s="44"/>
      <c r="R485" s="53"/>
      <c r="S485" s="44"/>
      <c r="T485" s="44"/>
      <c r="U485" s="44"/>
      <c r="V485" s="53"/>
      <c r="W485" s="31"/>
      <c r="X485" s="9"/>
      <c r="Y485" s="11"/>
      <c r="Z485" s="11"/>
      <c r="AA485" s="63"/>
      <c r="AB485" s="63"/>
      <c r="AC485" s="63"/>
      <c r="AD485" s="36"/>
      <c r="AE485" s="31"/>
      <c r="AF485" s="9"/>
      <c r="AG485" s="6"/>
      <c r="AH485" s="6"/>
      <c r="AI485" s="6"/>
      <c r="AJ485" s="36"/>
      <c r="AK485" s="31"/>
      <c r="AL485" s="9"/>
      <c r="AM485" s="6"/>
      <c r="AN485" s="6"/>
      <c r="AO485" s="6"/>
      <c r="AP485" s="36"/>
    </row>
    <row r="486" spans="1:42">
      <c r="A486" s="30">
        <v>463</v>
      </c>
      <c r="B486" s="147"/>
      <c r="C486" s="144" t="s">
        <v>1262</v>
      </c>
      <c r="D486" s="27"/>
      <c r="E486" s="27"/>
      <c r="F486" s="27"/>
      <c r="G486" s="27"/>
      <c r="H486" s="70" t="s">
        <v>1263</v>
      </c>
      <c r="I486" s="177" t="s">
        <v>828</v>
      </c>
      <c r="J486" s="138"/>
      <c r="K486" s="117"/>
      <c r="L486" s="6">
        <v>68760</v>
      </c>
      <c r="M486" s="6">
        <v>3438</v>
      </c>
      <c r="N486" s="6">
        <v>72198</v>
      </c>
      <c r="O486" s="44"/>
      <c r="P486" s="44"/>
      <c r="Q486" s="44"/>
      <c r="R486" s="53"/>
      <c r="S486" s="44"/>
      <c r="T486" s="44"/>
      <c r="U486" s="44"/>
      <c r="V486" s="53"/>
      <c r="W486" s="31"/>
      <c r="X486" s="9"/>
      <c r="Y486" s="11"/>
      <c r="Z486" s="11"/>
      <c r="AA486" s="63"/>
      <c r="AB486" s="63"/>
      <c r="AC486" s="63"/>
      <c r="AD486" s="36"/>
      <c r="AE486" s="31"/>
      <c r="AF486" s="9"/>
      <c r="AG486" s="6"/>
      <c r="AH486" s="6"/>
      <c r="AI486" s="6"/>
      <c r="AJ486" s="36"/>
      <c r="AK486" s="31"/>
      <c r="AL486" s="9"/>
      <c r="AM486" s="6"/>
      <c r="AN486" s="6"/>
      <c r="AO486" s="6"/>
      <c r="AP486" s="36"/>
    </row>
    <row r="487" spans="1:42">
      <c r="A487" s="30">
        <v>464</v>
      </c>
      <c r="B487" s="147"/>
      <c r="C487" s="144" t="s">
        <v>1335</v>
      </c>
      <c r="D487" s="27"/>
      <c r="E487" s="27"/>
      <c r="F487" s="27"/>
      <c r="G487" s="27"/>
      <c r="H487" s="70" t="s">
        <v>1336</v>
      </c>
      <c r="I487" s="177" t="s">
        <v>828</v>
      </c>
      <c r="J487" s="138" t="s">
        <v>606</v>
      </c>
      <c r="K487" s="117"/>
      <c r="L487" s="6"/>
      <c r="M487" s="6"/>
      <c r="N487" s="6"/>
      <c r="O487" s="44"/>
      <c r="P487" s="44"/>
      <c r="Q487" s="44"/>
      <c r="R487" s="53"/>
      <c r="S487" s="44"/>
      <c r="T487" s="44"/>
      <c r="U487" s="44"/>
      <c r="V487" s="53"/>
      <c r="W487" s="31"/>
      <c r="X487" s="9"/>
      <c r="Y487" s="11"/>
      <c r="Z487" s="11"/>
      <c r="AA487" s="63"/>
      <c r="AB487" s="63"/>
      <c r="AC487" s="63"/>
      <c r="AD487" s="36"/>
      <c r="AE487" s="31"/>
      <c r="AF487" s="9"/>
      <c r="AG487" s="6"/>
      <c r="AH487" s="6"/>
      <c r="AI487" s="6"/>
      <c r="AJ487" s="36"/>
      <c r="AK487" s="31"/>
      <c r="AL487" s="9"/>
      <c r="AM487" s="6"/>
      <c r="AN487" s="6"/>
      <c r="AO487" s="6"/>
      <c r="AP487" s="36"/>
    </row>
    <row r="488" spans="1:42">
      <c r="A488" s="30">
        <v>465</v>
      </c>
      <c r="B488" s="147"/>
      <c r="C488" s="144" t="s">
        <v>1669</v>
      </c>
      <c r="D488" s="27"/>
      <c r="E488" s="27"/>
      <c r="F488" s="27"/>
      <c r="G488" s="27"/>
      <c r="H488" s="70" t="s">
        <v>1670</v>
      </c>
      <c r="I488" s="177" t="s">
        <v>883</v>
      </c>
      <c r="J488" s="138"/>
      <c r="K488" s="117"/>
      <c r="L488" s="6"/>
      <c r="M488" s="6"/>
      <c r="N488" s="6"/>
      <c r="O488" s="44"/>
      <c r="P488" s="44"/>
      <c r="Q488" s="44"/>
      <c r="R488" s="53"/>
      <c r="S488" s="44"/>
      <c r="T488" s="44"/>
      <c r="U488" s="44"/>
      <c r="V488" s="53"/>
      <c r="W488" s="31"/>
      <c r="X488" s="9"/>
      <c r="Y488" s="11"/>
      <c r="Z488" s="11"/>
      <c r="AA488" s="63"/>
      <c r="AB488" s="63"/>
      <c r="AC488" s="63"/>
      <c r="AD488" s="36"/>
      <c r="AE488" s="31"/>
      <c r="AF488" s="9"/>
      <c r="AG488" s="6"/>
      <c r="AH488" s="6"/>
      <c r="AI488" s="6"/>
      <c r="AJ488" s="36"/>
      <c r="AK488" s="31"/>
      <c r="AL488" s="9"/>
      <c r="AM488" s="6"/>
      <c r="AN488" s="6"/>
      <c r="AO488" s="6"/>
      <c r="AP488" s="36"/>
    </row>
    <row r="489" spans="1:42">
      <c r="A489" s="30">
        <v>466</v>
      </c>
      <c r="B489" s="147"/>
      <c r="C489" s="144" t="s">
        <v>1460</v>
      </c>
      <c r="D489" s="27"/>
      <c r="E489" s="27"/>
      <c r="F489" s="27"/>
      <c r="G489" s="27"/>
      <c r="H489" s="105" t="s">
        <v>1029</v>
      </c>
      <c r="I489" s="178" t="s">
        <v>833</v>
      </c>
      <c r="J489" s="138" t="s">
        <v>731</v>
      </c>
      <c r="K489" s="117"/>
      <c r="L489" s="6">
        <v>2535</v>
      </c>
      <c r="M489" s="6">
        <v>126.75</v>
      </c>
      <c r="N489" s="6">
        <v>2661.75</v>
      </c>
      <c r="O489" s="44"/>
      <c r="P489" s="44"/>
      <c r="Q489" s="44"/>
      <c r="R489" s="53"/>
      <c r="S489" s="44"/>
      <c r="T489" s="44"/>
      <c r="U489" s="44"/>
      <c r="V489" s="53"/>
      <c r="W489" s="31"/>
      <c r="X489" s="9"/>
      <c r="Y489" s="11"/>
      <c r="Z489" s="11"/>
      <c r="AA489" s="63"/>
      <c r="AB489" s="63"/>
      <c r="AC489" s="63"/>
      <c r="AD489" s="36"/>
      <c r="AE489" s="31"/>
      <c r="AF489" s="9"/>
      <c r="AG489" s="6"/>
      <c r="AH489" s="6"/>
      <c r="AI489" s="6"/>
      <c r="AJ489" s="36"/>
      <c r="AK489" s="31"/>
      <c r="AL489" s="9"/>
      <c r="AM489" s="6"/>
      <c r="AN489" s="6"/>
      <c r="AO489" s="6"/>
      <c r="AP489" s="36"/>
    </row>
    <row r="490" spans="1:42">
      <c r="A490" s="30">
        <v>467</v>
      </c>
      <c r="B490" s="147"/>
      <c r="C490" s="144" t="s">
        <v>518</v>
      </c>
      <c r="D490" s="27"/>
      <c r="E490" s="27"/>
      <c r="F490" s="27"/>
      <c r="G490" s="27"/>
      <c r="H490" s="70" t="s">
        <v>655</v>
      </c>
      <c r="I490" s="177" t="s">
        <v>826</v>
      </c>
      <c r="J490" s="142" t="s">
        <v>588</v>
      </c>
      <c r="K490" s="29"/>
      <c r="L490" s="11">
        <v>10100</v>
      </c>
      <c r="M490" s="11">
        <v>505</v>
      </c>
      <c r="N490" s="11">
        <v>10605</v>
      </c>
      <c r="O490" s="44"/>
      <c r="P490" s="44"/>
      <c r="Q490" s="44"/>
      <c r="R490" s="53"/>
      <c r="S490" s="45"/>
      <c r="T490" s="45"/>
      <c r="U490" s="45"/>
      <c r="V490" s="53"/>
      <c r="W490" s="31"/>
      <c r="X490" s="9"/>
      <c r="Y490" s="11"/>
      <c r="Z490" s="76"/>
      <c r="AA490" s="64"/>
      <c r="AB490" s="64"/>
      <c r="AC490" s="64"/>
      <c r="AD490" s="36"/>
      <c r="AE490" s="31"/>
      <c r="AF490" s="9"/>
      <c r="AG490" s="6"/>
      <c r="AH490" s="6"/>
      <c r="AI490" s="6"/>
      <c r="AJ490" s="36"/>
      <c r="AK490" s="31"/>
      <c r="AL490" s="9"/>
      <c r="AM490" s="6"/>
      <c r="AN490" s="6"/>
      <c r="AO490" s="6"/>
      <c r="AP490" s="36"/>
    </row>
    <row r="491" spans="1:42">
      <c r="A491" s="30">
        <v>468</v>
      </c>
      <c r="B491" s="147"/>
      <c r="C491" s="144" t="s">
        <v>1060</v>
      </c>
      <c r="D491" s="27"/>
      <c r="E491" s="27"/>
      <c r="F491" s="27"/>
      <c r="G491" s="27"/>
      <c r="H491" s="70" t="s">
        <v>2321</v>
      </c>
      <c r="I491" s="177" t="s">
        <v>833</v>
      </c>
      <c r="J491" s="138"/>
      <c r="K491" s="29"/>
      <c r="L491" s="11">
        <v>51900</v>
      </c>
      <c r="M491" s="11">
        <v>2595</v>
      </c>
      <c r="N491" s="11">
        <v>54495</v>
      </c>
      <c r="O491" s="44"/>
      <c r="P491" s="44"/>
      <c r="Q491" s="44"/>
      <c r="R491" s="53"/>
      <c r="S491" s="44"/>
      <c r="T491" s="46"/>
      <c r="U491" s="46"/>
      <c r="V491" s="53"/>
      <c r="W491" s="31"/>
      <c r="X491" s="9"/>
      <c r="Y491" s="11"/>
      <c r="Z491" s="11"/>
      <c r="AA491" s="63"/>
      <c r="AB491" s="63"/>
      <c r="AC491" s="63"/>
      <c r="AD491" s="36"/>
      <c r="AE491" s="31"/>
      <c r="AF491" s="9"/>
      <c r="AG491" s="6"/>
      <c r="AH491" s="6"/>
      <c r="AI491" s="6"/>
      <c r="AJ491" s="36"/>
      <c r="AK491" s="31"/>
      <c r="AL491" s="9"/>
      <c r="AM491" s="6"/>
      <c r="AN491" s="6"/>
      <c r="AO491" s="6"/>
      <c r="AP491" s="36"/>
    </row>
    <row r="492" spans="1:42">
      <c r="A492" s="30">
        <v>469</v>
      </c>
      <c r="B492" s="147"/>
      <c r="C492" s="144" t="s">
        <v>2115</v>
      </c>
      <c r="D492" s="27"/>
      <c r="E492" s="27"/>
      <c r="F492" s="27"/>
      <c r="G492" s="27"/>
      <c r="H492" s="70" t="s">
        <v>2322</v>
      </c>
      <c r="I492" s="177" t="s">
        <v>833</v>
      </c>
      <c r="J492" s="138"/>
      <c r="K492" s="117"/>
      <c r="L492" s="6">
        <v>22905</v>
      </c>
      <c r="M492" s="6">
        <v>1145.25</v>
      </c>
      <c r="N492" s="5"/>
      <c r="O492" s="44"/>
      <c r="P492" s="44"/>
      <c r="Q492" s="44"/>
      <c r="R492" s="53"/>
      <c r="S492" s="44"/>
      <c r="T492" s="44"/>
      <c r="U492" s="44"/>
      <c r="V492" s="53"/>
      <c r="W492" s="31"/>
      <c r="X492" s="9"/>
      <c r="Y492" s="11"/>
      <c r="Z492" s="11"/>
      <c r="AA492" s="63"/>
      <c r="AB492" s="63"/>
      <c r="AC492" s="63"/>
      <c r="AD492" s="36"/>
      <c r="AE492" s="31"/>
      <c r="AF492" s="9"/>
      <c r="AG492" s="6"/>
      <c r="AH492" s="6"/>
      <c r="AI492" s="6"/>
      <c r="AJ492" s="36"/>
      <c r="AK492" s="31"/>
      <c r="AL492" s="9"/>
      <c r="AM492" s="6"/>
      <c r="AN492" s="6"/>
      <c r="AO492" s="6"/>
      <c r="AP492" s="36"/>
    </row>
    <row r="493" spans="1:42">
      <c r="A493" s="30">
        <v>470</v>
      </c>
      <c r="B493" s="147"/>
      <c r="C493" s="144" t="s">
        <v>778</v>
      </c>
      <c r="D493" s="27"/>
      <c r="E493" s="27"/>
      <c r="F493" s="27"/>
      <c r="G493" s="27"/>
      <c r="H493" s="70" t="s">
        <v>1886</v>
      </c>
      <c r="I493" s="177" t="s">
        <v>833</v>
      </c>
      <c r="J493" s="140"/>
      <c r="K493" s="117"/>
      <c r="L493" s="6"/>
      <c r="M493" s="6"/>
      <c r="N493" s="5"/>
      <c r="O493" s="44"/>
      <c r="P493" s="44"/>
      <c r="Q493" s="44"/>
      <c r="R493" s="53"/>
      <c r="S493" s="44"/>
      <c r="T493" s="44"/>
      <c r="U493" s="44"/>
      <c r="V493" s="53"/>
      <c r="W493" s="31"/>
      <c r="X493" s="9"/>
      <c r="Y493" s="11"/>
      <c r="Z493" s="11"/>
      <c r="AA493" s="63"/>
      <c r="AB493" s="63"/>
      <c r="AC493" s="63"/>
      <c r="AD493" s="36"/>
      <c r="AE493" s="31"/>
      <c r="AF493" s="9"/>
      <c r="AG493" s="6"/>
      <c r="AH493" s="6"/>
      <c r="AI493" s="6"/>
      <c r="AJ493" s="36"/>
      <c r="AK493" s="31"/>
      <c r="AL493" s="9"/>
      <c r="AM493" s="6"/>
      <c r="AN493" s="6"/>
      <c r="AO493" s="6"/>
      <c r="AP493" s="36"/>
    </row>
    <row r="494" spans="1:42">
      <c r="A494" s="30">
        <v>471</v>
      </c>
      <c r="B494" s="147"/>
      <c r="C494" s="144" t="s">
        <v>669</v>
      </c>
      <c r="D494" s="27"/>
      <c r="E494" s="27"/>
      <c r="F494" s="27"/>
      <c r="G494" s="27"/>
      <c r="H494" s="70" t="s">
        <v>1566</v>
      </c>
      <c r="I494" s="177" t="s">
        <v>833</v>
      </c>
      <c r="J494" s="140"/>
      <c r="K494" s="117"/>
      <c r="L494" s="6"/>
      <c r="M494" s="6"/>
      <c r="N494" s="5"/>
      <c r="O494" s="44"/>
      <c r="P494" s="44"/>
      <c r="Q494" s="44"/>
      <c r="R494" s="53"/>
      <c r="S494" s="44"/>
      <c r="T494" s="44"/>
      <c r="U494" s="44"/>
      <c r="V494" s="53"/>
      <c r="W494" s="31"/>
      <c r="X494" s="9"/>
      <c r="Y494" s="11"/>
      <c r="Z494" s="11"/>
      <c r="AA494" s="63"/>
      <c r="AB494" s="63"/>
      <c r="AC494" s="63"/>
      <c r="AD494" s="36"/>
      <c r="AE494" s="31"/>
      <c r="AF494" s="9"/>
      <c r="AG494" s="6"/>
      <c r="AH494" s="6"/>
      <c r="AI494" s="6"/>
      <c r="AJ494" s="36"/>
      <c r="AK494" s="31"/>
      <c r="AL494" s="9"/>
      <c r="AM494" s="6"/>
      <c r="AN494" s="6"/>
      <c r="AO494" s="6"/>
      <c r="AP494" s="36"/>
    </row>
    <row r="495" spans="1:42">
      <c r="A495" s="30">
        <v>472</v>
      </c>
      <c r="B495" s="147"/>
      <c r="C495" s="144" t="s">
        <v>523</v>
      </c>
      <c r="D495" s="27"/>
      <c r="E495" s="27"/>
      <c r="F495" s="27"/>
      <c r="G495" s="27"/>
      <c r="H495" s="70" t="s">
        <v>760</v>
      </c>
      <c r="I495" s="177" t="s">
        <v>1567</v>
      </c>
      <c r="J495" s="140" t="s">
        <v>661</v>
      </c>
      <c r="K495" s="117"/>
      <c r="L495" s="6"/>
      <c r="M495" s="6"/>
      <c r="N495" s="5"/>
      <c r="O495" s="44"/>
      <c r="P495" s="44"/>
      <c r="Q495" s="44"/>
      <c r="R495" s="53"/>
      <c r="S495" s="44"/>
      <c r="T495" s="44"/>
      <c r="U495" s="44"/>
      <c r="V495" s="53"/>
      <c r="W495" s="31"/>
      <c r="X495" s="9"/>
      <c r="Y495" s="11"/>
      <c r="Z495" s="11"/>
      <c r="AA495" s="63"/>
      <c r="AB495" s="63"/>
      <c r="AC495" s="63"/>
      <c r="AD495" s="36"/>
      <c r="AE495" s="31"/>
      <c r="AF495" s="9"/>
      <c r="AG495" s="6"/>
      <c r="AH495" s="6"/>
      <c r="AI495" s="6"/>
      <c r="AJ495" s="36"/>
      <c r="AK495" s="31"/>
      <c r="AL495" s="9"/>
      <c r="AM495" s="6"/>
      <c r="AN495" s="6"/>
      <c r="AO495" s="6"/>
      <c r="AP495" s="36"/>
    </row>
    <row r="496" spans="1:42">
      <c r="A496" s="30">
        <v>473</v>
      </c>
      <c r="B496" s="147"/>
      <c r="C496" s="160" t="s">
        <v>676</v>
      </c>
      <c r="D496" s="27"/>
      <c r="E496" s="27"/>
      <c r="F496" s="27"/>
      <c r="G496" s="27"/>
      <c r="H496" s="70" t="s">
        <v>761</v>
      </c>
      <c r="I496" s="177" t="s">
        <v>828</v>
      </c>
      <c r="J496" s="140" t="s">
        <v>675</v>
      </c>
      <c r="K496" s="117"/>
      <c r="L496" s="6"/>
      <c r="M496" s="6"/>
      <c r="N496" s="5"/>
      <c r="O496" s="44"/>
      <c r="P496" s="44"/>
      <c r="Q496" s="44"/>
      <c r="R496" s="53"/>
      <c r="S496" s="56"/>
      <c r="T496" s="56"/>
      <c r="U496" s="56"/>
      <c r="V496" s="53"/>
      <c r="W496" s="31"/>
      <c r="X496" s="9"/>
      <c r="Y496" s="11"/>
      <c r="Z496" s="89"/>
      <c r="AA496" s="79"/>
      <c r="AB496" s="79"/>
      <c r="AC496" s="79"/>
      <c r="AD496" s="36"/>
      <c r="AE496" s="31"/>
      <c r="AF496" s="9"/>
      <c r="AG496" s="6"/>
      <c r="AH496" s="6"/>
      <c r="AI496" s="6"/>
      <c r="AJ496" s="36"/>
      <c r="AK496" s="31"/>
      <c r="AL496" s="9"/>
      <c r="AM496" s="6"/>
      <c r="AN496" s="6"/>
      <c r="AO496" s="6"/>
      <c r="AP496" s="36"/>
    </row>
    <row r="497" spans="1:42">
      <c r="A497" s="30">
        <v>474</v>
      </c>
      <c r="B497" s="147"/>
      <c r="C497" s="144" t="s">
        <v>2079</v>
      </c>
      <c r="D497" s="27"/>
      <c r="E497" s="27"/>
      <c r="F497" s="27"/>
      <c r="G497" s="27"/>
      <c r="H497" s="70" t="s">
        <v>1522</v>
      </c>
      <c r="I497" s="177" t="s">
        <v>837</v>
      </c>
      <c r="J497" s="138" t="s">
        <v>1298</v>
      </c>
      <c r="K497" s="117"/>
      <c r="L497" s="6">
        <v>144</v>
      </c>
      <c r="M497" s="6">
        <v>7.2</v>
      </c>
      <c r="N497" s="6">
        <v>151.19999999999999</v>
      </c>
      <c r="O497" s="44"/>
      <c r="P497" s="44"/>
      <c r="Q497" s="44"/>
      <c r="R497" s="53"/>
      <c r="S497" s="44"/>
      <c r="T497" s="44"/>
      <c r="U497" s="44"/>
      <c r="V497" s="53"/>
      <c r="W497" s="31"/>
      <c r="X497" s="9"/>
      <c r="Y497" s="11"/>
      <c r="Z497" s="11"/>
      <c r="AA497" s="63"/>
      <c r="AB497" s="63"/>
      <c r="AC497" s="63"/>
      <c r="AD497" s="36"/>
      <c r="AE497" s="31"/>
      <c r="AF497" s="9"/>
      <c r="AG497" s="6"/>
      <c r="AH497" s="6"/>
      <c r="AI497" s="6"/>
      <c r="AJ497" s="36"/>
      <c r="AK497" s="31"/>
      <c r="AL497" s="9"/>
      <c r="AM497" s="6"/>
      <c r="AN497" s="6"/>
      <c r="AO497" s="6"/>
      <c r="AP497" s="36"/>
    </row>
    <row r="498" spans="1:42">
      <c r="A498" s="30">
        <v>475</v>
      </c>
      <c r="B498" s="147"/>
      <c r="C498" s="144" t="s">
        <v>288</v>
      </c>
      <c r="D498" s="27"/>
      <c r="E498" s="27"/>
      <c r="F498" s="27"/>
      <c r="G498" s="27"/>
      <c r="H498" s="70" t="s">
        <v>762</v>
      </c>
      <c r="I498" s="177" t="s">
        <v>837</v>
      </c>
      <c r="J498" s="138" t="s">
        <v>615</v>
      </c>
      <c r="K498" s="29"/>
      <c r="L498" s="11">
        <v>3840</v>
      </c>
      <c r="M498" s="11">
        <v>192</v>
      </c>
      <c r="N498" s="11">
        <v>4032</v>
      </c>
      <c r="O498" s="44"/>
      <c r="P498" s="44"/>
      <c r="Q498" s="44"/>
      <c r="R498" s="53"/>
      <c r="S498" s="44"/>
      <c r="T498" s="46"/>
      <c r="U498" s="46"/>
      <c r="V498" s="53"/>
      <c r="W498" s="31"/>
      <c r="X498" s="9"/>
      <c r="Y498" s="11"/>
      <c r="Z498" s="11"/>
      <c r="AA498" s="63"/>
      <c r="AB498" s="63"/>
      <c r="AC498" s="63"/>
      <c r="AD498" s="36"/>
      <c r="AE498" s="31"/>
      <c r="AF498" s="9"/>
      <c r="AG498" s="6"/>
      <c r="AH498" s="6"/>
      <c r="AI498" s="6"/>
      <c r="AJ498" s="36"/>
      <c r="AK498" s="31"/>
      <c r="AL498" s="9"/>
      <c r="AM498" s="6"/>
      <c r="AN498" s="6"/>
      <c r="AO498" s="6"/>
      <c r="AP498" s="36"/>
    </row>
    <row r="499" spans="1:42">
      <c r="A499" s="30">
        <v>476</v>
      </c>
      <c r="B499" s="147"/>
      <c r="C499" s="144" t="s">
        <v>402</v>
      </c>
      <c r="D499" s="27"/>
      <c r="E499" s="27"/>
      <c r="F499" s="27"/>
      <c r="G499" s="27"/>
      <c r="H499" s="70" t="s">
        <v>556</v>
      </c>
      <c r="I499" s="177" t="s">
        <v>833</v>
      </c>
      <c r="J499" s="138"/>
      <c r="K499" s="29"/>
      <c r="L499" s="11"/>
      <c r="M499" s="11"/>
      <c r="N499" s="11"/>
      <c r="O499" s="44"/>
      <c r="P499" s="44"/>
      <c r="Q499" s="44"/>
      <c r="R499" s="53"/>
      <c r="S499" s="44"/>
      <c r="T499" s="46"/>
      <c r="U499" s="46"/>
      <c r="V499" s="53"/>
      <c r="W499" s="31"/>
      <c r="X499" s="9"/>
      <c r="Y499" s="11"/>
      <c r="Z499" s="11"/>
      <c r="AA499" s="63"/>
      <c r="AB499" s="63"/>
      <c r="AC499" s="63"/>
      <c r="AD499" s="36"/>
      <c r="AE499" s="31"/>
      <c r="AF499" s="9"/>
      <c r="AG499" s="6"/>
      <c r="AH499" s="6"/>
      <c r="AI499" s="6"/>
      <c r="AJ499" s="36"/>
      <c r="AK499" s="31"/>
      <c r="AL499" s="9"/>
      <c r="AM499" s="6"/>
      <c r="AN499" s="6"/>
      <c r="AO499" s="6"/>
      <c r="AP499" s="36"/>
    </row>
    <row r="500" spans="1:42">
      <c r="A500" s="30">
        <v>477</v>
      </c>
      <c r="B500" s="147"/>
      <c r="C500" s="144" t="s">
        <v>1822</v>
      </c>
      <c r="D500" s="27"/>
      <c r="E500" s="27"/>
      <c r="F500" s="27"/>
      <c r="G500" s="27"/>
      <c r="H500" s="70" t="s">
        <v>1823</v>
      </c>
      <c r="I500" s="177" t="s">
        <v>828</v>
      </c>
      <c r="J500" s="138"/>
      <c r="K500" s="29"/>
      <c r="L500" s="11"/>
      <c r="M500" s="11"/>
      <c r="N500" s="11"/>
      <c r="O500" s="44"/>
      <c r="P500" s="44"/>
      <c r="Q500" s="44"/>
      <c r="R500" s="53"/>
      <c r="S500" s="44"/>
      <c r="T500" s="46"/>
      <c r="U500" s="46"/>
      <c r="V500" s="53"/>
      <c r="W500" s="31"/>
      <c r="X500" s="9"/>
      <c r="Y500" s="11"/>
      <c r="Z500" s="11"/>
      <c r="AA500" s="63"/>
      <c r="AB500" s="63"/>
      <c r="AC500" s="63"/>
      <c r="AD500" s="36"/>
      <c r="AE500" s="31"/>
      <c r="AF500" s="9"/>
      <c r="AG500" s="6"/>
      <c r="AH500" s="6"/>
      <c r="AI500" s="6"/>
      <c r="AJ500" s="36"/>
      <c r="AK500" s="31"/>
      <c r="AL500" s="9"/>
      <c r="AM500" s="6"/>
      <c r="AN500" s="6"/>
      <c r="AO500" s="6"/>
      <c r="AP500" s="36"/>
    </row>
    <row r="501" spans="1:42">
      <c r="A501" s="30">
        <v>478</v>
      </c>
      <c r="B501" s="147"/>
      <c r="C501" s="144" t="s">
        <v>995</v>
      </c>
      <c r="D501" s="27"/>
      <c r="E501" s="27"/>
      <c r="F501" s="27"/>
      <c r="G501" s="27"/>
      <c r="H501" s="70" t="s">
        <v>996</v>
      </c>
      <c r="I501" s="177" t="s">
        <v>833</v>
      </c>
      <c r="J501" s="138"/>
      <c r="K501" s="117"/>
      <c r="L501" s="6">
        <v>20520</v>
      </c>
      <c r="M501" s="6">
        <v>1026</v>
      </c>
      <c r="N501" s="6">
        <v>21546</v>
      </c>
      <c r="O501" s="44"/>
      <c r="P501" s="44"/>
      <c r="Q501" s="44"/>
      <c r="R501" s="53"/>
      <c r="S501" s="44"/>
      <c r="T501" s="44"/>
      <c r="U501" s="44"/>
      <c r="V501" s="53"/>
      <c r="W501" s="31"/>
      <c r="X501" s="9"/>
      <c r="Y501" s="11"/>
      <c r="Z501" s="11"/>
      <c r="AA501" s="63"/>
      <c r="AB501" s="63"/>
      <c r="AC501" s="63"/>
      <c r="AD501" s="36"/>
      <c r="AE501" s="31"/>
      <c r="AF501" s="9"/>
      <c r="AG501" s="6"/>
      <c r="AH501" s="6"/>
      <c r="AI501" s="6"/>
      <c r="AJ501" s="36"/>
      <c r="AK501" s="31"/>
      <c r="AL501" s="9"/>
      <c r="AM501" s="6"/>
      <c r="AN501" s="6"/>
      <c r="AO501" s="6"/>
      <c r="AP501" s="36"/>
    </row>
    <row r="502" spans="1:42" ht="27">
      <c r="A502" s="30">
        <v>479</v>
      </c>
      <c r="B502" s="147"/>
      <c r="C502" s="144" t="s">
        <v>1169</v>
      </c>
      <c r="D502" s="27"/>
      <c r="E502" s="27"/>
      <c r="F502" s="27"/>
      <c r="G502" s="27"/>
      <c r="H502" s="70" t="s">
        <v>1975</v>
      </c>
      <c r="I502" s="177" t="s">
        <v>1170</v>
      </c>
      <c r="J502" s="137" t="s">
        <v>783</v>
      </c>
      <c r="K502" s="117"/>
      <c r="L502" s="6"/>
      <c r="M502" s="6"/>
      <c r="N502" s="6"/>
      <c r="O502" s="44"/>
      <c r="P502" s="44"/>
      <c r="Q502" s="44"/>
      <c r="R502" s="53"/>
      <c r="S502" s="44"/>
      <c r="T502" s="44"/>
      <c r="U502" s="44"/>
      <c r="V502" s="53"/>
      <c r="W502" s="31"/>
      <c r="X502" s="9"/>
      <c r="Y502" s="11"/>
      <c r="Z502" s="11"/>
      <c r="AA502" s="63"/>
      <c r="AB502" s="63"/>
      <c r="AC502" s="63"/>
      <c r="AD502" s="36"/>
      <c r="AE502" s="31"/>
      <c r="AF502" s="9"/>
      <c r="AG502" s="6"/>
      <c r="AH502" s="6"/>
      <c r="AI502" s="6"/>
      <c r="AJ502" s="36"/>
      <c r="AK502" s="31"/>
      <c r="AL502" s="9"/>
      <c r="AM502" s="6"/>
      <c r="AN502" s="6"/>
      <c r="AO502" s="6"/>
      <c r="AP502" s="36"/>
    </row>
    <row r="503" spans="1:42" ht="27">
      <c r="A503" s="30">
        <v>480</v>
      </c>
      <c r="B503" s="147"/>
      <c r="C503" s="144" t="s">
        <v>1974</v>
      </c>
      <c r="D503" s="27"/>
      <c r="E503" s="27"/>
      <c r="F503" s="27"/>
      <c r="G503" s="27"/>
      <c r="H503" s="70" t="s">
        <v>1976</v>
      </c>
      <c r="I503" s="177" t="s">
        <v>1977</v>
      </c>
      <c r="J503" s="137" t="s">
        <v>783</v>
      </c>
      <c r="K503" s="117"/>
      <c r="L503" s="6"/>
      <c r="M503" s="6"/>
      <c r="N503" s="6"/>
      <c r="O503" s="44"/>
      <c r="P503" s="44"/>
      <c r="Q503" s="44"/>
      <c r="R503" s="53"/>
      <c r="S503" s="44"/>
      <c r="T503" s="44"/>
      <c r="U503" s="44"/>
      <c r="V503" s="53"/>
      <c r="W503" s="31"/>
      <c r="X503" s="9"/>
      <c r="Y503" s="11"/>
      <c r="Z503" s="11"/>
      <c r="AA503" s="63"/>
      <c r="AB503" s="63"/>
      <c r="AC503" s="63"/>
      <c r="AD503" s="36"/>
      <c r="AE503" s="31"/>
      <c r="AF503" s="9"/>
      <c r="AG503" s="6"/>
      <c r="AH503" s="6"/>
      <c r="AI503" s="6"/>
      <c r="AJ503" s="36"/>
      <c r="AK503" s="31"/>
      <c r="AL503" s="9"/>
      <c r="AM503" s="6"/>
      <c r="AN503" s="6"/>
      <c r="AO503" s="6"/>
      <c r="AP503" s="36"/>
    </row>
    <row r="504" spans="1:42" ht="27">
      <c r="A504" s="30">
        <v>481</v>
      </c>
      <c r="B504" s="147"/>
      <c r="C504" s="144" t="s">
        <v>1485</v>
      </c>
      <c r="D504" s="27"/>
      <c r="E504" s="27"/>
      <c r="F504" s="27"/>
      <c r="G504" s="27"/>
      <c r="H504" s="70" t="s">
        <v>2126</v>
      </c>
      <c r="I504" s="177" t="s">
        <v>2128</v>
      </c>
      <c r="J504" s="138" t="s">
        <v>2127</v>
      </c>
      <c r="K504" s="117"/>
      <c r="L504" s="6"/>
      <c r="M504" s="6"/>
      <c r="N504" s="6"/>
      <c r="O504" s="44"/>
      <c r="P504" s="44"/>
      <c r="Q504" s="44"/>
      <c r="R504" s="53"/>
      <c r="S504" s="44"/>
      <c r="T504" s="44"/>
      <c r="U504" s="44"/>
      <c r="V504" s="53"/>
      <c r="W504" s="31"/>
      <c r="X504" s="9"/>
      <c r="Y504" s="11"/>
      <c r="Z504" s="11"/>
      <c r="AA504" s="63"/>
      <c r="AB504" s="63"/>
      <c r="AC504" s="63"/>
      <c r="AD504" s="36"/>
      <c r="AE504" s="31"/>
      <c r="AF504" s="9"/>
      <c r="AG504" s="6"/>
      <c r="AH504" s="6"/>
      <c r="AI504" s="6"/>
      <c r="AJ504" s="36"/>
      <c r="AK504" s="31"/>
      <c r="AL504" s="9"/>
      <c r="AM504" s="6"/>
      <c r="AN504" s="6"/>
      <c r="AO504" s="6"/>
      <c r="AP504" s="36"/>
    </row>
    <row r="505" spans="1:42">
      <c r="A505" s="30">
        <v>482</v>
      </c>
      <c r="B505" s="147"/>
      <c r="C505" s="144" t="s">
        <v>555</v>
      </c>
      <c r="D505" s="27"/>
      <c r="E505" s="27"/>
      <c r="F505" s="27"/>
      <c r="G505" s="27"/>
      <c r="H505" s="70" t="s">
        <v>0</v>
      </c>
      <c r="I505" s="177" t="s">
        <v>833</v>
      </c>
      <c r="J505" s="138"/>
      <c r="K505" s="117"/>
      <c r="L505" s="6"/>
      <c r="M505" s="6"/>
      <c r="N505" s="6"/>
      <c r="O505" s="44"/>
      <c r="P505" s="44"/>
      <c r="Q505" s="44"/>
      <c r="R505" s="53"/>
      <c r="S505" s="44"/>
      <c r="T505" s="44"/>
      <c r="U505" s="44"/>
      <c r="V505" s="53"/>
      <c r="W505" s="31"/>
      <c r="X505" s="9"/>
      <c r="Y505" s="11"/>
      <c r="Z505" s="11"/>
      <c r="AA505" s="63"/>
      <c r="AB505" s="63"/>
      <c r="AC505" s="63"/>
      <c r="AD505" s="36"/>
      <c r="AE505" s="31"/>
      <c r="AF505" s="9"/>
      <c r="AG505" s="6"/>
      <c r="AH505" s="6"/>
      <c r="AI505" s="6"/>
      <c r="AJ505" s="36"/>
      <c r="AK505" s="31"/>
      <c r="AL505" s="9"/>
      <c r="AM505" s="6"/>
      <c r="AN505" s="6"/>
      <c r="AO505" s="6"/>
      <c r="AP505" s="36"/>
    </row>
    <row r="506" spans="1:42">
      <c r="A506" s="30">
        <v>483</v>
      </c>
      <c r="B506" s="147"/>
      <c r="C506" s="144" t="s">
        <v>2277</v>
      </c>
      <c r="D506" s="27"/>
      <c r="E506" s="27"/>
      <c r="F506" s="27"/>
      <c r="G506" s="27"/>
      <c r="H506" s="70" t="s">
        <v>2285</v>
      </c>
      <c r="I506" s="177" t="s">
        <v>945</v>
      </c>
      <c r="J506" s="138" t="s">
        <v>2286</v>
      </c>
      <c r="K506" s="117"/>
      <c r="L506" s="6"/>
      <c r="M506" s="6"/>
      <c r="N506" s="6"/>
      <c r="O506" s="44"/>
      <c r="P506" s="44"/>
      <c r="Q506" s="44"/>
      <c r="R506" s="53"/>
      <c r="S506" s="44"/>
      <c r="T506" s="44"/>
      <c r="U506" s="44"/>
      <c r="V506" s="53"/>
      <c r="W506" s="31"/>
      <c r="AA506" s="112"/>
      <c r="AB506" s="112"/>
      <c r="AC506" s="112"/>
      <c r="AE506" s="111"/>
      <c r="AG506" s="8"/>
      <c r="AH506" s="8"/>
      <c r="AI506" s="8"/>
      <c r="AK506" s="111"/>
      <c r="AM506" s="8"/>
      <c r="AN506" s="8"/>
      <c r="AO506" s="8"/>
    </row>
    <row r="507" spans="1:42">
      <c r="A507" s="30">
        <v>484</v>
      </c>
      <c r="B507" s="147"/>
      <c r="C507" s="144" t="s">
        <v>1512</v>
      </c>
      <c r="D507" s="27"/>
      <c r="E507" s="27"/>
      <c r="F507" s="27"/>
      <c r="G507" s="27"/>
      <c r="H507" s="70" t="s">
        <v>1560</v>
      </c>
      <c r="I507" s="177" t="s">
        <v>1631</v>
      </c>
      <c r="J507" s="138"/>
      <c r="K507" s="117"/>
      <c r="L507" s="6"/>
      <c r="M507" s="6"/>
      <c r="N507" s="6"/>
      <c r="O507" s="44"/>
      <c r="P507" s="44"/>
      <c r="Q507" s="44"/>
      <c r="R507" s="53"/>
      <c r="S507" s="44"/>
      <c r="T507" s="44"/>
      <c r="U507" s="44"/>
      <c r="V507" s="53"/>
      <c r="W507" s="31"/>
      <c r="AA507" s="112"/>
      <c r="AB507" s="112"/>
      <c r="AC507" s="112"/>
      <c r="AE507" s="111"/>
      <c r="AG507" s="8"/>
      <c r="AH507" s="8"/>
      <c r="AI507" s="8"/>
      <c r="AK507" s="111"/>
      <c r="AM507" s="8"/>
      <c r="AN507" s="8"/>
      <c r="AO507" s="8"/>
    </row>
    <row r="508" spans="1:42">
      <c r="A508" s="30">
        <v>485</v>
      </c>
      <c r="B508" s="147"/>
      <c r="C508" s="144" t="s">
        <v>1513</v>
      </c>
      <c r="D508" s="27"/>
      <c r="E508" s="27"/>
      <c r="F508" s="27"/>
      <c r="G508" s="27"/>
      <c r="H508" s="70" t="s">
        <v>1514</v>
      </c>
      <c r="I508" s="177" t="s">
        <v>1515</v>
      </c>
      <c r="J508" s="138" t="s">
        <v>1516</v>
      </c>
      <c r="K508" s="117"/>
      <c r="L508" s="6"/>
      <c r="M508" s="6"/>
      <c r="N508" s="6"/>
      <c r="O508" s="44"/>
      <c r="P508" s="44"/>
      <c r="Q508" s="44"/>
      <c r="R508" s="53"/>
      <c r="S508" s="44"/>
      <c r="T508" s="44"/>
      <c r="U508" s="44"/>
      <c r="V508" s="53"/>
      <c r="W508" s="31"/>
      <c r="AA508" s="112"/>
      <c r="AB508" s="112"/>
      <c r="AC508" s="112"/>
      <c r="AE508" s="111"/>
      <c r="AG508" s="8"/>
      <c r="AH508" s="8"/>
      <c r="AI508" s="8"/>
      <c r="AK508" s="111"/>
      <c r="AM508" s="8"/>
      <c r="AN508" s="8"/>
      <c r="AO508" s="8"/>
    </row>
    <row r="509" spans="1:42">
      <c r="A509" s="30">
        <v>486</v>
      </c>
      <c r="B509" s="147"/>
      <c r="C509" s="144" t="s">
        <v>959</v>
      </c>
      <c r="D509" s="27"/>
      <c r="E509" s="27"/>
      <c r="F509" s="27"/>
      <c r="G509" s="27"/>
      <c r="H509" s="70" t="s">
        <v>2004</v>
      </c>
      <c r="I509" s="177" t="s">
        <v>841</v>
      </c>
      <c r="J509" s="138" t="s">
        <v>716</v>
      </c>
      <c r="K509" s="117"/>
      <c r="L509" s="6"/>
      <c r="M509" s="6"/>
      <c r="N509" s="6"/>
      <c r="O509" s="44"/>
      <c r="P509" s="44"/>
      <c r="Q509" s="44"/>
      <c r="R509" s="53"/>
      <c r="S509" s="44"/>
      <c r="T509" s="44"/>
      <c r="U509" s="44"/>
      <c r="V509" s="53"/>
      <c r="W509" s="31"/>
      <c r="AA509" s="112"/>
      <c r="AB509" s="112"/>
      <c r="AC509" s="112"/>
      <c r="AE509" s="111"/>
      <c r="AG509" s="8"/>
      <c r="AH509" s="8"/>
      <c r="AI509" s="8"/>
      <c r="AK509" s="111"/>
      <c r="AM509" s="8"/>
      <c r="AN509" s="8"/>
      <c r="AO509" s="8"/>
    </row>
    <row r="510" spans="1:42" ht="27">
      <c r="A510" s="30">
        <v>487</v>
      </c>
      <c r="B510" s="147"/>
      <c r="C510" s="144" t="s">
        <v>591</v>
      </c>
      <c r="D510" s="27"/>
      <c r="E510" s="27"/>
      <c r="F510" s="27"/>
      <c r="G510" s="27"/>
      <c r="H510" s="70" t="s">
        <v>2327</v>
      </c>
      <c r="I510" s="177" t="s">
        <v>1973</v>
      </c>
      <c r="J510" s="138" t="s">
        <v>1969</v>
      </c>
      <c r="K510" s="117"/>
      <c r="L510" s="6"/>
      <c r="M510" s="6"/>
      <c r="N510" s="6"/>
      <c r="O510" s="44"/>
      <c r="P510" s="44"/>
      <c r="Q510" s="44"/>
      <c r="R510" s="53"/>
      <c r="S510" s="44"/>
      <c r="T510" s="44"/>
      <c r="U510" s="44"/>
      <c r="V510" s="53"/>
      <c r="W510" s="31"/>
      <c r="AA510" s="112"/>
      <c r="AB510" s="112"/>
      <c r="AC510" s="112"/>
      <c r="AE510" s="111"/>
      <c r="AG510" s="8"/>
      <c r="AH510" s="8"/>
      <c r="AI510" s="8"/>
      <c r="AK510" s="111"/>
      <c r="AM510" s="8"/>
      <c r="AN510" s="8"/>
      <c r="AO510" s="8"/>
    </row>
    <row r="511" spans="1:42">
      <c r="A511" s="30">
        <v>488</v>
      </c>
      <c r="B511" s="134"/>
      <c r="C511" s="144" t="s">
        <v>1164</v>
      </c>
      <c r="D511" s="27"/>
      <c r="E511" s="27"/>
      <c r="F511" s="27"/>
      <c r="G511" s="27"/>
      <c r="H511" s="70" t="s">
        <v>1207</v>
      </c>
      <c r="I511" s="177" t="s">
        <v>1165</v>
      </c>
      <c r="J511" s="140" t="s">
        <v>1972</v>
      </c>
      <c r="K511" s="118"/>
      <c r="L511" s="86"/>
      <c r="M511" s="86"/>
      <c r="N511" s="86"/>
      <c r="O511" s="44"/>
      <c r="P511" s="44"/>
      <c r="Q511" s="44"/>
      <c r="R511" s="53"/>
      <c r="S511" s="44"/>
      <c r="T511" s="44"/>
      <c r="U511" s="44"/>
      <c r="V511" s="53"/>
      <c r="W511" s="31"/>
      <c r="X511" s="9"/>
      <c r="AA511" s="112"/>
      <c r="AB511" s="112"/>
      <c r="AC511" s="112"/>
      <c r="AE511" s="111"/>
      <c r="AG511" s="8"/>
      <c r="AH511" s="8"/>
      <c r="AI511" s="8"/>
      <c r="AK511" s="111"/>
      <c r="AM511" s="8"/>
      <c r="AN511" s="8"/>
      <c r="AO511" s="8"/>
    </row>
    <row r="512" spans="1:42" ht="27">
      <c r="A512" s="30">
        <v>489</v>
      </c>
      <c r="B512" s="147"/>
      <c r="C512" s="144" t="s">
        <v>1136</v>
      </c>
      <c r="D512" s="27"/>
      <c r="E512" s="27"/>
      <c r="F512" s="27"/>
      <c r="G512" s="27"/>
      <c r="H512" s="70" t="s">
        <v>2040</v>
      </c>
      <c r="I512" s="177" t="s">
        <v>1138</v>
      </c>
      <c r="J512" s="138" t="s">
        <v>1137</v>
      </c>
      <c r="K512" s="117"/>
      <c r="L512" s="6"/>
      <c r="M512" s="6"/>
      <c r="N512" s="6"/>
      <c r="O512" s="44"/>
      <c r="P512" s="44"/>
      <c r="Q512" s="44"/>
      <c r="R512" s="53"/>
      <c r="S512" s="44"/>
      <c r="T512" s="44"/>
      <c r="U512" s="44"/>
      <c r="V512" s="53"/>
      <c r="W512" s="31"/>
      <c r="AA512" s="112"/>
      <c r="AB512" s="112"/>
      <c r="AC512" s="112"/>
      <c r="AE512" s="111"/>
      <c r="AG512" s="8"/>
      <c r="AH512" s="8"/>
      <c r="AI512" s="8"/>
      <c r="AK512" s="111"/>
      <c r="AM512" s="8"/>
      <c r="AN512" s="8"/>
      <c r="AO512" s="8"/>
    </row>
    <row r="513" spans="1:42">
      <c r="A513" s="30">
        <v>490</v>
      </c>
      <c r="B513" s="147"/>
      <c r="C513" s="144" t="s">
        <v>1732</v>
      </c>
      <c r="D513" s="27"/>
      <c r="E513" s="27"/>
      <c r="F513" s="27"/>
      <c r="G513" s="27"/>
      <c r="H513" s="70" t="s">
        <v>1654</v>
      </c>
      <c r="I513" s="177" t="s">
        <v>872</v>
      </c>
      <c r="J513" s="138" t="s">
        <v>1082</v>
      </c>
      <c r="K513" s="117"/>
      <c r="L513" s="6"/>
      <c r="M513" s="6"/>
      <c r="N513" s="6"/>
      <c r="O513" s="44"/>
      <c r="P513" s="44"/>
      <c r="Q513" s="44"/>
      <c r="R513" s="53"/>
      <c r="S513" s="44"/>
      <c r="T513" s="44"/>
      <c r="U513" s="44"/>
      <c r="V513" s="53"/>
      <c r="W513" s="31"/>
      <c r="AA513" s="112"/>
      <c r="AB513" s="112"/>
      <c r="AC513" s="112"/>
      <c r="AE513" s="111"/>
      <c r="AG513" s="8"/>
      <c r="AH513" s="8"/>
      <c r="AI513" s="8"/>
      <c r="AK513" s="111"/>
      <c r="AM513" s="8"/>
      <c r="AN513" s="8"/>
      <c r="AO513" s="8"/>
    </row>
    <row r="514" spans="1:42">
      <c r="A514" s="30">
        <v>491</v>
      </c>
      <c r="B514" s="147"/>
      <c r="C514" s="144" t="s">
        <v>1080</v>
      </c>
      <c r="D514" s="27"/>
      <c r="E514" s="27"/>
      <c r="F514" s="27"/>
      <c r="G514" s="27"/>
      <c r="H514" s="70" t="s">
        <v>1653</v>
      </c>
      <c r="I514" s="177" t="s">
        <v>872</v>
      </c>
      <c r="J514" s="138" t="s">
        <v>1081</v>
      </c>
      <c r="K514" s="117"/>
      <c r="L514" s="6"/>
      <c r="M514" s="6"/>
      <c r="N514" s="6"/>
      <c r="O514" s="44"/>
      <c r="P514" s="44"/>
      <c r="Q514" s="44"/>
      <c r="R514" s="53"/>
      <c r="S514" s="44"/>
      <c r="T514" s="44"/>
      <c r="U514" s="44"/>
      <c r="V514" s="53"/>
      <c r="W514" s="31"/>
      <c r="AA514" s="112"/>
      <c r="AB514" s="112"/>
      <c r="AC514" s="112"/>
      <c r="AE514" s="111"/>
      <c r="AG514" s="8"/>
      <c r="AH514" s="8"/>
      <c r="AI514" s="8"/>
      <c r="AK514" s="111"/>
      <c r="AM514" s="8"/>
      <c r="AN514" s="8"/>
      <c r="AO514" s="8"/>
    </row>
    <row r="515" spans="1:42">
      <c r="A515" s="30">
        <v>492</v>
      </c>
      <c r="B515" s="147"/>
      <c r="C515" s="144" t="s">
        <v>1651</v>
      </c>
      <c r="D515" s="27"/>
      <c r="E515" s="27"/>
      <c r="F515" s="27"/>
      <c r="G515" s="27"/>
      <c r="H515" s="70" t="s">
        <v>1652</v>
      </c>
      <c r="I515" s="177" t="s">
        <v>872</v>
      </c>
      <c r="J515" s="138" t="s">
        <v>1655</v>
      </c>
      <c r="K515" s="117"/>
      <c r="L515" s="6"/>
      <c r="M515" s="6"/>
      <c r="N515" s="6"/>
      <c r="O515" s="44"/>
      <c r="P515" s="44"/>
      <c r="Q515" s="44"/>
      <c r="R515" s="53"/>
      <c r="S515" s="44"/>
      <c r="T515" s="44"/>
      <c r="U515" s="44"/>
      <c r="V515" s="53"/>
      <c r="W515" s="31"/>
      <c r="AA515" s="112"/>
      <c r="AB515" s="112"/>
      <c r="AC515" s="112"/>
      <c r="AE515" s="111"/>
      <c r="AG515" s="8"/>
      <c r="AH515" s="8"/>
      <c r="AI515" s="8"/>
      <c r="AK515" s="111"/>
      <c r="AM515" s="8"/>
      <c r="AN515" s="8"/>
      <c r="AO515" s="8"/>
    </row>
    <row r="516" spans="1:42">
      <c r="A516" s="30">
        <v>493</v>
      </c>
      <c r="B516" s="147"/>
      <c r="C516" s="160" t="s">
        <v>688</v>
      </c>
      <c r="D516" s="27"/>
      <c r="E516" s="27"/>
      <c r="F516" s="27"/>
      <c r="G516" s="27"/>
      <c r="H516" s="70" t="s">
        <v>689</v>
      </c>
      <c r="I516" s="177"/>
      <c r="J516" s="138" t="s">
        <v>687</v>
      </c>
      <c r="K516" s="117"/>
      <c r="L516" s="6"/>
      <c r="M516" s="6"/>
      <c r="N516" s="6"/>
      <c r="O516" s="44"/>
      <c r="P516" s="44"/>
      <c r="Q516" s="44"/>
      <c r="R516" s="53"/>
      <c r="S516" s="44"/>
      <c r="T516" s="44"/>
      <c r="U516" s="44"/>
      <c r="V516" s="53"/>
      <c r="W516" s="31"/>
      <c r="AA516" s="112"/>
      <c r="AB516" s="112"/>
      <c r="AC516" s="112"/>
      <c r="AE516" s="111"/>
      <c r="AG516" s="8"/>
      <c r="AH516" s="8"/>
      <c r="AI516" s="8"/>
      <c r="AK516" s="111"/>
      <c r="AM516" s="8"/>
      <c r="AN516" s="8"/>
      <c r="AO516" s="8"/>
    </row>
    <row r="517" spans="1:42">
      <c r="A517" s="30">
        <v>494</v>
      </c>
      <c r="B517" s="147"/>
      <c r="C517" s="144" t="s">
        <v>662</v>
      </c>
      <c r="D517" s="27"/>
      <c r="E517" s="27"/>
      <c r="F517" s="27"/>
      <c r="G517" s="27"/>
      <c r="H517" s="70" t="s">
        <v>1040</v>
      </c>
      <c r="I517" s="177" t="s">
        <v>870</v>
      </c>
      <c r="J517" s="138" t="s">
        <v>663</v>
      </c>
      <c r="K517" s="117"/>
      <c r="L517" s="6"/>
      <c r="M517" s="6"/>
      <c r="N517" s="6"/>
      <c r="O517" s="44"/>
      <c r="P517" s="44"/>
      <c r="Q517" s="44"/>
      <c r="R517" s="53"/>
      <c r="S517" s="44"/>
      <c r="T517" s="44"/>
      <c r="U517" s="44"/>
      <c r="V517" s="53"/>
      <c r="W517" s="31"/>
      <c r="AA517" s="112"/>
      <c r="AB517" s="112"/>
      <c r="AC517" s="112"/>
      <c r="AE517" s="111"/>
      <c r="AG517" s="8"/>
      <c r="AH517" s="8"/>
      <c r="AI517" s="8"/>
      <c r="AK517" s="111"/>
      <c r="AM517" s="8"/>
      <c r="AN517" s="8"/>
      <c r="AO517" s="8"/>
    </row>
    <row r="518" spans="1:42" ht="27">
      <c r="A518" s="30">
        <v>495</v>
      </c>
      <c r="B518" s="147"/>
      <c r="C518" s="144" t="s">
        <v>1181</v>
      </c>
      <c r="D518" s="27"/>
      <c r="E518" s="27"/>
      <c r="F518" s="27"/>
      <c r="G518" s="27"/>
      <c r="H518" s="70" t="s">
        <v>1185</v>
      </c>
      <c r="I518" s="177" t="s">
        <v>1186</v>
      </c>
      <c r="J518" s="138" t="s">
        <v>1187</v>
      </c>
      <c r="K518" s="117"/>
      <c r="L518" s="6"/>
      <c r="M518" s="6"/>
      <c r="N518" s="6"/>
      <c r="O518" s="44"/>
      <c r="P518" s="44"/>
      <c r="Q518" s="44"/>
      <c r="R518" s="53"/>
      <c r="S518" s="44"/>
      <c r="T518" s="44"/>
      <c r="U518" s="44"/>
      <c r="V518" s="53"/>
      <c r="W518" s="31"/>
      <c r="X518" s="9"/>
      <c r="Y518" s="11"/>
      <c r="Z518" s="11"/>
      <c r="AA518" s="63"/>
      <c r="AB518" s="63"/>
      <c r="AC518" s="63"/>
      <c r="AD518" s="36"/>
      <c r="AE518" s="31"/>
      <c r="AF518" s="9"/>
      <c r="AG518" s="6"/>
      <c r="AH518" s="6"/>
      <c r="AI518" s="6"/>
      <c r="AJ518" s="36"/>
      <c r="AK518" s="31"/>
      <c r="AL518" s="9"/>
      <c r="AM518" s="6"/>
      <c r="AN518" s="6"/>
      <c r="AO518" s="6"/>
      <c r="AP518" s="36"/>
    </row>
    <row r="519" spans="1:42">
      <c r="A519" s="30">
        <v>496</v>
      </c>
      <c r="B519" s="147"/>
      <c r="C519" s="144" t="s">
        <v>1064</v>
      </c>
      <c r="D519" s="27"/>
      <c r="E519" s="27"/>
      <c r="F519" s="27"/>
      <c r="G519" s="27"/>
      <c r="H519" s="70" t="s">
        <v>1067</v>
      </c>
      <c r="I519" s="177" t="s">
        <v>1068</v>
      </c>
      <c r="J519" s="138" t="s">
        <v>1069</v>
      </c>
      <c r="K519" s="117"/>
      <c r="L519" s="6"/>
      <c r="M519" s="6"/>
      <c r="N519" s="6"/>
      <c r="O519" s="44"/>
      <c r="P519" s="44"/>
      <c r="Q519" s="44"/>
      <c r="R519" s="53"/>
      <c r="S519" s="44"/>
      <c r="T519" s="44"/>
      <c r="U519" s="44"/>
      <c r="V519" s="53"/>
      <c r="W519" s="31"/>
      <c r="AA519" s="112"/>
      <c r="AB519" s="112"/>
      <c r="AC519" s="112"/>
      <c r="AE519" s="111"/>
      <c r="AG519" s="8"/>
      <c r="AH519" s="8"/>
      <c r="AI519" s="8"/>
      <c r="AK519" s="111"/>
      <c r="AM519" s="8"/>
      <c r="AN519" s="8"/>
      <c r="AO519" s="8"/>
    </row>
    <row r="520" spans="1:42">
      <c r="A520" s="30">
        <v>497</v>
      </c>
      <c r="B520" s="147"/>
      <c r="C520" s="144" t="s">
        <v>709</v>
      </c>
      <c r="D520" s="27"/>
      <c r="E520" s="27"/>
      <c r="F520" s="27"/>
      <c r="G520" s="27"/>
      <c r="H520" s="70" t="s">
        <v>763</v>
      </c>
      <c r="I520" s="177" t="s">
        <v>900</v>
      </c>
      <c r="J520" s="138" t="s">
        <v>605</v>
      </c>
      <c r="K520" s="117"/>
      <c r="L520" s="6"/>
      <c r="M520" s="6"/>
      <c r="N520" s="6"/>
      <c r="O520" s="44"/>
      <c r="P520" s="44"/>
      <c r="Q520" s="44"/>
      <c r="R520" s="53"/>
      <c r="S520" s="44"/>
      <c r="T520" s="44"/>
      <c r="U520" s="44"/>
      <c r="V520" s="53"/>
      <c r="W520" s="31"/>
      <c r="AA520" s="112"/>
      <c r="AB520" s="112"/>
      <c r="AC520" s="112"/>
      <c r="AE520" s="111"/>
      <c r="AG520" s="8"/>
      <c r="AH520" s="8"/>
      <c r="AI520" s="8"/>
      <c r="AK520" s="111"/>
      <c r="AM520" s="8"/>
      <c r="AN520" s="8"/>
      <c r="AO520" s="8"/>
    </row>
    <row r="521" spans="1:42">
      <c r="A521" s="30">
        <v>498</v>
      </c>
      <c r="B521" s="147"/>
      <c r="C521" s="144" t="s">
        <v>1083</v>
      </c>
      <c r="D521" s="27"/>
      <c r="E521" s="27"/>
      <c r="F521" s="27"/>
      <c r="G521" s="27"/>
      <c r="H521" s="70" t="s">
        <v>1084</v>
      </c>
      <c r="I521" s="177" t="s">
        <v>1068</v>
      </c>
      <c r="J521" s="138" t="s">
        <v>605</v>
      </c>
      <c r="K521" s="117"/>
      <c r="L521" s="6"/>
      <c r="M521" s="6"/>
      <c r="N521" s="6"/>
      <c r="O521" s="44"/>
      <c r="P521" s="44"/>
      <c r="Q521" s="44"/>
      <c r="R521" s="53"/>
      <c r="S521" s="44"/>
      <c r="T521" s="44"/>
      <c r="U521" s="44"/>
      <c r="V521" s="53"/>
      <c r="W521" s="31"/>
      <c r="AA521" s="112"/>
      <c r="AB521" s="112"/>
      <c r="AC521" s="112"/>
      <c r="AE521" s="111"/>
      <c r="AG521" s="8"/>
      <c r="AH521" s="8"/>
      <c r="AI521" s="8"/>
      <c r="AK521" s="111"/>
      <c r="AM521" s="8"/>
      <c r="AN521" s="8"/>
      <c r="AO521" s="8"/>
    </row>
    <row r="522" spans="1:42">
      <c r="A522" s="30">
        <v>499</v>
      </c>
      <c r="B522" s="147"/>
      <c r="C522" s="144" t="s">
        <v>670</v>
      </c>
      <c r="D522" s="27"/>
      <c r="E522" s="27"/>
      <c r="F522" s="27"/>
      <c r="G522" s="27"/>
      <c r="H522" s="70" t="s">
        <v>1911</v>
      </c>
      <c r="I522" s="177" t="s">
        <v>842</v>
      </c>
      <c r="J522" s="138" t="s">
        <v>714</v>
      </c>
      <c r="K522" s="117"/>
      <c r="L522" s="6"/>
      <c r="M522" s="6"/>
      <c r="N522" s="6"/>
      <c r="O522" s="44"/>
      <c r="P522" s="44"/>
      <c r="Q522" s="44"/>
      <c r="R522" s="53"/>
      <c r="S522" s="44"/>
      <c r="T522" s="44"/>
      <c r="U522" s="44"/>
      <c r="V522" s="53"/>
      <c r="W522" s="31"/>
      <c r="AA522" s="112"/>
      <c r="AB522" s="112"/>
      <c r="AC522" s="112"/>
      <c r="AE522" s="111"/>
      <c r="AG522" s="8"/>
      <c r="AH522" s="8"/>
      <c r="AI522" s="8"/>
      <c r="AK522" s="111"/>
      <c r="AM522" s="8"/>
      <c r="AN522" s="8"/>
      <c r="AO522" s="8"/>
    </row>
    <row r="523" spans="1:42">
      <c r="A523" s="30">
        <v>500</v>
      </c>
      <c r="B523" s="147"/>
      <c r="C523" s="144" t="s">
        <v>713</v>
      </c>
      <c r="D523" s="27"/>
      <c r="E523" s="27"/>
      <c r="F523" s="27"/>
      <c r="G523" s="27"/>
      <c r="H523" s="70" t="s">
        <v>1912</v>
      </c>
      <c r="I523" s="177" t="s">
        <v>842</v>
      </c>
      <c r="J523" s="138" t="s">
        <v>714</v>
      </c>
      <c r="K523" s="117"/>
      <c r="L523" s="6"/>
      <c r="M523" s="6"/>
      <c r="N523" s="6"/>
      <c r="O523" s="44"/>
      <c r="P523" s="44"/>
      <c r="Q523" s="44"/>
      <c r="R523" s="53"/>
      <c r="S523" s="44"/>
      <c r="T523" s="44"/>
      <c r="U523" s="44"/>
      <c r="V523" s="53"/>
      <c r="W523" s="31"/>
      <c r="X523" s="9"/>
      <c r="Y523" s="11"/>
      <c r="Z523" s="11"/>
      <c r="AA523" s="63"/>
      <c r="AB523" s="63"/>
      <c r="AC523" s="63"/>
      <c r="AD523" s="36"/>
      <c r="AE523" s="31"/>
      <c r="AF523" s="9"/>
      <c r="AG523" s="6"/>
      <c r="AH523" s="6"/>
      <c r="AI523" s="6"/>
      <c r="AJ523" s="36"/>
      <c r="AK523" s="31"/>
      <c r="AL523" s="9"/>
      <c r="AM523" s="6"/>
      <c r="AN523" s="6"/>
      <c r="AO523" s="6"/>
      <c r="AP523" s="36"/>
    </row>
    <row r="524" spans="1:42">
      <c r="A524" s="30">
        <v>501</v>
      </c>
      <c r="B524" s="147"/>
      <c r="C524" s="144" t="s">
        <v>803</v>
      </c>
      <c r="D524" s="27"/>
      <c r="E524" s="27"/>
      <c r="F524" s="27"/>
      <c r="G524" s="27"/>
      <c r="H524" s="70" t="s">
        <v>804</v>
      </c>
      <c r="I524" s="177" t="s">
        <v>842</v>
      </c>
      <c r="J524" s="138" t="s">
        <v>714</v>
      </c>
      <c r="K524" s="117"/>
      <c r="L524" s="6"/>
      <c r="M524" s="6"/>
      <c r="N524" s="6"/>
      <c r="O524" s="44"/>
      <c r="P524" s="44"/>
      <c r="Q524" s="44"/>
      <c r="R524" s="53"/>
      <c r="S524" s="44"/>
      <c r="T524" s="44"/>
      <c r="U524" s="44"/>
      <c r="V524" s="53"/>
      <c r="W524" s="31"/>
      <c r="X524" s="9"/>
      <c r="Y524" s="11"/>
      <c r="Z524" s="11"/>
      <c r="AA524" s="63"/>
      <c r="AB524" s="63"/>
      <c r="AC524" s="63"/>
      <c r="AD524" s="36"/>
      <c r="AE524" s="31"/>
      <c r="AF524" s="9"/>
      <c r="AG524" s="6"/>
      <c r="AH524" s="6"/>
      <c r="AI524" s="6"/>
      <c r="AJ524" s="36"/>
      <c r="AK524" s="31"/>
      <c r="AL524" s="9"/>
      <c r="AM524" s="6"/>
      <c r="AN524" s="6"/>
      <c r="AO524" s="6"/>
      <c r="AP524" s="36"/>
    </row>
    <row r="525" spans="1:42">
      <c r="A525" s="30">
        <v>502</v>
      </c>
      <c r="B525" s="147"/>
      <c r="C525" s="144" t="s">
        <v>1329</v>
      </c>
      <c r="D525" s="27"/>
      <c r="E525" s="27"/>
      <c r="F525" s="27"/>
      <c r="G525" s="27"/>
      <c r="H525" s="70" t="s">
        <v>1888</v>
      </c>
      <c r="I525" s="177" t="s">
        <v>1330</v>
      </c>
      <c r="J525" s="138" t="s">
        <v>1331</v>
      </c>
      <c r="K525" s="117"/>
      <c r="L525" s="6"/>
      <c r="M525" s="6"/>
      <c r="N525" s="6"/>
      <c r="O525" s="44"/>
      <c r="P525" s="44"/>
      <c r="Q525" s="44"/>
      <c r="R525" s="53"/>
      <c r="S525" s="44"/>
      <c r="T525" s="44"/>
      <c r="U525" s="44"/>
      <c r="V525" s="53"/>
      <c r="W525" s="31"/>
      <c r="X525" s="9"/>
      <c r="Y525" s="11"/>
      <c r="Z525" s="11"/>
      <c r="AA525" s="63"/>
      <c r="AB525" s="63"/>
      <c r="AC525" s="63"/>
      <c r="AD525" s="36"/>
      <c r="AE525" s="31"/>
      <c r="AF525" s="9"/>
      <c r="AG525" s="6"/>
      <c r="AH525" s="6"/>
      <c r="AI525" s="6"/>
      <c r="AJ525" s="36"/>
      <c r="AK525" s="31"/>
      <c r="AL525" s="9"/>
      <c r="AM525" s="6"/>
      <c r="AN525" s="6"/>
      <c r="AO525" s="6"/>
      <c r="AP525" s="36"/>
    </row>
    <row r="526" spans="1:42">
      <c r="A526" s="30">
        <v>503</v>
      </c>
      <c r="B526" s="147"/>
      <c r="C526" s="144" t="s">
        <v>950</v>
      </c>
      <c r="D526" s="27"/>
      <c r="E526" s="27"/>
      <c r="F526" s="27"/>
      <c r="G526" s="27"/>
      <c r="H526" s="70" t="s">
        <v>1993</v>
      </c>
      <c r="I526" s="177"/>
      <c r="J526" s="138" t="s">
        <v>1406</v>
      </c>
      <c r="K526" s="117"/>
      <c r="L526" s="6"/>
      <c r="M526" s="6"/>
      <c r="N526" s="6"/>
      <c r="O526" s="44"/>
      <c r="P526" s="44"/>
      <c r="Q526" s="44"/>
      <c r="R526" s="53"/>
      <c r="S526" s="44"/>
      <c r="T526" s="44"/>
      <c r="U526" s="44"/>
      <c r="V526" s="53"/>
      <c r="W526" s="31"/>
      <c r="X526" s="9"/>
      <c r="Y526" s="11"/>
      <c r="Z526" s="11"/>
      <c r="AA526" s="63"/>
      <c r="AB526" s="63"/>
      <c r="AC526" s="63"/>
      <c r="AD526" s="36"/>
      <c r="AE526" s="31"/>
      <c r="AF526" s="9"/>
      <c r="AG526" s="6"/>
      <c r="AH526" s="6"/>
      <c r="AI526" s="6"/>
      <c r="AJ526" s="36"/>
      <c r="AK526" s="31"/>
      <c r="AL526" s="9"/>
      <c r="AM526" s="6"/>
      <c r="AN526" s="6"/>
      <c r="AO526" s="6"/>
      <c r="AP526" s="36"/>
    </row>
    <row r="527" spans="1:42" ht="27">
      <c r="A527" s="30">
        <v>504</v>
      </c>
      <c r="B527" s="147"/>
      <c r="C527" s="144" t="s">
        <v>519</v>
      </c>
      <c r="D527" s="27"/>
      <c r="E527" s="27"/>
      <c r="F527" s="27"/>
      <c r="G527" s="27"/>
      <c r="H527" s="70" t="s">
        <v>1425</v>
      </c>
      <c r="I527" s="177" t="s">
        <v>1426</v>
      </c>
      <c r="J527" s="138" t="s">
        <v>1427</v>
      </c>
      <c r="K527" s="117"/>
      <c r="L527" s="6"/>
      <c r="M527" s="6"/>
      <c r="N527" s="6"/>
      <c r="O527" s="44"/>
      <c r="P527" s="44"/>
      <c r="Q527" s="44"/>
      <c r="R527" s="53"/>
      <c r="S527" s="44"/>
      <c r="T527" s="44"/>
      <c r="U527" s="44"/>
      <c r="V527" s="53"/>
      <c r="W527" s="31"/>
      <c r="X527" s="9"/>
      <c r="Y527" s="11"/>
      <c r="Z527" s="11"/>
      <c r="AA527" s="63"/>
      <c r="AB527" s="63"/>
      <c r="AC527" s="63"/>
      <c r="AD527" s="36"/>
      <c r="AE527" s="31"/>
      <c r="AF527" s="9"/>
      <c r="AG527" s="6"/>
      <c r="AH527" s="6"/>
      <c r="AI527" s="6"/>
      <c r="AJ527" s="36"/>
      <c r="AK527" s="31"/>
      <c r="AL527" s="9"/>
      <c r="AM527" s="6"/>
      <c r="AN527" s="6"/>
      <c r="AO527" s="6"/>
      <c r="AP527" s="36"/>
    </row>
    <row r="528" spans="1:42">
      <c r="A528" s="30">
        <v>505</v>
      </c>
      <c r="B528" s="147"/>
      <c r="C528" s="144" t="s">
        <v>1546</v>
      </c>
      <c r="D528" s="27"/>
      <c r="E528" s="27"/>
      <c r="F528" s="27"/>
      <c r="G528" s="27"/>
      <c r="H528" s="70" t="s">
        <v>1547</v>
      </c>
      <c r="I528" s="177" t="s">
        <v>869</v>
      </c>
      <c r="J528" s="138" t="s">
        <v>1548</v>
      </c>
      <c r="K528" s="117"/>
      <c r="L528" s="6"/>
      <c r="M528" s="6"/>
      <c r="N528" s="6"/>
      <c r="O528" s="44"/>
      <c r="P528" s="44"/>
      <c r="Q528" s="44"/>
      <c r="R528" s="53"/>
      <c r="S528" s="44"/>
      <c r="T528" s="44"/>
      <c r="U528" s="44"/>
      <c r="V528" s="53"/>
      <c r="W528" s="31"/>
      <c r="X528" s="9"/>
      <c r="Y528" s="11"/>
      <c r="Z528" s="11"/>
      <c r="AA528" s="63"/>
      <c r="AB528" s="63"/>
      <c r="AC528" s="63"/>
      <c r="AD528" s="36"/>
      <c r="AE528" s="31"/>
      <c r="AF528" s="9"/>
      <c r="AG528" s="6"/>
      <c r="AH528" s="6"/>
      <c r="AI528" s="6"/>
      <c r="AJ528" s="36"/>
      <c r="AK528" s="31"/>
      <c r="AL528" s="9"/>
      <c r="AM528" s="6"/>
      <c r="AN528" s="6"/>
      <c r="AO528" s="6"/>
      <c r="AP528" s="36"/>
    </row>
    <row r="529" spans="1:42">
      <c r="A529" s="30">
        <v>506</v>
      </c>
      <c r="B529" s="147"/>
      <c r="C529" s="144" t="s">
        <v>575</v>
      </c>
      <c r="D529" s="27"/>
      <c r="E529" s="27"/>
      <c r="F529" s="27"/>
      <c r="G529" s="27"/>
      <c r="H529" s="70" t="s">
        <v>718</v>
      </c>
      <c r="I529" s="177"/>
      <c r="J529" s="138"/>
      <c r="K529" s="29"/>
      <c r="L529" s="11"/>
      <c r="M529" s="11"/>
      <c r="N529" s="11"/>
      <c r="O529" s="44"/>
      <c r="P529" s="44"/>
      <c r="Q529" s="44"/>
      <c r="R529" s="53"/>
      <c r="S529" s="44"/>
      <c r="T529" s="46"/>
      <c r="U529" s="46"/>
      <c r="V529" s="53"/>
      <c r="W529" s="31"/>
      <c r="X529" s="9"/>
      <c r="Y529" s="11"/>
      <c r="Z529" s="11"/>
      <c r="AA529" s="63"/>
      <c r="AB529" s="63"/>
      <c r="AC529" s="63"/>
      <c r="AD529" s="36"/>
      <c r="AE529" s="31"/>
      <c r="AF529" s="9"/>
      <c r="AG529" s="6"/>
      <c r="AH529" s="6"/>
      <c r="AI529" s="6"/>
      <c r="AJ529" s="36"/>
      <c r="AK529" s="31"/>
      <c r="AL529" s="9"/>
      <c r="AM529" s="6"/>
      <c r="AN529" s="6"/>
      <c r="AO529" s="6"/>
      <c r="AP529" s="36"/>
    </row>
    <row r="530" spans="1:42">
      <c r="A530" s="30">
        <v>507</v>
      </c>
      <c r="B530" s="147"/>
      <c r="C530" s="144" t="s">
        <v>541</v>
      </c>
      <c r="D530" s="27"/>
      <c r="E530" s="27"/>
      <c r="F530" s="27"/>
      <c r="G530" s="27"/>
      <c r="H530" s="70" t="s">
        <v>764</v>
      </c>
      <c r="I530" s="177"/>
      <c r="J530" s="138"/>
      <c r="K530" s="117"/>
      <c r="L530" s="6"/>
      <c r="M530" s="6"/>
      <c r="N530" s="6"/>
      <c r="O530" s="44"/>
      <c r="P530" s="44"/>
      <c r="Q530" s="44"/>
      <c r="R530" s="53"/>
      <c r="S530" s="44"/>
      <c r="T530" s="44"/>
      <c r="U530" s="44"/>
      <c r="V530" s="53"/>
      <c r="W530" s="31"/>
      <c r="X530" s="9"/>
      <c r="Y530" s="11"/>
      <c r="Z530" s="11"/>
      <c r="AA530" s="63"/>
      <c r="AB530" s="63"/>
      <c r="AC530" s="63"/>
      <c r="AD530" s="36"/>
      <c r="AE530" s="31"/>
      <c r="AF530" s="9"/>
      <c r="AG530" s="6"/>
      <c r="AH530" s="6"/>
      <c r="AI530" s="6"/>
      <c r="AJ530" s="36"/>
      <c r="AK530" s="31"/>
      <c r="AL530" s="9"/>
      <c r="AM530" s="6"/>
      <c r="AN530" s="6"/>
      <c r="AO530" s="6"/>
      <c r="AP530" s="36"/>
    </row>
    <row r="531" spans="1:42">
      <c r="A531" s="30">
        <v>508</v>
      </c>
      <c r="B531" s="147"/>
      <c r="C531" s="144" t="s">
        <v>536</v>
      </c>
      <c r="D531" s="27"/>
      <c r="E531" s="27"/>
      <c r="F531" s="27"/>
      <c r="G531" s="27"/>
      <c r="H531" s="70" t="s">
        <v>765</v>
      </c>
      <c r="I531" s="177"/>
      <c r="J531" s="138"/>
      <c r="K531" s="117"/>
      <c r="L531" s="6"/>
      <c r="M531" s="6"/>
      <c r="N531" s="6"/>
      <c r="O531" s="44"/>
      <c r="P531" s="44"/>
      <c r="Q531" s="44"/>
      <c r="R531" s="53"/>
      <c r="S531" s="44"/>
      <c r="T531" s="44"/>
      <c r="U531" s="44"/>
      <c r="V531" s="53"/>
      <c r="W531" s="31"/>
      <c r="X531" s="9"/>
      <c r="Y531" s="11"/>
      <c r="Z531" s="11"/>
      <c r="AA531" s="63"/>
      <c r="AB531" s="63"/>
      <c r="AC531" s="63"/>
      <c r="AD531" s="36"/>
      <c r="AE531" s="31"/>
      <c r="AF531" s="9"/>
      <c r="AG531" s="6"/>
      <c r="AH531" s="6"/>
      <c r="AI531" s="6"/>
      <c r="AJ531" s="36"/>
      <c r="AK531" s="31"/>
      <c r="AL531" s="9"/>
      <c r="AM531" s="6"/>
      <c r="AN531" s="6"/>
      <c r="AO531" s="6"/>
      <c r="AP531" s="36"/>
    </row>
    <row r="532" spans="1:42">
      <c r="A532" s="30">
        <v>509</v>
      </c>
      <c r="B532" s="147"/>
      <c r="C532" s="144" t="s">
        <v>2019</v>
      </c>
      <c r="D532" s="27"/>
      <c r="E532" s="27"/>
      <c r="F532" s="27"/>
      <c r="G532" s="27"/>
      <c r="H532" s="70" t="s">
        <v>2022</v>
      </c>
      <c r="I532" s="177" t="s">
        <v>1968</v>
      </c>
      <c r="J532" s="138" t="s">
        <v>2021</v>
      </c>
      <c r="K532" s="117"/>
      <c r="L532" s="6"/>
      <c r="M532" s="6"/>
      <c r="N532" s="6"/>
      <c r="O532" s="44"/>
      <c r="P532" s="44"/>
      <c r="Q532" s="44"/>
      <c r="R532" s="53"/>
      <c r="S532" s="44"/>
      <c r="T532" s="44"/>
      <c r="U532" s="44"/>
      <c r="V532" s="53"/>
      <c r="W532" s="31"/>
      <c r="X532" s="9"/>
      <c r="Y532" s="11"/>
      <c r="Z532" s="11"/>
      <c r="AA532" s="63"/>
      <c r="AB532" s="63"/>
      <c r="AC532" s="63"/>
      <c r="AD532" s="36"/>
      <c r="AE532" s="31"/>
      <c r="AF532" s="9"/>
      <c r="AG532" s="6"/>
      <c r="AH532" s="6"/>
      <c r="AI532" s="6"/>
      <c r="AJ532" s="36"/>
      <c r="AK532" s="31"/>
      <c r="AL532" s="9"/>
      <c r="AM532" s="6"/>
      <c r="AN532" s="6"/>
      <c r="AO532" s="6"/>
      <c r="AP532" s="36"/>
    </row>
    <row r="533" spans="1:42">
      <c r="A533" s="30">
        <v>510</v>
      </c>
      <c r="B533" s="147"/>
      <c r="C533" s="144" t="s">
        <v>1347</v>
      </c>
      <c r="D533" s="27"/>
      <c r="E533" s="27"/>
      <c r="F533" s="27"/>
      <c r="G533" s="27"/>
      <c r="H533" s="70" t="s">
        <v>1346</v>
      </c>
      <c r="I533" s="177" t="s">
        <v>867</v>
      </c>
      <c r="J533" s="138" t="s">
        <v>646</v>
      </c>
      <c r="K533" s="117"/>
      <c r="L533" s="6"/>
      <c r="M533" s="6"/>
      <c r="N533" s="6"/>
      <c r="O533" s="44"/>
      <c r="P533" s="44"/>
      <c r="Q533" s="44"/>
      <c r="R533" s="53"/>
      <c r="S533" s="44"/>
      <c r="T533" s="44"/>
      <c r="U533" s="44"/>
      <c r="V533" s="53"/>
      <c r="W533" s="31"/>
      <c r="X533" s="9"/>
      <c r="Y533" s="11"/>
      <c r="Z533" s="11"/>
      <c r="AA533" s="63"/>
      <c r="AB533" s="63"/>
      <c r="AC533" s="63"/>
      <c r="AD533" s="36"/>
      <c r="AE533" s="31"/>
      <c r="AF533" s="9"/>
      <c r="AG533" s="6"/>
      <c r="AH533" s="6"/>
      <c r="AI533" s="6"/>
      <c r="AJ533" s="36"/>
      <c r="AK533" s="31"/>
      <c r="AL533" s="9"/>
      <c r="AM533" s="6"/>
      <c r="AN533" s="6"/>
      <c r="AO533" s="6"/>
      <c r="AP533" s="36"/>
    </row>
    <row r="534" spans="1:42">
      <c r="A534" s="30">
        <v>511</v>
      </c>
      <c r="B534" s="147"/>
      <c r="C534" s="144" t="s">
        <v>1962</v>
      </c>
      <c r="D534" s="27"/>
      <c r="E534" s="27"/>
      <c r="F534" s="27"/>
      <c r="G534" s="27"/>
      <c r="H534" s="70" t="s">
        <v>1960</v>
      </c>
      <c r="I534" s="177"/>
      <c r="J534" s="138" t="s">
        <v>1961</v>
      </c>
      <c r="K534" s="117"/>
      <c r="L534" s="6"/>
      <c r="M534" s="6"/>
      <c r="N534" s="6"/>
      <c r="O534" s="44"/>
      <c r="P534" s="44"/>
      <c r="Q534" s="44"/>
      <c r="R534" s="53"/>
      <c r="S534" s="44"/>
      <c r="T534" s="44"/>
      <c r="U534" s="44"/>
      <c r="V534" s="53"/>
      <c r="W534" s="31"/>
      <c r="X534" s="9"/>
      <c r="Y534" s="11"/>
      <c r="Z534" s="11"/>
      <c r="AA534" s="63"/>
      <c r="AB534" s="63"/>
      <c r="AC534" s="63"/>
      <c r="AD534" s="36"/>
      <c r="AE534" s="31"/>
      <c r="AF534" s="9"/>
      <c r="AG534" s="6"/>
      <c r="AH534" s="6"/>
      <c r="AI534" s="6"/>
      <c r="AJ534" s="36"/>
      <c r="AK534" s="31"/>
      <c r="AL534" s="9"/>
      <c r="AM534" s="6"/>
      <c r="AN534" s="6"/>
      <c r="AO534" s="6"/>
      <c r="AP534" s="36"/>
    </row>
    <row r="535" spans="1:42">
      <c r="A535" s="30">
        <v>512</v>
      </c>
      <c r="B535" s="147"/>
      <c r="C535" s="144" t="s">
        <v>1042</v>
      </c>
      <c r="D535" s="27"/>
      <c r="E535" s="27"/>
      <c r="F535" s="27"/>
      <c r="G535" s="27"/>
      <c r="H535" s="70" t="s">
        <v>1043</v>
      </c>
      <c r="I535" s="177"/>
      <c r="J535" s="138" t="s">
        <v>929</v>
      </c>
      <c r="K535" s="117"/>
      <c r="L535" s="6"/>
      <c r="M535" s="6"/>
      <c r="N535" s="6"/>
      <c r="O535" s="44"/>
      <c r="P535" s="44"/>
      <c r="Q535" s="44"/>
      <c r="R535" s="53"/>
      <c r="S535" s="44"/>
      <c r="T535" s="44"/>
      <c r="U535" s="44"/>
      <c r="V535" s="53"/>
      <c r="W535" s="31"/>
      <c r="X535" s="9"/>
      <c r="Y535" s="11"/>
      <c r="Z535" s="11"/>
      <c r="AA535" s="63"/>
      <c r="AB535" s="63"/>
      <c r="AC535" s="63"/>
      <c r="AD535" s="36"/>
      <c r="AE535" s="31"/>
      <c r="AF535" s="9"/>
      <c r="AG535" s="6"/>
      <c r="AH535" s="6"/>
      <c r="AI535" s="6"/>
      <c r="AJ535" s="36"/>
      <c r="AK535" s="31"/>
      <c r="AL535" s="9"/>
      <c r="AM535" s="6"/>
      <c r="AN535" s="6"/>
      <c r="AO535" s="6"/>
      <c r="AP535" s="36"/>
    </row>
    <row r="536" spans="1:42" ht="27">
      <c r="A536" s="30">
        <v>513</v>
      </c>
      <c r="B536" s="147"/>
      <c r="C536" s="144" t="s">
        <v>1332</v>
      </c>
      <c r="D536" s="27"/>
      <c r="E536" s="27"/>
      <c r="F536" s="27"/>
      <c r="G536" s="27"/>
      <c r="H536" s="70" t="s">
        <v>1333</v>
      </c>
      <c r="I536" s="177" t="s">
        <v>842</v>
      </c>
      <c r="J536" s="138" t="s">
        <v>929</v>
      </c>
      <c r="K536" s="117"/>
      <c r="L536" s="6"/>
      <c r="M536" s="6"/>
      <c r="N536" s="6"/>
      <c r="O536" s="44"/>
      <c r="P536" s="44"/>
      <c r="Q536" s="44"/>
      <c r="R536" s="53"/>
      <c r="S536" s="44"/>
      <c r="T536" s="44"/>
      <c r="U536" s="44"/>
      <c r="V536" s="53"/>
      <c r="W536" s="31"/>
      <c r="X536" s="9"/>
      <c r="Y536" s="11"/>
      <c r="Z536" s="11"/>
      <c r="AA536" s="63"/>
      <c r="AB536" s="63"/>
      <c r="AC536" s="63"/>
      <c r="AD536" s="36"/>
      <c r="AE536" s="31"/>
      <c r="AF536" s="9"/>
      <c r="AG536" s="6"/>
      <c r="AH536" s="6"/>
      <c r="AI536" s="6"/>
      <c r="AJ536" s="36"/>
      <c r="AK536" s="31"/>
      <c r="AL536" s="9"/>
      <c r="AM536" s="6"/>
      <c r="AN536" s="6"/>
      <c r="AO536" s="6"/>
      <c r="AP536" s="36"/>
    </row>
    <row r="537" spans="1:42">
      <c r="A537" s="30">
        <v>514</v>
      </c>
      <c r="B537" s="147"/>
      <c r="C537" s="144" t="s">
        <v>1479</v>
      </c>
      <c r="D537" s="27"/>
      <c r="E537" s="27"/>
      <c r="F537" s="27"/>
      <c r="G537" s="27"/>
      <c r="H537" s="70" t="s">
        <v>1648</v>
      </c>
      <c r="I537" s="177" t="s">
        <v>1474</v>
      </c>
      <c r="J537" s="138"/>
      <c r="K537" s="117"/>
      <c r="L537" s="6"/>
      <c r="M537" s="6"/>
      <c r="N537" s="6"/>
      <c r="O537" s="44"/>
      <c r="P537" s="44"/>
      <c r="Q537" s="44"/>
      <c r="R537" s="53"/>
      <c r="S537" s="44"/>
      <c r="T537" s="44"/>
      <c r="U537" s="44"/>
      <c r="V537" s="53"/>
      <c r="W537" s="31"/>
      <c r="X537" s="9"/>
      <c r="Y537" s="11"/>
      <c r="Z537" s="11"/>
      <c r="AA537" s="63"/>
      <c r="AB537" s="63"/>
      <c r="AC537" s="63"/>
      <c r="AD537" s="36"/>
      <c r="AE537" s="31"/>
      <c r="AF537" s="9"/>
      <c r="AG537" s="6"/>
      <c r="AH537" s="6"/>
      <c r="AI537" s="6"/>
      <c r="AJ537" s="36"/>
      <c r="AK537" s="31"/>
      <c r="AL537" s="9"/>
      <c r="AM537" s="6"/>
      <c r="AN537" s="6"/>
      <c r="AO537" s="6"/>
      <c r="AP537" s="36"/>
    </row>
    <row r="538" spans="1:42">
      <c r="A538" s="30">
        <v>515</v>
      </c>
      <c r="B538" s="147"/>
      <c r="C538" s="144" t="s">
        <v>1200</v>
      </c>
      <c r="D538" s="27"/>
      <c r="E538" s="27"/>
      <c r="F538" s="27"/>
      <c r="G538" s="27"/>
      <c r="H538" s="214" t="s">
        <v>1201</v>
      </c>
      <c r="I538" s="215"/>
      <c r="J538" s="138"/>
      <c r="K538" s="117"/>
      <c r="L538" s="6"/>
      <c r="M538" s="6"/>
      <c r="N538" s="6"/>
      <c r="O538" s="44"/>
      <c r="P538" s="44"/>
      <c r="Q538" s="44"/>
      <c r="R538" s="53"/>
      <c r="S538" s="44"/>
      <c r="T538" s="44"/>
      <c r="U538" s="44"/>
      <c r="V538" s="53"/>
      <c r="W538" s="31"/>
      <c r="X538" s="9"/>
      <c r="Y538" s="11"/>
      <c r="Z538" s="11"/>
      <c r="AA538" s="63"/>
      <c r="AB538" s="63"/>
      <c r="AC538" s="63"/>
      <c r="AD538" s="36"/>
      <c r="AE538" s="31"/>
      <c r="AF538" s="9"/>
      <c r="AG538" s="6"/>
      <c r="AH538" s="6"/>
      <c r="AI538" s="6"/>
      <c r="AJ538" s="36"/>
      <c r="AK538" s="31"/>
      <c r="AL538" s="9"/>
      <c r="AM538" s="6"/>
      <c r="AN538" s="6"/>
      <c r="AO538" s="6"/>
      <c r="AP538" s="36"/>
    </row>
    <row r="539" spans="1:42">
      <c r="A539" s="30">
        <v>516</v>
      </c>
      <c r="B539" s="147"/>
      <c r="C539" s="144" t="s">
        <v>691</v>
      </c>
      <c r="D539" s="27"/>
      <c r="E539" s="27"/>
      <c r="F539" s="27"/>
      <c r="G539" s="27"/>
      <c r="H539" s="106" t="s">
        <v>766</v>
      </c>
      <c r="I539" s="184"/>
      <c r="J539" s="138"/>
      <c r="K539" s="117"/>
      <c r="L539" s="6"/>
      <c r="M539" s="6"/>
      <c r="N539" s="6"/>
      <c r="O539" s="44"/>
      <c r="P539" s="44"/>
      <c r="Q539" s="44"/>
      <c r="R539" s="53"/>
      <c r="S539" s="44"/>
      <c r="T539" s="44"/>
      <c r="U539" s="44"/>
      <c r="V539" s="53"/>
      <c r="W539" s="31"/>
      <c r="X539" s="9"/>
      <c r="Y539" s="11"/>
      <c r="Z539" s="11"/>
      <c r="AA539" s="63"/>
      <c r="AB539" s="63"/>
      <c r="AC539" s="63"/>
      <c r="AD539" s="36"/>
      <c r="AE539" s="31"/>
      <c r="AF539" s="9"/>
      <c r="AG539" s="6"/>
      <c r="AH539" s="6"/>
      <c r="AI539" s="6"/>
      <c r="AJ539" s="36"/>
      <c r="AK539" s="31"/>
      <c r="AL539" s="9"/>
      <c r="AM539" s="6"/>
      <c r="AN539" s="6"/>
      <c r="AO539" s="6"/>
      <c r="AP539" s="36"/>
    </row>
    <row r="540" spans="1:42">
      <c r="A540" s="30">
        <v>517</v>
      </c>
      <c r="B540" s="147"/>
      <c r="C540" s="144" t="s">
        <v>537</v>
      </c>
      <c r="D540" s="27"/>
      <c r="E540" s="27"/>
      <c r="F540" s="27"/>
      <c r="G540" s="27"/>
      <c r="H540" s="70" t="s">
        <v>529</v>
      </c>
      <c r="I540" s="177" t="s">
        <v>833</v>
      </c>
      <c r="J540" s="138"/>
      <c r="K540" s="117"/>
      <c r="L540" s="6"/>
      <c r="M540" s="6"/>
      <c r="N540" s="6"/>
      <c r="O540" s="44"/>
      <c r="P540" s="44"/>
      <c r="Q540" s="44"/>
      <c r="R540" s="53"/>
      <c r="S540" s="44"/>
      <c r="T540" s="44"/>
      <c r="U540" s="44"/>
      <c r="V540" s="53"/>
      <c r="W540" s="31"/>
      <c r="X540" s="9"/>
      <c r="Y540" s="11"/>
      <c r="Z540" s="11"/>
      <c r="AA540" s="63"/>
      <c r="AB540" s="63"/>
      <c r="AC540" s="63"/>
      <c r="AD540" s="36"/>
      <c r="AE540" s="31"/>
      <c r="AF540" s="9"/>
      <c r="AG540" s="6"/>
      <c r="AH540" s="6"/>
      <c r="AI540" s="6"/>
      <c r="AJ540" s="36"/>
      <c r="AK540" s="31"/>
      <c r="AL540" s="9"/>
      <c r="AM540" s="6"/>
      <c r="AN540" s="6"/>
      <c r="AO540" s="6"/>
      <c r="AP540" s="36"/>
    </row>
    <row r="541" spans="1:42">
      <c r="A541" s="30">
        <v>518</v>
      </c>
      <c r="B541" s="147"/>
      <c r="C541" s="144" t="s">
        <v>1475</v>
      </c>
      <c r="D541" s="27"/>
      <c r="E541" s="27"/>
      <c r="F541" s="27"/>
      <c r="G541" s="27"/>
      <c r="H541" s="70" t="s">
        <v>1486</v>
      </c>
      <c r="I541" s="177" t="s">
        <v>1488</v>
      </c>
      <c r="J541" s="138" t="s">
        <v>1487</v>
      </c>
      <c r="K541" s="117"/>
      <c r="L541" s="6"/>
      <c r="M541" s="6"/>
      <c r="N541" s="6"/>
      <c r="O541" s="44"/>
      <c r="P541" s="44"/>
      <c r="Q541" s="44"/>
      <c r="R541" s="53"/>
      <c r="S541" s="44"/>
      <c r="T541" s="44"/>
      <c r="U541" s="44"/>
      <c r="V541" s="53"/>
      <c r="W541" s="31"/>
      <c r="X541" s="9"/>
      <c r="Y541" s="11"/>
      <c r="Z541" s="11"/>
      <c r="AA541" s="63"/>
      <c r="AB541" s="63"/>
      <c r="AC541" s="63"/>
      <c r="AD541" s="36"/>
      <c r="AE541" s="31"/>
      <c r="AF541" s="9"/>
      <c r="AG541" s="6"/>
      <c r="AH541" s="6"/>
      <c r="AI541" s="6"/>
      <c r="AJ541" s="36"/>
      <c r="AK541" s="31"/>
      <c r="AL541" s="9"/>
      <c r="AM541" s="6"/>
      <c r="AN541" s="6"/>
      <c r="AO541" s="6"/>
      <c r="AP541" s="36"/>
    </row>
    <row r="542" spans="1:42">
      <c r="A542" s="30">
        <v>519</v>
      </c>
      <c r="B542" s="147"/>
      <c r="C542" s="144" t="s">
        <v>1476</v>
      </c>
      <c r="D542" s="27"/>
      <c r="E542" s="27"/>
      <c r="F542" s="27"/>
      <c r="G542" s="27"/>
      <c r="H542" s="70" t="s">
        <v>1524</v>
      </c>
      <c r="I542" s="177"/>
      <c r="J542" s="138" t="s">
        <v>1523</v>
      </c>
      <c r="K542" s="117"/>
      <c r="L542" s="6"/>
      <c r="M542" s="6"/>
      <c r="N542" s="6"/>
      <c r="O542" s="44"/>
      <c r="P542" s="44"/>
      <c r="Q542" s="44"/>
      <c r="R542" s="53"/>
      <c r="S542" s="44"/>
      <c r="T542" s="44"/>
      <c r="U542" s="44"/>
      <c r="V542" s="53"/>
      <c r="W542" s="31"/>
      <c r="X542" s="9"/>
      <c r="Y542" s="11"/>
      <c r="Z542" s="11"/>
      <c r="AA542" s="63"/>
      <c r="AB542" s="63"/>
      <c r="AC542" s="63"/>
      <c r="AD542" s="36"/>
      <c r="AE542" s="31"/>
      <c r="AF542" s="9"/>
      <c r="AG542" s="6"/>
      <c r="AH542" s="6"/>
      <c r="AI542" s="6"/>
      <c r="AJ542" s="36"/>
      <c r="AK542" s="31"/>
      <c r="AL542" s="9"/>
      <c r="AM542" s="6"/>
      <c r="AN542" s="6"/>
      <c r="AO542" s="6"/>
      <c r="AP542" s="36"/>
    </row>
    <row r="543" spans="1:42">
      <c r="A543" s="30">
        <v>520</v>
      </c>
      <c r="B543" s="147"/>
      <c r="C543" s="144" t="s">
        <v>577</v>
      </c>
      <c r="D543" s="27"/>
      <c r="E543" s="27"/>
      <c r="F543" s="27"/>
      <c r="G543" s="27"/>
      <c r="H543" s="70" t="s">
        <v>578</v>
      </c>
      <c r="I543" s="177"/>
      <c r="J543" s="138" t="s">
        <v>647</v>
      </c>
      <c r="K543" s="117"/>
      <c r="L543" s="6"/>
      <c r="M543" s="6"/>
      <c r="N543" s="6"/>
      <c r="O543" s="44"/>
      <c r="P543" s="44"/>
      <c r="Q543" s="44"/>
      <c r="R543" s="53"/>
      <c r="S543" s="44"/>
      <c r="T543" s="44"/>
      <c r="U543" s="44"/>
      <c r="V543" s="53"/>
      <c r="W543" s="31"/>
      <c r="X543" s="9"/>
      <c r="Y543" s="11"/>
      <c r="Z543" s="11"/>
      <c r="AA543" s="63"/>
      <c r="AB543" s="63"/>
      <c r="AC543" s="63"/>
      <c r="AD543" s="36"/>
      <c r="AE543" s="31"/>
      <c r="AF543" s="9"/>
      <c r="AG543" s="6"/>
      <c r="AH543" s="6"/>
      <c r="AI543" s="6"/>
      <c r="AJ543" s="36"/>
      <c r="AK543" s="31"/>
      <c r="AL543" s="9"/>
      <c r="AM543" s="6"/>
      <c r="AN543" s="6"/>
      <c r="AO543" s="6"/>
      <c r="AP543" s="36"/>
    </row>
    <row r="544" spans="1:42">
      <c r="A544" s="30">
        <v>521</v>
      </c>
      <c r="B544" s="147"/>
      <c r="C544" s="144" t="s">
        <v>563</v>
      </c>
      <c r="D544" s="27"/>
      <c r="E544" s="27"/>
      <c r="F544" s="27"/>
      <c r="G544" s="27"/>
      <c r="H544" s="104" t="s">
        <v>767</v>
      </c>
      <c r="I544" s="186"/>
      <c r="J544" s="137" t="s">
        <v>654</v>
      </c>
      <c r="K544" s="117"/>
      <c r="L544" s="6"/>
      <c r="M544" s="6"/>
      <c r="N544" s="6"/>
      <c r="O544" s="44"/>
      <c r="P544" s="44"/>
      <c r="Q544" s="44"/>
      <c r="R544" s="53"/>
      <c r="S544" s="44"/>
      <c r="T544" s="44"/>
      <c r="U544" s="44"/>
      <c r="V544" s="53"/>
      <c r="W544" s="31"/>
      <c r="X544" s="9"/>
      <c r="Y544" s="11"/>
      <c r="Z544" s="11"/>
      <c r="AA544" s="63"/>
      <c r="AB544" s="63"/>
      <c r="AC544" s="63"/>
      <c r="AD544" s="36"/>
      <c r="AE544" s="31"/>
      <c r="AF544" s="9"/>
      <c r="AG544" s="6"/>
      <c r="AH544" s="6"/>
      <c r="AI544" s="6"/>
      <c r="AJ544" s="36"/>
      <c r="AK544" s="31"/>
      <c r="AL544" s="9"/>
      <c r="AM544" s="6"/>
      <c r="AN544" s="6"/>
      <c r="AO544" s="6"/>
      <c r="AP544" s="36"/>
    </row>
    <row r="545" spans="1:41">
      <c r="A545" s="30">
        <v>522</v>
      </c>
      <c r="B545" s="147"/>
      <c r="C545" s="144" t="s">
        <v>617</v>
      </c>
      <c r="D545" s="27"/>
      <c r="E545" s="27"/>
      <c r="F545" s="27"/>
      <c r="G545" s="27"/>
      <c r="H545" s="104" t="s">
        <v>630</v>
      </c>
      <c r="I545" s="186" t="s">
        <v>828</v>
      </c>
      <c r="J545" s="137" t="s">
        <v>631</v>
      </c>
      <c r="K545" s="117"/>
      <c r="L545" s="6"/>
      <c r="M545" s="6"/>
      <c r="N545" s="6"/>
      <c r="O545" s="44"/>
      <c r="P545" s="44"/>
      <c r="Q545" s="44"/>
      <c r="R545" s="53"/>
      <c r="S545" s="44"/>
      <c r="T545" s="109"/>
      <c r="U545" s="109"/>
      <c r="V545" s="110"/>
      <c r="W545" s="111"/>
      <c r="AA545" s="112"/>
      <c r="AB545" s="112"/>
      <c r="AC545" s="112"/>
      <c r="AE545" s="111"/>
      <c r="AG545" s="8"/>
      <c r="AH545" s="8"/>
      <c r="AI545" s="8"/>
      <c r="AK545" s="111"/>
      <c r="AM545" s="8"/>
      <c r="AN545" s="8"/>
      <c r="AO545" s="8"/>
    </row>
    <row r="546" spans="1:41">
      <c r="A546" s="30">
        <v>523</v>
      </c>
      <c r="B546" s="147"/>
      <c r="C546" s="144" t="s">
        <v>1570</v>
      </c>
      <c r="D546" s="27"/>
      <c r="E546" s="27"/>
      <c r="F546" s="27"/>
      <c r="G546" s="27"/>
      <c r="H546" s="104" t="s">
        <v>768</v>
      </c>
      <c r="I546" s="186" t="s">
        <v>1501</v>
      </c>
      <c r="J546" s="137" t="s">
        <v>668</v>
      </c>
      <c r="K546" s="117"/>
      <c r="L546" s="6"/>
      <c r="M546" s="6"/>
      <c r="N546" s="6"/>
      <c r="O546" s="44"/>
      <c r="P546" s="44"/>
      <c r="Q546" s="44"/>
      <c r="R546" s="53"/>
      <c r="S546" s="44"/>
      <c r="T546" s="109"/>
      <c r="U546" s="109"/>
      <c r="V546" s="110"/>
      <c r="W546" s="111"/>
      <c r="AA546" s="112"/>
      <c r="AB546" s="112"/>
      <c r="AC546" s="112"/>
      <c r="AE546" s="111"/>
      <c r="AG546" s="8"/>
      <c r="AH546" s="8"/>
      <c r="AI546" s="8"/>
      <c r="AK546" s="111"/>
      <c r="AM546" s="8"/>
      <c r="AN546" s="8"/>
      <c r="AO546" s="8"/>
    </row>
    <row r="547" spans="1:41">
      <c r="A547" s="30">
        <v>524</v>
      </c>
      <c r="B547" s="147"/>
      <c r="C547" s="144" t="s">
        <v>1580</v>
      </c>
      <c r="D547" s="27"/>
      <c r="E547" s="27"/>
      <c r="F547" s="27"/>
      <c r="G547" s="27"/>
      <c r="H547" s="106" t="s">
        <v>1581</v>
      </c>
      <c r="I547" s="184" t="s">
        <v>1068</v>
      </c>
      <c r="J547" s="137"/>
      <c r="K547" s="117"/>
      <c r="L547" s="6"/>
      <c r="M547" s="6"/>
      <c r="N547" s="6"/>
      <c r="O547" s="44"/>
      <c r="P547" s="44"/>
      <c r="Q547" s="44"/>
      <c r="R547" s="53"/>
      <c r="S547" s="44"/>
      <c r="T547" s="109"/>
      <c r="U547" s="109"/>
      <c r="V547" s="110"/>
      <c r="W547" s="111"/>
      <c r="AA547" s="112"/>
      <c r="AB547" s="112"/>
      <c r="AC547" s="112"/>
      <c r="AE547" s="111"/>
      <c r="AG547" s="8"/>
      <c r="AH547" s="8"/>
      <c r="AI547" s="8"/>
      <c r="AK547" s="111"/>
      <c r="AM547" s="8"/>
      <c r="AN547" s="8"/>
      <c r="AO547" s="8"/>
    </row>
    <row r="548" spans="1:41">
      <c r="A548" s="30">
        <v>525</v>
      </c>
      <c r="B548" s="148"/>
      <c r="C548" s="144" t="s">
        <v>1235</v>
      </c>
      <c r="D548" s="27"/>
      <c r="E548" s="27"/>
      <c r="F548" s="27"/>
      <c r="G548" s="27"/>
      <c r="H548" s="70" t="s">
        <v>1245</v>
      </c>
      <c r="I548" s="186" t="s">
        <v>1236</v>
      </c>
      <c r="J548" s="137" t="s">
        <v>991</v>
      </c>
      <c r="K548" s="117"/>
      <c r="L548" s="6"/>
      <c r="M548" s="6"/>
      <c r="N548" s="6"/>
      <c r="O548" s="44"/>
      <c r="P548" s="44"/>
      <c r="Q548" s="44"/>
      <c r="R548" s="53"/>
      <c r="S548" s="44"/>
      <c r="T548" s="109"/>
      <c r="U548" s="109"/>
      <c r="V548" s="110"/>
      <c r="W548" s="111"/>
      <c r="AA548" s="112"/>
      <c r="AB548" s="112"/>
      <c r="AC548" s="112"/>
      <c r="AE548" s="111"/>
      <c r="AG548" s="8"/>
      <c r="AH548" s="8"/>
      <c r="AI548" s="8"/>
      <c r="AK548" s="111"/>
      <c r="AM548" s="8"/>
      <c r="AN548" s="8"/>
      <c r="AO548" s="8"/>
    </row>
    <row r="549" spans="1:41">
      <c r="A549" s="30">
        <v>526</v>
      </c>
      <c r="B549" s="148" t="s">
        <v>238</v>
      </c>
      <c r="C549" s="144" t="s">
        <v>1637</v>
      </c>
      <c r="D549" s="27"/>
      <c r="E549" s="27"/>
      <c r="F549" s="27"/>
      <c r="G549" s="27"/>
      <c r="H549" s="70" t="s">
        <v>1591</v>
      </c>
      <c r="I549" s="186" t="s">
        <v>1996</v>
      </c>
      <c r="J549" s="137"/>
      <c r="K549" s="117"/>
      <c r="L549" s="6"/>
      <c r="M549" s="6"/>
      <c r="N549" s="6"/>
      <c r="O549" s="44"/>
      <c r="P549" s="44"/>
      <c r="Q549" s="44"/>
      <c r="R549" s="53"/>
      <c r="S549" s="44"/>
      <c r="T549" s="109"/>
      <c r="U549" s="109"/>
      <c r="V549" s="110"/>
      <c r="W549" s="111"/>
      <c r="AA549" s="112"/>
      <c r="AB549" s="112"/>
      <c r="AC549" s="112"/>
      <c r="AE549" s="111"/>
      <c r="AG549" s="8"/>
      <c r="AH549" s="8"/>
      <c r="AI549" s="8"/>
      <c r="AK549" s="111"/>
      <c r="AM549" s="8"/>
      <c r="AN549" s="8"/>
      <c r="AO549" s="8"/>
    </row>
    <row r="550" spans="1:41">
      <c r="A550" s="30">
        <v>527</v>
      </c>
      <c r="B550" s="148"/>
      <c r="C550" s="144" t="s">
        <v>1792</v>
      </c>
      <c r="D550" s="27"/>
      <c r="E550" s="27"/>
      <c r="F550" s="27"/>
      <c r="G550" s="27"/>
      <c r="H550" s="70" t="s">
        <v>1793</v>
      </c>
      <c r="I550" s="186" t="s">
        <v>1794</v>
      </c>
      <c r="J550" s="137"/>
      <c r="K550" s="117"/>
      <c r="L550" s="6"/>
      <c r="M550" s="6"/>
      <c r="N550" s="6"/>
      <c r="O550" s="44"/>
      <c r="P550" s="44"/>
      <c r="Q550" s="44"/>
      <c r="R550" s="53"/>
      <c r="S550" s="44"/>
      <c r="T550" s="109"/>
      <c r="U550" s="109"/>
      <c r="V550" s="110"/>
      <c r="W550" s="111"/>
      <c r="AA550" s="112"/>
      <c r="AB550" s="112"/>
      <c r="AC550" s="112"/>
      <c r="AE550" s="111"/>
      <c r="AG550" s="8"/>
      <c r="AH550" s="8"/>
      <c r="AI550" s="8"/>
      <c r="AK550" s="111"/>
      <c r="AM550" s="8"/>
      <c r="AN550" s="8"/>
      <c r="AO550" s="8"/>
    </row>
    <row r="551" spans="1:41">
      <c r="A551" s="30">
        <v>528</v>
      </c>
      <c r="B551" s="148" t="s">
        <v>238</v>
      </c>
      <c r="C551" s="144" t="s">
        <v>941</v>
      </c>
      <c r="D551" s="27"/>
      <c r="E551" s="27"/>
      <c r="F551" s="27"/>
      <c r="G551" s="27"/>
      <c r="H551" s="70" t="s">
        <v>1233</v>
      </c>
      <c r="I551" s="186" t="s">
        <v>942</v>
      </c>
      <c r="J551" s="137" t="s">
        <v>991</v>
      </c>
      <c r="K551" s="117"/>
      <c r="L551" s="6"/>
      <c r="M551" s="6"/>
      <c r="N551" s="6"/>
      <c r="O551" s="44"/>
      <c r="P551" s="44"/>
      <c r="Q551" s="44"/>
      <c r="R551" s="53"/>
      <c r="S551" s="44"/>
      <c r="T551" s="109"/>
      <c r="U551" s="109"/>
      <c r="V551" s="110"/>
      <c r="W551" s="111"/>
      <c r="AA551" s="112"/>
      <c r="AB551" s="112"/>
      <c r="AC551" s="112"/>
      <c r="AE551" s="111"/>
      <c r="AG551" s="8"/>
      <c r="AH551" s="8"/>
      <c r="AI551" s="8"/>
      <c r="AK551" s="111"/>
      <c r="AM551" s="8"/>
      <c r="AN551" s="8"/>
      <c r="AO551" s="8"/>
    </row>
    <row r="552" spans="1:41">
      <c r="A552" s="30">
        <v>529</v>
      </c>
      <c r="B552" s="148" t="s">
        <v>238</v>
      </c>
      <c r="C552" s="144" t="s">
        <v>1555</v>
      </c>
      <c r="D552" s="27"/>
      <c r="E552" s="27"/>
      <c r="F552" s="27"/>
      <c r="G552" s="27"/>
      <c r="H552" s="70" t="s">
        <v>1556</v>
      </c>
      <c r="I552" s="177" t="s">
        <v>1997</v>
      </c>
      <c r="J552" s="137"/>
      <c r="K552" s="117"/>
      <c r="L552" s="6"/>
      <c r="M552" s="6"/>
      <c r="N552" s="6"/>
      <c r="O552" s="44"/>
      <c r="P552" s="44"/>
      <c r="Q552" s="44"/>
      <c r="R552" s="53"/>
      <c r="S552" s="44"/>
      <c r="T552" s="109"/>
      <c r="U552" s="109"/>
      <c r="V552" s="110"/>
      <c r="W552" s="111"/>
      <c r="AA552" s="112"/>
      <c r="AB552" s="112"/>
      <c r="AC552" s="112"/>
      <c r="AE552" s="111"/>
      <c r="AG552" s="8"/>
      <c r="AH552" s="8"/>
      <c r="AI552" s="8"/>
      <c r="AK552" s="111"/>
      <c r="AM552" s="8"/>
      <c r="AN552" s="8"/>
      <c r="AO552" s="8"/>
    </row>
    <row r="553" spans="1:41">
      <c r="A553" s="30">
        <v>530</v>
      </c>
      <c r="B553" s="148" t="s">
        <v>238</v>
      </c>
      <c r="C553" s="144" t="s">
        <v>699</v>
      </c>
      <c r="D553" s="27"/>
      <c r="E553" s="27"/>
      <c r="F553" s="27"/>
      <c r="G553" s="27"/>
      <c r="H553" s="70" t="s">
        <v>1349</v>
      </c>
      <c r="I553" s="177" t="s">
        <v>1214</v>
      </c>
      <c r="J553" s="137"/>
      <c r="K553" s="117"/>
      <c r="L553" s="6"/>
      <c r="M553" s="6"/>
      <c r="N553" s="6"/>
      <c r="O553" s="44"/>
      <c r="P553" s="44"/>
      <c r="Q553" s="44"/>
      <c r="R553" s="53"/>
      <c r="S553" s="44"/>
      <c r="T553" s="109"/>
      <c r="U553" s="109"/>
      <c r="V553" s="110"/>
      <c r="W553" s="111"/>
      <c r="AA553" s="112"/>
      <c r="AB553" s="112"/>
      <c r="AC553" s="112"/>
      <c r="AE553" s="111"/>
      <c r="AG553" s="8"/>
      <c r="AH553" s="8"/>
      <c r="AI553" s="8"/>
      <c r="AK553" s="111"/>
      <c r="AM553" s="8"/>
      <c r="AN553" s="8"/>
      <c r="AO553" s="8"/>
    </row>
    <row r="554" spans="1:41">
      <c r="A554" s="30">
        <v>531</v>
      </c>
      <c r="B554" s="148" t="s">
        <v>238</v>
      </c>
      <c r="C554" s="144" t="s">
        <v>544</v>
      </c>
      <c r="D554" s="27"/>
      <c r="E554" s="27"/>
      <c r="F554" s="27"/>
      <c r="G554" s="27"/>
      <c r="H554" s="70" t="s">
        <v>769</v>
      </c>
      <c r="I554" s="177" t="s">
        <v>833</v>
      </c>
      <c r="J554" s="137" t="s">
        <v>665</v>
      </c>
      <c r="K554" s="117"/>
      <c r="L554" s="6"/>
      <c r="M554" s="6"/>
      <c r="N554" s="6"/>
      <c r="O554" s="44"/>
      <c r="P554" s="44"/>
      <c r="Q554" s="44"/>
      <c r="R554" s="53"/>
      <c r="S554" s="44"/>
      <c r="T554" s="109"/>
      <c r="U554" s="109"/>
      <c r="V554" s="110"/>
      <c r="W554" s="111"/>
      <c r="AA554" s="112"/>
      <c r="AB554" s="112"/>
      <c r="AC554" s="112"/>
      <c r="AE554" s="111"/>
      <c r="AG554" s="8"/>
      <c r="AH554" s="8"/>
      <c r="AI554" s="8"/>
      <c r="AK554" s="111"/>
      <c r="AM554" s="8"/>
      <c r="AN554" s="8"/>
      <c r="AO554" s="8"/>
    </row>
    <row r="555" spans="1:41">
      <c r="A555" s="30">
        <v>532</v>
      </c>
      <c r="B555" s="148"/>
      <c r="C555" s="144" t="s">
        <v>1797</v>
      </c>
      <c r="D555" s="27"/>
      <c r="E555" s="27"/>
      <c r="F555" s="27"/>
      <c r="G555" s="27"/>
      <c r="H555" s="70" t="s">
        <v>769</v>
      </c>
      <c r="I555" s="177" t="s">
        <v>833</v>
      </c>
      <c r="J555" s="137"/>
      <c r="K555" s="117"/>
      <c r="L555" s="6"/>
      <c r="M555" s="6"/>
      <c r="N555" s="6"/>
      <c r="O555" s="44"/>
      <c r="P555" s="44"/>
      <c r="Q555" s="44"/>
      <c r="R555" s="53"/>
      <c r="S555" s="44"/>
      <c r="T555" s="109"/>
      <c r="U555" s="109"/>
      <c r="V555" s="110"/>
      <c r="W555" s="111"/>
      <c r="AA555" s="112"/>
      <c r="AB555" s="112"/>
      <c r="AC555" s="112"/>
      <c r="AE555" s="111"/>
      <c r="AG555" s="8"/>
      <c r="AH555" s="8"/>
      <c r="AI555" s="8"/>
      <c r="AK555" s="111"/>
      <c r="AM555" s="8"/>
      <c r="AN555" s="8"/>
      <c r="AO555" s="8"/>
    </row>
    <row r="556" spans="1:41">
      <c r="A556" s="30">
        <v>533</v>
      </c>
      <c r="B556" s="148"/>
      <c r="C556" s="144" t="s">
        <v>1796</v>
      </c>
      <c r="D556" s="27"/>
      <c r="E556" s="27"/>
      <c r="F556" s="27"/>
      <c r="G556" s="27"/>
      <c r="H556" s="70" t="s">
        <v>1795</v>
      </c>
      <c r="I556" s="177" t="s">
        <v>833</v>
      </c>
      <c r="J556" s="137" t="s">
        <v>665</v>
      </c>
      <c r="K556" s="117"/>
      <c r="L556" s="6"/>
      <c r="M556" s="6"/>
      <c r="N556" s="6"/>
      <c r="O556" s="44"/>
      <c r="P556" s="44"/>
      <c r="Q556" s="44"/>
      <c r="R556" s="53"/>
      <c r="S556" s="44"/>
      <c r="T556" s="55"/>
      <c r="U556" s="55"/>
    </row>
    <row r="557" spans="1:41">
      <c r="A557" s="30">
        <v>534</v>
      </c>
      <c r="B557" s="148"/>
      <c r="C557" s="144" t="s">
        <v>1521</v>
      </c>
      <c r="D557" s="27"/>
      <c r="E557" s="27"/>
      <c r="F557" s="27"/>
      <c r="G557" s="27"/>
      <c r="H557" s="139" t="s">
        <v>1526</v>
      </c>
      <c r="I557" s="177"/>
      <c r="J557" s="137"/>
      <c r="K557" s="117"/>
      <c r="L557" s="6"/>
      <c r="M557" s="6"/>
      <c r="N557" s="6"/>
      <c r="O557" s="44"/>
      <c r="P557" s="44"/>
      <c r="Q557" s="44"/>
      <c r="R557" s="53"/>
      <c r="S557" s="44"/>
      <c r="T557" s="55"/>
      <c r="U557" s="55"/>
    </row>
    <row r="558" spans="1:41">
      <c r="A558" s="30">
        <v>535</v>
      </c>
      <c r="B558" s="148" t="s">
        <v>238</v>
      </c>
      <c r="C558" s="144" t="s">
        <v>1152</v>
      </c>
      <c r="D558" s="27"/>
      <c r="E558" s="27"/>
      <c r="F558" s="27"/>
      <c r="G558" s="27"/>
      <c r="H558" s="139" t="s">
        <v>1153</v>
      </c>
      <c r="I558" s="192"/>
      <c r="J558" s="137"/>
      <c r="K558" s="117"/>
      <c r="L558" s="6"/>
      <c r="M558" s="6"/>
      <c r="N558" s="6"/>
      <c r="O558" s="44"/>
      <c r="P558" s="44"/>
      <c r="Q558" s="44"/>
      <c r="R558" s="53"/>
      <c r="S558" s="44"/>
    </row>
    <row r="559" spans="1:41">
      <c r="A559" s="30">
        <v>536</v>
      </c>
      <c r="B559" s="148" t="s">
        <v>238</v>
      </c>
      <c r="C559" s="144" t="s">
        <v>1154</v>
      </c>
      <c r="D559" s="27"/>
      <c r="E559" s="27"/>
      <c r="F559" s="27"/>
      <c r="G559" s="27"/>
      <c r="H559" s="139" t="s">
        <v>1155</v>
      </c>
      <c r="I559" s="192"/>
      <c r="J559" s="137"/>
      <c r="K559" s="117"/>
      <c r="L559" s="6"/>
      <c r="M559" s="6"/>
      <c r="N559" s="6"/>
      <c r="O559" s="44"/>
      <c r="P559" s="44"/>
      <c r="Q559" s="44"/>
      <c r="R559" s="53"/>
      <c r="S559" s="44"/>
    </row>
    <row r="560" spans="1:41">
      <c r="A560" s="30">
        <v>537</v>
      </c>
      <c r="B560" s="148" t="s">
        <v>238</v>
      </c>
      <c r="C560" s="144" t="s">
        <v>235</v>
      </c>
      <c r="D560" s="27"/>
      <c r="E560" s="27"/>
      <c r="F560" s="27"/>
      <c r="G560" s="27"/>
      <c r="H560" s="139" t="s">
        <v>720</v>
      </c>
      <c r="I560" s="192"/>
      <c r="J560" s="137"/>
      <c r="K560" s="117"/>
      <c r="L560" s="6"/>
      <c r="M560" s="6"/>
      <c r="N560" s="6"/>
      <c r="O560" s="44"/>
      <c r="P560" s="44"/>
      <c r="Q560" s="44"/>
      <c r="R560" s="53"/>
      <c r="S560" s="44"/>
    </row>
    <row r="561" spans="1:19">
      <c r="A561" s="30">
        <v>538</v>
      </c>
      <c r="B561" s="148" t="s">
        <v>238</v>
      </c>
      <c r="C561" s="144" t="s">
        <v>1156</v>
      </c>
      <c r="D561" s="27"/>
      <c r="E561" s="27"/>
      <c r="F561" s="27"/>
      <c r="G561" s="27"/>
      <c r="H561" s="139" t="s">
        <v>1157</v>
      </c>
      <c r="I561" s="192"/>
      <c r="J561" s="137"/>
      <c r="K561" s="117"/>
      <c r="L561" s="6"/>
      <c r="M561" s="6"/>
      <c r="N561" s="6"/>
      <c r="O561" s="44"/>
      <c r="P561" s="44"/>
      <c r="Q561" s="44"/>
      <c r="R561" s="53"/>
      <c r="S561" s="44"/>
    </row>
    <row r="562" spans="1:19">
      <c r="C562" s="166"/>
    </row>
    <row r="563" spans="1:19">
      <c r="C563" s="166"/>
    </row>
    <row r="564" spans="1:19">
      <c r="C564" s="166"/>
    </row>
    <row r="565" spans="1:19">
      <c r="C565" s="166"/>
    </row>
    <row r="566" spans="1:19">
      <c r="C566" s="166"/>
    </row>
    <row r="567" spans="1:19">
      <c r="C567" s="166"/>
    </row>
    <row r="568" spans="1:19">
      <c r="C568" s="166"/>
    </row>
    <row r="569" spans="1:19">
      <c r="C569" s="166"/>
    </row>
    <row r="570" spans="1:19">
      <c r="C570" s="166"/>
    </row>
    <row r="571" spans="1:19">
      <c r="C571" s="166"/>
    </row>
    <row r="572" spans="1:19">
      <c r="C572" s="166"/>
    </row>
    <row r="573" spans="1:19">
      <c r="C573" s="166"/>
    </row>
    <row r="574" spans="1:19">
      <c r="C574" s="166"/>
    </row>
    <row r="575" spans="1:19">
      <c r="C575" s="166"/>
    </row>
    <row r="576" spans="1:19">
      <c r="C576" s="166"/>
    </row>
    <row r="577" spans="3:3">
      <c r="C577" s="166"/>
    </row>
    <row r="578" spans="3:3">
      <c r="C578" s="166"/>
    </row>
    <row r="579" spans="3:3">
      <c r="C579" s="166"/>
    </row>
    <row r="580" spans="3:3">
      <c r="C580" s="166"/>
    </row>
    <row r="581" spans="3:3">
      <c r="C581" s="166"/>
    </row>
    <row r="582" spans="3:3">
      <c r="C582" s="166"/>
    </row>
    <row r="583" spans="3:3">
      <c r="C583" s="166"/>
    </row>
  </sheetData>
  <sortState xmlns:xlrd2="http://schemas.microsoft.com/office/spreadsheetml/2017/richdata2" ref="A321:L391">
    <sortCondition ref="C321:C391"/>
  </sortState>
  <phoneticPr fontId="12" type="noConversion"/>
  <conditionalFormatting sqref="C82">
    <cfRule type="duplicateValues" dxfId="81" priority="16"/>
  </conditionalFormatting>
  <conditionalFormatting sqref="C99 C86">
    <cfRule type="duplicateValues" dxfId="80" priority="312"/>
  </conditionalFormatting>
  <conditionalFormatting sqref="C105">
    <cfRule type="duplicateValues" dxfId="79" priority="14"/>
  </conditionalFormatting>
  <conditionalFormatting sqref="C183">
    <cfRule type="duplicateValues" dxfId="78" priority="9"/>
    <cfRule type="duplicateValues" dxfId="77" priority="10"/>
  </conditionalFormatting>
  <conditionalFormatting sqref="C194">
    <cfRule type="duplicateValues" dxfId="76" priority="2"/>
  </conditionalFormatting>
  <conditionalFormatting sqref="C197:C199 C176:C178 C156 C129">
    <cfRule type="duplicateValues" dxfId="75" priority="364"/>
  </conditionalFormatting>
  <conditionalFormatting sqref="C211">
    <cfRule type="duplicateValues" dxfId="74" priority="18"/>
  </conditionalFormatting>
  <conditionalFormatting sqref="C212">
    <cfRule type="duplicateValues" dxfId="73" priority="17"/>
  </conditionalFormatting>
  <conditionalFormatting sqref="C218">
    <cfRule type="duplicateValues" dxfId="72" priority="11"/>
  </conditionalFormatting>
  <conditionalFormatting sqref="C219 C174">
    <cfRule type="duplicateValues" dxfId="71" priority="32"/>
  </conditionalFormatting>
  <conditionalFormatting sqref="C223">
    <cfRule type="duplicateValues" dxfId="70" priority="20"/>
  </conditionalFormatting>
  <conditionalFormatting sqref="C227 C171:C172 C131:C132 C203">
    <cfRule type="duplicateValues" dxfId="69" priority="347"/>
  </conditionalFormatting>
  <conditionalFormatting sqref="C255">
    <cfRule type="duplicateValues" dxfId="68" priority="42"/>
  </conditionalFormatting>
  <conditionalFormatting sqref="C267">
    <cfRule type="duplicateValues" dxfId="67" priority="15"/>
  </conditionalFormatting>
  <conditionalFormatting sqref="C271 C36 C101 C31">
    <cfRule type="duplicateValues" dxfId="66" priority="259"/>
  </conditionalFormatting>
  <conditionalFormatting sqref="C282:C283">
    <cfRule type="duplicateValues" dxfId="65" priority="251"/>
  </conditionalFormatting>
  <conditionalFormatting sqref="C287">
    <cfRule type="duplicateValues" dxfId="64" priority="436"/>
  </conditionalFormatting>
  <conditionalFormatting sqref="C291">
    <cfRule type="duplicateValues" dxfId="63" priority="4"/>
  </conditionalFormatting>
  <conditionalFormatting sqref="C300">
    <cfRule type="duplicateValues" dxfId="62" priority="36"/>
  </conditionalFormatting>
  <conditionalFormatting sqref="C303">
    <cfRule type="duplicateValues" dxfId="61" priority="6"/>
  </conditionalFormatting>
  <conditionalFormatting sqref="C315">
    <cfRule type="duplicateValues" dxfId="60" priority="1"/>
  </conditionalFormatting>
  <conditionalFormatting sqref="C349:C351 C330">
    <cfRule type="duplicateValues" dxfId="59" priority="44"/>
  </conditionalFormatting>
  <conditionalFormatting sqref="C355">
    <cfRule type="duplicateValues" dxfId="58" priority="5"/>
  </conditionalFormatting>
  <conditionalFormatting sqref="C369">
    <cfRule type="duplicateValues" dxfId="57" priority="19"/>
  </conditionalFormatting>
  <conditionalFormatting sqref="C373">
    <cfRule type="duplicateValues" dxfId="56" priority="33"/>
  </conditionalFormatting>
  <conditionalFormatting sqref="C381">
    <cfRule type="duplicateValues" dxfId="55" priority="34"/>
  </conditionalFormatting>
  <conditionalFormatting sqref="C397">
    <cfRule type="duplicateValues" dxfId="54" priority="35"/>
  </conditionalFormatting>
  <conditionalFormatting sqref="C412 C415">
    <cfRule type="duplicateValues" dxfId="53" priority="13"/>
  </conditionalFormatting>
  <conditionalFormatting sqref="C417">
    <cfRule type="duplicateValues" dxfId="52" priority="21"/>
  </conditionalFormatting>
  <conditionalFormatting sqref="C426:C427">
    <cfRule type="duplicateValues" dxfId="51" priority="434"/>
  </conditionalFormatting>
  <conditionalFormatting sqref="C433">
    <cfRule type="duplicateValues" dxfId="50" priority="3"/>
  </conditionalFormatting>
  <conditionalFormatting sqref="C463:C464 C234 C314 C455 C466:C467">
    <cfRule type="duplicateValues" dxfId="49" priority="433"/>
  </conditionalFormatting>
  <conditionalFormatting sqref="C465">
    <cfRule type="duplicateValues" dxfId="48" priority="12"/>
  </conditionalFormatting>
  <conditionalFormatting sqref="C471">
    <cfRule type="duplicateValues" dxfId="47" priority="7"/>
  </conditionalFormatting>
  <conditionalFormatting sqref="C479">
    <cfRule type="duplicateValues" dxfId="46" priority="8"/>
  </conditionalFormatting>
  <conditionalFormatting sqref="C483:C485">
    <cfRule type="duplicateValues" dxfId="45" priority="30"/>
  </conditionalFormatting>
  <conditionalFormatting sqref="C486:C495 C374:C396 C352:C354 C204:C206 C200:C202 C169:C170 C208 C173 C220:C222 C453:C454 C254:C258 C228:C233 C262:C266 C272:C281 C316:C329 C331:C336 C250:C252 C497:C515 C413:C414 C301:C302 C2 C4:C25 C79:C81 C102:C104 C76:C77 C100 C175 C122:C124 C126:C128 C133 C130 C83:C98 C27:C30 C32:C35 C338:C348 C213:C217 C135:C155 C235:C248 C157:C165 C119 C167 C179:C182 C519:C520 C517 C284:C286 C288:C290 C522:C524 C428:C432 C398:C411 C554:C557 C529:C550 C224:C226 C370:C372 C210 C418:C425 C268:C270 C416 C184:C193 C106:C117 C480:C482 C472:C478 C468:C470 C304:C313 C292:C299 C356:C368 C434:C451 C37:C74 C195:C196">
    <cfRule type="duplicateValues" dxfId="44" priority="476"/>
  </conditionalFormatting>
  <conditionalFormatting sqref="C518">
    <cfRule type="duplicateValues" dxfId="43" priority="23"/>
  </conditionalFormatting>
  <conditionalFormatting sqref="C521">
    <cfRule type="duplicateValues" dxfId="42" priority="25"/>
  </conditionalFormatting>
  <conditionalFormatting sqref="C525:C528">
    <cfRule type="duplicateValues" dxfId="41" priority="22"/>
  </conditionalFormatting>
  <conditionalFormatting sqref="C549:C553">
    <cfRule type="duplicateValues" dxfId="40" priority="432"/>
  </conditionalFormatting>
  <conditionalFormatting sqref="C558:C561">
    <cfRule type="duplicateValues" dxfId="39" priority="250"/>
  </conditionalFormatting>
  <conditionalFormatting sqref="C562:C1048576">
    <cfRule type="duplicateValues" dxfId="38" priority="247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W27"/>
  <sheetViews>
    <sheetView zoomScale="80" zoomScaleNormal="80" zoomScaleSheetLayoutView="75" workbookViewId="0">
      <selection activeCell="L5" sqref="L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2043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1152</v>
      </c>
      <c r="E3" s="253">
        <v>140</v>
      </c>
      <c r="F3" s="253"/>
      <c r="G3" s="254" t="str">
        <f>IFERROR(INDEX(온라인_반찬!$C$2:$H$612,MATCH($D3,온라인_반찬!$C$2:$C$612,0),6),"")</f>
        <v>쌀(국산)90%, 찰흑미(국산.친환경)5%, 정제수</v>
      </c>
      <c r="H3" s="255">
        <f>IFERROR(INDEX(온라인_반찬!$D$2:$J$605,MATCH($D3,온라인_반찬!$C$2:$C$605,0),6),"")</f>
        <v>0</v>
      </c>
      <c r="I3" s="256" t="s">
        <v>2041</v>
      </c>
      <c r="J3" s="257">
        <v>1440</v>
      </c>
      <c r="K3" s="255">
        <v>231090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521</v>
      </c>
      <c r="E4" s="115">
        <v>150</v>
      </c>
      <c r="F4" s="116"/>
      <c r="G4" s="106" t="str">
        <f>IFERROR(INDEX(온라인_반찬!$C$2:$H$612,MATCH($D4,온라인_반찬!$C$2:$C$612,0),6),"")</f>
        <v>계란(국산)10%, 황태채(러시아산)5%, 양파, 파, 마늘, 정제수, 참기름, 국간장, 소금</v>
      </c>
      <c r="H4" s="94" t="str">
        <f>IFERROR(INDEX(온라인_반찬!$D$2:$J$605,MATCH($D4,온라인_반찬!$C$2:$C$605,0),6),"")</f>
        <v>.1.5.21.</v>
      </c>
      <c r="I4" s="102" t="s">
        <v>2041</v>
      </c>
      <c r="J4" s="95">
        <v>1440</v>
      </c>
      <c r="K4" s="94">
        <v>238020</v>
      </c>
      <c r="L4" s="121">
        <f>IFERROR(INDEX(온라인_반찬!$C$2:$J$605,MATCH($D4,온라인_반찬!$C$2:$C$605,0),8),"")</f>
        <v>0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1300</v>
      </c>
      <c r="E5" s="115">
        <v>60</v>
      </c>
      <c r="F5" s="116"/>
      <c r="G5" s="106" t="str">
        <f>IFERROR(INDEX(온라인_반찬!$C$2:$H$612,MATCH($D5,온라인_반찬!$C$2:$C$612,0),6),"")</f>
        <v>돼지고기(국산)80%, 양배추(국산)5%, 정제수,, 당근, 대파, 마늘, 쌈장, 간장, 맛술, 참기름, 후추</v>
      </c>
      <c r="H5" s="94" t="str">
        <f>IFERROR(INDEX(온라인_반찬!$D$2:$J$605,MATCH($D5,온라인_반찬!$C$2:$C$605,0),6),"")</f>
        <v>.5.10.21.</v>
      </c>
      <c r="I5" s="102" t="s">
        <v>2041</v>
      </c>
      <c r="J5" s="95">
        <v>1440</v>
      </c>
      <c r="K5" s="94">
        <v>103500</v>
      </c>
      <c r="L5" s="121">
        <f>IFERROR(INDEX(온라인_반찬!$C$2:$J$538,MATCH($D5,온라인_반찬!$C$2:$C$538,0),8),"")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1277</v>
      </c>
      <c r="E6" s="115">
        <v>12</v>
      </c>
      <c r="F6" s="116"/>
      <c r="G6" s="106" t="str">
        <f>IFERROR(INDEX(온라인_반찬!$C$2:$H$612,MATCH($D6,온라인_반찬!$C$2:$C$612,0),6),"")</f>
        <v>멸치(국산)79.9%, 대두유, 간장, 맛술, 물엿, 참기름, 참깨</v>
      </c>
      <c r="H6" s="94" t="str">
        <f>IFERROR(INDEX(온라인_반찬!$D$2:$J$605,MATCH($D6,온라인_반찬!$C$2:$C$605,0),6),"")</f>
        <v>.5.21.</v>
      </c>
      <c r="I6" s="102" t="s">
        <v>2041</v>
      </c>
      <c r="J6" s="95">
        <v>1440</v>
      </c>
      <c r="K6" s="94">
        <v>21130</v>
      </c>
      <c r="L6" s="121">
        <f>IFERROR(INDEX(온라인_반찬!$C$2:$J$605,MATCH($D6,온라인_반찬!$C$2:$C$605,0),8),"")</f>
        <v>0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2154</v>
      </c>
      <c r="E7" s="115">
        <v>25</v>
      </c>
      <c r="F7" s="116"/>
      <c r="G7" s="106" t="str">
        <f>IFERROR(INDEX(온라인_반찬!$C$2:$H$612,MATCH($D7,온라인_반찬!$C$2:$C$612,0),6),"")</f>
        <v>고사리(중국산)88.6%, 마늘, 대파, 대두유, 국간장, 소금, 참기름, 참깨</v>
      </c>
      <c r="H7" s="94" t="str">
        <f>IFERROR(INDEX(온라인_반찬!$D$2:$J$605,MATCH($D7,온라인_반찬!$C$2:$C$605,0),6),"")</f>
        <v>.5.21.</v>
      </c>
      <c r="I7" s="102" t="s">
        <v>2041</v>
      </c>
      <c r="J7" s="95">
        <v>1440</v>
      </c>
      <c r="K7" s="94">
        <v>46437.5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950</v>
      </c>
      <c r="E8" s="115">
        <v>25</v>
      </c>
      <c r="F8" s="115"/>
      <c r="G8" s="106" t="str">
        <f>IFERROR(INDEX(온라인_반찬!$C$2:$H$612,MATCH($D8,온라인_반찬!$C$2:$C$612,0),6),"")</f>
        <v>배추(국내산)70&amp;, 무(국내산)10%, 마늘, 생강, 양파, 설탕, 정제수, 소금</v>
      </c>
      <c r="H8" s="94">
        <f>IFERROR(INDEX(온라인_반찬!$D$2:$J$605,MATCH($D8,온라인_반찬!$C$2:$C$605,0),6),"")</f>
        <v>0</v>
      </c>
      <c r="I8" s="102" t="s">
        <v>2041</v>
      </c>
      <c r="J8" s="95">
        <v>1440</v>
      </c>
      <c r="K8" s="94">
        <v>41787.5</v>
      </c>
      <c r="L8" s="121" t="str">
        <f>IFERROR(INDEX(온라인_반찬!$C$2:$J$605,MATCH($D8,온라인_반찬!$C$2:$C$605,0),8),"")</f>
        <v>백김치(정우식품)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2155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1152</v>
      </c>
      <c r="E10" s="216">
        <v>150</v>
      </c>
      <c r="F10" s="216"/>
      <c r="G10" s="217" t="str">
        <f>IFERROR(INDEX(온라인_반찬!$C$2:$H$612,MATCH($D10,온라인_반찬!$C$2:$C$612,0),6),"")</f>
        <v>쌀(국산)90%, 찰흑미(국산.친환경)5%, 정제수</v>
      </c>
      <c r="H10" s="218">
        <f>IFERROR(INDEX(온라인_반찬!$D$2:$J$605,MATCH($D10,온라인_반찬!$C$2:$C$605,0),6),"")</f>
        <v>0</v>
      </c>
      <c r="I10" s="219" t="s">
        <v>2042</v>
      </c>
      <c r="J10" s="257">
        <v>66</v>
      </c>
      <c r="K10" s="255">
        <v>10350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521</v>
      </c>
      <c r="E11" s="115">
        <v>160</v>
      </c>
      <c r="F11" s="116"/>
      <c r="G11" s="106" t="str">
        <f>IFERROR(INDEX(온라인_반찬!$C$2:$H$612,MATCH($D11,온라인_반찬!$C$2:$C$612,0),6),"")</f>
        <v>계란(국산)10%, 황태채(러시아산)5%, 양파, 파, 마늘, 정제수, 참기름, 국간장, 소금</v>
      </c>
      <c r="H11" s="94" t="str">
        <f>IFERROR(INDEX(온라인_반찬!$D$2:$J$605,MATCH($D11,온라인_반찬!$C$2:$C$605,0),6),"")</f>
        <v>.1.5.21.</v>
      </c>
      <c r="I11" s="102" t="s">
        <v>2042</v>
      </c>
      <c r="J11" s="95">
        <v>66</v>
      </c>
      <c r="K11" s="94">
        <v>10610</v>
      </c>
      <c r="L11" s="121">
        <f>IFERROR(INDEX(온라인_반찬!$C$2:$J$605,MATCH($D11,온라인_반찬!$C$2:$C$605,0),8),"")</f>
        <v>0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279" t="s">
        <v>1904</v>
      </c>
      <c r="E12" s="280">
        <v>80</v>
      </c>
      <c r="F12" s="281"/>
      <c r="G12" s="282" t="str">
        <f>IFERROR(INDEX(온라인_반찬!$C$2:$H$612,MATCH($D12,온라인_반찬!$C$2:$C$612,0),6),"")</f>
        <v>돼지고기(국산)65%, 배추김치(국내산)25%, 양파, 대파, 마늘, 고춧가루(국내산), 설탕, 소금, 참기름, 참깨</v>
      </c>
      <c r="H12" s="283" t="str">
        <f>IFERROR(INDEX(온라인_반찬!$D$2:$J$605,MATCH($D12,온라인_반찬!$C$2:$C$605,0),6),"")</f>
        <v>.5.6.9.10.21.</v>
      </c>
      <c r="I12" s="102" t="s">
        <v>2042</v>
      </c>
      <c r="J12" s="95">
        <v>66</v>
      </c>
      <c r="K12" s="94">
        <v>5800</v>
      </c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1277</v>
      </c>
      <c r="E13" s="115">
        <v>15</v>
      </c>
      <c r="F13" s="116"/>
      <c r="G13" s="106" t="str">
        <f>IFERROR(INDEX(온라인_반찬!$C$2:$H$612,MATCH($D13,온라인_반찬!$C$2:$C$612,0),6),"")</f>
        <v>멸치(국산)79.9%, 대두유, 간장, 맛술, 물엿, 참기름, 참깨</v>
      </c>
      <c r="H13" s="94" t="str">
        <f>IFERROR(INDEX(온라인_반찬!$D$2:$J$605,MATCH($D13,온라인_반찬!$C$2:$C$605,0),6),"")</f>
        <v>.5.21.</v>
      </c>
      <c r="I13" s="102" t="s">
        <v>2042</v>
      </c>
      <c r="J13" s="95">
        <v>66</v>
      </c>
      <c r="K13" s="94">
        <v>990</v>
      </c>
      <c r="L13" s="121">
        <f>IFERROR(INDEX(온라인_반찬!$C$2:$J$605,MATCH($D13,온라인_반찬!$C$2:$C$605,0),8),"")</f>
        <v>0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2154</v>
      </c>
      <c r="E14" s="115">
        <v>35</v>
      </c>
      <c r="F14" s="116"/>
      <c r="G14" s="106" t="str">
        <f>IFERROR(INDEX(온라인_반찬!$C$2:$H$612,MATCH($D14,온라인_반찬!$C$2:$C$612,0),6),"")</f>
        <v>고사리(중국산)88.6%, 마늘, 대파, 대두유, 국간장, 소금, 참기름, 참깨</v>
      </c>
      <c r="H14" s="94" t="str">
        <f>IFERROR(INDEX(온라인_반찬!$D$2:$J$605,MATCH($D14,온라인_반찬!$C$2:$C$605,0),6),"")</f>
        <v>.5.21.</v>
      </c>
      <c r="I14" s="102" t="s">
        <v>2042</v>
      </c>
      <c r="J14" s="95">
        <v>66</v>
      </c>
      <c r="K14" s="94">
        <v>2310</v>
      </c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950</v>
      </c>
      <c r="E15" s="115">
        <v>35</v>
      </c>
      <c r="F15" s="115"/>
      <c r="G15" s="106" t="str">
        <f>IFERROR(INDEX(온라인_반찬!$C$2:$H$612,MATCH($D15,온라인_반찬!$C$2:$C$612,0),6),"")</f>
        <v>배추(국내산)70&amp;, 무(국내산)10%, 마늘, 생강, 양파, 설탕, 정제수, 소금</v>
      </c>
      <c r="H15" s="94">
        <f>IFERROR(INDEX(온라인_반찬!$D$2:$J$605,MATCH($D15,온라인_반찬!$C$2:$C$605,0),6),"")</f>
        <v>0</v>
      </c>
      <c r="I15" s="102" t="s">
        <v>2042</v>
      </c>
      <c r="J15" s="95">
        <v>66</v>
      </c>
      <c r="K15" s="94">
        <v>2310</v>
      </c>
      <c r="L15" s="121" t="str">
        <f>IFERROR(INDEX(온라인_반찬!$C$2:$J$605,MATCH($D15,온라인_반찬!$C$2:$C$605,0),8),"")</f>
        <v>백김치(정우식품)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682</v>
      </c>
      <c r="E16" s="115"/>
      <c r="F16" s="115">
        <v>3</v>
      </c>
      <c r="G16" s="106" t="str">
        <f>IFERROR(INDEX(온라인_반찬!$C$2:$H$612,MATCH($D16,온라인_반찬!$C$2:$C$612,0),6),"")</f>
        <v>새우튀김[밀가루, 새우, 정제수, 타피오카전분, 옥수수가루, 옥수수전분, 설탕, 소금]베트남산</v>
      </c>
      <c r="H16" s="94" t="str">
        <f>IFERROR(INDEX(온라인_반찬!$D$2:$J$605,MATCH($D16,온라인_반찬!$C$2:$C$605,0),6),"")</f>
        <v>.5.6.9.</v>
      </c>
      <c r="I16" s="102" t="s">
        <v>2042</v>
      </c>
      <c r="J16" s="95">
        <v>28</v>
      </c>
      <c r="K16" s="94">
        <v>90</v>
      </c>
      <c r="L16" s="157" t="str">
        <f>IFERROR(INDEX(온라인_반찬!$C$2:$J$605,MATCH($D16,온라인_반찬!$C$2:$C$605,0),8),"")</f>
        <v>왕새우튀김(사세통상)/수산물 가공품</v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2041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2041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2041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2041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2041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2041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FE40-FAD6-4EE0-9508-0E86C80BD83E}">
  <sheetPr>
    <pageSetUpPr fitToPage="1"/>
  </sheetPr>
  <dimension ref="B1:W27"/>
  <sheetViews>
    <sheetView zoomScale="80" zoomScaleNormal="80" zoomScaleSheetLayoutView="75" workbookViewId="0">
      <selection activeCell="I15" sqref="I1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2158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2159</v>
      </c>
      <c r="E3" s="253">
        <v>140</v>
      </c>
      <c r="F3" s="253"/>
      <c r="G3" s="254" t="str">
        <f>IFERROR(INDEX(온라인_반찬!$C$2:$H$612,MATCH($D3,온라인_반찬!$C$2:$C$612,0),6),"")</f>
        <v>쌀(국산)95%, 정제수</v>
      </c>
      <c r="H3" s="255">
        <f>IFERROR(INDEX(온라인_반찬!$D$2:$J$605,MATCH($D3,온라인_반찬!$C$2:$C$605,0),6),"")</f>
        <v>0</v>
      </c>
      <c r="I3" s="256" t="s">
        <v>2156</v>
      </c>
      <c r="J3" s="257">
        <v>1419</v>
      </c>
      <c r="K3" s="255">
        <v>228000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1424</v>
      </c>
      <c r="E4" s="115">
        <v>150</v>
      </c>
      <c r="F4" s="116"/>
      <c r="G4" s="106" t="str">
        <f>IFERROR(INDEX(온라인_반찬!$C$2:$H$612,MATCH($D4,온라인_반찬!$C$2:$C$612,0),6),"")</f>
        <v>시래기(무청시래기:국산)25%, 양파, 대파, 마늘, 정제수, 된장, 멸치육수농축액, 소금</v>
      </c>
      <c r="H4" s="94" t="str">
        <f>IFERROR(INDEX(온라인_반찬!$D$2:$J$605,MATCH($D4,온라인_반찬!$C$2:$C$605,0),6),"")</f>
        <v>.5.</v>
      </c>
      <c r="I4" s="102" t="s">
        <v>2156</v>
      </c>
      <c r="J4" s="95">
        <v>1419</v>
      </c>
      <c r="K4" s="94">
        <v>234750</v>
      </c>
      <c r="L4" s="121" t="str">
        <f>IFERROR(INDEX(온라인_반찬!$C$2:$J$605,MATCH($D4,온라인_반찬!$C$2:$C$605,0),8),"")</f>
        <v>35g / 40g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1646</v>
      </c>
      <c r="E5" s="115">
        <v>70</v>
      </c>
      <c r="F5" s="116"/>
      <c r="G5" s="106" t="str">
        <f>IFERROR(INDEX(온라인_반찬!$C$2:$H$612,MATCH($D5,온라인_반찬!$C$2:$C$612,0),6),"")</f>
        <v>닭정육(닭가슴살.닭다리살:국산)75%, 양배추, 양파, 당근, 부추, 대두유, 맛술, 후추, 춘장, 소금, 설탕, 파, 마늘, 참기름, 참깨</v>
      </c>
      <c r="H5" s="94" t="str">
        <f>IFERROR(INDEX(온라인_반찬!$D$2:$J$605,MATCH($D5,온라인_반찬!$C$2:$C$605,0),6),"")</f>
        <v>.5.15.21.</v>
      </c>
      <c r="I5" s="102" t="s">
        <v>2156</v>
      </c>
      <c r="J5" s="95">
        <v>1419</v>
      </c>
      <c r="K5" s="94">
        <v>126845</v>
      </c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1530</v>
      </c>
      <c r="E6" s="115"/>
      <c r="F6" s="116">
        <v>1</v>
      </c>
      <c r="G6" s="106" t="str">
        <f>IFERROR(INDEX(온라인_반찬!$C$2:$H$612,MATCH($D6,온라인_반찬!$C$2:$C$612,0),6),"")</f>
        <v>[불린동부(동부콩:미얀마,미국,중국)38.2%, 숙주(녹두:중국산), 불린녹두(녹두:미얀마,호주,중국),배추김치, 마늘, 파, 새우젓, 정제수, 정제소금, 대두유]</v>
      </c>
      <c r="H6" s="94" t="str">
        <f>IFERROR(INDEX(온라인_반찬!$D$2:$J$605,MATCH($D6,온라인_반찬!$C$2:$C$605,0),6),"")</f>
        <v>.2.5.6.8.9.17.18.</v>
      </c>
      <c r="I6" s="102" t="s">
        <v>2156</v>
      </c>
      <c r="J6" s="95">
        <v>1419</v>
      </c>
      <c r="K6" s="94">
        <v>1941.5</v>
      </c>
      <c r="L6" s="121" t="str">
        <f>IFERROR(INDEX(온라인_반찬!$C$2:$J$605,MATCH($D6,온라인_반찬!$C$2:$C$605,0),8),"")</f>
        <v>알찬녹두전(사옹원)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2160</v>
      </c>
      <c r="E7" s="115">
        <v>20</v>
      </c>
      <c r="F7" s="116"/>
      <c r="G7" s="106" t="str">
        <f>IFERROR(INDEX(온라인_반찬!$C$2:$H$612,MATCH($D7,온라인_반찬!$C$2:$C$612,0),6),"")</f>
        <v>우엉채(중국산)72%, 대두유, 맛술, 정제수, 간장, 설탕, 물엿, 참기름, 참깨</v>
      </c>
      <c r="H7" s="94" t="str">
        <f>IFERROR(INDEX(온라인_반찬!$D$2:$J$605,MATCH($D7,온라인_반찬!$C$2:$C$605,0),6),"")</f>
        <v>.5.21.</v>
      </c>
      <c r="I7" s="102" t="s">
        <v>2156</v>
      </c>
      <c r="J7" s="95">
        <v>1419</v>
      </c>
      <c r="K7" s="94">
        <v>34725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520</v>
      </c>
      <c r="E8" s="115">
        <v>25</v>
      </c>
      <c r="F8" s="115"/>
      <c r="G8" s="106" t="str">
        <f>IFERROR(INDEX(온라인_반찬!$C$2:$H$612,MATCH($D8,온라인_반찬!$C$2:$C$612,0),6),"")</f>
        <v>무(국산)85.2%, 고추가루(국산), 밀가루풀(국산), 파, 마늘, 새우젓 등 양념(국산)</v>
      </c>
      <c r="H8" s="94" t="str">
        <f>IFERROR(INDEX(온라인_반찬!$D$2:$J$605,MATCH($D8,온라인_반찬!$C$2:$C$605,0),6),"")</f>
        <v>.6.9.</v>
      </c>
      <c r="I8" s="102" t="s">
        <v>2156</v>
      </c>
      <c r="J8" s="95">
        <v>1419</v>
      </c>
      <c r="K8" s="94">
        <v>40987.5</v>
      </c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2159</v>
      </c>
      <c r="E10" s="216">
        <v>150</v>
      </c>
      <c r="F10" s="216"/>
      <c r="G10" s="217" t="str">
        <f>IFERROR(INDEX(온라인_반찬!$C$2:$H$612,MATCH($D10,온라인_반찬!$C$2:$C$612,0),6),"")</f>
        <v>쌀(국산)95%, 정제수</v>
      </c>
      <c r="H10" s="218">
        <f>IFERROR(INDEX(온라인_반찬!$D$2:$J$605,MATCH($D10,온라인_반찬!$C$2:$C$605,0),6),"")</f>
        <v>0</v>
      </c>
      <c r="I10" s="219" t="s">
        <v>2157</v>
      </c>
      <c r="J10" s="257">
        <v>66</v>
      </c>
      <c r="K10" s="255">
        <v>10350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1424</v>
      </c>
      <c r="E11" s="115">
        <v>160</v>
      </c>
      <c r="F11" s="116"/>
      <c r="G11" s="106" t="str">
        <f>IFERROR(INDEX(온라인_반찬!$C$2:$H$612,MATCH($D11,온라인_반찬!$C$2:$C$612,0),6),"")</f>
        <v>시래기(무청시래기:국산)25%, 양파, 대파, 마늘, 정제수, 된장, 멸치육수농축액, 소금</v>
      </c>
      <c r="H11" s="94" t="str">
        <f>IFERROR(INDEX(온라인_반찬!$D$2:$J$605,MATCH($D11,온라인_반찬!$C$2:$C$605,0),6),"")</f>
        <v>.5.</v>
      </c>
      <c r="I11" s="102" t="s">
        <v>2157</v>
      </c>
      <c r="J11" s="95">
        <v>66</v>
      </c>
      <c r="K11" s="94">
        <v>10610</v>
      </c>
      <c r="L11" s="121" t="str">
        <f>IFERROR(INDEX(온라인_반찬!$C$2:$J$605,MATCH($D11,온라인_반찬!$C$2:$C$605,0),8),"")</f>
        <v>35g / 40g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1646</v>
      </c>
      <c r="E12" s="115">
        <v>85</v>
      </c>
      <c r="F12" s="116"/>
      <c r="G12" s="106" t="str">
        <f>IFERROR(INDEX(온라인_반찬!$C$2:$H$612,MATCH($D12,온라인_반찬!$C$2:$C$612,0),6),"")</f>
        <v>닭정육(닭가슴살.닭다리살:국산)75%, 양배추, 양파, 당근, 부추, 대두유, 맛술, 후추, 춘장, 소금, 설탕, 파, 마늘, 참기름, 참깨</v>
      </c>
      <c r="H12" s="94" t="str">
        <f>IFERROR(INDEX(온라인_반찬!$D$2:$J$605,MATCH($D12,온라인_반찬!$C$2:$C$605,0),6),"")</f>
        <v>.5.15.21.</v>
      </c>
      <c r="I12" s="102" t="s">
        <v>2157</v>
      </c>
      <c r="J12" s="95">
        <v>66</v>
      </c>
      <c r="K12" s="94">
        <v>6525</v>
      </c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1530</v>
      </c>
      <c r="E13" s="115"/>
      <c r="F13" s="116">
        <v>1</v>
      </c>
      <c r="G13" s="106" t="str">
        <f>IFERROR(INDEX(온라인_반찬!$C$2:$H$612,MATCH($D13,온라인_반찬!$C$2:$C$612,0),6),"")</f>
        <v>[불린동부(동부콩:미얀마,미국,중국)38.2%, 숙주(녹두:중국산), 불린녹두(녹두:미얀마,호주,중국),배추김치, 마늘, 파, 새우젓, 정제수, 정제소금, 대두유]</v>
      </c>
      <c r="H13" s="94" t="str">
        <f>IFERROR(INDEX(온라인_반찬!$D$2:$J$605,MATCH($D13,온라인_반찬!$C$2:$C$605,0),6),"")</f>
        <v>.2.5.6.8.9.17.18.</v>
      </c>
      <c r="I13" s="102" t="s">
        <v>2157</v>
      </c>
      <c r="J13" s="95">
        <v>66</v>
      </c>
      <c r="K13" s="94">
        <v>79.2</v>
      </c>
      <c r="L13" s="121" t="str">
        <f>IFERROR(INDEX(온라인_반찬!$C$2:$J$605,MATCH($D13,온라인_반찬!$C$2:$C$605,0),8),"")</f>
        <v>알찬녹두전(사옹원)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2160</v>
      </c>
      <c r="E14" s="115">
        <v>23</v>
      </c>
      <c r="F14" s="116"/>
      <c r="G14" s="106" t="str">
        <f>IFERROR(INDEX(온라인_반찬!$C$2:$H$612,MATCH($D14,온라인_반찬!$C$2:$C$612,0),6),"")</f>
        <v>우엉채(중국산)72%, 대두유, 맛술, 정제수, 간장, 설탕, 물엿, 참기름, 참깨</v>
      </c>
      <c r="H14" s="94" t="str">
        <f>IFERROR(INDEX(온라인_반찬!$D$2:$J$605,MATCH($D14,온라인_반찬!$C$2:$C$605,0),6),"")</f>
        <v>.5.21.</v>
      </c>
      <c r="I14" s="102" t="s">
        <v>2157</v>
      </c>
      <c r="J14" s="95">
        <v>66</v>
      </c>
      <c r="K14" s="94">
        <v>1518</v>
      </c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520</v>
      </c>
      <c r="E15" s="115">
        <v>35</v>
      </c>
      <c r="F15" s="115"/>
      <c r="G15" s="106" t="str">
        <f>IFERROR(INDEX(온라인_반찬!$C$2:$H$612,MATCH($D15,온라인_반찬!$C$2:$C$612,0),6),"")</f>
        <v>무(국산)85.2%, 고추가루(국산), 밀가루풀(국산), 파, 마늘, 새우젓 등 양념(국산)</v>
      </c>
      <c r="H15" s="94" t="str">
        <f>IFERROR(INDEX(온라인_반찬!$D$2:$J$605,MATCH($D15,온라인_반찬!$C$2:$C$605,0),6),"")</f>
        <v>.6.9.</v>
      </c>
      <c r="I15" s="102" t="s">
        <v>2157</v>
      </c>
      <c r="J15" s="95">
        <v>66</v>
      </c>
      <c r="K15" s="94">
        <v>2310</v>
      </c>
      <c r="L15" s="121">
        <f>IFERROR(INDEX(온라인_반찬!$C$2:$J$605,MATCH($D15,온라인_반찬!$C$2:$C$605,0),8),"")</f>
        <v>0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1767</v>
      </c>
      <c r="E16" s="115"/>
      <c r="F16" s="115"/>
      <c r="G16" s="106" t="s">
        <v>2308</v>
      </c>
      <c r="H16" s="94" t="str">
        <f>IFERROR(INDEX(온라인_반찬!$D$2:$J$605,MATCH($D16,온라인_반찬!$C$2:$C$605,0),6),"")</f>
        <v/>
      </c>
      <c r="I16" s="102" t="s">
        <v>2157</v>
      </c>
      <c r="J16" s="95">
        <v>25</v>
      </c>
      <c r="K16" s="94">
        <v>28</v>
      </c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2156</v>
      </c>
      <c r="J18" s="150"/>
      <c r="K18" s="150"/>
      <c r="L18" s="121" t="str">
        <f>IFERROR(INDEX(온라인_반찬!$C$2:$J$605,MATCH($D18,온라인_반찬!$C$2:$C$605,0),8),"")</f>
        <v/>
      </c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2156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2156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2156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2156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2156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9729-D66A-4D84-8F06-EFB5E242FB27}">
  <sheetPr>
    <tabColor rgb="FF72F688"/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2163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2161</v>
      </c>
      <c r="J3" s="257">
        <v>1364</v>
      </c>
      <c r="K3" s="255">
        <v>218140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2164</v>
      </c>
      <c r="E4" s="115">
        <v>150</v>
      </c>
      <c r="F4" s="116"/>
      <c r="G4" s="106" t="str">
        <f>IFERROR(INDEX(온라인_반찬!$C$2:$H$612,MATCH($D4,온라인_반찬!$C$2:$C$612,0),6),"")</f>
        <v>무(국산)25%, 다시마(국산)3%, 대파, 마늘, 멸치육수농축액, 정제수, 소금</v>
      </c>
      <c r="H4" s="94" t="str">
        <f>IFERROR(INDEX(온라인_반찬!$D$2:$J$605,MATCH($D4,온라인_반찬!$C$2:$C$605,0),6),"")</f>
        <v>.5.</v>
      </c>
      <c r="I4" s="102" t="s">
        <v>2161</v>
      </c>
      <c r="J4" s="95">
        <v>1364</v>
      </c>
      <c r="K4" s="94">
        <v>225360</v>
      </c>
      <c r="L4" s="121">
        <f>IFERROR(INDEX(온라인_반찬!$C$2:$J$605,MATCH($D4,온라인_반찬!$C$2:$C$605,0),8),"")</f>
        <v>0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576</v>
      </c>
      <c r="E5" s="115">
        <v>60</v>
      </c>
      <c r="F5" s="116"/>
      <c r="G5" s="106" t="str">
        <f>IFERROR(INDEX(온라인_반찬!$C$2:$H$612,MATCH($D5,온라인_반찬!$C$2:$C$612,0),6),"")</f>
        <v>소고기(호주산)70%, 양파(국산)7%, 아스파라거스(중국산), 파프리카, 피망, 마늘, 스테이크소스, 생크림, 우유, 간장, 설탕, 소금, 후추, 참깨</v>
      </c>
      <c r="H5" s="94" t="str">
        <f>IFERROR(INDEX(온라인_반찬!$D$2:$J$605,MATCH($D5,온라인_반찬!$C$2:$C$605,0),6),"")</f>
        <v>.2.5.6.12.16.21.</v>
      </c>
      <c r="I5" s="102" t="s">
        <v>2161</v>
      </c>
      <c r="J5" s="95">
        <v>1364</v>
      </c>
      <c r="K5" s="94">
        <v>105680</v>
      </c>
      <c r="L5" s="121" t="str">
        <f>IFERROR(INDEX(온라인_반찬!$C$2:$J$605,MATCH($D5,온라인_반찬!$C$2:$C$605,0),8),"")</f>
        <v>스테이크소스(오뚜기)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1607</v>
      </c>
      <c r="E6" s="115">
        <v>15</v>
      </c>
      <c r="F6" s="116"/>
      <c r="G6" s="106" t="str">
        <f>IFERROR(INDEX(온라인_반찬!$C$2:$H$612,MATCH($D6,온라인_반찬!$C$2:$C$612,0),6),"")</f>
        <v>진미채(페루산)85%, 간장, 물엿, 참기름, 마요네즈, 참깨</v>
      </c>
      <c r="H6" s="94" t="str">
        <f>IFERROR(INDEX(온라인_반찬!$D$2:$J$605,MATCH($D6,온라인_반찬!$C$2:$C$605,0),6),"")</f>
        <v>.1.5.21.</v>
      </c>
      <c r="I6" s="102" t="s">
        <v>2161</v>
      </c>
      <c r="J6" s="95">
        <v>1299</v>
      </c>
      <c r="K6" s="94">
        <v>23432.5</v>
      </c>
      <c r="L6" s="121">
        <f>IFERROR(INDEX(온라인_반찬!$C$2:$J$605,MATCH($D6,온라인_반찬!$C$2:$C$605,0),8),"")</f>
        <v>0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695</v>
      </c>
      <c r="E7" s="115">
        <v>30</v>
      </c>
      <c r="F7" s="116"/>
      <c r="G7" s="106" t="str">
        <f>IFERROR(INDEX(온라인_반찬!$C$2:$H$612,MATCH($D7,온라인_반찬!$C$2:$C$612,0),6),"")</f>
        <v>오이(국산)80%, 홍파프리카(국산), 깨소스(깨소금(참깨:외국산), 소금, 참기름, 설탕)</v>
      </c>
      <c r="H7" s="94" t="str">
        <f>IFERROR(INDEX(온라인_반찬!$D$2:$J$605,MATCH($D7,온라인_반찬!$C$2:$C$605,0),6),"")</f>
        <v>.21.</v>
      </c>
      <c r="I7" s="102" t="s">
        <v>2161</v>
      </c>
      <c r="J7" s="95">
        <v>1364</v>
      </c>
      <c r="K7" s="94">
        <v>43807.5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519</v>
      </c>
      <c r="E8" s="115">
        <v>25</v>
      </c>
      <c r="F8" s="115"/>
      <c r="G8" s="106" t="str">
        <f>IFERROR(INDEX(온라인_반찬!$C$2:$H$612,MATCH($D8,온라인_반찬!$C$2:$C$612,0),6),"")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IFERROR(INDEX(온라인_반찬!$D$2:$J$605,MATCH($D8,온라인_반찬!$C$2:$C$605,0),6),"")</f>
        <v>.9.12.</v>
      </c>
      <c r="I8" s="102" t="s">
        <v>2161</v>
      </c>
      <c r="J8" s="95">
        <v>1364</v>
      </c>
      <c r="K8" s="94">
        <v>37675</v>
      </c>
      <c r="L8" s="121" t="str">
        <f>IFERROR(INDEX(온라인_반찬!$C$2:$J$605,MATCH($D8,온라인_반찬!$C$2:$C$605,0),8),"")</f>
        <v>토마토김치(종가집)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2166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44" t="s">
        <v>1374</v>
      </c>
      <c r="C10" s="93" t="s">
        <v>509</v>
      </c>
      <c r="D10" s="252" t="s">
        <v>1797</v>
      </c>
      <c r="E10" s="115">
        <v>140</v>
      </c>
      <c r="F10" s="115"/>
      <c r="G10" s="106" t="str">
        <f>IFERROR(INDEX(온라인_반찬!$C$2:$H$612,MATCH($D10,온라인_반찬!$C$2:$C$612,0),6),"")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IFERROR(INDEX(온라인_반찬!$D$2:$J$605,MATCH($D10,온라인_반찬!$C$2:$C$605,0),6),"")</f>
        <v>.5.21.</v>
      </c>
      <c r="I10" s="102" t="s">
        <v>2161</v>
      </c>
      <c r="J10" s="150">
        <v>91</v>
      </c>
      <c r="K10" s="150">
        <v>14290</v>
      </c>
      <c r="L10" s="121">
        <f>IFERROR(INDEX(온라인_반찬!$C$2:$J$605,MATCH($D10,온라인_반찬!$C$2:$C$605,0),8),"")</f>
        <v>0</v>
      </c>
      <c r="M10" s="113"/>
    </row>
    <row r="11" spans="2:23" ht="39.950000000000003" customHeight="1">
      <c r="B11" s="345"/>
      <c r="C11" s="152" t="s">
        <v>511</v>
      </c>
      <c r="D11" s="96" t="s">
        <v>1421</v>
      </c>
      <c r="E11" s="115">
        <v>60</v>
      </c>
      <c r="F11" s="115"/>
      <c r="G11" s="106" t="str">
        <f>IFERROR(INDEX(온라인_반찬!$C$2:$H$612,MATCH($D11,온라인_반찬!$C$2:$C$612,0),6),"")</f>
        <v>순살치킨[닭고기(닭다리살:브라질산)64.76%,밀가루(밀:호주산,미국산),옥수수전분(옥수수:외국산), 대두유]98%, 눈꽃치즈(모짜렐라치즈:외국산99%)2%</v>
      </c>
      <c r="H11" s="94" t="str">
        <f>IFERROR(INDEX(온라인_반찬!$D$2:$J$605,MATCH($D11,온라인_반찬!$C$2:$C$605,0),6),"")</f>
        <v>.1.2.5.6.15.16.</v>
      </c>
      <c r="I11" s="102" t="s">
        <v>2161</v>
      </c>
      <c r="J11" s="150">
        <v>91</v>
      </c>
      <c r="K11" s="150">
        <v>6710</v>
      </c>
      <c r="L11" s="121" t="str">
        <f>IFERROR(INDEX(온라인_반찬!$C$2:$J$605,MATCH($D11,온라인_반찬!$C$2:$C$605,0),8),"")</f>
        <v>순살치킨가라아게(하림)</v>
      </c>
      <c r="M11" s="113"/>
    </row>
    <row r="12" spans="2:23" ht="39.950000000000003" customHeight="1">
      <c r="B12" s="345"/>
      <c r="C12" s="152" t="s">
        <v>512</v>
      </c>
      <c r="D12" s="96" t="s">
        <v>1182</v>
      </c>
      <c r="E12" s="115"/>
      <c r="F12" s="115">
        <v>2</v>
      </c>
      <c r="G12" s="106" t="str">
        <f>IFERROR(INDEX(온라인_반찬!$C$2:$H$612,MATCH($D12,온라인_반찬!$C$2:$C$612,0),6),"")</f>
        <v>떡류[쌀(국산)98%, 정제수, 정제소금(국산)]55%, 소시지[돼지고기(지방일부사용.국산)85.22%,옥수수전분, 정제소금,떡갈비양념장]45%</v>
      </c>
      <c r="H12" s="94" t="str">
        <f>IFERROR(INDEX(온라인_반찬!$D$2:$J$605,MATCH($D12,온라인_반찬!$C$2:$C$605,0),6),"")</f>
        <v>.5.6.10.12.15.18.21.</v>
      </c>
      <c r="I12" s="102" t="s">
        <v>2161</v>
      </c>
      <c r="J12" s="150">
        <v>91</v>
      </c>
      <c r="K12" s="150">
        <v>207</v>
      </c>
      <c r="L12" s="121" t="str">
        <f>IFERROR(INDEX(온라인_반찬!$C$2:$J$605,MATCH($D12,온라인_반찬!$C$2:$C$605,0),8),"")</f>
        <v>문어모양소떡구이(유빛)</v>
      </c>
      <c r="M12" s="113"/>
    </row>
    <row r="13" spans="2:23" ht="39.950000000000003" customHeight="1">
      <c r="B13" s="345"/>
      <c r="C13" s="107" t="s">
        <v>693</v>
      </c>
      <c r="D13" s="96" t="s">
        <v>1732</v>
      </c>
      <c r="E13" s="115"/>
      <c r="F13" s="115">
        <v>1</v>
      </c>
      <c r="G13" s="106" t="str">
        <f>IFERROR(INDEX(온라인_반찬!$C$2:$H$612,MATCH($D13,온라인_반찬!$C$2:$C$612,0),6),"")</f>
        <v>밀가루(밀)42.91%, 팥28%, 정제수, 설탕 8.68%, 팜유1.04%,/원산지:중국</v>
      </c>
      <c r="H13" s="94" t="str">
        <f>IFERROR(INDEX(온라인_반찬!$D$2:$J$605,MATCH($D13,온라인_반찬!$C$2:$C$605,0),6),"")</f>
        <v>.5.17.</v>
      </c>
      <c r="I13" s="102" t="s">
        <v>2161</v>
      </c>
      <c r="J13" s="150">
        <v>91</v>
      </c>
      <c r="K13" s="150">
        <v>93</v>
      </c>
      <c r="L13" s="121" t="str">
        <f>IFERROR(INDEX(온라인_반찬!$C$2:$J$605,MATCH($D13,온라인_반찬!$C$2:$C$605,0),8),"")</f>
        <v>이솝찐빵(세미원푸드)</v>
      </c>
      <c r="M13" s="113"/>
    </row>
    <row r="14" spans="2:23" ht="39.950000000000003" customHeight="1">
      <c r="B14" s="345"/>
      <c r="C14" s="152" t="s">
        <v>76</v>
      </c>
      <c r="D14" s="96" t="s">
        <v>1767</v>
      </c>
      <c r="E14" s="115">
        <v>30</v>
      </c>
      <c r="F14" s="115"/>
      <c r="G14" s="106" t="s">
        <v>2307</v>
      </c>
      <c r="H14" s="94" t="s">
        <v>2313</v>
      </c>
      <c r="I14" s="102" t="s">
        <v>2161</v>
      </c>
      <c r="J14" s="150">
        <v>91</v>
      </c>
      <c r="K14" s="150">
        <v>3180</v>
      </c>
      <c r="L14" s="121" t="str">
        <f>IFERROR(INDEX(온라인_반찬!$C$2:$J$605,MATCH($D14,온라인_반찬!$C$2:$C$605,0),8),"")</f>
        <v/>
      </c>
      <c r="M14" s="113"/>
    </row>
    <row r="15" spans="2:23" ht="39.950000000000003" customHeight="1" thickBot="1">
      <c r="B15" s="346"/>
      <c r="C15" s="153" t="s">
        <v>74</v>
      </c>
      <c r="D15" s="202"/>
      <c r="E15" s="123"/>
      <c r="F15" s="124"/>
      <c r="G15" s="206"/>
      <c r="H15" s="158"/>
      <c r="I15" s="129"/>
      <c r="J15" s="126">
        <v>1</v>
      </c>
      <c r="K15" s="126">
        <v>0.25</v>
      </c>
      <c r="L15" s="127"/>
    </row>
    <row r="16" spans="2:23" ht="39.950000000000003" customHeight="1">
      <c r="B16" s="336" t="s">
        <v>1844</v>
      </c>
      <c r="C16" s="242" t="s">
        <v>509</v>
      </c>
      <c r="D16" s="252" t="s">
        <v>1154</v>
      </c>
      <c r="E16" s="115">
        <v>150</v>
      </c>
      <c r="F16" s="115"/>
      <c r="G16" s="106" t="str">
        <f>IFERROR(INDEX(온라인_반찬!$C$2:$H$612,MATCH($D16,온라인_반찬!$C$2:$C$612,0),6),"")</f>
        <v>쌀(국산)90%, 찰보리(국산.친환경)5%, 정제수</v>
      </c>
      <c r="H16" s="218">
        <f>IFERROR(INDEX(온라인_반찬!$D$2:$J$605,MATCH($D16,온라인_반찬!$C$2:$C$605,0),6),"")</f>
        <v>0</v>
      </c>
      <c r="I16" s="219" t="s">
        <v>2162</v>
      </c>
      <c r="J16" s="257">
        <v>46</v>
      </c>
      <c r="K16" s="255">
        <v>7200</v>
      </c>
      <c r="L16" s="220">
        <f>IFERROR(INDEX(온라인_반찬!$C$2:$J$605,MATCH($D16,온라인_반찬!$C$2:$C$605,0),8),"")</f>
        <v>0</v>
      </c>
      <c r="M16" s="113" t="s">
        <v>1199</v>
      </c>
      <c r="N16" s="113"/>
      <c r="O16" s="113"/>
      <c r="P16" s="113" t="s">
        <v>1254</v>
      </c>
      <c r="S16" s="113" t="s">
        <v>1417</v>
      </c>
    </row>
    <row r="17" spans="2:19" ht="39.950000000000003" customHeight="1">
      <c r="B17" s="336"/>
      <c r="C17" s="236" t="s">
        <v>513</v>
      </c>
      <c r="D17" s="96" t="s">
        <v>2164</v>
      </c>
      <c r="E17" s="115">
        <v>160</v>
      </c>
      <c r="F17" s="115"/>
      <c r="G17" s="106" t="str">
        <f>IFERROR(INDEX(온라인_반찬!$C$2:$H$612,MATCH($D17,온라인_반찬!$C$2:$C$612,0),6),"")</f>
        <v>무(국산)25%, 다시마(국산)3%, 대파, 마늘, 멸치육수농축액, 정제수, 소금</v>
      </c>
      <c r="H17" s="94" t="str">
        <f>IFERROR(INDEX(온라인_반찬!$D$2:$J$605,MATCH($D17,온라인_반찬!$C$2:$C$605,0),6),"")</f>
        <v>.5.</v>
      </c>
      <c r="I17" s="102" t="s">
        <v>2162</v>
      </c>
      <c r="J17" s="95">
        <v>46</v>
      </c>
      <c r="K17" s="94">
        <v>7410</v>
      </c>
      <c r="L17" s="121">
        <f>IFERROR(INDEX(온라인_반찬!$C$2:$J$605,MATCH($D17,온라인_반찬!$C$2:$C$605,0),8),"")</f>
        <v>0</v>
      </c>
      <c r="M17" s="113" t="s">
        <v>1586</v>
      </c>
      <c r="N17" s="113"/>
      <c r="O17" s="113"/>
      <c r="P17" s="113" t="s">
        <v>1633</v>
      </c>
      <c r="S17" s="113" t="s">
        <v>1634</v>
      </c>
    </row>
    <row r="18" spans="2:19" ht="39.950000000000003" customHeight="1">
      <c r="B18" s="336"/>
      <c r="C18" s="236" t="s">
        <v>510</v>
      </c>
      <c r="D18" s="96" t="s">
        <v>576</v>
      </c>
      <c r="E18" s="115">
        <v>80</v>
      </c>
      <c r="F18" s="115"/>
      <c r="G18" s="106" t="str">
        <f>IFERROR(INDEX(온라인_반찬!$C$2:$H$612,MATCH($D18,온라인_반찬!$C$2:$C$612,0),6),"")</f>
        <v>소고기(호주산)70%, 양파(국산)7%, 아스파라거스(중국산), 파프리카, 피망, 마늘, 스테이크소스, 생크림, 우유, 간장, 설탕, 소금, 후추, 참깨</v>
      </c>
      <c r="H18" s="94" t="str">
        <f>IFERROR(INDEX(온라인_반찬!$D$2:$J$605,MATCH($D18,온라인_반찬!$C$2:$C$605,0),6),"")</f>
        <v>.2.5.6.12.16.21.</v>
      </c>
      <c r="I18" s="102" t="s">
        <v>2162</v>
      </c>
      <c r="J18" s="95">
        <v>46</v>
      </c>
      <c r="K18" s="94">
        <v>4040</v>
      </c>
      <c r="L18" s="121" t="str">
        <f>IFERROR(INDEX(온라인_반찬!$C$2:$J$605,MATCH($D18,온라인_반찬!$C$2:$C$605,0),8),"")</f>
        <v>스테이크소스(오뚜기)</v>
      </c>
      <c r="M18" s="113"/>
      <c r="N18" s="113"/>
      <c r="O18" s="113"/>
    </row>
    <row r="19" spans="2:19" ht="39.950000000000003" customHeight="1">
      <c r="B19" s="336"/>
      <c r="C19" s="236" t="s">
        <v>511</v>
      </c>
      <c r="D19" s="279" t="s">
        <v>552</v>
      </c>
      <c r="E19" s="280">
        <v>20</v>
      </c>
      <c r="F19" s="280"/>
      <c r="G19" s="282" t="str">
        <f>IFERROR(INDEX(온라인_반찬!$C$2:$H$612,MATCH($D19,온라인_반찬!$C$2:$C$612,0),6),"")</f>
        <v>진미채(페루산)85%, 고추장, 마요네즈, 대두유, 간장, 물엿, 참기름, 참깨</v>
      </c>
      <c r="H19" s="94" t="str">
        <f>IFERROR(INDEX(온라인_반찬!$D$2:$J$605,MATCH($D19,온라인_반찬!$C$2:$C$605,0),6),"")</f>
        <v>.1.5.6.21.</v>
      </c>
      <c r="I19" s="102" t="s">
        <v>2162</v>
      </c>
      <c r="J19" s="95">
        <v>111</v>
      </c>
      <c r="K19" s="94">
        <v>2545</v>
      </c>
      <c r="L19" s="121" t="str">
        <f>IFERROR(INDEX(온라인_반찬!$C$2:$J$605,MATCH($D19,온라인_반찬!$C$2:$C$605,0),8),"")</f>
        <v>.1.5.6.21.</v>
      </c>
      <c r="M19" s="113"/>
      <c r="N19" s="113"/>
      <c r="O19" s="113"/>
    </row>
    <row r="20" spans="2:19" ht="39.950000000000003" customHeight="1">
      <c r="B20" s="336"/>
      <c r="C20" s="152" t="s">
        <v>233</v>
      </c>
      <c r="D20" s="96" t="s">
        <v>695</v>
      </c>
      <c r="E20" s="115">
        <v>35</v>
      </c>
      <c r="F20" s="115"/>
      <c r="G20" s="106" t="str">
        <f>IFERROR(INDEX(온라인_반찬!$C$2:$H$612,MATCH($D20,온라인_반찬!$C$2:$C$612,0),6),"")</f>
        <v>오이(국산)80%, 홍파프리카(국산), 깨소스(깨소금(참깨:외국산), 소금, 참기름, 설탕)</v>
      </c>
      <c r="H20" s="94" t="str">
        <f>IFERROR(INDEX(온라인_반찬!$D$2:$J$605,MATCH($D20,온라인_반찬!$C$2:$C$605,0),6),"")</f>
        <v>.21.</v>
      </c>
      <c r="I20" s="102" t="s">
        <v>2162</v>
      </c>
      <c r="J20" s="95">
        <v>46</v>
      </c>
      <c r="K20" s="94">
        <v>1610</v>
      </c>
      <c r="L20" s="121">
        <f>IFERROR(INDEX(온라인_반찬!$C$2:$J$605,MATCH($D20,온라인_반찬!$C$2:$C$605,0),8),"")</f>
        <v>0</v>
      </c>
      <c r="M20" s="113"/>
      <c r="N20" s="113"/>
    </row>
    <row r="21" spans="2:19" ht="39.950000000000003" customHeight="1">
      <c r="B21" s="336"/>
      <c r="C21" s="237" t="s">
        <v>693</v>
      </c>
      <c r="D21" s="96" t="s">
        <v>519</v>
      </c>
      <c r="E21" s="115">
        <v>35</v>
      </c>
      <c r="F21" s="115"/>
      <c r="G21" s="106" t="str">
        <f>IFERROR(INDEX(온라인_반찬!$C$2:$H$612,MATCH($D21,온라인_반찬!$C$2:$C$612,0),6),"")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1" s="94" t="str">
        <f>IFERROR(INDEX(온라인_반찬!$D$2:$J$605,MATCH($D21,온라인_반찬!$C$2:$C$605,0),6),"")</f>
        <v>.9.12.</v>
      </c>
      <c r="I21" s="102" t="s">
        <v>2162</v>
      </c>
      <c r="J21" s="95">
        <v>46</v>
      </c>
      <c r="K21" s="94">
        <v>1610</v>
      </c>
      <c r="L21" s="121" t="str">
        <f>IFERROR(INDEX(온라인_반찬!$C$2:$J$605,MATCH($D21,온라인_반찬!$C$2:$C$605,0),8),"")</f>
        <v>토마토김치(종가집)</v>
      </c>
      <c r="M21" s="113"/>
      <c r="N21" s="113"/>
      <c r="O21" s="113"/>
    </row>
    <row r="22" spans="2:19" ht="39.950000000000003" customHeight="1">
      <c r="B22" s="336"/>
      <c r="C22" s="347" t="s">
        <v>1196</v>
      </c>
      <c r="D22" s="96" t="s">
        <v>2277</v>
      </c>
      <c r="E22" s="115">
        <v>70</v>
      </c>
      <c r="F22" s="115"/>
      <c r="G22" s="106" t="str">
        <f>IFERROR(INDEX(온라인_반찬!$C$2:$H$612,MATCH($D22,온라인_반찬!$C$2:$C$612,0),6),"")</f>
        <v xml:space="preserve">샐러드채소[국내산(양상추, 치커리, 적채)]75%, 치킨텐더(닭고기:국내산)25%, </v>
      </c>
      <c r="H22" s="94" t="str">
        <f>IFERROR(INDEX(온라인_반찬!$D$2:$J$605,MATCH($D22,온라인_반찬!$C$2:$C$605,0),6),"")</f>
        <v>.1.5.6.15.16.</v>
      </c>
      <c r="I22" s="102" t="s">
        <v>2162</v>
      </c>
      <c r="J22" s="95">
        <v>25</v>
      </c>
      <c r="K22" s="94">
        <v>2040</v>
      </c>
      <c r="L22" s="157" t="str">
        <f>IFERROR(INDEX(온라인_반찬!$C$2:$J$605,MATCH($D22,온라인_반찬!$C$2:$C$605,0),8),"")</f>
        <v>골든치킨텐더(이츠웰)</v>
      </c>
      <c r="M22" s="113"/>
      <c r="N22" s="113"/>
      <c r="O22" s="113"/>
    </row>
    <row r="23" spans="2:19" ht="39.950000000000003" customHeight="1">
      <c r="B23" s="336"/>
      <c r="C23" s="348"/>
      <c r="D23" s="96" t="s">
        <v>2306</v>
      </c>
      <c r="E23" s="115">
        <v>20</v>
      </c>
      <c r="F23" s="115"/>
      <c r="G23" s="106" t="str">
        <f>IFERROR(INDEX(온라인_반찬!$C$2:$H$612,MATCH($D23,온라인_반찬!$C$2:$C$612,0),6),"")</f>
        <v>{정제수, 마요네즈[식물성유지(외국산),난황액(계란:국산) 등], 향신료조제품[미국산(식초, 겨자씨, 강황 등], 사양벌꿀(국산), 겨자분{겨자(외국산)] 등}</v>
      </c>
      <c r="H23" s="94" t="str">
        <f>IFERROR(INDEX(온라인_반찬!$D$2:$J$605,MATCH($D23,온라인_반찬!$C$2:$C$605,0),6),"")</f>
        <v>.1.5.</v>
      </c>
      <c r="I23" s="102" t="s">
        <v>2162</v>
      </c>
      <c r="J23" s="95">
        <v>25</v>
      </c>
      <c r="K23" s="94">
        <v>590</v>
      </c>
      <c r="L23" s="157" t="str">
        <f>IFERROR(INDEX(온라인_반찬!$C$2:$J$605,MATCH($D23,온라인_반찬!$C$2:$C$605,0),8),"")</f>
        <v xml:space="preserve">허니머스터드(이츠웰) </v>
      </c>
      <c r="M23" s="113"/>
      <c r="N23" s="113"/>
      <c r="O23" s="113"/>
    </row>
    <row r="24" spans="2:19" ht="39.950000000000003" customHeight="1" thickBot="1">
      <c r="B24" s="337"/>
      <c r="C24" s="153" t="s">
        <v>74</v>
      </c>
      <c r="D24" s="202"/>
      <c r="E24" s="123"/>
      <c r="F24" s="124"/>
      <c r="G24" s="206"/>
      <c r="H24" s="158"/>
      <c r="I24" s="129"/>
      <c r="J24" s="126">
        <v>1</v>
      </c>
      <c r="K24" s="126">
        <v>0.25</v>
      </c>
      <c r="L24" s="127"/>
      <c r="M24" s="113"/>
      <c r="N24" s="113"/>
      <c r="O24" s="113"/>
    </row>
    <row r="25" spans="2:19">
      <c r="L25" s="26"/>
    </row>
    <row r="27" spans="2:19">
      <c r="E27"/>
      <c r="F27" s="114"/>
    </row>
  </sheetData>
  <mergeCells count="6">
    <mergeCell ref="B1:L1"/>
    <mergeCell ref="B3:B9"/>
    <mergeCell ref="S5:W5"/>
    <mergeCell ref="B16:B24"/>
    <mergeCell ref="B10:B15"/>
    <mergeCell ref="C22:C23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C46B-A870-40A0-B459-B0F4C56D4E17}">
  <sheetPr>
    <pageSetUpPr fitToPage="1"/>
  </sheetPr>
  <dimension ref="B1:W27"/>
  <sheetViews>
    <sheetView zoomScale="80" zoomScaleNormal="80" zoomScaleSheetLayoutView="75" workbookViewId="0">
      <selection activeCell="L6" sqref="L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2169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2167</v>
      </c>
      <c r="J3" s="257">
        <v>1460</v>
      </c>
      <c r="K3" s="255">
        <v>233470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813</v>
      </c>
      <c r="E4" s="115">
        <v>150</v>
      </c>
      <c r="F4" s="116"/>
      <c r="G4" s="106" t="str">
        <f>IFERROR(INDEX(온라인_반찬!$C$2:$H$612,MATCH($D4,온라인_반찬!$C$2:$C$612,0),6),"")</f>
        <v>볼어묵[연육(:중국산, 베트남산)]18%, 무(국산)7%, 양파, 대파, 마늘, 정제수, 국간장, 소금</v>
      </c>
      <c r="H4" s="94" t="str">
        <f>IFERROR(INDEX(온라인_반찬!$D$2:$J$605,MATCH($D4,온라인_반찬!$C$2:$C$605,0),6),"")</f>
        <v>.5.6.</v>
      </c>
      <c r="I4" s="102" t="s">
        <v>2167</v>
      </c>
      <c r="J4" s="95">
        <v>1460</v>
      </c>
      <c r="K4" s="94">
        <v>240960</v>
      </c>
      <c r="L4" s="121" t="str">
        <f>IFERROR(INDEX(온라인_반찬!$C$2:$J$605,MATCH($D4,온라인_반찬!$C$2:$C$605,0),8),"")</f>
        <v>40g / 45g볼어묵(이츠웰)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1418</v>
      </c>
      <c r="E5" s="115">
        <v>110</v>
      </c>
      <c r="F5" s="116"/>
      <c r="G5" s="106" t="str">
        <f>IFERROR(INDEX(온라인_반찬!$C$2:$H$612,MATCH($D5,온라인_반찬!$C$2:$C$612,0),6),"")</f>
        <v>소고기(미국산.호주산)45%, 계란(국내산)10%, 표고버섯(국내산)5%, 양파, 돈부리소스, 쯔유, 정제수, 소금, 전분</v>
      </c>
      <c r="H5" s="94" t="str">
        <f>IFERROR(INDEX(온라인_반찬!$D$2:$J$605,MATCH($D5,온라인_반찬!$C$2:$C$605,0),6),"")</f>
        <v>.1.2.5.6.16.</v>
      </c>
      <c r="I5" s="102" t="s">
        <v>2167</v>
      </c>
      <c r="J5" s="95">
        <v>1460</v>
      </c>
      <c r="K5" s="94">
        <v>200600</v>
      </c>
      <c r="L5" s="121" t="str">
        <f>IFERROR(INDEX(온라인_반찬!$C$2:$J$605,MATCH($D5,온라인_반찬!$C$2:$C$605,0),8),"")</f>
        <v>돈부리소스(가토코), 쯔유(이엔푸드)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1449</v>
      </c>
      <c r="E6" s="115"/>
      <c r="F6" s="116">
        <v>1</v>
      </c>
      <c r="G6" s="106" t="str">
        <f>IFERROR(INDEX(온라인_반찬!$C$2:$H$612,MATCH($D6,온라인_반찬!$C$2:$C$612,0),6),"")</f>
        <v>돼지고기(국산)36.53%, 밀가루(밀:미국산.호주산), 양파(국산), 건무, 부추, 곤약, 돼지갈비살(국산)2.09%, 설탕, 갅방, 물엿, 마늘, 생강, 참기름, 후추, 대파 등</v>
      </c>
      <c r="H6" s="94" t="str">
        <f>IFERROR(INDEX(온라인_반찬!$D$2:$J$605,MATCH($D6,온라인_반찬!$C$2:$C$605,0),6),"")</f>
        <v>.2.5.6.10.16.21.</v>
      </c>
      <c r="I6" s="102" t="s">
        <v>2167</v>
      </c>
      <c r="J6" s="95">
        <v>1460</v>
      </c>
      <c r="K6" s="94">
        <v>2209.6999999999994</v>
      </c>
      <c r="L6" s="121" t="str">
        <f>IFERROR(INDEX(온라인_반찬!$C$2:$J$605,MATCH($D6,온라인_반찬!$C$2:$C$605,0),8),"")</f>
        <v>달콤한갈비만두(한만두) 개당25g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516</v>
      </c>
      <c r="E7" s="115">
        <v>35</v>
      </c>
      <c r="F7" s="116"/>
      <c r="G7" s="106" t="str">
        <f>IFERROR(INDEX(온라인_반찬!$C$2:$H$612,MATCH($D7,온라인_반찬!$C$2:$C$612,0),6),"")</f>
        <v>감자(국산)90%, 당근(국산)3.5%, 대두유, 마늘, 소금, 후추, 참기름, 참깨</v>
      </c>
      <c r="H7" s="94" t="str">
        <f>IFERROR(INDEX(온라인_반찬!$D$2:$J$605,MATCH($D7,온라인_반찬!$C$2:$C$605,0),6),"")</f>
        <v>.5.21.</v>
      </c>
      <c r="I7" s="102" t="s">
        <v>2167</v>
      </c>
      <c r="J7" s="95">
        <v>1460</v>
      </c>
      <c r="K7" s="94">
        <v>61020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519</v>
      </c>
      <c r="E8" s="115">
        <v>25</v>
      </c>
      <c r="F8" s="115"/>
      <c r="G8" s="106" t="str">
        <f>IFERROR(INDEX(온라인_반찬!$C$2:$H$612,MATCH($D8,온라인_반찬!$C$2:$C$612,0),6),"")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IFERROR(INDEX(온라인_반찬!$D$2:$J$605,MATCH($D8,온라인_반찬!$C$2:$C$605,0),6),"")</f>
        <v>.9.12.</v>
      </c>
      <c r="I8" s="102" t="s">
        <v>2167</v>
      </c>
      <c r="J8" s="95">
        <v>1460</v>
      </c>
      <c r="K8" s="94">
        <v>40287.5</v>
      </c>
      <c r="L8" s="121" t="str">
        <f>IFERROR(INDEX(온라인_반찬!$C$2:$J$605,MATCH($D8,온라인_반찬!$C$2:$C$605,0),8),"")</f>
        <v>토마토김치(종가집)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1154</v>
      </c>
      <c r="E10" s="216">
        <v>150</v>
      </c>
      <c r="F10" s="216"/>
      <c r="G10" s="217" t="str">
        <f>IFERROR(INDEX(온라인_반찬!$C$2:$H$612,MATCH($D10,온라인_반찬!$C$2:$C$612,0),6),"")</f>
        <v>쌀(국산)90%, 찰보리(국산.친환경)5%, 정제수</v>
      </c>
      <c r="H10" s="218">
        <f>IFERROR(INDEX(온라인_반찬!$D$2:$J$605,MATCH($D10,온라인_반찬!$C$2:$C$605,0),6),"")</f>
        <v>0</v>
      </c>
      <c r="I10" s="219" t="s">
        <v>2168</v>
      </c>
      <c r="J10" s="257">
        <v>69</v>
      </c>
      <c r="K10" s="255">
        <v>10950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813</v>
      </c>
      <c r="E11" s="115">
        <v>160</v>
      </c>
      <c r="F11" s="116"/>
      <c r="G11" s="106" t="str">
        <f>IFERROR(INDEX(온라인_반찬!$C$2:$H$612,MATCH($D11,온라인_반찬!$C$2:$C$612,0),6),"")</f>
        <v>볼어묵[연육(:중국산, 베트남산)]18%, 무(국산)7%, 양파, 대파, 마늘, 정제수, 국간장, 소금</v>
      </c>
      <c r="H11" s="94" t="str">
        <f>IFERROR(INDEX(온라인_반찬!$D$2:$J$605,MATCH($D11,온라인_반찬!$C$2:$C$605,0),6),"")</f>
        <v>.5.6.</v>
      </c>
      <c r="I11" s="102" t="s">
        <v>2168</v>
      </c>
      <c r="J11" s="95">
        <v>69</v>
      </c>
      <c r="K11" s="94">
        <v>11210</v>
      </c>
      <c r="L11" s="121" t="str">
        <f>IFERROR(INDEX(온라인_반찬!$C$2:$J$605,MATCH($D11,온라인_반찬!$C$2:$C$605,0),8),"")</f>
        <v>40g / 45g볼어묵(이츠웰)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1418</v>
      </c>
      <c r="E12" s="115">
        <v>120</v>
      </c>
      <c r="F12" s="116"/>
      <c r="G12" s="106" t="str">
        <f>IFERROR(INDEX(온라인_반찬!$C$2:$H$612,MATCH($D12,온라인_반찬!$C$2:$C$612,0),6),"")</f>
        <v>소고기(미국산.호주산)45%, 계란(국내산)10%, 표고버섯(국내산)5%, 양파, 돈부리소스, 쯔유, 정제수, 소금, 전분</v>
      </c>
      <c r="H12" s="94" t="str">
        <f>IFERROR(INDEX(온라인_반찬!$D$2:$J$605,MATCH($D12,온라인_반찬!$C$2:$C$605,0),6),"")</f>
        <v>.1.2.5.6.16.</v>
      </c>
      <c r="I12" s="102" t="s">
        <v>2168</v>
      </c>
      <c r="J12" s="95">
        <v>69</v>
      </c>
      <c r="K12" s="94">
        <v>9096</v>
      </c>
      <c r="L12" s="121" t="str">
        <f>IFERROR(INDEX(온라인_반찬!$C$2:$J$605,MATCH($D12,온라인_반찬!$C$2:$C$605,0),8),"")</f>
        <v>돈부리소스(가토코), 쯔유(이엔푸드)</v>
      </c>
      <c r="M12" s="113"/>
      <c r="N12" s="113"/>
    </row>
    <row r="13" spans="2:23" ht="39.950000000000003" customHeight="1">
      <c r="B13" s="336"/>
      <c r="C13" s="236" t="s">
        <v>511</v>
      </c>
      <c r="D13" s="96" t="s">
        <v>1449</v>
      </c>
      <c r="E13" s="115"/>
      <c r="F13" s="116">
        <v>2</v>
      </c>
      <c r="G13" s="106" t="str">
        <f>IFERROR(INDEX(온라인_반찬!$C$2:$H$612,MATCH($D13,온라인_반찬!$C$2:$C$612,0),6),"")</f>
        <v>돼지고기(국산)36.53%, 밀가루(밀:미국산.호주산), 양파(국산), 건무, 부추, 곤약, 돼지갈비살(국산)2.09%, 설탕, 갅방, 물엿, 마늘, 생강, 참기름, 후추, 대파 등</v>
      </c>
      <c r="H13" s="94" t="str">
        <f>IFERROR(INDEX(온라인_반찬!$D$2:$J$605,MATCH($D13,온라인_반찬!$C$2:$C$605,0),6),"")</f>
        <v>.2.5.6.10.16.21.</v>
      </c>
      <c r="I13" s="102" t="s">
        <v>2168</v>
      </c>
      <c r="J13" s="95">
        <v>69</v>
      </c>
      <c r="K13" s="94">
        <v>144.9</v>
      </c>
      <c r="L13" s="121" t="str">
        <f>IFERROR(INDEX(온라인_반찬!$C$2:$J$605,MATCH($D13,온라인_반찬!$C$2:$C$605,0),8),"")</f>
        <v>달콤한갈비만두(한만두) 개당25g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516</v>
      </c>
      <c r="E14" s="115">
        <v>40</v>
      </c>
      <c r="F14" s="116"/>
      <c r="G14" s="106" t="str">
        <f>IFERROR(INDEX(온라인_반찬!$C$2:$H$612,MATCH($D14,온라인_반찬!$C$2:$C$612,0),6),"")</f>
        <v>감자(국산)90%, 당근(국산)3.5%, 대두유, 마늘, 소금, 후추, 참기름, 참깨</v>
      </c>
      <c r="H14" s="94" t="str">
        <f>IFERROR(INDEX(온라인_반찬!$D$2:$J$605,MATCH($D14,온라인_반찬!$C$2:$C$605,0),6),"")</f>
        <v>.5.21.</v>
      </c>
      <c r="I14" s="102" t="s">
        <v>2168</v>
      </c>
      <c r="J14" s="95">
        <v>69</v>
      </c>
      <c r="K14" s="94">
        <v>2760</v>
      </c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519</v>
      </c>
      <c r="E15" s="115">
        <v>30</v>
      </c>
      <c r="F15" s="115"/>
      <c r="G15" s="106" t="str">
        <f>IFERROR(INDEX(온라인_반찬!$C$2:$H$612,MATCH($D15,온라인_반찬!$C$2:$C$612,0),6),"")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IFERROR(INDEX(온라인_반찬!$D$2:$J$605,MATCH($D15,온라인_반찬!$C$2:$C$605,0),6),"")</f>
        <v>.9.12.</v>
      </c>
      <c r="I15" s="102" t="s">
        <v>2168</v>
      </c>
      <c r="J15" s="95">
        <v>69</v>
      </c>
      <c r="K15" s="94">
        <v>2415</v>
      </c>
      <c r="L15" s="121" t="str">
        <f>IFERROR(INDEX(온라인_반찬!$C$2:$J$605,MATCH($D15,온라인_반찬!$C$2:$C$605,0),8),"")</f>
        <v>토마토김치(종가집)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1421</v>
      </c>
      <c r="E16" s="115">
        <v>80</v>
      </c>
      <c r="F16" s="115"/>
      <c r="G16" s="106" t="str">
        <f>IFERROR(INDEX(온라인_반찬!$C$2:$H$612,MATCH($D16,온라인_반찬!$C$2:$C$612,0),6),"")</f>
        <v>순살치킨[닭고기(닭다리살:브라질산)64.76%,밀가루(밀:호주산,미국산),옥수수전분(옥수수:외국산), 대두유]98%, 눈꽃치즈(모짜렐라치즈:외국산99%)2%</v>
      </c>
      <c r="H16" s="94" t="str">
        <f>IFERROR(INDEX(온라인_반찬!$D$2:$J$605,MATCH($D16,온라인_반찬!$C$2:$C$605,0),6),"")</f>
        <v>.1.2.5.6.15.16.</v>
      </c>
      <c r="I16" s="102" t="s">
        <v>2168</v>
      </c>
      <c r="J16" s="95">
        <v>28</v>
      </c>
      <c r="K16" s="94">
        <v>2580</v>
      </c>
      <c r="L16" s="157" t="str">
        <f>IFERROR(INDEX(온라인_반찬!$C$2:$J$605,MATCH($D16,온라인_반찬!$C$2:$C$605,0),8),"")</f>
        <v>순살치킨가라아게(하림)</v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2167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2167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2167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2167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2167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2167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4BAE-38C3-4D9F-9F8B-01899CB547E4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2172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1521</v>
      </c>
      <c r="E3" s="253">
        <v>140</v>
      </c>
      <c r="F3" s="253"/>
      <c r="G3" s="254" t="str">
        <f>IFERROR(INDEX(온라인_반찬!$C$2:$H$612,MATCH($D3,온라인_반찬!$C$2:$C$612,0),6),"")</f>
        <v>쌀(국산)90%, 귀리(국산.친환경)5%, 정제수</v>
      </c>
      <c r="H3" s="255">
        <f>IFERROR(INDEX(온라인_반찬!$D$2:$J$605,MATCH($D3,온라인_반찬!$C$2:$C$605,0),6),"")</f>
        <v>0</v>
      </c>
      <c r="I3" s="256" t="s">
        <v>2170</v>
      </c>
      <c r="J3" s="257">
        <v>1460</v>
      </c>
      <c r="K3" s="255">
        <v>233530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1036</v>
      </c>
      <c r="E4" s="115">
        <v>150</v>
      </c>
      <c r="F4" s="116"/>
      <c r="G4" s="106" t="str">
        <f>IFERROR(INDEX(온라인_반찬!$C$2:$H$612,MATCH($D4,온라인_반찬!$C$2:$C$612,0),6),"")</f>
        <v>무(국산)15%, 소고기(호주산)8%, 두부(원료수입산)5%, 양파, 대파, 마늘, 정제수, 멸치육수농축액, 국간장, 소금</v>
      </c>
      <c r="H4" s="94" t="str">
        <f>IFERROR(INDEX(온라인_반찬!$D$2:$J$605,MATCH($D4,온라인_반찬!$C$2:$C$605,0),6),"")</f>
        <v>.5.16.</v>
      </c>
      <c r="I4" s="102" t="s">
        <v>2170</v>
      </c>
      <c r="J4" s="95">
        <v>1460</v>
      </c>
      <c r="K4" s="94">
        <v>240960</v>
      </c>
      <c r="L4" s="121" t="str">
        <f>IFERROR(INDEX(온라인_반찬!$C$2:$J$605,MATCH($D4,온라인_반찬!$C$2:$C$605,0),8),"")</f>
        <v>40g / 50g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1290</v>
      </c>
      <c r="E5" s="115">
        <v>60</v>
      </c>
      <c r="F5" s="116"/>
      <c r="G5" s="106" t="str">
        <f>IFERROR(INDEX(온라인_반찬!$C$2:$H$612,MATCH($D5,온라인_반찬!$C$2:$C$612,0),6),"")</f>
        <v>닭(가슴살.다리살:국산)75%, 브로콜리(국산)5%, 당근, 파, 마늘, 맛술, 후추, 간장, 설탕, 참기름, 참깨</v>
      </c>
      <c r="H5" s="94" t="str">
        <f>IFERROR(INDEX(온라인_반찬!$D$2:$J$605,MATCH($D5,온라인_반찬!$C$2:$C$605,0),6),"")</f>
        <v>.5.15.21.</v>
      </c>
      <c r="I5" s="102" t="s">
        <v>2170</v>
      </c>
      <c r="J5" s="95">
        <v>1395</v>
      </c>
      <c r="K5" s="94">
        <v>104790</v>
      </c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1713</v>
      </c>
      <c r="E6" s="115"/>
      <c r="F6" s="116">
        <v>2</v>
      </c>
      <c r="G6" s="106" t="str">
        <f>IFERROR(INDEX(온라인_반찬!$C$2:$H$612,MATCH($D6,온라인_반찬!$C$2:$C$612,0),6),"")</f>
        <v>돼지고기(국내산)25.06%,소고기(국내산)5%,양배추,양파(국내산),설탕,빵가루,표고버섯,옥수수전본,대파,당근,양조간장,마늘,참기름,생강,소금,후추</v>
      </c>
      <c r="H6" s="94" t="str">
        <f>IFERROR(INDEX(온라인_반찬!$D$2:$J$605,MATCH($D6,온라인_반찬!$C$2:$C$605,0),6),"")</f>
        <v>.5.6.10.16.</v>
      </c>
      <c r="I6" s="102" t="s">
        <v>2170</v>
      </c>
      <c r="J6" s="95">
        <v>1460</v>
      </c>
      <c r="K6" s="94">
        <v>3486.400000000001</v>
      </c>
      <c r="L6" s="121" t="str">
        <f>IFERROR(INDEX(온라인_반찬!$C$2:$J$605,MATCH($D6,온라인_반찬!$C$2:$C$605,0),8),"")</f>
        <v>육즙가득미니떡갈비(아이누리)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2115</v>
      </c>
      <c r="E7" s="115">
        <v>25</v>
      </c>
      <c r="F7" s="116"/>
      <c r="G7" s="106" t="str">
        <f>IFERROR(INDEX(온라인_반찬!$C$2:$H$612,MATCH($D7,온라인_반찬!$C$2:$C$612,0),6),"")</f>
        <v>숙주(녹두:외국산)90%, 당근, 마늘, 대파, 참치액, 소금, 참기름, 참깨</v>
      </c>
      <c r="H7" s="94" t="str">
        <f>IFERROR(INDEX(온라인_반찬!$D$2:$J$605,MATCH($D7,온라인_반찬!$C$2:$C$605,0),6),"")</f>
        <v>.5.21.</v>
      </c>
      <c r="I7" s="102" t="s">
        <v>2170</v>
      </c>
      <c r="J7" s="95">
        <v>1460</v>
      </c>
      <c r="K7" s="94">
        <v>47375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520</v>
      </c>
      <c r="E8" s="115">
        <v>25</v>
      </c>
      <c r="F8" s="115"/>
      <c r="G8" s="106" t="str">
        <f>IFERROR(INDEX(온라인_반찬!$C$2:$H$612,MATCH($D8,온라인_반찬!$C$2:$C$612,0),6),"")</f>
        <v>무(국산)85.2%, 고추가루(국산), 밀가루풀(국산), 파, 마늘, 새우젓 등 양념(국산)</v>
      </c>
      <c r="H8" s="94" t="str">
        <f>IFERROR(INDEX(온라인_반찬!$D$2:$J$605,MATCH($D8,온라인_반찬!$C$2:$C$605,0),6),"")</f>
        <v>.6.9.</v>
      </c>
      <c r="I8" s="102" t="s">
        <v>2170</v>
      </c>
      <c r="J8" s="95">
        <v>1460</v>
      </c>
      <c r="K8" s="94">
        <v>41975</v>
      </c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2173</v>
      </c>
      <c r="H9" s="158"/>
      <c r="I9" s="129"/>
      <c r="J9" s="126">
        <v>1</v>
      </c>
      <c r="K9" s="126">
        <v>0.25</v>
      </c>
      <c r="L9" s="127"/>
      <c r="M9" s="113">
        <v>233530</v>
      </c>
      <c r="N9" s="113">
        <v>240960</v>
      </c>
      <c r="O9" s="113">
        <v>104790</v>
      </c>
      <c r="P9">
        <v>3486.400000000001</v>
      </c>
      <c r="Q9" s="113">
        <v>47375</v>
      </c>
      <c r="R9" s="113">
        <v>41975</v>
      </c>
      <c r="S9" s="113">
        <v>41975</v>
      </c>
    </row>
    <row r="10" spans="2:23" ht="39.950000000000003" customHeight="1">
      <c r="B10" s="336" t="s">
        <v>1844</v>
      </c>
      <c r="C10" s="242" t="s">
        <v>509</v>
      </c>
      <c r="D10" s="252" t="s">
        <v>1521</v>
      </c>
      <c r="E10" s="216">
        <v>150</v>
      </c>
      <c r="F10" s="216"/>
      <c r="G10" s="217" t="str">
        <f>IFERROR(INDEX(온라인_반찬!$C$2:$H$612,MATCH($D10,온라인_반찬!$C$2:$C$612,0),6),"")</f>
        <v>쌀(국산)90%, 귀리(국산.친환경)5%, 정제수</v>
      </c>
      <c r="H10" s="218">
        <f>IFERROR(INDEX(온라인_반찬!$D$2:$J$605,MATCH($D10,온라인_반찬!$C$2:$C$605,0),6),"")</f>
        <v>0</v>
      </c>
      <c r="I10" s="219" t="s">
        <v>2171</v>
      </c>
      <c r="J10" s="257">
        <v>41</v>
      </c>
      <c r="K10" s="255">
        <v>6300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1036</v>
      </c>
      <c r="E11" s="115">
        <v>160</v>
      </c>
      <c r="F11" s="116"/>
      <c r="G11" s="106" t="str">
        <f>IFERROR(INDEX(온라인_반찬!$C$2:$H$612,MATCH($D11,온라인_반찬!$C$2:$C$612,0),6),"")</f>
        <v>무(국산)15%, 소고기(호주산)8%, 두부(원료수입산)5%, 양파, 대파, 마늘, 정제수, 멸치육수농축액, 국간장, 소금</v>
      </c>
      <c r="H11" s="94" t="str">
        <f>IFERROR(INDEX(온라인_반찬!$D$2:$J$605,MATCH($D11,온라인_반찬!$C$2:$C$605,0),6),"")</f>
        <v>.5.16.</v>
      </c>
      <c r="I11" s="102" t="s">
        <v>2171</v>
      </c>
      <c r="J11" s="95">
        <v>41</v>
      </c>
      <c r="K11" s="94">
        <v>6560</v>
      </c>
      <c r="L11" s="121" t="str">
        <f>IFERROR(INDEX(온라인_반찬!$C$2:$J$605,MATCH($D11,온라인_반찬!$C$2:$C$605,0),8),"")</f>
        <v>40g / 50g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279" t="s">
        <v>1017</v>
      </c>
      <c r="E12" s="280">
        <v>100</v>
      </c>
      <c r="F12" s="281"/>
      <c r="G12" s="282" t="str">
        <f>IFERROR(INDEX(온라인_반찬!$C$2:$H$612,MATCH($D12,온라인_반찬!$C$2:$C$612,0),6),"")</f>
        <v>닭(국산)54%, 감자(국산)10%, 양파, 당근, 파, 마늘, 정제수, 고추가루, 간장, 후추, 소금</v>
      </c>
      <c r="H12" s="283" t="str">
        <f>IFERROR(INDEX(온라인_반찬!$D$2:$J$605,MATCH($D12,온라인_반찬!$C$2:$C$605,0),6),"")</f>
        <v>.5.6.15.</v>
      </c>
      <c r="I12" s="102" t="s">
        <v>2171</v>
      </c>
      <c r="J12" s="95">
        <v>106</v>
      </c>
      <c r="K12" s="94">
        <v>10250</v>
      </c>
      <c r="L12" s="121">
        <f>IFERROR(INDEX(온라인_반찬!$C$2:$J$605,MATCH($D12,온라인_반찬!$C$2:$C$605,0),8),"")</f>
        <v>0</v>
      </c>
      <c r="M12" s="113"/>
      <c r="N12" s="113"/>
    </row>
    <row r="13" spans="2:23" ht="39.950000000000003" customHeight="1">
      <c r="B13" s="336"/>
      <c r="C13" s="236" t="s">
        <v>511</v>
      </c>
      <c r="D13" s="96" t="s">
        <v>1713</v>
      </c>
      <c r="E13" s="115"/>
      <c r="F13" s="116">
        <v>2</v>
      </c>
      <c r="G13" s="106" t="str">
        <f>IFERROR(INDEX(온라인_반찬!$C$2:$H$612,MATCH($D13,온라인_반찬!$C$2:$C$612,0),6),"")</f>
        <v>돼지고기(국내산)25.06%,소고기(국내산)5%,양배추,양파(국내산),설탕,빵가루,표고버섯,옥수수전본,대파,당근,양조간장,마늘,참기름,생강,소금,후추</v>
      </c>
      <c r="H13" s="94" t="str">
        <f>IFERROR(INDEX(온라인_반찬!$D$2:$J$605,MATCH($D13,온라인_반찬!$C$2:$C$605,0),6),"")</f>
        <v>.5.6.10.16.</v>
      </c>
      <c r="I13" s="102" t="s">
        <v>2171</v>
      </c>
      <c r="J13" s="95">
        <v>41</v>
      </c>
      <c r="K13" s="94">
        <v>102.5</v>
      </c>
      <c r="L13" s="121" t="str">
        <f>IFERROR(INDEX(온라인_반찬!$C$2:$J$605,MATCH($D13,온라인_반찬!$C$2:$C$605,0),8),"")</f>
        <v>육즙가득미니떡갈비(아이누리)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2115</v>
      </c>
      <c r="E14" s="115">
        <v>40</v>
      </c>
      <c r="F14" s="116"/>
      <c r="G14" s="106" t="str">
        <f>IFERROR(INDEX(온라인_반찬!$C$2:$H$612,MATCH($D14,온라인_반찬!$C$2:$C$612,0),6),"")</f>
        <v>숙주(녹두:외국산)90%, 당근, 마늘, 대파, 참치액, 소금, 참기름, 참깨</v>
      </c>
      <c r="H14" s="94" t="str">
        <f>IFERROR(INDEX(온라인_반찬!$D$2:$J$605,MATCH($D14,온라인_반찬!$C$2:$C$605,0),6),"")</f>
        <v>.5.21.</v>
      </c>
      <c r="I14" s="102" t="s">
        <v>2171</v>
      </c>
      <c r="J14" s="95">
        <v>41</v>
      </c>
      <c r="K14" s="94">
        <v>1640</v>
      </c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520</v>
      </c>
      <c r="E15" s="115">
        <v>35</v>
      </c>
      <c r="F15" s="115"/>
      <c r="G15" s="106" t="str">
        <f>IFERROR(INDEX(온라인_반찬!$C$2:$H$612,MATCH($D15,온라인_반찬!$C$2:$C$612,0),6),"")</f>
        <v>무(국산)85.2%, 고추가루(국산), 밀가루풀(국산), 파, 마늘, 새우젓 등 양념(국산)</v>
      </c>
      <c r="H15" s="94" t="str">
        <f>IFERROR(INDEX(온라인_반찬!$D$2:$J$605,MATCH($D15,온라인_반찬!$C$2:$C$605,0),6),"")</f>
        <v>.6.9.</v>
      </c>
      <c r="I15" s="102" t="s">
        <v>2171</v>
      </c>
      <c r="J15" s="95">
        <v>41</v>
      </c>
      <c r="K15" s="94">
        <v>1435</v>
      </c>
      <c r="L15" s="121">
        <f>IFERROR(INDEX(온라인_반찬!$C$2:$J$605,MATCH($D15,온라인_반찬!$C$2:$C$605,0),8),"")</f>
        <v>0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1767</v>
      </c>
      <c r="E16" s="115"/>
      <c r="F16" s="115"/>
      <c r="G16" s="106" t="str">
        <f>IFERROR(INDEX(온라인_반찬!$C$2:$H$612,MATCH($D16,온라인_반찬!$C$2:$C$612,0),6),"")</f>
        <v/>
      </c>
      <c r="H16" s="94" t="str">
        <f>IFERROR(INDEX(온라인_반찬!$D$2:$J$605,MATCH($D16,온라인_반찬!$C$2:$C$605,0),6),"")</f>
        <v/>
      </c>
      <c r="I16" s="102" t="s">
        <v>2171</v>
      </c>
      <c r="J16" s="95"/>
      <c r="K16" s="94"/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2170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2170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2170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2170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2170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2170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9462-0B98-4AEB-8FA1-6B79CA63F46D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2176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1152</v>
      </c>
      <c r="E3" s="253">
        <v>140</v>
      </c>
      <c r="F3" s="253"/>
      <c r="G3" s="254" t="str">
        <f>IFERROR(INDEX(온라인_반찬!$C$2:$H$612,MATCH($D3,온라인_반찬!$C$2:$C$612,0),6),"")</f>
        <v>쌀(국산)90%, 찰흑미(국산.친환경)5%, 정제수</v>
      </c>
      <c r="H3" s="255">
        <f>IFERROR(INDEX(온라인_반찬!$D$2:$J$605,MATCH($D3,온라인_반찬!$C$2:$C$605,0),6),"")</f>
        <v>0</v>
      </c>
      <c r="I3" s="256" t="s">
        <v>2174</v>
      </c>
      <c r="J3" s="257">
        <v>1446</v>
      </c>
      <c r="K3" s="255">
        <v>231580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770</v>
      </c>
      <c r="E4" s="115">
        <v>150</v>
      </c>
      <c r="F4" s="116"/>
      <c r="G4" s="106" t="str">
        <f>IFERROR(INDEX(온라인_반찬!$C$2:$H$612,MATCH($D4,온라인_반찬!$C$2:$C$612,0),6),"")</f>
        <v>모둠채소[(호박.감자.양파.느타리버섯:국산),.표고버섯(중국산)]20%, 두부(원료수입산)5%, 정제수, 된장, 대파, 마늘, 소금</v>
      </c>
      <c r="H4" s="94" t="str">
        <f>IFERROR(INDEX(온라인_반찬!$D$2:$J$605,MATCH($D4,온라인_반찬!$C$2:$C$605,0),6),"")</f>
        <v>.5.</v>
      </c>
      <c r="I4" s="102" t="s">
        <v>2174</v>
      </c>
      <c r="J4" s="95">
        <v>1446</v>
      </c>
      <c r="K4" s="94">
        <v>238440</v>
      </c>
      <c r="L4" s="121" t="str">
        <f>IFERROR(INDEX(온라인_반찬!$C$2:$J$605,MATCH($D4,온라인_반찬!$C$2:$C$605,0),8),"")</f>
        <v>50g / 60g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1761</v>
      </c>
      <c r="E5" s="115">
        <v>60</v>
      </c>
      <c r="F5" s="116"/>
      <c r="G5" s="106" t="str">
        <f>IFERROR(INDEX(온라인_반찬!$C$2:$H$612,MATCH($D5,온라인_반찬!$C$2:$C$612,0),6),"")</f>
        <v>소고기(호주산)75%, 새송이버섯(국산)10%, 황금팽이버섯(국산)2%, 당근, 대파, 마늘, 간장, 맛술, 참기름, 후추, 참깨</v>
      </c>
      <c r="H5" s="94" t="str">
        <f>IFERROR(INDEX(온라인_반찬!$D$2:$J$605,MATCH($D5,온라인_반찬!$C$2:$C$605,0),6),"")</f>
        <v>.5.16.21.</v>
      </c>
      <c r="I5" s="102" t="s">
        <v>2174</v>
      </c>
      <c r="J5" s="95">
        <v>1446</v>
      </c>
      <c r="K5" s="94">
        <v>111895</v>
      </c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2116</v>
      </c>
      <c r="E6" s="115"/>
      <c r="F6" s="116">
        <v>1</v>
      </c>
      <c r="G6" s="106" t="str">
        <f>IFERROR(INDEX(온라인_반찬!$C$2:$H$612,MATCH($D6,온라인_반찬!$C$2:$C$612,0),6),"")</f>
        <v>계란(국산)46.2%, 눈꽃치즈(모짜렐라치즈:외국산)2%, 정제수, 우유, 소금</v>
      </c>
      <c r="H6" s="94" t="str">
        <f>IFERROR(INDEX(온라인_반찬!$D$2:$J$605,MATCH($D6,온라인_반찬!$C$2:$C$605,0),6),"")</f>
        <v>.1.2.</v>
      </c>
      <c r="I6" s="102" t="s">
        <v>2174</v>
      </c>
      <c r="J6" s="95">
        <v>1446</v>
      </c>
      <c r="K6" s="94">
        <v>2193.4999999999991</v>
      </c>
      <c r="L6" s="121">
        <f>IFERROR(INDEX(온라인_반찬!$C$2:$J$605,MATCH($D6,온라인_반찬!$C$2:$C$605,0),8),"")</f>
        <v>0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1810</v>
      </c>
      <c r="E7" s="115">
        <v>30</v>
      </c>
      <c r="F7" s="116"/>
      <c r="G7" s="106" t="str">
        <f>IFERROR(INDEX(온라인_반찬!$C$2:$H$612,MATCH($D7,온라인_반찬!$C$2:$C$612,0),6),"")</f>
        <v>무(국내산)70%, 미역(국산)15%, (국내산)]10%, 설탕, 식초, 레몬즙, 소금, 참깨</v>
      </c>
      <c r="H7" s="94" t="str">
        <f>IFERROR(INDEX(온라인_반찬!$D$2:$J$605,MATCH($D7,온라인_반찬!$C$2:$C$605,0),6),"")</f>
        <v>.5.21.</v>
      </c>
      <c r="I7" s="102" t="s">
        <v>2174</v>
      </c>
      <c r="J7" s="95">
        <v>1446</v>
      </c>
      <c r="K7" s="94">
        <v>53770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950</v>
      </c>
      <c r="E8" s="115">
        <v>25</v>
      </c>
      <c r="F8" s="115"/>
      <c r="G8" s="106" t="str">
        <f>IFERROR(INDEX(온라인_반찬!$C$2:$H$612,MATCH($D8,온라인_반찬!$C$2:$C$612,0),6),"")</f>
        <v>배추(국내산)70&amp;, 무(국내산)10%, 마늘, 생강, 양파, 설탕, 정제수, 소금</v>
      </c>
      <c r="H8" s="94">
        <f>IFERROR(INDEX(온라인_반찬!$D$2:$J$605,MATCH($D8,온라인_반찬!$C$2:$C$605,0),6),"")</f>
        <v>0</v>
      </c>
      <c r="I8" s="102" t="s">
        <v>2174</v>
      </c>
      <c r="J8" s="95">
        <v>1381</v>
      </c>
      <c r="K8" s="94">
        <v>38425</v>
      </c>
      <c r="L8" s="121" t="str">
        <f>IFERROR(INDEX(온라인_반찬!$C$2:$J$605,MATCH($D8,온라인_반찬!$C$2:$C$605,0),8),"")</f>
        <v>백김치(정우식품)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2177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1152</v>
      </c>
      <c r="E10" s="216">
        <v>150</v>
      </c>
      <c r="F10" s="216"/>
      <c r="G10" s="217" t="str">
        <f>IFERROR(INDEX(온라인_반찬!$C$2:$H$612,MATCH($D10,온라인_반찬!$C$2:$C$612,0),6),"")</f>
        <v>쌀(국산)90%, 찰흑미(국산.친환경)5%, 정제수</v>
      </c>
      <c r="H10" s="218">
        <f>IFERROR(INDEX(온라인_반찬!$D$2:$J$605,MATCH($D10,온라인_반찬!$C$2:$C$605,0),6),"")</f>
        <v>0</v>
      </c>
      <c r="I10" s="219" t="s">
        <v>2175</v>
      </c>
      <c r="J10" s="257">
        <v>49</v>
      </c>
      <c r="K10" s="255">
        <v>7950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770</v>
      </c>
      <c r="E11" s="115">
        <v>160</v>
      </c>
      <c r="F11" s="116"/>
      <c r="G11" s="106" t="str">
        <f>IFERROR(INDEX(온라인_반찬!$C$2:$H$612,MATCH($D11,온라인_반찬!$C$2:$C$612,0),6),"")</f>
        <v>모둠채소[(호박.감자.양파.느타리버섯:국산),.표고버섯(중국산)]20%, 두부(원료수입산)5%, 정제수, 된장, 대파, 마늘, 소금</v>
      </c>
      <c r="H11" s="94" t="str">
        <f>IFERROR(INDEX(온라인_반찬!$D$2:$J$605,MATCH($D11,온라인_반찬!$C$2:$C$605,0),6),"")</f>
        <v>.5.</v>
      </c>
      <c r="I11" s="102" t="s">
        <v>2175</v>
      </c>
      <c r="J11" s="95">
        <v>49</v>
      </c>
      <c r="K11" s="94">
        <v>8010</v>
      </c>
      <c r="L11" s="121" t="str">
        <f>IFERROR(INDEX(온라인_반찬!$C$2:$J$605,MATCH($D11,온라인_반찬!$C$2:$C$605,0),8),"")</f>
        <v>50g / 60g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1761</v>
      </c>
      <c r="E12" s="115">
        <v>80</v>
      </c>
      <c r="F12" s="116"/>
      <c r="G12" s="106" t="str">
        <f>IFERROR(INDEX(온라인_반찬!$C$2:$H$612,MATCH($D12,온라인_반찬!$C$2:$C$612,0),6),"")</f>
        <v>소고기(호주산)75%, 새송이버섯(국산)10%, 황금팽이버섯(국산)2%, 당근, 대파, 마늘, 간장, 맛술, 참기름, 후추, 참깨</v>
      </c>
      <c r="H12" s="94" t="str">
        <f>IFERROR(INDEX(온라인_반찬!$D$2:$J$605,MATCH($D12,온라인_반찬!$C$2:$C$605,0),6),"")</f>
        <v>.5.16.21.</v>
      </c>
      <c r="I12" s="102" t="s">
        <v>2175</v>
      </c>
      <c r="J12" s="95">
        <v>49</v>
      </c>
      <c r="K12" s="94">
        <v>4304</v>
      </c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2116</v>
      </c>
      <c r="E13" s="115"/>
      <c r="F13" s="116">
        <v>2</v>
      </c>
      <c r="G13" s="106" t="str">
        <f>IFERROR(INDEX(온라인_반찬!$C$2:$H$612,MATCH($D13,온라인_반찬!$C$2:$C$612,0),6),"")</f>
        <v>계란(국산)46.2%, 눈꽃치즈(모짜렐라치즈:외국산)2%, 정제수, 우유, 소금</v>
      </c>
      <c r="H13" s="94" t="str">
        <f>IFERROR(INDEX(온라인_반찬!$D$2:$J$605,MATCH($D13,온라인_반찬!$C$2:$C$605,0),6),"")</f>
        <v>.1.2.</v>
      </c>
      <c r="I13" s="102" t="s">
        <v>2175</v>
      </c>
      <c r="J13" s="95">
        <v>49</v>
      </c>
      <c r="K13" s="94">
        <v>102.9</v>
      </c>
      <c r="L13" s="121">
        <f>IFERROR(INDEX(온라인_반찬!$C$2:$J$605,MATCH($D13,온라인_반찬!$C$2:$C$605,0),8),"")</f>
        <v>0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1810</v>
      </c>
      <c r="E14" s="115">
        <v>35</v>
      </c>
      <c r="F14" s="116"/>
      <c r="G14" s="106" t="str">
        <f>IFERROR(INDEX(온라인_반찬!$C$2:$H$612,MATCH($D14,온라인_반찬!$C$2:$C$612,0),6),"")</f>
        <v>무(국내산)70%, 미역(국산)15%, (국내산)]10%, 설탕, 식초, 레몬즙, 소금, 참깨</v>
      </c>
      <c r="H14" s="94" t="str">
        <f>IFERROR(INDEX(온라인_반찬!$D$2:$J$605,MATCH($D14,온라인_반찬!$C$2:$C$605,0),6),"")</f>
        <v>.5.21.</v>
      </c>
      <c r="I14" s="102" t="s">
        <v>2175</v>
      </c>
      <c r="J14" s="95">
        <v>49</v>
      </c>
      <c r="K14" s="94">
        <v>1715</v>
      </c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279" t="s">
        <v>1329</v>
      </c>
      <c r="E15" s="280">
        <v>35</v>
      </c>
      <c r="F15" s="280"/>
      <c r="G15" s="282" t="str">
        <f>IFERROR(INDEX(온라인_반찬!$C$2:$H$612,MATCH($D15,온라인_반찬!$C$2:$C$612,0),6),"")</f>
        <v>절임열무51%(열무,식염, 고춧가루, 양파, 대파, 전용풀. 마늘, 다시마농축액.새우액젓.생강:국산)</v>
      </c>
      <c r="H15" s="283" t="str">
        <f>IFERROR(INDEX(온라인_반찬!$D$2:$J$605,MATCH($D15,온라인_반찬!$C$2:$C$605,0),6),"")</f>
        <v>.9.</v>
      </c>
      <c r="I15" s="102" t="s">
        <v>2175</v>
      </c>
      <c r="J15" s="95">
        <v>114</v>
      </c>
      <c r="K15" s="94">
        <v>4965</v>
      </c>
      <c r="L15" s="121" t="str">
        <f>IFERROR(INDEX(온라인_반찬!$C$2:$J$605,MATCH($D15,온라인_반찬!$C$2:$C$605,0),8),"")</f>
        <v>열무김치(종가김치)</v>
      </c>
      <c r="M15" s="113"/>
      <c r="N15" s="113"/>
    </row>
    <row r="16" spans="2:23" ht="39.950000000000003" customHeight="1">
      <c r="B16" s="336"/>
      <c r="C16" s="213" t="s">
        <v>1196</v>
      </c>
      <c r="D16" s="96" t="s">
        <v>2289</v>
      </c>
      <c r="E16" s="115">
        <v>100</v>
      </c>
      <c r="F16" s="115"/>
      <c r="G16" s="106" t="str">
        <f>IFERROR(INDEX(온라인_반찬!$C$2:$H$612,MATCH($D16,온라인_반찬!$C$2:$C$612,0),6),"")</f>
        <v>모둠해물[낙지(베트남산), 갑오징어(베이비까:베트남산), 자숙새우살(베트남산)]50%, 콩나물(대두:외국산)35%, 양파, 대파, 마늘, 고춧가루(국내산), 소금, 국간장, 녹말, 참기름, 참깨</v>
      </c>
      <c r="H16" s="94" t="str">
        <f>IFERROR(INDEX(온라인_반찬!$D$2:$J$605,MATCH($D16,온라인_반찬!$C$2:$C$605,0),6),"")</f>
        <v>.5.9.17.21.</v>
      </c>
      <c r="I16" s="102" t="s">
        <v>2175</v>
      </c>
      <c r="J16" s="95">
        <v>28</v>
      </c>
      <c r="K16" s="94">
        <v>3250</v>
      </c>
      <c r="L16" s="157">
        <f>IFERROR(INDEX(온라인_반찬!$C$2:$J$605,MATCH($D16,온라인_반찬!$C$2:$C$605,0),8),"")</f>
        <v>0</v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2174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2174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2174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2174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2174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2174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1720-E425-4200-9C17-55E4DEFA9E2E}">
  <sheetPr>
    <tabColor rgb="FFFFFF00"/>
    <pageSetUpPr fitToPage="1"/>
  </sheetPr>
  <dimension ref="B1:W27"/>
  <sheetViews>
    <sheetView zoomScale="80" zoomScaleNormal="80" zoomScaleSheetLayoutView="75" workbookViewId="0">
      <selection activeCell="L11" sqref="L1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2180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2159</v>
      </c>
      <c r="E3" s="253">
        <v>140</v>
      </c>
      <c r="F3" s="253"/>
      <c r="G3" s="254" t="str">
        <f>IFERROR(INDEX(온라인_반찬!$C$2:$H$612,MATCH($D3,온라인_반찬!$C$2:$C$612,0),6),"")</f>
        <v>쌀(국산)95%, 정제수</v>
      </c>
      <c r="H3" s="255">
        <f>IFERROR(INDEX(온라인_반찬!$D$2:$J$605,MATCH($D3,온라인_반찬!$C$2:$C$605,0),6),"")</f>
        <v>0</v>
      </c>
      <c r="I3" s="256" t="s">
        <v>2178</v>
      </c>
      <c r="J3" s="257">
        <v>1367</v>
      </c>
      <c r="K3" s="255">
        <v>219190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1727</v>
      </c>
      <c r="E4" s="115">
        <v>150</v>
      </c>
      <c r="F4" s="116"/>
      <c r="G4" s="106" t="str">
        <f>IFERROR(INDEX(온라인_반찬!$C$2:$H$612,MATCH($D4,온라인_반찬!$C$2:$C$612,0),6),"")</f>
        <v>닭고기(국내산)7%, 버섯 [느타리,새송이:국산)]5%, 무(국산), 양파, 정제수, 마늘, 대파, 치킨스톡, 국간장, 소금</v>
      </c>
      <c r="H4" s="94" t="str">
        <f>IFERROR(INDEX(온라인_반찬!$D$2:$J$605,MATCH($D4,온라인_반찬!$C$2:$C$605,0),6),"")</f>
        <v>.5.15.</v>
      </c>
      <c r="I4" s="102" t="s">
        <v>2178</v>
      </c>
      <c r="J4" s="95">
        <v>1367</v>
      </c>
      <c r="K4" s="94">
        <v>225630</v>
      </c>
      <c r="L4" s="121" t="str">
        <f>IFERROR(INDEX(온라인_반찬!$C$2:$J$605,MATCH($D4,온라인_반찬!$C$2:$C$605,0),8),"")</f>
        <v>40g / 50g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1519</v>
      </c>
      <c r="E5" s="115">
        <v>70</v>
      </c>
      <c r="F5" s="116"/>
      <c r="G5" s="106" t="str">
        <f>IFERROR(INDEX(온라인_반찬!$C$2:$H$612,MATCH($D5,온라인_반찬!$C$2:$C$612,0),6),"")</f>
        <v>돼지사태(국산)62%, 곤약, 양파, 표고버섯, 파인애플(전처리용), 당근, 대파, 마늘, 생강가루, 월계수잎, 정제수, 간장, 설탕, 맛술, 물엿, 참기름, 후추</v>
      </c>
      <c r="H5" s="94" t="str">
        <f>IFERROR(INDEX(온라인_반찬!$D$2:$J$605,MATCH($D5,온라인_반찬!$C$2:$C$605,0),6),"")</f>
        <v>.5.6.10.19.21.</v>
      </c>
      <c r="I5" s="102" t="s">
        <v>2178</v>
      </c>
      <c r="J5" s="95">
        <v>1367</v>
      </c>
      <c r="K5" s="94">
        <v>113020</v>
      </c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707</v>
      </c>
      <c r="E6" s="115">
        <v>35</v>
      </c>
      <c r="F6" s="116"/>
      <c r="G6" s="106" t="str">
        <f>IFERROR(INDEX(온라인_반찬!$C$2:$H$612,MATCH($D6,온라인_반찬!$C$2:$C$612,0),6),"")</f>
        <v>어묵(원료수입산)85%, 채소(양파, 당근, 파:국산)10%, 마늘, 대두유, 간장, 참기름, 참깨</v>
      </c>
      <c r="H6" s="94" t="str">
        <f>IFERROR(INDEX(온라인_반찬!$D$2:$J$605,MATCH($D6,온라인_반찬!$C$2:$C$605,0),6),"")</f>
        <v>.5.6.21.</v>
      </c>
      <c r="I6" s="102" t="s">
        <v>2178</v>
      </c>
      <c r="J6" s="95">
        <v>1367</v>
      </c>
      <c r="K6" s="94">
        <v>57300</v>
      </c>
      <c r="L6" s="121">
        <f>IFERROR(INDEX(온라인_반찬!$C$2:$J$605,MATCH($D6,온라인_반찬!$C$2:$C$605,0),8),"")</f>
        <v>0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2181</v>
      </c>
      <c r="E7" s="115">
        <v>30</v>
      </c>
      <c r="F7" s="116"/>
      <c r="G7" s="106" t="str">
        <f>IFERROR(INDEX(온라인_반찬!$C$2:$H$612,MATCH($D7,온라인_반찬!$C$2:$C$612,0),6),"")</f>
        <v>[양배추(국산)90%, 적채(국산)2.5%, 오렌지슬라이스(오렌지:미국산)7.5%]87%, 오렌지드레싱[밀감(중국산),설탕, 옥수수(외국산), 오렌지농축액(브라질산)]13%</v>
      </c>
      <c r="H7" s="94" t="str">
        <f>IFERROR(INDEX(온라인_반찬!$D$2:$J$605,MATCH($D7,온라인_반찬!$C$2:$C$605,0),6),"")</f>
        <v>.5.</v>
      </c>
      <c r="I7" s="102" t="s">
        <v>2178</v>
      </c>
      <c r="J7" s="95">
        <v>1367</v>
      </c>
      <c r="K7" s="94">
        <v>49490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520</v>
      </c>
      <c r="E8" s="115">
        <v>25</v>
      </c>
      <c r="F8" s="115"/>
      <c r="G8" s="106" t="str">
        <f>IFERROR(INDEX(온라인_반찬!$C$2:$H$612,MATCH($D8,온라인_반찬!$C$2:$C$612,0),6),"")</f>
        <v>무(국산)85.2%, 고추가루(국산), 밀가루풀(국산), 파, 마늘, 새우젓 등 양념(국산)</v>
      </c>
      <c r="H8" s="94" t="str">
        <f>IFERROR(INDEX(온라인_반찬!$D$2:$J$605,MATCH($D8,온라인_반찬!$C$2:$C$605,0),6),"")</f>
        <v>.6.9.</v>
      </c>
      <c r="I8" s="102" t="s">
        <v>2178</v>
      </c>
      <c r="J8" s="95">
        <v>1367</v>
      </c>
      <c r="K8" s="94">
        <v>39500</v>
      </c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2184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9" t="s">
        <v>2182</v>
      </c>
      <c r="C10" s="93" t="s">
        <v>509</v>
      </c>
      <c r="D10" s="154" t="s">
        <v>544</v>
      </c>
      <c r="E10" s="115"/>
      <c r="F10" s="115" t="s">
        <v>2185</v>
      </c>
      <c r="G10" s="106" t="str">
        <f>IFERROR(INDEX(온라인_반찬!$C$2:$H$612,MATCH($D10,온라인_반찬!$C$2:$C$612,0),6),"")</f>
        <v>밥(쌀:국산)95%, 후리카케[볶은참깨(참깨:인도산), 밀소맥볼(밀:미국,호주산),조각김(김:국산), 양조간장], 맛소금, 참기름</v>
      </c>
      <c r="H10" s="94" t="str">
        <f>IFERROR(INDEX(온라인_반찬!$D$2:$J$605,MATCH($D10,온라인_반찬!$C$2:$C$605,0),6),"")</f>
        <v>.5.21.</v>
      </c>
      <c r="I10" s="102" t="s">
        <v>2178</v>
      </c>
      <c r="J10" s="150">
        <v>93</v>
      </c>
      <c r="K10" s="150">
        <v>11330</v>
      </c>
      <c r="L10" s="121" t="str">
        <f>IFERROR(INDEX(온라인_반찬!$C$2:$J$605,MATCH($D10,온라인_반찬!$C$2:$C$605,0),8),"")</f>
        <v>노리풍후리가케(이엔푸드)</v>
      </c>
      <c r="M10" s="113"/>
    </row>
    <row r="11" spans="2:23" ht="39.950000000000003" customHeight="1">
      <c r="B11" s="340"/>
      <c r="C11" s="342" t="s">
        <v>511</v>
      </c>
      <c r="D11" s="154" t="s">
        <v>944</v>
      </c>
      <c r="E11" s="115">
        <v>100</v>
      </c>
      <c r="F11" s="115"/>
      <c r="G11" s="106" t="str">
        <f>IFERROR(INDEX(온라인_반찬!$C$2:$H$612,MATCH($D11,온라인_반찬!$C$2:$C$612,0),6),"")</f>
        <v>스파게티면(듀럼밀100%)97%, 올리브오일3%</v>
      </c>
      <c r="H11" s="94" t="str">
        <f>IFERROR(INDEX(온라인_반찬!$D$2:$J$605,MATCH($D11,온라인_반찬!$C$2:$C$605,0),6),"")</f>
        <v>.6.</v>
      </c>
      <c r="I11" s="102" t="s">
        <v>2178</v>
      </c>
      <c r="J11" s="150">
        <v>93</v>
      </c>
      <c r="K11" s="150">
        <v>13470</v>
      </c>
      <c r="L11" s="121">
        <f>IFERROR(INDEX(온라인_반찬!$C$2:$J$605,MATCH($D11,온라인_반찬!$C$2:$C$605,0),8),"")</f>
        <v>0</v>
      </c>
      <c r="M11" s="113"/>
    </row>
    <row r="12" spans="2:23" ht="39.950000000000003" customHeight="1">
      <c r="B12" s="340"/>
      <c r="C12" s="343"/>
      <c r="D12" s="154" t="s">
        <v>1013</v>
      </c>
      <c r="E12" s="115">
        <v>120</v>
      </c>
      <c r="F12" s="115"/>
      <c r="G12" s="106" t="str">
        <f>IFERROR(INDEX(온라인_반찬!$C$2:$H$612,MATCH($D12,온라인_반찬!$C$2:$C$612,0),6),"")</f>
        <v>양파, 피망, 토마토소스[과채가공품(토마토:이탈리아산),토마토페이스트(토마토:중국산)], 올리브오일, 후추, 파슬리가루</v>
      </c>
      <c r="H12" s="94" t="str">
        <f>IFERROR(INDEX(온라인_반찬!$D$2:$J$605,MATCH($D12,온라인_반찬!$C$2:$C$605,0),6),"")</f>
        <v>.5.12.</v>
      </c>
      <c r="I12" s="102" t="s">
        <v>2178</v>
      </c>
      <c r="J12" s="150">
        <v>93</v>
      </c>
      <c r="K12" s="150">
        <v>253.79999999999998</v>
      </c>
      <c r="L12" s="121" t="str">
        <f>IFERROR(INDEX(온라인_반찬!$C$2:$J$605,MATCH($D12,온라인_반찬!$C$2:$C$605,0),8),"")</f>
        <v xml:space="preserve">토마토소스(이츠웰) </v>
      </c>
      <c r="M12" s="113"/>
    </row>
    <row r="13" spans="2:23" ht="39.950000000000003" customHeight="1">
      <c r="B13" s="340"/>
      <c r="C13" s="152" t="s">
        <v>512</v>
      </c>
      <c r="D13" s="154" t="s">
        <v>1771</v>
      </c>
      <c r="E13" s="115">
        <v>55</v>
      </c>
      <c r="F13" s="115"/>
      <c r="G13" s="106" t="str">
        <f>IFERROR(INDEX(온라인_반찬!$C$2:$H$612,MATCH($D13,온라인_반찬!$C$2:$C$612,0),6),"")</f>
        <v>순살치킨[닭고기(닭다리살:브라질산)64.76%,밀가루(밀:호주산,미국산),옥수수전분(옥수수:외국산), 대두유]</v>
      </c>
      <c r="H13" s="94" t="str">
        <f>IFERROR(INDEX(온라인_반찬!$D$2:$J$605,MATCH($D13,온라인_반찬!$C$2:$C$605,0),6),"")</f>
        <v>.1.2.5.6.15.16.</v>
      </c>
      <c r="I13" s="102" t="s">
        <v>2178</v>
      </c>
      <c r="J13" s="150">
        <v>93</v>
      </c>
      <c r="K13" s="150">
        <v>6257</v>
      </c>
      <c r="L13" s="121" t="str">
        <f>IFERROR(INDEX(온라인_반찬!$C$2:$J$605,MATCH($D13,온라인_반찬!$C$2:$C$605,0),8),"")</f>
        <v>550g/1,200g/순살치킨가라아게(하림)</v>
      </c>
      <c r="M13" s="113"/>
    </row>
    <row r="14" spans="2:23" ht="39.950000000000003" customHeight="1">
      <c r="B14" s="340"/>
      <c r="C14" s="107" t="s">
        <v>693</v>
      </c>
      <c r="D14" s="154" t="s">
        <v>2183</v>
      </c>
      <c r="E14" s="115"/>
      <c r="F14" s="115">
        <v>1</v>
      </c>
      <c r="G14" s="106" t="str">
        <f>IFERROR(INDEX(온라인_반찬!$C$2:$H$612,MATCH($D14,온라인_반찬!$C$2:$C$612,0),6),"")</f>
        <v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v>
      </c>
      <c r="H14" s="94" t="str">
        <f>IFERROR(INDEX(온라인_반찬!$D$2:$J$605,MATCH($D14,온라인_반찬!$C$2:$C$605,0),6),"")</f>
        <v>.2.5.6.10.12.16.18.</v>
      </c>
      <c r="I14" s="102" t="s">
        <v>2178</v>
      </c>
      <c r="J14" s="150">
        <v>93</v>
      </c>
      <c r="K14" s="150">
        <v>129.39999999999998</v>
      </c>
      <c r="L14" s="121" t="str">
        <f>IFERROR(INDEX(온라인_반찬!$C$2:$J$605,MATCH($D14,온라인_반찬!$C$2:$C$605,0),8),"")</f>
        <v>조흥 마또네콤비네이션피자</v>
      </c>
      <c r="M14" s="113"/>
    </row>
    <row r="15" spans="2:23" ht="39.950000000000003" customHeight="1">
      <c r="B15" s="340"/>
      <c r="C15" s="152" t="s">
        <v>76</v>
      </c>
      <c r="D15" s="154" t="s">
        <v>577</v>
      </c>
      <c r="E15" s="115">
        <v>25</v>
      </c>
      <c r="F15" s="115"/>
      <c r="G15" s="106" t="str">
        <f>IFERROR(INDEX(온라인_반찬!$C$2:$H$612,MATCH($D15,온라인_반찬!$C$2:$C$612,0),6),"")</f>
        <v>절임오이(오이:중국산, 정제염, 정제수, 화이트식초)</v>
      </c>
      <c r="H15" s="94">
        <f>IFERROR(INDEX(온라인_반찬!$D$2:$J$605,MATCH($D15,온라인_반찬!$C$2:$C$605,0),6),"")</f>
        <v>0</v>
      </c>
      <c r="I15" s="102" t="s">
        <v>2178</v>
      </c>
      <c r="J15" s="150">
        <v>93</v>
      </c>
      <c r="K15" s="150">
        <v>2650</v>
      </c>
      <c r="L15" s="121" t="str">
        <f>IFERROR(INDEX(온라인_반찬!$C$2:$J$605,MATCH($D15,온라인_반찬!$C$2:$C$605,0),8),"")</f>
        <v>오이피클(이츠웰)</v>
      </c>
      <c r="M15" s="113"/>
    </row>
    <row r="16" spans="2:23" ht="39.950000000000003" customHeight="1" thickBot="1">
      <c r="B16" s="341"/>
      <c r="C16" s="122" t="s">
        <v>74</v>
      </c>
      <c r="D16" s="123"/>
      <c r="E16" s="123"/>
      <c r="F16" s="124">
        <v>1</v>
      </c>
      <c r="G16" s="125"/>
      <c r="H16" s="158"/>
      <c r="I16" s="129"/>
      <c r="J16" s="126">
        <v>1</v>
      </c>
      <c r="K16" s="126">
        <v>0.25</v>
      </c>
      <c r="L16" s="127"/>
    </row>
    <row r="17" spans="2:19" ht="39.950000000000003" customHeight="1">
      <c r="B17" s="336" t="s">
        <v>1844</v>
      </c>
      <c r="C17" s="242" t="s">
        <v>509</v>
      </c>
      <c r="D17" s="252" t="s">
        <v>2159</v>
      </c>
      <c r="E17" s="216">
        <v>150</v>
      </c>
      <c r="F17" s="216"/>
      <c r="G17" s="217" t="str">
        <f>IFERROR(INDEX(온라인_반찬!$C$2:$H$612,MATCH($D17,온라인_반찬!$C$2:$C$612,0),6),"")</f>
        <v>쌀(국산)95%, 정제수</v>
      </c>
      <c r="H17" s="218">
        <f>IFERROR(INDEX(온라인_반찬!$D$2:$J$605,MATCH($D17,온라인_반찬!$C$2:$C$605,0),6),"")</f>
        <v>0</v>
      </c>
      <c r="I17" s="219" t="s">
        <v>2179</v>
      </c>
      <c r="J17" s="257">
        <v>61</v>
      </c>
      <c r="K17" s="255">
        <v>9450</v>
      </c>
      <c r="L17" s="220">
        <f>IFERROR(INDEX(온라인_반찬!$C$2:$J$605,MATCH($D17,온라인_반찬!$C$2:$C$605,0),8),"")</f>
        <v>0</v>
      </c>
      <c r="M17" s="113" t="s">
        <v>1199</v>
      </c>
      <c r="N17" s="113"/>
      <c r="O17" s="113"/>
      <c r="P17" s="113" t="s">
        <v>1254</v>
      </c>
      <c r="S17" s="113" t="s">
        <v>1417</v>
      </c>
    </row>
    <row r="18" spans="2:19" ht="39.950000000000003" customHeight="1">
      <c r="B18" s="336"/>
      <c r="C18" s="236" t="s">
        <v>513</v>
      </c>
      <c r="D18" s="96" t="s">
        <v>1727</v>
      </c>
      <c r="E18" s="115">
        <v>160</v>
      </c>
      <c r="F18" s="116"/>
      <c r="G18" s="106" t="str">
        <f>IFERROR(INDEX(온라인_반찬!$C$2:$H$612,MATCH($D18,온라인_반찬!$C$2:$C$612,0),6),"")</f>
        <v>닭고기(국내산)7%, 버섯 [느타리,새송이:국산)]5%, 무(국산), 양파, 정제수, 마늘, 대파, 치킨스톡, 국간장, 소금</v>
      </c>
      <c r="H18" s="94" t="str">
        <f>IFERROR(INDEX(온라인_반찬!$D$2:$J$605,MATCH($D18,온라인_반찬!$C$2:$C$605,0),6),"")</f>
        <v>.5.15.</v>
      </c>
      <c r="I18" s="102" t="s">
        <v>2179</v>
      </c>
      <c r="J18" s="95">
        <v>61</v>
      </c>
      <c r="K18" s="94">
        <v>9760</v>
      </c>
      <c r="L18" s="121" t="str">
        <f>IFERROR(INDEX(온라인_반찬!$C$2:$J$605,MATCH($D18,온라인_반찬!$C$2:$C$605,0),8),"")</f>
        <v>40g / 50g</v>
      </c>
      <c r="M18" s="113" t="s">
        <v>1586</v>
      </c>
      <c r="N18" s="113"/>
      <c r="O18" s="113"/>
      <c r="P18" s="113" t="s">
        <v>1633</v>
      </c>
      <c r="S18" s="113" t="s">
        <v>1634</v>
      </c>
    </row>
    <row r="19" spans="2:19" ht="39.950000000000003" customHeight="1">
      <c r="B19" s="336"/>
      <c r="C19" s="236" t="s">
        <v>510</v>
      </c>
      <c r="D19" s="279" t="s">
        <v>2036</v>
      </c>
      <c r="E19" s="280">
        <v>85</v>
      </c>
      <c r="F19" s="281"/>
      <c r="G19" s="282" t="str">
        <f>IFERROR(INDEX(온라인_반찬!$C$2:$H$612,MATCH($D19,온라인_반찬!$C$2:$C$612,0),6),"")</f>
        <v>돼지고기(사태:국산)62%, 파인애플(전처리용), 채소(무, 양파, 당근:국산)18%, 대파, 마늘, 생강가루, 월계수잎, 정제수, 고춧가루, 간장, 설탕, 맛술, 물엿, 참기름, 후추</v>
      </c>
      <c r="H19" s="283" t="str">
        <f>IFERROR(INDEX(온라인_반찬!$D$2:$J$605,MATCH($D19,온라인_반찬!$C$2:$C$605,0),6),"")</f>
        <v>.5.10.19.21.</v>
      </c>
      <c r="I19" s="102" t="s">
        <v>2179</v>
      </c>
      <c r="J19" s="95">
        <v>61</v>
      </c>
      <c r="K19" s="94">
        <v>5695.0000000000009</v>
      </c>
      <c r="L19" s="121">
        <f>IFERROR(INDEX(온라인_반찬!$C$2:$J$605,MATCH($D19,온라인_반찬!$C$2:$C$605,0),8),"")</f>
        <v>0</v>
      </c>
      <c r="M19" s="113"/>
      <c r="N19" s="113"/>
    </row>
    <row r="20" spans="2:19" ht="39.950000000000003" customHeight="1">
      <c r="B20" s="336"/>
      <c r="C20" s="236" t="s">
        <v>511</v>
      </c>
      <c r="D20" s="96" t="s">
        <v>707</v>
      </c>
      <c r="E20" s="115">
        <v>40</v>
      </c>
      <c r="F20" s="116"/>
      <c r="G20" s="106" t="str">
        <f>IFERROR(INDEX(온라인_반찬!$C$2:$H$612,MATCH($D20,온라인_반찬!$C$2:$C$612,0),6),"")</f>
        <v>어묵(원료수입산)85%, 채소(양파, 당근, 파:국산)10%, 마늘, 대두유, 간장, 참기름, 참깨</v>
      </c>
      <c r="H20" s="94" t="str">
        <f>IFERROR(INDEX(온라인_반찬!$D$2:$J$605,MATCH($D20,온라인_반찬!$C$2:$C$605,0),6),"")</f>
        <v>.5.6.21.</v>
      </c>
      <c r="I20" s="102" t="s">
        <v>2179</v>
      </c>
      <c r="J20" s="95">
        <v>61</v>
      </c>
      <c r="K20" s="94">
        <v>2440</v>
      </c>
      <c r="L20" s="121">
        <f>IFERROR(INDEX(온라인_반찬!$C$2:$J$605,MATCH($D20,온라인_반찬!$C$2:$C$605,0),8),"")</f>
        <v>0</v>
      </c>
      <c r="M20" s="113"/>
      <c r="N20" s="113"/>
      <c r="O20" s="113"/>
    </row>
    <row r="21" spans="2:19" ht="39.950000000000003" customHeight="1">
      <c r="B21" s="336"/>
      <c r="C21" s="152" t="s">
        <v>233</v>
      </c>
      <c r="D21" s="96" t="s">
        <v>2181</v>
      </c>
      <c r="E21" s="115">
        <v>35</v>
      </c>
      <c r="F21" s="116"/>
      <c r="G21" s="106" t="str">
        <f>IFERROR(INDEX(온라인_반찬!$C$2:$H$612,MATCH($D21,온라인_반찬!$C$2:$C$612,0),6),"")</f>
        <v>[양배추(국산)90%, 적채(국산)2.5%, 오렌지슬라이스(오렌지:미국산)7.5%]87%, 오렌지드레싱[밀감(중국산),설탕, 옥수수(외국산), 오렌지농축액(브라질산)]13%</v>
      </c>
      <c r="H21" s="94" t="str">
        <f>IFERROR(INDEX(온라인_반찬!$D$2:$J$605,MATCH($D21,온라인_반찬!$C$2:$C$605,0),6),"")</f>
        <v>.5.</v>
      </c>
      <c r="I21" s="102" t="s">
        <v>2179</v>
      </c>
      <c r="J21" s="95">
        <v>61</v>
      </c>
      <c r="K21" s="94">
        <v>2135</v>
      </c>
      <c r="L21" s="121">
        <f>IFERROR(INDEX(온라인_반찬!$C$2:$J$605,MATCH($D21,온라인_반찬!$C$2:$C$605,0),8),"")</f>
        <v>0</v>
      </c>
      <c r="M21" s="113"/>
      <c r="N21" s="113"/>
      <c r="O21" s="113"/>
    </row>
    <row r="22" spans="2:19" ht="39.950000000000003" customHeight="1">
      <c r="B22" s="336"/>
      <c r="C22" s="237" t="s">
        <v>693</v>
      </c>
      <c r="D22" s="96" t="s">
        <v>520</v>
      </c>
      <c r="E22" s="115">
        <v>35</v>
      </c>
      <c r="F22" s="115"/>
      <c r="G22" s="106" t="str">
        <f>IFERROR(INDEX(온라인_반찬!$C$2:$H$612,MATCH($D22,온라인_반찬!$C$2:$C$612,0),6),"")</f>
        <v>무(국산)85.2%, 고추가루(국산), 밀가루풀(국산), 파, 마늘, 새우젓 등 양념(국산)</v>
      </c>
      <c r="H22" s="94" t="str">
        <f>IFERROR(INDEX(온라인_반찬!$D$2:$J$605,MATCH($D22,온라인_반찬!$C$2:$C$605,0),6),"")</f>
        <v>.6.9.</v>
      </c>
      <c r="I22" s="102" t="s">
        <v>2179</v>
      </c>
      <c r="J22" s="95">
        <v>61</v>
      </c>
      <c r="K22" s="94">
        <v>2135</v>
      </c>
      <c r="L22" s="121">
        <f>IFERROR(INDEX(온라인_반찬!$C$2:$J$605,MATCH($D22,온라인_반찬!$C$2:$C$605,0),8),"")</f>
        <v>0</v>
      </c>
      <c r="M22" s="113"/>
      <c r="N22" s="113"/>
      <c r="O22" s="113"/>
    </row>
    <row r="23" spans="2:19" ht="39.950000000000003" customHeight="1">
      <c r="B23" s="336"/>
      <c r="C23" s="213" t="s">
        <v>1196</v>
      </c>
      <c r="D23" s="96" t="s">
        <v>1767</v>
      </c>
      <c r="E23" s="115"/>
      <c r="F23" s="115">
        <v>1</v>
      </c>
      <c r="G23" s="106" t="s">
        <v>2314</v>
      </c>
      <c r="H23" s="94" t="str">
        <f>IFERROR(INDEX(온라인_반찬!$D$2:$J$605,MATCH($D23,온라인_반찬!$C$2:$C$605,0),6),"")</f>
        <v/>
      </c>
      <c r="I23" s="102" t="s">
        <v>2179</v>
      </c>
      <c r="J23" s="95">
        <v>20</v>
      </c>
      <c r="K23" s="94">
        <v>22</v>
      </c>
      <c r="L23" s="157" t="str">
        <f>IFERROR(INDEX(온라인_반찬!$C$2:$J$605,MATCH($D23,온라인_반찬!$C$2:$C$605,0),8),"")</f>
        <v/>
      </c>
      <c r="M23" s="113"/>
      <c r="N23" s="113"/>
      <c r="O23" s="113"/>
    </row>
    <row r="24" spans="2:19" ht="39.950000000000003" customHeight="1" thickBot="1">
      <c r="B24" s="337"/>
      <c r="C24" s="153" t="s">
        <v>74</v>
      </c>
      <c r="D24" s="202"/>
      <c r="E24" s="123"/>
      <c r="F24" s="124"/>
      <c r="G24" s="206"/>
      <c r="H24" s="158"/>
      <c r="I24" s="129"/>
      <c r="J24" s="126">
        <v>1</v>
      </c>
      <c r="K24" s="126">
        <v>0.25</v>
      </c>
      <c r="L24" s="127"/>
      <c r="M24" s="113"/>
      <c r="N24" s="113"/>
      <c r="O24" s="113"/>
    </row>
    <row r="25" spans="2:19">
      <c r="L25" s="26"/>
    </row>
    <row r="27" spans="2:19">
      <c r="E27"/>
      <c r="F27" s="114"/>
    </row>
  </sheetData>
  <mergeCells count="6"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27C8-28BE-4879-A00B-E9327E6B228C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2188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2186</v>
      </c>
      <c r="J3" s="257">
        <v>1460</v>
      </c>
      <c r="K3" s="255">
        <v>233780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717</v>
      </c>
      <c r="E4" s="115">
        <v>150</v>
      </c>
      <c r="F4" s="116"/>
      <c r="G4" s="106" t="str">
        <f>IFERROR(INDEX(온라인_반찬!$C$2:$H$612,MATCH($D4,온라인_반찬!$C$2:$C$612,0),6),"")</f>
        <v>조랭이떡(쌀:국내산)25%, 소고기(호주산)3.5%, 계란(국내산)1%, 대파, 마늘, 국간장, 정제수, 소금</v>
      </c>
      <c r="H4" s="94" t="str">
        <f>IFERROR(INDEX(온라인_반찬!$D$2:$J$605,MATCH($D4,온라인_반찬!$C$2:$C$605,0),6),"")</f>
        <v>.1.5.16.</v>
      </c>
      <c r="I4" s="102" t="s">
        <v>2186</v>
      </c>
      <c r="J4" s="95">
        <v>1395</v>
      </c>
      <c r="K4" s="94">
        <v>240540</v>
      </c>
      <c r="L4" s="121" t="str">
        <f>IFERROR(INDEX(온라인_반찬!$C$2:$J$605,MATCH($D4,온라인_반찬!$C$2:$C$605,0),8),"")</f>
        <v>40g / 50g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1160</v>
      </c>
      <c r="E5" s="115">
        <v>60</v>
      </c>
      <c r="F5" s="116"/>
      <c r="G5" s="106" t="str">
        <f>IFERROR(INDEX(온라인_반찬!$C$2:$H$612,MATCH($D5,온라인_반찬!$C$2:$C$612,0),6),"")</f>
        <v>당면(원료수입)60%, 훈제오리(국산)30%, 양파, 청피망, 당근, 표고버섯, 대두유, 간장, 설탕, 참기름, 참깨</v>
      </c>
      <c r="H5" s="94" t="str">
        <f>IFERROR(INDEX(온라인_반찬!$D$2:$J$605,MATCH($D5,온라인_반찬!$C$2:$C$605,0),6),"")</f>
        <v>.5.6.21.</v>
      </c>
      <c r="I5" s="102" t="s">
        <v>2186</v>
      </c>
      <c r="J5" s="95">
        <v>1460</v>
      </c>
      <c r="K5" s="94">
        <v>112855</v>
      </c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2118</v>
      </c>
      <c r="E6" s="115">
        <v>30</v>
      </c>
      <c r="F6" s="116"/>
      <c r="G6" s="106" t="str">
        <f>IFERROR(INDEX(온라인_반찬!$C$2:$H$612,MATCH($D6,온라인_반찬!$C$2:$C$612,0),6),"")</f>
        <v>메추리알(국산)77.3%, 정제수, 통후추, 월계수잎, 간장, 설탕, 물엿, 참기름</v>
      </c>
      <c r="H6" s="94" t="str">
        <f>IFERROR(INDEX(온라인_반찬!$D$2:$J$605,MATCH($D6,온라인_반찬!$C$2:$C$605,0),6),"")</f>
        <v>.1.5.21.</v>
      </c>
      <c r="I6" s="102" t="s">
        <v>2186</v>
      </c>
      <c r="J6" s="95">
        <v>1460</v>
      </c>
      <c r="K6" s="94">
        <v>53530</v>
      </c>
      <c r="L6" s="121">
        <f>IFERROR(INDEX(온라인_반찬!$C$2:$J$605,MATCH($D6,온라인_반찬!$C$2:$C$605,0),8),"")</f>
        <v>0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676</v>
      </c>
      <c r="E7" s="115"/>
      <c r="F7" s="116">
        <v>1</v>
      </c>
      <c r="G7" s="106" t="str">
        <f>IFERROR(INDEX(온라인_반찬!$C$2:$H$612,MATCH($D7,온라인_반찬!$C$2:$C$612,0),6),"")</f>
        <v>김(국산), 카놀라유(원료:외국산), 참기름, 정제소금</v>
      </c>
      <c r="H7" s="94" t="str">
        <f>IFERROR(INDEX(온라인_반찬!$D$2:$J$605,MATCH($D7,온라인_반찬!$C$2:$C$605,0),6),"")</f>
        <v>.21.</v>
      </c>
      <c r="I7" s="102" t="s">
        <v>2186</v>
      </c>
      <c r="J7" s="95">
        <v>1460</v>
      </c>
      <c r="K7" s="94">
        <v>1537.2000000000005</v>
      </c>
      <c r="L7" s="121" t="str">
        <f>IFERROR(INDEX(온라인_반찬!$C$2:$J$605,MATCH($D7,온라인_반찬!$C$2:$C$605,0),8),"")</f>
        <v>양반김(동원)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519</v>
      </c>
      <c r="E8" s="115">
        <v>25</v>
      </c>
      <c r="F8" s="115"/>
      <c r="G8" s="106" t="str">
        <f>IFERROR(INDEX(온라인_반찬!$C$2:$H$612,MATCH($D8,온라인_반찬!$C$2:$C$612,0),6),"")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IFERROR(INDEX(온라인_반찬!$D$2:$J$605,MATCH($D8,온라인_반찬!$C$2:$C$605,0),6),"")</f>
        <v>.9.12.</v>
      </c>
      <c r="I8" s="102" t="s">
        <v>2186</v>
      </c>
      <c r="J8" s="95">
        <v>1460</v>
      </c>
      <c r="K8" s="94">
        <v>40337.5</v>
      </c>
      <c r="L8" s="121" t="str">
        <f>IFERROR(INDEX(온라인_반찬!$C$2:$J$605,MATCH($D8,온라인_반찬!$C$2:$C$605,0),8),"")</f>
        <v>토마토김치(종가집)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60" customHeight="1" thickBot="1">
      <c r="B9" s="337"/>
      <c r="C9" s="153" t="s">
        <v>74</v>
      </c>
      <c r="D9" s="202"/>
      <c r="E9" s="123"/>
      <c r="F9" s="124"/>
      <c r="G9" s="265" t="s">
        <v>2328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1154</v>
      </c>
      <c r="E10" s="216">
        <v>150</v>
      </c>
      <c r="F10" s="216"/>
      <c r="G10" s="217" t="str">
        <f>IFERROR(INDEX(온라인_반찬!$C$2:$H$612,MATCH($D10,온라인_반찬!$C$2:$C$612,0),6),"")</f>
        <v>쌀(국산)90%, 찰보리(국산.친환경)5%, 정제수</v>
      </c>
      <c r="H10" s="218">
        <f>IFERROR(INDEX(온라인_반찬!$D$2:$J$605,MATCH($D10,온라인_반찬!$C$2:$C$605,0),6),"")</f>
        <v>0</v>
      </c>
      <c r="I10" s="219" t="s">
        <v>2187</v>
      </c>
      <c r="J10" s="257">
        <v>49</v>
      </c>
      <c r="K10" s="255">
        <v>7800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279" t="s">
        <v>2027</v>
      </c>
      <c r="E11" s="280">
        <v>160</v>
      </c>
      <c r="F11" s="281"/>
      <c r="G11" s="282" t="str">
        <f>IFERROR(INDEX(온라인_반찬!$C$2:$H$612,MATCH($D11,온라인_반찬!$C$2:$C$612,0),6),"")</f>
        <v>김치(고추가루, 배추:국산)18%, 돼지고기(목살:국산)25%, 두부(원료수입산), 양파, 대파, 마늘, 정제수, 국간장, 소금</v>
      </c>
      <c r="H11" s="283" t="str">
        <f>IFERROR(INDEX(온라인_반찬!$D$2:$J$605,MATCH($D11,온라인_반찬!$C$2:$C$605,0),6),"")</f>
        <v>.5.10.</v>
      </c>
      <c r="I11" s="102" t="s">
        <v>2187</v>
      </c>
      <c r="J11" s="95">
        <v>114</v>
      </c>
      <c r="K11" s="94">
        <v>22080</v>
      </c>
      <c r="L11" s="121" t="str">
        <f>IFERROR(INDEX(온라인_반찬!$C$2:$J$605,MATCH($D11,온라인_반찬!$C$2:$C$605,0),8),"")</f>
        <v>50g/60g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1160</v>
      </c>
      <c r="E12" s="115">
        <v>80</v>
      </c>
      <c r="F12" s="116"/>
      <c r="G12" s="106" t="str">
        <f>IFERROR(INDEX(온라인_반찬!$C$2:$H$612,MATCH($D12,온라인_반찬!$C$2:$C$612,0),6),"")</f>
        <v>당면(원료수입)60%, 훈제오리(국산)30%, 양파, 청피망, 당근, 표고버섯, 대두유, 간장, 설탕, 참기름, 참깨</v>
      </c>
      <c r="H12" s="94" t="str">
        <f>IFERROR(INDEX(온라인_반찬!$D$2:$J$605,MATCH($D12,온라인_반찬!$C$2:$C$605,0),6),"")</f>
        <v>.5.6.21.</v>
      </c>
      <c r="I12" s="102" t="s">
        <v>2187</v>
      </c>
      <c r="J12" s="95">
        <v>49</v>
      </c>
      <c r="K12" s="94">
        <v>4304</v>
      </c>
      <c r="L12" s="121">
        <f>IFERROR(INDEX(온라인_반찬!$C$2:$J$605,MATCH($D12,온라인_반찬!$C$2:$C$605,0),8),"")</f>
        <v>0</v>
      </c>
      <c r="M12" s="113"/>
      <c r="N12" s="113"/>
    </row>
    <row r="13" spans="2:23" ht="39.950000000000003" customHeight="1">
      <c r="B13" s="336"/>
      <c r="C13" s="236" t="s">
        <v>511</v>
      </c>
      <c r="D13" s="96" t="s">
        <v>2118</v>
      </c>
      <c r="E13" s="115">
        <v>40</v>
      </c>
      <c r="F13" s="116"/>
      <c r="G13" s="106" t="str">
        <f>IFERROR(INDEX(온라인_반찬!$C$2:$H$612,MATCH($D13,온라인_반찬!$C$2:$C$612,0),6),"")</f>
        <v>메추리알(국산)77.3%, 정제수, 통후추, 월계수잎, 간장, 설탕, 물엿, 참기름</v>
      </c>
      <c r="H13" s="94" t="str">
        <f>IFERROR(INDEX(온라인_반찬!$D$2:$J$605,MATCH($D13,온라인_반찬!$C$2:$C$605,0),6),"")</f>
        <v>.1.5.21.</v>
      </c>
      <c r="I13" s="102" t="s">
        <v>2187</v>
      </c>
      <c r="J13" s="95">
        <v>49</v>
      </c>
      <c r="K13" s="94">
        <v>1960</v>
      </c>
      <c r="L13" s="121">
        <f>IFERROR(INDEX(온라인_반찬!$C$2:$J$605,MATCH($D13,온라인_반찬!$C$2:$C$605,0),8),"")</f>
        <v>0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676</v>
      </c>
      <c r="E14" s="115"/>
      <c r="F14" s="116">
        <v>1</v>
      </c>
      <c r="G14" s="106" t="str">
        <f>IFERROR(INDEX(온라인_반찬!$C$2:$H$612,MATCH($D14,온라인_반찬!$C$2:$C$612,0),6),"")</f>
        <v>김(국산), 카놀라유(원료:외국산), 참기름, 정제소금</v>
      </c>
      <c r="H14" s="94" t="str">
        <f>IFERROR(INDEX(온라인_반찬!$D$2:$J$605,MATCH($D14,온라인_반찬!$C$2:$C$605,0),6),"")</f>
        <v>.21.</v>
      </c>
      <c r="I14" s="102" t="s">
        <v>2187</v>
      </c>
      <c r="J14" s="95">
        <v>49</v>
      </c>
      <c r="K14" s="94">
        <v>53.900000000000006</v>
      </c>
      <c r="L14" s="121" t="str">
        <f>IFERROR(INDEX(온라인_반찬!$C$2:$J$605,MATCH($D14,온라인_반찬!$C$2:$C$605,0),8),"")</f>
        <v>양반김(동원)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279" t="s">
        <v>1329</v>
      </c>
      <c r="E15" s="280">
        <v>35</v>
      </c>
      <c r="F15" s="280"/>
      <c r="G15" s="282" t="str">
        <f>IFERROR(INDEX(온라인_반찬!$C$2:$H$612,MATCH($D15,온라인_반찬!$C$2:$C$612,0),6),"")</f>
        <v>절임열무51%(열무,식염, 고춧가루, 양파, 대파, 전용풀. 마늘, 다시마농축액.새우액젓.생강:국산)</v>
      </c>
      <c r="H15" s="283" t="str">
        <f>IFERROR(INDEX(온라인_반찬!$D$2:$J$605,MATCH($D15,온라인_반찬!$C$2:$C$605,0),6),"")</f>
        <v>.9.</v>
      </c>
      <c r="I15" s="102" t="s">
        <v>2187</v>
      </c>
      <c r="J15" s="95">
        <v>49</v>
      </c>
      <c r="K15" s="94">
        <v>1715</v>
      </c>
      <c r="L15" s="121" t="str">
        <f>IFERROR(INDEX(온라인_반찬!$C$2:$J$605,MATCH($D15,온라인_반찬!$C$2:$C$605,0),8),"")</f>
        <v>열무김치(종가김치)</v>
      </c>
      <c r="M15" s="113"/>
      <c r="N15" s="113"/>
      <c r="O15" s="113"/>
    </row>
    <row r="16" spans="2:23" ht="39.950000000000003" customHeight="1">
      <c r="B16" s="336"/>
      <c r="C16" s="347" t="s">
        <v>1196</v>
      </c>
      <c r="D16" s="96" t="s">
        <v>2189</v>
      </c>
      <c r="E16" s="115"/>
      <c r="F16" s="115">
        <v>1</v>
      </c>
      <c r="G16" s="106" t="str">
        <f>IFERROR(INDEX(온라인_반찬!$C$2:$H$612,MATCH($D16,온라인_반찬!$C$2:$C$612,0),6),"")</f>
        <v>쌀떡볶이(쌀:외국산),숲불갈비향소시지[닭고기(국산),돼지고기(국산),당근,대두단백,비프스테이크소스]</v>
      </c>
      <c r="H16" s="94" t="str">
        <f>IFERROR(INDEX(온라인_반찬!$D$2:$J$605,MATCH($D16,온라인_반찬!$C$2:$C$605,0),6),"")</f>
        <v>.1.2.5.6.10.15.16.18.</v>
      </c>
      <c r="I16" s="102" t="s">
        <v>2187</v>
      </c>
      <c r="J16" s="95">
        <v>28</v>
      </c>
      <c r="K16" s="94">
        <v>30</v>
      </c>
      <c r="L16" s="157" t="str">
        <f>IFERROR(INDEX(온라인_반찬!$C$2:$J$605,MATCH($D16,온라인_반찬!$C$2:$C$605,0),8),"")</f>
        <v>소떡소떡떡꼬치(쿠즈락)</v>
      </c>
      <c r="M16" s="113"/>
      <c r="N16" s="113"/>
      <c r="O16" s="113"/>
    </row>
    <row r="17" spans="2:15" ht="39.950000000000003" customHeight="1">
      <c r="B17" s="336"/>
      <c r="C17" s="348"/>
      <c r="D17" s="96" t="s">
        <v>1400</v>
      </c>
      <c r="E17" s="115"/>
      <c r="F17" s="115">
        <v>1</v>
      </c>
      <c r="G17" s="106" t="str">
        <f>IFERROR(INDEX(온라인_반찬!$C$2:$H$612,MATCH($D17,온라인_반찬!$C$2:$C$612,0),6),"")</f>
        <v>정제수. 토마토페잉스트(미국.칠레.중국 등)24%, 발표식초. 정제소금(국산), 설탕</v>
      </c>
      <c r="H17" s="94" t="str">
        <f>IFERROR(INDEX(온라인_반찬!$D$2:$J$605,MATCH($D17,온라인_반찬!$C$2:$C$605,0),6),"")</f>
        <v>.1.12.</v>
      </c>
      <c r="I17" s="102" t="s">
        <v>2187</v>
      </c>
      <c r="J17" s="95"/>
      <c r="K17" s="94"/>
      <c r="L17" s="157" t="str">
        <f>IFERROR(INDEX(온라인_반찬!$C$2:$J$605,MATCH($D17,온라인_반찬!$C$2:$C$605,0),8),"")</f>
        <v>토마토소스(오뚜기)</v>
      </c>
      <c r="M17" s="113"/>
      <c r="N17" s="113"/>
      <c r="O17" s="113"/>
    </row>
    <row r="18" spans="2:15" ht="39.950000000000003" customHeight="1" thickBot="1">
      <c r="B18" s="337"/>
      <c r="C18" s="153" t="s">
        <v>74</v>
      </c>
      <c r="D18" s="202"/>
      <c r="E18" s="123"/>
      <c r="F18" s="124"/>
      <c r="G18" s="206"/>
      <c r="H18" s="158"/>
      <c r="I18" s="129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39" t="s">
        <v>1374</v>
      </c>
      <c r="C19" s="93" t="s">
        <v>509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2186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2" t="s">
        <v>511</v>
      </c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2186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343"/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2186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52" t="s">
        <v>512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2186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07" t="s">
        <v>693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2186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>
      <c r="B24" s="340"/>
      <c r="C24" s="152" t="s">
        <v>76</v>
      </c>
      <c r="D24" s="154"/>
      <c r="E24" s="115"/>
      <c r="F24" s="115"/>
      <c r="G24" s="106" t="str">
        <f>IFERROR(INDEX(온라인_반찬!$C$2:$H$612,MATCH($D24,온라인_반찬!$C$2:$C$612,0),6),"")</f>
        <v/>
      </c>
      <c r="H24" s="94" t="str">
        <f>IFERROR(INDEX(온라인_반찬!$D$2:$J$605,MATCH($D24,온라인_반찬!$C$2:$C$605,0),6),"")</f>
        <v/>
      </c>
      <c r="I24" s="102" t="s">
        <v>2186</v>
      </c>
      <c r="J24" s="150"/>
      <c r="K24" s="150"/>
      <c r="L24" s="121" t="str">
        <f>IFERROR(INDEX(온라인_반찬!$C$2:$J$605,MATCH($D24,온라인_반찬!$C$2:$C$605,0),8),"")</f>
        <v/>
      </c>
      <c r="M24" s="113"/>
    </row>
    <row r="25" spans="2:15" ht="39.950000000000003" customHeight="1" thickBot="1">
      <c r="B25" s="341"/>
      <c r="C25" s="122" t="s">
        <v>74</v>
      </c>
      <c r="D25" s="123"/>
      <c r="E25" s="123"/>
      <c r="F25" s="124">
        <v>1</v>
      </c>
      <c r="G25" s="125"/>
      <c r="H25" s="158"/>
      <c r="I25" s="129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6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B8E5-DC24-4968-9650-77F05BF8D9CF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2197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2195</v>
      </c>
      <c r="J3" s="257">
        <v>1448</v>
      </c>
      <c r="K3" s="255">
        <v>230990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2198</v>
      </c>
      <c r="E4" s="115">
        <v>150</v>
      </c>
      <c r="F4" s="116"/>
      <c r="G4" s="106" t="str">
        <f>IFERROR(INDEX(온라인_반찬!$C$2:$H$612,MATCH($D4,온라인_반찬!$C$2:$C$612,0),6),"")</f>
        <v xml:space="preserve">무(국산)18.3%, 소고기(호주산)10.7%, 양파, 대파, 마늘, 정제수, 소금, 멸치육수농축액, 국간장, 후추 </v>
      </c>
      <c r="H4" s="94" t="str">
        <f>IFERROR(INDEX(온라인_반찬!$D$2:$J$605,MATCH($D4,온라인_반찬!$C$2:$C$605,0),6),"")</f>
        <v>.5.16.</v>
      </c>
      <c r="I4" s="102" t="s">
        <v>2195</v>
      </c>
      <c r="J4" s="95">
        <v>1383</v>
      </c>
      <c r="K4" s="94">
        <v>225090</v>
      </c>
      <c r="L4" s="121" t="str">
        <f>IFERROR(INDEX(온라인_반찬!$C$2:$J$605,MATCH($D4,온라인_반찬!$C$2:$C$605,0),8),"")</f>
        <v>40g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342" t="s">
        <v>510</v>
      </c>
      <c r="D5" s="96" t="s">
        <v>2086</v>
      </c>
      <c r="E5" s="115"/>
      <c r="F5" s="116">
        <v>1</v>
      </c>
      <c r="G5" s="106" t="str">
        <f>IFERROR(INDEX(온라인_반찬!$C$2:$H$612,MATCH($D5,온라인_반찬!$C$2:$C$612,0),6),"")</f>
        <v>생선통살까스 [민대구(한국산)50%, 빵가루, 정제수 ,쇼트닝, 소금]95%, 대두유</v>
      </c>
      <c r="H5" s="94" t="str">
        <f>IFERROR(INDEX(온라인_반찬!$D$2:$J$605,MATCH($D5,온라인_반찬!$C$2:$C$605,0),6),"")</f>
        <v>1.5.</v>
      </c>
      <c r="I5" s="102" t="s">
        <v>2195</v>
      </c>
      <c r="J5" s="95">
        <v>1448</v>
      </c>
      <c r="K5" s="94">
        <v>1612.5</v>
      </c>
      <c r="L5" s="121" t="str">
        <f>IFERROR(INDEX(온라인_반찬!$C$2:$J$605,MATCH($D5,온라인_반찬!$C$2:$C$605,0),8),"")</f>
        <v>이츠웰 흰살생선까스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343"/>
      <c r="D6" s="96" t="s">
        <v>987</v>
      </c>
      <c r="E6" s="115">
        <v>10</v>
      </c>
      <c r="F6" s="116"/>
      <c r="G6" s="106" t="str">
        <f>IFERROR(INDEX(온라인_반찬!$C$2:$H$612,MATCH($D6,온라인_반찬!$C$2:$C$612,0),6),"")</f>
        <v>타르타르소스(시판용)85%, 마요네즈10%, 파인애플(청크)5%</v>
      </c>
      <c r="H6" s="94" t="str">
        <f>IFERROR(INDEX(온라인_반찬!$D$2:$J$605,MATCH($D6,온라인_반찬!$C$2:$C$605,0),6),"")</f>
        <v>.1.5.19.</v>
      </c>
      <c r="I6" s="102" t="s">
        <v>2195</v>
      </c>
      <c r="J6" s="95">
        <v>1448</v>
      </c>
      <c r="K6" s="94">
        <v>16195</v>
      </c>
      <c r="L6" s="121" t="str">
        <f>IFERROR(INDEX(온라인_반찬!$C$2:$J$605,MATCH($D6,온라인_반찬!$C$2:$C$605,0),8),"")</f>
        <v>타르타르드레싱(쉐프솔루션), 파인애플 청크(이츠웰)</v>
      </c>
      <c r="M6" s="113"/>
      <c r="N6" s="113"/>
      <c r="Q6" s="113"/>
      <c r="R6" s="284"/>
      <c r="S6" s="284"/>
      <c r="T6" s="284"/>
      <c r="U6" s="284"/>
      <c r="V6" s="284"/>
      <c r="W6" s="284"/>
    </row>
    <row r="7" spans="2:23" ht="39.950000000000003" customHeight="1">
      <c r="B7" s="336"/>
      <c r="C7" s="236" t="s">
        <v>511</v>
      </c>
      <c r="D7" s="96" t="s">
        <v>1674</v>
      </c>
      <c r="E7" s="115">
        <v>35</v>
      </c>
      <c r="F7" s="116"/>
      <c r="G7" s="106" t="str">
        <f>IFERROR(INDEX(온라인_반찬!$C$2:$H$612,MATCH($D7,온라인_반찬!$C$2:$C$612,0),6),"")</f>
        <v>푸실리(듀럼밀:터키산)60%, 양파, 피망, 양송이, 라구소스{토마토페이스트(토마토:미국산), 소고기(호주산),돼지고기(국산)], 올리브유, 파슬리가루</v>
      </c>
      <c r="H7" s="94" t="str">
        <f>IFERROR(INDEX(온라인_반찬!$D$2:$J$605,MATCH($D7,온라인_반찬!$C$2:$C$605,0),6),"")</f>
        <v>.5.6.10.12.15.16.</v>
      </c>
      <c r="I7" s="102" t="s">
        <v>2195</v>
      </c>
      <c r="J7" s="95">
        <v>1448</v>
      </c>
      <c r="K7" s="94">
        <v>60430</v>
      </c>
      <c r="L7" s="121" t="str">
        <f>IFERROR(INDEX(온라인_반찬!$C$2:$J$605,MATCH($D7,온라인_반찬!$C$2:$C$605,0),8),"")</f>
        <v>미트소스(이츠웰)</v>
      </c>
      <c r="M7" s="113" t="s">
        <v>684</v>
      </c>
      <c r="N7" s="113"/>
      <c r="P7" s="113" t="s">
        <v>1071</v>
      </c>
      <c r="R7" s="113"/>
      <c r="S7" s="113" t="s">
        <v>773</v>
      </c>
    </row>
    <row r="8" spans="2:23" ht="39.950000000000003" customHeight="1">
      <c r="B8" s="336"/>
      <c r="C8" s="152" t="s">
        <v>233</v>
      </c>
      <c r="D8" s="96" t="s">
        <v>1571</v>
      </c>
      <c r="E8" s="115">
        <v>35</v>
      </c>
      <c r="F8" s="116"/>
      <c r="G8" s="106" t="str">
        <f>IFERROR(INDEX(온라인_반찬!$C$2:$H$612,MATCH($D8,온라인_반찬!$C$2:$C$612,0),6),"")</f>
        <v>단호박(중국산)66.6%, 샐러드베이스13.8%[난황(국내산), 대두유(대두:외국산), 양조식초 등], 당근(중국산), 물엿, 정제수, 가쓰오브시엑기스, 설탕 등</v>
      </c>
      <c r="H8" s="94" t="str">
        <f>IFERROR(INDEX(온라인_반찬!$D$2:$J$605,MATCH($D8,온라인_반찬!$C$2:$C$605,0),6),"")</f>
        <v>.1.5.</v>
      </c>
      <c r="I8" s="102" t="s">
        <v>2195</v>
      </c>
      <c r="J8" s="95">
        <v>1448</v>
      </c>
      <c r="K8" s="94">
        <v>59940</v>
      </c>
      <c r="L8" s="121" t="str">
        <f>IFERROR(INDEX(온라인_반찬!$C$2:$J$605,MATCH($D8,온라인_반찬!$C$2:$C$605,0),8),"")</f>
        <v>단호박샐러드(이츠웰)</v>
      </c>
      <c r="M8" s="113" t="s">
        <v>574</v>
      </c>
      <c r="N8" s="113"/>
      <c r="P8" s="113" t="s">
        <v>1086</v>
      </c>
      <c r="R8" s="113"/>
      <c r="S8" s="113" t="s">
        <v>705</v>
      </c>
    </row>
    <row r="9" spans="2:23" ht="39.950000000000003" customHeight="1">
      <c r="B9" s="336"/>
      <c r="C9" s="237" t="s">
        <v>693</v>
      </c>
      <c r="D9" s="96" t="s">
        <v>519</v>
      </c>
      <c r="E9" s="115">
        <v>25</v>
      </c>
      <c r="F9" s="115"/>
      <c r="G9" s="106" t="str">
        <f>IFERROR(INDEX(온라인_반찬!$C$2:$H$612,MATCH($D9,온라인_반찬!$C$2:$C$612,0),6),"")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IFERROR(INDEX(온라인_반찬!$D$2:$J$605,MATCH($D9,온라인_반찬!$C$2:$C$605,0),6),"")</f>
        <v>.9.12.</v>
      </c>
      <c r="I9" s="102" t="s">
        <v>2195</v>
      </c>
      <c r="J9" s="95">
        <v>1448</v>
      </c>
      <c r="K9" s="94">
        <v>41725</v>
      </c>
      <c r="L9" s="121" t="str">
        <f>IFERROR(INDEX(온라인_반찬!$C$2:$J$605,MATCH($D9,온라인_반찬!$C$2:$C$605,0),8),"")</f>
        <v>토마토김치(종가집)</v>
      </c>
      <c r="M9" s="113" t="s">
        <v>1197</v>
      </c>
      <c r="N9" s="113"/>
      <c r="P9" s="113" t="s">
        <v>1208</v>
      </c>
      <c r="R9" s="113"/>
      <c r="S9" s="113" t="s">
        <v>1416</v>
      </c>
    </row>
    <row r="10" spans="2:23" ht="39.950000000000003" customHeight="1" thickBot="1">
      <c r="B10" s="337"/>
      <c r="C10" s="153" t="s">
        <v>74</v>
      </c>
      <c r="D10" s="202"/>
      <c r="E10" s="123"/>
      <c r="F10" s="124"/>
      <c r="G10" s="265" t="s">
        <v>2330</v>
      </c>
      <c r="H10" s="158"/>
      <c r="I10" s="129"/>
      <c r="J10" s="126">
        <v>1</v>
      </c>
      <c r="K10" s="30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36" t="s">
        <v>1844</v>
      </c>
      <c r="C11" s="242" t="s">
        <v>509</v>
      </c>
      <c r="D11" s="252" t="s">
        <v>1154</v>
      </c>
      <c r="E11" s="216">
        <v>150</v>
      </c>
      <c r="F11" s="216"/>
      <c r="G11" s="217" t="str">
        <f>IFERROR(INDEX(온라인_반찬!$C$2:$H$612,MATCH($D11,온라인_반찬!$C$2:$C$612,0),6),"")</f>
        <v>쌀(국산)90%, 찰보리(국산.친환경)5%, 정제수</v>
      </c>
      <c r="H11" s="218">
        <f>IFERROR(INDEX(온라인_반찬!$D$2:$J$605,MATCH($D11,온라인_반찬!$C$2:$C$605,0),6),"")</f>
        <v>0</v>
      </c>
      <c r="I11" s="219" t="s">
        <v>2196</v>
      </c>
      <c r="J11" s="257">
        <v>69</v>
      </c>
      <c r="K11" s="255">
        <v>10950</v>
      </c>
      <c r="L11" s="220">
        <f>IFERROR(INDEX(온라인_반찬!$C$2:$J$605,MATCH($D11,온라인_반찬!$C$2:$C$605,0),8),"")</f>
        <v>0</v>
      </c>
      <c r="M11" s="113" t="s">
        <v>1199</v>
      </c>
      <c r="N11" s="113"/>
      <c r="O11" s="113"/>
      <c r="P11" s="113" t="s">
        <v>1254</v>
      </c>
      <c r="S11" s="113" t="s">
        <v>1417</v>
      </c>
    </row>
    <row r="12" spans="2:23" ht="39.950000000000003" customHeight="1">
      <c r="B12" s="336"/>
      <c r="C12" s="236" t="s">
        <v>513</v>
      </c>
      <c r="D12" s="279" t="s">
        <v>1578</v>
      </c>
      <c r="E12" s="280">
        <v>160</v>
      </c>
      <c r="F12" s="281"/>
      <c r="G12" s="282" t="str">
        <f>IFERROR(INDEX(온라인_반찬!$C$2:$H$612,MATCH($D12,온라인_반찬!$C$2:$C$612,0),6),"")</f>
        <v xml:space="preserve">무(국산)18.3%, 소고기(호주산)10.7%, 양파, 대파, 마늘, 정제수, 소금, 고춧가루, 멸치육수농축액, 국간장, 후추 </v>
      </c>
      <c r="H12" s="283" t="str">
        <f>IFERROR(INDEX(온라인_반찬!$D$2:$J$605,MATCH($D12,온라인_반찬!$C$2:$C$605,0),6),"")</f>
        <v>.5.16.</v>
      </c>
      <c r="I12" s="102" t="s">
        <v>2196</v>
      </c>
      <c r="J12" s="95">
        <v>134</v>
      </c>
      <c r="K12" s="94">
        <v>25280</v>
      </c>
      <c r="L12" s="121">
        <f>IFERROR(INDEX(온라인_반찬!$C$2:$J$605,MATCH($D12,온라인_반찬!$C$2:$C$605,0),8),"")</f>
        <v>0</v>
      </c>
      <c r="M12" s="113" t="s">
        <v>1586</v>
      </c>
      <c r="N12" s="113"/>
      <c r="O12" s="113"/>
      <c r="P12" s="113" t="s">
        <v>1633</v>
      </c>
      <c r="S12" s="113" t="s">
        <v>1634</v>
      </c>
    </row>
    <row r="13" spans="2:23" ht="39.950000000000003" customHeight="1">
      <c r="B13" s="336"/>
      <c r="C13" s="342" t="s">
        <v>510</v>
      </c>
      <c r="D13" s="96" t="s">
        <v>2086</v>
      </c>
      <c r="E13" s="115"/>
      <c r="F13" s="116">
        <v>1</v>
      </c>
      <c r="G13" s="106" t="str">
        <f>IFERROR(INDEX(온라인_반찬!$C$2:$H$612,MATCH($D13,온라인_반찬!$C$2:$C$612,0),6),"")</f>
        <v>생선통살까스 [민대구(한국산)50%, 빵가루, 정제수 ,쇼트닝, 소금]95%, 대두유</v>
      </c>
      <c r="H13" s="94" t="str">
        <f>IFERROR(INDEX(온라인_반찬!$D$2:$J$605,MATCH($D13,온라인_반찬!$C$2:$C$605,0),6),"")</f>
        <v>1.5.</v>
      </c>
      <c r="I13" s="102" t="s">
        <v>2196</v>
      </c>
      <c r="J13" s="95">
        <v>69</v>
      </c>
      <c r="K13" s="94">
        <v>90.960000000000022</v>
      </c>
      <c r="L13" s="121" t="str">
        <f>IFERROR(INDEX(온라인_반찬!$C$2:$J$605,MATCH($D13,온라인_반찬!$C$2:$C$605,0),8),"")</f>
        <v>이츠웰 흰살생선까스</v>
      </c>
      <c r="M13" s="113"/>
      <c r="N13" s="113"/>
      <c r="O13" s="113"/>
    </row>
    <row r="14" spans="2:23" ht="39.950000000000003" customHeight="1">
      <c r="B14" s="336"/>
      <c r="C14" s="343"/>
      <c r="D14" s="96" t="s">
        <v>987</v>
      </c>
      <c r="E14" s="115">
        <v>10</v>
      </c>
      <c r="F14" s="116"/>
      <c r="G14" s="106" t="str">
        <f>IFERROR(INDEX(온라인_반찬!$C$2:$H$612,MATCH($D14,온라인_반찬!$C$2:$C$612,0),6),"")</f>
        <v>타르타르소스(시판용)85%, 마요네즈10%, 파인애플(청크)5%</v>
      </c>
      <c r="H14" s="94" t="str">
        <f>IFERROR(INDEX(온라인_반찬!$D$2:$J$605,MATCH($D14,온라인_반찬!$C$2:$C$605,0),6),"")</f>
        <v>.1.5.19.</v>
      </c>
      <c r="I14" s="102" t="s">
        <v>2196</v>
      </c>
      <c r="J14" s="95">
        <v>69</v>
      </c>
      <c r="K14" s="94">
        <v>758</v>
      </c>
      <c r="L14" s="121" t="str">
        <f>IFERROR(INDEX(온라인_반찬!$C$2:$J$605,MATCH($D14,온라인_반찬!$C$2:$C$605,0),8),"")</f>
        <v>타르타르드레싱(쉐프솔루션), 파인애플 청크(이츠웰)</v>
      </c>
      <c r="M14" s="113"/>
      <c r="N14" s="113"/>
      <c r="O14" s="113"/>
    </row>
    <row r="15" spans="2:23" ht="39.950000000000003" customHeight="1">
      <c r="B15" s="336"/>
      <c r="C15" s="236" t="s">
        <v>511</v>
      </c>
      <c r="D15" s="96" t="s">
        <v>1674</v>
      </c>
      <c r="E15" s="115">
        <v>40</v>
      </c>
      <c r="F15" s="116"/>
      <c r="G15" s="106" t="str">
        <f>IFERROR(INDEX(온라인_반찬!$C$2:$H$612,MATCH($D15,온라인_반찬!$C$2:$C$612,0),6),"")</f>
        <v>푸실리(듀럼밀:터키산)60%, 양파, 피망, 양송이, 라구소스{토마토페이스트(토마토:미국산), 소고기(호주산),돼지고기(국산)], 올리브유, 파슬리가루</v>
      </c>
      <c r="H15" s="94" t="str">
        <f>IFERROR(INDEX(온라인_반찬!$D$2:$J$605,MATCH($D15,온라인_반찬!$C$2:$C$605,0),6),"")</f>
        <v>.5.6.10.12.15.16.</v>
      </c>
      <c r="I15" s="102" t="s">
        <v>2196</v>
      </c>
      <c r="J15" s="95">
        <v>69</v>
      </c>
      <c r="K15" s="94">
        <v>2760</v>
      </c>
      <c r="L15" s="121" t="str">
        <f>IFERROR(INDEX(온라인_반찬!$C$2:$J$605,MATCH($D15,온라인_반찬!$C$2:$C$605,0),8),"")</f>
        <v>미트소스(이츠웰)</v>
      </c>
      <c r="M15" s="113"/>
      <c r="N15" s="113"/>
    </row>
    <row r="16" spans="2:23" ht="39.950000000000003" customHeight="1">
      <c r="B16" s="336"/>
      <c r="C16" s="152" t="s">
        <v>233</v>
      </c>
      <c r="D16" s="96" t="s">
        <v>1571</v>
      </c>
      <c r="E16" s="115">
        <v>40</v>
      </c>
      <c r="F16" s="116"/>
      <c r="G16" s="106" t="str">
        <f>IFERROR(INDEX(온라인_반찬!$C$2:$H$612,MATCH($D16,온라인_반찬!$C$2:$C$612,0),6),"")</f>
        <v>단호박(중국산)66.6%, 샐러드베이스13.8%[난황(국내산), 대두유(대두:외국산), 양조식초 등], 당근(중국산), 물엿, 정제수, 가쓰오브시엑기스, 설탕 등</v>
      </c>
      <c r="H16" s="94" t="str">
        <f>IFERROR(INDEX(온라인_반찬!$D$2:$J$605,MATCH($D16,온라인_반찬!$C$2:$C$605,0),6),"")</f>
        <v>.1.5.</v>
      </c>
      <c r="I16" s="102" t="s">
        <v>2196</v>
      </c>
      <c r="J16" s="95">
        <v>69</v>
      </c>
      <c r="K16" s="94">
        <v>2760</v>
      </c>
      <c r="L16" s="121" t="str">
        <f>IFERROR(INDEX(온라인_반찬!$C$2:$J$605,MATCH($D16,온라인_반찬!$C$2:$C$605,0),8),"")</f>
        <v>단호박샐러드(이츠웰)</v>
      </c>
      <c r="M16" s="113"/>
      <c r="N16" s="113"/>
      <c r="O16" s="113"/>
    </row>
    <row r="17" spans="2:15" ht="39.950000000000003" customHeight="1">
      <c r="B17" s="336"/>
      <c r="C17" s="237" t="s">
        <v>693</v>
      </c>
      <c r="D17" s="96" t="s">
        <v>519</v>
      </c>
      <c r="E17" s="115">
        <v>35</v>
      </c>
      <c r="F17" s="115"/>
      <c r="G17" s="106" t="str">
        <f>IFERROR(INDEX(온라인_반찬!$C$2:$H$612,MATCH($D17,온라인_반찬!$C$2:$C$612,0),6),"")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94" t="str">
        <f>IFERROR(INDEX(온라인_반찬!$D$2:$J$605,MATCH($D17,온라인_반찬!$C$2:$C$605,0),6),"")</f>
        <v>.9.12.</v>
      </c>
      <c r="I17" s="102" t="s">
        <v>2196</v>
      </c>
      <c r="J17" s="95">
        <v>69</v>
      </c>
      <c r="K17" s="94">
        <v>2415</v>
      </c>
      <c r="L17" s="121" t="str">
        <f>IFERROR(INDEX(온라인_반찬!$C$2:$J$605,MATCH($D17,온라인_반찬!$C$2:$C$605,0),8),"")</f>
        <v>토마토김치(종가집)</v>
      </c>
      <c r="M17" s="113"/>
      <c r="N17" s="113"/>
      <c r="O17" s="113"/>
    </row>
    <row r="18" spans="2:15" ht="39.950000000000003" customHeight="1">
      <c r="B18" s="336"/>
      <c r="C18" s="213" t="s">
        <v>1196</v>
      </c>
      <c r="D18" s="96" t="s">
        <v>1340</v>
      </c>
      <c r="E18" s="115">
        <v>70</v>
      </c>
      <c r="F18" s="115"/>
      <c r="G18" s="106" t="str">
        <f>IFERROR(INDEX(온라인_반찬!$C$2:$H$612,MATCH($D18,온라인_반찬!$C$2:$C$612,0),6),"")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8" s="94" t="str">
        <f>IFERROR(INDEX(온라인_반찬!$D$2:$J$605,MATCH($D18,온라인_반찬!$C$2:$C$605,0),6),"")</f>
        <v>.5.10.</v>
      </c>
      <c r="I18" s="102" t="s">
        <v>2196</v>
      </c>
      <c r="J18" s="95">
        <v>28</v>
      </c>
      <c r="K18" s="94">
        <v>2320</v>
      </c>
      <c r="L18" s="157">
        <f>IFERROR(INDEX(온라인_반찬!$C$2:$J$605,MATCH($D18,온라인_반찬!$C$2:$C$605,0),8),"")</f>
        <v>0</v>
      </c>
      <c r="M18" s="113"/>
      <c r="N18" s="113"/>
      <c r="O18" s="113"/>
    </row>
    <row r="19" spans="2:15" ht="39.950000000000003" customHeight="1" thickBot="1">
      <c r="B19" s="337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39" t="s">
        <v>1374</v>
      </c>
      <c r="C20" s="93" t="s">
        <v>509</v>
      </c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2195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342" t="s">
        <v>511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2195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343"/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2195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512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2195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>
      <c r="B24" s="340"/>
      <c r="C24" s="107" t="s">
        <v>693</v>
      </c>
      <c r="D24" s="154"/>
      <c r="E24" s="115"/>
      <c r="F24" s="115"/>
      <c r="G24" s="106" t="str">
        <f>IFERROR(INDEX(온라인_반찬!$C$2:$H$612,MATCH($D24,온라인_반찬!$C$2:$C$612,0),6),"")</f>
        <v/>
      </c>
      <c r="H24" s="94" t="str">
        <f>IFERROR(INDEX(온라인_반찬!$D$2:$J$605,MATCH($D24,온라인_반찬!$C$2:$C$605,0),6),"")</f>
        <v/>
      </c>
      <c r="I24" s="102" t="s">
        <v>2195</v>
      </c>
      <c r="J24" s="150"/>
      <c r="K24" s="150"/>
      <c r="L24" s="121" t="str">
        <f>IFERROR(INDEX(온라인_반찬!$C$2:$J$605,MATCH($D24,온라인_반찬!$C$2:$C$605,0),8),"")</f>
        <v/>
      </c>
      <c r="M24" s="113"/>
    </row>
    <row r="25" spans="2:15" ht="39.950000000000003" customHeight="1">
      <c r="B25" s="340"/>
      <c r="C25" s="152" t="s">
        <v>76</v>
      </c>
      <c r="D25" s="154"/>
      <c r="E25" s="115"/>
      <c r="F25" s="115"/>
      <c r="G25" s="106" t="str">
        <f>IFERROR(INDEX(온라인_반찬!$C$2:$H$612,MATCH($D25,온라인_반찬!$C$2:$C$612,0),6),"")</f>
        <v/>
      </c>
      <c r="H25" s="94" t="str">
        <f>IFERROR(INDEX(온라인_반찬!$D$2:$J$605,MATCH($D25,온라인_반찬!$C$2:$C$605,0),6),"")</f>
        <v/>
      </c>
      <c r="I25" s="102" t="s">
        <v>2195</v>
      </c>
      <c r="J25" s="150"/>
      <c r="K25" s="150"/>
      <c r="L25" s="121" t="str">
        <f>IFERROR(INDEX(온라인_반찬!$C$2:$J$605,MATCH($D25,온라인_반찬!$C$2:$C$605,0),8),"")</f>
        <v/>
      </c>
      <c r="M25" s="113"/>
    </row>
    <row r="26" spans="2:15" ht="39.950000000000003" customHeight="1" thickBot="1">
      <c r="B26" s="341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A5A0-94A0-4B9F-993A-E1D85003753D}">
  <sheetPr>
    <pageSetUpPr fitToPage="1"/>
  </sheetPr>
  <dimension ref="B1:W27"/>
  <sheetViews>
    <sheetView zoomScale="80" zoomScaleNormal="80" zoomScaleSheetLayoutView="75" workbookViewId="0">
      <selection sqref="A1:L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2201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1521</v>
      </c>
      <c r="E3" s="253">
        <v>140</v>
      </c>
      <c r="F3" s="253"/>
      <c r="G3" s="254" t="str">
        <f>IFERROR(INDEX(온라인_반찬!$C$2:$H$612,MATCH($D3,온라인_반찬!$C$2:$C$612,0),6),"")</f>
        <v>쌀(국산)90%, 귀리(국산.친환경)5%, 정제수</v>
      </c>
      <c r="H3" s="255">
        <f>IFERROR(INDEX(온라인_반찬!$D$2:$J$605,MATCH($D3,온라인_반찬!$C$2:$C$605,0),6),"")</f>
        <v>0</v>
      </c>
      <c r="I3" s="256" t="s">
        <v>2199</v>
      </c>
      <c r="J3" s="257">
        <v>1466</v>
      </c>
      <c r="K3" s="255">
        <v>236290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1568</v>
      </c>
      <c r="E4" s="115">
        <v>150</v>
      </c>
      <c r="F4" s="116"/>
      <c r="G4" s="106" t="str">
        <f>IFERROR(INDEX(온라인_반찬!$C$2:$H$612,MATCH($D4,온라인_반찬!$C$2:$C$612,0),6),"")</f>
        <v>모둠채소(호박, 양파, 감자:국산)20%, 순두부(콩:미국,호주,캐나다등)12%, 파, 마늘, 된장, 멸치육수농축액, 정제수, 소금</v>
      </c>
      <c r="H4" s="94" t="str">
        <f>IFERROR(INDEX(온라인_반찬!$D$2:$J$605,MATCH($D4,온라인_반찬!$C$2:$C$605,0),6),"")</f>
        <v>.5.</v>
      </c>
      <c r="I4" s="102" t="s">
        <v>2199</v>
      </c>
      <c r="J4" s="95">
        <v>1466</v>
      </c>
      <c r="K4" s="94">
        <v>244500</v>
      </c>
      <c r="L4" s="121" t="str">
        <f>IFERROR(INDEX(온라인_반찬!$C$2:$J$605,MATCH($D4,온라인_반찬!$C$2:$C$605,0),8),"")</f>
        <v>50g / 60g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710</v>
      </c>
      <c r="E5" s="115">
        <v>70</v>
      </c>
      <c r="F5" s="116"/>
      <c r="G5" s="106" t="str">
        <f>IFERROR(INDEX(온라인_반찬!$C$2:$H$612,MATCH($D5,온라인_반찬!$C$2:$C$612,0),6),"")</f>
        <v>닭(국산)60%, 감자(국산)13%, 양파, 당근, 파, 마늘, 정제수, 간장, 후추, 소금, 참깨</v>
      </c>
      <c r="H5" s="94" t="str">
        <f>IFERROR(INDEX(온라인_반찬!$D$2:$J$605,MATCH($D5,온라인_반찬!$C$2:$C$605,0),6),"")</f>
        <v>.5.15.21.</v>
      </c>
      <c r="I5" s="102" t="s">
        <v>2199</v>
      </c>
      <c r="J5" s="95">
        <v>1466</v>
      </c>
      <c r="K5" s="94">
        <v>124555</v>
      </c>
      <c r="L5" s="121" t="str">
        <f>IFERROR(INDEX(온라인_반찬!$C$2:$J$605,MATCH($D5,온라인_반찬!$C$2:$C$605,0),8),"")</f>
        <v>70g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1429</v>
      </c>
      <c r="E6" s="115">
        <v>50</v>
      </c>
      <c r="F6" s="116"/>
      <c r="G6" s="106" t="str">
        <f>IFERROR(INDEX(온라인_반찬!$C$2:$H$612,MATCH($D6,온라인_반찬!$C$2:$C$612,0),6),"")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6" s="94" t="str">
        <f>IFERROR(INDEX(온라인_반찬!$D$2:$J$605,MATCH($D6,온라인_반찬!$C$2:$C$605,0),6),"")</f>
        <v>.5.6.12.16.21.</v>
      </c>
      <c r="I6" s="102" t="s">
        <v>2199</v>
      </c>
      <c r="J6" s="95">
        <v>1466</v>
      </c>
      <c r="K6" s="94">
        <v>89525</v>
      </c>
      <c r="L6" s="121" t="str">
        <f>IFERROR(INDEX(온라인_반찬!$C$2:$J$605,MATCH($D6,온라인_반찬!$C$2:$C$605,0),8),"")</f>
        <v>김말이(크레잇)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1386</v>
      </c>
      <c r="E7" s="115">
        <v>25</v>
      </c>
      <c r="F7" s="116"/>
      <c r="G7" s="106" t="str">
        <f>IFERROR(INDEX(온라인_반찬!$C$2:$H$612,MATCH($D7,온라인_반찬!$C$2:$C$612,0),6),"")</f>
        <v>무(국산)90.9%, 건새우(국내산)2.5%, 대파, 마늘, 대두유, 소금, 참기름, 참깨</v>
      </c>
      <c r="H7" s="94" t="str">
        <f>IFERROR(INDEX(온라인_반찬!$D$2:$J$605,MATCH($D7,온라인_반찬!$C$2:$C$605,0),6),"")</f>
        <v>.5.9.21.</v>
      </c>
      <c r="I7" s="102" t="s">
        <v>2199</v>
      </c>
      <c r="J7" s="95">
        <v>1466</v>
      </c>
      <c r="K7" s="94">
        <v>48537.5</v>
      </c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285" t="s">
        <v>950</v>
      </c>
      <c r="E8" s="286">
        <v>25</v>
      </c>
      <c r="F8" s="286"/>
      <c r="G8" s="287" t="str">
        <f>IFERROR(INDEX(온라인_반찬!$C$2:$H$612,MATCH($D8,온라인_반찬!$C$2:$C$612,0),6),"")</f>
        <v>배추(국내산)70&amp;, 무(국내산)10%, 마늘, 생강, 양파, 설탕, 정제수, 소금</v>
      </c>
      <c r="H8" s="288">
        <f>IFERROR(INDEX(온라인_반찬!$D$2:$J$605,MATCH($D8,온라인_반찬!$C$2:$C$605,0),6),"")</f>
        <v>0</v>
      </c>
      <c r="I8" s="102" t="s">
        <v>2199</v>
      </c>
      <c r="J8" s="95">
        <v>1466</v>
      </c>
      <c r="K8" s="94">
        <v>42675</v>
      </c>
      <c r="L8" s="121" t="str">
        <f>IFERROR(INDEX(온라인_반찬!$C$2:$J$605,MATCH($D8,온라인_반찬!$C$2:$C$605,0),8),"")</f>
        <v>백김치(정우식품)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2202</v>
      </c>
      <c r="H9" s="158"/>
      <c r="I9" s="129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1521</v>
      </c>
      <c r="E10" s="216">
        <v>150</v>
      </c>
      <c r="F10" s="216"/>
      <c r="G10" s="217" t="str">
        <f>IFERROR(INDEX(온라인_반찬!$C$2:$H$612,MATCH($D10,온라인_반찬!$C$2:$C$612,0),6),"")</f>
        <v>쌀(국산)90%, 귀리(국산.친환경)5%, 정제수</v>
      </c>
      <c r="H10" s="218">
        <f>IFERROR(INDEX(온라인_반찬!$D$2:$J$605,MATCH($D10,온라인_반찬!$C$2:$C$605,0),6),"")</f>
        <v>0</v>
      </c>
      <c r="I10" s="219" t="s">
        <v>2200</v>
      </c>
      <c r="J10" s="257">
        <v>41</v>
      </c>
      <c r="K10" s="255">
        <v>6300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1568</v>
      </c>
      <c r="E11" s="115">
        <v>160</v>
      </c>
      <c r="F11" s="116"/>
      <c r="G11" s="106" t="str">
        <f>IFERROR(INDEX(온라인_반찬!$C$2:$H$612,MATCH($D11,온라인_반찬!$C$2:$C$612,0),6),"")</f>
        <v>모둠채소(호박, 양파, 감자:국산)20%, 순두부(콩:미국,호주,캐나다등)12%, 파, 마늘, 된장, 멸치육수농축액, 정제수, 소금</v>
      </c>
      <c r="H11" s="94" t="str">
        <f>IFERROR(INDEX(온라인_반찬!$D$2:$J$605,MATCH($D11,온라인_반찬!$C$2:$C$605,0),6),"")</f>
        <v>.5.</v>
      </c>
      <c r="I11" s="102" t="s">
        <v>2200</v>
      </c>
      <c r="J11" s="95">
        <v>41</v>
      </c>
      <c r="K11" s="94">
        <v>6560</v>
      </c>
      <c r="L11" s="121" t="str">
        <f>IFERROR(INDEX(온라인_반찬!$C$2:$J$605,MATCH($D11,온라인_반찬!$C$2:$C$605,0),8),"")</f>
        <v>50g / 60g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279" t="s">
        <v>2203</v>
      </c>
      <c r="E12" s="280">
        <v>90</v>
      </c>
      <c r="F12" s="281"/>
      <c r="G12" s="282" t="s">
        <v>2204</v>
      </c>
      <c r="H12" s="283" t="s">
        <v>2141</v>
      </c>
      <c r="I12" s="102" t="s">
        <v>2200</v>
      </c>
      <c r="J12" s="95">
        <v>106</v>
      </c>
      <c r="K12" s="94">
        <v>13150</v>
      </c>
      <c r="L12" s="121" t="str">
        <f>IFERROR(INDEX(온라인_반찬!$C$2:$J$605,MATCH($D12,온라인_반찬!$C$2:$C$605,0),8),"")</f>
        <v/>
      </c>
      <c r="M12" s="113"/>
      <c r="N12" s="113"/>
    </row>
    <row r="13" spans="2:23" ht="39.950000000000003" customHeight="1">
      <c r="B13" s="336"/>
      <c r="C13" s="236" t="s">
        <v>511</v>
      </c>
      <c r="D13" s="96" t="s">
        <v>1429</v>
      </c>
      <c r="E13" s="115">
        <v>60</v>
      </c>
      <c r="F13" s="116"/>
      <c r="G13" s="106" t="str">
        <f>IFERROR(INDEX(온라인_반찬!$C$2:$H$612,MATCH($D13,온라인_반찬!$C$2:$C$612,0),6),"")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13" s="94" t="str">
        <f>IFERROR(INDEX(온라인_반찬!$D$2:$J$605,MATCH($D13,온라인_반찬!$C$2:$C$605,0),6),"")</f>
        <v>.5.6.12.16.21.</v>
      </c>
      <c r="I13" s="102" t="s">
        <v>2200</v>
      </c>
      <c r="J13" s="95">
        <v>41</v>
      </c>
      <c r="K13" s="94">
        <v>2460</v>
      </c>
      <c r="L13" s="121" t="str">
        <f>IFERROR(INDEX(온라인_반찬!$C$2:$J$605,MATCH($D13,온라인_반찬!$C$2:$C$605,0),8),"")</f>
        <v>김말이(크레잇)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1386</v>
      </c>
      <c r="E14" s="115">
        <v>35</v>
      </c>
      <c r="F14" s="116"/>
      <c r="G14" s="106" t="str">
        <f>IFERROR(INDEX(온라인_반찬!$C$2:$H$612,MATCH($D14,온라인_반찬!$C$2:$C$612,0),6),"")</f>
        <v>무(국산)90.9%, 건새우(국내산)2.5%, 대파, 마늘, 대두유, 소금, 참기름, 참깨</v>
      </c>
      <c r="H14" s="94" t="str">
        <f>IFERROR(INDEX(온라인_반찬!$D$2:$J$605,MATCH($D14,온라인_반찬!$C$2:$C$605,0),6),"")</f>
        <v>.5.9.21.</v>
      </c>
      <c r="I14" s="102" t="s">
        <v>2200</v>
      </c>
      <c r="J14" s="95">
        <v>41</v>
      </c>
      <c r="K14" s="94">
        <v>1435</v>
      </c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285" t="s">
        <v>950</v>
      </c>
      <c r="E15" s="286">
        <v>35</v>
      </c>
      <c r="F15" s="286"/>
      <c r="G15" s="287" t="str">
        <f>IFERROR(INDEX(온라인_반찬!$C$2:$H$612,MATCH($D15,온라인_반찬!$C$2:$C$612,0),6),"")</f>
        <v>배추(국내산)70&amp;, 무(국내산)10%, 마늘, 생강, 양파, 설탕, 정제수, 소금</v>
      </c>
      <c r="H15" s="288">
        <f>IFERROR(INDEX(온라인_반찬!$D$2:$J$605,MATCH($D15,온라인_반찬!$C$2:$C$605,0),6),"")</f>
        <v>0</v>
      </c>
      <c r="I15" s="102" t="s">
        <v>2200</v>
      </c>
      <c r="J15" s="95">
        <v>41</v>
      </c>
      <c r="K15" s="94">
        <v>1435</v>
      </c>
      <c r="L15" s="121" t="str">
        <f>IFERROR(INDEX(온라인_반찬!$C$2:$J$605,MATCH($D15,온라인_반찬!$C$2:$C$605,0),8),"")</f>
        <v>백김치(정우식품)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1767</v>
      </c>
      <c r="E16" s="115"/>
      <c r="F16" s="115"/>
      <c r="G16" s="106" t="str">
        <f>IFERROR(INDEX(온라인_반찬!$C$2:$H$612,MATCH($D16,온라인_반찬!$C$2:$C$612,0),6),"")</f>
        <v/>
      </c>
      <c r="H16" s="94" t="str">
        <f>IFERROR(INDEX(온라인_반찬!$D$2:$J$605,MATCH($D16,온라인_반찬!$C$2:$C$605,0),6),"")</f>
        <v/>
      </c>
      <c r="I16" s="102" t="s">
        <v>2200</v>
      </c>
      <c r="J16" s="95"/>
      <c r="K16" s="94"/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2199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2199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2199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2199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2199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2199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4299-D042-4598-A643-1108D7B4E8B6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2205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1152</v>
      </c>
      <c r="E3" s="253">
        <v>140</v>
      </c>
      <c r="F3" s="253"/>
      <c r="G3" s="254" t="str">
        <f>IFERROR(INDEX(온라인_반찬!$C$2:$H$612,MATCH($D3,온라인_반찬!$C$2:$C$612,0),6),"")</f>
        <v>쌀(국산)90%, 찰흑미(국산.친환경)5%, 정제수</v>
      </c>
      <c r="H3" s="255">
        <f>IFERROR(INDEX(온라인_반찬!$D$2:$J$605,MATCH($D3,온라인_반찬!$C$2:$C$605,0),6),"")</f>
        <v>0</v>
      </c>
      <c r="I3" s="256" t="s">
        <v>2206</v>
      </c>
      <c r="J3" s="257">
        <v>1426</v>
      </c>
      <c r="K3" s="255">
        <v>227510</v>
      </c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1284</v>
      </c>
      <c r="E4" s="115">
        <v>150</v>
      </c>
      <c r="F4" s="116" t="s">
        <v>2331</v>
      </c>
      <c r="G4" s="106" t="str">
        <f>IFERROR(INDEX(온라인_반찬!$C$2:$H$612,MATCH($D4,온라인_반찬!$C$2:$C$612,0),6),"")</f>
        <v>닭봉(국산)36%, 무(국산)7%, 약재(황기, 대추, 당귀, 허개나무, 엄나무, 오가피 : 국산)3%, 정제수, 파, 마늘, 후추가루, 소금</v>
      </c>
      <c r="H4" s="94" t="str">
        <f>IFERROR(INDEX(온라인_반찬!$D$2:$J$605,MATCH($D4,온라인_반찬!$C$2:$C$605,0),6),"")</f>
        <v>.5.15.</v>
      </c>
      <c r="I4" s="102" t="s">
        <v>2206</v>
      </c>
      <c r="J4" s="95">
        <v>1426</v>
      </c>
      <c r="K4" s="94">
        <v>234420</v>
      </c>
      <c r="L4" s="121">
        <f>IFERROR(INDEX(온라인_반찬!$C$2:$J$605,MATCH($D4,온라인_반찬!$C$2:$C$605,0),8),"")</f>
        <v>0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2142</v>
      </c>
      <c r="E5" s="115">
        <v>60</v>
      </c>
      <c r="F5" s="116"/>
      <c r="G5" s="106" t="str">
        <f>IFERROR(INDEX(온라인_반찬!$C$2:$H$612,MATCH($D5,온라인_반찬!$C$2:$C$612,0),6),"")</f>
        <v>돈채(돼지고기:국산)62%, 마늘쫑(중국산)7%, 양파, 당근, 소스(마늘, 간장, 설탕, 후추, 대두유, 참기름, 참깨)25%</v>
      </c>
      <c r="H5" s="94" t="str">
        <f>IFERROR(INDEX(온라인_반찬!$D$2:$J$605,MATCH($D5,온라인_반찬!$C$2:$C$605,0),6),"")</f>
        <v>.5.6.10.21.</v>
      </c>
      <c r="I5" s="102" t="s">
        <v>2206</v>
      </c>
      <c r="J5" s="95">
        <v>1426</v>
      </c>
      <c r="K5" s="94">
        <v>109750</v>
      </c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2208</v>
      </c>
      <c r="E6" s="115"/>
      <c r="F6" s="116">
        <v>2</v>
      </c>
      <c r="G6" s="106" t="str">
        <f>IFERROR(INDEX(온라인_반찬!$C$2:$H$612,MATCH($D6,온라인_반찬!$C$2:$C$612,0),6),"")</f>
        <v>전란액(국산)65.64%, 난백액(국산)23.44%, 대파, 당근, 옥수수유, 정제소금, 간장, 쇠고기다시, 전지분유, 카로틴 외</v>
      </c>
      <c r="H6" s="94" t="str">
        <f>IFERROR(INDEX(온라인_반찬!$D$2:$J$605,MATCH($D6,온라인_반찬!$C$2:$C$605,0),6),"")</f>
        <v>.1.2.5.6.16.18.</v>
      </c>
      <c r="I6" s="102" t="s">
        <v>2206</v>
      </c>
      <c r="J6" s="95">
        <v>1426</v>
      </c>
      <c r="K6" s="94">
        <v>3600.5999999999995</v>
      </c>
      <c r="L6" s="121" t="str">
        <f>IFERROR(INDEX(온라인_반찬!$C$2:$J$605,MATCH($D6,온라인_반찬!$C$2:$C$605,0),8),"")</f>
        <v>풍림푸드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1305</v>
      </c>
      <c r="E7" s="115">
        <v>8</v>
      </c>
      <c r="F7" s="116"/>
      <c r="G7" s="106" t="str">
        <f>IFERROR(INDEX(온라인_반찬!$C$2:$H$612,MATCH($D7,온라인_반찬!$C$2:$C$612,0),6),"")</f>
        <v>건파래김(국산)85.4%, 대두유, 들기름, 설탕, 맛소금, 참깨</v>
      </c>
      <c r="H7" s="94" t="str">
        <f>IFERROR(INDEX(온라인_반찬!$D$2:$J$605,MATCH($D7,온라인_반찬!$C$2:$C$605,0),6),"")</f>
        <v>.5.21.22.</v>
      </c>
      <c r="I7" s="102" t="s">
        <v>2206</v>
      </c>
      <c r="J7" s="95">
        <v>1426</v>
      </c>
      <c r="K7" s="94">
        <v>14068</v>
      </c>
      <c r="L7" s="121" t="str">
        <f>IFERROR(INDEX(온라인_반찬!$C$2:$J$605,MATCH($D7,온라인_반찬!$C$2:$C$605,0),8),"")</f>
        <v>유아8g / 중구청10g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285" t="s">
        <v>520</v>
      </c>
      <c r="E8" s="286">
        <v>25</v>
      </c>
      <c r="F8" s="286"/>
      <c r="G8" s="287" t="str">
        <f>IFERROR(INDEX(온라인_반찬!$C$2:$H$612,MATCH($D8,온라인_반찬!$C$2:$C$612,0),6),"")</f>
        <v>무(국산)85.2%, 고추가루(국산), 밀가루풀(국산), 파, 마늘, 새우젓 등 양념(국산)</v>
      </c>
      <c r="H8" s="288" t="str">
        <f>IFERROR(INDEX(온라인_반찬!$D$2:$J$605,MATCH($D8,온라인_반찬!$C$2:$C$605,0),6),"")</f>
        <v>.6.9.</v>
      </c>
      <c r="I8" s="102" t="s">
        <v>2206</v>
      </c>
      <c r="J8" s="95">
        <v>1426</v>
      </c>
      <c r="K8" s="94">
        <v>40150</v>
      </c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2209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1152</v>
      </c>
      <c r="E10" s="216">
        <v>150</v>
      </c>
      <c r="F10" s="216"/>
      <c r="G10" s="217" t="str">
        <f>IFERROR(INDEX(온라인_반찬!$C$2:$H$612,MATCH($D10,온라인_반찬!$C$2:$C$612,0),6),"")</f>
        <v>쌀(국산)90%, 찰흑미(국산.친환경)5%, 정제수</v>
      </c>
      <c r="H10" s="218">
        <f>IFERROR(INDEX(온라인_반찬!$D$2:$J$605,MATCH($D10,온라인_반찬!$C$2:$C$605,0),6),"")</f>
        <v>0</v>
      </c>
      <c r="I10" s="219" t="s">
        <v>2207</v>
      </c>
      <c r="J10" s="257">
        <v>69</v>
      </c>
      <c r="K10" s="255">
        <v>10950</v>
      </c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1284</v>
      </c>
      <c r="E11" s="115">
        <v>160</v>
      </c>
      <c r="F11" s="116" t="s">
        <v>2332</v>
      </c>
      <c r="G11" s="106" t="str">
        <f>IFERROR(INDEX(온라인_반찬!$C$2:$H$612,MATCH($D11,온라인_반찬!$C$2:$C$612,0),6),"")</f>
        <v>닭봉(국산)36%, 무(국산)7%, 약재(황기, 대추, 당귀, 허개나무, 엄나무, 오가피 : 국산)3%, 정제수, 파, 마늘, 후추가루, 소금</v>
      </c>
      <c r="H11" s="94" t="str">
        <f>IFERROR(INDEX(온라인_반찬!$D$2:$J$605,MATCH($D11,온라인_반찬!$C$2:$C$605,0),6),"")</f>
        <v>.5.15.</v>
      </c>
      <c r="I11" s="102" t="s">
        <v>2207</v>
      </c>
      <c r="J11" s="95">
        <v>69</v>
      </c>
      <c r="K11" s="94">
        <v>11210</v>
      </c>
      <c r="L11" s="121">
        <f>IFERROR(INDEX(온라인_반찬!$C$2:$J$605,MATCH($D11,온라인_반찬!$C$2:$C$605,0),8),"")</f>
        <v>0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279" t="s">
        <v>2210</v>
      </c>
      <c r="E12" s="280">
        <v>80</v>
      </c>
      <c r="F12" s="281"/>
      <c r="G12" s="282" t="s">
        <v>2211</v>
      </c>
      <c r="H12" s="283" t="str">
        <f>IFERROR(INDEX(온라인_반찬!$D$2:$J$605,MATCH($D12,온라인_반찬!$C$2:$C$605,0),6),"")</f>
        <v/>
      </c>
      <c r="I12" s="102" t="s">
        <v>2207</v>
      </c>
      <c r="J12" s="95">
        <v>69</v>
      </c>
      <c r="K12" s="94">
        <v>6064</v>
      </c>
      <c r="L12" s="121" t="str">
        <f>IFERROR(INDEX(온라인_반찬!$C$2:$J$605,MATCH($D12,온라인_반찬!$C$2:$C$605,0),8),"")</f>
        <v/>
      </c>
      <c r="M12" s="113"/>
      <c r="N12" s="113"/>
    </row>
    <row r="13" spans="2:23" ht="39.950000000000003" customHeight="1">
      <c r="B13" s="336"/>
      <c r="C13" s="236" t="s">
        <v>511</v>
      </c>
      <c r="D13" s="96" t="s">
        <v>2208</v>
      </c>
      <c r="E13" s="115"/>
      <c r="F13" s="116">
        <v>3</v>
      </c>
      <c r="G13" s="106" t="str">
        <f>IFERROR(INDEX(온라인_반찬!$C$2:$H$612,MATCH($D13,온라인_반찬!$C$2:$C$612,0),6),"")</f>
        <v>전란액(국산)65.64%, 난백액(국산)23.44%, 대파, 당근, 옥수수유, 정제소금, 간장, 쇠고기다시, 전지분유, 카로틴 외</v>
      </c>
      <c r="H13" s="94" t="str">
        <f>IFERROR(INDEX(온라인_반찬!$D$2:$J$605,MATCH($D13,온라인_반찬!$C$2:$C$605,0),6),"")</f>
        <v>.1.2.5.6.16.18.</v>
      </c>
      <c r="I13" s="102" t="s">
        <v>2207</v>
      </c>
      <c r="J13" s="95">
        <v>69</v>
      </c>
      <c r="K13" s="94">
        <v>213.9</v>
      </c>
      <c r="L13" s="121" t="str">
        <f>IFERROR(INDEX(온라인_반찬!$C$2:$J$605,MATCH($D13,온라인_반찬!$C$2:$C$605,0),8),"")</f>
        <v>풍림푸드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1305</v>
      </c>
      <c r="E14" s="115">
        <v>10</v>
      </c>
      <c r="F14" s="116"/>
      <c r="G14" s="106" t="str">
        <f>IFERROR(INDEX(온라인_반찬!$C$2:$H$612,MATCH($D14,온라인_반찬!$C$2:$C$612,0),6),"")</f>
        <v>건파래김(국산)85.4%, 대두유, 들기름, 설탕, 맛소금, 참깨</v>
      </c>
      <c r="H14" s="94" t="str">
        <f>IFERROR(INDEX(온라인_반찬!$D$2:$J$605,MATCH($D14,온라인_반찬!$C$2:$C$605,0),6),"")</f>
        <v>.5.21.22.</v>
      </c>
      <c r="I14" s="102" t="s">
        <v>2207</v>
      </c>
      <c r="J14" s="95">
        <v>69</v>
      </c>
      <c r="K14" s="94">
        <v>690</v>
      </c>
      <c r="L14" s="121" t="str">
        <f>IFERROR(INDEX(온라인_반찬!$C$2:$J$605,MATCH($D14,온라인_반찬!$C$2:$C$605,0),8),"")</f>
        <v>유아8g / 중구청10g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285" t="s">
        <v>520</v>
      </c>
      <c r="E15" s="286">
        <v>35</v>
      </c>
      <c r="F15" s="286"/>
      <c r="G15" s="287" t="str">
        <f>IFERROR(INDEX(온라인_반찬!$C$2:$H$612,MATCH($D15,온라인_반찬!$C$2:$C$612,0),6),"")</f>
        <v>무(국산)85.2%, 고추가루(국산), 밀가루풀(국산), 파, 마늘, 새우젓 등 양념(국산)</v>
      </c>
      <c r="H15" s="288" t="str">
        <f>IFERROR(INDEX(온라인_반찬!$D$2:$J$605,MATCH($D15,온라인_반찬!$C$2:$C$605,0),6),"")</f>
        <v>.6.9.</v>
      </c>
      <c r="I15" s="102" t="s">
        <v>2207</v>
      </c>
      <c r="J15" s="95">
        <v>69</v>
      </c>
      <c r="K15" s="94">
        <v>2415</v>
      </c>
      <c r="L15" s="121">
        <f>IFERROR(INDEX(온라인_반찬!$C$2:$J$605,MATCH($D15,온라인_반찬!$C$2:$C$605,0),8),"")</f>
        <v>0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1230</v>
      </c>
      <c r="E16" s="115"/>
      <c r="F16" s="115">
        <v>1</v>
      </c>
      <c r="G16" s="106" t="str">
        <f>IFERROR(INDEX(온라인_반찬!$C$2:$H$612,MATCH($D16,온라인_반찬!$C$2:$C$612,0),6),"")</f>
        <v>고등어(국산)95%, 카레가루, 대두유, 소금</v>
      </c>
      <c r="H16" s="94" t="str">
        <f>IFERROR(INDEX(온라인_반찬!$D$2:$J$605,MATCH($D16,온라인_반찬!$C$2:$C$605,0),6),"")</f>
        <v>.2.5.6.7.12.16.18.</v>
      </c>
      <c r="I16" s="102" t="s">
        <v>2207</v>
      </c>
      <c r="J16" s="95">
        <v>28</v>
      </c>
      <c r="K16" s="94">
        <v>30</v>
      </c>
      <c r="L16" s="157">
        <f>IFERROR(INDEX(온라인_반찬!$C$2:$J$605,MATCH($D16,온라인_반찬!$C$2:$C$605,0),8),"")</f>
        <v>0</v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2206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2206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2206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2206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2206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2206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06A7-DBE3-48BE-8936-AB64DC1C9429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2214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49"/>
      <c r="C3" s="351" t="s">
        <v>2215</v>
      </c>
      <c r="D3" s="299" t="s">
        <v>944</v>
      </c>
      <c r="E3" s="300">
        <v>100</v>
      </c>
      <c r="F3" s="301"/>
      <c r="G3" s="302" t="str">
        <f>IFERROR(INDEX(온라인_반찬!$C$2:$H$612,MATCH($D3,온라인_반찬!$C$2:$C$612,0),6),"")</f>
        <v>스파게티면(듀럼밀100%)97%, 올리브오일3%</v>
      </c>
      <c r="H3" s="255" t="str">
        <f>IFERROR(INDEX(온라인_반찬!$D$2:$J$605,MATCH($D3,온라인_반찬!$C$2:$C$605,0),6),"")</f>
        <v>.6.</v>
      </c>
      <c r="I3" s="303" t="s">
        <v>2212</v>
      </c>
      <c r="J3" s="257"/>
      <c r="K3" s="255"/>
      <c r="L3" s="258">
        <f>IFERROR(INDEX(온라인_반찬!$C$2:$J$605,MATCH($D3,온라인_반찬!$C$2:$C$605,0),8),"")</f>
        <v>0</v>
      </c>
      <c r="M3" s="205" t="s">
        <v>1585</v>
      </c>
      <c r="N3" s="113"/>
      <c r="P3" s="113" t="s">
        <v>1070</v>
      </c>
      <c r="R3" s="113"/>
      <c r="S3" s="113" t="s">
        <v>635</v>
      </c>
    </row>
    <row r="4" spans="2:23" ht="39.950000000000003" customHeight="1">
      <c r="B4" s="349"/>
      <c r="C4" s="352"/>
      <c r="D4" s="295" t="s">
        <v>1013</v>
      </c>
      <c r="E4" s="296">
        <v>120</v>
      </c>
      <c r="F4" s="297"/>
      <c r="G4" s="133" t="str">
        <f>IFERROR(INDEX(온라인_반찬!$C$2:$H$612,MATCH($D4,온라인_반찬!$C$2:$C$612,0),6),"")</f>
        <v>양파, 피망, 토마토소스[과채가공품(토마토:이탈리아산),토마토페이스트(토마토:중국산)], 올리브오일, 후추, 파슬리가루</v>
      </c>
      <c r="H4" s="94" t="str">
        <f>IFERROR(INDEX(온라인_반찬!$D$2:$J$605,MATCH($D4,온라인_반찬!$C$2:$C$605,0),6),"")</f>
        <v>.5.12.</v>
      </c>
      <c r="I4" s="298" t="s">
        <v>2212</v>
      </c>
      <c r="J4" s="95"/>
      <c r="K4" s="94"/>
      <c r="L4" s="121" t="str">
        <f>IFERROR(INDEX(온라인_반찬!$C$2:$J$605,MATCH($D4,온라인_반찬!$C$2:$C$605,0),8),"")</f>
        <v xml:space="preserve">토마토소스(이츠웰) </v>
      </c>
      <c r="M4" s="113" t="s">
        <v>775</v>
      </c>
      <c r="N4" s="113"/>
      <c r="R4" s="113"/>
      <c r="S4" s="338" t="s">
        <v>1554</v>
      </c>
      <c r="T4" s="338"/>
      <c r="U4" s="338"/>
      <c r="V4" s="338"/>
      <c r="W4" s="338"/>
    </row>
    <row r="5" spans="2:23" ht="39.950000000000003" customHeight="1">
      <c r="B5" s="349"/>
      <c r="C5" s="304" t="s">
        <v>2216</v>
      </c>
      <c r="D5" s="293" t="s">
        <v>1637</v>
      </c>
      <c r="E5" s="216">
        <v>60</v>
      </c>
      <c r="F5" s="216"/>
      <c r="G5" s="217" t="str">
        <f>IFERROR(INDEX(온라인_반찬!$C$2:$H$612,MATCH($D5,온라인_반찬!$C$2:$C$612,0),6),"")</f>
        <v>스크램블에그(계란:국산)7%, 당근,  쌀밥(쌀:국산)85%, 버터, 대두유, 소금, 참기름,참깨</v>
      </c>
      <c r="H5" s="218" t="str">
        <f>IFERROR(INDEX(온라인_반찬!$D$2:$J$605,MATCH($D5,온라인_반찬!$C$2:$C$605,0),6),"")</f>
        <v>.1.2.5.18.21.</v>
      </c>
      <c r="I5" s="219" t="s">
        <v>2212</v>
      </c>
      <c r="J5" s="294"/>
      <c r="K5" s="218"/>
      <c r="L5" s="220">
        <f>IFERROR(INDEX(온라인_반찬!$C$2:$J$605,MATCH($D5,온라인_반찬!$C$2:$C$605,0),8),"")</f>
        <v>0</v>
      </c>
      <c r="M5" s="113"/>
      <c r="N5" s="113"/>
      <c r="R5" s="113"/>
      <c r="S5" s="284"/>
      <c r="T5" s="284"/>
      <c r="U5" s="284"/>
      <c r="V5" s="284"/>
      <c r="W5" s="284"/>
    </row>
    <row r="6" spans="2:23" ht="39.950000000000003" customHeight="1">
      <c r="B6" s="349"/>
      <c r="C6" s="152" t="s">
        <v>2217</v>
      </c>
      <c r="D6" s="96" t="s">
        <v>1065</v>
      </c>
      <c r="E6" s="115"/>
      <c r="F6" s="116">
        <v>3</v>
      </c>
      <c r="G6" s="106" t="str">
        <f>IFERROR(INDEX(온라인_반찬!$C$2:$H$612,MATCH($D6,온라인_반찬!$C$2:$C$612,0),6),"")</f>
        <v>닭고기(국내산)56.83%, 크루스토브레딩(캐나다산:밀가루,식물성유지,설탕소금). 버터믹스, 정제수, 양파, 마늘, 후추</v>
      </c>
      <c r="H6" s="94" t="str">
        <f>IFERROR(INDEX(온라인_반찬!$D$2:$J$605,MATCH($D6,온라인_반찬!$C$2:$C$605,0),6),"")</f>
        <v>.1.2.5.6.15.16.</v>
      </c>
      <c r="I6" s="102" t="s">
        <v>2212</v>
      </c>
      <c r="J6" s="95"/>
      <c r="K6" s="94"/>
      <c r="L6" s="121" t="str">
        <f>IFERROR(INDEX(온라인_반찬!$C$2:$J$605,MATCH($D6,온라인_반찬!$C$2:$C$605,0),8),"")</f>
        <v>43ea까지 / 용가리치킨(하림)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49"/>
      <c r="C7" s="152" t="s">
        <v>2218</v>
      </c>
      <c r="D7" s="96" t="s">
        <v>591</v>
      </c>
      <c r="E7" s="115">
        <v>40</v>
      </c>
      <c r="F7" s="116"/>
      <c r="G7" s="106" t="str">
        <f>IFERROR(INDEX(온라인_반찬!$C$2:$H$612,MATCH($D7,온라인_반찬!$C$2:$C$612,0),6),"")</f>
        <v>방울토마토(국산)55%, 보코치니치즈(모짜렐라치즈:미국산)20%, 참외(국내산), 파인애플청크(수입산), 샐러드채소(치커리, 어린잎채소:국산)12%, 오리엔탈드레싱13%</v>
      </c>
      <c r="H7" s="94" t="str">
        <f>IFERROR(INDEX(온라인_반찬!$D$2:$J$605,MATCH($D7,온라인_반찬!$C$2:$C$605,0),6),"")</f>
        <v>.2.5.6.12.13.</v>
      </c>
      <c r="I7" s="102" t="s">
        <v>2212</v>
      </c>
      <c r="J7" s="95"/>
      <c r="K7" s="94"/>
      <c r="L7" s="121" t="str">
        <f>IFERROR(INDEX(온라인_반찬!$C$2:$J$605,MATCH($D7,온라인_반찬!$C$2:$C$605,0),8),"")</f>
        <v>오리엔탈드레싱(크레잇)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49"/>
      <c r="C8" s="152" t="s">
        <v>2219</v>
      </c>
      <c r="D8" s="96" t="s">
        <v>547</v>
      </c>
      <c r="E8" s="115">
        <v>25</v>
      </c>
      <c r="F8" s="115"/>
      <c r="G8" s="106" t="str">
        <f>IFERROR(INDEX(온라인_반찬!$C$2:$H$612,MATCH($D8,온라인_반찬!$C$2:$C$612,0),6),"")</f>
        <v>무(국산)35%, 양배추, 적채, 오이, 정제수, 식초, 소금, 설탕</v>
      </c>
      <c r="H8" s="94">
        <f>IFERROR(INDEX(온라인_반찬!$D$2:$J$605,MATCH($D8,온라인_반찬!$C$2:$C$605,0),6),"")</f>
        <v>0</v>
      </c>
      <c r="I8" s="102" t="s">
        <v>2212</v>
      </c>
      <c r="J8" s="95"/>
      <c r="K8" s="94"/>
      <c r="L8" s="121">
        <f>IFERROR(INDEX(온라인_반찬!$C$2:$J$605,MATCH($D8,온라인_반찬!$C$2:$C$605,0),8),"")</f>
        <v>0</v>
      </c>
      <c r="M8" s="113"/>
      <c r="N8" s="113"/>
      <c r="P8" s="113"/>
      <c r="R8" s="113"/>
      <c r="S8" s="113"/>
    </row>
    <row r="9" spans="2:23" ht="39.950000000000003" customHeight="1">
      <c r="B9" s="349"/>
      <c r="C9" s="152" t="s">
        <v>2220</v>
      </c>
      <c r="D9" s="96" t="s">
        <v>1962</v>
      </c>
      <c r="E9" s="115"/>
      <c r="F9" s="115">
        <v>1</v>
      </c>
      <c r="G9" s="106" t="str">
        <f>IFERROR(INDEX(온라인_반찬!$C$2:$H$612,MATCH($D9,온라인_반찬!$C$2:$C$612,0),6),"")</f>
        <v>[정제수, 백포도농축액, 샤인머스켓농축액, 자일리톨, 청포도향(천연향료), 효소처리스테비아, 구연산]</v>
      </c>
      <c r="H9" s="94">
        <f>IFERROR(INDEX(온라인_반찬!$D$2:$J$605,MATCH($D9,온라인_반찬!$C$2:$C$605,0),6),"")</f>
        <v>0</v>
      </c>
      <c r="I9" s="102" t="s">
        <v>2212</v>
      </c>
      <c r="J9" s="95"/>
      <c r="K9" s="94"/>
      <c r="L9" s="121" t="str">
        <f>IFERROR(INDEX(온라인_반찬!$C$2:$J$605,MATCH($D9,온라인_반찬!$C$2:$C$605,0),8),"")</f>
        <v>베베쿡</v>
      </c>
      <c r="M9" s="113" t="s">
        <v>1197</v>
      </c>
      <c r="N9" s="113"/>
      <c r="P9" s="113" t="s">
        <v>1208</v>
      </c>
      <c r="R9" s="113"/>
      <c r="S9" s="113" t="s">
        <v>1416</v>
      </c>
    </row>
    <row r="10" spans="2:23" ht="39.950000000000003" customHeight="1" thickBot="1">
      <c r="B10" s="350"/>
      <c r="C10" s="305" t="s">
        <v>74</v>
      </c>
      <c r="D10" s="202"/>
      <c r="E10" s="123"/>
      <c r="F10" s="124"/>
      <c r="G10" s="265" t="s">
        <v>2221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36"/>
      <c r="C11" s="351" t="s">
        <v>2215</v>
      </c>
      <c r="D11" s="96" t="s">
        <v>944</v>
      </c>
      <c r="E11" s="115">
        <v>110</v>
      </c>
      <c r="F11" s="116"/>
      <c r="G11" s="106" t="str">
        <f>IFERROR(INDEX(온라인_반찬!$C$2:$H$612,MATCH($D11,온라인_반찬!$C$2:$C$612,0),6),"")</f>
        <v>스파게티면(듀럼밀100%)97%, 올리브오일3%</v>
      </c>
      <c r="H11" s="94" t="str">
        <f>IFERROR(INDEX(온라인_반찬!$D$2:$J$605,MATCH($D11,온라인_반찬!$C$2:$C$605,0),6),"")</f>
        <v>.6.</v>
      </c>
      <c r="I11" s="102" t="s">
        <v>2213</v>
      </c>
      <c r="J11" s="95"/>
      <c r="K11" s="94"/>
      <c r="L11" s="121">
        <f>IFERROR(INDEX(온라인_반찬!$C$2:$J$605,MATCH($D11,온라인_반찬!$C$2:$C$605,0),8),"")</f>
        <v>0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352"/>
      <c r="D12" s="96" t="s">
        <v>1013</v>
      </c>
      <c r="E12" s="115">
        <v>130</v>
      </c>
      <c r="F12" s="116"/>
      <c r="G12" s="106" t="str">
        <f>IFERROR(INDEX(온라인_반찬!$C$2:$H$612,MATCH($D12,온라인_반찬!$C$2:$C$612,0),6),"")</f>
        <v>양파, 피망, 토마토소스[과채가공품(토마토:이탈리아산),토마토페이스트(토마토:중국산)], 올리브오일, 후추, 파슬리가루</v>
      </c>
      <c r="H12" s="94" t="str">
        <f>IFERROR(INDEX(온라인_반찬!$D$2:$J$605,MATCH($D12,온라인_반찬!$C$2:$C$605,0),6),"")</f>
        <v>.5.12.</v>
      </c>
      <c r="I12" s="102" t="s">
        <v>2213</v>
      </c>
      <c r="J12" s="95"/>
      <c r="K12" s="94"/>
      <c r="L12" s="121" t="str">
        <f>IFERROR(INDEX(온라인_반찬!$C$2:$J$605,MATCH($D12,온라인_반찬!$C$2:$C$605,0),8),"")</f>
        <v xml:space="preserve">토마토소스(이츠웰) </v>
      </c>
      <c r="M12" s="113"/>
      <c r="N12" s="113"/>
      <c r="O12" s="113"/>
    </row>
    <row r="13" spans="2:23" ht="39.950000000000003" customHeight="1">
      <c r="B13" s="336"/>
      <c r="C13" s="304" t="s">
        <v>2216</v>
      </c>
      <c r="D13" s="96" t="s">
        <v>2324</v>
      </c>
      <c r="E13" s="115">
        <v>80</v>
      </c>
      <c r="F13" s="116"/>
      <c r="G13" s="106" t="s">
        <v>2325</v>
      </c>
      <c r="H13" s="94" t="s">
        <v>2326</v>
      </c>
      <c r="I13" s="102" t="s">
        <v>2213</v>
      </c>
      <c r="J13" s="95"/>
      <c r="K13" s="94"/>
      <c r="L13" s="121">
        <v>0</v>
      </c>
      <c r="M13" s="113"/>
      <c r="N13" s="113"/>
      <c r="O13" s="113"/>
    </row>
    <row r="14" spans="2:23" ht="39.950000000000003" customHeight="1">
      <c r="B14" s="336"/>
      <c r="C14" s="152" t="s">
        <v>2217</v>
      </c>
      <c r="D14" s="96" t="s">
        <v>1065</v>
      </c>
      <c r="E14" s="115"/>
      <c r="F14" s="116">
        <v>3</v>
      </c>
      <c r="G14" s="106" t="str">
        <f>IFERROR(INDEX(온라인_반찬!$C$2:$H$612,MATCH($D14,온라인_반찬!$C$2:$C$612,0),6),"")</f>
        <v>닭고기(국내산)56.83%, 크루스토브레딩(캐나다산:밀가루,식물성유지,설탕소금). 버터믹스, 정제수, 양파, 마늘, 후추</v>
      </c>
      <c r="H14" s="94" t="s">
        <v>2326</v>
      </c>
      <c r="I14" s="102" t="s">
        <v>2213</v>
      </c>
      <c r="J14" s="95"/>
      <c r="K14" s="94"/>
      <c r="L14" s="121">
        <v>0</v>
      </c>
      <c r="M14" s="113"/>
      <c r="N14" s="113"/>
      <c r="O14" s="113"/>
    </row>
    <row r="15" spans="2:23" ht="39.950000000000003" customHeight="1">
      <c r="B15" s="336"/>
      <c r="C15" s="152" t="s">
        <v>2218</v>
      </c>
      <c r="D15" s="96" t="s">
        <v>591</v>
      </c>
      <c r="E15" s="115">
        <v>45</v>
      </c>
      <c r="F15" s="116"/>
      <c r="G15" s="106" t="str">
        <f>IFERROR(INDEX(온라인_반찬!$C$2:$H$612,MATCH($D15,온라인_반찬!$C$2:$C$612,0),6),"")</f>
        <v>방울토마토(국산)55%, 보코치니치즈(모짜렐라치즈:미국산)20%, 참외(국내산), 파인애플청크(수입산), 샐러드채소(치커리, 어린잎채소:국산)12%, 오리엔탈드레싱13%</v>
      </c>
      <c r="H15" s="94" t="str">
        <f>IFERROR(INDEX(온라인_반찬!$D$2:$J$605,MATCH($D15,온라인_반찬!$C$2:$C$605,0),6),"")</f>
        <v>.2.5.6.12.13.</v>
      </c>
      <c r="I15" s="102" t="s">
        <v>2213</v>
      </c>
      <c r="J15" s="95"/>
      <c r="K15" s="94"/>
      <c r="L15" s="121" t="str">
        <f>IFERROR(INDEX(온라인_반찬!$C$2:$J$605,MATCH($D15,온라인_반찬!$C$2:$C$605,0),8),"")</f>
        <v>오리엔탈드레싱(크레잇)</v>
      </c>
      <c r="M15" s="113"/>
      <c r="N15" s="113"/>
      <c r="O15" s="113"/>
    </row>
    <row r="16" spans="2:23" ht="39.950000000000003" customHeight="1">
      <c r="B16" s="336"/>
      <c r="C16" s="236" t="s">
        <v>2219</v>
      </c>
      <c r="D16" s="96" t="s">
        <v>547</v>
      </c>
      <c r="E16" s="115">
        <v>35</v>
      </c>
      <c r="F16" s="116"/>
      <c r="G16" s="106" t="str">
        <f>IFERROR(INDEX(온라인_반찬!$C$2:$H$612,MATCH($D16,온라인_반찬!$C$2:$C$612,0),6),"")</f>
        <v>무(국산)35%, 양배추, 적채, 오이, 정제수, 식초, 소금, 설탕</v>
      </c>
      <c r="H16" s="94">
        <f>IFERROR(INDEX(온라인_반찬!$D$2:$J$605,MATCH($D16,온라인_반찬!$C$2:$C$605,0),6),"")</f>
        <v>0</v>
      </c>
      <c r="I16" s="102" t="s">
        <v>2213</v>
      </c>
      <c r="J16" s="95"/>
      <c r="K16" s="94"/>
      <c r="L16" s="121">
        <f>IFERROR(INDEX(온라인_반찬!$C$2:$J$605,MATCH($D16,온라인_반찬!$C$2:$C$605,0),8),"")</f>
        <v>0</v>
      </c>
      <c r="M16" s="113"/>
      <c r="N16" s="113"/>
      <c r="O16" s="113"/>
    </row>
    <row r="17" spans="2:15" ht="39.950000000000003" customHeight="1">
      <c r="B17" s="336"/>
      <c r="C17" s="236" t="s">
        <v>2220</v>
      </c>
      <c r="D17" s="96" t="s">
        <v>1962</v>
      </c>
      <c r="E17" s="115"/>
      <c r="F17" s="115">
        <v>1</v>
      </c>
      <c r="G17" s="106" t="str">
        <f>IFERROR(INDEX(온라인_반찬!$C$2:$H$612,MATCH($D17,온라인_반찬!$C$2:$C$612,0),6),"")</f>
        <v>[정제수, 백포도농축액, 샤인머스켓농축액, 자일리톨, 청포도향(천연향료), 효소처리스테비아, 구연산]</v>
      </c>
      <c r="H17" s="94">
        <f>IFERROR(INDEX(온라인_반찬!$D$2:$J$605,MATCH($D17,온라인_반찬!$C$2:$C$605,0),6),"")</f>
        <v>0</v>
      </c>
      <c r="I17" s="102" t="s">
        <v>2213</v>
      </c>
      <c r="J17" s="95"/>
      <c r="K17" s="94"/>
      <c r="L17" s="121" t="str">
        <f>IFERROR(INDEX(온라인_반찬!$C$2:$J$605,MATCH($D17,온라인_반찬!$C$2:$C$605,0),8),"")</f>
        <v>베베쿡</v>
      </c>
      <c r="M17" s="113"/>
      <c r="N17" s="113"/>
      <c r="O17" s="113"/>
    </row>
    <row r="18" spans="2:15" ht="39.950000000000003" customHeight="1">
      <c r="B18" s="336"/>
      <c r="C18" s="213" t="s">
        <v>1196</v>
      </c>
      <c r="D18" s="96" t="s">
        <v>1767</v>
      </c>
      <c r="E18" s="115"/>
      <c r="F18" s="115">
        <v>1</v>
      </c>
      <c r="G18" s="106" t="s">
        <v>2333</v>
      </c>
      <c r="H18" s="94" t="str">
        <f>IFERROR(INDEX(온라인_반찬!$D$2:$J$605,MATCH($D18,온라인_반찬!$C$2:$C$605,0),6),"")</f>
        <v/>
      </c>
      <c r="I18" s="102" t="s">
        <v>2213</v>
      </c>
      <c r="J18" s="95"/>
      <c r="K18" s="94"/>
      <c r="L18" s="157" t="str">
        <f>IFERROR(INDEX(온라인_반찬!$C$2:$J$605,MATCH($D18,온라인_반찬!$C$2:$C$605,0),8),"")</f>
        <v/>
      </c>
      <c r="M18" s="113"/>
      <c r="N18" s="113"/>
      <c r="O18" s="113"/>
    </row>
    <row r="19" spans="2:15" ht="39.950000000000003" customHeight="1" thickBot="1">
      <c r="B19" s="337"/>
      <c r="C19" s="153" t="s">
        <v>74</v>
      </c>
      <c r="D19" s="202"/>
      <c r="E19" s="123"/>
      <c r="F19" s="124"/>
      <c r="G19" s="206"/>
      <c r="H19" s="158"/>
      <c r="I19" s="129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39" t="s">
        <v>1374</v>
      </c>
      <c r="C20" s="93" t="s">
        <v>509</v>
      </c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2212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342" t="s">
        <v>511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2212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343"/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2212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512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2212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>
      <c r="B24" s="340"/>
      <c r="C24" s="107" t="s">
        <v>693</v>
      </c>
      <c r="D24" s="154"/>
      <c r="E24" s="115"/>
      <c r="F24" s="115"/>
      <c r="G24" s="106" t="str">
        <f>IFERROR(INDEX(온라인_반찬!$C$2:$H$612,MATCH($D24,온라인_반찬!$C$2:$C$612,0),6),"")</f>
        <v/>
      </c>
      <c r="H24" s="94" t="str">
        <f>IFERROR(INDEX(온라인_반찬!$D$2:$J$605,MATCH($D24,온라인_반찬!$C$2:$C$605,0),6),"")</f>
        <v/>
      </c>
      <c r="I24" s="102" t="s">
        <v>2212</v>
      </c>
      <c r="J24" s="150"/>
      <c r="K24" s="150"/>
      <c r="L24" s="121" t="str">
        <f>IFERROR(INDEX(온라인_반찬!$C$2:$J$605,MATCH($D24,온라인_반찬!$C$2:$C$605,0),8),"")</f>
        <v/>
      </c>
      <c r="M24" s="113"/>
    </row>
    <row r="25" spans="2:15" ht="39.950000000000003" customHeight="1">
      <c r="B25" s="340"/>
      <c r="C25" s="152" t="s">
        <v>76</v>
      </c>
      <c r="D25" s="154"/>
      <c r="E25" s="115"/>
      <c r="F25" s="115"/>
      <c r="G25" s="106" t="str">
        <f>IFERROR(INDEX(온라인_반찬!$C$2:$H$612,MATCH($D25,온라인_반찬!$C$2:$C$612,0),6),"")</f>
        <v/>
      </c>
      <c r="H25" s="94" t="str">
        <f>IFERROR(INDEX(온라인_반찬!$D$2:$J$605,MATCH($D25,온라인_반찬!$C$2:$C$605,0),6),"")</f>
        <v/>
      </c>
      <c r="I25" s="102" t="s">
        <v>2212</v>
      </c>
      <c r="J25" s="150"/>
      <c r="K25" s="150"/>
      <c r="L25" s="121" t="str">
        <f>IFERROR(INDEX(온라인_반찬!$C$2:$J$605,MATCH($D25,온라인_반찬!$C$2:$C$605,0),8),"")</f>
        <v/>
      </c>
      <c r="M25" s="113"/>
    </row>
    <row r="26" spans="2:15" ht="39.950000000000003" customHeight="1" thickBot="1">
      <c r="B26" s="341"/>
      <c r="C26" s="122" t="s">
        <v>74</v>
      </c>
      <c r="D26" s="123"/>
      <c r="E26" s="123"/>
      <c r="F26" s="124">
        <v>1</v>
      </c>
      <c r="G26" s="125"/>
      <c r="H26" s="158"/>
      <c r="I26" s="129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4:W4"/>
    <mergeCell ref="B11:B19"/>
    <mergeCell ref="B20:B26"/>
    <mergeCell ref="C21:C22"/>
    <mergeCell ref="C3:C4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03A0-A417-45DD-83C3-EBDAC8F57CE5}">
  <sheetPr>
    <pageSetUpPr fitToPage="1"/>
  </sheetPr>
  <dimension ref="B1:W28"/>
  <sheetViews>
    <sheetView zoomScale="80" zoomScaleNormal="80" zoomScaleSheetLayoutView="75" workbookViewId="0">
      <selection activeCell="E16" sqref="E16:E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2224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2222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961</v>
      </c>
      <c r="E4" s="115">
        <v>150</v>
      </c>
      <c r="F4" s="116" t="s">
        <v>2226</v>
      </c>
      <c r="G4" s="106" t="str">
        <f>IFERROR(INDEX(온라인_반찬!$C$2:$H$612,MATCH($D4,온라인_반찬!$C$2:$C$612,0),6),"")</f>
        <v>굴림만두(돼지고기:국산), 두부, 양배추, 양파, 부추, 대파, 난백, 밀가루, 참기름)35%, 계란(국산), 정제수, 멸치육수농축액, 마늘, 파, 소금</v>
      </c>
      <c r="H4" s="94" t="str">
        <f>IFERROR(INDEX(온라인_반찬!$D$2:$J$605,MATCH($D4,온라인_반찬!$C$2:$C$605,0),6),"")</f>
        <v>.1.2.5.6.10.16.21.</v>
      </c>
      <c r="I4" s="102" t="s">
        <v>2222</v>
      </c>
      <c r="J4" s="95"/>
      <c r="K4" s="94"/>
      <c r="L4" s="121">
        <f>IFERROR(INDEX(온라인_반찬!$C$2:$J$605,MATCH($D4,온라인_반찬!$C$2:$C$605,0),8),"")</f>
        <v>0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686</v>
      </c>
      <c r="E5" s="115">
        <v>75</v>
      </c>
      <c r="F5" s="116"/>
      <c r="G5" s="106" t="str">
        <f>IFERROR(INDEX(온라인_반찬!$C$2:$H$612,MATCH($D5,온라인_반찬!$C$2:$C$612,0),6),"")</f>
        <v xml:space="preserve">소고기(호주산)35%, 채소(감자,당근,양파:국산)25%, 정제수, 베이크드빈스, 토마토홀, 토마토소스, 맛술, 치킨스톡, 버터, 소금 </v>
      </c>
      <c r="H5" s="94" t="str">
        <f>IFERROR(INDEX(온라인_반찬!$D$2:$J$605,MATCH($D5,온라인_반찬!$C$2:$C$605,0),6),"")</f>
        <v>.2.5.6.12.16.</v>
      </c>
      <c r="I5" s="102" t="s">
        <v>2222</v>
      </c>
      <c r="J5" s="95"/>
      <c r="K5" s="94"/>
      <c r="L5" s="121" t="str">
        <f>IFERROR(INDEX(온라인_반찬!$C$2:$J$605,MATCH($D5,온라인_반찬!$C$2:$C$605,0),8),"")</f>
        <v>토마토소스(오쉐프)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2120</v>
      </c>
      <c r="E6" s="115">
        <v>25</v>
      </c>
      <c r="F6" s="116"/>
      <c r="G6" s="106" t="str">
        <f>IFERROR(INDEX(온라인_반찬!$C$2:$H$612,MATCH($D6,온라인_반찬!$C$2:$C$612,0),6),"")</f>
        <v>반달감자[감자96.855%, 식물성유지(대두유, 카놀라유, 면실유), 산성피로인산나트륨, 포도당, 무수아황산(산화방지제)]미국산, 치즈시즈닝(치즈혼합분말:미국산,호주산)</v>
      </c>
      <c r="H6" s="94" t="str">
        <f>IFERROR(INDEX(온라인_반찬!$D$2:$J$605,MATCH($D6,온라인_반찬!$C$2:$C$605,0),6),"")</f>
        <v>.2.5.6.</v>
      </c>
      <c r="I6" s="102" t="s">
        <v>2222</v>
      </c>
      <c r="J6" s="95"/>
      <c r="K6" s="94"/>
      <c r="L6" s="121" t="str">
        <f>IFERROR(INDEX(온라인_반찬!$C$2:$J$605,MATCH($D6,온라인_반찬!$C$2:$C$605,0),8),"")</f>
        <v>심플로트(렌치웨지컷),뿌링클치즈시즈닝(상상푸드)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1173</v>
      </c>
      <c r="E7" s="115">
        <v>35</v>
      </c>
      <c r="F7" s="116"/>
      <c r="G7" s="106" t="str">
        <f>IFERROR(INDEX(온라인_반찬!$C$2:$H$612,MATCH($D7,온라인_반찬!$C$2:$C$612,0),6),"")</f>
        <v>청포묵(원료수입산)90%, 계란지단(국산), 오이, 당근, 소금, 간장, 참기름, 참깨</v>
      </c>
      <c r="H7" s="94" t="str">
        <f>IFERROR(INDEX(온라인_반찬!$D$2:$J$605,MATCH($D7,온라인_반찬!$C$2:$C$605,0),6),"")</f>
        <v>.1.5.21.</v>
      </c>
      <c r="I7" s="102" t="s">
        <v>2222</v>
      </c>
      <c r="J7" s="95"/>
      <c r="K7" s="94"/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519</v>
      </c>
      <c r="E8" s="115">
        <v>25</v>
      </c>
      <c r="F8" s="115"/>
      <c r="G8" s="106" t="str">
        <f>IFERROR(INDEX(온라인_반찬!$C$2:$H$612,MATCH($D8,온라인_반찬!$C$2:$C$612,0),6),"")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IFERROR(INDEX(온라인_반찬!$D$2:$J$605,MATCH($D8,온라인_반찬!$C$2:$C$605,0),6),"")</f>
        <v>.9.12.</v>
      </c>
      <c r="I8" s="102" t="s">
        <v>2222</v>
      </c>
      <c r="J8" s="95"/>
      <c r="K8" s="94"/>
      <c r="L8" s="121" t="str">
        <f>IFERROR(INDEX(온라인_반찬!$C$2:$J$605,MATCH($D8,온라인_반찬!$C$2:$C$605,0),8),"")</f>
        <v>토마토김치(종가집)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1154</v>
      </c>
      <c r="E10" s="216">
        <v>150</v>
      </c>
      <c r="F10" s="216"/>
      <c r="G10" s="217" t="str">
        <f>IFERROR(INDEX(온라인_반찬!$C$2:$H$612,MATCH($D10,온라인_반찬!$C$2:$C$612,0),6),"")</f>
        <v>쌀(국산)90%, 찰보리(국산.친환경)5%, 정제수</v>
      </c>
      <c r="H10" s="218">
        <f>IFERROR(INDEX(온라인_반찬!$D$2:$J$605,MATCH($D10,온라인_반찬!$C$2:$C$605,0),6),"")</f>
        <v>0</v>
      </c>
      <c r="I10" s="219" t="s">
        <v>2223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961</v>
      </c>
      <c r="E11" s="115">
        <v>160</v>
      </c>
      <c r="F11" s="116" t="s">
        <v>2227</v>
      </c>
      <c r="G11" s="106" t="str">
        <f>IFERROR(INDEX(온라인_반찬!$C$2:$H$612,MATCH($D11,온라인_반찬!$C$2:$C$612,0),6),"")</f>
        <v>굴림만두(돼지고기:국산), 두부, 양배추, 양파, 부추, 대파, 난백, 밀가루, 참기름)35%, 계란(국산), 정제수, 멸치육수농축액, 마늘, 파, 소금</v>
      </c>
      <c r="H11" s="94" t="str">
        <f>IFERROR(INDEX(온라인_반찬!$D$2:$J$605,MATCH($D11,온라인_반찬!$C$2:$C$605,0),6),"")</f>
        <v>.1.2.5.6.10.16.21.</v>
      </c>
      <c r="I11" s="102" t="s">
        <v>2223</v>
      </c>
      <c r="J11" s="95"/>
      <c r="K11" s="94"/>
      <c r="L11" s="121">
        <f>IFERROR(INDEX(온라인_반찬!$C$2:$J$605,MATCH($D11,온라인_반찬!$C$2:$C$605,0),8),"")</f>
        <v>0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686</v>
      </c>
      <c r="E12" s="115">
        <v>90</v>
      </c>
      <c r="F12" s="116"/>
      <c r="G12" s="106" t="str">
        <f>IFERROR(INDEX(온라인_반찬!$C$2:$H$612,MATCH($D12,온라인_반찬!$C$2:$C$612,0),6),"")</f>
        <v xml:space="preserve">소고기(호주산)35%, 채소(감자,당근,양파:국산)25%, 정제수, 베이크드빈스, 토마토홀, 토마토소스, 맛술, 치킨스톡, 버터, 소금 </v>
      </c>
      <c r="H12" s="94" t="str">
        <f>IFERROR(INDEX(온라인_반찬!$D$2:$J$605,MATCH($D12,온라인_반찬!$C$2:$C$605,0),6),"")</f>
        <v>.2.5.6.12.16.</v>
      </c>
      <c r="I12" s="102" t="s">
        <v>2223</v>
      </c>
      <c r="J12" s="95"/>
      <c r="K12" s="94"/>
      <c r="L12" s="121" t="str">
        <f>IFERROR(INDEX(온라인_반찬!$C$2:$J$605,MATCH($D12,온라인_반찬!$C$2:$C$605,0),8),"")</f>
        <v>토마토소스(오쉐프)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2120</v>
      </c>
      <c r="E13" s="115">
        <v>30</v>
      </c>
      <c r="F13" s="116"/>
      <c r="G13" s="106" t="str">
        <f>IFERROR(INDEX(온라인_반찬!$C$2:$H$612,MATCH($D13,온라인_반찬!$C$2:$C$612,0),6),"")</f>
        <v>반달감자[감자96.855%, 식물성유지(대두유, 카놀라유, 면실유), 산성피로인산나트륨, 포도당, 무수아황산(산화방지제)]미국산, 치즈시즈닝(치즈혼합분말:미국산,호주산)</v>
      </c>
      <c r="H13" s="94" t="str">
        <f>IFERROR(INDEX(온라인_반찬!$D$2:$J$605,MATCH($D13,온라인_반찬!$C$2:$C$605,0),6),"")</f>
        <v>.2.5.6.</v>
      </c>
      <c r="I13" s="102" t="s">
        <v>2223</v>
      </c>
      <c r="J13" s="95"/>
      <c r="K13" s="94"/>
      <c r="L13" s="121" t="str">
        <f>IFERROR(INDEX(온라인_반찬!$C$2:$J$605,MATCH($D13,온라인_반찬!$C$2:$C$605,0),8),"")</f>
        <v>심플로트(렌치웨지컷),뿌링클치즈시즈닝(상상푸드)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1173</v>
      </c>
      <c r="E14" s="115">
        <v>40</v>
      </c>
      <c r="F14" s="116"/>
      <c r="G14" s="106" t="str">
        <f>IFERROR(INDEX(온라인_반찬!$C$2:$H$612,MATCH($D14,온라인_반찬!$C$2:$C$612,0),6),"")</f>
        <v>청포묵(원료수입산)90%, 계란지단(국산), 오이, 당근, 소금, 간장, 참기름, 참깨</v>
      </c>
      <c r="H14" s="94" t="str">
        <f>IFERROR(INDEX(온라인_반찬!$D$2:$J$605,MATCH($D14,온라인_반찬!$C$2:$C$605,0),6),"")</f>
        <v>.1.5.21.</v>
      </c>
      <c r="I14" s="102" t="s">
        <v>2223</v>
      </c>
      <c r="J14" s="95"/>
      <c r="K14" s="94"/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519</v>
      </c>
      <c r="E15" s="115">
        <v>35</v>
      </c>
      <c r="F15" s="115"/>
      <c r="G15" s="106" t="str">
        <f>IFERROR(INDEX(온라인_반찬!$C$2:$H$612,MATCH($D15,온라인_반찬!$C$2:$C$612,0),6),"")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IFERROR(INDEX(온라인_반찬!$D$2:$J$605,MATCH($D15,온라인_반찬!$C$2:$C$605,0),6),"")</f>
        <v>.9.12.</v>
      </c>
      <c r="I15" s="102" t="s">
        <v>2223</v>
      </c>
      <c r="J15" s="95"/>
      <c r="K15" s="94"/>
      <c r="L15" s="121" t="str">
        <f>IFERROR(INDEX(온라인_반찬!$C$2:$J$605,MATCH($D15,온라인_반찬!$C$2:$C$605,0),8),"")</f>
        <v>토마토김치(종가집)</v>
      </c>
      <c r="M15" s="113"/>
      <c r="N15" s="113"/>
      <c r="O15" s="113"/>
    </row>
    <row r="16" spans="2:23" ht="39.950000000000003" customHeight="1">
      <c r="B16" s="336"/>
      <c r="C16" s="347" t="s">
        <v>1196</v>
      </c>
      <c r="D16" s="96" t="s">
        <v>2298</v>
      </c>
      <c r="E16" s="115">
        <v>80</v>
      </c>
      <c r="F16" s="115"/>
      <c r="G16" s="106" t="str">
        <f>IFERROR(INDEX(온라인_반찬!$C$2:$H$612,MATCH($D16,온라인_반찬!$C$2:$C$612,0),6),"")</f>
        <v>리코타치즈[국산(원유, 농축유청, 유크림)]25%, 모둠채소[국내산(라디치오, 양상추, 치커리, 적채)]</v>
      </c>
      <c r="H16" s="94" t="str">
        <f>IFERROR(INDEX(온라인_반찬!$D$2:$J$605,MATCH($D16,온라인_반찬!$C$2:$C$605,0),6),"")</f>
        <v>.2.</v>
      </c>
      <c r="I16" s="102" t="s">
        <v>2223</v>
      </c>
      <c r="J16" s="95"/>
      <c r="K16" s="94"/>
      <c r="L16" s="157" t="str">
        <f>IFERROR(INDEX(온라인_반찬!$C$2:$J$605,MATCH($D16,온라인_반찬!$C$2:$C$605,0),8),"")</f>
        <v>덴마크 리코타치즈[㈜동원F&amp;B]</v>
      </c>
      <c r="M16" s="113"/>
      <c r="N16" s="113"/>
      <c r="O16" s="113"/>
    </row>
    <row r="17" spans="2:15" ht="39.950000000000003" customHeight="1">
      <c r="B17" s="336"/>
      <c r="C17" s="348"/>
      <c r="D17" s="96" t="s">
        <v>2301</v>
      </c>
      <c r="E17" s="115">
        <v>20</v>
      </c>
      <c r="F17" s="115"/>
      <c r="G17" s="106" t="str">
        <f>IFERROR(INDEX(온라인_반찬!$C$2:$H$612,MATCH($D17,온라인_반찬!$C$2:$C$612,0),6),"")</f>
        <v>[정제수, 발효식초(이탈리아산)14%, 대두유(대두:외국산), 정제소금(중국산) 등]</v>
      </c>
      <c r="H17" s="94" t="str">
        <f>IFERROR(INDEX(온라인_반찬!$D$2:$J$605,MATCH($D17,온라인_반찬!$C$2:$C$605,0),6),"")</f>
        <v>.5.13.</v>
      </c>
      <c r="I17" s="102" t="s">
        <v>2223</v>
      </c>
      <c r="J17" s="95"/>
      <c r="K17" s="94"/>
      <c r="L17" s="157" t="str">
        <f>IFERROR(INDEX(온라인_반찬!$C$2:$J$605,MATCH($D17,온라인_반찬!$C$2:$C$605,0),8),"")</f>
        <v>발사믹드레싱(이츠웰)</v>
      </c>
      <c r="M17" s="113"/>
      <c r="N17" s="113"/>
      <c r="O17" s="113"/>
    </row>
    <row r="18" spans="2:15" ht="39.950000000000003" customHeight="1" thickBot="1">
      <c r="B18" s="337"/>
      <c r="C18" s="153" t="s">
        <v>74</v>
      </c>
      <c r="D18" s="202"/>
      <c r="E18" s="123"/>
      <c r="F18" s="124"/>
      <c r="G18" s="206"/>
      <c r="H18" s="158"/>
      <c r="I18" s="129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39" t="s">
        <v>1374</v>
      </c>
      <c r="C19" s="93" t="s">
        <v>509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2222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2" t="s">
        <v>511</v>
      </c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2222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343"/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2222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52" t="s">
        <v>512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2222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07" t="s">
        <v>693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2222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>
      <c r="B24" s="340"/>
      <c r="C24" s="152" t="s">
        <v>76</v>
      </c>
      <c r="D24" s="154"/>
      <c r="E24" s="115"/>
      <c r="F24" s="115"/>
      <c r="G24" s="106" t="str">
        <f>IFERROR(INDEX(온라인_반찬!$C$2:$H$612,MATCH($D24,온라인_반찬!$C$2:$C$612,0),6),"")</f>
        <v/>
      </c>
      <c r="H24" s="94" t="str">
        <f>IFERROR(INDEX(온라인_반찬!$D$2:$J$605,MATCH($D24,온라인_반찬!$C$2:$C$605,0),6),"")</f>
        <v/>
      </c>
      <c r="I24" s="102" t="s">
        <v>2222</v>
      </c>
      <c r="J24" s="150"/>
      <c r="K24" s="150"/>
      <c r="L24" s="121" t="str">
        <f>IFERROR(INDEX(온라인_반찬!$C$2:$J$605,MATCH($D24,온라인_반찬!$C$2:$C$605,0),8),"")</f>
        <v/>
      </c>
      <c r="M24" s="113"/>
    </row>
    <row r="25" spans="2:15" ht="39.950000000000003" customHeight="1" thickBot="1">
      <c r="B25" s="341"/>
      <c r="C25" s="122" t="s">
        <v>74</v>
      </c>
      <c r="D25" s="123"/>
      <c r="E25" s="123"/>
      <c r="F25" s="124">
        <v>1</v>
      </c>
      <c r="G25" s="125"/>
      <c r="H25" s="158"/>
      <c r="I25" s="129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81F4-3558-4510-AA10-A01805896ED7}">
  <sheetPr>
    <pageSetUpPr fitToPage="1"/>
  </sheetPr>
  <dimension ref="B1:W27"/>
  <sheetViews>
    <sheetView zoomScale="80" zoomScaleNormal="80" zoomScaleSheetLayoutView="75" workbookViewId="0">
      <selection activeCell="N16" sqref="N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2230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1521</v>
      </c>
      <c r="E3" s="253">
        <v>140</v>
      </c>
      <c r="F3" s="253"/>
      <c r="G3" s="254" t="str">
        <f>IFERROR(INDEX(온라인_반찬!$C$2:$H$612,MATCH($D3,온라인_반찬!$C$2:$C$612,0),6),"")</f>
        <v>쌀(국산)90%, 귀리(국산.친환경)5%, 정제수</v>
      </c>
      <c r="H3" s="255">
        <f>IFERROR(INDEX(온라인_반찬!$D$2:$J$605,MATCH($D3,온라인_반찬!$C$2:$C$605,0),6),"")</f>
        <v>0</v>
      </c>
      <c r="I3" s="256" t="s">
        <v>2228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1890</v>
      </c>
      <c r="E4" s="115">
        <v>150</v>
      </c>
      <c r="F4" s="116"/>
      <c r="G4" s="106" t="str">
        <f>IFERROR(INDEX(온라인_반찬!$C$2:$H$612,MATCH($D4,온라인_반찬!$C$2:$C$612,0),6),"")</f>
        <v>불린미역(국내산)25%, 사골육수 [우잡뼈(한우)사골액기스 {정제수, 사골농축액17%(호주산) 천일염}, 정제수], 참기름, 국간장, 밥새우, 소금</v>
      </c>
      <c r="H4" s="94" t="str">
        <f>IFERROR(INDEX(온라인_반찬!$D$2:$J$605,MATCH($D4,온라인_반찬!$C$2:$C$605,0),6),"")</f>
        <v>.2.5.6.9.12.16.</v>
      </c>
      <c r="I4" s="102" t="s">
        <v>2228</v>
      </c>
      <c r="J4" s="95"/>
      <c r="K4" s="94"/>
      <c r="L4" s="121" t="str">
        <f>IFERROR(INDEX(온라인_반찬!$C$2:$J$605,MATCH($D4,온라인_반찬!$C$2:$C$605,0),8),"")</f>
        <v>28g / 30g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1901</v>
      </c>
      <c r="E5" s="115">
        <v>60</v>
      </c>
      <c r="F5" s="116"/>
      <c r="G5" s="106" t="str">
        <f>IFERROR(INDEX(온라인_반찬!$C$2:$H$612,MATCH($D5,온라인_반찬!$C$2:$C$612,0),6),"")</f>
        <v>닭고기(닭안심:국산)82%, 채소(양파, 청피망, 홍피망 : 국산)10%, 대두유, 맛술, 후추, 간장, 설탕, 파, 마늘, 참기름, 참깨</v>
      </c>
      <c r="H5" s="94" t="str">
        <f>IFERROR(INDEX(온라인_반찬!$D$2:$J$605,MATCH($D5,온라인_반찬!$C$2:$C$605,0),6),"")</f>
        <v>.5.15.21.</v>
      </c>
      <c r="I5" s="102" t="s">
        <v>2228</v>
      </c>
      <c r="J5" s="95"/>
      <c r="K5" s="94"/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1369</v>
      </c>
      <c r="E6" s="115">
        <v>15</v>
      </c>
      <c r="F6" s="116"/>
      <c r="G6" s="106" t="str">
        <f>IFERROR(INDEX(온라인_반찬!$C$2:$H$612,MATCH($D6,온라인_반찬!$C$2:$C$612,0),6),"")</f>
        <v>건맛살채(원료수입산)85%, 대두유, 간장, 물엿, 마요네즈, 참기름, 참깨</v>
      </c>
      <c r="H6" s="94" t="str">
        <f>IFERROR(INDEX(온라인_반찬!$D$2:$J$605,MATCH($D6,온라인_반찬!$C$2:$C$605,0),6),"")</f>
        <v>.1.5.8.21.</v>
      </c>
      <c r="I6" s="102" t="s">
        <v>2228</v>
      </c>
      <c r="J6" s="95"/>
      <c r="K6" s="94"/>
      <c r="L6" s="121">
        <f>IFERROR(INDEX(온라인_반찬!$C$2:$J$605,MATCH($D6,온라인_반찬!$C$2:$C$605,0),8),"")</f>
        <v>0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1671</v>
      </c>
      <c r="E7" s="115">
        <v>20</v>
      </c>
      <c r="F7" s="116"/>
      <c r="G7" s="106" t="str">
        <f>IFERROR(INDEX(온라인_반찬!$C$2:$H$612,MATCH($D7,온라인_반찬!$C$2:$C$612,0),6),"")</f>
        <v>검은콩(중국산)77%, 해바라기씨(중국산)5%, 간장, 물엿, 설탕, 참기름, 참깨</v>
      </c>
      <c r="H7" s="94" t="str">
        <f>IFERROR(INDEX(온라인_반찬!$D$2:$J$605,MATCH($D7,온라인_반찬!$C$2:$C$605,0),6),"")</f>
        <v>.5.21.</v>
      </c>
      <c r="I7" s="102" t="s">
        <v>2228</v>
      </c>
      <c r="J7" s="95"/>
      <c r="K7" s="94"/>
      <c r="L7" s="121" t="str">
        <f>IFERROR(INDEX(온라인_반찬!$C$2:$J$605,MATCH($D7,온라인_반찬!$C$2:$C$605,0),8),"")</f>
        <v>콩자반(반찬단지)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520</v>
      </c>
      <c r="E8" s="115">
        <v>25</v>
      </c>
      <c r="F8" s="115"/>
      <c r="G8" s="106" t="str">
        <f>IFERROR(INDEX(온라인_반찬!$C$2:$H$612,MATCH($D8,온라인_반찬!$C$2:$C$612,0),6),"")</f>
        <v>무(국산)85.2%, 고추가루(국산), 밀가루풀(국산), 파, 마늘, 새우젓 등 양념(국산)</v>
      </c>
      <c r="H8" s="94" t="str">
        <f>IFERROR(INDEX(온라인_반찬!$D$2:$J$605,MATCH($D8,온라인_반찬!$C$2:$C$605,0),6),"")</f>
        <v>.6.9.</v>
      </c>
      <c r="I8" s="102" t="s">
        <v>2228</v>
      </c>
      <c r="J8" s="95"/>
      <c r="K8" s="94"/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2231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1521</v>
      </c>
      <c r="E10" s="216">
        <v>150</v>
      </c>
      <c r="F10" s="216"/>
      <c r="G10" s="217" t="str">
        <f>IFERROR(INDEX(온라인_반찬!$C$2:$H$612,MATCH($D10,온라인_반찬!$C$2:$C$612,0),6),"")</f>
        <v>쌀(국산)90%, 귀리(국산.친환경)5%, 정제수</v>
      </c>
      <c r="H10" s="218">
        <f>IFERROR(INDEX(온라인_반찬!$D$2:$J$605,MATCH($D10,온라인_반찬!$C$2:$C$605,0),6),"")</f>
        <v>0</v>
      </c>
      <c r="I10" s="219" t="s">
        <v>2229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1890</v>
      </c>
      <c r="E11" s="115">
        <v>160</v>
      </c>
      <c r="F11" s="116"/>
      <c r="G11" s="106" t="str">
        <f>IFERROR(INDEX(온라인_반찬!$C$2:$H$612,MATCH($D11,온라인_반찬!$C$2:$C$612,0),6),"")</f>
        <v>불린미역(국내산)25%, 사골육수 [우잡뼈(한우)사골액기스 {정제수, 사골농축액17%(호주산) 천일염}, 정제수], 참기름, 국간장, 밥새우, 소금</v>
      </c>
      <c r="H11" s="94" t="str">
        <f>IFERROR(INDEX(온라인_반찬!$D$2:$J$605,MATCH($D11,온라인_반찬!$C$2:$C$605,0),6),"")</f>
        <v>.2.5.6.9.12.16.</v>
      </c>
      <c r="I11" s="102" t="s">
        <v>2229</v>
      </c>
      <c r="J11" s="95"/>
      <c r="K11" s="94"/>
      <c r="L11" s="121" t="str">
        <f>IFERROR(INDEX(온라인_반찬!$C$2:$J$605,MATCH($D11,온라인_반찬!$C$2:$C$605,0),8),"")</f>
        <v>28g / 30g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1901</v>
      </c>
      <c r="E12" s="115">
        <v>80</v>
      </c>
      <c r="F12" s="116"/>
      <c r="G12" s="106" t="str">
        <f>IFERROR(INDEX(온라인_반찬!$C$2:$H$612,MATCH($D12,온라인_반찬!$C$2:$C$612,0),6),"")</f>
        <v>닭고기(닭안심:국산)82%, 채소(양파, 청피망, 홍피망 : 국산)10%, 대두유, 맛술, 후추, 간장, 설탕, 파, 마늘, 참기름, 참깨</v>
      </c>
      <c r="H12" s="94" t="str">
        <f>IFERROR(INDEX(온라인_반찬!$D$2:$J$605,MATCH($D12,온라인_반찬!$C$2:$C$605,0),6),"")</f>
        <v>.5.15.21.</v>
      </c>
      <c r="I12" s="102" t="s">
        <v>2229</v>
      </c>
      <c r="J12" s="95"/>
      <c r="K12" s="94"/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279" t="s">
        <v>2145</v>
      </c>
      <c r="E13" s="280">
        <v>20</v>
      </c>
      <c r="F13" s="281"/>
      <c r="G13" s="282" t="s">
        <v>2236</v>
      </c>
      <c r="H13" s="283" t="s">
        <v>2144</v>
      </c>
      <c r="I13" s="102" t="s">
        <v>2229</v>
      </c>
      <c r="J13" s="95"/>
      <c r="K13" s="94"/>
      <c r="L13" s="121" t="str">
        <f>IFERROR(INDEX(온라인_반찬!$C$2:$J$605,MATCH($D13,온라인_반찬!$C$2:$C$605,0),8),"")</f>
        <v/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1671</v>
      </c>
      <c r="E14" s="115">
        <v>23</v>
      </c>
      <c r="F14" s="116"/>
      <c r="G14" s="106" t="str">
        <f>IFERROR(INDEX(온라인_반찬!$C$2:$H$612,MATCH($D14,온라인_반찬!$C$2:$C$612,0),6),"")</f>
        <v>검은콩(중국산)77%, 해바라기씨(중국산)5%, 간장, 물엿, 설탕, 참기름, 참깨</v>
      </c>
      <c r="H14" s="94" t="str">
        <f>IFERROR(INDEX(온라인_반찬!$D$2:$J$605,MATCH($D14,온라인_반찬!$C$2:$C$605,0),6),"")</f>
        <v>.5.21.</v>
      </c>
      <c r="I14" s="102" t="s">
        <v>2229</v>
      </c>
      <c r="J14" s="95"/>
      <c r="K14" s="94"/>
      <c r="L14" s="121" t="str">
        <f>IFERROR(INDEX(온라인_반찬!$C$2:$J$605,MATCH($D14,온라인_반찬!$C$2:$C$605,0),8),"")</f>
        <v>콩자반(반찬단지)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520</v>
      </c>
      <c r="E15" s="115">
        <v>35</v>
      </c>
      <c r="F15" s="115"/>
      <c r="G15" s="106" t="str">
        <f>IFERROR(INDEX(온라인_반찬!$C$2:$H$612,MATCH($D15,온라인_반찬!$C$2:$C$612,0),6),"")</f>
        <v>무(국산)85.2%, 고추가루(국산), 밀가루풀(국산), 파, 마늘, 새우젓 등 양념(국산)</v>
      </c>
      <c r="H15" s="94" t="str">
        <f>IFERROR(INDEX(온라인_반찬!$D$2:$J$605,MATCH($D15,온라인_반찬!$C$2:$C$605,0),6),"")</f>
        <v>.6.9.</v>
      </c>
      <c r="I15" s="102" t="s">
        <v>2229</v>
      </c>
      <c r="J15" s="95"/>
      <c r="K15" s="94"/>
      <c r="L15" s="121">
        <f>IFERROR(INDEX(온라인_반찬!$C$2:$J$605,MATCH($D15,온라인_반찬!$C$2:$C$605,0),8),"")</f>
        <v>0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1767</v>
      </c>
      <c r="E16" s="115"/>
      <c r="F16" s="115"/>
      <c r="G16" s="106" t="str">
        <f>IFERROR(INDEX(온라인_반찬!$C$2:$H$612,MATCH($D16,온라인_반찬!$C$2:$C$612,0),6),"")</f>
        <v/>
      </c>
      <c r="H16" s="94" t="str">
        <f>IFERROR(INDEX(온라인_반찬!$D$2:$J$605,MATCH($D16,온라인_반찬!$C$2:$C$605,0),6),"")</f>
        <v/>
      </c>
      <c r="I16" s="102" t="s">
        <v>2229</v>
      </c>
      <c r="J16" s="95"/>
      <c r="K16" s="94"/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2228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2228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2228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2228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2228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2228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4221-9C71-4F4C-AD74-0522D81D1F5C}">
  <sheetPr>
    <tabColor rgb="FF72F688"/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2232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1152</v>
      </c>
      <c r="E3" s="253">
        <v>140</v>
      </c>
      <c r="F3" s="253"/>
      <c r="G3" s="254" t="str">
        <f>IFERROR(INDEX(온라인_반찬!$C$2:$H$612,MATCH($D3,온라인_반찬!$C$2:$C$612,0),6),"")</f>
        <v>쌀(국산)90%, 찰흑미(국산.친환경)5%, 정제수</v>
      </c>
      <c r="H3" s="255">
        <f>IFERROR(INDEX(온라인_반찬!$D$2:$J$605,MATCH($D3,온라인_반찬!$C$2:$C$605,0),6),"")</f>
        <v>0</v>
      </c>
      <c r="I3" s="256" t="s">
        <v>2233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2235</v>
      </c>
      <c r="E4" s="115">
        <v>150</v>
      </c>
      <c r="F4" s="116"/>
      <c r="G4" s="106" t="str">
        <f>IFERROR(INDEX(온라인_반찬!$C$2:$H$612,MATCH($D4,온라인_반찬!$C$2:$C$612,0),6),"")</f>
        <v>북어채(러시아산)5%, 두부(원료수입산)12%, 무8%, 양파, 정제수, 대파, 마늘, 참기름, 국간장, 소금</v>
      </c>
      <c r="H4" s="94" t="str">
        <f>IFERROR(INDEX(온라인_반찬!$D$2:$J$605,MATCH($D4,온라인_반찬!$C$2:$C$605,0),6),"")</f>
        <v>.5.21.</v>
      </c>
      <c r="I4" s="102" t="s">
        <v>2233</v>
      </c>
      <c r="J4" s="95"/>
      <c r="K4" s="94"/>
      <c r="L4" s="121" t="str">
        <f>IFERROR(INDEX(온라인_반찬!$C$2:$J$605,MATCH($D4,온라인_반찬!$C$2:$C$605,0),8),"")</f>
        <v>40g / 50g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706</v>
      </c>
      <c r="E5" s="115">
        <v>60</v>
      </c>
      <c r="F5" s="116"/>
      <c r="G5" s="106" t="str">
        <f>IFERROR(INDEX(온라인_반찬!$C$2:$H$612,MATCH($D5,온라인_반찬!$C$2:$C$612,0),6),"")</f>
        <v xml:space="preserve"> 소고기채(호주산)75%,고사리(중국산)15%, 대파, 마늘, 국간장, 간장, 소금, 맛술, 후추, 들기름, 참깨</v>
      </c>
      <c r="H5" s="94" t="str">
        <f>IFERROR(INDEX(온라인_반찬!$D$2:$J$605,MATCH($D5,온라인_반찬!$C$2:$C$605,0),6),"")</f>
        <v>.5.16.21.22.</v>
      </c>
      <c r="I5" s="102" t="s">
        <v>2233</v>
      </c>
      <c r="J5" s="95"/>
      <c r="K5" s="94"/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535</v>
      </c>
      <c r="E6" s="115">
        <v>35</v>
      </c>
      <c r="F6" s="116"/>
      <c r="G6" s="106" t="str">
        <f>IFERROR(INDEX(온라인_반찬!$C$2:$H$612,MATCH($D6,온라인_반찬!$C$2:$C$612,0),6),"")</f>
        <v>조랭이떡(쌀:국내산85.2%, 소고기(호주산)5%, 양파, 당근, 표고버섯, 피망, 간장, 설탕, 참기름, 참깨</v>
      </c>
      <c r="H6" s="94" t="str">
        <f>IFERROR(INDEX(온라인_반찬!$D$2:$J$605,MATCH($D6,온라인_반찬!$C$2:$C$605,0),6),"")</f>
        <v>.5.16.21.</v>
      </c>
      <c r="I6" s="102" t="s">
        <v>2233</v>
      </c>
      <c r="J6" s="95"/>
      <c r="K6" s="94"/>
      <c r="L6" s="121">
        <f>IFERROR(INDEX(온라인_반찬!$C$2:$J$605,MATCH($D6,온라인_반찬!$C$2:$C$605,0),8),"")</f>
        <v>0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342" t="s">
        <v>233</v>
      </c>
      <c r="D7" s="96" t="s">
        <v>518</v>
      </c>
      <c r="E7" s="115"/>
      <c r="F7" s="116">
        <v>1</v>
      </c>
      <c r="G7" s="106" t="str">
        <f>IFERROR(INDEX(온라인_반찬!$C$2:$H$612,MATCH($D7,온라인_반찬!$C$2:$C$612,0),6),"")</f>
        <v>연두부 (대두:외국산)</v>
      </c>
      <c r="H7" s="94" t="str">
        <f>IFERROR(INDEX(온라인_반찬!$D$2:$J$605,MATCH($D7,온라인_반찬!$C$2:$C$605,0),6),"")</f>
        <v>.5.</v>
      </c>
      <c r="I7" s="102" t="s">
        <v>2233</v>
      </c>
      <c r="J7" s="95"/>
      <c r="K7" s="94"/>
      <c r="L7" s="121" t="str">
        <f>IFERROR(INDEX(온라인_반찬!$C$2:$J$605,MATCH($D7,온라인_반찬!$C$2:$C$605,0),8),"")</f>
        <v>이츠웰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343"/>
      <c r="D8" s="96" t="s">
        <v>1896</v>
      </c>
      <c r="E8" s="115">
        <v>10</v>
      </c>
      <c r="F8" s="116"/>
      <c r="G8" s="106" t="str">
        <f>IFERROR(INDEX(온라인_반찬!$C$2:$H$612,MATCH($D8,온라인_반찬!$C$2:$C$612,0),6),"")</f>
        <v>쪽파(국산)5%, 마늘, 정제수, 간장, 참기름, 참깨</v>
      </c>
      <c r="H8" s="94" t="str">
        <f>IFERROR(INDEX(온라인_반찬!$D$2:$J$605,MATCH($D8,온라인_반찬!$C$2:$C$605,0),6),"")</f>
        <v>.5.21.</v>
      </c>
      <c r="I8" s="102" t="s">
        <v>2233</v>
      </c>
      <c r="J8" s="95"/>
      <c r="K8" s="94"/>
      <c r="L8" s="121">
        <f>IFERROR(INDEX(온라인_반찬!$C$2:$J$605,MATCH($D8,온라인_반찬!$C$2:$C$605,0),8),"")</f>
        <v>0</v>
      </c>
      <c r="M8" s="113"/>
      <c r="N8" s="113"/>
      <c r="P8" s="113"/>
      <c r="R8" s="113"/>
      <c r="S8" s="113"/>
    </row>
    <row r="9" spans="2:23" ht="39.950000000000003" customHeight="1">
      <c r="B9" s="336"/>
      <c r="C9" s="237" t="s">
        <v>693</v>
      </c>
      <c r="D9" s="96" t="s">
        <v>950</v>
      </c>
      <c r="E9" s="115">
        <v>25</v>
      </c>
      <c r="F9" s="115"/>
      <c r="G9" s="106" t="str">
        <f>IFERROR(INDEX(온라인_반찬!$C$2:$H$612,MATCH($D9,온라인_반찬!$C$2:$C$612,0),6),"")</f>
        <v>배추(국내산)70&amp;, 무(국내산)10%, 마늘, 생강, 양파, 설탕, 정제수, 소금</v>
      </c>
      <c r="H9" s="94">
        <f>IFERROR(INDEX(온라인_반찬!$D$2:$J$605,MATCH($D9,온라인_반찬!$C$2:$C$605,0),6),"")</f>
        <v>0</v>
      </c>
      <c r="I9" s="102" t="s">
        <v>2233</v>
      </c>
      <c r="J9" s="95"/>
      <c r="K9" s="94"/>
      <c r="L9" s="121" t="str">
        <f>IFERROR(INDEX(온라인_반찬!$C$2:$J$605,MATCH($D9,온라인_반찬!$C$2:$C$605,0),8),"")</f>
        <v>백김치(정우식품)</v>
      </c>
      <c r="M9" s="113" t="s">
        <v>1197</v>
      </c>
      <c r="N9" s="113"/>
      <c r="P9" s="113" t="s">
        <v>1208</v>
      </c>
      <c r="R9" s="113"/>
      <c r="S9" s="113" t="s">
        <v>1416</v>
      </c>
    </row>
    <row r="10" spans="2:23" ht="39.950000000000003" customHeight="1" thickBot="1">
      <c r="B10" s="337"/>
      <c r="C10" s="153" t="s">
        <v>74</v>
      </c>
      <c r="D10" s="202"/>
      <c r="E10" s="123"/>
      <c r="F10" s="124"/>
      <c r="G10" s="265" t="s">
        <v>2237</v>
      </c>
      <c r="H10" s="158"/>
      <c r="I10" s="129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39" t="s">
        <v>2238</v>
      </c>
      <c r="C11" s="93" t="s">
        <v>509</v>
      </c>
      <c r="D11" s="154" t="s">
        <v>1797</v>
      </c>
      <c r="E11" s="115"/>
      <c r="F11" s="115"/>
      <c r="G11" s="106" t="str">
        <f>IFERROR(INDEX(온라인_반찬!$C$2:$H$612,MATCH($D11,온라인_반찬!$C$2:$C$612,0),6),"")</f>
        <v>밥(쌀:국산)95%, 후리카케[볶은참깨(참깨:인도산), 밀소맥볼(밀:미국,호주산),조각김(김:국산), 양조간장], 맛소금, 참기름</v>
      </c>
      <c r="H11" s="94" t="str">
        <f>IFERROR(INDEX(온라인_반찬!$D$2:$J$605,MATCH($D11,온라인_반찬!$C$2:$C$605,0),6),"")</f>
        <v>.5.21.</v>
      </c>
      <c r="I11" s="102" t="s">
        <v>2233</v>
      </c>
      <c r="J11" s="150"/>
      <c r="K11" s="150"/>
      <c r="L11" s="121">
        <f>IFERROR(INDEX(온라인_반찬!$C$2:$J$605,MATCH($D11,온라인_반찬!$C$2:$C$605,0),8),"")</f>
        <v>0</v>
      </c>
      <c r="M11" s="113"/>
    </row>
    <row r="12" spans="2:23" ht="39.950000000000003" customHeight="1">
      <c r="B12" s="340"/>
      <c r="C12" s="152" t="s">
        <v>511</v>
      </c>
      <c r="D12" s="154" t="s">
        <v>1421</v>
      </c>
      <c r="E12" s="115"/>
      <c r="F12" s="115"/>
      <c r="G12" s="106" t="str">
        <f>IFERROR(INDEX(온라인_반찬!$C$2:$H$612,MATCH($D12,온라인_반찬!$C$2:$C$612,0),6),"")</f>
        <v>순살치킨[닭고기(닭다리살:브라질산)64.76%,밀가루(밀:호주산,미국산),옥수수전분(옥수수:외국산), 대두유]98%, 눈꽃치즈(모짜렐라치즈:외국산99%)2%</v>
      </c>
      <c r="H12" s="94" t="str">
        <f>IFERROR(INDEX(온라인_반찬!$D$2:$J$605,MATCH($D12,온라인_반찬!$C$2:$C$605,0),6),"")</f>
        <v>.1.2.5.6.15.16.</v>
      </c>
      <c r="I12" s="102" t="s">
        <v>2233</v>
      </c>
      <c r="J12" s="150"/>
      <c r="K12" s="150"/>
      <c r="L12" s="121" t="str">
        <f>IFERROR(INDEX(온라인_반찬!$C$2:$J$605,MATCH($D12,온라인_반찬!$C$2:$C$605,0),8),"")</f>
        <v>순살치킨가라아게(하림)</v>
      </c>
      <c r="M12" s="113"/>
    </row>
    <row r="13" spans="2:23" ht="39.950000000000003" customHeight="1">
      <c r="B13" s="340"/>
      <c r="C13" s="152" t="s">
        <v>512</v>
      </c>
      <c r="D13" s="154" t="s">
        <v>1182</v>
      </c>
      <c r="E13" s="115"/>
      <c r="F13" s="115"/>
      <c r="G13" s="106" t="str">
        <f>IFERROR(INDEX(온라인_반찬!$C$2:$H$612,MATCH($D13,온라인_반찬!$C$2:$C$612,0),6),"")</f>
        <v>떡류[쌀(국산)98%, 정제수, 정제소금(국산)]55%, 소시지[돼지고기(지방일부사용.국산)85.22%,옥수수전분, 정제소금,떡갈비양념장]45%</v>
      </c>
      <c r="H13" s="94" t="str">
        <f>IFERROR(INDEX(온라인_반찬!$D$2:$J$605,MATCH($D13,온라인_반찬!$C$2:$C$605,0),6),"")</f>
        <v>.5.6.10.12.15.18.21.</v>
      </c>
      <c r="I13" s="102" t="s">
        <v>2233</v>
      </c>
      <c r="J13" s="150"/>
      <c r="K13" s="150"/>
      <c r="L13" s="121" t="str">
        <f>IFERROR(INDEX(온라인_반찬!$C$2:$J$605,MATCH($D13,온라인_반찬!$C$2:$C$605,0),8),"")</f>
        <v>문어모양소떡구이(유빛)</v>
      </c>
      <c r="M13" s="113"/>
    </row>
    <row r="14" spans="2:23" ht="39.950000000000003" customHeight="1">
      <c r="B14" s="340"/>
      <c r="C14" s="107" t="s">
        <v>693</v>
      </c>
      <c r="D14" s="154" t="s">
        <v>1732</v>
      </c>
      <c r="E14" s="115"/>
      <c r="F14" s="115"/>
      <c r="G14" s="106" t="str">
        <f>IFERROR(INDEX(온라인_반찬!$C$2:$H$612,MATCH($D14,온라인_반찬!$C$2:$C$612,0),6),"")</f>
        <v>밀가루(밀)42.91%, 팥28%, 정제수, 설탕 8.68%, 팜유1.04%,/원산지:중국</v>
      </c>
      <c r="H14" s="94" t="str">
        <f>IFERROR(INDEX(온라인_반찬!$D$2:$J$605,MATCH($D14,온라인_반찬!$C$2:$C$605,0),6),"")</f>
        <v>.5.17.</v>
      </c>
      <c r="I14" s="102" t="s">
        <v>2233</v>
      </c>
      <c r="J14" s="150"/>
      <c r="K14" s="150"/>
      <c r="L14" s="121" t="str">
        <f>IFERROR(INDEX(온라인_반찬!$C$2:$J$605,MATCH($D14,온라인_반찬!$C$2:$C$605,0),8),"")</f>
        <v>이솝찐빵(세미원푸드)</v>
      </c>
      <c r="M14" s="113"/>
    </row>
    <row r="15" spans="2:23" ht="39.950000000000003" customHeight="1">
      <c r="B15" s="340"/>
      <c r="C15" s="152" t="s">
        <v>76</v>
      </c>
      <c r="D15" s="154" t="s">
        <v>1767</v>
      </c>
      <c r="E15" s="115"/>
      <c r="F15" s="115"/>
      <c r="G15" s="106" t="str">
        <f>IFERROR(INDEX(온라인_반찬!$C$2:$H$612,MATCH($D15,온라인_반찬!$C$2:$C$612,0),6),"")</f>
        <v/>
      </c>
      <c r="H15" s="94" t="str">
        <f>IFERROR(INDEX(온라인_반찬!$D$2:$J$605,MATCH($D15,온라인_반찬!$C$2:$C$605,0),6),"")</f>
        <v/>
      </c>
      <c r="I15" s="102" t="s">
        <v>2233</v>
      </c>
      <c r="J15" s="150"/>
      <c r="K15" s="150"/>
      <c r="L15" s="121" t="str">
        <f>IFERROR(INDEX(온라인_반찬!$C$2:$J$605,MATCH($D15,온라인_반찬!$C$2:$C$605,0),8),"")</f>
        <v/>
      </c>
      <c r="M15" s="113"/>
    </row>
    <row r="16" spans="2:23" ht="39.950000000000003" customHeight="1" thickBot="1">
      <c r="B16" s="341"/>
      <c r="C16" s="122" t="s">
        <v>74</v>
      </c>
      <c r="D16" s="123"/>
      <c r="E16" s="123"/>
      <c r="F16" s="124">
        <v>1</v>
      </c>
      <c r="G16" s="265" t="s">
        <v>2239</v>
      </c>
      <c r="H16" s="158"/>
      <c r="I16" s="129"/>
      <c r="J16" s="126">
        <v>1</v>
      </c>
      <c r="K16" s="126">
        <v>0.25</v>
      </c>
      <c r="L16" s="127"/>
    </row>
    <row r="17" spans="2:19" ht="39.950000000000003" customHeight="1">
      <c r="B17" s="336" t="s">
        <v>1844</v>
      </c>
      <c r="C17" s="242" t="s">
        <v>509</v>
      </c>
      <c r="D17" s="252" t="s">
        <v>1152</v>
      </c>
      <c r="E17" s="216">
        <v>150</v>
      </c>
      <c r="F17" s="216"/>
      <c r="G17" s="217" t="str">
        <f>IFERROR(INDEX(온라인_반찬!$C$2:$H$612,MATCH($D17,온라인_반찬!$C$2:$C$612,0),6),"")</f>
        <v>쌀(국산)90%, 찰흑미(국산.친환경)5%, 정제수</v>
      </c>
      <c r="H17" s="218">
        <f>IFERROR(INDEX(온라인_반찬!$D$2:$J$605,MATCH($D17,온라인_반찬!$C$2:$C$605,0),6),"")</f>
        <v>0</v>
      </c>
      <c r="I17" s="219" t="s">
        <v>2234</v>
      </c>
      <c r="J17" s="257"/>
      <c r="K17" s="255"/>
      <c r="L17" s="220">
        <f>IFERROR(INDEX(온라인_반찬!$C$2:$J$605,MATCH($D17,온라인_반찬!$C$2:$C$605,0),8),"")</f>
        <v>0</v>
      </c>
      <c r="M17" s="113" t="s">
        <v>1199</v>
      </c>
      <c r="N17" s="113"/>
      <c r="O17" s="113"/>
      <c r="P17" s="113" t="s">
        <v>1254</v>
      </c>
      <c r="S17" s="113" t="s">
        <v>1417</v>
      </c>
    </row>
    <row r="18" spans="2:19" ht="39.950000000000003" customHeight="1">
      <c r="B18" s="336"/>
      <c r="C18" s="236" t="s">
        <v>513</v>
      </c>
      <c r="D18" s="279" t="s">
        <v>1490</v>
      </c>
      <c r="E18" s="280">
        <v>160</v>
      </c>
      <c r="F18" s="281"/>
      <c r="G18" s="282" t="str">
        <f>IFERROR(INDEX(온라인_반찬!$C$2:$H$612,MATCH($D18,온라인_반찬!$C$2:$C$612,0),6),"")</f>
        <v>김치(고추가루, 배추:국산)20%, 참치(가다랑어:원양산)10%, 두부(원료수입산), 양파, 대파, 마늘, 정제수, 국간장, 소금</v>
      </c>
      <c r="H18" s="283" t="str">
        <f>IFERROR(INDEX(온라인_반찬!$D$2:$J$605,MATCH($D18,온라인_반찬!$C$2:$C$605,0),6),"")</f>
        <v>.5.9.</v>
      </c>
      <c r="I18" s="102" t="s">
        <v>2234</v>
      </c>
      <c r="J18" s="95"/>
      <c r="K18" s="94"/>
      <c r="L18" s="121" t="str">
        <f>IFERROR(INDEX(온라인_반찬!$C$2:$J$605,MATCH($D18,온라인_반찬!$C$2:$C$605,0),8),"")</f>
        <v>챀치파우치(사조)</v>
      </c>
      <c r="M18" s="113" t="s">
        <v>1586</v>
      </c>
      <c r="N18" s="113"/>
      <c r="O18" s="113"/>
      <c r="P18" s="113" t="s">
        <v>1633</v>
      </c>
      <c r="S18" s="113" t="s">
        <v>1634</v>
      </c>
    </row>
    <row r="19" spans="2:19" ht="39.950000000000003" customHeight="1">
      <c r="B19" s="336"/>
      <c r="C19" s="236" t="s">
        <v>510</v>
      </c>
      <c r="D19" s="96" t="s">
        <v>706</v>
      </c>
      <c r="E19" s="115">
        <v>80</v>
      </c>
      <c r="F19" s="116"/>
      <c r="G19" s="106" t="str">
        <f>IFERROR(INDEX(온라인_반찬!$C$2:$H$612,MATCH($D19,온라인_반찬!$C$2:$C$612,0),6),"")</f>
        <v xml:space="preserve"> 소고기채(호주산)75%,고사리(중국산)15%, 대파, 마늘, 국간장, 간장, 소금, 맛술, 후추, 들기름, 참깨</v>
      </c>
      <c r="H19" s="94" t="str">
        <f>IFERROR(INDEX(온라인_반찬!$D$2:$J$605,MATCH($D19,온라인_반찬!$C$2:$C$605,0),6),"")</f>
        <v>.5.16.21.22.</v>
      </c>
      <c r="I19" s="102" t="s">
        <v>2234</v>
      </c>
      <c r="J19" s="95"/>
      <c r="K19" s="94"/>
      <c r="L19" s="121">
        <f>IFERROR(INDEX(온라인_반찬!$C$2:$J$605,MATCH($D19,온라인_반찬!$C$2:$C$605,0),8),"")</f>
        <v>0</v>
      </c>
      <c r="M19" s="113"/>
      <c r="N19" s="113"/>
      <c r="O19" s="113"/>
    </row>
    <row r="20" spans="2:19" ht="39.950000000000003" customHeight="1">
      <c r="B20" s="336"/>
      <c r="C20" s="236" t="s">
        <v>511</v>
      </c>
      <c r="D20" s="96" t="s">
        <v>535</v>
      </c>
      <c r="E20" s="115">
        <v>40</v>
      </c>
      <c r="F20" s="116"/>
      <c r="G20" s="106" t="str">
        <f>IFERROR(INDEX(온라인_반찬!$C$2:$H$612,MATCH($D20,온라인_반찬!$C$2:$C$612,0),6),"")</f>
        <v>조랭이떡(쌀:국내산85.2%, 소고기(호주산)5%, 양파, 당근, 표고버섯, 피망, 간장, 설탕, 참기름, 참깨</v>
      </c>
      <c r="H20" s="94" t="str">
        <f>IFERROR(INDEX(온라인_반찬!$D$2:$J$605,MATCH($D20,온라인_반찬!$C$2:$C$605,0),6),"")</f>
        <v>.5.16.21.</v>
      </c>
      <c r="I20" s="102" t="s">
        <v>2234</v>
      </c>
      <c r="J20" s="95"/>
      <c r="K20" s="94"/>
      <c r="L20" s="121">
        <f>IFERROR(INDEX(온라인_반찬!$C$2:$J$605,MATCH($D20,온라인_반찬!$C$2:$C$605,0),8),"")</f>
        <v>0</v>
      </c>
      <c r="M20" s="113"/>
      <c r="N20" s="113"/>
      <c r="O20" s="113"/>
    </row>
    <row r="21" spans="2:19" ht="39.950000000000003" customHeight="1">
      <c r="B21" s="336"/>
      <c r="C21" s="342" t="s">
        <v>233</v>
      </c>
      <c r="D21" s="96" t="s">
        <v>518</v>
      </c>
      <c r="E21" s="115"/>
      <c r="F21" s="116">
        <v>1</v>
      </c>
      <c r="G21" s="106" t="str">
        <f>IFERROR(INDEX(온라인_반찬!$C$2:$H$612,MATCH($D21,온라인_반찬!$C$2:$C$612,0),6),"")</f>
        <v>연두부 (대두:외국산)</v>
      </c>
      <c r="H21" s="94" t="str">
        <f>IFERROR(INDEX(온라인_반찬!$D$2:$J$605,MATCH($D21,온라인_반찬!$C$2:$C$605,0),6),"")</f>
        <v>.5.</v>
      </c>
      <c r="I21" s="102" t="s">
        <v>2234</v>
      </c>
      <c r="J21" s="95"/>
      <c r="K21" s="94"/>
      <c r="L21" s="121" t="str">
        <f>IFERROR(INDEX(온라인_반찬!$C$2:$J$605,MATCH($D21,온라인_반찬!$C$2:$C$605,0),8),"")</f>
        <v>이츠웰</v>
      </c>
      <c r="M21" s="113"/>
      <c r="N21" s="113"/>
      <c r="O21" s="113"/>
    </row>
    <row r="22" spans="2:19" ht="39.950000000000003" customHeight="1">
      <c r="B22" s="336"/>
      <c r="C22" s="343"/>
      <c r="D22" s="96" t="s">
        <v>1896</v>
      </c>
      <c r="E22" s="115">
        <v>10</v>
      </c>
      <c r="F22" s="116"/>
      <c r="G22" s="106" t="str">
        <f>IFERROR(INDEX(온라인_반찬!$C$2:$H$612,MATCH($D22,온라인_반찬!$C$2:$C$612,0),6),"")</f>
        <v>쪽파(국산)5%, 마늘, 정제수, 간장, 참기름, 참깨</v>
      </c>
      <c r="H22" s="94" t="str">
        <f>IFERROR(INDEX(온라인_반찬!$D$2:$J$605,MATCH($D22,온라인_반찬!$C$2:$C$605,0),6),"")</f>
        <v>.5.21.</v>
      </c>
      <c r="I22" s="102" t="s">
        <v>2234</v>
      </c>
      <c r="J22" s="95"/>
      <c r="K22" s="94"/>
      <c r="L22" s="121">
        <f>IFERROR(INDEX(온라인_반찬!$C$2:$J$605,MATCH($D22,온라인_반찬!$C$2:$C$605,0),8),"")</f>
        <v>0</v>
      </c>
      <c r="M22" s="113"/>
      <c r="N22" s="113"/>
      <c r="O22" s="113"/>
    </row>
    <row r="23" spans="2:19" ht="39.950000000000003" customHeight="1">
      <c r="B23" s="336"/>
      <c r="C23" s="237" t="s">
        <v>693</v>
      </c>
      <c r="D23" s="96" t="s">
        <v>950</v>
      </c>
      <c r="E23" s="115">
        <v>35</v>
      </c>
      <c r="F23" s="115"/>
      <c r="G23" s="106" t="str">
        <f>IFERROR(INDEX(온라인_반찬!$C$2:$H$612,MATCH($D23,온라인_반찬!$C$2:$C$612,0),6),"")</f>
        <v>배추(국내산)70&amp;, 무(국내산)10%, 마늘, 생강, 양파, 설탕, 정제수, 소금</v>
      </c>
      <c r="H23" s="94">
        <f>IFERROR(INDEX(온라인_반찬!$D$2:$J$605,MATCH($D23,온라인_반찬!$C$2:$C$605,0),6),"")</f>
        <v>0</v>
      </c>
      <c r="I23" s="102" t="s">
        <v>2234</v>
      </c>
      <c r="J23" s="95"/>
      <c r="K23" s="94"/>
      <c r="L23" s="121" t="str">
        <f>IFERROR(INDEX(온라인_반찬!$C$2:$J$605,MATCH($D23,온라인_반찬!$C$2:$C$605,0),8),"")</f>
        <v>백김치(정우식품)</v>
      </c>
      <c r="M23" s="113"/>
      <c r="N23" s="113"/>
      <c r="O23" s="113"/>
    </row>
    <row r="24" spans="2:19" ht="39.950000000000003" customHeight="1">
      <c r="B24" s="336"/>
      <c r="C24" s="213" t="s">
        <v>1196</v>
      </c>
      <c r="D24" s="96" t="s">
        <v>1268</v>
      </c>
      <c r="E24" s="115"/>
      <c r="F24" s="115">
        <v>1</v>
      </c>
      <c r="G24" s="106" t="str">
        <f>IFERROR(INDEX(온라인_반찬!$C$2:$H$612,MATCH($D24,온라인_반찬!$C$2:$C$612,0),6),"")</f>
        <v>전복(국산)97%, 버터, 소금, 파슬리가루</v>
      </c>
      <c r="H24" s="94" t="str">
        <f>IFERROR(INDEX(온라인_반찬!$D$2:$J$605,MATCH($D24,온라인_반찬!$C$2:$C$605,0),6),"")</f>
        <v>.2.18.</v>
      </c>
      <c r="I24" s="102" t="s">
        <v>2234</v>
      </c>
      <c r="J24" s="95"/>
      <c r="K24" s="94"/>
      <c r="L24" s="157">
        <f>IFERROR(INDEX(온라인_반찬!$C$2:$J$605,MATCH($D24,온라인_반찬!$C$2:$C$605,0),8),"")</f>
        <v>0</v>
      </c>
      <c r="M24" s="113"/>
      <c r="N24" s="113"/>
      <c r="O24" s="113"/>
    </row>
    <row r="25" spans="2:19" ht="39.950000000000003" customHeight="1" thickBot="1">
      <c r="B25" s="337"/>
      <c r="C25" s="153" t="s">
        <v>74</v>
      </c>
      <c r="D25" s="202"/>
      <c r="E25" s="123"/>
      <c r="F25" s="124"/>
      <c r="G25" s="206"/>
      <c r="H25" s="158"/>
      <c r="I25" s="129"/>
      <c r="J25" s="126">
        <v>1</v>
      </c>
      <c r="K25" s="126">
        <v>0.25</v>
      </c>
      <c r="L25" s="127"/>
      <c r="M25" s="113"/>
      <c r="N25" s="113"/>
      <c r="O25" s="113"/>
    </row>
    <row r="26" spans="2:19">
      <c r="L26" s="26"/>
    </row>
    <row r="28" spans="2:19">
      <c r="E28"/>
      <c r="F28" s="114"/>
    </row>
  </sheetData>
  <mergeCells count="7">
    <mergeCell ref="B1:L1"/>
    <mergeCell ref="B3:B10"/>
    <mergeCell ref="S5:W5"/>
    <mergeCell ref="B17:B25"/>
    <mergeCell ref="B11:B16"/>
    <mergeCell ref="C7:C8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8D3E-04FE-4EC7-83F8-6A083A122868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2242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2159</v>
      </c>
      <c r="E3" s="253">
        <v>140</v>
      </c>
      <c r="F3" s="253"/>
      <c r="G3" s="254" t="str">
        <f>IFERROR(INDEX(온라인_반찬!$C$2:$H$612,MATCH($D3,온라인_반찬!$C$2:$C$612,0),6),"")</f>
        <v>쌀(국산)95%, 정제수</v>
      </c>
      <c r="H3" s="255">
        <f>IFERROR(INDEX(온라인_반찬!$D$2:$J$605,MATCH($D3,온라인_반찬!$C$2:$C$605,0),6),"")</f>
        <v>0</v>
      </c>
      <c r="I3" s="256" t="s">
        <v>2240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1900</v>
      </c>
      <c r="E4" s="115">
        <v>150</v>
      </c>
      <c r="F4" s="116"/>
      <c r="G4" s="106" t="str">
        <f>IFERROR(INDEX(온라인_반찬!$C$2:$H$612,MATCH($D4,온라인_반찬!$C$2:$C$612,0),6),"")</f>
        <v>계란(국산)20%, 대파(국산)2%, 마늘, 멸치육수농축액, 정제수, 소금</v>
      </c>
      <c r="H4" s="94" t="str">
        <f>IFERROR(INDEX(온라인_반찬!$D$2:$J$605,MATCH($D4,온라인_반찬!$C$2:$C$605,0),6),"")</f>
        <v>.1.5.</v>
      </c>
      <c r="I4" s="102" t="s">
        <v>2240</v>
      </c>
      <c r="J4" s="95"/>
      <c r="K4" s="94"/>
      <c r="L4" s="121" t="str">
        <f>IFERROR(INDEX(온라인_반찬!$C$2:$J$605,MATCH($D4,온라인_반찬!$C$2:$C$605,0),8),"")</f>
        <v>멸치육수농축액(면사랑)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1303</v>
      </c>
      <c r="E5" s="115">
        <v>60</v>
      </c>
      <c r="F5" s="116"/>
      <c r="G5" s="106" t="str">
        <f>IFERROR(INDEX(온라인_반찬!$C$2:$H$612,MATCH($D5,온라인_반찬!$C$2:$C$612,0),6),"")</f>
        <v>돼지고기(국산)83%, 양파, 홍피망, 청경채, 간장, 노두유, 설탕, 치킨스톡, 마늘, 정제수, 전분, 후추, 소금, 참기름</v>
      </c>
      <c r="H5" s="94" t="str">
        <f>IFERROR(INDEX(온라인_반찬!$D$2:$J$605,MATCH($D5,온라인_반찬!$C$2:$C$605,0),6),"")</f>
        <v>.5.6.10.21.</v>
      </c>
      <c r="I5" s="102" t="s">
        <v>2240</v>
      </c>
      <c r="J5" s="95"/>
      <c r="K5" s="94"/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1982</v>
      </c>
      <c r="E6" s="115"/>
      <c r="F6" s="116">
        <v>2</v>
      </c>
      <c r="G6" s="106" t="str">
        <f>IFERROR(INDEX(온라인_반찬!$C$2:$H$612,MATCH($D6,온라인_반찬!$C$2:$C$612,0),6),"")</f>
        <v>{[닭고기(국산),전란액(국산),복합조미식품{밀가루(밀:미국산.호주산)]오징어, 양파, 대파, 치자황색소, 후추 등}</v>
      </c>
      <c r="H6" s="94" t="str">
        <f>IFERROR(INDEX(온라인_반찬!$D$2:$J$605,MATCH($D6,온라인_반찬!$C$2:$C$605,0),6),"")</f>
        <v>.1.2.5.6.10.15.17.</v>
      </c>
      <c r="I6" s="102" t="s">
        <v>2240</v>
      </c>
      <c r="J6" s="95"/>
      <c r="K6" s="94"/>
      <c r="L6" s="121" t="str">
        <f>IFERROR(INDEX(온라인_반찬!$C$2:$J$605,MATCH($D6,온라인_반찬!$C$2:$C$605,0),8),"")</f>
        <v>22g/125원/계란옷입은알찬해물동그랑땡(굿딜)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2243</v>
      </c>
      <c r="E7" s="115">
        <v>25</v>
      </c>
      <c r="F7" s="116"/>
      <c r="G7" s="106" t="str">
        <f>IFERROR(INDEX(온라인_반찬!$C$2:$H$612,MATCH($D7,온라인_반찬!$C$2:$C$612,0),6),"")</f>
        <v>미역줄기(국산)90.1%, 당근, 마늘, 대두유, 간장, 소금, 참기름, 참깨</v>
      </c>
      <c r="H7" s="94" t="str">
        <f>IFERROR(INDEX(온라인_반찬!$D$2:$J$605,MATCH($D7,온라인_반찬!$C$2:$C$605,0),6),"")</f>
        <v>.5.21.</v>
      </c>
      <c r="I7" s="102" t="s">
        <v>2240</v>
      </c>
      <c r="J7" s="95"/>
      <c r="K7" s="94"/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520</v>
      </c>
      <c r="E8" s="115">
        <v>25</v>
      </c>
      <c r="F8" s="115"/>
      <c r="G8" s="106" t="str">
        <f>IFERROR(INDEX(온라인_반찬!$C$2:$H$612,MATCH($D8,온라인_반찬!$C$2:$C$612,0),6),"")</f>
        <v>무(국산)85.2%, 고추가루(국산), 밀가루풀(국산), 파, 마늘, 새우젓 등 양념(국산)</v>
      </c>
      <c r="H8" s="94" t="str">
        <f>IFERROR(INDEX(온라인_반찬!$D$2:$J$605,MATCH($D8,온라인_반찬!$C$2:$C$605,0),6),"")</f>
        <v>.6.9.</v>
      </c>
      <c r="I8" s="102" t="s">
        <v>2240</v>
      </c>
      <c r="J8" s="95"/>
      <c r="K8" s="94"/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2159</v>
      </c>
      <c r="E10" s="216">
        <v>150</v>
      </c>
      <c r="F10" s="216"/>
      <c r="G10" s="217" t="str">
        <f>IFERROR(INDEX(온라인_반찬!$C$2:$H$612,MATCH($D10,온라인_반찬!$C$2:$C$612,0),6),"")</f>
        <v>쌀(국산)95%, 정제수</v>
      </c>
      <c r="H10" s="218">
        <f>IFERROR(INDEX(온라인_반찬!$D$2:$J$605,MATCH($D10,온라인_반찬!$C$2:$C$605,0),6),"")</f>
        <v>0</v>
      </c>
      <c r="I10" s="219" t="s">
        <v>2241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1900</v>
      </c>
      <c r="E11" s="115">
        <v>160</v>
      </c>
      <c r="F11" s="116"/>
      <c r="G11" s="106" t="str">
        <f>IFERROR(INDEX(온라인_반찬!$C$2:$H$612,MATCH($D11,온라인_반찬!$C$2:$C$612,0),6),"")</f>
        <v>계란(국산)20%, 대파(국산)2%, 마늘, 멸치육수농축액, 정제수, 소금</v>
      </c>
      <c r="H11" s="94" t="str">
        <f>IFERROR(INDEX(온라인_반찬!$D$2:$J$605,MATCH($D11,온라인_반찬!$C$2:$C$605,0),6),"")</f>
        <v>.1.5.</v>
      </c>
      <c r="I11" s="102" t="s">
        <v>2241</v>
      </c>
      <c r="J11" s="95"/>
      <c r="K11" s="94"/>
      <c r="L11" s="121" t="str">
        <f>IFERROR(INDEX(온라인_반찬!$C$2:$J$605,MATCH($D11,온라인_반찬!$C$2:$C$605,0),8),"")</f>
        <v>멸치육수농축액(면사랑)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1303</v>
      </c>
      <c r="E12" s="115">
        <v>80</v>
      </c>
      <c r="F12" s="116"/>
      <c r="G12" s="106" t="str">
        <f>IFERROR(INDEX(온라인_반찬!$C$2:$H$612,MATCH($D12,온라인_반찬!$C$2:$C$612,0),6),"")</f>
        <v>돼지고기(국산)83%, 양파, 홍피망, 청경채, 간장, 노두유, 설탕, 치킨스톡, 마늘, 정제수, 전분, 후추, 소금, 참기름</v>
      </c>
      <c r="H12" s="94" t="str">
        <f>IFERROR(INDEX(온라인_반찬!$D$2:$J$605,MATCH($D12,온라인_반찬!$C$2:$C$605,0),6),"")</f>
        <v>.5.6.10.21.</v>
      </c>
      <c r="I12" s="102" t="s">
        <v>2241</v>
      </c>
      <c r="J12" s="95"/>
      <c r="K12" s="94"/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1982</v>
      </c>
      <c r="E13" s="115"/>
      <c r="F13" s="116">
        <v>3</v>
      </c>
      <c r="G13" s="106" t="str">
        <f>IFERROR(INDEX(온라인_반찬!$C$2:$H$612,MATCH($D13,온라인_반찬!$C$2:$C$612,0),6),"")</f>
        <v>{[닭고기(국산),전란액(국산),복합조미식품{밀가루(밀:미국산.호주산)]오징어, 양파, 대파, 치자황색소, 후추 등}</v>
      </c>
      <c r="H13" s="94" t="str">
        <f>IFERROR(INDEX(온라인_반찬!$D$2:$J$605,MATCH($D13,온라인_반찬!$C$2:$C$605,0),6),"")</f>
        <v>.1.2.5.6.10.15.17.</v>
      </c>
      <c r="I13" s="102" t="s">
        <v>2241</v>
      </c>
      <c r="J13" s="95"/>
      <c r="K13" s="94"/>
      <c r="L13" s="121" t="str">
        <f>IFERROR(INDEX(온라인_반찬!$C$2:$J$605,MATCH($D13,온라인_반찬!$C$2:$C$605,0),8),"")</f>
        <v>22g/125원/계란옷입은알찬해물동그랑땡(굿딜)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2243</v>
      </c>
      <c r="E14" s="115">
        <v>35</v>
      </c>
      <c r="F14" s="116"/>
      <c r="G14" s="106" t="str">
        <f>IFERROR(INDEX(온라인_반찬!$C$2:$H$612,MATCH($D14,온라인_반찬!$C$2:$C$612,0),6),"")</f>
        <v>미역줄기(국산)90.1%, 당근, 마늘, 대두유, 간장, 소금, 참기름, 참깨</v>
      </c>
      <c r="H14" s="94" t="str">
        <f>IFERROR(INDEX(온라인_반찬!$D$2:$J$605,MATCH($D14,온라인_반찬!$C$2:$C$605,0),6),"")</f>
        <v>.5.21.</v>
      </c>
      <c r="I14" s="102" t="s">
        <v>2241</v>
      </c>
      <c r="J14" s="95"/>
      <c r="K14" s="94"/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520</v>
      </c>
      <c r="E15" s="115">
        <v>35</v>
      </c>
      <c r="F15" s="115"/>
      <c r="G15" s="106" t="str">
        <f>IFERROR(INDEX(온라인_반찬!$C$2:$H$612,MATCH($D15,온라인_반찬!$C$2:$C$612,0),6),"")</f>
        <v>무(국산)85.2%, 고추가루(국산), 밀가루풀(국산), 파, 마늘, 새우젓 등 양념(국산)</v>
      </c>
      <c r="H15" s="94" t="str">
        <f>IFERROR(INDEX(온라인_반찬!$D$2:$J$605,MATCH($D15,온라인_반찬!$C$2:$C$605,0),6),"")</f>
        <v>.6.9.</v>
      </c>
      <c r="I15" s="102" t="s">
        <v>2241</v>
      </c>
      <c r="J15" s="95"/>
      <c r="K15" s="94"/>
      <c r="L15" s="121">
        <f>IFERROR(INDEX(온라인_반찬!$C$2:$J$605,MATCH($D15,온라인_반찬!$C$2:$C$605,0),8),"")</f>
        <v>0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1767</v>
      </c>
      <c r="E16" s="115"/>
      <c r="F16" s="115"/>
      <c r="G16" s="106" t="str">
        <f>IFERROR(INDEX(온라인_반찬!$C$2:$H$612,MATCH($D16,온라인_반찬!$C$2:$C$612,0),6),"")</f>
        <v/>
      </c>
      <c r="H16" s="94" t="str">
        <f>IFERROR(INDEX(온라인_반찬!$D$2:$J$605,MATCH($D16,온라인_반찬!$C$2:$C$605,0),6),"")</f>
        <v/>
      </c>
      <c r="I16" s="102" t="s">
        <v>2241</v>
      </c>
      <c r="J16" s="95"/>
      <c r="K16" s="94"/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2240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2240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2240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2240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2240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2240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171A-7826-448F-8654-26705C7717C9}">
  <sheetPr>
    <pageSetUpPr fitToPage="1"/>
  </sheetPr>
  <dimension ref="B1:W28"/>
  <sheetViews>
    <sheetView zoomScale="80" zoomScaleNormal="80" zoomScaleSheetLayoutView="75" workbookViewId="0">
      <selection activeCell="E17" sqref="E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2246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2244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796</v>
      </c>
      <c r="E4" s="115">
        <v>150</v>
      </c>
      <c r="F4" s="116"/>
      <c r="G4" s="106" t="str">
        <f>IFERROR(INDEX(온라인_반찬!$C$2:$H$612,MATCH($D4,온라인_반찬!$C$2:$C$612,0),6),"")</f>
        <v>숙주(녹두:외국산)20%, 소고기(호주산)8%, 정제수, 대파, 마늘, 멸치육수농축액, 국간장, 소금</v>
      </c>
      <c r="H4" s="94" t="str">
        <f>IFERROR(INDEX(온라인_반찬!$D$2:$J$605,MATCH($D4,온라인_반찬!$C$2:$C$605,0),6),"")</f>
        <v>.5.16.</v>
      </c>
      <c r="I4" s="102" t="s">
        <v>2244</v>
      </c>
      <c r="J4" s="95"/>
      <c r="K4" s="94"/>
      <c r="L4" s="121" t="str">
        <f>IFERROR(INDEX(온라인_반찬!$C$2:$J$605,MATCH($D4,온라인_반찬!$C$2:$C$605,0),8),"")</f>
        <v>멸치육수농축액(면사랑)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1072</v>
      </c>
      <c r="E5" s="115">
        <v>70</v>
      </c>
      <c r="F5" s="116"/>
      <c r="G5" s="106" t="str">
        <f>IFERROR(INDEX(온라인_반찬!$C$2:$H$612,MATCH($D5,온라인_반찬!$C$2:$C$612,0),6),"")</f>
        <v>닭정육(국산)78%, 총알새송이(국산), 마늘, 정제수, 우유, 생크림, 토마토소스, 크림베이스소스, 소금, 파슬리가루</v>
      </c>
      <c r="H5" s="94" t="str">
        <f>IFERROR(INDEX(온라인_반찬!$D$2:$J$605,MATCH($D5,온라인_반찬!$C$2:$C$605,0),6),"")</f>
        <v>.2.5.6.12.15.</v>
      </c>
      <c r="I5" s="102" t="s">
        <v>2244</v>
      </c>
      <c r="J5" s="95"/>
      <c r="K5" s="94"/>
      <c r="L5" s="121" t="str">
        <f>IFERROR(INDEX(온라인_반찬!$C$2:$J$605,MATCH($D5,온라인_반찬!$C$2:$C$605,0),8),"")</f>
        <v>토마토소스(오쉐프), 크림벵이스소스(면사랑)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1003</v>
      </c>
      <c r="E6" s="115">
        <v>40</v>
      </c>
      <c r="F6" s="116"/>
      <c r="G6" s="106" t="str">
        <f>IFERROR(INDEX(온라인_반찬!$C$2:$H$612,MATCH($D6,온라인_반찬!$C$2:$C$612,0),6),"")</f>
        <v>미트볼[돼지고기(국내산)45.45%,소고기(호주산,뉴질랜드산)20.61%]80%, 양파, 피망, 토마토소스, 후추, 파슬리가루</v>
      </c>
      <c r="H6" s="94" t="str">
        <f>IFERROR(INDEX(온라인_반찬!$D$2:$J$605,MATCH($D6,온라인_반찬!$C$2:$C$605,0),6),"")</f>
        <v>.1.2.5.6.10.12.16.</v>
      </c>
      <c r="I6" s="102" t="s">
        <v>2244</v>
      </c>
      <c r="J6" s="95"/>
      <c r="K6" s="94"/>
      <c r="L6" s="121" t="str">
        <f>IFERROR(INDEX(온라인_반찬!$C$2:$J$605,MATCH($D6,온라인_반찬!$C$2:$C$605,0),8),"")</f>
        <v>미트볼골드(선진)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676</v>
      </c>
      <c r="E7" s="115"/>
      <c r="F7" s="116">
        <v>1</v>
      </c>
      <c r="G7" s="106" t="str">
        <f>IFERROR(INDEX(온라인_반찬!$C$2:$H$612,MATCH($D7,온라인_반찬!$C$2:$C$612,0),6),"")</f>
        <v>김(국산), 카놀라유(원료:외국산), 참기름, 정제소금</v>
      </c>
      <c r="H7" s="94" t="str">
        <f>IFERROR(INDEX(온라인_반찬!$D$2:$J$605,MATCH($D7,온라인_반찬!$C$2:$C$605,0),6),"")</f>
        <v>.21.</v>
      </c>
      <c r="I7" s="102" t="s">
        <v>2244</v>
      </c>
      <c r="J7" s="95"/>
      <c r="K7" s="94"/>
      <c r="L7" s="121" t="str">
        <f>IFERROR(INDEX(온라인_반찬!$C$2:$J$605,MATCH($D7,온라인_반찬!$C$2:$C$605,0),8),"")</f>
        <v>양반김(동원)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519</v>
      </c>
      <c r="E8" s="115">
        <v>25</v>
      </c>
      <c r="F8" s="115"/>
      <c r="G8" s="106" t="str">
        <f>IFERROR(INDEX(온라인_반찬!$C$2:$H$612,MATCH($D8,온라인_반찬!$C$2:$C$612,0),6),"")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IFERROR(INDEX(온라인_반찬!$D$2:$J$605,MATCH($D8,온라인_반찬!$C$2:$C$605,0),6),"")</f>
        <v>.9.12.</v>
      </c>
      <c r="I8" s="102" t="s">
        <v>2244</v>
      </c>
      <c r="J8" s="95"/>
      <c r="K8" s="94"/>
      <c r="L8" s="121" t="str">
        <f>IFERROR(INDEX(온라인_반찬!$C$2:$J$605,MATCH($D8,온라인_반찬!$C$2:$C$605,0),8),"")</f>
        <v>토마토김치(종가집)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2247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1154</v>
      </c>
      <c r="E10" s="216">
        <v>150</v>
      </c>
      <c r="F10" s="216"/>
      <c r="G10" s="217" t="str">
        <f>IFERROR(INDEX(온라인_반찬!$C$2:$H$612,MATCH($D10,온라인_반찬!$C$2:$C$612,0),6),"")</f>
        <v>쌀(국산)90%, 찰보리(국산.친환경)5%, 정제수</v>
      </c>
      <c r="H10" s="218">
        <f>IFERROR(INDEX(온라인_반찬!$D$2:$J$605,MATCH($D10,온라인_반찬!$C$2:$C$605,0),6),"")</f>
        <v>0</v>
      </c>
      <c r="I10" s="219" t="s">
        <v>2245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796</v>
      </c>
      <c r="E11" s="115">
        <v>160</v>
      </c>
      <c r="F11" s="116"/>
      <c r="G11" s="106" t="str">
        <f>IFERROR(INDEX(온라인_반찬!$C$2:$H$612,MATCH($D11,온라인_반찬!$C$2:$C$612,0),6),"")</f>
        <v>숙주(녹두:외국산)20%, 소고기(호주산)8%, 정제수, 대파, 마늘, 멸치육수농축액, 국간장, 소금</v>
      </c>
      <c r="H11" s="94" t="str">
        <f>IFERROR(INDEX(온라인_반찬!$D$2:$J$605,MATCH($D11,온라인_반찬!$C$2:$C$605,0),6),"")</f>
        <v>.5.16.</v>
      </c>
      <c r="I11" s="102" t="s">
        <v>2245</v>
      </c>
      <c r="J11" s="95"/>
      <c r="K11" s="94"/>
      <c r="L11" s="121" t="str">
        <f>IFERROR(INDEX(온라인_반찬!$C$2:$J$605,MATCH($D11,온라인_반찬!$C$2:$C$605,0),8),"")</f>
        <v>멸치육수농축액(면사랑)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279" t="s">
        <v>2125</v>
      </c>
      <c r="E12" s="280">
        <v>85</v>
      </c>
      <c r="F12" s="281"/>
      <c r="G12" s="282" t="str">
        <f>IFERROR(INDEX(온라인_반찬!$C$2:$H$612,MATCH($D12,온라인_반찬!$C$2:$C$612,0),6),"")</f>
        <v>닭정육(국산)78%, 마라로제소스[우유(국산).고춧가루(중국산.베트남산)]</v>
      </c>
      <c r="H12" s="283" t="str">
        <f>IFERROR(INDEX(온라인_반찬!$D$2:$J$605,MATCH($D12,온라인_반찬!$C$2:$C$605,0),6),"")</f>
        <v>.1.5.6.10.15.16.</v>
      </c>
      <c r="I12" s="102" t="s">
        <v>2245</v>
      </c>
      <c r="J12" s="95"/>
      <c r="K12" s="94"/>
      <c r="L12" s="121" t="str">
        <f>IFERROR(INDEX(온라인_반찬!$C$2:$J$605,MATCH($D12,온라인_반찬!$C$2:$C$605,0),8),"")</f>
        <v>마라샹궈소스(차이웰)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1003</v>
      </c>
      <c r="E13" s="115">
        <v>45</v>
      </c>
      <c r="F13" s="116"/>
      <c r="G13" s="106" t="str">
        <f>IFERROR(INDEX(온라인_반찬!$C$2:$H$612,MATCH($D13,온라인_반찬!$C$2:$C$612,0),6),"")</f>
        <v>미트볼[돼지고기(국내산)45.45%,소고기(호주산,뉴질랜드산)20.61%]80%, 양파, 피망, 토마토소스, 후추, 파슬리가루</v>
      </c>
      <c r="H13" s="94" t="str">
        <f>IFERROR(INDEX(온라인_반찬!$D$2:$J$605,MATCH($D13,온라인_반찬!$C$2:$C$605,0),6),"")</f>
        <v>.1.2.5.6.10.12.16.</v>
      </c>
      <c r="I13" s="102" t="s">
        <v>2245</v>
      </c>
      <c r="J13" s="95"/>
      <c r="K13" s="94"/>
      <c r="L13" s="121" t="str">
        <f>IFERROR(INDEX(온라인_반찬!$C$2:$J$605,MATCH($D13,온라인_반찬!$C$2:$C$605,0),8),"")</f>
        <v>미트볼골드(선진)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676</v>
      </c>
      <c r="E14" s="115"/>
      <c r="F14" s="116">
        <v>1</v>
      </c>
      <c r="G14" s="106" t="str">
        <f>IFERROR(INDEX(온라인_반찬!$C$2:$H$612,MATCH($D14,온라인_반찬!$C$2:$C$612,0),6),"")</f>
        <v>김(국산), 카놀라유(원료:외국산), 참기름, 정제소금</v>
      </c>
      <c r="H14" s="94" t="str">
        <f>IFERROR(INDEX(온라인_반찬!$D$2:$J$605,MATCH($D14,온라인_반찬!$C$2:$C$605,0),6),"")</f>
        <v>.21.</v>
      </c>
      <c r="I14" s="102" t="s">
        <v>2245</v>
      </c>
      <c r="J14" s="95"/>
      <c r="K14" s="94"/>
      <c r="L14" s="121" t="str">
        <f>IFERROR(INDEX(온라인_반찬!$C$2:$J$605,MATCH($D14,온라인_반찬!$C$2:$C$605,0),8),"")</f>
        <v>양반김(동원)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519</v>
      </c>
      <c r="E15" s="115">
        <v>35</v>
      </c>
      <c r="F15" s="115"/>
      <c r="G15" s="106" t="str">
        <f>IFERROR(INDEX(온라인_반찬!$C$2:$H$612,MATCH($D15,온라인_반찬!$C$2:$C$612,0),6),"")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IFERROR(INDEX(온라인_반찬!$D$2:$J$605,MATCH($D15,온라인_반찬!$C$2:$C$605,0),6),"")</f>
        <v>.9.12.</v>
      </c>
      <c r="I15" s="102" t="s">
        <v>2245</v>
      </c>
      <c r="J15" s="95"/>
      <c r="K15" s="94"/>
      <c r="L15" s="121" t="str">
        <f>IFERROR(INDEX(온라인_반찬!$C$2:$J$605,MATCH($D15,온라인_반찬!$C$2:$C$605,0),8),"")</f>
        <v>토마토김치(종가집)</v>
      </c>
      <c r="M15" s="113"/>
      <c r="N15" s="113"/>
      <c r="O15" s="113"/>
    </row>
    <row r="16" spans="2:23" ht="39.950000000000003" customHeight="1">
      <c r="B16" s="336"/>
      <c r="C16" s="347" t="s">
        <v>1196</v>
      </c>
      <c r="D16" s="96" t="s">
        <v>2278</v>
      </c>
      <c r="E16" s="115">
        <v>40</v>
      </c>
      <c r="F16" s="115"/>
      <c r="G16" s="106" t="str">
        <f>IFERROR(INDEX(온라인_반찬!$C$2:$H$612,MATCH($D16,온라인_반찬!$C$2:$C$612,0),6),"")</f>
        <v>모둠채소[국내산(양상추, 로메인, 어린잎)]92%, 잠봉[돼지고기(국산), 분리유청대두단백가공품(미국산), 난백분(이탈리아산), 소금(국산) 등]8%</v>
      </c>
      <c r="H16" s="94" t="str">
        <f>IFERROR(INDEX(온라인_반찬!$D$2:$J$605,MATCH($D16,온라인_반찬!$C$2:$C$605,0),6),"")</f>
        <v>.1.2.5.10.</v>
      </c>
      <c r="I16" s="102" t="s">
        <v>2245</v>
      </c>
      <c r="J16" s="95"/>
      <c r="K16" s="94"/>
      <c r="L16" s="157" t="str">
        <f>IFERROR(INDEX(온라인_반찬!$C$2:$J$605,MATCH($D16,온라인_반찬!$C$2:$C$605,0),8),"")</f>
        <v>잠봉(오땔)</v>
      </c>
      <c r="M16" s="113"/>
      <c r="N16" s="113"/>
      <c r="O16" s="113"/>
    </row>
    <row r="17" spans="2:15" ht="39.950000000000003" customHeight="1">
      <c r="B17" s="336"/>
      <c r="C17" s="348"/>
      <c r="D17" s="96" t="s">
        <v>2295</v>
      </c>
      <c r="E17" s="115">
        <v>20</v>
      </c>
      <c r="F17" s="115"/>
      <c r="G17" s="106" t="str">
        <f>IFERROR(INDEX(온라인_반찬!$C$2:$H$612,MATCH($D17,온라인_반찬!$C$2:$C$612,0),6),"")</f>
        <v>{정제수, 키위퓨레(뉴질랜드산), 마요네즈[식물성유지(외국산), 난황액(계란:국산), 발효식초 등], 정제소금(중국산) 등}</v>
      </c>
      <c r="H17" s="94" t="str">
        <f>IFERROR(INDEX(온라인_반찬!$D$2:$J$605,MATCH($D17,온라인_반찬!$C$2:$C$605,0),6),"")</f>
        <v>.1.5.20.</v>
      </c>
      <c r="I17" s="102" t="s">
        <v>2245</v>
      </c>
      <c r="J17" s="95"/>
      <c r="K17" s="94"/>
      <c r="L17" s="157" t="str">
        <f>IFERROR(INDEX(온라인_반찬!$C$2:$J$605,MATCH($D17,온라인_반찬!$C$2:$C$605,0),8),"")</f>
        <v>키위드레싱(이츠웰)</v>
      </c>
      <c r="M17" s="113"/>
      <c r="N17" s="113"/>
      <c r="O17" s="113"/>
    </row>
    <row r="18" spans="2:15" ht="39.950000000000003" customHeight="1" thickBot="1">
      <c r="B18" s="337"/>
      <c r="C18" s="153" t="s">
        <v>74</v>
      </c>
      <c r="D18" s="202"/>
      <c r="E18" s="123"/>
      <c r="F18" s="124"/>
      <c r="G18" s="206"/>
      <c r="H18" s="158"/>
      <c r="I18" s="129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39" t="s">
        <v>1374</v>
      </c>
      <c r="C19" s="93" t="s">
        <v>509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2244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2" t="s">
        <v>511</v>
      </c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2244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343"/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2244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52" t="s">
        <v>512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2244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07" t="s">
        <v>693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2244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>
      <c r="B24" s="340"/>
      <c r="C24" s="152" t="s">
        <v>76</v>
      </c>
      <c r="D24" s="154"/>
      <c r="E24" s="115"/>
      <c r="F24" s="115"/>
      <c r="G24" s="106" t="str">
        <f>IFERROR(INDEX(온라인_반찬!$C$2:$H$612,MATCH($D24,온라인_반찬!$C$2:$C$612,0),6),"")</f>
        <v/>
      </c>
      <c r="H24" s="94" t="str">
        <f>IFERROR(INDEX(온라인_반찬!$D$2:$J$605,MATCH($D24,온라인_반찬!$C$2:$C$605,0),6),"")</f>
        <v/>
      </c>
      <c r="I24" s="102" t="s">
        <v>2244</v>
      </c>
      <c r="J24" s="150"/>
      <c r="K24" s="150"/>
      <c r="L24" s="121" t="str">
        <f>IFERROR(INDEX(온라인_반찬!$C$2:$J$605,MATCH($D24,온라인_반찬!$C$2:$C$605,0),8),"")</f>
        <v/>
      </c>
      <c r="M24" s="113"/>
    </row>
    <row r="25" spans="2:15" ht="39.950000000000003" customHeight="1" thickBot="1">
      <c r="B25" s="341"/>
      <c r="C25" s="122" t="s">
        <v>74</v>
      </c>
      <c r="D25" s="123"/>
      <c r="E25" s="123"/>
      <c r="F25" s="124">
        <v>1</v>
      </c>
      <c r="G25" s="125"/>
      <c r="H25" s="158"/>
      <c r="I25" s="129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7C5B-4B71-4B0D-9CA9-863CA7123738}">
  <sheetPr>
    <pageSetUpPr fitToPage="1"/>
  </sheetPr>
  <dimension ref="B1:W27"/>
  <sheetViews>
    <sheetView zoomScale="80" zoomScaleNormal="80" zoomScaleSheetLayoutView="75" workbookViewId="0">
      <selection activeCell="I17" sqref="I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2250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2248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986</v>
      </c>
      <c r="E4" s="115">
        <v>150</v>
      </c>
      <c r="F4" s="116"/>
      <c r="G4" s="106" t="str">
        <f>IFERROR(INDEX(온라인_반찬!$C$2:$H$612,MATCH($D4,온라인_반찬!$C$2:$C$612,0),6),"")</f>
        <v>무(국산)20%, 오징어(미국산, 국산)5%, 양파, 대파, 마늘, 정제수, 멸치육수농축액, 국간장, 소금</v>
      </c>
      <c r="H4" s="94" t="str">
        <f>IFERROR(INDEX(온라인_반찬!$D$2:$J$605,MATCH($D4,온라인_반찬!$C$2:$C$605,0),6),"")</f>
        <v>.5.17.</v>
      </c>
      <c r="I4" s="102" t="s">
        <v>2248</v>
      </c>
      <c r="J4" s="95"/>
      <c r="K4" s="94"/>
      <c r="L4" s="121" t="str">
        <f>IFERROR(INDEX(온라인_반찬!$C$2:$J$605,MATCH($D4,온라인_반찬!$C$2:$C$605,0),8),"")</f>
        <v>40g / 50g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2083</v>
      </c>
      <c r="E5" s="115">
        <v>60</v>
      </c>
      <c r="F5" s="116"/>
      <c r="G5" s="106" t="str">
        <f>IFERROR(INDEX(온라인_반찬!$C$2:$H$612,MATCH($D5,온라인_반찬!$C$2:$C$612,0),6),"")</f>
        <v>메추리알(국산)45%,돼지고기(국산)35%,  파인애플(전처리용), 정제수, 생강가루, 월계수잎, 간장, 설탕, 맛술, 물엿, 참기름, 후추</v>
      </c>
      <c r="H5" s="94" t="str">
        <f>IFERROR(INDEX(온라인_반찬!$D$2:$J$605,MATCH($D5,온라인_반찬!$C$2:$C$605,0),6),"")</f>
        <v>.1.5.10.19.21.</v>
      </c>
      <c r="I5" s="102" t="s">
        <v>2248</v>
      </c>
      <c r="J5" s="95"/>
      <c r="K5" s="94"/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1411</v>
      </c>
      <c r="E6" s="115"/>
      <c r="F6" s="116">
        <v>1</v>
      </c>
      <c r="G6" s="106" t="str">
        <f>IFERROR(INDEX(온라인_반찬!$C$2:$H$612,MATCH($D6,온라인_반찬!$C$2:$C$612,0),6),"")</f>
        <v>두부(대두:미국.캐나다.중국 등)56.25%,정제소금(국내산),생빵가루[(밀:미국산.캐나다산), 팜유(말레이시아산), 효모, 전분, 정제소금],쌀가루,대두유</v>
      </c>
      <c r="H6" s="94" t="str">
        <f>IFERROR(INDEX(온라인_반찬!$D$2:$J$605,MATCH($D6,온라인_반찬!$C$2:$C$605,0),6),"")</f>
        <v>.5.6.</v>
      </c>
      <c r="I6" s="102" t="s">
        <v>2248</v>
      </c>
      <c r="J6" s="95"/>
      <c r="K6" s="94"/>
      <c r="L6" s="121" t="str">
        <f>IFERROR(INDEX(온라인_반찬!$C$2:$J$605,MATCH($D6,온라인_반찬!$C$2:$C$605,0),8),"")</f>
        <v>겉바속촉두부까스(성원냉동식품)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2079</v>
      </c>
      <c r="E7" s="115">
        <v>35</v>
      </c>
      <c r="F7" s="116"/>
      <c r="G7" s="106" t="str">
        <f>IFERROR(INDEX(온라인_반찬!$C$2:$H$612,MATCH($D7,온라인_반찬!$C$2:$C$612,0),6),"")</f>
        <v>스위트콘[옥수수62.71%(원산지:태국)]50%, 양배추(국산)30%,  파프리카, 당근, 적채, 마요네즈, 식초, 설탕, 소금</v>
      </c>
      <c r="H7" s="94" t="str">
        <f>IFERROR(INDEX(온라인_반찬!$D$2:$J$605,MATCH($D7,온라인_반찬!$C$2:$C$605,0),6),"")</f>
        <v>.1.5.16.</v>
      </c>
      <c r="I7" s="102" t="s">
        <v>2248</v>
      </c>
      <c r="J7" s="95"/>
      <c r="K7" s="94"/>
      <c r="L7" s="121" t="str">
        <f>IFERROR(INDEX(온라인_반찬!$C$2:$J$605,MATCH($D7,온라인_반찬!$C$2:$C$605,0),8),"")</f>
        <v>마요네즈(오뚜기)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519</v>
      </c>
      <c r="E8" s="115">
        <v>25</v>
      </c>
      <c r="F8" s="115"/>
      <c r="G8" s="106" t="str">
        <f>IFERROR(INDEX(온라인_반찬!$C$2:$H$612,MATCH($D8,온라인_반찬!$C$2:$C$612,0),6),"")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IFERROR(INDEX(온라인_반찬!$D$2:$J$605,MATCH($D8,온라인_반찬!$C$2:$C$605,0),6),"")</f>
        <v>.9.12.</v>
      </c>
      <c r="I8" s="102" t="s">
        <v>2248</v>
      </c>
      <c r="J8" s="95"/>
      <c r="K8" s="94"/>
      <c r="L8" s="121" t="str">
        <f>IFERROR(INDEX(온라인_반찬!$C$2:$J$605,MATCH($D8,온라인_반찬!$C$2:$C$605,0),8),"")</f>
        <v>토마토김치(종가집)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2251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1154</v>
      </c>
      <c r="E10" s="216">
        <v>150</v>
      </c>
      <c r="F10" s="216"/>
      <c r="G10" s="217" t="str">
        <f>IFERROR(INDEX(온라인_반찬!$C$2:$H$612,MATCH($D10,온라인_반찬!$C$2:$C$612,0),6),"")</f>
        <v>쌀(국산)90%, 찰보리(국산.친환경)5%, 정제수</v>
      </c>
      <c r="H10" s="218">
        <f>IFERROR(INDEX(온라인_반찬!$D$2:$J$605,MATCH($D10,온라인_반찬!$C$2:$C$605,0),6),"")</f>
        <v>0</v>
      </c>
      <c r="I10" s="219" t="s">
        <v>2249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986</v>
      </c>
      <c r="E11" s="115">
        <v>160</v>
      </c>
      <c r="F11" s="116"/>
      <c r="G11" s="106" t="str">
        <f>IFERROR(INDEX(온라인_반찬!$C$2:$H$612,MATCH($D11,온라인_반찬!$C$2:$C$612,0),6),"")</f>
        <v>무(국산)20%, 오징어(미국산, 국산)5%, 양파, 대파, 마늘, 정제수, 멸치육수농축액, 국간장, 소금</v>
      </c>
      <c r="H11" s="94" t="str">
        <f>IFERROR(INDEX(온라인_반찬!$D$2:$J$605,MATCH($D11,온라인_반찬!$C$2:$C$605,0),6),"")</f>
        <v>.5.17.</v>
      </c>
      <c r="I11" s="102" t="s">
        <v>2249</v>
      </c>
      <c r="J11" s="95"/>
      <c r="K11" s="94"/>
      <c r="L11" s="121" t="str">
        <f>IFERROR(INDEX(온라인_반찬!$C$2:$J$605,MATCH($D11,온라인_반찬!$C$2:$C$605,0),8),"")</f>
        <v>40g / 50g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2083</v>
      </c>
      <c r="E12" s="115">
        <v>80</v>
      </c>
      <c r="F12" s="116"/>
      <c r="G12" s="106" t="str">
        <f>IFERROR(INDEX(온라인_반찬!$C$2:$H$612,MATCH($D12,온라인_반찬!$C$2:$C$612,0),6),"")</f>
        <v>메추리알(국산)45%,돼지고기(국산)35%,  파인애플(전처리용), 정제수, 생강가루, 월계수잎, 간장, 설탕, 맛술, 물엿, 참기름, 후추</v>
      </c>
      <c r="H12" s="94" t="str">
        <f>IFERROR(INDEX(온라인_반찬!$D$2:$J$605,MATCH($D12,온라인_반찬!$C$2:$C$605,0),6),"")</f>
        <v>.1.5.10.19.21.</v>
      </c>
      <c r="I12" s="102" t="s">
        <v>2249</v>
      </c>
      <c r="J12" s="95"/>
      <c r="K12" s="94"/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1411</v>
      </c>
      <c r="E13" s="115"/>
      <c r="F13" s="116">
        <v>2</v>
      </c>
      <c r="G13" s="106" t="str">
        <f>IFERROR(INDEX(온라인_반찬!$C$2:$H$612,MATCH($D13,온라인_반찬!$C$2:$C$612,0),6),"")</f>
        <v>두부(대두:미국.캐나다.중국 등)56.25%,정제소금(국내산),생빵가루[(밀:미국산.캐나다산), 팜유(말레이시아산), 효모, 전분, 정제소금],쌀가루,대두유</v>
      </c>
      <c r="H13" s="94" t="str">
        <f>IFERROR(INDEX(온라인_반찬!$D$2:$J$605,MATCH($D13,온라인_반찬!$C$2:$C$605,0),6),"")</f>
        <v>.5.6.</v>
      </c>
      <c r="I13" s="102" t="s">
        <v>2249</v>
      </c>
      <c r="J13" s="95"/>
      <c r="K13" s="94"/>
      <c r="L13" s="121" t="str">
        <f>IFERROR(INDEX(온라인_반찬!$C$2:$J$605,MATCH($D13,온라인_반찬!$C$2:$C$605,0),8),"")</f>
        <v>겉바속촉두부까스(성원냉동식품)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2079</v>
      </c>
      <c r="E14" s="115">
        <v>40</v>
      </c>
      <c r="F14" s="116"/>
      <c r="G14" s="106" t="str">
        <f>IFERROR(INDEX(온라인_반찬!$C$2:$H$612,MATCH($D14,온라인_반찬!$C$2:$C$612,0),6),"")</f>
        <v>스위트콘[옥수수62.71%(원산지:태국)]50%, 양배추(국산)30%,  파프리카, 당근, 적채, 마요네즈, 식초, 설탕, 소금</v>
      </c>
      <c r="H14" s="94" t="str">
        <f>IFERROR(INDEX(온라인_반찬!$D$2:$J$605,MATCH($D14,온라인_반찬!$C$2:$C$605,0),6),"")</f>
        <v>.1.5.16.</v>
      </c>
      <c r="I14" s="102" t="s">
        <v>2249</v>
      </c>
      <c r="J14" s="95"/>
      <c r="K14" s="94"/>
      <c r="L14" s="121" t="str">
        <f>IFERROR(INDEX(온라인_반찬!$C$2:$J$605,MATCH($D14,온라인_반찬!$C$2:$C$605,0),8),"")</f>
        <v>마요네즈(오뚜기)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519</v>
      </c>
      <c r="E15" s="115">
        <v>35</v>
      </c>
      <c r="F15" s="115"/>
      <c r="G15" s="106" t="str">
        <f>IFERROR(INDEX(온라인_반찬!$C$2:$H$612,MATCH($D15,온라인_반찬!$C$2:$C$612,0),6),"")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IFERROR(INDEX(온라인_반찬!$D$2:$J$605,MATCH($D15,온라인_반찬!$C$2:$C$605,0),6),"")</f>
        <v>.9.12.</v>
      </c>
      <c r="I15" s="102" t="s">
        <v>2249</v>
      </c>
      <c r="J15" s="95"/>
      <c r="K15" s="94"/>
      <c r="L15" s="121" t="str">
        <f>IFERROR(INDEX(온라인_반찬!$C$2:$J$605,MATCH($D15,온라인_반찬!$C$2:$C$605,0),8),"")</f>
        <v>토마토김치(종가집)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1751</v>
      </c>
      <c r="E16" s="115"/>
      <c r="F16" s="115">
        <v>1</v>
      </c>
      <c r="G16" s="106" t="str">
        <f>IFERROR(INDEX(온라인_반찬!$C$2:$H$612,MATCH($D16,온라인_반찬!$C$2:$C$612,0),6),"")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6" s="94" t="str">
        <f>IFERROR(INDEX(온라인_반찬!$D$2:$J$605,MATCH($D16,온라인_반찬!$C$2:$C$605,0),6),"")</f>
        <v>.1.2.5.6.12.16.</v>
      </c>
      <c r="I16" s="102" t="s">
        <v>2249</v>
      </c>
      <c r="J16" s="95"/>
      <c r="K16" s="94"/>
      <c r="L16" s="157" t="str">
        <f>IFERROR(INDEX(온라인_반찬!$C$2:$J$605,MATCH($D16,온라인_반찬!$C$2:$C$605,0),8),"")</f>
        <v>과드라불고기피자(M&amp;F)</v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2248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2248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2248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2248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2248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2248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DCF1-B791-4098-92E3-E7E93F8F14F4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2254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1521</v>
      </c>
      <c r="E3" s="253">
        <v>140</v>
      </c>
      <c r="F3" s="253"/>
      <c r="G3" s="254" t="str">
        <f>IFERROR(INDEX(온라인_반찬!$C$2:$H$612,MATCH($D3,온라인_반찬!$C$2:$C$612,0),6),"")</f>
        <v>쌀(국산)90%, 귀리(국산.친환경)5%, 정제수</v>
      </c>
      <c r="H3" s="255">
        <f>IFERROR(INDEX(온라인_반찬!$D$2:$J$605,MATCH($D3,온라인_반찬!$C$2:$C$605,0),6),"")</f>
        <v>0</v>
      </c>
      <c r="I3" s="256" t="s">
        <v>2252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1217</v>
      </c>
      <c r="E4" s="115">
        <v>150</v>
      </c>
      <c r="F4" s="116"/>
      <c r="G4" s="106" t="str">
        <f>IFERROR(INDEX(온라인_반찬!$C$2:$H$612,MATCH($D4,온라인_반찬!$C$2:$C$612,0),6),"")</f>
        <v>열무(국산)18%, 두부(대두:수입산), 양파, 파, 마늘, 된장, 멸치육수농축액, 국간장, 정제수, 소금</v>
      </c>
      <c r="H4" s="94" t="str">
        <f>IFERROR(INDEX(온라인_반찬!$D$2:$J$605,MATCH($D4,온라인_반찬!$C$2:$C$605,0),6),"")</f>
        <v>.5.</v>
      </c>
      <c r="I4" s="102" t="s">
        <v>2252</v>
      </c>
      <c r="J4" s="95"/>
      <c r="K4" s="94"/>
      <c r="L4" s="121" t="str">
        <f>IFERROR(INDEX(온라인_반찬!$C$2:$J$605,MATCH($D4,온라인_반찬!$C$2:$C$605,0),8),"")</f>
        <v>40g / 50g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1279</v>
      </c>
      <c r="E5" s="115">
        <v>60</v>
      </c>
      <c r="F5" s="116"/>
      <c r="G5" s="106" t="str">
        <f>IFERROR(INDEX(온라인_반찬!$C$2:$H$612,MATCH($D5,온라인_반찬!$C$2:$C$612,0),6),"")</f>
        <v>소고기(호주산)60%, 양파(국산)12%, 청경채(국산)6%, 파, 마늘, , 간장, 대두유, 소금, 후추, 전분, 정제수, 참기름</v>
      </c>
      <c r="H5" s="94" t="str">
        <f>IFERROR(INDEX(온라인_반찬!$D$2:$J$605,MATCH($D5,온라인_반찬!$C$2:$C$605,0),6),"")</f>
        <v>.5.16.21.</v>
      </c>
      <c r="I5" s="102" t="s">
        <v>2252</v>
      </c>
      <c r="J5" s="95"/>
      <c r="K5" s="94"/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2123</v>
      </c>
      <c r="E6" s="115">
        <v>45</v>
      </c>
      <c r="F6" s="116"/>
      <c r="G6" s="106" t="str">
        <f>IFERROR(INDEX(온라인_반찬!$C$2:$H$612,MATCH($D6,온라인_반찬!$C$2:$C$612,0),6),"")</f>
        <v>{소시지[닭고기(국산)54.04%, 정제수, 돼지고기(국산)24.22%, 옥수수전분(러시아,헝가리,세르비아등).돈지방(국산),정제수, 정제소금)]80%, 대두유, 당근, 양파, 간장, 물엿, 참기름, 참께</v>
      </c>
      <c r="H6" s="94" t="str">
        <f>IFERROR(INDEX(온라인_반찬!$D$2:$J$605,MATCH($D6,온라인_반찬!$C$2:$C$605,0),6),"")</f>
        <v>.5.6.10.12.15.16.21.</v>
      </c>
      <c r="I6" s="102" t="s">
        <v>2252</v>
      </c>
      <c r="J6" s="95"/>
      <c r="K6" s="94"/>
      <c r="L6" s="121" t="str">
        <f>IFERROR(INDEX(온라인_반찬!$C$2:$J$605,MATCH($D6,온라인_반찬!$C$2:$C$605,0),8),"")</f>
        <v>칼집비엔나소시지(이츠웰)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1121</v>
      </c>
      <c r="E7" s="115">
        <v>25</v>
      </c>
      <c r="F7" s="116"/>
      <c r="G7" s="106" t="str">
        <f>IFERROR(INDEX(온라인_반찬!$C$2:$H$612,MATCH($D7,온라인_반찬!$C$2:$C$612,0),6),"")</f>
        <v>오이(국산)82%, 치커리(국산)4.5%, 파, 마늘, 고추가루, 소금, 설탕, 식초, 참깨</v>
      </c>
      <c r="H7" s="94" t="str">
        <f>IFERROR(INDEX(온라인_반찬!$D$2:$J$605,MATCH($D7,온라인_반찬!$C$2:$C$605,0),6),"")</f>
        <v>.5.21.</v>
      </c>
      <c r="I7" s="102" t="s">
        <v>2252</v>
      </c>
      <c r="J7" s="95"/>
      <c r="K7" s="94"/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520</v>
      </c>
      <c r="E8" s="115">
        <v>25</v>
      </c>
      <c r="F8" s="115"/>
      <c r="G8" s="106" t="str">
        <f>IFERROR(INDEX(온라인_반찬!$C$2:$H$612,MATCH($D8,온라인_반찬!$C$2:$C$612,0),6),"")</f>
        <v>무(국산)85.2%, 고추가루(국산), 밀가루풀(국산), 파, 마늘, 새우젓 등 양념(국산)</v>
      </c>
      <c r="H8" s="94" t="str">
        <f>IFERROR(INDEX(온라인_반찬!$D$2:$J$605,MATCH($D8,온라인_반찬!$C$2:$C$605,0),6),"")</f>
        <v>.6.9.</v>
      </c>
      <c r="I8" s="102" t="s">
        <v>2252</v>
      </c>
      <c r="J8" s="95"/>
      <c r="K8" s="94"/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2257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1521</v>
      </c>
      <c r="E10" s="216">
        <v>150</v>
      </c>
      <c r="F10" s="216"/>
      <c r="G10" s="217" t="str">
        <f>IFERROR(INDEX(온라인_반찬!$C$2:$H$612,MATCH($D10,온라인_반찬!$C$2:$C$612,0),6),"")</f>
        <v>쌀(국산)90%, 귀리(국산.친환경)5%, 정제수</v>
      </c>
      <c r="H10" s="218">
        <f>IFERROR(INDEX(온라인_반찬!$D$2:$J$605,MATCH($D10,온라인_반찬!$C$2:$C$605,0),6),"")</f>
        <v>0</v>
      </c>
      <c r="I10" s="219" t="s">
        <v>2253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1217</v>
      </c>
      <c r="E11" s="115">
        <v>160</v>
      </c>
      <c r="F11" s="116"/>
      <c r="G11" s="106" t="str">
        <f>IFERROR(INDEX(온라인_반찬!$C$2:$H$612,MATCH($D11,온라인_반찬!$C$2:$C$612,0),6),"")</f>
        <v>열무(국산)18%, 두부(대두:수입산), 양파, 파, 마늘, 된장, 멸치육수농축액, 국간장, 정제수, 소금</v>
      </c>
      <c r="H11" s="94" t="str">
        <f>IFERROR(INDEX(온라인_반찬!$D$2:$J$605,MATCH($D11,온라인_반찬!$C$2:$C$605,0),6),"")</f>
        <v>.5.</v>
      </c>
      <c r="I11" s="102" t="s">
        <v>2253</v>
      </c>
      <c r="J11" s="95"/>
      <c r="K11" s="94"/>
      <c r="L11" s="121" t="str">
        <f>IFERROR(INDEX(온라인_반찬!$C$2:$J$605,MATCH($D11,온라인_반찬!$C$2:$C$605,0),8),"")</f>
        <v>40g / 50g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1279</v>
      </c>
      <c r="E12" s="115">
        <v>80</v>
      </c>
      <c r="F12" s="116"/>
      <c r="G12" s="106" t="str">
        <f>IFERROR(INDEX(온라인_반찬!$C$2:$H$612,MATCH($D12,온라인_반찬!$C$2:$C$612,0),6),"")</f>
        <v>소고기(호주산)60%, 양파(국산)12%, 청경채(국산)6%, 파, 마늘, , 간장, 대두유, 소금, 후추, 전분, 정제수, 참기름</v>
      </c>
      <c r="H12" s="94" t="str">
        <f>IFERROR(INDEX(온라인_반찬!$D$2:$J$605,MATCH($D12,온라인_반찬!$C$2:$C$605,0),6),"")</f>
        <v>.5.16.21.</v>
      </c>
      <c r="I12" s="102" t="s">
        <v>2253</v>
      </c>
      <c r="J12" s="95"/>
      <c r="K12" s="94"/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2123</v>
      </c>
      <c r="E13" s="115">
        <v>50</v>
      </c>
      <c r="F13" s="116"/>
      <c r="G13" s="106" t="str">
        <f>IFERROR(INDEX(온라인_반찬!$C$2:$H$612,MATCH($D13,온라인_반찬!$C$2:$C$612,0),6),"")</f>
        <v>{소시지[닭고기(국산)54.04%, 정제수, 돼지고기(국산)24.22%, 옥수수전분(러시아,헝가리,세르비아등).돈지방(국산),정제수, 정제소금)]80%, 대두유, 당근, 양파, 간장, 물엿, 참기름, 참께</v>
      </c>
      <c r="H13" s="94" t="str">
        <f>IFERROR(INDEX(온라인_반찬!$D$2:$J$605,MATCH($D13,온라인_반찬!$C$2:$C$605,0),6),"")</f>
        <v>.5.6.10.12.15.16.21.</v>
      </c>
      <c r="I13" s="102" t="s">
        <v>2253</v>
      </c>
      <c r="J13" s="95"/>
      <c r="K13" s="94"/>
      <c r="L13" s="121" t="str">
        <f>IFERROR(INDEX(온라인_반찬!$C$2:$J$605,MATCH($D13,온라인_반찬!$C$2:$C$605,0),8),"")</f>
        <v>칼집비엔나소시지(이츠웰)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279" t="s">
        <v>2256</v>
      </c>
      <c r="E14" s="280">
        <v>35</v>
      </c>
      <c r="F14" s="281"/>
      <c r="G14" s="282" t="s">
        <v>2255</v>
      </c>
      <c r="H14" s="283" t="str">
        <f>IFERROR(INDEX(온라인_반찬!$D$2:$J$605,MATCH($D14,온라인_반찬!$C$2:$C$605,0),6),"")</f>
        <v/>
      </c>
      <c r="I14" s="102" t="s">
        <v>2253</v>
      </c>
      <c r="J14" s="95"/>
      <c r="K14" s="94"/>
      <c r="L14" s="121" t="str">
        <f>IFERROR(INDEX(온라인_반찬!$C$2:$J$605,MATCH($D14,온라인_반찬!$C$2:$C$605,0),8),"")</f>
        <v/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520</v>
      </c>
      <c r="E15" s="115">
        <v>35</v>
      </c>
      <c r="F15" s="115"/>
      <c r="G15" s="106" t="str">
        <f>IFERROR(INDEX(온라인_반찬!$C$2:$H$612,MATCH($D15,온라인_반찬!$C$2:$C$612,0),6),"")</f>
        <v>무(국산)85.2%, 고추가루(국산), 밀가루풀(국산), 파, 마늘, 새우젓 등 양념(국산)</v>
      </c>
      <c r="H15" s="94" t="str">
        <f>IFERROR(INDEX(온라인_반찬!$D$2:$J$605,MATCH($D15,온라인_반찬!$C$2:$C$605,0),6),"")</f>
        <v>.6.9.</v>
      </c>
      <c r="I15" s="102" t="s">
        <v>2253</v>
      </c>
      <c r="J15" s="95"/>
      <c r="K15" s="94"/>
      <c r="L15" s="121">
        <f>IFERROR(INDEX(온라인_반찬!$C$2:$J$605,MATCH($D15,온라인_반찬!$C$2:$C$605,0),8),"")</f>
        <v>0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1767</v>
      </c>
      <c r="E16" s="115"/>
      <c r="F16" s="115"/>
      <c r="G16" s="106" t="str">
        <f>IFERROR(INDEX(온라인_반찬!$C$2:$H$612,MATCH($D16,온라인_반찬!$C$2:$C$612,0),6),"")</f>
        <v/>
      </c>
      <c r="H16" s="94" t="str">
        <f>IFERROR(INDEX(온라인_반찬!$D$2:$J$605,MATCH($D16,온라인_반찬!$C$2:$C$605,0),6),"")</f>
        <v/>
      </c>
      <c r="I16" s="102" t="s">
        <v>2253</v>
      </c>
      <c r="J16" s="95"/>
      <c r="K16" s="94"/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2252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2252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2252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2252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2252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2252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9866-DDE1-445C-9EEB-15547B34C727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2258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1152</v>
      </c>
      <c r="E3" s="253">
        <v>140</v>
      </c>
      <c r="F3" s="253"/>
      <c r="G3" s="254" t="str">
        <f>IFERROR(INDEX(온라인_반찬!$C$2:$H$612,MATCH($D3,온라인_반찬!$C$2:$C$612,0),6),"")</f>
        <v>쌀(국산)90%, 찰흑미(국산.친환경)5%, 정제수</v>
      </c>
      <c r="H3" s="255">
        <f>IFERROR(INDEX(온라인_반찬!$D$2:$J$605,MATCH($D3,온라인_반찬!$C$2:$C$605,0),6),"")</f>
        <v>0</v>
      </c>
      <c r="I3" s="256" t="s">
        <v>2259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1259</v>
      </c>
      <c r="E4" s="115">
        <v>150</v>
      </c>
      <c r="F4" s="116"/>
      <c r="G4" s="106" t="str">
        <f>IFERROR(INDEX(온라인_반찬!$C$2:$H$612,MATCH($D4,온라인_반찬!$C$2:$C$612,0),6),"")</f>
        <v>유부[(대두:캐나다, 호주, 미국등), 대두유(대두:미국,프바질, 파라과이등)]21%, 건더기스프{볶음참께(인도산), 정제염(국산), 김조각(국산), 가쓰오브시(필리핀산)등]5%,  정제수, 마늘, 가스오우동소스, 소금</v>
      </c>
      <c r="H4" s="94" t="str">
        <f>IFERROR(INDEX(온라인_반찬!$D$2:$J$605,MATCH($D4,온라인_반찬!$C$2:$C$605,0),6),"")</f>
        <v>.5.21.</v>
      </c>
      <c r="I4" s="102" t="s">
        <v>2259</v>
      </c>
      <c r="J4" s="95"/>
      <c r="K4" s="94"/>
      <c r="L4" s="121" t="str">
        <f>IFERROR(INDEX(온라인_반찬!$C$2:$J$605,MATCH($D4,온라인_반찬!$C$2:$C$605,0),8),"")</f>
        <v>가스오우동소스(면사랑), 유부(이츠웰 슬라이스유부)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1820</v>
      </c>
      <c r="E5" s="115">
        <v>45</v>
      </c>
      <c r="F5" s="116"/>
      <c r="G5" s="106" t="str">
        <f>IFERROR(INDEX(온라인_반찬!$C$2:$H$612,MATCH($D5,온라인_반찬!$C$2:$C$612,0),6),"")</f>
        <v>족발[돼지고기(뒷다리:국산)97.6%, 양파(국산), 마늘(국산), 참당귀, 생강, 감초, 설탕, 대파, 정제소금, 계피, 치자]95%, 양배추, 적채, 부추, 마늘, 간장, 설탕, 참기름, 참깨</v>
      </c>
      <c r="H5" s="94" t="str">
        <f>IFERROR(INDEX(온라인_반찬!$D$2:$J$605,MATCH($D5,온라인_반찬!$C$2:$C$605,0),6),"")</f>
        <v>.2.5.6.10.16.21.</v>
      </c>
      <c r="I5" s="102" t="s">
        <v>2259</v>
      </c>
      <c r="J5" s="95"/>
      <c r="K5" s="94"/>
      <c r="L5" s="121" t="str">
        <f>IFERROR(INDEX(온라인_반찬!$C$2:$J$605,MATCH($D5,온라인_반찬!$C$2:$C$605,0),8),"")</f>
        <v>족발(미쓰족발&amp;이츠웰), 100g 260kcal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976</v>
      </c>
      <c r="E6" s="115">
        <v>25</v>
      </c>
      <c r="F6" s="116"/>
      <c r="G6" s="106" t="str">
        <f>IFERROR(INDEX(온라인_반찬!$C$2:$H$612,MATCH($D6,온라인_반찬!$C$2:$C$612,0),6),"")</f>
        <v>오징어볼 [(오징어48.78%, 빵가루, 소맥분, 소맥전분, 정제염, 정제수)중국산]97%, 대두유3%</v>
      </c>
      <c r="H6" s="94" t="str">
        <f>IFERROR(INDEX(온라인_반찬!$D$2:$J$605,MATCH($D6,온라인_반찬!$C$2:$C$605,0),6),"")</f>
        <v>1.5.6.17.</v>
      </c>
      <c r="I6" s="102" t="s">
        <v>2259</v>
      </c>
      <c r="J6" s="95"/>
      <c r="K6" s="94"/>
      <c r="L6" s="121" t="str">
        <f>IFERROR(INDEX(온라인_반찬!$C$2:$J$605,MATCH($D6,온라인_반찬!$C$2:$C$605,0),8),"")</f>
        <v>통살오징어볼(가토코)/개당 5g(97원)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1785</v>
      </c>
      <c r="E7" s="115">
        <v>45</v>
      </c>
      <c r="F7" s="116"/>
      <c r="G7" s="106" t="str">
        <f>IFERROR(INDEX(온라인_반찬!$C$2:$H$612,MATCH($D7,온라인_반찬!$C$2:$C$612,0),6),"")</f>
        <v>고구마(국산)78%, 대두유, 정제수, 맛술, 간장, 물엿, 참기름</v>
      </c>
      <c r="H7" s="94" t="str">
        <f>IFERROR(INDEX(온라인_반찬!$D$2:$J$605,MATCH($D7,온라인_반찬!$C$2:$C$605,0),6),"")</f>
        <v>.5.21.</v>
      </c>
      <c r="I7" s="102" t="s">
        <v>2259</v>
      </c>
      <c r="J7" s="95"/>
      <c r="K7" s="94"/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950</v>
      </c>
      <c r="E8" s="115">
        <v>25</v>
      </c>
      <c r="F8" s="115"/>
      <c r="G8" s="106" t="str">
        <f>IFERROR(INDEX(온라인_반찬!$C$2:$H$612,MATCH($D8,온라인_반찬!$C$2:$C$612,0),6),"")</f>
        <v>배추(국내산)70&amp;, 무(국내산)10%, 마늘, 생강, 양파, 설탕, 정제수, 소금</v>
      </c>
      <c r="H8" s="94">
        <f>IFERROR(INDEX(온라인_반찬!$D$2:$J$605,MATCH($D8,온라인_반찬!$C$2:$C$605,0),6),"")</f>
        <v>0</v>
      </c>
      <c r="I8" s="102" t="s">
        <v>2259</v>
      </c>
      <c r="J8" s="95"/>
      <c r="K8" s="94"/>
      <c r="L8" s="121" t="str">
        <f>IFERROR(INDEX(온라인_반찬!$C$2:$J$605,MATCH($D8,온라인_반찬!$C$2:$C$605,0),8),"")</f>
        <v>백김치(정우식품)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2261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1152</v>
      </c>
      <c r="E10" s="216">
        <v>150</v>
      </c>
      <c r="F10" s="216"/>
      <c r="G10" s="217" t="str">
        <f>IFERROR(INDEX(온라인_반찬!$C$2:$H$612,MATCH($D10,온라인_반찬!$C$2:$C$612,0),6),"")</f>
        <v>쌀(국산)90%, 찰흑미(국산.친환경)5%, 정제수</v>
      </c>
      <c r="H10" s="218">
        <f>IFERROR(INDEX(온라인_반찬!$D$2:$J$605,MATCH($D10,온라인_반찬!$C$2:$C$605,0),6),"")</f>
        <v>0</v>
      </c>
      <c r="I10" s="219" t="s">
        <v>2260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1259</v>
      </c>
      <c r="E11" s="115">
        <v>160</v>
      </c>
      <c r="F11" s="116"/>
      <c r="G11" s="106" t="str">
        <f>IFERROR(INDEX(온라인_반찬!$C$2:$H$612,MATCH($D11,온라인_반찬!$C$2:$C$612,0),6),"")</f>
        <v>유부[(대두:캐나다, 호주, 미국등), 대두유(대두:미국,프바질, 파라과이등)]21%, 건더기스프{볶음참께(인도산), 정제염(국산), 김조각(국산), 가쓰오브시(필리핀산)등]5%,  정제수, 마늘, 가스오우동소스, 소금</v>
      </c>
      <c r="H11" s="94" t="str">
        <f>IFERROR(INDEX(온라인_반찬!$D$2:$J$605,MATCH($D11,온라인_반찬!$C$2:$C$605,0),6),"")</f>
        <v>.5.21.</v>
      </c>
      <c r="I11" s="102" t="s">
        <v>2260</v>
      </c>
      <c r="J11" s="95"/>
      <c r="K11" s="94"/>
      <c r="L11" s="121" t="str">
        <f>IFERROR(INDEX(온라인_반찬!$C$2:$J$605,MATCH($D11,온라인_반찬!$C$2:$C$605,0),8),"")</f>
        <v>가스오우동소스(면사랑), 유부(이츠웰 슬라이스유부)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50.1" customHeight="1">
      <c r="B12" s="336"/>
      <c r="C12" s="236" t="s">
        <v>510</v>
      </c>
      <c r="D12" s="279" t="s">
        <v>1485</v>
      </c>
      <c r="E12" s="280">
        <v>80</v>
      </c>
      <c r="F12" s="281"/>
      <c r="G12" s="289" t="str">
        <f>IFERROR(INDEX(온라인_반찬!$C$2:$H$612,MATCH($D12,온라인_반찬!$C$2:$C$612,0),6),"")</f>
        <v>족발[돼지고기(뒷다리:국산)97.6%, 양파(국산), 마늘(국산), 참당귀, 생강, 감초, 설탕, 대파, 정제소금, 계피, 치자]70%, 곤약분모자(곤약분말:외국산)양배추, 적채, 당근, 부추, 마늘, 허니머스터드, 식초 설탕, 참기름, 참깨</v>
      </c>
      <c r="H12" s="283" t="str">
        <f>IFERROR(INDEX(온라인_반찬!$D$2:$J$605,MATCH($D12,온라인_반찬!$C$2:$C$605,0),6),"")</f>
        <v>.1.2.5.6.10.21.</v>
      </c>
      <c r="I12" s="102" t="s">
        <v>2260</v>
      </c>
      <c r="J12" s="95"/>
      <c r="K12" s="94"/>
      <c r="L12" s="121" t="str">
        <f>IFERROR(INDEX(온라인_반찬!$C$2:$J$605,MATCH($D12,온라인_반찬!$C$2:$C$605,0),8),"")</f>
        <v>족발(미쓰족발&amp;이츠웰), 발효곤약분모자(마틴조)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976</v>
      </c>
      <c r="E13" s="115">
        <v>30</v>
      </c>
      <c r="F13" s="116"/>
      <c r="G13" s="106" t="str">
        <f>IFERROR(INDEX(온라인_반찬!$C$2:$H$612,MATCH($D13,온라인_반찬!$C$2:$C$612,0),6),"")</f>
        <v>오징어볼 [(오징어48.78%, 빵가루, 소맥분, 소맥전분, 정제염, 정제수)중국산]97%, 대두유3%</v>
      </c>
      <c r="H13" s="94" t="str">
        <f>IFERROR(INDEX(온라인_반찬!$D$2:$J$605,MATCH($D13,온라인_반찬!$C$2:$C$605,0),6),"")</f>
        <v>1.5.6.17.</v>
      </c>
      <c r="I13" s="102" t="s">
        <v>2260</v>
      </c>
      <c r="J13" s="95"/>
      <c r="K13" s="94"/>
      <c r="L13" s="121" t="str">
        <f>IFERROR(INDEX(온라인_반찬!$C$2:$J$605,MATCH($D13,온라인_반찬!$C$2:$C$605,0),8),"")</f>
        <v>통살오징어볼(가토코)/개당 5g(97원)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1785</v>
      </c>
      <c r="E14" s="115">
        <v>50</v>
      </c>
      <c r="F14" s="116"/>
      <c r="G14" s="106" t="str">
        <f>IFERROR(INDEX(온라인_반찬!$C$2:$H$612,MATCH($D14,온라인_반찬!$C$2:$C$612,0),6),"")</f>
        <v>고구마(국산)78%, 대두유, 정제수, 맛술, 간장, 물엿, 참기름</v>
      </c>
      <c r="H14" s="94" t="str">
        <f>IFERROR(INDEX(온라인_반찬!$D$2:$J$605,MATCH($D14,온라인_반찬!$C$2:$C$605,0),6),"")</f>
        <v>.5.21.</v>
      </c>
      <c r="I14" s="102" t="s">
        <v>2260</v>
      </c>
      <c r="J14" s="95"/>
      <c r="K14" s="94"/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950</v>
      </c>
      <c r="E15" s="115">
        <v>35</v>
      </c>
      <c r="F15" s="115"/>
      <c r="G15" s="106" t="str">
        <f>IFERROR(INDEX(온라인_반찬!$C$2:$H$612,MATCH($D15,온라인_반찬!$C$2:$C$612,0),6),"")</f>
        <v>배추(국내산)70&amp;, 무(국내산)10%, 마늘, 생강, 양파, 설탕, 정제수, 소금</v>
      </c>
      <c r="H15" s="94">
        <f>IFERROR(INDEX(온라인_반찬!$D$2:$J$605,MATCH($D15,온라인_반찬!$C$2:$C$605,0),6),"")</f>
        <v>0</v>
      </c>
      <c r="I15" s="102" t="s">
        <v>2260</v>
      </c>
      <c r="J15" s="95"/>
      <c r="K15" s="94"/>
      <c r="L15" s="121" t="str">
        <f>IFERROR(INDEX(온라인_반찬!$C$2:$J$605,MATCH($D15,온라인_반찬!$C$2:$C$605,0),8),"")</f>
        <v>백김치(정우식품)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1715</v>
      </c>
      <c r="E16" s="115"/>
      <c r="F16" s="115">
        <v>1</v>
      </c>
      <c r="G16" s="106" t="str">
        <f>IFERROR(INDEX(온라인_반찬!$C$2:$H$612,MATCH($D16,온라인_반찬!$C$2:$C$612,0),6),"")</f>
        <v>우삼겹(미국산)5%, 밀떡(밀:외국산)50%, 어묵(연육:외국산), 메추리알(국산), 양파, 양배추, 파, 마늘, 정제수, 간장, 고추장, 설탕</v>
      </c>
      <c r="H16" s="94" t="str">
        <f>IFERROR(INDEX(온라인_반찬!$D$2:$J$605,MATCH($D16,온라인_반찬!$C$2:$C$605,0),6),"")</f>
        <v>.1.5.6.10.16.</v>
      </c>
      <c r="I16" s="102" t="s">
        <v>2260</v>
      </c>
      <c r="J16" s="95"/>
      <c r="K16" s="94"/>
      <c r="L16" s="157">
        <f>IFERROR(INDEX(온라인_반찬!$C$2:$J$605,MATCH($D16,온라인_반찬!$C$2:$C$605,0),8),"")</f>
        <v>0</v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2259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2259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2259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2259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2259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2259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BF27-D984-4843-BF19-1884D10EB14C}">
  <sheetPr>
    <pageSetUpPr fitToPage="1"/>
  </sheetPr>
  <dimension ref="B1:W27"/>
  <sheetViews>
    <sheetView zoomScale="80" zoomScaleNormal="80" zoomScaleSheetLayoutView="75" workbookViewId="0">
      <selection activeCell="D16" sqref="D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2264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2159</v>
      </c>
      <c r="E3" s="253">
        <v>140</v>
      </c>
      <c r="F3" s="253"/>
      <c r="G3" s="254" t="str">
        <f>IFERROR(INDEX(온라인_반찬!$C$2:$H$612,MATCH($D3,온라인_반찬!$C$2:$C$612,0),6),"")</f>
        <v>쌀(국산)95%, 정제수</v>
      </c>
      <c r="H3" s="255">
        <f>IFERROR(INDEX(온라인_반찬!$D$2:$J$605,MATCH($D3,온라인_반찬!$C$2:$C$605,0),6),"")</f>
        <v>0</v>
      </c>
      <c r="I3" s="256" t="s">
        <v>2262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2082</v>
      </c>
      <c r="E4" s="115">
        <v>150</v>
      </c>
      <c r="F4" s="116"/>
      <c r="G4" s="106" t="str">
        <f>IFERROR(INDEX(온라인_반찬!$C$2:$H$612,MATCH($D4,온라인_반찬!$C$2:$C$612,0),6),"")</f>
        <v>돼지고기(국내산)23%, 배추우거지(배추:국내산), 깻순(국내산), 감자, 양파, 파, 마늘, 된장, 치킨스톡, 소금</v>
      </c>
      <c r="H4" s="94" t="str">
        <f>IFERROR(INDEX(온라인_반찬!$D$2:$J$605,MATCH($D4,온라인_반찬!$C$2:$C$605,0),6),"")</f>
        <v>.5.10.15.16..</v>
      </c>
      <c r="I4" s="102" t="s">
        <v>2262</v>
      </c>
      <c r="J4" s="95"/>
      <c r="K4" s="94"/>
      <c r="L4" s="121">
        <f>IFERROR(INDEX(온라인_반찬!$C$2:$J$605,MATCH($D4,온라인_반찬!$C$2:$C$605,0),8),"")</f>
        <v>0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1815</v>
      </c>
      <c r="E5" s="115">
        <v>55</v>
      </c>
      <c r="F5" s="116"/>
      <c r="G5" s="106" t="str">
        <f>IFERROR(INDEX(온라인_반찬!$C$2:$H$612,MATCH($D5,온라인_반찬!$C$2:$C$612,0),6),"")</f>
        <v>훈제닭[닭(국산)97.7%, 훈제오리시즈닝, 비프분말(소고기:호주산), 정제소금, 설탕]80%, 양배추(국산)7%, 마늘, 간장, 맛술, 물엿, 참기름, 참깨</v>
      </c>
      <c r="H5" s="94" t="str">
        <f>IFERROR(INDEX(온라인_반찬!$D$2:$J$605,MATCH($D5,온라인_반찬!$C$2:$C$605,0),6),"")</f>
        <v>.2.5.6.15.16.21.</v>
      </c>
      <c r="I5" s="102" t="s">
        <v>2262</v>
      </c>
      <c r="J5" s="95"/>
      <c r="K5" s="94"/>
      <c r="L5" s="121" t="str">
        <f>IFERROR(INDEX(온라인_반찬!$C$2:$J$605,MATCH($D5,온라인_반찬!$C$2:$C$605,0),8),"")</f>
        <v>다솔토종닭훈제(팜덕) / 다향(.5.6.21.)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1940</v>
      </c>
      <c r="E6" s="115">
        <v>40</v>
      </c>
      <c r="F6" s="116"/>
      <c r="G6" s="106" t="str">
        <f>IFERROR(INDEX(온라인_반찬!$C$2:$H$612,MATCH($D6,온라인_반찬!$C$2:$C$612,0),6),"")</f>
        <v/>
      </c>
      <c r="H6" s="94" t="str">
        <f>IFERROR(INDEX(온라인_반찬!$D$2:$J$605,MATCH($D6,온라인_반찬!$C$2:$C$605,0),6),"")</f>
        <v/>
      </c>
      <c r="I6" s="102" t="s">
        <v>2262</v>
      </c>
      <c r="J6" s="95"/>
      <c r="K6" s="94"/>
      <c r="L6" s="121" t="str">
        <f>IFERROR(INDEX(온라인_반찬!$C$2:$J$605,MATCH($D6,온라인_반찬!$C$2:$C$605,0),8),"")</f>
        <v/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2265</v>
      </c>
      <c r="E7" s="115">
        <v>25</v>
      </c>
      <c r="F7" s="116"/>
      <c r="G7" s="106" t="str">
        <f>IFERROR(INDEX(온라인_반찬!$C$2:$H$612,MATCH($D7,온라인_반찬!$C$2:$C$612,0),6),"")</f>
        <v>콩나물(원료수입산)92%, 당근, 마늘, 대파, 참치액, 소금, 참기름, 참깨</v>
      </c>
      <c r="H7" s="94" t="str">
        <f>IFERROR(INDEX(온라인_반찬!$D$2:$J$605,MATCH($D7,온라인_반찬!$C$2:$C$605,0),6),"")</f>
        <v>.5.21.</v>
      </c>
      <c r="I7" s="102" t="s">
        <v>2262</v>
      </c>
      <c r="J7" s="95"/>
      <c r="K7" s="94"/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520</v>
      </c>
      <c r="E8" s="115">
        <v>25</v>
      </c>
      <c r="F8" s="115"/>
      <c r="G8" s="106" t="str">
        <f>IFERROR(INDEX(온라인_반찬!$C$2:$H$612,MATCH($D8,온라인_반찬!$C$2:$C$612,0),6),"")</f>
        <v>무(국산)85.2%, 고추가루(국산), 밀가루풀(국산), 파, 마늘, 새우젓 등 양념(국산)</v>
      </c>
      <c r="H8" s="94" t="str">
        <f>IFERROR(INDEX(온라인_반찬!$D$2:$J$605,MATCH($D8,온라인_반찬!$C$2:$C$605,0),6),"")</f>
        <v>.6.9.</v>
      </c>
      <c r="I8" s="102" t="s">
        <v>2262</v>
      </c>
      <c r="J8" s="95"/>
      <c r="K8" s="94"/>
      <c r="L8" s="121">
        <f>IFERROR(INDEX(온라인_반찬!$C$2:$J$605,MATCH($D8,온라인_반찬!$C$2:$C$605,0),8),"")</f>
        <v>0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 t="s">
        <v>2266</v>
      </c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2159</v>
      </c>
      <c r="E10" s="216">
        <v>150</v>
      </c>
      <c r="F10" s="216"/>
      <c r="G10" s="217" t="str">
        <f>IFERROR(INDEX(온라인_반찬!$C$2:$H$612,MATCH($D10,온라인_반찬!$C$2:$C$612,0),6),"")</f>
        <v>쌀(국산)95%, 정제수</v>
      </c>
      <c r="H10" s="218">
        <f>IFERROR(INDEX(온라인_반찬!$D$2:$J$605,MATCH($D10,온라인_반찬!$C$2:$C$605,0),6),"")</f>
        <v>0</v>
      </c>
      <c r="I10" s="219" t="s">
        <v>2263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279" t="s">
        <v>2267</v>
      </c>
      <c r="E11" s="280">
        <v>160</v>
      </c>
      <c r="F11" s="281"/>
      <c r="G11" s="282" t="s">
        <v>2268</v>
      </c>
      <c r="H11" s="283" t="str">
        <f>IFERROR(INDEX(온라인_반찬!$D$2:$J$605,MATCH($D11,온라인_반찬!$C$2:$C$605,0),6),"")</f>
        <v/>
      </c>
      <c r="I11" s="102" t="s">
        <v>2263</v>
      </c>
      <c r="J11" s="95"/>
      <c r="K11" s="94"/>
      <c r="L11" s="121" t="str">
        <f>IFERROR(INDEX(온라인_반찬!$C$2:$J$605,MATCH($D11,온라인_반찬!$C$2:$C$605,0),8),"")</f>
        <v/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1815</v>
      </c>
      <c r="E12" s="115">
        <v>70</v>
      </c>
      <c r="F12" s="116"/>
      <c r="G12" s="106" t="str">
        <f>IFERROR(INDEX(온라인_반찬!$C$2:$H$612,MATCH($D12,온라인_반찬!$C$2:$C$612,0),6),"")</f>
        <v>훈제닭[닭(국산)97.7%, 훈제오리시즈닝, 비프분말(소고기:호주산), 정제소금, 설탕]80%, 양배추(국산)7%, 마늘, 간장, 맛술, 물엿, 참기름, 참깨</v>
      </c>
      <c r="H12" s="94" t="str">
        <f>IFERROR(INDEX(온라인_반찬!$D$2:$J$605,MATCH($D12,온라인_반찬!$C$2:$C$605,0),6),"")</f>
        <v>.2.5.6.15.16.21.</v>
      </c>
      <c r="I12" s="102" t="s">
        <v>2263</v>
      </c>
      <c r="J12" s="95"/>
      <c r="K12" s="94"/>
      <c r="L12" s="121" t="str">
        <f>IFERROR(INDEX(온라인_반찬!$C$2:$J$605,MATCH($D12,온라인_반찬!$C$2:$C$605,0),8),"")</f>
        <v>다솔토종닭훈제(팜덕) / 다향(.5.6.21.)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1940</v>
      </c>
      <c r="E13" s="115">
        <v>45</v>
      </c>
      <c r="F13" s="116"/>
      <c r="G13" s="106" t="str">
        <f>IFERROR(INDEX(온라인_반찬!$C$2:$H$612,MATCH($D13,온라인_반찬!$C$2:$C$612,0),6),"")</f>
        <v/>
      </c>
      <c r="H13" s="94" t="str">
        <f>IFERROR(INDEX(온라인_반찬!$D$2:$J$605,MATCH($D13,온라인_반찬!$C$2:$C$605,0),6),"")</f>
        <v/>
      </c>
      <c r="I13" s="102" t="s">
        <v>2263</v>
      </c>
      <c r="J13" s="95"/>
      <c r="K13" s="94"/>
      <c r="L13" s="121" t="str">
        <f>IFERROR(INDEX(온라인_반찬!$C$2:$J$605,MATCH($D13,온라인_반찬!$C$2:$C$605,0),8),"")</f>
        <v/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2265</v>
      </c>
      <c r="E14" s="115">
        <v>40</v>
      </c>
      <c r="F14" s="116"/>
      <c r="G14" s="106" t="str">
        <f>IFERROR(INDEX(온라인_반찬!$C$2:$H$612,MATCH($D14,온라인_반찬!$C$2:$C$612,0),6),"")</f>
        <v>콩나물(원료수입산)92%, 당근, 마늘, 대파, 참치액, 소금, 참기름, 참깨</v>
      </c>
      <c r="H14" s="94" t="str">
        <f>IFERROR(INDEX(온라인_반찬!$D$2:$J$605,MATCH($D14,온라인_반찬!$C$2:$C$605,0),6),"")</f>
        <v>.5.21.</v>
      </c>
      <c r="I14" s="102" t="s">
        <v>2263</v>
      </c>
      <c r="J14" s="95"/>
      <c r="K14" s="94"/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520</v>
      </c>
      <c r="E15" s="115">
        <v>35</v>
      </c>
      <c r="F15" s="115"/>
      <c r="G15" s="106" t="str">
        <f>IFERROR(INDEX(온라인_반찬!$C$2:$H$612,MATCH($D15,온라인_반찬!$C$2:$C$612,0),6),"")</f>
        <v>무(국산)85.2%, 고추가루(국산), 밀가루풀(국산), 파, 마늘, 새우젓 등 양념(국산)</v>
      </c>
      <c r="H15" s="94" t="str">
        <f>IFERROR(INDEX(온라인_반찬!$D$2:$J$605,MATCH($D15,온라인_반찬!$C$2:$C$605,0),6),"")</f>
        <v>.6.9.</v>
      </c>
      <c r="I15" s="102" t="s">
        <v>2263</v>
      </c>
      <c r="J15" s="95"/>
      <c r="K15" s="94"/>
      <c r="L15" s="121">
        <f>IFERROR(INDEX(온라인_반찬!$C$2:$J$605,MATCH($D15,온라인_반찬!$C$2:$C$605,0),8),"")</f>
        <v>0</v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 t="s">
        <v>1767</v>
      </c>
      <c r="E16" s="115"/>
      <c r="F16" s="115"/>
      <c r="G16" s="106" t="str">
        <f>IFERROR(INDEX(온라인_반찬!$C$2:$H$612,MATCH($D16,온라인_반찬!$C$2:$C$612,0),6),"")</f>
        <v/>
      </c>
      <c r="H16" s="94" t="str">
        <f>IFERROR(INDEX(온라인_반찬!$D$2:$J$605,MATCH($D16,온라인_반찬!$C$2:$C$605,0),6),"")</f>
        <v/>
      </c>
      <c r="I16" s="102" t="s">
        <v>2263</v>
      </c>
      <c r="J16" s="95"/>
      <c r="K16" s="94"/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2262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2262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2262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2262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2262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2262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9BB3-493B-4EF4-91E8-294F2DE70989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2269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 t="s">
        <v>1154</v>
      </c>
      <c r="E3" s="253">
        <v>140</v>
      </c>
      <c r="F3" s="253"/>
      <c r="G3" s="254" t="str">
        <f>IFERROR(INDEX(온라인_반찬!$C$2:$H$612,MATCH($D3,온라인_반찬!$C$2:$C$612,0),6),"")</f>
        <v>쌀(국산)90%, 찰보리(국산.친환경)5%, 정제수</v>
      </c>
      <c r="H3" s="255">
        <f>IFERROR(INDEX(온라인_반찬!$D$2:$J$605,MATCH($D3,온라인_반찬!$C$2:$C$605,0),6),"")</f>
        <v>0</v>
      </c>
      <c r="I3" s="256" t="s">
        <v>2270</v>
      </c>
      <c r="J3" s="257"/>
      <c r="K3" s="255"/>
      <c r="L3" s="258">
        <f>IFERROR(INDEX(온라인_반찬!$C$2:$J$605,MATCH($D3,온라인_반찬!$C$2:$C$605,0),8),"")</f>
        <v>0</v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 t="s">
        <v>2272</v>
      </c>
      <c r="E4" s="115">
        <v>150</v>
      </c>
      <c r="F4" s="116"/>
      <c r="G4" s="106" t="str">
        <f>IFERROR(INDEX(온라인_반찬!$C$2:$H$612,MATCH($D4,온라인_반찬!$C$2:$C$612,0),6),"")</f>
        <v>불린미역(미역:국산)18.3%, 소고기(호주산)5%, 마늘, 정제수, 밥새우, 멸치육수농축액, 소금, 국간장</v>
      </c>
      <c r="H4" s="94" t="str">
        <f>IFERROR(INDEX(온라인_반찬!$D$2:$J$605,MATCH($D4,온라인_반찬!$C$2:$C$605,0),6),"")</f>
        <v>.5.9.16.</v>
      </c>
      <c r="I4" s="102" t="s">
        <v>2270</v>
      </c>
      <c r="J4" s="95"/>
      <c r="K4" s="94"/>
      <c r="L4" s="121" t="str">
        <f>IFERROR(INDEX(온라인_반찬!$C$2:$J$605,MATCH($D4,온라인_반찬!$C$2:$C$605,0),8),"")</f>
        <v>40g / 50g 멸치육수농축액(면사랑)</v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 t="s">
        <v>1779</v>
      </c>
      <c r="E5" s="115">
        <v>60</v>
      </c>
      <c r="F5" s="116"/>
      <c r="G5" s="106" t="str">
        <f>IFERROR(INDEX(온라인_반찬!$C$2:$H$612,MATCH($D5,온라인_반찬!$C$2:$C$612,0),6),"")</f>
        <v>돼지고기(국산)80%, 느타리버섯(국내산)5%, 양파, 당근, 마늘, 간장, 대두유, , 후추, 참기름, 참깨</v>
      </c>
      <c r="H5" s="94" t="str">
        <f>IFERROR(INDEX(온라인_반찬!$D$2:$J$605,MATCH($D5,온라인_반찬!$C$2:$C$605,0),6),"")</f>
        <v>.5.10.21.</v>
      </c>
      <c r="I5" s="102" t="s">
        <v>2270</v>
      </c>
      <c r="J5" s="95"/>
      <c r="K5" s="94"/>
      <c r="L5" s="121">
        <f>IFERROR(INDEX(온라인_반찬!$C$2:$J$605,MATCH($D5,온라인_반찬!$C$2:$C$605,0),8),"")</f>
        <v>0</v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 t="s">
        <v>505</v>
      </c>
      <c r="E6" s="115"/>
      <c r="F6" s="116">
        <v>2</v>
      </c>
      <c r="G6" s="106" t="str">
        <f>IFERROR(INDEX(온라인_반찬!$C$2:$H$612,MATCH($D6,온라인_반찬!$C$2:$C$612,0),6),"")</f>
        <v>치킨너겟[닭고기(닭:국산100%)74.65%, 브레더[밀가루(밀:호주산, 미극산),전분(옥수수:외국산)], 대두단백, 정제소금, 백설탕 등</v>
      </c>
      <c r="H6" s="94" t="str">
        <f>IFERROR(INDEX(온라인_반찬!$D$2:$J$605,MATCH($D6,온라인_반찬!$C$2:$C$605,0),6),"")</f>
        <v>.1.2.5.6.15.16.</v>
      </c>
      <c r="I6" s="102" t="s">
        <v>2270</v>
      </c>
      <c r="J6" s="95"/>
      <c r="K6" s="94"/>
      <c r="L6" s="121" t="str">
        <f>IFERROR(INDEX(온라인_반찬!$C$2:$J$605,MATCH($D6,온라인_반찬!$C$2:$C$605,0),8),"")</f>
        <v>치킨너겟(하림)</v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 t="s">
        <v>1903</v>
      </c>
      <c r="E7" s="115">
        <v>30</v>
      </c>
      <c r="F7" s="116"/>
      <c r="G7" s="106" t="str">
        <f>IFERROR(INDEX(온라인_반찬!$C$2:$H$612,MATCH($D7,온라인_반찬!$C$2:$C$612,0),6),"")</f>
        <v>자숙연근(중국산)85%, 흑임자소스[흑임자(중국산.인도산), 플레인요거트, 레몬즙, 소금, 설탕, 식초]15%</v>
      </c>
      <c r="H7" s="94" t="str">
        <f>IFERROR(INDEX(온라인_반찬!$D$2:$J$605,MATCH($D7,온라인_반찬!$C$2:$C$605,0),6),"")</f>
        <v>.1.5.6.21.</v>
      </c>
      <c r="I7" s="102" t="s">
        <v>2270</v>
      </c>
      <c r="J7" s="95"/>
      <c r="K7" s="94"/>
      <c r="L7" s="121">
        <f>IFERROR(INDEX(온라인_반찬!$C$2:$J$605,MATCH($D7,온라인_반찬!$C$2:$C$605,0),8),"")</f>
        <v>0</v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 t="s">
        <v>519</v>
      </c>
      <c r="E8" s="115">
        <v>25</v>
      </c>
      <c r="F8" s="115"/>
      <c r="G8" s="106" t="str">
        <f>IFERROR(INDEX(온라인_반찬!$C$2:$H$612,MATCH($D8,온라인_반찬!$C$2:$C$612,0),6),"")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IFERROR(INDEX(온라인_반찬!$D$2:$J$605,MATCH($D8,온라인_반찬!$C$2:$C$605,0),6),"")</f>
        <v>.9.12.</v>
      </c>
      <c r="I8" s="102" t="s">
        <v>2270</v>
      </c>
      <c r="J8" s="95"/>
      <c r="K8" s="94"/>
      <c r="L8" s="121" t="str">
        <f>IFERROR(INDEX(온라인_반찬!$C$2:$J$605,MATCH($D8,온라인_반찬!$C$2:$C$605,0),8),"")</f>
        <v>토마토김치(종가집)</v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 t="s">
        <v>1154</v>
      </c>
      <c r="E10" s="216">
        <v>150</v>
      </c>
      <c r="F10" s="216"/>
      <c r="G10" s="217" t="str">
        <f>IFERROR(INDEX(온라인_반찬!$C$2:$H$612,MATCH($D10,온라인_반찬!$C$2:$C$612,0),6),"")</f>
        <v>쌀(국산)90%, 찰보리(국산.친환경)5%, 정제수</v>
      </c>
      <c r="H10" s="218">
        <f>IFERROR(INDEX(온라인_반찬!$D$2:$J$605,MATCH($D10,온라인_반찬!$C$2:$C$605,0),6),"")</f>
        <v>0</v>
      </c>
      <c r="I10" s="219" t="s">
        <v>2271</v>
      </c>
      <c r="J10" s="257"/>
      <c r="K10" s="255"/>
      <c r="L10" s="220">
        <f>IFERROR(INDEX(온라인_반찬!$C$2:$J$605,MATCH($D10,온라인_반찬!$C$2:$C$605,0),8),"")</f>
        <v>0</v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 t="s">
        <v>2272</v>
      </c>
      <c r="E11" s="115">
        <v>160</v>
      </c>
      <c r="F11" s="116"/>
      <c r="G11" s="106" t="str">
        <f>IFERROR(INDEX(온라인_반찬!$C$2:$H$612,MATCH($D11,온라인_반찬!$C$2:$C$612,0),6),"")</f>
        <v>불린미역(미역:국산)18.3%, 소고기(호주산)5%, 마늘, 정제수, 밥새우, 멸치육수농축액, 소금, 국간장</v>
      </c>
      <c r="H11" s="94" t="str">
        <f>IFERROR(INDEX(온라인_반찬!$D$2:$J$605,MATCH($D11,온라인_반찬!$C$2:$C$605,0),6),"")</f>
        <v>.5.9.16.</v>
      </c>
      <c r="I11" s="102" t="s">
        <v>2271</v>
      </c>
      <c r="J11" s="95"/>
      <c r="K11" s="94"/>
      <c r="L11" s="121" t="str">
        <f>IFERROR(INDEX(온라인_반찬!$C$2:$J$605,MATCH($D11,온라인_반찬!$C$2:$C$605,0),8),"")</f>
        <v>40g / 50g 멸치육수농축액(면사랑)</v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 t="s">
        <v>1779</v>
      </c>
      <c r="E12" s="115">
        <v>80</v>
      </c>
      <c r="F12" s="116"/>
      <c r="G12" s="106" t="str">
        <f>IFERROR(INDEX(온라인_반찬!$C$2:$H$612,MATCH($D12,온라인_반찬!$C$2:$C$612,0),6),"")</f>
        <v>돼지고기(국산)80%, 느타리버섯(국내산)5%, 양파, 당근, 마늘, 간장, 대두유, , 후추, 참기름, 참깨</v>
      </c>
      <c r="H12" s="94" t="str">
        <f>IFERROR(INDEX(온라인_반찬!$D$2:$J$605,MATCH($D12,온라인_반찬!$C$2:$C$605,0),6),"")</f>
        <v>.5.10.21.</v>
      </c>
      <c r="I12" s="102" t="s">
        <v>2271</v>
      </c>
      <c r="J12" s="95"/>
      <c r="K12" s="94"/>
      <c r="L12" s="121">
        <f>IFERROR(INDEX(온라인_반찬!$C$2:$J$605,MATCH($D12,온라인_반찬!$C$2:$C$605,0),8),"")</f>
        <v>0</v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 t="s">
        <v>505</v>
      </c>
      <c r="E13" s="115"/>
      <c r="F13" s="116">
        <v>3</v>
      </c>
      <c r="G13" s="106" t="str">
        <f>IFERROR(INDEX(온라인_반찬!$C$2:$H$612,MATCH($D13,온라인_반찬!$C$2:$C$612,0),6),"")</f>
        <v>치킨너겟[닭고기(닭:국산100%)74.65%, 브레더[밀가루(밀:호주산, 미극산),전분(옥수수:외국산)], 대두단백, 정제소금, 백설탕 등</v>
      </c>
      <c r="H13" s="94" t="str">
        <f>IFERROR(INDEX(온라인_반찬!$D$2:$J$605,MATCH($D13,온라인_반찬!$C$2:$C$605,0),6),"")</f>
        <v>.1.2.5.6.15.16.</v>
      </c>
      <c r="I13" s="102" t="s">
        <v>2271</v>
      </c>
      <c r="J13" s="95"/>
      <c r="K13" s="94"/>
      <c r="L13" s="121" t="str">
        <f>IFERROR(INDEX(온라인_반찬!$C$2:$J$605,MATCH($D13,온라인_반찬!$C$2:$C$605,0),8),"")</f>
        <v>치킨너겟(하림)</v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 t="s">
        <v>1903</v>
      </c>
      <c r="E14" s="115">
        <v>35</v>
      </c>
      <c r="F14" s="116"/>
      <c r="G14" s="106" t="str">
        <f>IFERROR(INDEX(온라인_반찬!$C$2:$H$612,MATCH($D14,온라인_반찬!$C$2:$C$612,0),6),"")</f>
        <v>자숙연근(중국산)85%, 흑임자소스[흑임자(중국산.인도산), 플레인요거트, 레몬즙, 소금, 설탕, 식초]15%</v>
      </c>
      <c r="H14" s="94" t="str">
        <f>IFERROR(INDEX(온라인_반찬!$D$2:$J$605,MATCH($D14,온라인_반찬!$C$2:$C$605,0),6),"")</f>
        <v>.1.5.6.21.</v>
      </c>
      <c r="I14" s="102" t="s">
        <v>2271</v>
      </c>
      <c r="J14" s="95"/>
      <c r="K14" s="94"/>
      <c r="L14" s="121">
        <f>IFERROR(INDEX(온라인_반찬!$C$2:$J$605,MATCH($D14,온라인_반찬!$C$2:$C$605,0),8),"")</f>
        <v>0</v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 t="s">
        <v>519</v>
      </c>
      <c r="E15" s="115">
        <v>35</v>
      </c>
      <c r="F15" s="115"/>
      <c r="G15" s="106" t="str">
        <f>IFERROR(INDEX(온라인_반찬!$C$2:$H$612,MATCH($D15,온라인_반찬!$C$2:$C$612,0),6),"")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IFERROR(INDEX(온라인_반찬!$D$2:$J$605,MATCH($D15,온라인_반찬!$C$2:$C$605,0),6),"")</f>
        <v>.9.12.</v>
      </c>
      <c r="I15" s="102" t="s">
        <v>2271</v>
      </c>
      <c r="J15" s="95"/>
      <c r="K15" s="94"/>
      <c r="L15" s="121" t="str">
        <f>IFERROR(INDEX(온라인_반찬!$C$2:$J$605,MATCH($D15,온라인_반찬!$C$2:$C$605,0),8),"")</f>
        <v>토마토김치(종가집)</v>
      </c>
      <c r="M15" s="113"/>
      <c r="N15" s="113"/>
      <c r="O15" s="113"/>
    </row>
    <row r="16" spans="2:23" ht="39.950000000000003" customHeight="1">
      <c r="B16" s="336"/>
      <c r="C16" s="347" t="s">
        <v>1196</v>
      </c>
      <c r="D16" s="96" t="s">
        <v>1512</v>
      </c>
      <c r="E16" s="115">
        <v>60</v>
      </c>
      <c r="F16" s="115"/>
      <c r="G16" s="106" t="str">
        <f>IFERROR(INDEX(온라인_반찬!$C$2:$H$612,MATCH($D16,온라인_반찬!$C$2:$C$612,0),6),"")</f>
        <v>새우(베트남산)45%, 방울토마토(국내산)15.6%, 알리오올리오소스[올리브오일, 파슬리가루, 바질페스토(케슈넛미량함유), 소금, 레몬즙, 편마늘]39.4%</v>
      </c>
      <c r="H16" s="94" t="str">
        <f>IFERROR(INDEX(온라인_반찬!$D$2:$J$605,MATCH($D16,온라인_반찬!$C$2:$C$605,0),6),"")</f>
        <v>.4.5.9.12.</v>
      </c>
      <c r="I16" s="102" t="s">
        <v>2271</v>
      </c>
      <c r="J16" s="95"/>
      <c r="K16" s="94"/>
      <c r="L16" s="157">
        <f>IFERROR(INDEX(온라인_반찬!$C$2:$J$605,MATCH($D16,온라인_반찬!$C$2:$C$605,0),8),"")</f>
        <v>0</v>
      </c>
      <c r="M16" s="113"/>
      <c r="N16" s="113"/>
      <c r="O16" s="113"/>
    </row>
    <row r="17" spans="2:15" ht="39.950000000000003" customHeight="1">
      <c r="B17" s="336"/>
      <c r="C17" s="348"/>
      <c r="D17" s="96" t="s">
        <v>1513</v>
      </c>
      <c r="E17" s="115"/>
      <c r="F17" s="115">
        <v>1</v>
      </c>
      <c r="G17" s="106" t="str">
        <f>IFERROR(INDEX(온라인_반찬!$C$2:$H$612,MATCH($D17,온라인_반찬!$C$2:$C$612,0),6),"")</f>
        <v>[밀가루(밀:미국산,호주산,캐나다산), 정제수, 호밀분말(호밀:독일산), 정제소금(국산), 효모]</v>
      </c>
      <c r="H17" s="94" t="str">
        <f>IFERROR(INDEX(온라인_반찬!$D$2:$J$605,MATCH($D17,온라인_반찬!$C$2:$C$605,0),6),"")</f>
        <v>.6.</v>
      </c>
      <c r="I17" s="102" t="s">
        <v>2271</v>
      </c>
      <c r="J17" s="95"/>
      <c r="K17" s="94"/>
      <c r="L17" s="157" t="str">
        <f>IFERROR(INDEX(온라인_반찬!$C$2:$J$605,MATCH($D17,온라인_반찬!$C$2:$C$605,0),8),"")</f>
        <v>모닝바게트(삼립)</v>
      </c>
      <c r="M17" s="113"/>
      <c r="N17" s="113"/>
      <c r="O17" s="113"/>
    </row>
    <row r="18" spans="2:15" ht="39.950000000000003" customHeight="1" thickBot="1">
      <c r="B18" s="337"/>
      <c r="C18" s="153" t="s">
        <v>74</v>
      </c>
      <c r="D18" s="202"/>
      <c r="E18" s="123"/>
      <c r="F18" s="124"/>
      <c r="G18" s="206"/>
      <c r="H18" s="158"/>
      <c r="I18" s="129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39" t="s">
        <v>1374</v>
      </c>
      <c r="C19" s="93" t="s">
        <v>509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2270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2" t="s">
        <v>511</v>
      </c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2270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343"/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2270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52" t="s">
        <v>512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2270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07" t="s">
        <v>693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2270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>
      <c r="B24" s="340"/>
      <c r="C24" s="152" t="s">
        <v>76</v>
      </c>
      <c r="D24" s="154"/>
      <c r="E24" s="115"/>
      <c r="F24" s="115"/>
      <c r="G24" s="106" t="str">
        <f>IFERROR(INDEX(온라인_반찬!$C$2:$H$612,MATCH($D24,온라인_반찬!$C$2:$C$612,0),6),"")</f>
        <v/>
      </c>
      <c r="H24" s="94" t="str">
        <f>IFERROR(INDEX(온라인_반찬!$D$2:$J$605,MATCH($D24,온라인_반찬!$C$2:$C$605,0),6),"")</f>
        <v/>
      </c>
      <c r="I24" s="102" t="s">
        <v>2270</v>
      </c>
      <c r="J24" s="150"/>
      <c r="K24" s="150"/>
      <c r="L24" s="121" t="str">
        <f>IFERROR(INDEX(온라인_반찬!$C$2:$J$605,MATCH($D24,온라인_반찬!$C$2:$C$605,0),8),"")</f>
        <v/>
      </c>
      <c r="M24" s="113"/>
    </row>
    <row r="25" spans="2:15" ht="39.950000000000003" customHeight="1" thickBot="1">
      <c r="B25" s="341"/>
      <c r="C25" s="122" t="s">
        <v>74</v>
      </c>
      <c r="D25" s="123"/>
      <c r="E25" s="123"/>
      <c r="F25" s="124">
        <v>1</v>
      </c>
      <c r="G25" s="125"/>
      <c r="H25" s="158"/>
      <c r="I25" s="129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C61D-FECE-44A3-BC94-38AF13BC5D14}">
  <sheetPr>
    <pageSetUpPr fitToPage="1"/>
  </sheetPr>
  <dimension ref="B1:W27"/>
  <sheetViews>
    <sheetView zoomScale="80" zoomScaleNormal="80" zoomScaleSheetLayoutView="75" workbookViewId="0">
      <selection activeCell="D3" sqref="D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1" customWidth="1"/>
    <col min="6" max="6" width="9.625" style="151" customWidth="1"/>
    <col min="7" max="7" width="55.625" customWidth="1"/>
    <col min="8" max="8" width="16.5" style="159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4" t="s">
        <v>2043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113" t="s">
        <v>1382</v>
      </c>
      <c r="P1" s="240" t="s">
        <v>1431</v>
      </c>
      <c r="S1" s="205" t="s">
        <v>1584</v>
      </c>
    </row>
    <row r="2" spans="2:23" ht="24.95" customHeight="1" thickBot="1">
      <c r="B2" s="243" t="s">
        <v>528</v>
      </c>
      <c r="C2" s="244" t="s">
        <v>236</v>
      </c>
      <c r="D2" s="128" t="s">
        <v>888</v>
      </c>
      <c r="E2" s="245" t="s">
        <v>292</v>
      </c>
      <c r="F2" s="245" t="s">
        <v>279</v>
      </c>
      <c r="G2" s="128" t="s">
        <v>534</v>
      </c>
      <c r="H2" s="246" t="s">
        <v>830</v>
      </c>
      <c r="I2" s="247" t="s">
        <v>276</v>
      </c>
      <c r="J2" s="248" t="s">
        <v>1799</v>
      </c>
      <c r="K2" s="249" t="s">
        <v>249</v>
      </c>
      <c r="L2" s="250" t="s">
        <v>68</v>
      </c>
      <c r="M2" s="205" t="s">
        <v>1430</v>
      </c>
      <c r="N2" s="113"/>
      <c r="P2" s="240" t="s">
        <v>1432</v>
      </c>
      <c r="R2" s="113"/>
      <c r="S2" s="113" t="s">
        <v>776</v>
      </c>
    </row>
    <row r="3" spans="2:23" ht="39.950000000000003" customHeight="1">
      <c r="B3" s="335" t="s">
        <v>571</v>
      </c>
      <c r="C3" s="251" t="s">
        <v>509</v>
      </c>
      <c r="D3" s="252"/>
      <c r="E3" s="253"/>
      <c r="F3" s="253"/>
      <c r="G3" s="254" t="str">
        <f>IFERROR(INDEX(온라인_반찬!$C$2:$H$612,MATCH($D3,온라인_반찬!$C$2:$C$612,0),6),"")</f>
        <v/>
      </c>
      <c r="H3" s="255" t="str">
        <f>IFERROR(INDEX(온라인_반찬!$D$2:$J$605,MATCH($D3,온라인_반찬!$C$2:$C$605,0),6),"")</f>
        <v/>
      </c>
      <c r="I3" s="256" t="s">
        <v>2041</v>
      </c>
      <c r="J3" s="257"/>
      <c r="K3" s="255"/>
      <c r="L3" s="258" t="str">
        <f>IFERROR(INDEX(온라인_반찬!$C$2:$J$605,MATCH($D3,온라인_반찬!$C$2:$C$605,0),8),"")</f>
        <v/>
      </c>
      <c r="M3" s="113" t="s">
        <v>711</v>
      </c>
      <c r="N3" s="113"/>
      <c r="O3" s="113" t="s">
        <v>930</v>
      </c>
      <c r="R3" s="113"/>
      <c r="S3" s="113" t="s">
        <v>2039</v>
      </c>
    </row>
    <row r="4" spans="2:23" ht="39.950000000000003" customHeight="1">
      <c r="B4" s="336"/>
      <c r="C4" s="236" t="s">
        <v>513</v>
      </c>
      <c r="D4" s="96"/>
      <c r="E4" s="115"/>
      <c r="F4" s="116"/>
      <c r="G4" s="106" t="str">
        <f>IFERROR(INDEX(온라인_반찬!$C$2:$H$612,MATCH($D4,온라인_반찬!$C$2:$C$612,0),6),"")</f>
        <v/>
      </c>
      <c r="H4" s="94" t="str">
        <f>IFERROR(INDEX(온라인_반찬!$D$2:$J$605,MATCH($D4,온라인_반찬!$C$2:$C$605,0),6),"")</f>
        <v/>
      </c>
      <c r="I4" s="102" t="s">
        <v>2041</v>
      </c>
      <c r="J4" s="95"/>
      <c r="K4" s="94"/>
      <c r="L4" s="121" t="str">
        <f>IFERROR(INDEX(온라인_반찬!$C$2:$J$605,MATCH($D4,온라인_반찬!$C$2:$C$605,0),8),"")</f>
        <v/>
      </c>
      <c r="M4" s="205" t="s">
        <v>1585</v>
      </c>
      <c r="N4" s="113"/>
      <c r="P4" s="113" t="s">
        <v>1070</v>
      </c>
      <c r="R4" s="113"/>
      <c r="S4" s="113" t="s">
        <v>635</v>
      </c>
    </row>
    <row r="5" spans="2:23" ht="39.950000000000003" customHeight="1">
      <c r="B5" s="336"/>
      <c r="C5" s="236" t="s">
        <v>510</v>
      </c>
      <c r="D5" s="96"/>
      <c r="E5" s="115"/>
      <c r="F5" s="116"/>
      <c r="G5" s="106" t="str">
        <f>IFERROR(INDEX(온라인_반찬!$C$2:$H$612,MATCH($D5,온라인_반찬!$C$2:$C$612,0),6),"")</f>
        <v/>
      </c>
      <c r="H5" s="94" t="str">
        <f>IFERROR(INDEX(온라인_반찬!$D$2:$J$605,MATCH($D5,온라인_반찬!$C$2:$C$605,0),6),"")</f>
        <v/>
      </c>
      <c r="I5" s="102" t="s">
        <v>2041</v>
      </c>
      <c r="J5" s="95"/>
      <c r="K5" s="94"/>
      <c r="L5" s="121" t="str">
        <f>IFERROR(INDEX(온라인_반찬!$C$2:$J$605,MATCH($D5,온라인_반찬!$C$2:$C$605,0),8),"")</f>
        <v/>
      </c>
      <c r="M5" s="113" t="s">
        <v>775</v>
      </c>
      <c r="N5" s="113"/>
      <c r="R5" s="113"/>
      <c r="S5" s="338" t="s">
        <v>1554</v>
      </c>
      <c r="T5" s="338"/>
      <c r="U5" s="338"/>
      <c r="V5" s="338"/>
      <c r="W5" s="338"/>
    </row>
    <row r="6" spans="2:23" ht="39.950000000000003" customHeight="1">
      <c r="B6" s="336"/>
      <c r="C6" s="236" t="s">
        <v>511</v>
      </c>
      <c r="D6" s="96"/>
      <c r="E6" s="115"/>
      <c r="F6" s="116"/>
      <c r="G6" s="106" t="str">
        <f>IFERROR(INDEX(온라인_반찬!$C$2:$H$612,MATCH($D6,온라인_반찬!$C$2:$C$612,0),6),"")</f>
        <v/>
      </c>
      <c r="H6" s="94" t="str">
        <f>IFERROR(INDEX(온라인_반찬!$D$2:$J$605,MATCH($D6,온라인_반찬!$C$2:$C$605,0),6),"")</f>
        <v/>
      </c>
      <c r="I6" s="102" t="s">
        <v>2041</v>
      </c>
      <c r="J6" s="95"/>
      <c r="K6" s="94"/>
      <c r="L6" s="121" t="str">
        <f>IFERROR(INDEX(온라인_반찬!$C$2:$J$605,MATCH($D6,온라인_반찬!$C$2:$C$605,0),8),"")</f>
        <v/>
      </c>
      <c r="M6" s="113" t="s">
        <v>684</v>
      </c>
      <c r="N6" s="113"/>
      <c r="P6" s="113" t="s">
        <v>1071</v>
      </c>
      <c r="R6" s="113"/>
      <c r="S6" s="113" t="s">
        <v>773</v>
      </c>
    </row>
    <row r="7" spans="2:23" ht="39.950000000000003" customHeight="1">
      <c r="B7" s="336"/>
      <c r="C7" s="152" t="s">
        <v>233</v>
      </c>
      <c r="D7" s="96"/>
      <c r="E7" s="115"/>
      <c r="F7" s="116"/>
      <c r="G7" s="106" t="str">
        <f>IFERROR(INDEX(온라인_반찬!$C$2:$H$612,MATCH($D7,온라인_반찬!$C$2:$C$612,0),6),"")</f>
        <v/>
      </c>
      <c r="H7" s="94" t="str">
        <f>IFERROR(INDEX(온라인_반찬!$D$2:$J$605,MATCH($D7,온라인_반찬!$C$2:$C$605,0),6),"")</f>
        <v/>
      </c>
      <c r="I7" s="102" t="s">
        <v>2041</v>
      </c>
      <c r="J7" s="95"/>
      <c r="K7" s="94"/>
      <c r="L7" s="121" t="str">
        <f>IFERROR(INDEX(온라인_반찬!$C$2:$J$605,MATCH($D7,온라인_반찬!$C$2:$C$605,0),8),"")</f>
        <v/>
      </c>
      <c r="M7" s="113" t="s">
        <v>574</v>
      </c>
      <c r="N7" s="113"/>
      <c r="P7" s="113" t="s">
        <v>1086</v>
      </c>
      <c r="R7" s="113"/>
      <c r="S7" s="113" t="s">
        <v>705</v>
      </c>
    </row>
    <row r="8" spans="2:23" ht="39.950000000000003" customHeight="1">
      <c r="B8" s="336"/>
      <c r="C8" s="237" t="s">
        <v>693</v>
      </c>
      <c r="D8" s="96"/>
      <c r="E8" s="115"/>
      <c r="F8" s="115"/>
      <c r="G8" s="106" t="str">
        <f>IFERROR(INDEX(온라인_반찬!$C$2:$H$612,MATCH($D8,온라인_반찬!$C$2:$C$612,0),6),"")</f>
        <v/>
      </c>
      <c r="H8" s="94" t="str">
        <f>IFERROR(INDEX(온라인_반찬!$D$2:$J$605,MATCH($D8,온라인_반찬!$C$2:$C$605,0),6),"")</f>
        <v/>
      </c>
      <c r="I8" s="102" t="s">
        <v>2041</v>
      </c>
      <c r="J8" s="95"/>
      <c r="K8" s="94"/>
      <c r="L8" s="121" t="str">
        <f>IFERROR(INDEX(온라인_반찬!$C$2:$J$605,MATCH($D8,온라인_반찬!$C$2:$C$605,0),8),"")</f>
        <v/>
      </c>
      <c r="M8" s="113" t="s">
        <v>1197</v>
      </c>
      <c r="N8" s="113"/>
      <c r="P8" s="113" t="s">
        <v>1208</v>
      </c>
      <c r="R8" s="113"/>
      <c r="S8" s="113" t="s">
        <v>1416</v>
      </c>
    </row>
    <row r="9" spans="2:23" ht="39.950000000000003" customHeight="1" thickBot="1">
      <c r="B9" s="337"/>
      <c r="C9" s="153" t="s">
        <v>74</v>
      </c>
      <c r="D9" s="202"/>
      <c r="E9" s="123"/>
      <c r="F9" s="124"/>
      <c r="G9" s="265"/>
      <c r="H9" s="158"/>
      <c r="I9" s="129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1844</v>
      </c>
      <c r="C10" s="242" t="s">
        <v>509</v>
      </c>
      <c r="D10" s="252"/>
      <c r="E10" s="216"/>
      <c r="F10" s="216"/>
      <c r="G10" s="217" t="str">
        <f>IFERROR(INDEX(온라인_반찬!$C$2:$H$612,MATCH($D10,온라인_반찬!$C$2:$C$612,0),6),"")</f>
        <v/>
      </c>
      <c r="H10" s="218" t="str">
        <f>IFERROR(INDEX(온라인_반찬!$D$2:$J$605,MATCH($D10,온라인_반찬!$C$2:$C$605,0),6),"")</f>
        <v/>
      </c>
      <c r="I10" s="219" t="s">
        <v>2042</v>
      </c>
      <c r="J10" s="257"/>
      <c r="K10" s="255"/>
      <c r="L10" s="220" t="str">
        <f>IFERROR(INDEX(온라인_반찬!$C$2:$J$605,MATCH($D10,온라인_반찬!$C$2:$C$605,0),8),"")</f>
        <v/>
      </c>
      <c r="M10" s="113" t="s">
        <v>1199</v>
      </c>
      <c r="N10" s="113"/>
      <c r="O10" s="113"/>
      <c r="P10" s="113" t="s">
        <v>1254</v>
      </c>
      <c r="S10" s="113" t="s">
        <v>1417</v>
      </c>
    </row>
    <row r="11" spans="2:23" ht="39.950000000000003" customHeight="1">
      <c r="B11" s="336"/>
      <c r="C11" s="236" t="s">
        <v>513</v>
      </c>
      <c r="D11" s="96"/>
      <c r="E11" s="115"/>
      <c r="F11" s="116"/>
      <c r="G11" s="106" t="str">
        <f>IFERROR(INDEX(온라인_반찬!$C$2:$H$612,MATCH($D11,온라인_반찬!$C$2:$C$612,0),6),"")</f>
        <v/>
      </c>
      <c r="H11" s="94" t="str">
        <f>IFERROR(INDEX(온라인_반찬!$D$2:$J$605,MATCH($D11,온라인_반찬!$C$2:$C$605,0),6),"")</f>
        <v/>
      </c>
      <c r="I11" s="102" t="s">
        <v>2042</v>
      </c>
      <c r="J11" s="95"/>
      <c r="K11" s="94"/>
      <c r="L11" s="121" t="str">
        <f>IFERROR(INDEX(온라인_반찬!$C$2:$J$605,MATCH($D11,온라인_반찬!$C$2:$C$605,0),8),"")</f>
        <v/>
      </c>
      <c r="M11" s="113" t="s">
        <v>1586</v>
      </c>
      <c r="N11" s="113"/>
      <c r="O11" s="113"/>
      <c r="P11" s="113" t="s">
        <v>1633</v>
      </c>
      <c r="S11" s="113" t="s">
        <v>1634</v>
      </c>
    </row>
    <row r="12" spans="2:23" ht="39.950000000000003" customHeight="1">
      <c r="B12" s="336"/>
      <c r="C12" s="236" t="s">
        <v>510</v>
      </c>
      <c r="D12" s="96"/>
      <c r="E12" s="115"/>
      <c r="F12" s="116"/>
      <c r="G12" s="106" t="str">
        <f>IFERROR(INDEX(온라인_반찬!$C$2:$H$612,MATCH($D12,온라인_반찬!$C$2:$C$612,0),6),"")</f>
        <v/>
      </c>
      <c r="H12" s="94" t="str">
        <f>IFERROR(INDEX(온라인_반찬!$D$2:$J$605,MATCH($D12,온라인_반찬!$C$2:$C$605,0),6),"")</f>
        <v/>
      </c>
      <c r="I12" s="102" t="s">
        <v>2042</v>
      </c>
      <c r="J12" s="95"/>
      <c r="K12" s="94"/>
      <c r="L12" s="121" t="str">
        <f>IFERROR(INDEX(온라인_반찬!$C$2:$J$605,MATCH($D12,온라인_반찬!$C$2:$C$605,0),8),"")</f>
        <v/>
      </c>
      <c r="M12" s="113"/>
      <c r="N12" s="113"/>
      <c r="O12" s="113"/>
    </row>
    <row r="13" spans="2:23" ht="39.950000000000003" customHeight="1">
      <c r="B13" s="336"/>
      <c r="C13" s="236" t="s">
        <v>511</v>
      </c>
      <c r="D13" s="96"/>
      <c r="E13" s="115"/>
      <c r="F13" s="116"/>
      <c r="G13" s="106" t="str">
        <f>IFERROR(INDEX(온라인_반찬!$C$2:$H$612,MATCH($D13,온라인_반찬!$C$2:$C$612,0),6),"")</f>
        <v/>
      </c>
      <c r="H13" s="94" t="str">
        <f>IFERROR(INDEX(온라인_반찬!$D$2:$J$605,MATCH($D13,온라인_반찬!$C$2:$C$605,0),6),"")</f>
        <v/>
      </c>
      <c r="I13" s="102" t="s">
        <v>2042</v>
      </c>
      <c r="J13" s="95"/>
      <c r="K13" s="94"/>
      <c r="L13" s="121" t="str">
        <f>IFERROR(INDEX(온라인_반찬!$C$2:$J$605,MATCH($D13,온라인_반찬!$C$2:$C$605,0),8),"")</f>
        <v/>
      </c>
      <c r="M13" s="113"/>
      <c r="N13" s="113"/>
      <c r="O13" s="113"/>
    </row>
    <row r="14" spans="2:23" ht="39.950000000000003" customHeight="1">
      <c r="B14" s="336"/>
      <c r="C14" s="152" t="s">
        <v>233</v>
      </c>
      <c r="D14" s="96"/>
      <c r="E14" s="115"/>
      <c r="F14" s="116"/>
      <c r="G14" s="106" t="str">
        <f>IFERROR(INDEX(온라인_반찬!$C$2:$H$612,MATCH($D14,온라인_반찬!$C$2:$C$612,0),6),"")</f>
        <v/>
      </c>
      <c r="H14" s="94" t="str">
        <f>IFERROR(INDEX(온라인_반찬!$D$2:$J$605,MATCH($D14,온라인_반찬!$C$2:$C$605,0),6),"")</f>
        <v/>
      </c>
      <c r="I14" s="102" t="s">
        <v>2042</v>
      </c>
      <c r="J14" s="95"/>
      <c r="K14" s="94"/>
      <c r="L14" s="121" t="str">
        <f>IFERROR(INDEX(온라인_반찬!$C$2:$J$605,MATCH($D14,온라인_반찬!$C$2:$C$605,0),8),"")</f>
        <v/>
      </c>
      <c r="M14" s="113"/>
      <c r="N14" s="113"/>
      <c r="O14" s="113"/>
    </row>
    <row r="15" spans="2:23" ht="39.950000000000003" customHeight="1">
      <c r="B15" s="336"/>
      <c r="C15" s="237" t="s">
        <v>693</v>
      </c>
      <c r="D15" s="96"/>
      <c r="E15" s="115"/>
      <c r="F15" s="115"/>
      <c r="G15" s="106" t="str">
        <f>IFERROR(INDEX(온라인_반찬!$C$2:$H$612,MATCH($D15,온라인_반찬!$C$2:$C$612,0),6),"")</f>
        <v/>
      </c>
      <c r="H15" s="94" t="str">
        <f>IFERROR(INDEX(온라인_반찬!$D$2:$J$605,MATCH($D15,온라인_반찬!$C$2:$C$605,0),6),"")</f>
        <v/>
      </c>
      <c r="I15" s="102" t="s">
        <v>2042</v>
      </c>
      <c r="J15" s="95"/>
      <c r="K15" s="94"/>
      <c r="L15" s="121" t="str">
        <f>IFERROR(INDEX(온라인_반찬!$C$2:$J$605,MATCH($D15,온라인_반찬!$C$2:$C$605,0),8),"")</f>
        <v/>
      </c>
      <c r="M15" s="113"/>
      <c r="N15" s="113"/>
      <c r="O15" s="113"/>
    </row>
    <row r="16" spans="2:23" ht="39.950000000000003" customHeight="1">
      <c r="B16" s="336"/>
      <c r="C16" s="213" t="s">
        <v>1196</v>
      </c>
      <c r="D16" s="96"/>
      <c r="E16" s="115"/>
      <c r="F16" s="115"/>
      <c r="G16" s="106" t="str">
        <f>IFERROR(INDEX(온라인_반찬!$C$2:$H$612,MATCH($D16,온라인_반찬!$C$2:$C$612,0),6),"")</f>
        <v/>
      </c>
      <c r="H16" s="94" t="str">
        <f>IFERROR(INDEX(온라인_반찬!$D$2:$J$605,MATCH($D16,온라인_반찬!$C$2:$C$605,0),6),"")</f>
        <v/>
      </c>
      <c r="I16" s="102" t="s">
        <v>2042</v>
      </c>
      <c r="J16" s="95"/>
      <c r="K16" s="94"/>
      <c r="L16" s="157" t="str">
        <f>IFERROR(INDEX(온라인_반찬!$C$2:$J$605,MATCH($D16,온라인_반찬!$C$2:$C$605,0),8),"")</f>
        <v/>
      </c>
      <c r="M16" s="113"/>
      <c r="N16" s="113"/>
      <c r="O16" s="113"/>
    </row>
    <row r="17" spans="2:15" ht="39.950000000000003" customHeight="1" thickBot="1">
      <c r="B17" s="337"/>
      <c r="C17" s="153" t="s">
        <v>74</v>
      </c>
      <c r="D17" s="202"/>
      <c r="E17" s="123"/>
      <c r="F17" s="124"/>
      <c r="G17" s="206"/>
      <c r="H17" s="158"/>
      <c r="I17" s="129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9" t="s">
        <v>1374</v>
      </c>
      <c r="C18" s="93" t="s">
        <v>509</v>
      </c>
      <c r="D18" s="154"/>
      <c r="E18" s="115"/>
      <c r="F18" s="115"/>
      <c r="G18" s="106" t="str">
        <f>IFERROR(INDEX(온라인_반찬!$C$2:$H$612,MATCH($D18,온라인_반찬!$C$2:$C$612,0),6),"")</f>
        <v/>
      </c>
      <c r="H18" s="94" t="str">
        <f>IFERROR(INDEX(온라인_반찬!$D$2:$J$605,MATCH($D18,온라인_반찬!$C$2:$C$605,0),6),"")</f>
        <v/>
      </c>
      <c r="I18" s="102" t="s">
        <v>2041</v>
      </c>
      <c r="J18" s="150"/>
      <c r="K18" s="150"/>
      <c r="L18" s="121" t="str">
        <f>IFERROR(INDEX(온라인_반찬!$C$2:$J$605,MATCH($D18,온라인_반찬!$C$2:$C$605,0),8),"")</f>
        <v/>
      </c>
      <c r="M18" s="113"/>
    </row>
    <row r="19" spans="2:15" ht="39.950000000000003" customHeight="1">
      <c r="B19" s="340"/>
      <c r="C19" s="342" t="s">
        <v>511</v>
      </c>
      <c r="D19" s="154"/>
      <c r="E19" s="115"/>
      <c r="F19" s="115"/>
      <c r="G19" s="106" t="str">
        <f>IFERROR(INDEX(온라인_반찬!$C$2:$H$612,MATCH($D19,온라인_반찬!$C$2:$C$612,0),6),"")</f>
        <v/>
      </c>
      <c r="H19" s="94" t="str">
        <f>IFERROR(INDEX(온라인_반찬!$D$2:$J$605,MATCH($D19,온라인_반찬!$C$2:$C$605,0),6),"")</f>
        <v/>
      </c>
      <c r="I19" s="102" t="s">
        <v>2041</v>
      </c>
      <c r="J19" s="150"/>
      <c r="K19" s="150"/>
      <c r="L19" s="121" t="str">
        <f>IFERROR(INDEX(온라인_반찬!$C$2:$J$605,MATCH($D19,온라인_반찬!$C$2:$C$605,0),8),"")</f>
        <v/>
      </c>
      <c r="M19" s="113"/>
    </row>
    <row r="20" spans="2:15" ht="39.950000000000003" customHeight="1">
      <c r="B20" s="340"/>
      <c r="C20" s="343"/>
      <c r="D20" s="154"/>
      <c r="E20" s="115"/>
      <c r="F20" s="115"/>
      <c r="G20" s="106" t="str">
        <f>IFERROR(INDEX(온라인_반찬!$C$2:$H$612,MATCH($D20,온라인_반찬!$C$2:$C$612,0),6),"")</f>
        <v/>
      </c>
      <c r="H20" s="94" t="str">
        <f>IFERROR(INDEX(온라인_반찬!$D$2:$J$605,MATCH($D20,온라인_반찬!$C$2:$C$605,0),6),"")</f>
        <v/>
      </c>
      <c r="I20" s="102" t="s">
        <v>2041</v>
      </c>
      <c r="J20" s="150"/>
      <c r="K20" s="150"/>
      <c r="L20" s="121" t="str">
        <f>IFERROR(INDEX(온라인_반찬!$C$2:$J$605,MATCH($D20,온라인_반찬!$C$2:$C$605,0),8),"")</f>
        <v/>
      </c>
      <c r="M20" s="113"/>
    </row>
    <row r="21" spans="2:15" ht="39.950000000000003" customHeight="1">
      <c r="B21" s="340"/>
      <c r="C21" s="152" t="s">
        <v>512</v>
      </c>
      <c r="D21" s="154"/>
      <c r="E21" s="115"/>
      <c r="F21" s="115"/>
      <c r="G21" s="106" t="str">
        <f>IFERROR(INDEX(온라인_반찬!$C$2:$H$612,MATCH($D21,온라인_반찬!$C$2:$C$612,0),6),"")</f>
        <v/>
      </c>
      <c r="H21" s="94" t="str">
        <f>IFERROR(INDEX(온라인_반찬!$D$2:$J$605,MATCH($D21,온라인_반찬!$C$2:$C$605,0),6),"")</f>
        <v/>
      </c>
      <c r="I21" s="102" t="s">
        <v>2041</v>
      </c>
      <c r="J21" s="150"/>
      <c r="K21" s="150"/>
      <c r="L21" s="121" t="str">
        <f>IFERROR(INDEX(온라인_반찬!$C$2:$J$605,MATCH($D21,온라인_반찬!$C$2:$C$605,0),8),"")</f>
        <v/>
      </c>
      <c r="M21" s="113"/>
    </row>
    <row r="22" spans="2:15" ht="39.950000000000003" customHeight="1">
      <c r="B22" s="340"/>
      <c r="C22" s="107" t="s">
        <v>693</v>
      </c>
      <c r="D22" s="154"/>
      <c r="E22" s="115"/>
      <c r="F22" s="115"/>
      <c r="G22" s="106" t="str">
        <f>IFERROR(INDEX(온라인_반찬!$C$2:$H$612,MATCH($D22,온라인_반찬!$C$2:$C$612,0),6),"")</f>
        <v/>
      </c>
      <c r="H22" s="94" t="str">
        <f>IFERROR(INDEX(온라인_반찬!$D$2:$J$605,MATCH($D22,온라인_반찬!$C$2:$C$605,0),6),"")</f>
        <v/>
      </c>
      <c r="I22" s="102" t="s">
        <v>2041</v>
      </c>
      <c r="J22" s="150"/>
      <c r="K22" s="150"/>
      <c r="L22" s="121" t="str">
        <f>IFERROR(INDEX(온라인_반찬!$C$2:$J$605,MATCH($D22,온라인_반찬!$C$2:$C$605,0),8),"")</f>
        <v/>
      </c>
      <c r="M22" s="113"/>
    </row>
    <row r="23" spans="2:15" ht="39.950000000000003" customHeight="1">
      <c r="B23" s="340"/>
      <c r="C23" s="152" t="s">
        <v>76</v>
      </c>
      <c r="D23" s="154"/>
      <c r="E23" s="115"/>
      <c r="F23" s="115"/>
      <c r="G23" s="106" t="str">
        <f>IFERROR(INDEX(온라인_반찬!$C$2:$H$612,MATCH($D23,온라인_반찬!$C$2:$C$612,0),6),"")</f>
        <v/>
      </c>
      <c r="H23" s="94" t="str">
        <f>IFERROR(INDEX(온라인_반찬!$D$2:$J$605,MATCH($D23,온라인_반찬!$C$2:$C$605,0),6),"")</f>
        <v/>
      </c>
      <c r="I23" s="102" t="s">
        <v>2041</v>
      </c>
      <c r="J23" s="150"/>
      <c r="K23" s="150"/>
      <c r="L23" s="121" t="str">
        <f>IFERROR(INDEX(온라인_반찬!$C$2:$J$605,MATCH($D23,온라인_반찬!$C$2:$C$605,0),8),"")</f>
        <v/>
      </c>
      <c r="M23" s="113"/>
    </row>
    <row r="24" spans="2:15" ht="39.950000000000003" customHeight="1" thickBot="1">
      <c r="B24" s="341"/>
      <c r="C24" s="122" t="s">
        <v>74</v>
      </c>
      <c r="D24" s="123"/>
      <c r="E24" s="123"/>
      <c r="F24" s="124">
        <v>1</v>
      </c>
      <c r="G24" s="125"/>
      <c r="H24" s="158"/>
      <c r="I24" s="129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84" activePane="bottomLeft" state="frozen"/>
      <selection activeCell="G4" sqref="G4"/>
      <selection pane="bottomLeft" activeCell="G4" sqref="G4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18" customWidth="1"/>
    <col min="7" max="7" width="26.875" customWidth="1"/>
    <col min="8" max="11" width="15.625" style="8" customWidth="1"/>
  </cols>
  <sheetData>
    <row r="1" spans="1:11" ht="33">
      <c r="A1" s="1" t="s">
        <v>73</v>
      </c>
      <c r="B1" s="1" t="s">
        <v>69</v>
      </c>
      <c r="C1" s="1" t="s">
        <v>237</v>
      </c>
      <c r="D1" s="2" t="s">
        <v>262</v>
      </c>
      <c r="E1" s="1" t="s">
        <v>290</v>
      </c>
      <c r="F1" s="1" t="s">
        <v>265</v>
      </c>
      <c r="G1" s="1" t="s">
        <v>247</v>
      </c>
      <c r="H1" s="3" t="s">
        <v>263</v>
      </c>
      <c r="I1" s="2" t="s">
        <v>260</v>
      </c>
      <c r="J1" s="2" t="s">
        <v>248</v>
      </c>
      <c r="K1" s="2" t="s">
        <v>261</v>
      </c>
    </row>
    <row r="2" spans="1:11">
      <c r="A2" s="4">
        <f>SUBTOTAL(3,$C$2:C2)</f>
        <v>1</v>
      </c>
      <c r="B2" s="4"/>
      <c r="C2" s="5" t="s">
        <v>383</v>
      </c>
      <c r="D2" s="6">
        <v>45</v>
      </c>
      <c r="E2" s="5" t="s">
        <v>155</v>
      </c>
      <c r="F2" s="17"/>
      <c r="G2" s="5" t="s">
        <v>103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436</v>
      </c>
      <c r="D3" s="6">
        <v>30</v>
      </c>
      <c r="E3" s="5" t="s">
        <v>308</v>
      </c>
      <c r="F3" s="17"/>
      <c r="G3" s="5" t="s">
        <v>123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432</v>
      </c>
      <c r="D4" s="6">
        <v>30</v>
      </c>
      <c r="E4" s="19" t="s">
        <v>495</v>
      </c>
      <c r="F4" s="17">
        <v>43403</v>
      </c>
      <c r="G4" s="5" t="s">
        <v>123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326</v>
      </c>
      <c r="D5" s="6">
        <v>60</v>
      </c>
      <c r="E5" s="5" t="s">
        <v>79</v>
      </c>
      <c r="F5" s="17"/>
      <c r="G5" s="5" t="s">
        <v>101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423</v>
      </c>
      <c r="D6" s="6">
        <v>40</v>
      </c>
      <c r="E6" s="5" t="s">
        <v>208</v>
      </c>
      <c r="F6" s="17">
        <v>43406</v>
      </c>
      <c r="G6" s="5" t="s">
        <v>125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425</v>
      </c>
      <c r="D7" s="6">
        <v>40</v>
      </c>
      <c r="E7" s="5" t="s">
        <v>209</v>
      </c>
      <c r="F7" s="17"/>
      <c r="G7" s="5" t="s">
        <v>131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348</v>
      </c>
      <c r="D8" s="6">
        <v>40</v>
      </c>
      <c r="E8" s="5" t="s">
        <v>42</v>
      </c>
      <c r="F8" s="17"/>
      <c r="G8" s="5" t="s">
        <v>120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365</v>
      </c>
      <c r="D9" s="6">
        <v>40</v>
      </c>
      <c r="E9" s="5" t="s">
        <v>320</v>
      </c>
      <c r="F9" s="17">
        <v>43406</v>
      </c>
      <c r="G9" s="5" t="s">
        <v>107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440</v>
      </c>
      <c r="D10" s="6">
        <v>40</v>
      </c>
      <c r="E10" s="19" t="s">
        <v>152</v>
      </c>
      <c r="F10" s="17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367</v>
      </c>
      <c r="D11" s="6">
        <v>45</v>
      </c>
      <c r="E11" s="5" t="s">
        <v>210</v>
      </c>
      <c r="F11" s="17">
        <v>43403</v>
      </c>
      <c r="G11" s="9"/>
      <c r="H11" s="11"/>
      <c r="I11" s="11"/>
      <c r="J11" s="11"/>
      <c r="K11" s="11"/>
    </row>
    <row r="12" spans="1:11">
      <c r="A12" s="4">
        <f>SUBTOTAL(3,$C$2:C12)</f>
        <v>11</v>
      </c>
      <c r="B12" s="4"/>
      <c r="C12" s="5" t="s">
        <v>353</v>
      </c>
      <c r="D12" s="6">
        <v>50</v>
      </c>
      <c r="E12" s="5" t="s">
        <v>154</v>
      </c>
      <c r="F12" s="17"/>
      <c r="G12" s="5" t="s">
        <v>140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153</v>
      </c>
      <c r="D13" s="6">
        <v>40</v>
      </c>
      <c r="E13" s="5" t="s">
        <v>81</v>
      </c>
      <c r="F13" s="17"/>
      <c r="G13" s="5" t="s">
        <v>127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368</v>
      </c>
      <c r="D14" s="6">
        <v>50</v>
      </c>
      <c r="E14" s="5" t="s">
        <v>83</v>
      </c>
      <c r="F14" s="17"/>
      <c r="G14" s="5" t="s">
        <v>126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384</v>
      </c>
      <c r="D15" s="6">
        <v>33</v>
      </c>
      <c r="E15" s="20" t="s">
        <v>321</v>
      </c>
      <c r="F15" s="17">
        <v>43403</v>
      </c>
      <c r="G15" s="9"/>
      <c r="H15" s="11"/>
      <c r="I15" s="11"/>
      <c r="J15" s="11"/>
      <c r="K15" s="11"/>
    </row>
    <row r="16" spans="1:11">
      <c r="A16" s="4">
        <f>SUBTOTAL(3,$C$2:C16)</f>
        <v>15</v>
      </c>
      <c r="B16" s="4"/>
      <c r="C16" s="5" t="s">
        <v>387</v>
      </c>
      <c r="D16" s="6">
        <v>40</v>
      </c>
      <c r="E16" s="19" t="s">
        <v>152</v>
      </c>
      <c r="F16" s="17">
        <v>43404</v>
      </c>
      <c r="G16" s="9"/>
      <c r="H16" s="11"/>
      <c r="I16" s="11"/>
      <c r="J16" s="11"/>
      <c r="K16" s="11"/>
    </row>
    <row r="17" spans="1:11">
      <c r="A17" s="4">
        <f>SUBTOTAL(3,$C$2:C17)</f>
        <v>16</v>
      </c>
      <c r="B17" s="4"/>
      <c r="C17" s="5" t="s">
        <v>422</v>
      </c>
      <c r="D17" s="6">
        <v>35</v>
      </c>
      <c r="E17" s="5" t="s">
        <v>494</v>
      </c>
      <c r="F17" s="17">
        <v>43406</v>
      </c>
      <c r="G17" s="5" t="s">
        <v>135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386</v>
      </c>
      <c r="D18" s="6">
        <v>33</v>
      </c>
      <c r="E18" s="5" t="s">
        <v>201</v>
      </c>
      <c r="F18" s="17"/>
      <c r="G18" s="5" t="s">
        <v>127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441</v>
      </c>
      <c r="D19" s="6">
        <v>5</v>
      </c>
      <c r="E19" s="5" t="s">
        <v>162</v>
      </c>
      <c r="F19" s="17">
        <v>43406</v>
      </c>
      <c r="G19" s="5" t="s">
        <v>106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427</v>
      </c>
      <c r="D20" s="6">
        <v>50</v>
      </c>
      <c r="E20" s="5" t="s">
        <v>293</v>
      </c>
      <c r="F20" s="17">
        <v>43392</v>
      </c>
      <c r="G20" s="9"/>
      <c r="H20" s="11"/>
      <c r="I20" s="11"/>
      <c r="J20" s="11"/>
      <c r="K20" s="11"/>
    </row>
    <row r="21" spans="1:11">
      <c r="A21" s="4">
        <f>SUBTOTAL(3,$C$2:C21)</f>
        <v>20</v>
      </c>
      <c r="B21" s="4"/>
      <c r="C21" s="5" t="s">
        <v>424</v>
      </c>
      <c r="D21" s="6">
        <v>16</v>
      </c>
      <c r="E21" s="5" t="s">
        <v>156</v>
      </c>
      <c r="F21" s="17">
        <v>43405</v>
      </c>
      <c r="G21" s="9"/>
      <c r="H21" s="11"/>
      <c r="I21" s="11"/>
      <c r="J21" s="11"/>
      <c r="K21" s="11"/>
    </row>
    <row r="22" spans="1:11">
      <c r="A22" s="4">
        <f>SUBTOTAL(3,$C$2:C22)</f>
        <v>21</v>
      </c>
      <c r="B22" s="4"/>
      <c r="C22" s="5" t="s">
        <v>338</v>
      </c>
      <c r="D22" s="6">
        <v>30</v>
      </c>
      <c r="E22" s="5" t="s">
        <v>303</v>
      </c>
      <c r="F22" s="17"/>
      <c r="G22" s="5" t="s">
        <v>117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340</v>
      </c>
      <c r="D23" s="6">
        <v>50</v>
      </c>
      <c r="E23" s="5" t="s">
        <v>23</v>
      </c>
      <c r="F23" s="17">
        <v>43405</v>
      </c>
      <c r="G23" s="5" t="s">
        <v>139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341</v>
      </c>
      <c r="D24" s="6">
        <v>50</v>
      </c>
      <c r="E24" s="5" t="s">
        <v>245</v>
      </c>
      <c r="F24" s="17">
        <v>43406</v>
      </c>
      <c r="G24" s="5" t="s">
        <v>107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437</v>
      </c>
      <c r="D25" s="6">
        <v>10</v>
      </c>
      <c r="E25" s="19" t="s">
        <v>152</v>
      </c>
      <c r="F25" s="17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255</v>
      </c>
      <c r="D26" s="6">
        <v>50</v>
      </c>
      <c r="E26" s="5" t="s">
        <v>214</v>
      </c>
      <c r="F26" s="17">
        <v>43406</v>
      </c>
      <c r="G26" s="5" t="s">
        <v>501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75</v>
      </c>
      <c r="C27" s="5" t="s">
        <v>191</v>
      </c>
      <c r="D27" s="6">
        <v>30</v>
      </c>
      <c r="E27" s="5" t="s">
        <v>46</v>
      </c>
      <c r="F27" s="17">
        <v>43535</v>
      </c>
      <c r="G27" s="5" t="s">
        <v>104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75</v>
      </c>
      <c r="C28" s="5" t="s">
        <v>291</v>
      </c>
      <c r="D28" s="6">
        <v>30</v>
      </c>
      <c r="E28" s="5" t="s">
        <v>319</v>
      </c>
      <c r="F28" s="17">
        <v>43535</v>
      </c>
      <c r="G28" s="5" t="s">
        <v>496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234</v>
      </c>
      <c r="C29" s="5" t="s">
        <v>259</v>
      </c>
      <c r="D29" s="6">
        <v>60</v>
      </c>
      <c r="E29" s="9" t="s">
        <v>241</v>
      </c>
      <c r="F29" s="17">
        <v>43469</v>
      </c>
      <c r="G29" s="5" t="s">
        <v>500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426</v>
      </c>
      <c r="D30" s="6">
        <v>40</v>
      </c>
      <c r="E30" s="5" t="s">
        <v>157</v>
      </c>
      <c r="F30" s="17">
        <v>43406</v>
      </c>
      <c r="G30" s="5" t="s">
        <v>128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192</v>
      </c>
      <c r="D31" s="6">
        <v>40</v>
      </c>
      <c r="E31" s="5" t="s">
        <v>80</v>
      </c>
      <c r="F31" s="17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198</v>
      </c>
      <c r="D32" s="6">
        <v>45</v>
      </c>
      <c r="E32" s="5" t="s">
        <v>53</v>
      </c>
      <c r="F32" s="17"/>
      <c r="G32" s="5" t="s">
        <v>134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421</v>
      </c>
      <c r="D33" s="6">
        <v>50</v>
      </c>
      <c r="E33" s="5" t="s">
        <v>242</v>
      </c>
      <c r="F33" s="17"/>
      <c r="G33" s="5" t="s">
        <v>130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434</v>
      </c>
      <c r="D34" s="6">
        <v>60</v>
      </c>
      <c r="E34" s="5" t="s">
        <v>37</v>
      </c>
      <c r="F34" s="17"/>
      <c r="G34" s="5" t="s">
        <v>499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329</v>
      </c>
      <c r="D35" s="6">
        <v>70</v>
      </c>
      <c r="E35" s="5" t="s">
        <v>18</v>
      </c>
      <c r="F35" s="17"/>
      <c r="G35" s="5" t="s">
        <v>102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438</v>
      </c>
      <c r="D36" s="6">
        <v>45</v>
      </c>
      <c r="E36" s="5" t="s">
        <v>56</v>
      </c>
      <c r="F36" s="17">
        <v>43406</v>
      </c>
      <c r="G36" s="5" t="s">
        <v>123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199</v>
      </c>
      <c r="D37" s="6">
        <v>45</v>
      </c>
      <c r="E37" s="5" t="s">
        <v>61</v>
      </c>
      <c r="F37" s="17">
        <v>43406</v>
      </c>
      <c r="G37" s="5" t="s">
        <v>130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439</v>
      </c>
      <c r="D38" s="6">
        <v>45</v>
      </c>
      <c r="E38" s="5" t="s">
        <v>302</v>
      </c>
      <c r="F38" s="17">
        <v>43406</v>
      </c>
      <c r="G38" s="5" t="s">
        <v>101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442</v>
      </c>
      <c r="D39" s="6">
        <v>40</v>
      </c>
      <c r="E39" s="5" t="s">
        <v>57</v>
      </c>
      <c r="F39" s="17">
        <v>43406</v>
      </c>
      <c r="G39" s="5" t="s">
        <v>124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196</v>
      </c>
      <c r="D40" s="6">
        <v>50</v>
      </c>
      <c r="E40" s="5" t="s">
        <v>316</v>
      </c>
      <c r="F40" s="17"/>
      <c r="G40" s="5" t="s">
        <v>114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342</v>
      </c>
      <c r="D41" s="6">
        <v>45</v>
      </c>
      <c r="E41" s="5" t="s">
        <v>82</v>
      </c>
      <c r="F41" s="17"/>
      <c r="G41" s="5" t="s">
        <v>497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193</v>
      </c>
      <c r="D42" s="6">
        <v>60</v>
      </c>
      <c r="E42" s="5" t="s">
        <v>6</v>
      </c>
      <c r="F42" s="17"/>
      <c r="G42" s="5" t="s">
        <v>103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393</v>
      </c>
      <c r="D43" s="6">
        <v>50</v>
      </c>
      <c r="E43" s="5" t="s">
        <v>211</v>
      </c>
      <c r="F43" s="17">
        <v>43403</v>
      </c>
      <c r="G43" s="9"/>
      <c r="H43" s="11"/>
      <c r="I43" s="11"/>
      <c r="J43" s="11"/>
      <c r="K43" s="11"/>
    </row>
    <row r="44" spans="1:11">
      <c r="A44" s="4">
        <f>SUBTOTAL(3,$C$2:C44)</f>
        <v>43</v>
      </c>
      <c r="B44" s="4"/>
      <c r="C44" s="5" t="s">
        <v>443</v>
      </c>
      <c r="D44" s="6">
        <v>50</v>
      </c>
      <c r="E44" s="5" t="s">
        <v>212</v>
      </c>
      <c r="F44" s="17">
        <v>43406</v>
      </c>
      <c r="G44" s="5" t="s">
        <v>130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323</v>
      </c>
      <c r="D45" s="6">
        <v>60</v>
      </c>
      <c r="E45" s="5" t="s">
        <v>213</v>
      </c>
      <c r="F45" s="17"/>
      <c r="G45" s="5" t="s">
        <v>104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234</v>
      </c>
      <c r="C46" s="5" t="s">
        <v>325</v>
      </c>
      <c r="D46" s="6">
        <v>60</v>
      </c>
      <c r="E46" s="9" t="s">
        <v>78</v>
      </c>
      <c r="F46" s="17">
        <v>43469</v>
      </c>
      <c r="G46" s="5" t="s">
        <v>496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327</v>
      </c>
      <c r="D47" s="6">
        <v>70</v>
      </c>
      <c r="E47" s="5" t="s">
        <v>202</v>
      </c>
      <c r="F47" s="17"/>
      <c r="G47" s="5" t="s">
        <v>105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428</v>
      </c>
      <c r="D48" s="6">
        <v>60</v>
      </c>
      <c r="E48" s="5" t="s">
        <v>163</v>
      </c>
      <c r="F48" s="17"/>
      <c r="G48" s="5" t="s">
        <v>136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180</v>
      </c>
      <c r="D49" s="6">
        <v>60</v>
      </c>
      <c r="E49" s="5" t="s">
        <v>159</v>
      </c>
      <c r="F49" s="17"/>
      <c r="G49" s="5" t="s">
        <v>106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429</v>
      </c>
      <c r="D50" s="6">
        <v>33</v>
      </c>
      <c r="E50" s="5" t="s">
        <v>158</v>
      </c>
      <c r="F50" s="17"/>
      <c r="G50" s="5" t="s">
        <v>140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430</v>
      </c>
      <c r="D51" s="6">
        <v>40</v>
      </c>
      <c r="E51" s="5" t="s">
        <v>12</v>
      </c>
      <c r="F51" s="17">
        <v>43406</v>
      </c>
      <c r="G51" s="5" t="s">
        <v>99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418</v>
      </c>
      <c r="D52" s="6">
        <v>50</v>
      </c>
      <c r="E52" s="5" t="s">
        <v>90</v>
      </c>
      <c r="F52" s="17">
        <v>43406</v>
      </c>
      <c r="G52" s="5" t="s">
        <v>502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444</v>
      </c>
      <c r="D53" s="6">
        <v>60</v>
      </c>
      <c r="E53" s="21" t="s">
        <v>43</v>
      </c>
      <c r="F53" s="17">
        <v>43406</v>
      </c>
      <c r="G53" s="9"/>
      <c r="H53" s="11"/>
      <c r="I53" s="11"/>
      <c r="J53" s="11"/>
      <c r="K53" s="11"/>
    </row>
    <row r="54" spans="1:11">
      <c r="A54" s="4">
        <f>SUBTOTAL(3,$C$2:C54)</f>
        <v>53</v>
      </c>
      <c r="B54" s="4" t="s">
        <v>234</v>
      </c>
      <c r="C54" s="5" t="s">
        <v>335</v>
      </c>
      <c r="D54" s="6">
        <v>60</v>
      </c>
      <c r="E54" s="9" t="s">
        <v>491</v>
      </c>
      <c r="F54" s="17">
        <v>43469</v>
      </c>
      <c r="G54" s="9"/>
      <c r="H54" s="11"/>
      <c r="I54" s="11"/>
      <c r="J54" s="11"/>
      <c r="K54" s="11"/>
    </row>
    <row r="55" spans="1:11">
      <c r="A55" s="4">
        <f>SUBTOTAL(3,$C$2:C55)</f>
        <v>54</v>
      </c>
      <c r="B55" s="4"/>
      <c r="C55" s="5" t="s">
        <v>359</v>
      </c>
      <c r="D55" s="6">
        <v>50</v>
      </c>
      <c r="E55" s="5" t="s">
        <v>93</v>
      </c>
      <c r="F55" s="17">
        <v>43406</v>
      </c>
      <c r="G55" s="5" t="s">
        <v>104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445</v>
      </c>
      <c r="D56" s="6">
        <v>70</v>
      </c>
      <c r="E56" s="5" t="s">
        <v>222</v>
      </c>
      <c r="F56" s="17"/>
      <c r="G56" s="5" t="s">
        <v>498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234</v>
      </c>
      <c r="C57" s="5" t="s">
        <v>328</v>
      </c>
      <c r="D57" s="6">
        <v>70</v>
      </c>
      <c r="E57" s="9" t="s">
        <v>65</v>
      </c>
      <c r="F57" s="17">
        <v>43469</v>
      </c>
      <c r="G57" s="5" t="s">
        <v>497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394</v>
      </c>
      <c r="D58" s="6">
        <v>40</v>
      </c>
      <c r="E58" s="5" t="s">
        <v>160</v>
      </c>
      <c r="F58" s="17">
        <v>43406</v>
      </c>
      <c r="G58" s="5" t="s">
        <v>501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361</v>
      </c>
      <c r="D59" s="6">
        <v>50</v>
      </c>
      <c r="E59" s="5" t="s">
        <v>38</v>
      </c>
      <c r="F59" s="17">
        <v>43405</v>
      </c>
      <c r="G59" s="5" t="s">
        <v>105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380</v>
      </c>
      <c r="D60" s="6">
        <v>50</v>
      </c>
      <c r="E60" s="5" t="s">
        <v>13</v>
      </c>
      <c r="F60" s="17">
        <v>43405</v>
      </c>
      <c r="G60" s="5" t="s">
        <v>102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446</v>
      </c>
      <c r="D61" s="6">
        <v>50</v>
      </c>
      <c r="E61" s="5" t="s">
        <v>97</v>
      </c>
      <c r="F61" s="17">
        <v>43406</v>
      </c>
      <c r="G61" s="5" t="s">
        <v>120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447</v>
      </c>
      <c r="D62" s="6">
        <v>65</v>
      </c>
      <c r="E62" s="5" t="s">
        <v>161</v>
      </c>
      <c r="F62" s="17">
        <v>43404</v>
      </c>
      <c r="G62" s="7" t="s">
        <v>121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431</v>
      </c>
      <c r="D63" s="6">
        <v>50</v>
      </c>
      <c r="E63" s="5" t="s">
        <v>224</v>
      </c>
      <c r="F63" s="17">
        <v>43406</v>
      </c>
      <c r="G63" s="5" t="s">
        <v>103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435</v>
      </c>
      <c r="D64" s="6">
        <v>30</v>
      </c>
      <c r="E64" s="5" t="s">
        <v>67</v>
      </c>
      <c r="F64" s="17"/>
      <c r="G64" s="5" t="s">
        <v>108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419</v>
      </c>
      <c r="D65" s="6">
        <v>50</v>
      </c>
      <c r="E65" s="5" t="s">
        <v>29</v>
      </c>
      <c r="F65" s="9"/>
      <c r="G65" s="5" t="s">
        <v>128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448</v>
      </c>
      <c r="D66" s="6">
        <v>50</v>
      </c>
      <c r="E66" s="5" t="s">
        <v>203</v>
      </c>
      <c r="F66" s="17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234</v>
      </c>
      <c r="C67" s="5" t="s">
        <v>336</v>
      </c>
      <c r="D67" s="6">
        <v>60</v>
      </c>
      <c r="E67" s="9" t="s">
        <v>492</v>
      </c>
      <c r="F67" s="17">
        <v>43469</v>
      </c>
      <c r="G67" s="5" t="s">
        <v>107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369</v>
      </c>
      <c r="D68" s="6">
        <v>20</v>
      </c>
      <c r="E68" s="5" t="s">
        <v>92</v>
      </c>
      <c r="F68" s="17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2" t="s">
        <v>76</v>
      </c>
      <c r="C69" s="5" t="s">
        <v>420</v>
      </c>
      <c r="D69" s="6">
        <v>40</v>
      </c>
      <c r="E69" s="9" t="s">
        <v>28</v>
      </c>
      <c r="F69" s="17">
        <v>43431</v>
      </c>
      <c r="G69" s="9" t="s">
        <v>145</v>
      </c>
      <c r="H69" s="11"/>
      <c r="I69" s="11"/>
      <c r="J69" s="11"/>
      <c r="K69" s="11"/>
    </row>
    <row r="70" spans="1:11">
      <c r="A70" s="4">
        <f>SUBTOTAL(3,$C$2:C70)</f>
        <v>69</v>
      </c>
      <c r="B70" s="4"/>
      <c r="C70" s="5" t="s">
        <v>396</v>
      </c>
      <c r="D70" s="6">
        <v>40</v>
      </c>
      <c r="E70" s="5" t="s">
        <v>219</v>
      </c>
      <c r="F70" s="17">
        <v>43406</v>
      </c>
      <c r="G70" s="5" t="s">
        <v>99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388</v>
      </c>
      <c r="D71" s="6">
        <v>40</v>
      </c>
      <c r="E71" s="5" t="s">
        <v>54</v>
      </c>
      <c r="F71" s="9"/>
      <c r="G71" s="5" t="s">
        <v>105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330</v>
      </c>
      <c r="D72" s="6">
        <v>80</v>
      </c>
      <c r="E72" s="5" t="s">
        <v>317</v>
      </c>
      <c r="F72" s="9"/>
      <c r="G72" s="5" t="s">
        <v>140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433</v>
      </c>
      <c r="D73" s="6">
        <v>15</v>
      </c>
      <c r="E73" s="5" t="s">
        <v>164</v>
      </c>
      <c r="F73" s="17">
        <v>43406</v>
      </c>
      <c r="G73" s="5" t="s">
        <v>113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452</v>
      </c>
      <c r="D74" s="6">
        <v>15</v>
      </c>
      <c r="E74" s="5" t="s">
        <v>164</v>
      </c>
      <c r="F74" s="17">
        <v>43406</v>
      </c>
      <c r="G74" s="5" t="s">
        <v>113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395</v>
      </c>
      <c r="D75" s="6">
        <v>35</v>
      </c>
      <c r="E75" s="5" t="s">
        <v>88</v>
      </c>
      <c r="F75" s="17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468</v>
      </c>
      <c r="D76" s="6">
        <v>35</v>
      </c>
      <c r="E76" s="5" t="s">
        <v>87</v>
      </c>
      <c r="F76" s="17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475</v>
      </c>
      <c r="D77" s="6">
        <v>20</v>
      </c>
      <c r="E77" s="5" t="s">
        <v>92</v>
      </c>
      <c r="F77" s="17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454</v>
      </c>
      <c r="D78" s="6">
        <v>20</v>
      </c>
      <c r="E78" s="5" t="s">
        <v>169</v>
      </c>
      <c r="F78" s="17">
        <v>43406</v>
      </c>
      <c r="G78" s="5" t="s">
        <v>504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472</v>
      </c>
      <c r="D79" s="6">
        <v>30</v>
      </c>
      <c r="E79" s="5" t="s">
        <v>294</v>
      </c>
      <c r="F79" s="17">
        <v>43406</v>
      </c>
      <c r="G79" s="5" t="s">
        <v>137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76</v>
      </c>
      <c r="C80" s="5" t="s">
        <v>189</v>
      </c>
      <c r="D80" s="6">
        <v>30</v>
      </c>
      <c r="E80" s="9" t="s">
        <v>91</v>
      </c>
      <c r="F80" s="17">
        <v>43468</v>
      </c>
      <c r="G80" s="5" t="s">
        <v>105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461</v>
      </c>
      <c r="D81" s="6">
        <v>40</v>
      </c>
      <c r="E81" s="5" t="s">
        <v>307</v>
      </c>
      <c r="F81" s="17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287</v>
      </c>
      <c r="D82" s="6">
        <v>40</v>
      </c>
      <c r="E82" s="5" t="s">
        <v>168</v>
      </c>
      <c r="F82" s="17">
        <v>43404</v>
      </c>
      <c r="G82" s="7" t="s">
        <v>121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407</v>
      </c>
      <c r="D83" s="6">
        <v>40</v>
      </c>
      <c r="E83" s="5" t="s">
        <v>44</v>
      </c>
      <c r="F83" s="9"/>
      <c r="G83" s="5" t="s">
        <v>126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405</v>
      </c>
      <c r="D84" s="6">
        <v>40</v>
      </c>
      <c r="E84" s="5" t="s">
        <v>170</v>
      </c>
      <c r="F84" s="9"/>
      <c r="G84" s="5" t="s">
        <v>137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476</v>
      </c>
      <c r="D85" s="6">
        <v>50</v>
      </c>
      <c r="E85" s="5" t="s">
        <v>243</v>
      </c>
      <c r="F85" s="17">
        <v>43406</v>
      </c>
      <c r="G85" s="5" t="s">
        <v>106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392</v>
      </c>
      <c r="D86" s="6">
        <v>50</v>
      </c>
      <c r="E86" s="5" t="s">
        <v>243</v>
      </c>
      <c r="F86" s="17">
        <v>43403</v>
      </c>
      <c r="G86" s="5" t="s">
        <v>106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181</v>
      </c>
      <c r="D87" s="6">
        <v>60</v>
      </c>
      <c r="E87" s="5" t="s">
        <v>2</v>
      </c>
      <c r="F87" s="17">
        <v>43404</v>
      </c>
      <c r="G87" s="5" t="s">
        <v>129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453</v>
      </c>
      <c r="D88" s="6">
        <v>50</v>
      </c>
      <c r="E88" s="5" t="s">
        <v>311</v>
      </c>
      <c r="F88" s="17">
        <v>43406</v>
      </c>
      <c r="G88" s="5" t="s">
        <v>501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408</v>
      </c>
      <c r="D89" s="6">
        <v>50</v>
      </c>
      <c r="E89" s="5" t="s">
        <v>230</v>
      </c>
      <c r="F89" s="17">
        <v>43405</v>
      </c>
      <c r="G89" s="5" t="s">
        <v>102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366</v>
      </c>
      <c r="D90" s="6">
        <v>15</v>
      </c>
      <c r="E90" s="19" t="s">
        <v>152</v>
      </c>
      <c r="F90" s="17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390</v>
      </c>
      <c r="D91" s="6">
        <v>40</v>
      </c>
      <c r="E91" s="5" t="s">
        <v>295</v>
      </c>
      <c r="F91" s="9"/>
      <c r="G91" s="7" t="s">
        <v>121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370</v>
      </c>
      <c r="D92" s="6">
        <v>45</v>
      </c>
      <c r="E92" s="5" t="s">
        <v>48</v>
      </c>
      <c r="F92" s="17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455</v>
      </c>
      <c r="D93" s="6">
        <v>50</v>
      </c>
      <c r="E93" s="5" t="s">
        <v>89</v>
      </c>
      <c r="F93" s="17">
        <v>43405</v>
      </c>
      <c r="G93" s="5" t="s">
        <v>102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469</v>
      </c>
      <c r="D94" s="6">
        <v>50</v>
      </c>
      <c r="E94" s="5" t="s">
        <v>304</v>
      </c>
      <c r="F94" s="9"/>
      <c r="G94" s="5" t="s">
        <v>119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409</v>
      </c>
      <c r="D95" s="6">
        <v>40</v>
      </c>
      <c r="E95" s="5" t="s">
        <v>95</v>
      </c>
      <c r="F95" s="17">
        <v>43406</v>
      </c>
      <c r="G95" s="5" t="s">
        <v>107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197</v>
      </c>
      <c r="D96" s="6">
        <v>50</v>
      </c>
      <c r="E96" s="5" t="s">
        <v>493</v>
      </c>
      <c r="F96" s="9"/>
      <c r="G96" s="5" t="s">
        <v>101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234</v>
      </c>
      <c r="C97" s="5" t="s">
        <v>477</v>
      </c>
      <c r="D97" s="6">
        <v>60</v>
      </c>
      <c r="E97" s="9" t="s">
        <v>309</v>
      </c>
      <c r="F97" s="17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451</v>
      </c>
      <c r="D98" s="6">
        <v>60</v>
      </c>
      <c r="E98" s="5" t="s">
        <v>94</v>
      </c>
      <c r="F98" s="9"/>
      <c r="G98" s="5" t="s">
        <v>109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478</v>
      </c>
      <c r="D99" s="6">
        <v>40</v>
      </c>
      <c r="E99" s="5" t="s">
        <v>314</v>
      </c>
      <c r="F99" s="17">
        <v>43406</v>
      </c>
      <c r="G99" s="5" t="s">
        <v>497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234</v>
      </c>
      <c r="C100" s="5" t="s">
        <v>331</v>
      </c>
      <c r="D100" s="6">
        <v>60</v>
      </c>
      <c r="E100" s="9" t="s">
        <v>30</v>
      </c>
      <c r="F100" s="17">
        <v>43469</v>
      </c>
      <c r="G100" s="9"/>
      <c r="H100" s="11"/>
      <c r="I100" s="11"/>
      <c r="J100" s="11"/>
      <c r="K100" s="11"/>
    </row>
    <row r="101" spans="1:11">
      <c r="A101" s="4">
        <f>SUBTOTAL(3,$C$2:C101)</f>
        <v>100</v>
      </c>
      <c r="B101" s="4"/>
      <c r="C101" s="5" t="s">
        <v>410</v>
      </c>
      <c r="D101" s="6">
        <v>40</v>
      </c>
      <c r="E101" s="5" t="s">
        <v>296</v>
      </c>
      <c r="F101" s="9"/>
      <c r="G101" s="5" t="s">
        <v>129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234</v>
      </c>
      <c r="C102" s="5" t="s">
        <v>337</v>
      </c>
      <c r="D102" s="6">
        <v>60</v>
      </c>
      <c r="E102" s="23" t="s">
        <v>215</v>
      </c>
      <c r="F102" s="17">
        <v>43469</v>
      </c>
      <c r="G102" s="9" t="s">
        <v>127</v>
      </c>
      <c r="H102" s="11">
        <v>120</v>
      </c>
      <c r="I102" s="11">
        <v>21600</v>
      </c>
      <c r="J102" s="11">
        <v>1080</v>
      </c>
      <c r="K102" s="11">
        <v>22680</v>
      </c>
    </row>
    <row r="103" spans="1:11">
      <c r="A103" s="4">
        <f>SUBTOTAL(3,$C$2:C103)</f>
        <v>102</v>
      </c>
      <c r="B103" s="4" t="s">
        <v>234</v>
      </c>
      <c r="C103" s="5" t="s">
        <v>350</v>
      </c>
      <c r="D103" s="6">
        <v>60</v>
      </c>
      <c r="E103" s="9" t="s">
        <v>315</v>
      </c>
      <c r="F103" s="17">
        <v>43469</v>
      </c>
      <c r="G103" s="5" t="s">
        <v>118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234</v>
      </c>
      <c r="C104" s="5" t="s">
        <v>344</v>
      </c>
      <c r="D104" s="6">
        <v>60</v>
      </c>
      <c r="E104" s="25" t="s">
        <v>19</v>
      </c>
      <c r="F104" s="17">
        <v>43469</v>
      </c>
      <c r="G104" s="7" t="s">
        <v>110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397</v>
      </c>
      <c r="D105" s="6">
        <v>45</v>
      </c>
      <c r="E105" s="5" t="s">
        <v>58</v>
      </c>
      <c r="F105" s="9"/>
      <c r="G105" s="5" t="s">
        <v>124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234</v>
      </c>
      <c r="C106" s="5" t="s">
        <v>179</v>
      </c>
      <c r="D106" s="6">
        <v>120</v>
      </c>
      <c r="E106" s="9" t="s">
        <v>244</v>
      </c>
      <c r="F106" s="17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364</v>
      </c>
      <c r="D107" s="6">
        <v>45</v>
      </c>
      <c r="E107" s="19" t="s">
        <v>3</v>
      </c>
      <c r="F107" s="17">
        <v>43404</v>
      </c>
      <c r="G107" s="5" t="s">
        <v>101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234</v>
      </c>
      <c r="C108" s="5" t="s">
        <v>345</v>
      </c>
      <c r="D108" s="6">
        <v>60</v>
      </c>
      <c r="E108" s="9" t="s">
        <v>66</v>
      </c>
      <c r="F108" s="17">
        <v>43469</v>
      </c>
      <c r="G108" s="5" t="s">
        <v>99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464</v>
      </c>
      <c r="D109" s="6">
        <v>40</v>
      </c>
      <c r="E109" s="5" t="s">
        <v>39</v>
      </c>
      <c r="F109" s="17">
        <v>43406</v>
      </c>
      <c r="G109" s="5" t="s">
        <v>107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371</v>
      </c>
      <c r="D110" s="6">
        <v>40</v>
      </c>
      <c r="E110" s="19" t="s">
        <v>152</v>
      </c>
      <c r="F110" s="17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417</v>
      </c>
      <c r="D111" s="6">
        <v>30</v>
      </c>
      <c r="E111" s="5" t="s">
        <v>51</v>
      </c>
      <c r="F111" s="17">
        <v>43406</v>
      </c>
      <c r="G111" s="5" t="s">
        <v>504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357</v>
      </c>
      <c r="D112" s="6">
        <v>60</v>
      </c>
      <c r="E112" s="5" t="s">
        <v>204</v>
      </c>
      <c r="F112" s="9"/>
      <c r="G112" s="5" t="s">
        <v>100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354</v>
      </c>
      <c r="D113" s="6">
        <v>60</v>
      </c>
      <c r="E113" s="5" t="s">
        <v>240</v>
      </c>
      <c r="F113" s="17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381</v>
      </c>
      <c r="D114" s="6">
        <v>40</v>
      </c>
      <c r="E114" s="5" t="s">
        <v>45</v>
      </c>
      <c r="F114" s="17">
        <v>43403</v>
      </c>
      <c r="G114" s="5" t="s">
        <v>114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363</v>
      </c>
      <c r="D115" s="6">
        <v>40</v>
      </c>
      <c r="E115" s="5" t="s">
        <v>7</v>
      </c>
      <c r="F115" s="9"/>
      <c r="G115" s="5" t="s">
        <v>114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479</v>
      </c>
      <c r="D116" s="6">
        <v>30</v>
      </c>
      <c r="E116" s="5" t="s">
        <v>59</v>
      </c>
      <c r="F116" s="17">
        <v>43406</v>
      </c>
      <c r="G116" s="5" t="s">
        <v>108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456</v>
      </c>
      <c r="D117" s="6">
        <v>30</v>
      </c>
      <c r="E117" s="5" t="s">
        <v>166</v>
      </c>
      <c r="F117" s="17">
        <v>43406</v>
      </c>
      <c r="G117" s="5" t="s">
        <v>111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403</v>
      </c>
      <c r="D118" s="6">
        <v>30</v>
      </c>
      <c r="E118" s="5" t="s">
        <v>220</v>
      </c>
      <c r="F118" s="9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470</v>
      </c>
      <c r="D119" s="6">
        <v>30</v>
      </c>
      <c r="E119" s="5" t="s">
        <v>55</v>
      </c>
      <c r="F119" s="17">
        <v>43406</v>
      </c>
      <c r="G119" s="5" t="s">
        <v>108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411</v>
      </c>
      <c r="D120" s="6">
        <v>35</v>
      </c>
      <c r="E120" s="5" t="s">
        <v>221</v>
      </c>
      <c r="F120" s="9"/>
      <c r="G120" s="5" t="s">
        <v>117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457</v>
      </c>
      <c r="D121" s="6">
        <v>50</v>
      </c>
      <c r="E121" s="5" t="s">
        <v>232</v>
      </c>
      <c r="F121" s="9"/>
      <c r="G121" s="5" t="s">
        <v>139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233</v>
      </c>
      <c r="C122" s="5" t="s">
        <v>362</v>
      </c>
      <c r="D122" s="6">
        <v>10</v>
      </c>
      <c r="E122" s="9" t="s">
        <v>228</v>
      </c>
      <c r="F122" s="17">
        <v>43406</v>
      </c>
      <c r="G122" s="5" t="s">
        <v>99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234</v>
      </c>
      <c r="C123" s="5" t="s">
        <v>355</v>
      </c>
      <c r="D123" s="6">
        <v>70</v>
      </c>
      <c r="E123" s="9" t="s">
        <v>313</v>
      </c>
      <c r="F123" s="17">
        <v>43469</v>
      </c>
      <c r="G123" s="5" t="s">
        <v>132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473</v>
      </c>
      <c r="D124" s="6">
        <v>50</v>
      </c>
      <c r="E124" s="5" t="s">
        <v>297</v>
      </c>
      <c r="F124" s="9"/>
      <c r="G124" s="5" t="s">
        <v>128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373</v>
      </c>
      <c r="D125" s="6">
        <v>50</v>
      </c>
      <c r="E125" s="5" t="s">
        <v>312</v>
      </c>
      <c r="F125" s="17">
        <v>43406</v>
      </c>
      <c r="G125" s="5" t="s">
        <v>100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398</v>
      </c>
      <c r="D126" s="6">
        <v>40</v>
      </c>
      <c r="E126" s="5" t="s">
        <v>21</v>
      </c>
      <c r="F126" s="9"/>
      <c r="G126" s="5" t="s">
        <v>131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458</v>
      </c>
      <c r="D127" s="6">
        <v>60</v>
      </c>
      <c r="E127" s="5" t="s">
        <v>205</v>
      </c>
      <c r="F127" s="9"/>
      <c r="G127" s="5" t="s">
        <v>113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466</v>
      </c>
      <c r="D128" s="6">
        <v>50</v>
      </c>
      <c r="E128" s="5" t="s">
        <v>84</v>
      </c>
      <c r="F128" s="17">
        <v>43406</v>
      </c>
      <c r="G128" s="5" t="s">
        <v>100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459</v>
      </c>
      <c r="D129" s="6">
        <v>40</v>
      </c>
      <c r="E129" s="5" t="s">
        <v>52</v>
      </c>
      <c r="F129" s="17">
        <v>43403</v>
      </c>
      <c r="G129" s="9" t="s">
        <v>145</v>
      </c>
      <c r="H129" s="11"/>
      <c r="I129" s="11"/>
      <c r="J129" s="11"/>
      <c r="K129" s="11"/>
    </row>
    <row r="130" spans="1:11">
      <c r="A130" s="4">
        <f>SUBTOTAL(3,$C$2:C130)</f>
        <v>129</v>
      </c>
      <c r="B130" s="4"/>
      <c r="C130" s="5" t="s">
        <v>399</v>
      </c>
      <c r="D130" s="6">
        <v>30</v>
      </c>
      <c r="E130" s="5" t="s">
        <v>86</v>
      </c>
      <c r="F130" s="9"/>
      <c r="G130" s="5" t="s">
        <v>131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460</v>
      </c>
      <c r="D131" s="6">
        <v>40</v>
      </c>
      <c r="E131" s="5" t="s">
        <v>206</v>
      </c>
      <c r="F131" s="17">
        <v>43406</v>
      </c>
      <c r="G131" s="5" t="s">
        <v>108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449</v>
      </c>
      <c r="D132" s="6">
        <v>100</v>
      </c>
      <c r="E132" s="5" t="s">
        <v>229</v>
      </c>
      <c r="F132" s="9"/>
      <c r="G132" s="5" t="s">
        <v>122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412</v>
      </c>
      <c r="D133" s="6">
        <v>50</v>
      </c>
      <c r="E133" s="5" t="s">
        <v>229</v>
      </c>
      <c r="F133" s="17"/>
      <c r="G133" s="9" t="s">
        <v>122</v>
      </c>
      <c r="H133" s="11">
        <v>519</v>
      </c>
      <c r="I133" s="11">
        <v>51900</v>
      </c>
      <c r="J133" s="11">
        <v>2595</v>
      </c>
      <c r="K133" s="11">
        <v>54495</v>
      </c>
    </row>
    <row r="134" spans="1:11">
      <c r="A134" s="4">
        <f>SUBTOTAL(3,$C$2:C134)</f>
        <v>133</v>
      </c>
      <c r="B134" s="4"/>
      <c r="C134" s="5" t="s">
        <v>462</v>
      </c>
      <c r="D134" s="6">
        <v>45</v>
      </c>
      <c r="E134" s="5" t="s">
        <v>34</v>
      </c>
      <c r="F134" s="17">
        <v>43406</v>
      </c>
      <c r="G134" s="5" t="s">
        <v>103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463</v>
      </c>
      <c r="D135" s="6">
        <v>40</v>
      </c>
      <c r="E135" s="5" t="s">
        <v>40</v>
      </c>
      <c r="F135" s="9"/>
      <c r="G135" s="5" t="s">
        <v>112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413</v>
      </c>
      <c r="D136" s="6">
        <v>45</v>
      </c>
      <c r="E136" s="5" t="s">
        <v>225</v>
      </c>
      <c r="F136" s="9"/>
      <c r="G136" s="7" t="s">
        <v>121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376</v>
      </c>
      <c r="D137" s="6">
        <v>50</v>
      </c>
      <c r="E137" s="5" t="s">
        <v>17</v>
      </c>
      <c r="F137" s="17">
        <v>43406</v>
      </c>
      <c r="G137" s="5" t="s">
        <v>138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254</v>
      </c>
      <c r="D138" s="6">
        <v>50</v>
      </c>
      <c r="E138" s="5" t="s">
        <v>298</v>
      </c>
      <c r="F138" s="17">
        <v>43402</v>
      </c>
      <c r="G138" s="9"/>
      <c r="H138" s="11"/>
      <c r="I138" s="11"/>
      <c r="J138" s="11"/>
      <c r="K138" s="11"/>
    </row>
    <row r="139" spans="1:11">
      <c r="A139" s="4">
        <f>SUBTOTAL(3,$C$2:C139)</f>
        <v>138</v>
      </c>
      <c r="B139" s="4"/>
      <c r="C139" s="5" t="s">
        <v>450</v>
      </c>
      <c r="D139" s="6">
        <v>40</v>
      </c>
      <c r="E139" s="5" t="s">
        <v>60</v>
      </c>
      <c r="F139" s="17">
        <v>43409</v>
      </c>
      <c r="G139" s="9"/>
      <c r="H139" s="11"/>
      <c r="I139" s="11"/>
      <c r="J139" s="11"/>
      <c r="K139" s="11"/>
    </row>
    <row r="140" spans="1:11">
      <c r="A140" s="4">
        <f>SUBTOTAL(3,$C$2:C140)</f>
        <v>139</v>
      </c>
      <c r="B140" s="4"/>
      <c r="C140" s="5" t="s">
        <v>474</v>
      </c>
      <c r="D140" s="6">
        <v>40</v>
      </c>
      <c r="E140" s="5" t="s">
        <v>41</v>
      </c>
      <c r="F140" s="17">
        <v>43406</v>
      </c>
      <c r="G140" s="5" t="s">
        <v>133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471</v>
      </c>
      <c r="D141" s="6">
        <v>40</v>
      </c>
      <c r="E141" s="5" t="s">
        <v>223</v>
      </c>
      <c r="F141" s="17">
        <v>43406</v>
      </c>
      <c r="G141" s="5" t="s">
        <v>115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404</v>
      </c>
      <c r="D142" s="6">
        <v>35</v>
      </c>
      <c r="E142" s="5" t="s">
        <v>223</v>
      </c>
      <c r="F142" s="9"/>
      <c r="G142" s="5" t="s">
        <v>104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465</v>
      </c>
      <c r="D143" s="6">
        <v>60</v>
      </c>
      <c r="E143" s="5" t="s">
        <v>310</v>
      </c>
      <c r="F143" s="9"/>
      <c r="G143" s="7" t="s">
        <v>503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467</v>
      </c>
      <c r="D144" s="6">
        <v>30</v>
      </c>
      <c r="E144" s="5" t="s">
        <v>227</v>
      </c>
      <c r="F144" s="9"/>
      <c r="G144" s="5" t="s">
        <v>102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385</v>
      </c>
      <c r="D145" s="6">
        <v>30</v>
      </c>
      <c r="E145" s="5" t="s">
        <v>299</v>
      </c>
      <c r="F145" s="17">
        <v>43405</v>
      </c>
      <c r="G145" s="5" t="s">
        <v>123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401</v>
      </c>
      <c r="D146" s="6">
        <v>30</v>
      </c>
      <c r="E146" s="5" t="s">
        <v>55</v>
      </c>
      <c r="F146" s="9"/>
      <c r="G146" s="5" t="s">
        <v>108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486</v>
      </c>
      <c r="D147" s="6">
        <v>200</v>
      </c>
      <c r="E147" s="5" t="s">
        <v>217</v>
      </c>
      <c r="F147" s="9"/>
      <c r="G147" s="5" t="s">
        <v>141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174</v>
      </c>
      <c r="D148" s="6">
        <v>12</v>
      </c>
      <c r="E148" s="5" t="s">
        <v>231</v>
      </c>
      <c r="F148" s="17">
        <v>43406</v>
      </c>
      <c r="G148" s="5" t="s">
        <v>140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485</v>
      </c>
      <c r="D149" s="6">
        <v>50</v>
      </c>
      <c r="E149" s="5" t="s">
        <v>47</v>
      </c>
      <c r="F149" s="9"/>
      <c r="G149" s="5" t="s">
        <v>138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415</v>
      </c>
      <c r="D150" s="6">
        <v>5</v>
      </c>
      <c r="E150" s="19" t="s">
        <v>162</v>
      </c>
      <c r="F150" s="17">
        <v>43406</v>
      </c>
      <c r="G150" s="5" t="s">
        <v>106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487</v>
      </c>
      <c r="D151" s="6">
        <v>16</v>
      </c>
      <c r="E151" s="5" t="s">
        <v>156</v>
      </c>
      <c r="F151" s="17">
        <v>43406</v>
      </c>
      <c r="G151" s="7" t="s">
        <v>121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481</v>
      </c>
      <c r="D152" s="6">
        <v>20</v>
      </c>
      <c r="E152" s="5" t="s">
        <v>207</v>
      </c>
      <c r="F152" s="9"/>
      <c r="G152" s="5" t="s">
        <v>124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391</v>
      </c>
      <c r="D153" s="6">
        <v>20</v>
      </c>
      <c r="E153" s="5" t="s">
        <v>207</v>
      </c>
      <c r="F153" s="17">
        <v>43403</v>
      </c>
      <c r="G153" s="5" t="s">
        <v>124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234</v>
      </c>
      <c r="C154" s="5" t="s">
        <v>339</v>
      </c>
      <c r="D154" s="6">
        <v>120</v>
      </c>
      <c r="E154" s="9" t="s">
        <v>25</v>
      </c>
      <c r="F154" s="17">
        <v>43469</v>
      </c>
      <c r="G154" s="5" t="s">
        <v>147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358</v>
      </c>
      <c r="D155" s="6">
        <v>60</v>
      </c>
      <c r="E155" s="5" t="s">
        <v>14</v>
      </c>
      <c r="F155" s="9"/>
      <c r="G155" s="5" t="s">
        <v>124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176</v>
      </c>
      <c r="D156" s="6">
        <v>45</v>
      </c>
      <c r="E156" s="5" t="s">
        <v>49</v>
      </c>
      <c r="F156" s="17">
        <v>43406</v>
      </c>
      <c r="G156" s="5" t="s">
        <v>106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234</v>
      </c>
      <c r="C157" s="5" t="s">
        <v>175</v>
      </c>
      <c r="D157" s="6">
        <v>120</v>
      </c>
      <c r="E157" s="9" t="s">
        <v>20</v>
      </c>
      <c r="F157" s="17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374</v>
      </c>
      <c r="D158" s="6">
        <v>45</v>
      </c>
      <c r="E158" s="5" t="s">
        <v>85</v>
      </c>
      <c r="F158" s="17">
        <v>43406</v>
      </c>
      <c r="G158" s="5" t="s">
        <v>104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375</v>
      </c>
      <c r="D159" s="6">
        <v>45</v>
      </c>
      <c r="E159" s="9" t="s">
        <v>216</v>
      </c>
      <c r="F159" s="17">
        <v>43403</v>
      </c>
      <c r="G159" s="5" t="s">
        <v>104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177</v>
      </c>
      <c r="D160" s="6">
        <v>40</v>
      </c>
      <c r="E160" s="5" t="s">
        <v>8</v>
      </c>
      <c r="F160" s="17">
        <v>43406</v>
      </c>
      <c r="G160" s="5" t="s">
        <v>143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343</v>
      </c>
      <c r="D161" s="6">
        <v>40</v>
      </c>
      <c r="E161" s="5" t="s">
        <v>36</v>
      </c>
      <c r="F161" s="17">
        <v>43403</v>
      </c>
      <c r="G161" s="9"/>
      <c r="H161" s="11"/>
      <c r="I161" s="11"/>
      <c r="J161" s="11"/>
      <c r="K161" s="11"/>
    </row>
    <row r="162" spans="1:11">
      <c r="A162" s="4">
        <f>SUBTOTAL(3,$C$2:C162)</f>
        <v>161</v>
      </c>
      <c r="B162" s="4"/>
      <c r="C162" s="5" t="s">
        <v>484</v>
      </c>
      <c r="D162" s="6">
        <v>50</v>
      </c>
      <c r="E162" s="5" t="s">
        <v>31</v>
      </c>
      <c r="F162" s="17">
        <v>43406</v>
      </c>
      <c r="G162" s="5" t="s">
        <v>498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488</v>
      </c>
      <c r="D163" s="6">
        <v>60</v>
      </c>
      <c r="E163" s="5" t="s">
        <v>4</v>
      </c>
      <c r="F163" s="9"/>
      <c r="G163" s="5" t="s">
        <v>142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234</v>
      </c>
      <c r="C164" s="5" t="s">
        <v>352</v>
      </c>
      <c r="D164" s="6">
        <v>120</v>
      </c>
      <c r="E164" s="9" t="s">
        <v>24</v>
      </c>
      <c r="F164" s="17">
        <v>43469</v>
      </c>
      <c r="G164" s="5" t="s">
        <v>144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377</v>
      </c>
      <c r="D165" s="6">
        <v>40</v>
      </c>
      <c r="E165" s="5" t="s">
        <v>26</v>
      </c>
      <c r="F165" s="9"/>
      <c r="G165" s="5" t="s">
        <v>137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406</v>
      </c>
      <c r="D166" s="6">
        <v>40</v>
      </c>
      <c r="E166" s="5" t="s">
        <v>9</v>
      </c>
      <c r="F166" s="9"/>
      <c r="G166" s="5" t="s">
        <v>114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489</v>
      </c>
      <c r="D167" s="6">
        <v>60</v>
      </c>
      <c r="E167" s="5" t="s">
        <v>165</v>
      </c>
      <c r="F167" s="9"/>
      <c r="G167" s="5" t="s">
        <v>139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188</v>
      </c>
      <c r="D168" s="6">
        <v>50</v>
      </c>
      <c r="E168" s="5" t="s">
        <v>50</v>
      </c>
      <c r="F168" s="9"/>
      <c r="G168" s="5" t="s">
        <v>496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288</v>
      </c>
      <c r="D169" s="6">
        <v>50</v>
      </c>
      <c r="E169" s="5" t="s">
        <v>96</v>
      </c>
      <c r="F169" s="9"/>
      <c r="G169" s="5" t="s">
        <v>134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402</v>
      </c>
      <c r="D170" s="6">
        <v>30</v>
      </c>
      <c r="E170" s="5" t="s">
        <v>218</v>
      </c>
      <c r="F170" s="9"/>
      <c r="G170" s="5" t="s">
        <v>139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194</v>
      </c>
      <c r="D171" s="6">
        <v>60</v>
      </c>
      <c r="E171" s="5" t="s">
        <v>2</v>
      </c>
      <c r="F171" s="17">
        <v>43404</v>
      </c>
      <c r="G171" s="5" t="s">
        <v>129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483</v>
      </c>
      <c r="D172" s="6">
        <v>80</v>
      </c>
      <c r="E172" s="5" t="s">
        <v>306</v>
      </c>
      <c r="F172" s="17">
        <v>43406</v>
      </c>
      <c r="G172" s="5" t="s">
        <v>141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346</v>
      </c>
      <c r="D173" s="6">
        <v>65</v>
      </c>
      <c r="E173" s="5" t="s">
        <v>168</v>
      </c>
      <c r="F173" s="9"/>
      <c r="G173" s="7" t="s">
        <v>121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378</v>
      </c>
      <c r="D174" s="6">
        <v>30</v>
      </c>
      <c r="E174" s="5" t="s">
        <v>167</v>
      </c>
      <c r="F174" s="17">
        <v>43406</v>
      </c>
      <c r="G174" s="5" t="s">
        <v>504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379</v>
      </c>
      <c r="D175" s="6">
        <v>12</v>
      </c>
      <c r="E175" s="5" t="s">
        <v>171</v>
      </c>
      <c r="F175" s="9"/>
      <c r="G175" s="5" t="s">
        <v>497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349</v>
      </c>
      <c r="D176" s="6">
        <v>60</v>
      </c>
      <c r="E176" s="5" t="s">
        <v>318</v>
      </c>
      <c r="F176" s="9"/>
      <c r="G176" s="5" t="s">
        <v>114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172</v>
      </c>
      <c r="D177" s="6">
        <v>45</v>
      </c>
      <c r="E177" s="5" t="s">
        <v>35</v>
      </c>
      <c r="F177" s="9"/>
      <c r="G177" s="5" t="s">
        <v>101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482</v>
      </c>
      <c r="D178" s="6">
        <v>40</v>
      </c>
      <c r="E178" s="5" t="s">
        <v>5</v>
      </c>
      <c r="F178" s="17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382</v>
      </c>
      <c r="D179" s="6">
        <v>40</v>
      </c>
      <c r="E179" s="5" t="s">
        <v>10</v>
      </c>
      <c r="F179" s="9"/>
      <c r="G179" s="5" t="s">
        <v>129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416</v>
      </c>
      <c r="D180" s="6">
        <v>40</v>
      </c>
      <c r="E180" s="5" t="s">
        <v>1</v>
      </c>
      <c r="F180" s="9"/>
      <c r="G180" s="5" t="s">
        <v>126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490</v>
      </c>
      <c r="D181" s="6">
        <v>50</v>
      </c>
      <c r="E181" s="5" t="s">
        <v>300</v>
      </c>
      <c r="F181" s="17">
        <v>43406</v>
      </c>
      <c r="G181" s="5" t="s">
        <v>127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173</v>
      </c>
      <c r="D182" s="6">
        <v>50</v>
      </c>
      <c r="E182" s="5" t="s">
        <v>301</v>
      </c>
      <c r="F182" s="17">
        <v>43398</v>
      </c>
      <c r="G182" s="5" t="s">
        <v>127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195</v>
      </c>
      <c r="D183" s="6">
        <v>50</v>
      </c>
      <c r="E183" s="5" t="s">
        <v>301</v>
      </c>
      <c r="F183" s="17">
        <v>43431</v>
      </c>
      <c r="G183" s="5" t="s">
        <v>127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289</v>
      </c>
      <c r="D184" s="6">
        <v>120</v>
      </c>
      <c r="E184" s="5" t="s">
        <v>305</v>
      </c>
      <c r="F184" s="9"/>
      <c r="G184" s="5" t="s">
        <v>134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234</v>
      </c>
      <c r="C185" s="5" t="s">
        <v>356</v>
      </c>
      <c r="D185" s="6">
        <v>60</v>
      </c>
      <c r="E185" s="9" t="s">
        <v>27</v>
      </c>
      <c r="F185" s="17">
        <v>43469</v>
      </c>
      <c r="G185" s="5" t="s">
        <v>131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234</v>
      </c>
      <c r="C186" s="5" t="s">
        <v>351</v>
      </c>
      <c r="D186" s="6">
        <v>60</v>
      </c>
      <c r="E186" s="9" t="s">
        <v>22</v>
      </c>
      <c r="F186" s="17">
        <v>43469</v>
      </c>
      <c r="G186" s="5" t="s">
        <v>148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360</v>
      </c>
      <c r="D187" s="6">
        <v>50</v>
      </c>
      <c r="E187" s="5" t="s">
        <v>15</v>
      </c>
      <c r="F187" s="9"/>
      <c r="G187" s="5" t="s">
        <v>134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400</v>
      </c>
      <c r="D188" s="6">
        <v>40</v>
      </c>
      <c r="E188" s="5" t="s">
        <v>98</v>
      </c>
      <c r="F188" s="17">
        <v>43406</v>
      </c>
      <c r="G188" s="5" t="s">
        <v>100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190</v>
      </c>
      <c r="D189" s="6">
        <v>40</v>
      </c>
      <c r="E189" s="5" t="s">
        <v>226</v>
      </c>
      <c r="F189" s="17">
        <v>43406</v>
      </c>
      <c r="G189" s="5" t="s">
        <v>120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480</v>
      </c>
      <c r="D190" s="6">
        <v>40</v>
      </c>
      <c r="E190" s="19" t="s">
        <v>152</v>
      </c>
      <c r="F190" s="17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347</v>
      </c>
      <c r="D191" s="6">
        <v>55</v>
      </c>
      <c r="E191" s="5" t="s">
        <v>187</v>
      </c>
      <c r="F191" s="17">
        <v>43468</v>
      </c>
      <c r="G191" s="5" t="s">
        <v>108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149</v>
      </c>
      <c r="D192" s="6">
        <v>55</v>
      </c>
      <c r="E192" s="5" t="s">
        <v>186</v>
      </c>
      <c r="F192" s="17">
        <v>43468</v>
      </c>
      <c r="G192" s="5" t="s">
        <v>116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37" priority="19"/>
  </conditionalFormatting>
  <conditionalFormatting sqref="C9:C10">
    <cfRule type="duplicateValues" dxfId="36" priority="38"/>
  </conditionalFormatting>
  <conditionalFormatting sqref="C11">
    <cfRule type="duplicateValues" dxfId="35" priority="20"/>
  </conditionalFormatting>
  <conditionalFormatting sqref="C15:C16">
    <cfRule type="duplicateValues" dxfId="34" priority="24"/>
  </conditionalFormatting>
  <conditionalFormatting sqref="C20">
    <cfRule type="duplicateValues" dxfId="33" priority="36"/>
  </conditionalFormatting>
  <conditionalFormatting sqref="C21">
    <cfRule type="duplicateValues" dxfId="32" priority="25"/>
  </conditionalFormatting>
  <conditionalFormatting sqref="C43">
    <cfRule type="duplicateValues" dxfId="31" priority="26"/>
  </conditionalFormatting>
  <conditionalFormatting sqref="C53">
    <cfRule type="duplicateValues" dxfId="30" priority="5"/>
  </conditionalFormatting>
  <conditionalFormatting sqref="C54">
    <cfRule type="duplicateValues" dxfId="29" priority="23"/>
  </conditionalFormatting>
  <conditionalFormatting sqref="C62">
    <cfRule type="duplicateValues" dxfId="28" priority="33"/>
  </conditionalFormatting>
  <conditionalFormatting sqref="C68">
    <cfRule type="duplicateValues" dxfId="27" priority="11"/>
  </conditionalFormatting>
  <conditionalFormatting sqref="C69">
    <cfRule type="duplicateValues" dxfId="26" priority="2"/>
  </conditionalFormatting>
  <conditionalFormatting sqref="C73">
    <cfRule type="duplicateValues" dxfId="25" priority="6"/>
  </conditionalFormatting>
  <conditionalFormatting sqref="C76">
    <cfRule type="duplicateValues" dxfId="24" priority="28"/>
  </conditionalFormatting>
  <conditionalFormatting sqref="C81">
    <cfRule type="duplicateValues" dxfId="23" priority="13"/>
  </conditionalFormatting>
  <conditionalFormatting sqref="C82">
    <cfRule type="duplicateValues" dxfId="22" priority="9"/>
  </conditionalFormatting>
  <conditionalFormatting sqref="C86">
    <cfRule type="duplicateValues" dxfId="21" priority="12"/>
  </conditionalFormatting>
  <conditionalFormatting sqref="C87">
    <cfRule type="duplicateValues" dxfId="20" priority="8"/>
  </conditionalFormatting>
  <conditionalFormatting sqref="C89">
    <cfRule type="duplicateValues" dxfId="19" priority="7"/>
  </conditionalFormatting>
  <conditionalFormatting sqref="C92">
    <cfRule type="duplicateValues" dxfId="18" priority="22"/>
  </conditionalFormatting>
  <conditionalFormatting sqref="C97">
    <cfRule type="duplicateValues" dxfId="17" priority="21"/>
  </conditionalFormatting>
  <conditionalFormatting sqref="C100">
    <cfRule type="duplicateValues" dxfId="16" priority="34"/>
  </conditionalFormatting>
  <conditionalFormatting sqref="C102">
    <cfRule type="duplicateValues" dxfId="15" priority="29"/>
  </conditionalFormatting>
  <conditionalFormatting sqref="C106">
    <cfRule type="duplicateValues" dxfId="14" priority="30"/>
  </conditionalFormatting>
  <conditionalFormatting sqref="C107">
    <cfRule type="duplicateValues" dxfId="13" priority="10"/>
  </conditionalFormatting>
  <conditionalFormatting sqref="C114">
    <cfRule type="duplicateValues" dxfId="12" priority="18"/>
  </conditionalFormatting>
  <conditionalFormatting sqref="C119">
    <cfRule type="duplicateValues" dxfId="11" priority="16"/>
  </conditionalFormatting>
  <conditionalFormatting sqref="C129">
    <cfRule type="duplicateValues" dxfId="10" priority="27"/>
  </conditionalFormatting>
  <conditionalFormatting sqref="C133">
    <cfRule type="duplicateValues" dxfId="9" priority="37"/>
  </conditionalFormatting>
  <conditionalFormatting sqref="C138:C139">
    <cfRule type="duplicateValues" dxfId="8" priority="35"/>
  </conditionalFormatting>
  <conditionalFormatting sqref="C146">
    <cfRule type="duplicateValues" dxfId="7" priority="15"/>
  </conditionalFormatting>
  <conditionalFormatting sqref="C150">
    <cfRule type="duplicateValues" dxfId="6" priority="4"/>
  </conditionalFormatting>
  <conditionalFormatting sqref="C153">
    <cfRule type="duplicateValues" dxfId="5" priority="14"/>
  </conditionalFormatting>
  <conditionalFormatting sqref="C159">
    <cfRule type="duplicateValues" dxfId="4" priority="17"/>
  </conditionalFormatting>
  <conditionalFormatting sqref="C161">
    <cfRule type="duplicateValues" dxfId="3" priority="31"/>
  </conditionalFormatting>
  <conditionalFormatting sqref="C181">
    <cfRule type="duplicateValues" dxfId="2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" priority="39"/>
  </conditionalFormatting>
  <conditionalFormatting sqref="C183">
    <cfRule type="duplicateValues" dxfId="0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>
    <tabColor rgb="FF92D050"/>
  </sheetPr>
  <dimension ref="A1:D12"/>
  <sheetViews>
    <sheetView zoomScaleNormal="100" zoomScaleSheetLayoutView="75" workbookViewId="0">
      <selection activeCell="G4" sqref="G4"/>
    </sheetView>
  </sheetViews>
  <sheetFormatPr defaultColWidth="9" defaultRowHeight="16.5"/>
  <cols>
    <col min="1" max="1" width="4.875" style="10" customWidth="1"/>
    <col min="2" max="2" width="159.625" customWidth="1"/>
    <col min="4" max="4" width="13.125" customWidth="1"/>
  </cols>
  <sheetData>
    <row r="1" spans="1:4" ht="19.5" customHeight="1">
      <c r="A1" s="14"/>
      <c r="B1" s="15" t="s">
        <v>150</v>
      </c>
      <c r="C1" s="16" t="s">
        <v>264</v>
      </c>
      <c r="D1" s="12">
        <v>43384</v>
      </c>
    </row>
    <row r="2" spans="1:4">
      <c r="A2" s="13">
        <f>SUBTOTAL(3,$B$2:B2)</f>
        <v>1</v>
      </c>
      <c r="B2" t="s">
        <v>64</v>
      </c>
      <c r="C2" s="16" t="s">
        <v>272</v>
      </c>
      <c r="D2" s="12">
        <v>43550</v>
      </c>
    </row>
    <row r="3" spans="1:4">
      <c r="A3" s="13">
        <f>SUBTOTAL(3,$B$2:B3)</f>
        <v>2</v>
      </c>
      <c r="B3" t="s">
        <v>63</v>
      </c>
    </row>
    <row r="4" spans="1:4">
      <c r="A4" s="13">
        <f>SUBTOTAL(3,$B$2:B4)</f>
        <v>3</v>
      </c>
      <c r="B4" t="s">
        <v>183</v>
      </c>
    </row>
    <row r="5" spans="1:4">
      <c r="A5" s="13">
        <f>SUBTOTAL(3,$B$2:B5)</f>
        <v>4</v>
      </c>
      <c r="B5" t="s">
        <v>200</v>
      </c>
    </row>
    <row r="6" spans="1:4">
      <c r="A6" s="13">
        <f>SUBTOTAL(3,$B$2:B6)</f>
        <v>5</v>
      </c>
      <c r="B6" t="s">
        <v>182</v>
      </c>
    </row>
    <row r="7" spans="1:4">
      <c r="A7" s="13">
        <f>SUBTOTAL(3,$B$2:B7)</f>
        <v>6</v>
      </c>
      <c r="B7" t="s">
        <v>184</v>
      </c>
    </row>
    <row r="8" spans="1:4">
      <c r="A8" s="13">
        <f>SUBTOTAL(3,$B$2:B8)</f>
        <v>7</v>
      </c>
      <c r="B8" t="s">
        <v>246</v>
      </c>
    </row>
    <row r="9" spans="1:4">
      <c r="A9" s="13">
        <f>SUBTOTAL(3,$B$2:B9)</f>
        <v>8</v>
      </c>
      <c r="B9" t="s">
        <v>178</v>
      </c>
    </row>
    <row r="10" spans="1:4">
      <c r="A10" s="13">
        <f>SUBTOTAL(3,$B$2:B10)</f>
        <v>9</v>
      </c>
      <c r="B10" t="s">
        <v>185</v>
      </c>
    </row>
    <row r="11" spans="1:4">
      <c r="A11" s="13">
        <f>SUBTOTAL(3,$B$2:B11)</f>
        <v>10</v>
      </c>
      <c r="B11" t="s">
        <v>239</v>
      </c>
    </row>
    <row r="12" spans="1:4">
      <c r="A12" s="13">
        <f>SUBTOTAL(3,$B$2:B12)</f>
        <v>11</v>
      </c>
      <c r="B12" t="s">
        <v>151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28</vt:i4>
      </vt:variant>
      <vt:variant>
        <vt:lpstr>이름 지정된 범위</vt:lpstr>
      </vt:variant>
      <vt:variant>
        <vt:i4>34</vt:i4>
      </vt:variant>
    </vt:vector>
  </HeadingPairs>
  <TitlesOfParts>
    <vt:vector size="62" baseType="lpstr">
      <vt:lpstr>글로벌리더스&amp;석식식단표</vt:lpstr>
      <vt:lpstr>유아식단표</vt:lpstr>
      <vt:lpstr>온라인_반찬</vt:lpstr>
      <vt:lpstr>07-01</vt:lpstr>
      <vt:lpstr>07-02</vt:lpstr>
      <vt:lpstr>07-03</vt:lpstr>
      <vt:lpstr>07-06</vt:lpstr>
      <vt:lpstr>07-07</vt:lpstr>
      <vt:lpstr>07-08</vt:lpstr>
      <vt:lpstr>07-09</vt:lpstr>
      <vt:lpstr>07-10</vt:lpstr>
      <vt:lpstr>07-13</vt:lpstr>
      <vt:lpstr>07-14</vt:lpstr>
      <vt:lpstr>07-15</vt:lpstr>
      <vt:lpstr>07-16</vt:lpstr>
      <vt:lpstr>07-20</vt:lpstr>
      <vt:lpstr>07-21</vt:lpstr>
      <vt:lpstr>07-22</vt:lpstr>
      <vt:lpstr>07-23</vt:lpstr>
      <vt:lpstr>07-24</vt:lpstr>
      <vt:lpstr>07-27</vt:lpstr>
      <vt:lpstr>07-28</vt:lpstr>
      <vt:lpstr>07-29</vt:lpstr>
      <vt:lpstr>07-30</vt:lpstr>
      <vt:lpstr>07-31</vt:lpstr>
      <vt:lpstr>07-01 (2)</vt:lpstr>
      <vt:lpstr>급식_반찬</vt:lpstr>
      <vt:lpstr>HowToUse</vt:lpstr>
      <vt:lpstr>'07-01'!Print_Area</vt:lpstr>
      <vt:lpstr>'07-01 (2)'!Print_Area</vt:lpstr>
      <vt:lpstr>'07-02'!Print_Area</vt:lpstr>
      <vt:lpstr>'07-03'!Print_Area</vt:lpstr>
      <vt:lpstr>'07-06'!Print_Area</vt:lpstr>
      <vt:lpstr>'07-07'!Print_Area</vt:lpstr>
      <vt:lpstr>'07-08'!Print_Area</vt:lpstr>
      <vt:lpstr>'07-09'!Print_Area</vt:lpstr>
      <vt:lpstr>'07-10'!Print_Area</vt:lpstr>
      <vt:lpstr>'07-13'!Print_Area</vt:lpstr>
      <vt:lpstr>'07-14'!Print_Area</vt:lpstr>
      <vt:lpstr>'07-15'!Print_Area</vt:lpstr>
      <vt:lpstr>'07-16'!Print_Area</vt:lpstr>
      <vt:lpstr>'07-20'!Print_Area</vt:lpstr>
      <vt:lpstr>'07-21'!Print_Area</vt:lpstr>
      <vt:lpstr>'07-22'!Print_Area</vt:lpstr>
      <vt:lpstr>'07-23'!Print_Area</vt:lpstr>
      <vt:lpstr>'07-24'!Print_Area</vt:lpstr>
      <vt:lpstr>'07-27'!Print_Area</vt:lpstr>
      <vt:lpstr>'07-28'!Print_Area</vt:lpstr>
      <vt:lpstr>'07-29'!Print_Area</vt:lpstr>
      <vt:lpstr>'07-30'!Print_Area</vt:lpstr>
      <vt:lpstr>'07-31'!Print_Area</vt:lpstr>
      <vt:lpstr>'글로벌리더스&amp;석식식단표'!Print_Area</vt:lpstr>
      <vt:lpstr>급식_반찬!Print_Area</vt:lpstr>
      <vt:lpstr>온라인_반찬!Print_Area</vt:lpstr>
      <vt:lpstr>유아식단표!Print_Area</vt:lpstr>
      <vt:lpstr>온라인_반찬!Print_Titles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2026-07-15T01:11:02Z</cp:lastPrinted>
  <dcterms:created xsi:type="dcterms:W3CDTF">2018-09-21T05:42:35Z</dcterms:created>
  <dcterms:modified xsi:type="dcterms:W3CDTF">2026-08-18T07:43:41Z</dcterms:modified>
  <cp:version>0906.0200.01</cp:version>
</cp:coreProperties>
</file>