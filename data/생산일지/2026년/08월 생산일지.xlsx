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1\Desktop\키즈락 식단표 데이터\생산일지\2026년\"/>
    </mc:Choice>
  </mc:AlternateContent>
  <xr:revisionPtr revIDLastSave="0" documentId="13_ncr:1_{0153BE17-93C3-44E5-B338-54DC8FDF238C}" xr6:coauthVersionLast="47" xr6:coauthVersionMax="47" xr10:uidLastSave="{00000000-0000-0000-0000-000000000000}"/>
  <bookViews>
    <workbookView xWindow="-120" yWindow="-120" windowWidth="29040" windowHeight="15720" tabRatio="941" xr2:uid="{00000000-000D-0000-FFFF-FFFF00000000}"/>
  </bookViews>
  <sheets>
    <sheet name="글로벌리더스&amp;석식식단표" sheetId="1325" r:id="rId1"/>
    <sheet name="유아식단표" sheetId="760" r:id="rId2"/>
    <sheet name="레시피북" sheetId="21" r:id="rId3"/>
    <sheet name="08-03" sheetId="1349" r:id="rId4"/>
    <sheet name="08-04" sheetId="1369" r:id="rId5"/>
    <sheet name="08-05" sheetId="1368" r:id="rId6"/>
    <sheet name="08-06" sheetId="1367" r:id="rId7"/>
    <sheet name="08-07" sheetId="1366" r:id="rId8"/>
    <sheet name="08-10" sheetId="1365" r:id="rId9"/>
    <sheet name="08-11" sheetId="1364" r:id="rId10"/>
    <sheet name="08-12" sheetId="1363" r:id="rId11"/>
    <sheet name="08-13" sheetId="1362" r:id="rId12"/>
    <sheet name="08-14" sheetId="1361" r:id="rId13"/>
    <sheet name="08-18" sheetId="1360" r:id="rId14"/>
    <sheet name="08-19" sheetId="1359" r:id="rId15"/>
    <sheet name="08-20" sheetId="1358" r:id="rId16"/>
    <sheet name="08-21" sheetId="1357" r:id="rId17"/>
    <sheet name="08-24" sheetId="1356" r:id="rId18"/>
    <sheet name="08-25" sheetId="1355" r:id="rId19"/>
    <sheet name="08-26" sheetId="1354" r:id="rId20"/>
    <sheet name="08-27" sheetId="1353" r:id="rId21"/>
    <sheet name="08-28" sheetId="1352" r:id="rId22"/>
    <sheet name="08-30" sheetId="1351" r:id="rId23"/>
    <sheet name="08-03 (2)" sheetId="1350" r:id="rId24"/>
    <sheet name="급식_반찬" sheetId="22" r:id="rId25"/>
    <sheet name="HowToUse" sheetId="26" r:id="rId26"/>
  </sheets>
  <externalReferences>
    <externalReference r:id="rId27"/>
  </externalReferences>
  <definedNames>
    <definedName name="_xlnm.Print_Area" localSheetId="3">'08-03'!$A$1:$L$17</definedName>
    <definedName name="_xlnm.Print_Area" localSheetId="23">'08-03 (2)'!$A$1:$L$17</definedName>
    <definedName name="_xlnm.Print_Area" localSheetId="4">'08-04'!$A$1:$L$17</definedName>
    <definedName name="_xlnm.Print_Area" localSheetId="5">'08-05'!$A$1:$L$18</definedName>
    <definedName name="_xlnm.Print_Area" localSheetId="6">'08-06'!$A$1:$L$17</definedName>
    <definedName name="_xlnm.Print_Area" localSheetId="7">'08-07'!$A$1:$L$15</definedName>
    <definedName name="_xlnm.Print_Area" localSheetId="8">'08-10'!$A$1:$L$17</definedName>
    <definedName name="_xlnm.Print_Area" localSheetId="9">'08-11'!$A$1:$L$17</definedName>
    <definedName name="_xlnm.Print_Area" localSheetId="10">'08-12'!$A$1:$L$23</definedName>
    <definedName name="_xlnm.Print_Area" localSheetId="11">'08-13'!$A$1:$L$24</definedName>
    <definedName name="_xlnm.Print_Area" localSheetId="12">'08-14'!$A$1:$L$17</definedName>
    <definedName name="_xlnm.Print_Area" localSheetId="13">'08-18'!$A$1:$L$17</definedName>
    <definedName name="_xlnm.Print_Area" localSheetId="14">'08-19'!$A$1:$L$17</definedName>
    <definedName name="_xlnm.Print_Area" localSheetId="15">'08-20'!$A$1:$L$17</definedName>
    <definedName name="_xlnm.Print_Area" localSheetId="16">'08-21'!$A$1:$L$17</definedName>
    <definedName name="_xlnm.Print_Area" localSheetId="17">'08-24'!$A$1:$L$19</definedName>
    <definedName name="_xlnm.Print_Area" localSheetId="18">'08-25'!$A$1:$L$17</definedName>
    <definedName name="_xlnm.Print_Area" localSheetId="19">'08-26'!$A$1:$L$17</definedName>
    <definedName name="_xlnm.Print_Area" localSheetId="20">'08-27'!$A$1:$L$17</definedName>
    <definedName name="_xlnm.Print_Area" localSheetId="21">'08-28'!$A$1:$L$19</definedName>
    <definedName name="_xlnm.Print_Area" localSheetId="22">'08-30'!$A$1:$L$17</definedName>
    <definedName name="_xlnm.Print_Area" localSheetId="0">'글로벌리더스&amp;석식식단표'!$A$1:$K$52</definedName>
    <definedName name="_xlnm.Print_Area" localSheetId="24">급식_반찬!$A$1:$E$192</definedName>
    <definedName name="_xlnm.Print_Area" localSheetId="2">레시피북!$A$1:$H$90</definedName>
    <definedName name="_xlnm.Print_Area" localSheetId="1">유아식단표!$A$1:$K$53</definedName>
    <definedName name="_xlnm.Print_Titles" localSheetId="2">레시피북!$1:$1</definedName>
    <definedName name="급식국">#REF!</definedName>
    <definedName name="급식밥">#REF!</definedName>
    <definedName name="김치">급식_반찬!$C$27:$C$28</definedName>
    <definedName name="반찬1">레시피북!$C$127:$C$292</definedName>
    <definedName name="반찬2">레시피북!$C$293:$C$393</definedName>
    <definedName name="반찬3">레시피북!$C$379:$C$430</definedName>
    <definedName name="반찬4">레시피북!$C$345:$C$495</definedName>
    <definedName name="온라인국">레시피북!$C$2:$C$90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361" l="1"/>
  <c r="L16" i="1352" l="1"/>
  <c r="H17" i="1352"/>
  <c r="G17" i="1352"/>
  <c r="H16" i="1352"/>
  <c r="G16" i="1352"/>
  <c r="H15" i="1352"/>
  <c r="G15" i="1352"/>
  <c r="H14" i="1352"/>
  <c r="G14" i="1352"/>
  <c r="H12" i="1352"/>
  <c r="G12" i="1352"/>
  <c r="H11" i="1352"/>
  <c r="G11" i="1352"/>
  <c r="L8" i="1352"/>
  <c r="H8" i="1352"/>
  <c r="G8" i="1352"/>
  <c r="L14" i="1356" l="1"/>
  <c r="H14" i="1356"/>
  <c r="G14" i="1356"/>
  <c r="H13" i="1356"/>
  <c r="G13" i="1356"/>
  <c r="L6" i="1356"/>
  <c r="H6" i="1356"/>
  <c r="G6" i="1356"/>
  <c r="H11" i="1369" l="1"/>
  <c r="G12" i="1368" l="1"/>
  <c r="H18" i="1366"/>
  <c r="G18" i="1366"/>
  <c r="L16" i="1368" l="1"/>
  <c r="H16" i="1368"/>
  <c r="G16" i="1368"/>
  <c r="G3" i="1349" l="1"/>
  <c r="L23" i="1369"/>
  <c r="H23" i="1369"/>
  <c r="G23" i="1369"/>
  <c r="L22" i="1369"/>
  <c r="H22" i="1369"/>
  <c r="G22" i="1369"/>
  <c r="L21" i="1369"/>
  <c r="H21" i="1369"/>
  <c r="G21" i="1369"/>
  <c r="L20" i="1369"/>
  <c r="H20" i="1369"/>
  <c r="G20" i="1369"/>
  <c r="L19" i="1369"/>
  <c r="H19" i="1369"/>
  <c r="G19" i="1369"/>
  <c r="L18" i="1369"/>
  <c r="H18" i="1369"/>
  <c r="G18" i="1369"/>
  <c r="L16" i="1369"/>
  <c r="H16" i="1369"/>
  <c r="L15" i="1369"/>
  <c r="H15" i="1369"/>
  <c r="G15" i="1369"/>
  <c r="L14" i="1369"/>
  <c r="H14" i="1369"/>
  <c r="G14" i="1369"/>
  <c r="L13" i="1369"/>
  <c r="H13" i="1369"/>
  <c r="G13" i="1369"/>
  <c r="L12" i="1369"/>
  <c r="H12" i="1369"/>
  <c r="G12" i="1369"/>
  <c r="L11" i="1369"/>
  <c r="L10" i="1369"/>
  <c r="H10" i="1369"/>
  <c r="G10" i="1369"/>
  <c r="L8" i="1369"/>
  <c r="H8" i="1369"/>
  <c r="G8" i="1369"/>
  <c r="L7" i="1369"/>
  <c r="H7" i="1369"/>
  <c r="G7" i="1369"/>
  <c r="L6" i="1369"/>
  <c r="H6" i="1369"/>
  <c r="G6" i="1369"/>
  <c r="L5" i="1369"/>
  <c r="H5" i="1369"/>
  <c r="G5" i="1369"/>
  <c r="L4" i="1369"/>
  <c r="H4" i="1369"/>
  <c r="G4" i="1369"/>
  <c r="L3" i="1369"/>
  <c r="H3" i="1369"/>
  <c r="G3" i="1369"/>
  <c r="L24" i="1368"/>
  <c r="H24" i="1368"/>
  <c r="G24" i="1368"/>
  <c r="L23" i="1368"/>
  <c r="H23" i="1368"/>
  <c r="G23" i="1368"/>
  <c r="L22" i="1368"/>
  <c r="H22" i="1368"/>
  <c r="G22" i="1368"/>
  <c r="L21" i="1368"/>
  <c r="H21" i="1368"/>
  <c r="G21" i="1368"/>
  <c r="L20" i="1368"/>
  <c r="H20" i="1368"/>
  <c r="G20" i="1368"/>
  <c r="L19" i="1368"/>
  <c r="H19" i="1368"/>
  <c r="G19" i="1368"/>
  <c r="L17" i="1368"/>
  <c r="H17" i="1368"/>
  <c r="G17" i="1368"/>
  <c r="L15" i="1368"/>
  <c r="H15" i="1368"/>
  <c r="G15" i="1368"/>
  <c r="L14" i="1368"/>
  <c r="H14" i="1368"/>
  <c r="G14" i="1368"/>
  <c r="L13" i="1368"/>
  <c r="H13" i="1368"/>
  <c r="G13" i="1368"/>
  <c r="L12" i="1368"/>
  <c r="H12" i="1368"/>
  <c r="L11" i="1368"/>
  <c r="H11" i="1368"/>
  <c r="G11" i="1368"/>
  <c r="L10" i="1368"/>
  <c r="H10" i="1368"/>
  <c r="G10" i="1368"/>
  <c r="L8" i="1368"/>
  <c r="H8" i="1368"/>
  <c r="G8" i="1368"/>
  <c r="L7" i="1368"/>
  <c r="H7" i="1368"/>
  <c r="G7" i="1368"/>
  <c r="L6" i="1368"/>
  <c r="H6" i="1368"/>
  <c r="G6" i="1368"/>
  <c r="L5" i="1368"/>
  <c r="H5" i="1368"/>
  <c r="G5" i="1368"/>
  <c r="L4" i="1368"/>
  <c r="H4" i="1368"/>
  <c r="G4" i="1368"/>
  <c r="L3" i="1368"/>
  <c r="H3" i="1368"/>
  <c r="G3" i="1368"/>
  <c r="L23" i="1367"/>
  <c r="H23" i="1367"/>
  <c r="G23" i="1367"/>
  <c r="L22" i="1367"/>
  <c r="H22" i="1367"/>
  <c r="G22" i="1367"/>
  <c r="L21" i="1367"/>
  <c r="H21" i="1367"/>
  <c r="G21" i="1367"/>
  <c r="L20" i="1367"/>
  <c r="H20" i="1367"/>
  <c r="G20" i="1367"/>
  <c r="L19" i="1367"/>
  <c r="H19" i="1367"/>
  <c r="G19" i="1367"/>
  <c r="L18" i="1367"/>
  <c r="H18" i="1367"/>
  <c r="G18" i="1367"/>
  <c r="L16" i="1367"/>
  <c r="H16" i="1367"/>
  <c r="G16" i="1367"/>
  <c r="L15" i="1367"/>
  <c r="H15" i="1367"/>
  <c r="G15" i="1367"/>
  <c r="L14" i="1367"/>
  <c r="H14" i="1367"/>
  <c r="G14" i="1367"/>
  <c r="L13" i="1367"/>
  <c r="H13" i="1367"/>
  <c r="G13" i="1367"/>
  <c r="L12" i="1367"/>
  <c r="H12" i="1367"/>
  <c r="G12" i="1367"/>
  <c r="L11" i="1367"/>
  <c r="H11" i="1367"/>
  <c r="G11" i="1367"/>
  <c r="L10" i="1367"/>
  <c r="H10" i="1367"/>
  <c r="G10" i="1367"/>
  <c r="L8" i="1367"/>
  <c r="H8" i="1367"/>
  <c r="G8" i="1367"/>
  <c r="L7" i="1367"/>
  <c r="H7" i="1367"/>
  <c r="G7" i="1367"/>
  <c r="L6" i="1367"/>
  <c r="H6" i="1367"/>
  <c r="G6" i="1367"/>
  <c r="L5" i="1367"/>
  <c r="H5" i="1367"/>
  <c r="G5" i="1367"/>
  <c r="L4" i="1367"/>
  <c r="H4" i="1367"/>
  <c r="G4" i="1367"/>
  <c r="L3" i="1367"/>
  <c r="H3" i="1367"/>
  <c r="G3" i="1367"/>
  <c r="L14" i="1366"/>
  <c r="H14" i="1366"/>
  <c r="L13" i="1366"/>
  <c r="H13" i="1366"/>
  <c r="G13" i="1366"/>
  <c r="L12" i="1366"/>
  <c r="H12" i="1366"/>
  <c r="G12" i="1366"/>
  <c r="L11" i="1366"/>
  <c r="H11" i="1366"/>
  <c r="G11" i="1366"/>
  <c r="L10" i="1366"/>
  <c r="H10" i="1366"/>
  <c r="G10" i="1366"/>
  <c r="L22" i="1366"/>
  <c r="H22" i="1366"/>
  <c r="G22" i="1366"/>
  <c r="L21" i="1366"/>
  <c r="H21" i="1366"/>
  <c r="G21" i="1366"/>
  <c r="L20" i="1366"/>
  <c r="H20" i="1366"/>
  <c r="G20" i="1366"/>
  <c r="L19" i="1366"/>
  <c r="H19" i="1366"/>
  <c r="G19" i="1366"/>
  <c r="L18" i="1366"/>
  <c r="L17" i="1366"/>
  <c r="H17" i="1366"/>
  <c r="G17" i="1366"/>
  <c r="L16" i="1366"/>
  <c r="H16" i="1366"/>
  <c r="G16" i="1366"/>
  <c r="L8" i="1366"/>
  <c r="H8" i="1366"/>
  <c r="G8" i="1366"/>
  <c r="L7" i="1366"/>
  <c r="H7" i="1366"/>
  <c r="G7" i="1366"/>
  <c r="L6" i="1366"/>
  <c r="H6" i="1366"/>
  <c r="G6" i="1366"/>
  <c r="L5" i="1366"/>
  <c r="H5" i="1366"/>
  <c r="G5" i="1366"/>
  <c r="L4" i="1366"/>
  <c r="H4" i="1366"/>
  <c r="G4" i="1366"/>
  <c r="L3" i="1366"/>
  <c r="H3" i="1366"/>
  <c r="G3" i="1366"/>
  <c r="L23" i="1365"/>
  <c r="H23" i="1365"/>
  <c r="G23" i="1365"/>
  <c r="L22" i="1365"/>
  <c r="H22" i="1365"/>
  <c r="G22" i="1365"/>
  <c r="L21" i="1365"/>
  <c r="H21" i="1365"/>
  <c r="G21" i="1365"/>
  <c r="L20" i="1365"/>
  <c r="H20" i="1365"/>
  <c r="G20" i="1365"/>
  <c r="L19" i="1365"/>
  <c r="H19" i="1365"/>
  <c r="G19" i="1365"/>
  <c r="L18" i="1365"/>
  <c r="H18" i="1365"/>
  <c r="G18" i="1365"/>
  <c r="L16" i="1365"/>
  <c r="H16" i="1365"/>
  <c r="G16" i="1365"/>
  <c r="L15" i="1365"/>
  <c r="H15" i="1365"/>
  <c r="G15" i="1365"/>
  <c r="L14" i="1365"/>
  <c r="H14" i="1365"/>
  <c r="G14" i="1365"/>
  <c r="L13" i="1365"/>
  <c r="H13" i="1365"/>
  <c r="G13" i="1365"/>
  <c r="L12" i="1365"/>
  <c r="H12" i="1365"/>
  <c r="G12" i="1365"/>
  <c r="L11" i="1365"/>
  <c r="H11" i="1365"/>
  <c r="G11" i="1365"/>
  <c r="L10" i="1365"/>
  <c r="H10" i="1365"/>
  <c r="G10" i="1365"/>
  <c r="L8" i="1365"/>
  <c r="H8" i="1365"/>
  <c r="G8" i="1365"/>
  <c r="L7" i="1365"/>
  <c r="H7" i="1365"/>
  <c r="G7" i="1365"/>
  <c r="L6" i="1365"/>
  <c r="H6" i="1365"/>
  <c r="G6" i="1365"/>
  <c r="L5" i="1365"/>
  <c r="H5" i="1365"/>
  <c r="G5" i="1365"/>
  <c r="L4" i="1365"/>
  <c r="H4" i="1365"/>
  <c r="G4" i="1365"/>
  <c r="L3" i="1365"/>
  <c r="H3" i="1365"/>
  <c r="G3" i="1365"/>
  <c r="L23" i="1364"/>
  <c r="H23" i="1364"/>
  <c r="G23" i="1364"/>
  <c r="L22" i="1364"/>
  <c r="H22" i="1364"/>
  <c r="G22" i="1364"/>
  <c r="L21" i="1364"/>
  <c r="H21" i="1364"/>
  <c r="G21" i="1364"/>
  <c r="L20" i="1364"/>
  <c r="H20" i="1364"/>
  <c r="G20" i="1364"/>
  <c r="L19" i="1364"/>
  <c r="H19" i="1364"/>
  <c r="G19" i="1364"/>
  <c r="L18" i="1364"/>
  <c r="H18" i="1364"/>
  <c r="G18" i="1364"/>
  <c r="L16" i="1364"/>
  <c r="H16" i="1364"/>
  <c r="L15" i="1364"/>
  <c r="H15" i="1364"/>
  <c r="G15" i="1364"/>
  <c r="L14" i="1364"/>
  <c r="H14" i="1364"/>
  <c r="G14" i="1364"/>
  <c r="L13" i="1364"/>
  <c r="L12" i="1364"/>
  <c r="H12" i="1364"/>
  <c r="G12" i="1364"/>
  <c r="L11" i="1364"/>
  <c r="L10" i="1364"/>
  <c r="H10" i="1364"/>
  <c r="G10" i="1364"/>
  <c r="L8" i="1364"/>
  <c r="H8" i="1364"/>
  <c r="G8" i="1364"/>
  <c r="L7" i="1364"/>
  <c r="H7" i="1364"/>
  <c r="G7" i="1364"/>
  <c r="L6" i="1364"/>
  <c r="H6" i="1364"/>
  <c r="G6" i="1364"/>
  <c r="L5" i="1364"/>
  <c r="H5" i="1364"/>
  <c r="G5" i="1364"/>
  <c r="L4" i="1364"/>
  <c r="H4" i="1364"/>
  <c r="G4" i="1364"/>
  <c r="L3" i="1364"/>
  <c r="H3" i="1364"/>
  <c r="G3" i="1364"/>
  <c r="L14" i="1363"/>
  <c r="H14" i="1363"/>
  <c r="L13" i="1363"/>
  <c r="H13" i="1363"/>
  <c r="G13" i="1363"/>
  <c r="L12" i="1363"/>
  <c r="H12" i="1363"/>
  <c r="G12" i="1363"/>
  <c r="L11" i="1363"/>
  <c r="H11" i="1363"/>
  <c r="G11" i="1363"/>
  <c r="L10" i="1363"/>
  <c r="H10" i="1363"/>
  <c r="G10" i="1363"/>
  <c r="L22" i="1363"/>
  <c r="H22" i="1363"/>
  <c r="G22" i="1363"/>
  <c r="L21" i="1363"/>
  <c r="H21" i="1363"/>
  <c r="G21" i="1363"/>
  <c r="L20" i="1363"/>
  <c r="H20" i="1363"/>
  <c r="G20" i="1363"/>
  <c r="L19" i="1363"/>
  <c r="H19" i="1363"/>
  <c r="G19" i="1363"/>
  <c r="L18" i="1363"/>
  <c r="H18" i="1363"/>
  <c r="G18" i="1363"/>
  <c r="L17" i="1363"/>
  <c r="H17" i="1363"/>
  <c r="G17" i="1363"/>
  <c r="L16" i="1363"/>
  <c r="H16" i="1363"/>
  <c r="G16" i="1363"/>
  <c r="L8" i="1363"/>
  <c r="H8" i="1363"/>
  <c r="G8" i="1363"/>
  <c r="L7" i="1363"/>
  <c r="H7" i="1363"/>
  <c r="G7" i="1363"/>
  <c r="L6" i="1363"/>
  <c r="H6" i="1363"/>
  <c r="G6" i="1363"/>
  <c r="L5" i="1363"/>
  <c r="H5" i="1363"/>
  <c r="G5" i="1363"/>
  <c r="L4" i="1363"/>
  <c r="H4" i="1363"/>
  <c r="G4" i="1363"/>
  <c r="L3" i="1363"/>
  <c r="H3" i="1363"/>
  <c r="G3" i="1363"/>
  <c r="L15" i="1362"/>
  <c r="H15" i="1362"/>
  <c r="G15" i="1362"/>
  <c r="L14" i="1362"/>
  <c r="H14" i="1362"/>
  <c r="G14" i="1362"/>
  <c r="L13" i="1362"/>
  <c r="H13" i="1362"/>
  <c r="G13" i="1362"/>
  <c r="L12" i="1362"/>
  <c r="H12" i="1362"/>
  <c r="G12" i="1362"/>
  <c r="L11" i="1362"/>
  <c r="H11" i="1362"/>
  <c r="G11" i="1362"/>
  <c r="L10" i="1362"/>
  <c r="H10" i="1362"/>
  <c r="G10" i="1362"/>
  <c r="L23" i="1362"/>
  <c r="H23" i="1362"/>
  <c r="G23" i="1362"/>
  <c r="L22" i="1362"/>
  <c r="H22" i="1362"/>
  <c r="G22" i="1362"/>
  <c r="L21" i="1362"/>
  <c r="H21" i="1362"/>
  <c r="G21" i="1362"/>
  <c r="L20" i="1362"/>
  <c r="H20" i="1362"/>
  <c r="G20" i="1362"/>
  <c r="L19" i="1362"/>
  <c r="L18" i="1362"/>
  <c r="H18" i="1362"/>
  <c r="G18" i="1362"/>
  <c r="L17" i="1362"/>
  <c r="H17" i="1362"/>
  <c r="G17" i="1362"/>
  <c r="L8" i="1362"/>
  <c r="H8" i="1362"/>
  <c r="G8" i="1362"/>
  <c r="L7" i="1362"/>
  <c r="H7" i="1362"/>
  <c r="G7" i="1362"/>
  <c r="L6" i="1362"/>
  <c r="H6" i="1362"/>
  <c r="G6" i="1362"/>
  <c r="L5" i="1362"/>
  <c r="H5" i="1362"/>
  <c r="G5" i="1362"/>
  <c r="L4" i="1362"/>
  <c r="H4" i="1362"/>
  <c r="G4" i="1362"/>
  <c r="L3" i="1362"/>
  <c r="H3" i="1362"/>
  <c r="G3" i="1362"/>
  <c r="L23" i="1361"/>
  <c r="H23" i="1361"/>
  <c r="G23" i="1361"/>
  <c r="L22" i="1361"/>
  <c r="H22" i="1361"/>
  <c r="G22" i="1361"/>
  <c r="L21" i="1361"/>
  <c r="H21" i="1361"/>
  <c r="G21" i="1361"/>
  <c r="L20" i="1361"/>
  <c r="H20" i="1361"/>
  <c r="G20" i="1361"/>
  <c r="L19" i="1361"/>
  <c r="H19" i="1361"/>
  <c r="G19" i="1361"/>
  <c r="L18" i="1361"/>
  <c r="H18" i="1361"/>
  <c r="G18" i="1361"/>
  <c r="L16" i="1361"/>
  <c r="H16" i="1361"/>
  <c r="G16" i="1361"/>
  <c r="L15" i="1361"/>
  <c r="H15" i="1361"/>
  <c r="G15" i="1361"/>
  <c r="L14" i="1361"/>
  <c r="H14" i="1361"/>
  <c r="G14" i="1361"/>
  <c r="L13" i="1361"/>
  <c r="H13" i="1361"/>
  <c r="G13" i="1361"/>
  <c r="L12" i="1361"/>
  <c r="H12" i="1361"/>
  <c r="G12" i="1361"/>
  <c r="L11" i="1361"/>
  <c r="H11" i="1361"/>
  <c r="G11" i="1361"/>
  <c r="L10" i="1361"/>
  <c r="H10" i="1361"/>
  <c r="G10" i="1361"/>
  <c r="L8" i="1361"/>
  <c r="H8" i="1361"/>
  <c r="G8" i="1361"/>
  <c r="L7" i="1361"/>
  <c r="H7" i="1361"/>
  <c r="G7" i="1361"/>
  <c r="L6" i="1361"/>
  <c r="H6" i="1361"/>
  <c r="G6" i="1361"/>
  <c r="L5" i="1361"/>
  <c r="H5" i="1361"/>
  <c r="L4" i="1361"/>
  <c r="H4" i="1361"/>
  <c r="G4" i="1361"/>
  <c r="L3" i="1361"/>
  <c r="H3" i="1361"/>
  <c r="G3" i="1361"/>
  <c r="L23" i="1360"/>
  <c r="H23" i="1360"/>
  <c r="G23" i="1360"/>
  <c r="L22" i="1360"/>
  <c r="H22" i="1360"/>
  <c r="G22" i="1360"/>
  <c r="L21" i="1360"/>
  <c r="H21" i="1360"/>
  <c r="G21" i="1360"/>
  <c r="L20" i="1360"/>
  <c r="H20" i="1360"/>
  <c r="G20" i="1360"/>
  <c r="L19" i="1360"/>
  <c r="H19" i="1360"/>
  <c r="G19" i="1360"/>
  <c r="L18" i="1360"/>
  <c r="H18" i="1360"/>
  <c r="G18" i="1360"/>
  <c r="L16" i="1360"/>
  <c r="H16" i="1360"/>
  <c r="G16" i="1360"/>
  <c r="L15" i="1360"/>
  <c r="H15" i="1360"/>
  <c r="G15" i="1360"/>
  <c r="L14" i="1360"/>
  <c r="H14" i="1360"/>
  <c r="G14" i="1360"/>
  <c r="L13" i="1360"/>
  <c r="H13" i="1360"/>
  <c r="G13" i="1360"/>
  <c r="L12" i="1360"/>
  <c r="H12" i="1360"/>
  <c r="G12" i="1360"/>
  <c r="L11" i="1360"/>
  <c r="H11" i="1360"/>
  <c r="G11" i="1360"/>
  <c r="L10" i="1360"/>
  <c r="H10" i="1360"/>
  <c r="G10" i="1360"/>
  <c r="L8" i="1360"/>
  <c r="H8" i="1360"/>
  <c r="G8" i="1360"/>
  <c r="L7" i="1360"/>
  <c r="H7" i="1360"/>
  <c r="G7" i="1360"/>
  <c r="L6" i="1360"/>
  <c r="H6" i="1360"/>
  <c r="G6" i="1360"/>
  <c r="L5" i="1360"/>
  <c r="H5" i="1360"/>
  <c r="G5" i="1360"/>
  <c r="L4" i="1360"/>
  <c r="H4" i="1360"/>
  <c r="G4" i="1360"/>
  <c r="L3" i="1360"/>
  <c r="H3" i="1360"/>
  <c r="G3" i="1360"/>
  <c r="L23" i="1359"/>
  <c r="H23" i="1359"/>
  <c r="G23" i="1359"/>
  <c r="L22" i="1359"/>
  <c r="H22" i="1359"/>
  <c r="G22" i="1359"/>
  <c r="L21" i="1359"/>
  <c r="H21" i="1359"/>
  <c r="G21" i="1359"/>
  <c r="L20" i="1359"/>
  <c r="H20" i="1359"/>
  <c r="G20" i="1359"/>
  <c r="L19" i="1359"/>
  <c r="H19" i="1359"/>
  <c r="G19" i="1359"/>
  <c r="L18" i="1359"/>
  <c r="H18" i="1359"/>
  <c r="G18" i="1359"/>
  <c r="L16" i="1359"/>
  <c r="H16" i="1359"/>
  <c r="G16" i="1359"/>
  <c r="L15" i="1359"/>
  <c r="H15" i="1359"/>
  <c r="G15" i="1359"/>
  <c r="L14" i="1359"/>
  <c r="H14" i="1359"/>
  <c r="G14" i="1359"/>
  <c r="L13" i="1359"/>
  <c r="H13" i="1359"/>
  <c r="G13" i="1359"/>
  <c r="L12" i="1359"/>
  <c r="H12" i="1359"/>
  <c r="G12" i="1359"/>
  <c r="L11" i="1359"/>
  <c r="H11" i="1359"/>
  <c r="G11" i="1359"/>
  <c r="L10" i="1359"/>
  <c r="H10" i="1359"/>
  <c r="G10" i="1359"/>
  <c r="L8" i="1359"/>
  <c r="H8" i="1359"/>
  <c r="G8" i="1359"/>
  <c r="L7" i="1359"/>
  <c r="H7" i="1359"/>
  <c r="G7" i="1359"/>
  <c r="L6" i="1359"/>
  <c r="H6" i="1359"/>
  <c r="G6" i="1359"/>
  <c r="L5" i="1359"/>
  <c r="H5" i="1359"/>
  <c r="G5" i="1359"/>
  <c r="L4" i="1359"/>
  <c r="H4" i="1359"/>
  <c r="G4" i="1359"/>
  <c r="L3" i="1359"/>
  <c r="H3" i="1359"/>
  <c r="G3" i="1359"/>
  <c r="L23" i="1358"/>
  <c r="H23" i="1358"/>
  <c r="G23" i="1358"/>
  <c r="L22" i="1358"/>
  <c r="H22" i="1358"/>
  <c r="G22" i="1358"/>
  <c r="L21" i="1358"/>
  <c r="H21" i="1358"/>
  <c r="G21" i="1358"/>
  <c r="L20" i="1358"/>
  <c r="H20" i="1358"/>
  <c r="G20" i="1358"/>
  <c r="L19" i="1358"/>
  <c r="H19" i="1358"/>
  <c r="G19" i="1358"/>
  <c r="L18" i="1358"/>
  <c r="H18" i="1358"/>
  <c r="G18" i="1358"/>
  <c r="L16" i="1358"/>
  <c r="H16" i="1358"/>
  <c r="G16" i="1358"/>
  <c r="L15" i="1358"/>
  <c r="H15" i="1358"/>
  <c r="G15" i="1358"/>
  <c r="L14" i="1358"/>
  <c r="H14" i="1358"/>
  <c r="G14" i="1358"/>
  <c r="L13" i="1358"/>
  <c r="H13" i="1358"/>
  <c r="G13" i="1358"/>
  <c r="L12" i="1358"/>
  <c r="H12" i="1358"/>
  <c r="G12" i="1358"/>
  <c r="L11" i="1358"/>
  <c r="H11" i="1358"/>
  <c r="G11" i="1358"/>
  <c r="L10" i="1358"/>
  <c r="H10" i="1358"/>
  <c r="G10" i="1358"/>
  <c r="L8" i="1358"/>
  <c r="H8" i="1358"/>
  <c r="G8" i="1358"/>
  <c r="L7" i="1358"/>
  <c r="H7" i="1358"/>
  <c r="G7" i="1358"/>
  <c r="L6" i="1358"/>
  <c r="H6" i="1358"/>
  <c r="G6" i="1358"/>
  <c r="L5" i="1358"/>
  <c r="H5" i="1358"/>
  <c r="G5" i="1358"/>
  <c r="L4" i="1358"/>
  <c r="H4" i="1358"/>
  <c r="G4" i="1358"/>
  <c r="L3" i="1358"/>
  <c r="H3" i="1358"/>
  <c r="G3" i="1358"/>
  <c r="L23" i="1357"/>
  <c r="H23" i="1357"/>
  <c r="G23" i="1357"/>
  <c r="L22" i="1357"/>
  <c r="H22" i="1357"/>
  <c r="G22" i="1357"/>
  <c r="L21" i="1357"/>
  <c r="H21" i="1357"/>
  <c r="G21" i="1357"/>
  <c r="L20" i="1357"/>
  <c r="H20" i="1357"/>
  <c r="G20" i="1357"/>
  <c r="L19" i="1357"/>
  <c r="H19" i="1357"/>
  <c r="G19" i="1357"/>
  <c r="L18" i="1357"/>
  <c r="H18" i="1357"/>
  <c r="G18" i="1357"/>
  <c r="L16" i="1357"/>
  <c r="H16" i="1357"/>
  <c r="G16" i="1357"/>
  <c r="L15" i="1357"/>
  <c r="H15" i="1357"/>
  <c r="G15" i="1357"/>
  <c r="L14" i="1357"/>
  <c r="H14" i="1357"/>
  <c r="G14" i="1357"/>
  <c r="L13" i="1357"/>
  <c r="H13" i="1357"/>
  <c r="G13" i="1357"/>
  <c r="L12" i="1357"/>
  <c r="H12" i="1357"/>
  <c r="G12" i="1357"/>
  <c r="L11" i="1357"/>
  <c r="H11" i="1357"/>
  <c r="G11" i="1357"/>
  <c r="L10" i="1357"/>
  <c r="H10" i="1357"/>
  <c r="G10" i="1357"/>
  <c r="L8" i="1357"/>
  <c r="H8" i="1357"/>
  <c r="G8" i="1357"/>
  <c r="L7" i="1357"/>
  <c r="H7" i="1357"/>
  <c r="G7" i="1357"/>
  <c r="L6" i="1357"/>
  <c r="H6" i="1357"/>
  <c r="G6" i="1357"/>
  <c r="L5" i="1357"/>
  <c r="H5" i="1357"/>
  <c r="G5" i="1357"/>
  <c r="L4" i="1357"/>
  <c r="H4" i="1357"/>
  <c r="G4" i="1357"/>
  <c r="L3" i="1357"/>
  <c r="H3" i="1357"/>
  <c r="G3" i="1357"/>
  <c r="L25" i="1356"/>
  <c r="H25" i="1356"/>
  <c r="G25" i="1356"/>
  <c r="L24" i="1356"/>
  <c r="H24" i="1356"/>
  <c r="G24" i="1356"/>
  <c r="L23" i="1356"/>
  <c r="H23" i="1356"/>
  <c r="G23" i="1356"/>
  <c r="L22" i="1356"/>
  <c r="H22" i="1356"/>
  <c r="G22" i="1356"/>
  <c r="L21" i="1356"/>
  <c r="H21" i="1356"/>
  <c r="G21" i="1356"/>
  <c r="L20" i="1356"/>
  <c r="H20" i="1356"/>
  <c r="G20" i="1356"/>
  <c r="L18" i="1356"/>
  <c r="H18" i="1356"/>
  <c r="G18" i="1356"/>
  <c r="L17" i="1356"/>
  <c r="H17" i="1356"/>
  <c r="G17" i="1356"/>
  <c r="L16" i="1356"/>
  <c r="L15" i="1356"/>
  <c r="H15" i="1356"/>
  <c r="G15" i="1356"/>
  <c r="L13" i="1356"/>
  <c r="L12" i="1356"/>
  <c r="H12" i="1356"/>
  <c r="G12" i="1356"/>
  <c r="L11" i="1356"/>
  <c r="H11" i="1356"/>
  <c r="G11" i="1356"/>
  <c r="L9" i="1356"/>
  <c r="H9" i="1356"/>
  <c r="G9" i="1356"/>
  <c r="L8" i="1356"/>
  <c r="H8" i="1356"/>
  <c r="G8" i="1356"/>
  <c r="L7" i="1356"/>
  <c r="H7" i="1356"/>
  <c r="G7" i="1356"/>
  <c r="L5" i="1356"/>
  <c r="H5" i="1356"/>
  <c r="G5" i="1356"/>
  <c r="L4" i="1356"/>
  <c r="H4" i="1356"/>
  <c r="G4" i="1356"/>
  <c r="L3" i="1356"/>
  <c r="H3" i="1356"/>
  <c r="G3" i="1356"/>
  <c r="L23" i="1355"/>
  <c r="H23" i="1355"/>
  <c r="G23" i="1355"/>
  <c r="L22" i="1355"/>
  <c r="H22" i="1355"/>
  <c r="G22" i="1355"/>
  <c r="L21" i="1355"/>
  <c r="H21" i="1355"/>
  <c r="G21" i="1355"/>
  <c r="L20" i="1355"/>
  <c r="H20" i="1355"/>
  <c r="G20" i="1355"/>
  <c r="L19" i="1355"/>
  <c r="H19" i="1355"/>
  <c r="G19" i="1355"/>
  <c r="L18" i="1355"/>
  <c r="H18" i="1355"/>
  <c r="G18" i="1355"/>
  <c r="L16" i="1355"/>
  <c r="H16" i="1355"/>
  <c r="G16" i="1355"/>
  <c r="L15" i="1355"/>
  <c r="H15" i="1355"/>
  <c r="G15" i="1355"/>
  <c r="L14" i="1355"/>
  <c r="H14" i="1355"/>
  <c r="G14" i="1355"/>
  <c r="L13" i="1355"/>
  <c r="H13" i="1355"/>
  <c r="G13" i="1355"/>
  <c r="L12" i="1355"/>
  <c r="L11" i="1355"/>
  <c r="H11" i="1355"/>
  <c r="G11" i="1355"/>
  <c r="L10" i="1355"/>
  <c r="H10" i="1355"/>
  <c r="G10" i="1355"/>
  <c r="L8" i="1355"/>
  <c r="H8" i="1355"/>
  <c r="G8" i="1355"/>
  <c r="L7" i="1355"/>
  <c r="H7" i="1355"/>
  <c r="G7" i="1355"/>
  <c r="L6" i="1355"/>
  <c r="H6" i="1355"/>
  <c r="G6" i="1355"/>
  <c r="L5" i="1355"/>
  <c r="H5" i="1355"/>
  <c r="G5" i="1355"/>
  <c r="L4" i="1355"/>
  <c r="H4" i="1355"/>
  <c r="G4" i="1355"/>
  <c r="L3" i="1355"/>
  <c r="H3" i="1355"/>
  <c r="G3" i="1355"/>
  <c r="L23" i="1354"/>
  <c r="H23" i="1354"/>
  <c r="G23" i="1354"/>
  <c r="L22" i="1354"/>
  <c r="H22" i="1354"/>
  <c r="G22" i="1354"/>
  <c r="L21" i="1354"/>
  <c r="H21" i="1354"/>
  <c r="G21" i="1354"/>
  <c r="L20" i="1354"/>
  <c r="H20" i="1354"/>
  <c r="G20" i="1354"/>
  <c r="L19" i="1354"/>
  <c r="H19" i="1354"/>
  <c r="G19" i="1354"/>
  <c r="L18" i="1354"/>
  <c r="H18" i="1354"/>
  <c r="G18" i="1354"/>
  <c r="L16" i="1354"/>
  <c r="H16" i="1354"/>
  <c r="G16" i="1354"/>
  <c r="L15" i="1354"/>
  <c r="H15" i="1354"/>
  <c r="G15" i="1354"/>
  <c r="L14" i="1354"/>
  <c r="H14" i="1354"/>
  <c r="G14" i="1354"/>
  <c r="L13" i="1354"/>
  <c r="H13" i="1354"/>
  <c r="G13" i="1354"/>
  <c r="L12" i="1354"/>
  <c r="H12" i="1354"/>
  <c r="G12" i="1354"/>
  <c r="L11" i="1354"/>
  <c r="H11" i="1354"/>
  <c r="G11" i="1354"/>
  <c r="L10" i="1354"/>
  <c r="H10" i="1354"/>
  <c r="G10" i="1354"/>
  <c r="L8" i="1354"/>
  <c r="H8" i="1354"/>
  <c r="G8" i="1354"/>
  <c r="L7" i="1354"/>
  <c r="H7" i="1354"/>
  <c r="G7" i="1354"/>
  <c r="L6" i="1354"/>
  <c r="H6" i="1354"/>
  <c r="G6" i="1354"/>
  <c r="L5" i="1354"/>
  <c r="H5" i="1354"/>
  <c r="G5" i="1354"/>
  <c r="L4" i="1354"/>
  <c r="H4" i="1354"/>
  <c r="G4" i="1354"/>
  <c r="L3" i="1354"/>
  <c r="H3" i="1354"/>
  <c r="G3" i="1354"/>
  <c r="L23" i="1353"/>
  <c r="H23" i="1353"/>
  <c r="G23" i="1353"/>
  <c r="L22" i="1353"/>
  <c r="H22" i="1353"/>
  <c r="G22" i="1353"/>
  <c r="L21" i="1353"/>
  <c r="H21" i="1353"/>
  <c r="G21" i="1353"/>
  <c r="L20" i="1353"/>
  <c r="H20" i="1353"/>
  <c r="G20" i="1353"/>
  <c r="L19" i="1353"/>
  <c r="H19" i="1353"/>
  <c r="G19" i="1353"/>
  <c r="L18" i="1353"/>
  <c r="H18" i="1353"/>
  <c r="G18" i="1353"/>
  <c r="L16" i="1353"/>
  <c r="H16" i="1353"/>
  <c r="G16" i="1353"/>
  <c r="L15" i="1353"/>
  <c r="H15" i="1353"/>
  <c r="G15" i="1353"/>
  <c r="L14" i="1353"/>
  <c r="H14" i="1353"/>
  <c r="G14" i="1353"/>
  <c r="L13" i="1353"/>
  <c r="H13" i="1353"/>
  <c r="G13" i="1353"/>
  <c r="L12" i="1353"/>
  <c r="H12" i="1353"/>
  <c r="G12" i="1353"/>
  <c r="L11" i="1353"/>
  <c r="L10" i="1353"/>
  <c r="H10" i="1353"/>
  <c r="G10" i="1353"/>
  <c r="L8" i="1353"/>
  <c r="H8" i="1353"/>
  <c r="G8" i="1353"/>
  <c r="L7" i="1353"/>
  <c r="H7" i="1353"/>
  <c r="G7" i="1353"/>
  <c r="L6" i="1353"/>
  <c r="H6" i="1353"/>
  <c r="G6" i="1353"/>
  <c r="L5" i="1353"/>
  <c r="H5" i="1353"/>
  <c r="G5" i="1353"/>
  <c r="L4" i="1353"/>
  <c r="H4" i="1353"/>
  <c r="G4" i="1353"/>
  <c r="L3" i="1353"/>
  <c r="H3" i="1353"/>
  <c r="G3" i="1353"/>
  <c r="L25" i="1352"/>
  <c r="H25" i="1352"/>
  <c r="G25" i="1352"/>
  <c r="L24" i="1352"/>
  <c r="H24" i="1352"/>
  <c r="G24" i="1352"/>
  <c r="L23" i="1352"/>
  <c r="H23" i="1352"/>
  <c r="G23" i="1352"/>
  <c r="L22" i="1352"/>
  <c r="H22" i="1352"/>
  <c r="G22" i="1352"/>
  <c r="L21" i="1352"/>
  <c r="H21" i="1352"/>
  <c r="G21" i="1352"/>
  <c r="L20" i="1352"/>
  <c r="H20" i="1352"/>
  <c r="G20" i="1352"/>
  <c r="L18" i="1352"/>
  <c r="H18" i="1352"/>
  <c r="G18" i="1352"/>
  <c r="L17" i="1352"/>
  <c r="L15" i="1352"/>
  <c r="L14" i="1352"/>
  <c r="L13" i="1352"/>
  <c r="L12" i="1352"/>
  <c r="L11" i="1352"/>
  <c r="L9" i="1352"/>
  <c r="H9" i="1352"/>
  <c r="G9" i="1352"/>
  <c r="L7" i="1352"/>
  <c r="H7" i="1352"/>
  <c r="G7" i="1352"/>
  <c r="L6" i="1352"/>
  <c r="H6" i="1352"/>
  <c r="G6" i="1352"/>
  <c r="L5" i="1352"/>
  <c r="H5" i="1352"/>
  <c r="G5" i="1352"/>
  <c r="L4" i="1352"/>
  <c r="H4" i="1352"/>
  <c r="G4" i="1352"/>
  <c r="L3" i="1352"/>
  <c r="H3" i="1352"/>
  <c r="G3" i="1352"/>
  <c r="L23" i="1351"/>
  <c r="H23" i="1351"/>
  <c r="G23" i="1351"/>
  <c r="L22" i="1351"/>
  <c r="H22" i="1351"/>
  <c r="G22" i="1351"/>
  <c r="L21" i="1351"/>
  <c r="H21" i="1351"/>
  <c r="G21" i="1351"/>
  <c r="L20" i="1351"/>
  <c r="H20" i="1351"/>
  <c r="G20" i="1351"/>
  <c r="L19" i="1351"/>
  <c r="H19" i="1351"/>
  <c r="G19" i="1351"/>
  <c r="L18" i="1351"/>
  <c r="H18" i="1351"/>
  <c r="G18" i="1351"/>
  <c r="L16" i="1351"/>
  <c r="H16" i="1351"/>
  <c r="G16" i="1351"/>
  <c r="L15" i="1351"/>
  <c r="H15" i="1351"/>
  <c r="G15" i="1351"/>
  <c r="L14" i="1351"/>
  <c r="H14" i="1351"/>
  <c r="G14" i="1351"/>
  <c r="L13" i="1351"/>
  <c r="H13" i="1351"/>
  <c r="G13" i="1351"/>
  <c r="L12" i="1351"/>
  <c r="H12" i="1351"/>
  <c r="G12" i="1351"/>
  <c r="L11" i="1351"/>
  <c r="H11" i="1351"/>
  <c r="G11" i="1351"/>
  <c r="L10" i="1351"/>
  <c r="H10" i="1351"/>
  <c r="G10" i="1351"/>
  <c r="L8" i="1351"/>
  <c r="H8" i="1351"/>
  <c r="G8" i="1351"/>
  <c r="L7" i="1351"/>
  <c r="H7" i="1351"/>
  <c r="G7" i="1351"/>
  <c r="L6" i="1351"/>
  <c r="H6" i="1351"/>
  <c r="G6" i="1351"/>
  <c r="L5" i="1351"/>
  <c r="H5" i="1351"/>
  <c r="G5" i="1351"/>
  <c r="L4" i="1351"/>
  <c r="H4" i="1351"/>
  <c r="G4" i="1351"/>
  <c r="L3" i="1351"/>
  <c r="H3" i="1351"/>
  <c r="G3" i="1351"/>
  <c r="L23" i="1350"/>
  <c r="H23" i="1350"/>
  <c r="G23" i="1350"/>
  <c r="L22" i="1350"/>
  <c r="H22" i="1350"/>
  <c r="G22" i="1350"/>
  <c r="L21" i="1350"/>
  <c r="H21" i="1350"/>
  <c r="G21" i="1350"/>
  <c r="L20" i="1350"/>
  <c r="H20" i="1350"/>
  <c r="G20" i="1350"/>
  <c r="L19" i="1350"/>
  <c r="H19" i="1350"/>
  <c r="G19" i="1350"/>
  <c r="L18" i="1350"/>
  <c r="H18" i="1350"/>
  <c r="G18" i="1350"/>
  <c r="L16" i="1350"/>
  <c r="H16" i="1350"/>
  <c r="G16" i="1350"/>
  <c r="L15" i="1350"/>
  <c r="H15" i="1350"/>
  <c r="G15" i="1350"/>
  <c r="L14" i="1350"/>
  <c r="H14" i="1350"/>
  <c r="G14" i="1350"/>
  <c r="L13" i="1350"/>
  <c r="H13" i="1350"/>
  <c r="G13" i="1350"/>
  <c r="L12" i="1350"/>
  <c r="H12" i="1350"/>
  <c r="G12" i="1350"/>
  <c r="L11" i="1350"/>
  <c r="H11" i="1350"/>
  <c r="G11" i="1350"/>
  <c r="L10" i="1350"/>
  <c r="H10" i="1350"/>
  <c r="G10" i="1350"/>
  <c r="L8" i="1350"/>
  <c r="H8" i="1350"/>
  <c r="G8" i="1350"/>
  <c r="L7" i="1350"/>
  <c r="H7" i="1350"/>
  <c r="G7" i="1350"/>
  <c r="L6" i="1350"/>
  <c r="H6" i="1350"/>
  <c r="G6" i="1350"/>
  <c r="L5" i="1350"/>
  <c r="H5" i="1350"/>
  <c r="G5" i="1350"/>
  <c r="L4" i="1350"/>
  <c r="H4" i="1350"/>
  <c r="G4" i="1350"/>
  <c r="L3" i="1350"/>
  <c r="H3" i="1350"/>
  <c r="G3" i="1350"/>
  <c r="G5" i="1349" l="1"/>
  <c r="H5" i="1349"/>
  <c r="L5" i="1349"/>
  <c r="K10" i="760" l="1"/>
  <c r="I37" i="1325"/>
  <c r="G26" i="1325"/>
  <c r="I37" i="760" l="1"/>
  <c r="K39" i="760"/>
  <c r="K52" i="760"/>
  <c r="G52" i="760"/>
  <c r="C52" i="760"/>
  <c r="K51" i="760"/>
  <c r="I51" i="760"/>
  <c r="G51" i="760"/>
  <c r="E51" i="760"/>
  <c r="C51" i="760"/>
  <c r="K50" i="760"/>
  <c r="I50" i="760"/>
  <c r="G50" i="760"/>
  <c r="E50" i="760"/>
  <c r="C50" i="760"/>
  <c r="K49" i="760"/>
  <c r="I49" i="760"/>
  <c r="G49" i="760"/>
  <c r="E49" i="760"/>
  <c r="C49" i="760"/>
  <c r="K48" i="760"/>
  <c r="I48" i="760"/>
  <c r="G48" i="760"/>
  <c r="E48" i="760"/>
  <c r="C48" i="760"/>
  <c r="K47" i="760"/>
  <c r="I47" i="760"/>
  <c r="G47" i="760"/>
  <c r="E47" i="760"/>
  <c r="C47" i="760"/>
  <c r="K46" i="760"/>
  <c r="I46" i="760"/>
  <c r="G46" i="760"/>
  <c r="E46" i="760"/>
  <c r="C46" i="760"/>
  <c r="K45" i="760"/>
  <c r="I45" i="760"/>
  <c r="G45" i="760"/>
  <c r="E45" i="760"/>
  <c r="C45" i="760"/>
  <c r="K42" i="760"/>
  <c r="G42" i="760"/>
  <c r="C42" i="760"/>
  <c r="K41" i="760"/>
  <c r="I41" i="760"/>
  <c r="G41" i="760"/>
  <c r="E41" i="760"/>
  <c r="C41" i="760"/>
  <c r="K40" i="760"/>
  <c r="I40" i="760"/>
  <c r="G40" i="760"/>
  <c r="E40" i="760"/>
  <c r="C40" i="760"/>
  <c r="I39" i="760"/>
  <c r="G39" i="760"/>
  <c r="E39" i="760"/>
  <c r="C39" i="760"/>
  <c r="K38" i="760"/>
  <c r="I38" i="760"/>
  <c r="G38" i="760"/>
  <c r="E38" i="760"/>
  <c r="C38" i="760"/>
  <c r="K37" i="760"/>
  <c r="G37" i="760"/>
  <c r="E37" i="760"/>
  <c r="C37" i="760"/>
  <c r="K36" i="760"/>
  <c r="I36" i="760"/>
  <c r="G36" i="760"/>
  <c r="E36" i="760"/>
  <c r="C36" i="760"/>
  <c r="K35" i="760"/>
  <c r="I35" i="760"/>
  <c r="G35" i="760"/>
  <c r="E35" i="760"/>
  <c r="C35" i="760"/>
  <c r="K32" i="760"/>
  <c r="G32" i="760"/>
  <c r="K31" i="760"/>
  <c r="I31" i="760"/>
  <c r="G31" i="760"/>
  <c r="E31" i="760"/>
  <c r="K30" i="760"/>
  <c r="I30" i="760"/>
  <c r="G30" i="760"/>
  <c r="E30" i="760"/>
  <c r="K29" i="760"/>
  <c r="I29" i="760"/>
  <c r="G29" i="760"/>
  <c r="E29" i="760"/>
  <c r="K28" i="760"/>
  <c r="I28" i="760"/>
  <c r="G28" i="760"/>
  <c r="E28" i="760"/>
  <c r="K27" i="760"/>
  <c r="I27" i="760"/>
  <c r="G27" i="760"/>
  <c r="E27" i="760"/>
  <c r="K26" i="760"/>
  <c r="I26" i="760"/>
  <c r="G26" i="760"/>
  <c r="E26" i="760"/>
  <c r="K25" i="760"/>
  <c r="I25" i="760"/>
  <c r="G25" i="760"/>
  <c r="E25" i="760"/>
  <c r="K22" i="760"/>
  <c r="G22" i="760"/>
  <c r="C22" i="760"/>
  <c r="K21" i="760"/>
  <c r="I21" i="760"/>
  <c r="G21" i="760"/>
  <c r="E21" i="760"/>
  <c r="C21" i="760"/>
  <c r="K20" i="760"/>
  <c r="I20" i="760"/>
  <c r="G20" i="760"/>
  <c r="E20" i="760"/>
  <c r="C20" i="760"/>
  <c r="K19" i="760"/>
  <c r="I19" i="760"/>
  <c r="G19" i="760"/>
  <c r="E19" i="760"/>
  <c r="C19" i="760"/>
  <c r="K18" i="760"/>
  <c r="I18" i="760"/>
  <c r="G18" i="760"/>
  <c r="E18" i="760"/>
  <c r="C18" i="760"/>
  <c r="K17" i="760"/>
  <c r="I17" i="760"/>
  <c r="G17" i="760"/>
  <c r="E17" i="760"/>
  <c r="C17" i="760"/>
  <c r="K16" i="760"/>
  <c r="I16" i="760"/>
  <c r="G16" i="760"/>
  <c r="E16" i="760"/>
  <c r="C16" i="760"/>
  <c r="K15" i="760"/>
  <c r="I15" i="760"/>
  <c r="G15" i="760"/>
  <c r="E15" i="760"/>
  <c r="C15" i="760"/>
  <c r="K51" i="1325"/>
  <c r="I51" i="1325"/>
  <c r="G51" i="1325"/>
  <c r="E51" i="1325"/>
  <c r="C51" i="1325"/>
  <c r="K50" i="1325"/>
  <c r="I50" i="1325"/>
  <c r="G50" i="1325"/>
  <c r="E50" i="1325"/>
  <c r="C50" i="1325"/>
  <c r="K49" i="1325"/>
  <c r="I49" i="1325"/>
  <c r="G49" i="1325"/>
  <c r="E49" i="1325"/>
  <c r="C49" i="1325"/>
  <c r="K48" i="1325"/>
  <c r="I48" i="1325"/>
  <c r="G48" i="1325"/>
  <c r="E48" i="1325"/>
  <c r="C48" i="1325"/>
  <c r="K47" i="1325"/>
  <c r="I47" i="1325"/>
  <c r="G47" i="1325"/>
  <c r="E47" i="1325"/>
  <c r="C47" i="1325"/>
  <c r="K46" i="1325"/>
  <c r="I46" i="1325"/>
  <c r="G46" i="1325"/>
  <c r="E46" i="1325"/>
  <c r="C46" i="1325"/>
  <c r="K45" i="1325"/>
  <c r="I45" i="1325"/>
  <c r="G45" i="1325"/>
  <c r="E45" i="1325"/>
  <c r="C45" i="1325"/>
  <c r="K41" i="1325"/>
  <c r="I41" i="1325"/>
  <c r="G41" i="1325"/>
  <c r="E41" i="1325"/>
  <c r="C41" i="1325"/>
  <c r="K40" i="1325"/>
  <c r="I40" i="1325"/>
  <c r="G40" i="1325"/>
  <c r="E40" i="1325"/>
  <c r="C40" i="1325"/>
  <c r="K39" i="1325"/>
  <c r="I39" i="1325"/>
  <c r="G39" i="1325"/>
  <c r="E39" i="1325"/>
  <c r="C39" i="1325"/>
  <c r="K38" i="1325"/>
  <c r="I38" i="1325"/>
  <c r="G38" i="1325"/>
  <c r="E38" i="1325"/>
  <c r="C38" i="1325"/>
  <c r="K37" i="1325"/>
  <c r="G37" i="1325"/>
  <c r="E37" i="1325"/>
  <c r="C37" i="1325"/>
  <c r="I36" i="1325"/>
  <c r="G36" i="1325"/>
  <c r="C36" i="1325"/>
  <c r="K35" i="1325"/>
  <c r="I35" i="1325"/>
  <c r="G35" i="1325"/>
  <c r="E35" i="1325"/>
  <c r="C35" i="1325"/>
  <c r="C32" i="1325"/>
  <c r="K31" i="1325"/>
  <c r="I31" i="1325"/>
  <c r="G31" i="1325"/>
  <c r="E31" i="1325"/>
  <c r="K30" i="1325"/>
  <c r="I30" i="1325"/>
  <c r="G30" i="1325"/>
  <c r="E30" i="1325"/>
  <c r="K29" i="1325"/>
  <c r="I29" i="1325"/>
  <c r="G29" i="1325"/>
  <c r="E29" i="1325"/>
  <c r="K28" i="1325"/>
  <c r="I28" i="1325"/>
  <c r="G28" i="1325"/>
  <c r="E28" i="1325"/>
  <c r="K27" i="1325"/>
  <c r="I27" i="1325"/>
  <c r="G27" i="1325"/>
  <c r="E27" i="1325"/>
  <c r="K26" i="1325"/>
  <c r="I26" i="1325"/>
  <c r="E26" i="1325"/>
  <c r="K25" i="1325"/>
  <c r="I25" i="1325"/>
  <c r="G25" i="1325"/>
  <c r="E25" i="1325"/>
  <c r="K21" i="1325"/>
  <c r="I21" i="1325"/>
  <c r="G21" i="1325"/>
  <c r="E21" i="1325"/>
  <c r="C21" i="1325"/>
  <c r="K20" i="1325"/>
  <c r="I20" i="1325"/>
  <c r="G20" i="1325"/>
  <c r="E20" i="1325"/>
  <c r="C20" i="1325"/>
  <c r="K19" i="1325"/>
  <c r="I19" i="1325"/>
  <c r="G19" i="1325"/>
  <c r="E19" i="1325"/>
  <c r="C19" i="1325"/>
  <c r="K18" i="1325"/>
  <c r="I18" i="1325"/>
  <c r="G18" i="1325"/>
  <c r="E18" i="1325"/>
  <c r="C18" i="1325"/>
  <c r="K17" i="1325"/>
  <c r="I17" i="1325"/>
  <c r="G17" i="1325"/>
  <c r="C17" i="1325"/>
  <c r="K16" i="1325"/>
  <c r="G16" i="1325"/>
  <c r="E16" i="1325"/>
  <c r="C16" i="1325"/>
  <c r="K15" i="1325"/>
  <c r="I15" i="1325"/>
  <c r="G15" i="1325"/>
  <c r="E15" i="1325"/>
  <c r="C15" i="1325"/>
  <c r="E8" i="760"/>
  <c r="I10" i="1325" l="1"/>
  <c r="G12" i="760"/>
  <c r="G11" i="760"/>
  <c r="G10" i="760"/>
  <c r="G9" i="760"/>
  <c r="G8" i="760"/>
  <c r="G7" i="760"/>
  <c r="G6" i="760"/>
  <c r="G5" i="760"/>
  <c r="L23" i="1349" l="1"/>
  <c r="H23" i="1349"/>
  <c r="G23" i="1349"/>
  <c r="L22" i="1349"/>
  <c r="H22" i="1349"/>
  <c r="G22" i="1349"/>
  <c r="L21" i="1349"/>
  <c r="H21" i="1349"/>
  <c r="G21" i="1349"/>
  <c r="L20" i="1349"/>
  <c r="H20" i="1349"/>
  <c r="G20" i="1349"/>
  <c r="L19" i="1349"/>
  <c r="H19" i="1349"/>
  <c r="G19" i="1349"/>
  <c r="L18" i="1349"/>
  <c r="H18" i="1349"/>
  <c r="G18" i="1349"/>
  <c r="L16" i="1349"/>
  <c r="H16" i="1349"/>
  <c r="G16" i="1349"/>
  <c r="L15" i="1349"/>
  <c r="H15" i="1349"/>
  <c r="G15" i="1349"/>
  <c r="L14" i="1349"/>
  <c r="H14" i="1349"/>
  <c r="G14" i="1349"/>
  <c r="L13" i="1349"/>
  <c r="H13" i="1349"/>
  <c r="G13" i="1349"/>
  <c r="L12" i="1349"/>
  <c r="H12" i="1349"/>
  <c r="G12" i="1349"/>
  <c r="L11" i="1349"/>
  <c r="H11" i="1349"/>
  <c r="G11" i="1349"/>
  <c r="L10" i="1349"/>
  <c r="H10" i="1349"/>
  <c r="G10" i="1349"/>
  <c r="L8" i="1349"/>
  <c r="H8" i="1349"/>
  <c r="G8" i="1349"/>
  <c r="L7" i="1349"/>
  <c r="H7" i="1349"/>
  <c r="G7" i="1349"/>
  <c r="L6" i="1349"/>
  <c r="H6" i="1349"/>
  <c r="G6" i="1349"/>
  <c r="L4" i="1349"/>
  <c r="H4" i="1349"/>
  <c r="G4" i="1349"/>
  <c r="L3" i="1349"/>
  <c r="H3" i="1349"/>
  <c r="K8" i="1325"/>
  <c r="K12" i="760"/>
  <c r="K11" i="760"/>
  <c r="K9" i="760"/>
  <c r="K8" i="760"/>
  <c r="K7" i="760"/>
  <c r="K6" i="760"/>
  <c r="K5" i="760"/>
  <c r="K11" i="1325" l="1"/>
  <c r="I11" i="1325"/>
  <c r="E11" i="1325"/>
  <c r="C11" i="1325"/>
  <c r="K10" i="1325"/>
  <c r="G10" i="1325"/>
  <c r="E10" i="1325"/>
  <c r="C10" i="1325"/>
  <c r="K9" i="1325"/>
  <c r="I9" i="1325"/>
  <c r="G9" i="1325"/>
  <c r="E9" i="1325"/>
  <c r="C9" i="1325"/>
  <c r="I8" i="1325"/>
  <c r="G8" i="1325"/>
  <c r="E8" i="1325"/>
  <c r="C8" i="1325"/>
  <c r="K7" i="1325"/>
  <c r="I7" i="1325"/>
  <c r="G7" i="1325"/>
  <c r="E7" i="1325"/>
  <c r="C7" i="1325"/>
  <c r="K6" i="1325"/>
  <c r="I6" i="1325"/>
  <c r="G6" i="1325"/>
  <c r="E6" i="1325"/>
  <c r="C6" i="1325"/>
  <c r="K5" i="1325"/>
  <c r="I5" i="1325"/>
  <c r="G5" i="1325"/>
  <c r="E5" i="1325"/>
  <c r="C5" i="1325"/>
  <c r="C12" i="760"/>
  <c r="C11" i="760"/>
  <c r="C10" i="760"/>
  <c r="C9" i="760"/>
  <c r="C8" i="760"/>
  <c r="C7" i="760"/>
  <c r="C6" i="760"/>
  <c r="C5" i="760"/>
  <c r="I11" i="760" l="1"/>
  <c r="I10" i="760"/>
  <c r="I9" i="760"/>
  <c r="I8" i="760"/>
  <c r="I7" i="760"/>
  <c r="I6" i="760"/>
  <c r="I5" i="760"/>
  <c r="E5" i="760" l="1"/>
  <c r="E6" i="760" l="1"/>
  <c r="E7" i="760"/>
  <c r="E9" i="760"/>
  <c r="E10" i="760"/>
  <c r="E11" i="760"/>
  <c r="A12" i="26" l="1"/>
  <c r="A11" i="26"/>
  <c r="A10" i="26"/>
  <c r="A9" i="26"/>
  <c r="A8" i="26"/>
  <c r="A7" i="26"/>
  <c r="A6" i="26"/>
  <c r="A5" i="26"/>
  <c r="A4" i="26"/>
  <c r="A3" i="26"/>
  <c r="A2" i="26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2" i="22"/>
  <c r="AP54" i="21"/>
  <c r="AO54" i="21" s="1"/>
  <c r="AL54" i="21"/>
  <c r="AJ54" i="21"/>
  <c r="AI54" i="21" s="1"/>
  <c r="AF54" i="21"/>
  <c r="AD54" i="21"/>
  <c r="AC54" i="21" s="1"/>
  <c r="X54" i="21"/>
  <c r="O54" i="21"/>
  <c r="AP42" i="21"/>
  <c r="AO42" i="21" s="1"/>
  <c r="AL42" i="21"/>
  <c r="AJ42" i="21"/>
  <c r="AI42" i="21" s="1"/>
  <c r="AF42" i="21"/>
  <c r="AC42" i="21"/>
  <c r="AB42" i="21"/>
  <c r="X42" i="21"/>
  <c r="O42" i="21"/>
  <c r="AP53" i="21"/>
  <c r="AN53" i="21" s="1"/>
  <c r="AL53" i="21"/>
  <c r="AJ53" i="21"/>
  <c r="AH53" i="21" s="1"/>
  <c r="AF53" i="21"/>
  <c r="AD53" i="21"/>
  <c r="AB53" i="21" s="1"/>
  <c r="X53" i="21"/>
  <c r="O53" i="21"/>
  <c r="AP138" i="21"/>
  <c r="AN138" i="21" s="1"/>
  <c r="AL138" i="21"/>
  <c r="AJ138" i="21"/>
  <c r="AH138" i="21" s="1"/>
  <c r="AF138" i="21"/>
  <c r="AD138" i="21"/>
  <c r="AB138" i="21" s="1"/>
  <c r="X138" i="21"/>
  <c r="O138" i="21"/>
  <c r="AP159" i="21"/>
  <c r="AO159" i="21" s="1"/>
  <c r="AL159" i="21"/>
  <c r="AJ159" i="21"/>
  <c r="AI159" i="21" s="1"/>
  <c r="AF159" i="21"/>
  <c r="AD159" i="21"/>
  <c r="AC159" i="21" s="1"/>
  <c r="X159" i="21"/>
  <c r="O159" i="21"/>
  <c r="AP133" i="21"/>
  <c r="AO133" i="21" s="1"/>
  <c r="AL133" i="21"/>
  <c r="AJ133" i="21"/>
  <c r="AI133" i="21" s="1"/>
  <c r="AF133" i="21"/>
  <c r="AD133" i="21"/>
  <c r="X133" i="21"/>
  <c r="O133" i="21"/>
  <c r="AP203" i="21"/>
  <c r="AL203" i="21"/>
  <c r="AJ203" i="21"/>
  <c r="AH203" i="21" s="1"/>
  <c r="AF203" i="21"/>
  <c r="X203" i="21"/>
  <c r="O203" i="21"/>
  <c r="AP148" i="21"/>
  <c r="AO148" i="21" s="1"/>
  <c r="AL148" i="21"/>
  <c r="AJ148" i="21"/>
  <c r="AI148" i="21" s="1"/>
  <c r="AD148" i="21"/>
  <c r="AB148" i="21" s="1"/>
  <c r="O148" i="21"/>
  <c r="AP199" i="21"/>
  <c r="AN199" i="21" s="1"/>
  <c r="AL199" i="21"/>
  <c r="AJ199" i="21"/>
  <c r="AD199" i="21"/>
  <c r="AC199" i="21" s="1"/>
  <c r="O199" i="21"/>
  <c r="AP140" i="21"/>
  <c r="AO140" i="21" s="1"/>
  <c r="AL140" i="21"/>
  <c r="AJ140" i="21"/>
  <c r="AI140" i="21" s="1"/>
  <c r="AF140" i="21"/>
  <c r="AD140" i="21"/>
  <c r="AC140" i="21" s="1"/>
  <c r="X140" i="21"/>
  <c r="O140" i="21"/>
  <c r="AP205" i="21"/>
  <c r="AJ205" i="21"/>
  <c r="O205" i="21"/>
  <c r="AP207" i="21"/>
  <c r="AJ207" i="21"/>
  <c r="O207" i="21"/>
  <c r="AP193" i="21"/>
  <c r="AO193" i="21" s="1"/>
  <c r="AL193" i="21"/>
  <c r="AJ193" i="21"/>
  <c r="AI193" i="21" s="1"/>
  <c r="AF193" i="21"/>
  <c r="AD193" i="21"/>
  <c r="AC193" i="21" s="1"/>
  <c r="X193" i="21"/>
  <c r="O193" i="21"/>
  <c r="AP153" i="21"/>
  <c r="AO153" i="21" s="1"/>
  <c r="AL153" i="21"/>
  <c r="AJ153" i="21"/>
  <c r="AI153" i="21" s="1"/>
  <c r="AF153" i="21"/>
  <c r="AD153" i="21"/>
  <c r="AC153" i="21" s="1"/>
  <c r="X153" i="21"/>
  <c r="O153" i="21"/>
  <c r="AP127" i="21"/>
  <c r="AN127" i="21" s="1"/>
  <c r="AL127" i="21"/>
  <c r="AJ127" i="21"/>
  <c r="AH127" i="21" s="1"/>
  <c r="AF127" i="21"/>
  <c r="AD127" i="21"/>
  <c r="AB127" i="21" s="1"/>
  <c r="X127" i="21"/>
  <c r="AP31" i="21"/>
  <c r="AL31" i="21"/>
  <c r="AJ31" i="21"/>
  <c r="AF31" i="21"/>
  <c r="AD31" i="21"/>
  <c r="X31" i="21"/>
  <c r="U31" i="21"/>
  <c r="T31" i="21"/>
  <c r="S31" i="21"/>
  <c r="Q31" i="21"/>
  <c r="P31" i="21"/>
  <c r="O31" i="21"/>
  <c r="AP4" i="21"/>
  <c r="AL4" i="21"/>
  <c r="AJ4" i="21"/>
  <c r="AF4" i="21"/>
  <c r="AD4" i="21"/>
  <c r="X4" i="21"/>
  <c r="U4" i="21"/>
  <c r="T4" i="21"/>
  <c r="S4" i="21"/>
  <c r="Q4" i="21"/>
  <c r="P4" i="21"/>
  <c r="O4" i="21"/>
  <c r="AL22" i="21"/>
  <c r="AJ22" i="21"/>
  <c r="AF22" i="21"/>
  <c r="AD22" i="21"/>
  <c r="X22" i="21"/>
  <c r="U22" i="21"/>
  <c r="T22" i="21"/>
  <c r="S22" i="21"/>
  <c r="Q22" i="21"/>
  <c r="P22" i="21"/>
  <c r="O22" i="21"/>
  <c r="AL92" i="21"/>
  <c r="AJ92" i="21"/>
  <c r="AF92" i="21"/>
  <c r="AD92" i="21"/>
  <c r="X92" i="21"/>
  <c r="U92" i="21"/>
  <c r="T92" i="21"/>
  <c r="S92" i="21"/>
  <c r="Q92" i="21"/>
  <c r="P92" i="21"/>
  <c r="O92" i="21"/>
  <c r="AL68" i="21"/>
  <c r="AJ68" i="21"/>
  <c r="AF68" i="21"/>
  <c r="AD68" i="21"/>
  <c r="X68" i="21"/>
  <c r="U68" i="21"/>
  <c r="T68" i="21"/>
  <c r="S68" i="21"/>
  <c r="Q68" i="21"/>
  <c r="P68" i="21"/>
  <c r="O68" i="21"/>
  <c r="AL62" i="21"/>
  <c r="AJ62" i="21"/>
  <c r="AF62" i="21"/>
  <c r="AD62" i="21"/>
  <c r="X62" i="21"/>
  <c r="U62" i="21"/>
  <c r="T62" i="21"/>
  <c r="S62" i="21"/>
  <c r="Q62" i="21"/>
  <c r="P62" i="21"/>
  <c r="O62" i="21"/>
  <c r="AL10" i="21"/>
  <c r="AJ10" i="21"/>
  <c r="AF10" i="21"/>
  <c r="AD10" i="21"/>
  <c r="X10" i="21"/>
  <c r="U10" i="21"/>
  <c r="T10" i="21"/>
  <c r="S10" i="21"/>
  <c r="Q10" i="21"/>
  <c r="P10" i="21"/>
  <c r="O10" i="21"/>
  <c r="AL88" i="21"/>
  <c r="AJ88" i="21"/>
  <c r="AF88" i="21"/>
  <c r="AD88" i="21"/>
  <c r="X88" i="21"/>
  <c r="U88" i="21"/>
  <c r="T88" i="21"/>
  <c r="S88" i="21"/>
  <c r="Q88" i="21"/>
  <c r="P88" i="21"/>
  <c r="AH88" i="21" s="1"/>
  <c r="O88" i="21"/>
  <c r="AL87" i="21"/>
  <c r="AJ87" i="21"/>
  <c r="AF87" i="21"/>
  <c r="AD87" i="21"/>
  <c r="X87" i="21"/>
  <c r="U87" i="21"/>
  <c r="T87" i="21"/>
  <c r="S87" i="21"/>
  <c r="Q87" i="21"/>
  <c r="P87" i="21"/>
  <c r="O87" i="21"/>
  <c r="AL89" i="21"/>
  <c r="AJ89" i="21"/>
  <c r="AF89" i="21"/>
  <c r="AD89" i="21"/>
  <c r="X89" i="21"/>
  <c r="U89" i="21"/>
  <c r="T89" i="21"/>
  <c r="S89" i="21"/>
  <c r="Q89" i="21"/>
  <c r="P89" i="21"/>
  <c r="O89" i="21"/>
  <c r="AL28" i="21"/>
  <c r="AJ28" i="21"/>
  <c r="AF28" i="21"/>
  <c r="AD28" i="21"/>
  <c r="X28" i="21"/>
  <c r="U28" i="21"/>
  <c r="T28" i="21"/>
  <c r="S28" i="21"/>
  <c r="Q28" i="21"/>
  <c r="P28" i="21"/>
  <c r="O28" i="21"/>
  <c r="AL43" i="21"/>
  <c r="AJ43" i="21"/>
  <c r="AF43" i="21"/>
  <c r="AD43" i="21"/>
  <c r="X43" i="21"/>
  <c r="U43" i="21"/>
  <c r="T43" i="21"/>
  <c r="S43" i="21"/>
  <c r="Q43" i="21"/>
  <c r="P43" i="21"/>
  <c r="O43" i="21"/>
  <c r="AL124" i="21"/>
  <c r="AJ124" i="21"/>
  <c r="AF124" i="21"/>
  <c r="AD124" i="21"/>
  <c r="X124" i="21"/>
  <c r="U124" i="21"/>
  <c r="T124" i="21"/>
  <c r="S124" i="21"/>
  <c r="Q124" i="21"/>
  <c r="P124" i="21"/>
  <c r="O124" i="21"/>
  <c r="AL69" i="21"/>
  <c r="AJ69" i="21"/>
  <c r="AF69" i="21"/>
  <c r="AD69" i="21"/>
  <c r="X69" i="21"/>
  <c r="U69" i="21"/>
  <c r="T69" i="21"/>
  <c r="S69" i="21"/>
  <c r="Q69" i="21"/>
  <c r="P69" i="21"/>
  <c r="O69" i="21"/>
  <c r="AL76" i="21"/>
  <c r="AJ76" i="21"/>
  <c r="AF76" i="21"/>
  <c r="AD76" i="21"/>
  <c r="X76" i="21"/>
  <c r="U76" i="21"/>
  <c r="T76" i="21"/>
  <c r="S76" i="21"/>
  <c r="Q76" i="21"/>
  <c r="P76" i="21"/>
  <c r="O76" i="21"/>
  <c r="AL14" i="21"/>
  <c r="AJ14" i="21"/>
  <c r="AF14" i="21"/>
  <c r="AD14" i="21"/>
  <c r="X14" i="21"/>
  <c r="U14" i="21"/>
  <c r="T14" i="21"/>
  <c r="S14" i="21"/>
  <c r="Q14" i="21"/>
  <c r="P14" i="21"/>
  <c r="AH14" i="21" s="1"/>
  <c r="O14" i="21"/>
  <c r="AL25" i="21"/>
  <c r="AJ25" i="21"/>
  <c r="AF25" i="21"/>
  <c r="AD25" i="21"/>
  <c r="X25" i="21"/>
  <c r="U25" i="21"/>
  <c r="T25" i="21"/>
  <c r="S25" i="21"/>
  <c r="Q25" i="21"/>
  <c r="P25" i="21"/>
  <c r="O25" i="21"/>
  <c r="AL109" i="21"/>
  <c r="AJ109" i="21"/>
  <c r="AF109" i="21"/>
  <c r="AD109" i="21"/>
  <c r="X109" i="21"/>
  <c r="U109" i="21"/>
  <c r="T109" i="21"/>
  <c r="S109" i="21"/>
  <c r="Q109" i="21"/>
  <c r="P109" i="21"/>
  <c r="AH109" i="21" s="1"/>
  <c r="O109" i="21"/>
  <c r="AL30" i="21"/>
  <c r="AJ30" i="21"/>
  <c r="AF30" i="21"/>
  <c r="AD30" i="21"/>
  <c r="X30" i="21"/>
  <c r="U30" i="21"/>
  <c r="T30" i="21"/>
  <c r="S30" i="21"/>
  <c r="Q30" i="21"/>
  <c r="P30" i="21"/>
  <c r="O30" i="21"/>
  <c r="AL108" i="21"/>
  <c r="AJ108" i="21"/>
  <c r="AF108" i="21"/>
  <c r="AD108" i="21"/>
  <c r="X108" i="21"/>
  <c r="U108" i="21"/>
  <c r="T108" i="21"/>
  <c r="S108" i="21"/>
  <c r="Q108" i="21"/>
  <c r="P108" i="21"/>
  <c r="O108" i="21"/>
  <c r="AL66" i="21"/>
  <c r="AJ66" i="21"/>
  <c r="AF66" i="21"/>
  <c r="AD66" i="21"/>
  <c r="X66" i="21"/>
  <c r="U66" i="21"/>
  <c r="T66" i="21"/>
  <c r="S66" i="21"/>
  <c r="Q66" i="21"/>
  <c r="P66" i="21"/>
  <c r="O66" i="21"/>
  <c r="AL74" i="21"/>
  <c r="AJ74" i="21"/>
  <c r="AF74" i="21"/>
  <c r="AD74" i="21"/>
  <c r="X74" i="21"/>
  <c r="U74" i="21"/>
  <c r="T74" i="21"/>
  <c r="S74" i="21"/>
  <c r="Q74" i="21"/>
  <c r="P74" i="21"/>
  <c r="O74" i="21"/>
  <c r="AL6" i="21"/>
  <c r="AJ6" i="21"/>
  <c r="AF6" i="21"/>
  <c r="AD6" i="21"/>
  <c r="X6" i="21"/>
  <c r="U6" i="21"/>
  <c r="T6" i="21"/>
  <c r="S6" i="21"/>
  <c r="Q6" i="21"/>
  <c r="P6" i="21"/>
  <c r="O6" i="21"/>
  <c r="AL75" i="21"/>
  <c r="AJ75" i="21"/>
  <c r="AF75" i="21"/>
  <c r="AD75" i="21"/>
  <c r="X75" i="21"/>
  <c r="U75" i="21"/>
  <c r="T75" i="21"/>
  <c r="S75" i="21"/>
  <c r="Q75" i="21"/>
  <c r="P75" i="21"/>
  <c r="O75" i="21"/>
  <c r="AL19" i="21"/>
  <c r="AJ19" i="21"/>
  <c r="AF19" i="21"/>
  <c r="AD19" i="21"/>
  <c r="X19" i="21"/>
  <c r="U19" i="21"/>
  <c r="T19" i="21"/>
  <c r="S19" i="21"/>
  <c r="Q19" i="21"/>
  <c r="P19" i="21"/>
  <c r="O19" i="21"/>
  <c r="AL11" i="21"/>
  <c r="AJ11" i="21"/>
  <c r="AF11" i="21"/>
  <c r="AD11" i="21"/>
  <c r="X11" i="21"/>
  <c r="U11" i="21"/>
  <c r="T11" i="21"/>
  <c r="S11" i="21"/>
  <c r="Q11" i="21"/>
  <c r="P11" i="21"/>
  <c r="O11" i="21"/>
  <c r="AL80" i="21"/>
  <c r="AJ80" i="21"/>
  <c r="AF80" i="21"/>
  <c r="AD80" i="21"/>
  <c r="X80" i="21"/>
  <c r="U80" i="21"/>
  <c r="T80" i="21"/>
  <c r="S80" i="21"/>
  <c r="Q80" i="21"/>
  <c r="P80" i="21"/>
  <c r="O80" i="21"/>
  <c r="AL45" i="21"/>
  <c r="AJ45" i="21"/>
  <c r="AF45" i="21"/>
  <c r="AD45" i="21"/>
  <c r="X45" i="21"/>
  <c r="U45" i="21"/>
  <c r="T45" i="21"/>
  <c r="S45" i="21"/>
  <c r="Q45" i="21"/>
  <c r="P45" i="21"/>
  <c r="O45" i="21"/>
  <c r="AH87" i="21" l="1"/>
  <c r="AH22" i="21"/>
  <c r="AH10" i="21"/>
  <c r="AH74" i="21"/>
  <c r="AH30" i="21"/>
  <c r="AH76" i="21"/>
  <c r="AH6" i="21"/>
  <c r="AH68" i="21"/>
  <c r="AH19" i="21"/>
  <c r="AH92" i="21"/>
  <c r="AH80" i="21"/>
  <c r="AH43" i="21"/>
  <c r="AH25" i="21"/>
  <c r="AH89" i="21"/>
  <c r="AB45" i="21"/>
  <c r="AB66" i="21"/>
  <c r="AC30" i="21"/>
  <c r="AB69" i="21"/>
  <c r="AC62" i="21"/>
  <c r="AC88" i="21"/>
  <c r="AH66" i="21"/>
  <c r="AB75" i="21"/>
  <c r="AC53" i="21"/>
  <c r="AI62" i="21"/>
  <c r="AC92" i="21"/>
  <c r="AB54" i="21"/>
  <c r="AB62" i="21"/>
  <c r="AI203" i="21"/>
  <c r="AH133" i="21"/>
  <c r="AH159" i="21"/>
  <c r="AI138" i="21"/>
  <c r="AN54" i="21"/>
  <c r="AI76" i="21"/>
  <c r="AI89" i="21"/>
  <c r="AB92" i="21"/>
  <c r="AC66" i="21"/>
  <c r="AH153" i="21"/>
  <c r="AN140" i="21"/>
  <c r="AO138" i="21"/>
  <c r="AB109" i="21"/>
  <c r="AC74" i="21"/>
  <c r="AH69" i="21"/>
  <c r="AC45" i="21"/>
  <c r="AC19" i="21"/>
  <c r="AI74" i="21"/>
  <c r="AC69" i="21"/>
  <c r="AC28" i="21"/>
  <c r="AB89" i="21"/>
  <c r="AC87" i="21"/>
  <c r="AB4" i="21"/>
  <c r="AI19" i="21"/>
  <c r="AB87" i="21"/>
  <c r="AC80" i="21"/>
  <c r="AB11" i="21"/>
  <c r="AH75" i="21"/>
  <c r="AI30" i="21"/>
  <c r="AC76" i="21"/>
  <c r="AB43" i="21"/>
  <c r="AB22" i="21"/>
  <c r="AC4" i="21"/>
  <c r="AB140" i="21"/>
  <c r="AB199" i="21"/>
  <c r="AO199" i="21"/>
  <c r="AC138" i="21"/>
  <c r="AO53" i="21"/>
  <c r="AH54" i="21"/>
  <c r="AB19" i="21"/>
  <c r="AN4" i="21"/>
  <c r="AB31" i="21"/>
  <c r="AI53" i="21"/>
  <c r="AB6" i="21"/>
  <c r="AI66" i="21"/>
  <c r="AI108" i="21"/>
  <c r="AB30" i="21"/>
  <c r="AB25" i="21"/>
  <c r="AI69" i="21"/>
  <c r="AI124" i="21"/>
  <c r="AB28" i="21"/>
  <c r="AI88" i="21"/>
  <c r="AC108" i="21"/>
  <c r="AC124" i="21"/>
  <c r="AI87" i="21"/>
  <c r="AC68" i="21"/>
  <c r="AI4" i="21"/>
  <c r="AN31" i="21"/>
  <c r="AC31" i="21"/>
  <c r="AH31" i="21"/>
  <c r="AB193" i="21"/>
  <c r="AH193" i="21"/>
  <c r="AN193" i="21"/>
  <c r="AI45" i="21"/>
  <c r="AI80" i="21"/>
  <c r="AC75" i="21"/>
  <c r="AC6" i="21"/>
  <c r="AC109" i="21"/>
  <c r="AC25" i="21"/>
  <c r="AB10" i="21"/>
  <c r="AB80" i="21"/>
  <c r="AC11" i="21"/>
  <c r="AI75" i="21"/>
  <c r="AI6" i="21"/>
  <c r="AB74" i="21"/>
  <c r="AB108" i="21"/>
  <c r="AI109" i="21"/>
  <c r="AI25" i="21"/>
  <c r="AB14" i="21"/>
  <c r="AB76" i="21"/>
  <c r="AB124" i="21"/>
  <c r="AC43" i="21"/>
  <c r="AI28" i="21"/>
  <c r="AC10" i="21"/>
  <c r="AI68" i="21"/>
  <c r="AO4" i="21"/>
  <c r="AO31" i="21"/>
  <c r="AI127" i="21"/>
  <c r="AN159" i="21"/>
  <c r="AI11" i="21"/>
  <c r="AI43" i="21"/>
  <c r="AI10" i="21"/>
  <c r="AB68" i="21"/>
  <c r="AI22" i="21"/>
  <c r="AC127" i="21"/>
  <c r="AN153" i="21"/>
  <c r="AH140" i="21"/>
  <c r="AC14" i="21"/>
  <c r="AH62" i="21"/>
  <c r="AH199" i="21"/>
  <c r="AI199" i="21"/>
  <c r="AH148" i="21"/>
  <c r="AN148" i="21"/>
  <c r="AC133" i="21"/>
  <c r="AB133" i="21"/>
  <c r="AH11" i="21"/>
  <c r="AH45" i="21"/>
  <c r="AH108" i="21"/>
  <c r="AI14" i="21"/>
  <c r="AH124" i="21"/>
  <c r="AH28" i="21"/>
  <c r="AC89" i="21"/>
  <c r="AB88" i="21"/>
  <c r="AI92" i="21"/>
  <c r="AC22" i="21"/>
  <c r="AO127" i="21"/>
  <c r="AB153" i="21"/>
  <c r="AN203" i="21"/>
  <c r="AO203" i="21"/>
  <c r="AN133" i="21"/>
  <c r="AB159" i="21"/>
  <c r="AN42" i="21"/>
  <c r="AH42" i="21"/>
  <c r="AH4" i="21"/>
  <c r="AC148" i="21"/>
  <c r="AI31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P1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T1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빈칸은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실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중량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측정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및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안된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메뉴임</t>
        </r>
        <r>
          <rPr>
            <sz val="9"/>
            <color rgb="FF000000"/>
            <rFont val="Tahoma"/>
            <family val="2"/>
          </rPr>
          <t>.</t>
        </r>
      </text>
    </comment>
    <comment ref="W1" authorId="0" shapeId="0" xr:uid="{00000000-0006-0000-0200-00000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상품코드 노란색은 CJ 대체 상품임. 실제 축산물 주문은 동산축산에서 한다.</t>
        </r>
      </text>
    </comment>
    <comment ref="AA1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G1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M1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포장단위
표시형식은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숫자임</t>
        </r>
        <r>
          <rPr>
            <sz val="9"/>
            <color rgb="FF000000"/>
            <rFont val="Tahoma"/>
            <family val="2"/>
          </rPr>
          <t>.</t>
        </r>
      </text>
    </comment>
    <comment ref="AA109" authorId="0" shapeId="0" xr:uid="{00000000-0006-0000-0200-000007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Menu</t>
        </r>
        <r>
          <rPr>
            <sz val="9"/>
            <color rgb="FF000000"/>
            <rFont val="돋움"/>
            <family val="3"/>
            <charset val="129"/>
          </rPr>
          <t>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3g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표기되어있음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140" authorId="0" shapeId="0" xr:uid="{00000000-0006-0000-0200-000008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소불고기는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날아가서</t>
        </r>
        <r>
          <rPr>
            <sz val="9"/>
            <color rgb="FF000000"/>
            <rFont val="Tahoma"/>
            <family val="2"/>
          </rPr>
          <t xml:space="preserve"> Loss </t>
        </r>
        <r>
          <rPr>
            <sz val="9"/>
            <color rgb="FF000000"/>
            <rFont val="돋움"/>
            <family val="3"/>
            <charset val="129"/>
          </rPr>
          <t>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높음</t>
        </r>
        <r>
          <rPr>
            <sz val="9"/>
            <color rgb="FF000000"/>
            <rFont val="Tahoma"/>
            <family val="2"/>
          </rPr>
          <t xml:space="preserve">. 75% </t>
        </r>
        <r>
          <rPr>
            <sz val="9"/>
            <color rgb="FF000000"/>
            <rFont val="돋움"/>
            <family val="3"/>
            <charset val="129"/>
          </rPr>
          <t>정도</t>
        </r>
        <r>
          <rPr>
            <sz val="9"/>
            <color rgb="FF000000"/>
            <rFont val="Tahoma"/>
            <family val="2"/>
          </rPr>
          <t>?</t>
        </r>
      </text>
    </comment>
    <comment ref="X148" authorId="0" shapeId="0" xr:uid="{00000000-0006-0000-0200-000009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X199" authorId="0" shapeId="0" xr:uid="{00000000-0006-0000-0200-00000A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한우목심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단가</t>
        </r>
        <r>
          <rPr>
            <sz val="9"/>
            <color rgb="FF000000"/>
            <rFont val="Tahoma"/>
            <family val="2"/>
          </rPr>
          <t xml:space="preserve">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709</t>
        </r>
        <r>
          <rPr>
            <sz val="9"/>
            <color rgb="FF000000"/>
            <rFont val="돋움"/>
            <family val="3"/>
            <charset val="129"/>
          </rPr>
          <t>원</t>
        </r>
        <r>
          <rPr>
            <sz val="9"/>
            <color rgb="FF000000"/>
            <rFont val="Tahoma"/>
            <family val="2"/>
          </rPr>
          <t>/1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25g </t>
        </r>
        <r>
          <rPr>
            <sz val="9"/>
            <color rgb="FF000000"/>
            <rFont val="돋움"/>
            <family val="3"/>
            <charset val="129"/>
          </rPr>
          <t>단가임</t>
        </r>
        <r>
          <rPr>
            <sz val="9"/>
            <color rgb="FF000000"/>
            <rFont val="Tahoma"/>
            <family val="2"/>
          </rPr>
          <t>.</t>
        </r>
      </text>
    </comment>
    <comment ref="AA199" authorId="0" shapeId="0" xr:uid="{00000000-0006-0000-0200-00000B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오븐에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구우면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날라가서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감안한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주문량임</t>
        </r>
        <r>
          <rPr>
            <sz val="9"/>
            <color rgb="FF000000"/>
            <rFont val="Tahoma"/>
            <family val="2"/>
          </rPr>
          <t>.</t>
        </r>
      </text>
    </comment>
    <comment ref="AA230" authorId="0" shapeId="0" xr:uid="{00000000-0006-0000-0200-00000C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메모는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60g </t>
        </r>
        <r>
          <rPr>
            <sz val="9"/>
            <color rgb="FF000000"/>
            <rFont val="돋움"/>
            <family val="3"/>
            <charset val="129"/>
          </rPr>
          <t>발주하라고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되어있음</t>
        </r>
        <r>
          <rPr>
            <sz val="9"/>
            <color rgb="FF000000"/>
            <rFont val="Tahoma"/>
            <family val="2"/>
          </rPr>
          <t>.</t>
        </r>
      </text>
    </comment>
    <comment ref="AA247" authorId="0" shapeId="0" xr:uid="{00000000-0006-0000-0200-00000D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1Kg 28,340</t>
        </r>
        <r>
          <rPr>
            <sz val="9"/>
            <color rgb="FF000000"/>
            <rFont val="돋움"/>
            <family val="3"/>
            <charset val="129"/>
          </rPr>
          <t xml:space="preserve">원
</t>
        </r>
        <r>
          <rPr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돋움"/>
            <family val="3"/>
            <charset val="129"/>
          </rPr>
          <t>인단가</t>
        </r>
        <r>
          <rPr>
            <sz val="9"/>
            <color rgb="FF000000"/>
            <rFont val="Tahoma"/>
            <family val="2"/>
          </rPr>
          <t xml:space="preserve"> 1,134</t>
        </r>
        <r>
          <rPr>
            <sz val="9"/>
            <color rgb="FF000000"/>
            <rFont val="돋움"/>
            <family val="3"/>
            <charset val="129"/>
          </rPr>
          <t>원</t>
        </r>
      </text>
    </comment>
    <comment ref="X257" authorId="0" shapeId="0" xr:uid="{00000000-0006-0000-0200-00000E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스위트콘 물 빼면 수율 1.9Kg 남음.
즉 1.0Kg 는 물이란 이야기다.
수율 64.4%</t>
        </r>
      </text>
    </comment>
    <comment ref="AA257" authorId="0" shapeId="0" xr:uid="{00000000-0006-0000-0200-00000F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12일(금)
주문중량 계산식은 기본 중량 40g에 85%는 약 35g.
캔콘은 따서 물을 제외해야 함으로 1.55배수인 54g/1인으로 주문중량을 계산하면 된다.</t>
        </r>
      </text>
    </comment>
    <comment ref="AA324" authorId="0" shapeId="0" xr:uid="{00000000-0006-0000-0200-000010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27" authorId="0" shapeId="0" xr:uid="{00000000-0006-0000-0200-00001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CJ </t>
        </r>
        <r>
          <rPr>
            <sz val="9"/>
            <color rgb="FF000000"/>
            <rFont val="돋움"/>
            <family val="3"/>
            <charset val="129"/>
          </rPr>
          <t>키즈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계란찜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인량</t>
        </r>
        <r>
          <rPr>
            <sz val="9"/>
            <color rgb="FF000000"/>
            <rFont val="Tahoma"/>
            <family val="2"/>
          </rPr>
          <t>: 30g</t>
        </r>
      </text>
    </comment>
    <comment ref="AA382" authorId="0" shapeId="0" xr:uid="{00000000-0006-0000-0200-00001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17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수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계란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알을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반으로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컷트함</t>
        </r>
        <r>
          <rPr>
            <sz val="9"/>
            <color rgb="FF000000"/>
            <rFont val="Tahoma"/>
            <family val="2"/>
          </rPr>
          <t>.</t>
        </r>
      </text>
    </comment>
    <comment ref="Z422" authorId="0" shapeId="0" xr:uid="{00000000-0006-0000-0200-000013000000}">
      <text>
        <r>
          <rPr>
            <b/>
            <sz val="10"/>
            <color rgb="FF000000"/>
            <rFont val="맑은 고딕"/>
            <family val="3"/>
            <charset val="129"/>
          </rPr>
          <t>Silverrak:</t>
        </r>
        <r>
          <rPr>
            <sz val="10"/>
            <color rgb="FF000000"/>
            <rFont val="맑은 고딕"/>
            <family val="3"/>
            <charset val="129"/>
          </rPr>
          <t xml:space="preserve">
2019년 4월 11일(목)
1팩당 포장개수 오차있다고 CJ 에서 명시함.</t>
        </r>
      </text>
    </comment>
    <comment ref="AA465" authorId="0" shapeId="0" xr:uid="{00000000-0006-0000-0200-000014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15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10Kg </t>
        </r>
        <r>
          <rPr>
            <sz val="9"/>
            <color rgb="FF000000"/>
            <rFont val="돋움"/>
            <family val="3"/>
            <charset val="129"/>
          </rPr>
          <t>재고발생</t>
        </r>
        <r>
          <rPr>
            <sz val="9"/>
            <color rgb="FF000000"/>
            <rFont val="Tahoma"/>
            <family val="2"/>
          </rPr>
          <t xml:space="preserve">.
</t>
        </r>
        <r>
          <rPr>
            <sz val="9"/>
            <color rgb="FF000000"/>
            <rFont val="돋움"/>
            <family val="3"/>
            <charset val="129"/>
          </rPr>
          <t>급식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인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발주량</t>
        </r>
        <r>
          <rPr>
            <sz val="9"/>
            <color rgb="FF000000"/>
            <rFont val="Tahoma"/>
            <family val="2"/>
          </rPr>
          <t xml:space="preserve"> 100g </t>
        </r>
        <r>
          <rPr>
            <sz val="9"/>
            <color rgb="FF000000"/>
            <rFont val="돋움"/>
            <family val="3"/>
            <charset val="129"/>
          </rPr>
          <t>에서</t>
        </r>
        <r>
          <rPr>
            <sz val="9"/>
            <color rgb="FF000000"/>
            <rFont val="Tahoma"/>
            <family val="2"/>
          </rPr>
          <t xml:space="preserve"> 90g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수정함</t>
        </r>
        <r>
          <rPr>
            <sz val="9"/>
            <color rgb="FF000000"/>
            <rFont val="Tahoma"/>
            <family val="2"/>
          </rPr>
          <t>.</t>
        </r>
      </text>
    </comment>
    <comment ref="X495" authorId="0" shapeId="0" xr:uid="{00000000-0006-0000-0200-000015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18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목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냉동이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아닌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냉장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열무를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쓰는듯</t>
        </r>
        <r>
          <rPr>
            <sz val="9"/>
            <color rgb="FF000000"/>
            <rFont val="Tahoma"/>
            <family val="2"/>
          </rPr>
          <t>.</t>
        </r>
      </text>
    </comment>
    <comment ref="AA502" authorId="0" shapeId="0" xr:uid="{00000000-0006-0000-0200-000016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4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12(</t>
        </r>
        <r>
          <rPr>
            <sz val="9"/>
            <color rgb="FF000000"/>
            <rFont val="돋움"/>
            <family val="3"/>
            <charset val="129"/>
          </rPr>
          <t>금</t>
        </r>
        <r>
          <rPr>
            <sz val="9"/>
            <color rgb="FF000000"/>
            <rFont val="Tahoma"/>
            <family val="2"/>
          </rPr>
          <t xml:space="preserve">)
</t>
        </r>
        <r>
          <rPr>
            <sz val="9"/>
            <color rgb="FF000000"/>
            <rFont val="돋움"/>
            <family val="3"/>
            <charset val="129"/>
          </rPr>
          <t>콘버터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메모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참고할것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Silverrak</author>
  </authors>
  <commentList>
    <comment ref="E15" authorId="0" shapeId="0" xr:uid="{00000000-0006-0000-1800-000001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고구마순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원산지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확인필요함</t>
        </r>
        <r>
          <rPr>
            <sz val="9"/>
            <color rgb="FF000000"/>
            <rFont val="Tahoma"/>
            <family val="2"/>
          </rPr>
          <t>.</t>
        </r>
      </text>
    </comment>
    <comment ref="D28" authorId="0" shapeId="0" xr:uid="{00000000-0006-0000-1800-000002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11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)
25g -&gt; 30g 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상향조정함</t>
        </r>
        <r>
          <rPr>
            <sz val="9"/>
            <color rgb="FF000000"/>
            <rFont val="Tahoma"/>
            <family val="2"/>
          </rPr>
          <t>.</t>
        </r>
      </text>
    </comment>
    <comment ref="D80" authorId="0" shapeId="0" xr:uid="{00000000-0006-0000-1800-000003000000}">
      <text>
        <r>
          <rPr>
            <b/>
            <sz val="9"/>
            <color rgb="FF000000"/>
            <rFont val="Tahoma"/>
            <family val="2"/>
          </rPr>
          <t>Silverrak:</t>
        </r>
        <r>
          <rPr>
            <sz val="9"/>
            <color rgb="FF000000"/>
            <rFont val="Tahoma"/>
            <family val="2"/>
          </rPr>
          <t xml:space="preserve">
2019</t>
        </r>
        <r>
          <rPr>
            <sz val="9"/>
            <color rgb="FF000000"/>
            <rFont val="돋움"/>
            <family val="3"/>
            <charset val="129"/>
          </rPr>
          <t>년</t>
        </r>
        <r>
          <rPr>
            <sz val="9"/>
            <color rgb="FF000000"/>
            <rFont val="Tahoma"/>
            <family val="2"/>
          </rPr>
          <t xml:space="preserve"> 1</t>
        </r>
        <r>
          <rPr>
            <sz val="9"/>
            <color rgb="FF000000"/>
            <rFont val="돋움"/>
            <family val="3"/>
            <charset val="129"/>
          </rPr>
          <t>월</t>
        </r>
        <r>
          <rPr>
            <sz val="9"/>
            <color rgb="FF000000"/>
            <rFont val="Tahoma"/>
            <family val="2"/>
          </rPr>
          <t xml:space="preserve"> 3</t>
        </r>
        <r>
          <rPr>
            <sz val="9"/>
            <color rgb="FF000000"/>
            <rFont val="돋움"/>
            <family val="3"/>
            <charset val="129"/>
          </rPr>
          <t>일</t>
        </r>
        <r>
          <rPr>
            <sz val="9"/>
            <color rgb="FF000000"/>
            <rFont val="Tahoma"/>
            <family val="2"/>
          </rPr>
          <t xml:space="preserve"> 50g-&gt;30g</t>
        </r>
        <r>
          <rPr>
            <sz val="9"/>
            <color rgb="FF000000"/>
            <rFont val="돋움"/>
            <family val="3"/>
            <charset val="129"/>
          </rPr>
          <t>으로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수정</t>
        </r>
        <r>
          <rPr>
            <sz val="9"/>
            <color rgb="FF000000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<sst xmlns="http://schemas.openxmlformats.org/spreadsheetml/2006/main" count="5153" uniqueCount="2351">
  <si>
    <t>콩나물(원료수입산)92%, 당근, 마늘, 대파, 고추가루, 참치액, 소금, 참기름, 참깨</t>
  </si>
  <si>
    <t>감자(수입)87%,피망(국산)11%, 대파(국산), 천일염, 마늘,참기름, 참깨, 식용유</t>
  </si>
  <si>
    <t>미트볼(돈육72.5%-국내산 ),  양파(국산), 피망(국산), 토마토소스,소금, 후추</t>
  </si>
  <si>
    <t>** 자재수정 대기중 / 무(국산)71%, 소고기(수입산)19%,당근,굴소스,대파,참깨</t>
  </si>
  <si>
    <t>탕수육(돈육-국내산 37%), 파프리카, 양파, 당근, 목이버섯, 파인애플, 칠리소스, 전분</t>
  </si>
  <si>
    <t>표고버섯(국내산)32%, 어묵(원료수입)58%, 양파(국산) 6%,깨소금, 마늘, 대파,소금</t>
  </si>
  <si>
    <t>닭고기(국산/ 57.94%), 밀가루,빵가루, 간장, 고추장, 케찹, 물엿, 식용유,땅콩가루</t>
  </si>
  <si>
    <t>스팸(원료수입)51.4%, 파프리카(국산)14.3%, 호박, 양파, 당근, 굴소스,케찹</t>
  </si>
  <si>
    <t>청경채(국산)60%, 돼지고기(국산) 12%, 표고버섯(수입)12%,당근,굴소스,대파,참깨</t>
  </si>
  <si>
    <t>양배추(국산)70%, 콘(수입)15%,파프리카, 양파, 당근, 마요네즈 ,식초,설탕,소금</t>
  </si>
  <si>
    <t>표고버섯채(수입/46.88%),당근,오이,파프리카, 목이버섯, 파인애플, 전분,빵가루,식용유</t>
  </si>
  <si>
    <t>도토리묵(원료수입)87%, 치커리(국산)3%, 오이(국산)3%, 당근,간장,참기름,참깨,대파</t>
  </si>
  <si>
    <t>두부(원료수입)82%, 케찹(국산)5%, 양파2%, 대파, 간장, 식용유,참기름, 참깨</t>
  </si>
  <si>
    <t>돼지고기(국산)89%, 양파(국산)3%, 당근(국산)3%, 대파, 마늘, 짜장소스,깨소금</t>
  </si>
  <si>
    <t>감자(국산)22%, 파프리카(국산)12%, 햄(국산돈육 90.08%)23%, 애호박, 완두콩, 양파, 당근</t>
  </si>
  <si>
    <t>사과(국산)23%,단감(국산)23%,햄(국내산/돼지고기70.51%)13%,메추리알(국산)13%, 파인애플(수입)15%, 건포도, 땅콩, 마요네즈</t>
  </si>
  <si>
    <t>고기완자(무항생제 돈육 61.85%)83%, 청경채(국산)8%,양파(국산)3%, 파프리카, 피망, 표고, 대파,굴소스, 치킨스탁, 간장, 설탕, 맛술</t>
  </si>
  <si>
    <t>생선통살[(남방대구필렛:뉴질랜드산)50%,밀가루,빵가루,이스트,정제소금,정제수]53.8%, 오이,당근,파인애플,목이버섯,파프리카,간장,전분,식용유</t>
  </si>
  <si>
    <t>백김치(국내산)45%, 참치[가다랑어(원양산:태평양)74.47%]19%, 양파,당근,완두콩,마늘,대두유,소금,굴소스,치킨스톡,다시마육수,전분,참기름</t>
  </si>
  <si>
    <t>감자(국산)21.15%,양파(국산)17.31%,당근(중국산)8.08%,깻잎(국산)1.35%,옥수수전분(수입),식용유</t>
  </si>
  <si>
    <t>스테이크패티[돼지고기(국내산)50.04%,소고기(국내산)14.11%,양파,계란,소금,설탕,빵가루]86.7%, 스테이크소스</t>
  </si>
  <si>
    <t>쌀떡(국산)74%, 소고기(호주산)11%, 파프리카(국산) 3%, 표고버섯2%,양파,당근,참기름,간장</t>
  </si>
  <si>
    <t>양파(국내산)30.8%, 돼지고기(국내산)24.2%, 감자,당근,마늘,후추,맛술,대두유,카레분말,정제수</t>
  </si>
  <si>
    <t>양파(국내산)27.3%, 돈육(국내산)20%, 양배추,감자,당근,파,마늘,대두유,춘장,짜장분말,정제수,전분</t>
  </si>
  <si>
    <t>치킨텐더(닭안심국내산 71.88%)56%,양상추(국산)12%,로메인상추(국산)11%,피망,오이,케이준드레싱</t>
  </si>
  <si>
    <t>한우정육(국내산)50%, 돼지정육(국내산)40%, 양파4%,파4%,간장1%,옥수수전분,마늘,생강,후추</t>
  </si>
  <si>
    <t>절임배추(배추,천일염:국내산),돼지고기(국내산),정제수,두부,부추,양파,양배추,파,감자전분,생강가루,대두유</t>
  </si>
  <si>
    <t>돼지고기(국내산)58.71%, 양파(국산)15%, 파프리카(국산) 12%, 당근, 참기름, 간장,참깨</t>
  </si>
  <si>
    <t>새우까스[오징어(칠레산)33%,새우살(수입산)14%,생빵가루,쇼트닝,정제수,전분,정제소금]98%, 대두유</t>
  </si>
  <si>
    <t>미트볼(돈육42.83%-국내산, 닭고기 20.15%-국내산 )82%, 양파(국산), 피망(국산), 당근</t>
  </si>
  <si>
    <t>우엉채(중국산)72%, 대두유, 맛술, 정제수, 간장, 설탕, 물엿, 참기름, 참깨</t>
  </si>
  <si>
    <t>고사리(중국산)88.6%, 마늘, 대파, 대두유, 국간장, 소금, 참기름, 참깨</t>
  </si>
  <si>
    <t>연어(수입/국내생산)73%, 애호박(국산)3%, 파프리카2%, 양파, 감자, 당근</t>
  </si>
  <si>
    <t>무(국산)71%, 소고기(국산) 12%, 표고버섯(수입)14%,당근,굴소스,대파,참깨</t>
  </si>
  <si>
    <t>청포묵(원료수입)87%, 김(국산)5%, 소고기(수입),피망,계란,,참기름,참깨,대파</t>
  </si>
  <si>
    <t>돼지고기(국내산)50.97%, 전분, 빵가루, 찹쌀가루, 간장, 식초, 설탕, 레몬즙</t>
  </si>
  <si>
    <t>두부(원료수입)78%, 김치(배추,고추가루 국내산)13%, 식용유, 참기름, 참깨</t>
  </si>
  <si>
    <t>후랑크소세지(돈육/국내산 69.78%)12%, 계란 83%, 흰우유, 식용유, 소금</t>
  </si>
  <si>
    <t>열무(국산), 고추가루(수입), 찹쌀풀(국산), 파, 마늘, 새우젓 등 양념(국산)</t>
  </si>
  <si>
    <t>흰콩(수입)62%, 완두콩(수입)33%, 파프리카(국산)2%,간장, 물엿, 참깨</t>
  </si>
  <si>
    <t>감자(국산)69%, 햄(국내산,돼지고기 70.51%)27%, 소금, 참기름, 참깨</t>
  </si>
  <si>
    <t>돈육83%, 양파(국산)3%, 파프리카, 피망, 대파,굴소스, 간장, 설탕, 맛술</t>
  </si>
  <si>
    <t>미역(국산)34%, 오이(국산)43%, 양파(국산)17%,식초 ,소금, 대파, 마늘</t>
  </si>
  <si>
    <t>스팸(원료수입)51.4%, 김치(국내산)17.3%, 호박, 양파, 당근, 굴소스,케찹</t>
  </si>
  <si>
    <t>무(국산), 고추가루(국산), 찹쌀풀(국산), 파, 마늘, 새우젓 등 양념(국산)</t>
  </si>
  <si>
    <t>연육(원료수입),당면(수입)14.79%, 당근, 파프리카, 양파, 대파,정제염,소맥분</t>
  </si>
  <si>
    <t>계란(국내산) 86%, 베이컨(원료수입)5%, 당근(국산)4% ,흰우유,소금</t>
  </si>
  <si>
    <t>참나물(국산)91%,유자청(국산)6%, 마늘, 대파, 참깨, 참기름, 소금</t>
  </si>
  <si>
    <t>콘(수입)83%, 파프리카(국산)5%, 양파(국산)5%, 버터,마요네즈,설탕</t>
  </si>
  <si>
    <t>숙주(원료수입)93% , 당근(국산)2%, 마늘, 대파, 참기름, 참깨, 소금</t>
  </si>
  <si>
    <t>어묵(국내산)53%, 마늘쫑(국내산)42%,  간장, 물엿, 참기름, 참깨</t>
  </si>
  <si>
    <t>새송이(국산)71.4%, 곤약(국산)12.8%, 표고버섯, 쪽파, 간장, 물엿</t>
  </si>
  <si>
    <t>양배추(국산)31%,햄21%,사과(국산)27%,당근,마요네즈,머스타드,레몬즙</t>
  </si>
  <si>
    <t>시금치(국산)73%, 유부(재료수입산)22% ,대파,마늘, 간장, 참기름,참깨</t>
  </si>
  <si>
    <t>계란(국내산) 86%, 날치알(수입)4%, 당근(국산)4% ,흰우유,소금</t>
  </si>
  <si>
    <t>단무지(국산)93%, 쪽파(국내산)3%, 고추가루, 마늘, 참기름, 깨소금</t>
  </si>
  <si>
    <t>가지(국산)86%, 소고기(수입)11%, 간장, 대파, 마늘, 참기름, 깨소금</t>
  </si>
  <si>
    <t>시금치(국산)73%, 마른파래김(국산)22% ,대파,마늘, 간장, 참기름,참깨</t>
  </si>
  <si>
    <t>절임무(국내산)63.04%,절임오이,간장,설탕,식초,소금,참깨,참기름,파,마늘</t>
  </si>
  <si>
    <t>느타리버섯(국산)65.6%,애호박(국산)31.2%, 양파2%, 대파,마늘</t>
  </si>
  <si>
    <t>1팬에 64 조각. 왕란4개=6인분</t>
  </si>
  <si>
    <t>온라인반찬(중요함), 온라인국, 급식반찬, 급식국, 급식밥 (총5개의 DB 시트로 구성됨)</t>
  </si>
  <si>
    <t>키드락 메뉴는 온라인_반찬 시트가 메인시트이며 신메뉴 추가등록, 개별중량 수정하여 관리한다.</t>
  </si>
  <si>
    <t>돼지갈비(국내산)53.8%, 무(국내산)19.2%, 양파,당근,파,마늘,생강가루,월계수잎,다시마육수,간장,설탕,맛술,물엿,참기름,후추</t>
  </si>
  <si>
    <t>소고기(호주산)45.5%, 느타리버섯(국내산)16%, 양파(국내산)15%, 팽이버섯,표고버섯,당근,파,마늘,간장,맛술,참기름,후추,참깨</t>
  </si>
  <si>
    <t>빵(국산)22%,파프리카(국산)14.3%, 베이컨(원료수입)11%,모짜렐라치즈11%, 양파, 올리브,파인애플, 토마토소스, 파슬리</t>
  </si>
  <si>
    <t>메 모</t>
  </si>
  <si>
    <t>품목</t>
  </si>
  <si>
    <t>g</t>
  </si>
  <si>
    <t>개</t>
  </si>
  <si>
    <t>장</t>
  </si>
  <si>
    <t>No.</t>
  </si>
  <si>
    <t>보존식</t>
  </si>
  <si>
    <t>김치</t>
  </si>
  <si>
    <t>반찬4</t>
  </si>
  <si>
    <t>단위</t>
  </si>
  <si>
    <t>닭정육(국산)86.4%, 스테이크소스,굴소스,간장,맛술,후추,파슬리가루</t>
  </si>
  <si>
    <t>돼지고기(국내산)86%, 양파(국산)5%, 당근,간장, 대파, 마늘</t>
  </si>
  <si>
    <t>돼지고기(국산),계란,두부,부침가루,생강,마늘,부추,당근,파,깨소금</t>
  </si>
  <si>
    <t>감자(국산)72%, 고구마(국산)26%, 소금,식용유, 참기름, 참깨</t>
  </si>
  <si>
    <t>단호박(수입)83%, 고구마(국산)15%, 간장, 물엿, 참깨, 아몬드</t>
  </si>
  <si>
    <t>유탕고구마(수입/고구마 93%,팜유), 정백당, 대두유, 올리고당</t>
  </si>
  <si>
    <t>어묵(원료수입)53%,감자(수입)42%,간장, 물엿, 참기름, 참깨</t>
  </si>
  <si>
    <t>계란(국산)85%, 당근5%, 브로콜리(수입)5% ,우유,소금,설탕</t>
  </si>
  <si>
    <t>얼갈이(국산)96%, 파프리카, 된장, 대파, 참기름, 마늘, 참깨</t>
  </si>
  <si>
    <t>견과류(수입)53%,멸치(국산)42%,  간장, 물엿, 참기름, 참깨</t>
  </si>
  <si>
    <t>검은콩(수입)53%,멸치(국산)42%,  간장, 물엿, 참기름, 참깨</t>
  </si>
  <si>
    <t>베이컨(원료수입 )11%, 계란(국산) 86%, 우유, 소금, 식용유</t>
  </si>
  <si>
    <t>돈육(국산)91%, 표고버섯(수입)4%, 곤약, 간장, 물엿, 생강즙</t>
  </si>
  <si>
    <t>무(국내산)90.9%, 파,마늘,대두유,멸치다시마육수,소금,참기름,참깨</t>
  </si>
  <si>
    <t>마늘쫑(국산)53%,멸치(국산)42%,  간장, 물엿, 참기름, 참깨</t>
  </si>
  <si>
    <t>돼지고기(국내산)63.41%,두부,양파,당근,마늘,빵가루,계란,쪽파</t>
  </si>
  <si>
    <t>삼겹살(수입 )92%, 된장, 마요네즈, 물엿, 간장, 대파, 마늘</t>
  </si>
  <si>
    <t>부추(국산)20%, 양파(국산)6%, 당근, 계란, 부침가루, 식용유</t>
  </si>
  <si>
    <t>콘(수입)83%,양파(국산) 5%, 파프리카(국산) 7%, 살사소스</t>
  </si>
  <si>
    <t>느타리버섯(국산)89%, 양파9%, 들깨가루, 들기름, 대파, 소금</t>
  </si>
  <si>
    <t>호박(국산)91%, 당근(국산)6%, 참기름, 마늘, 소금, 참깨</t>
  </si>
  <si>
    <t>18/6/18 13:00 ~ 18/6/21 13:00</t>
  </si>
  <si>
    <t>18/5/24 13:00 ~ 18/5/27 13:00</t>
  </si>
  <si>
    <t>18/5/31 13:00 ~ 18/6/3 13:00</t>
  </si>
  <si>
    <t>18/6/14 13:00 ~ 18/6/17 13:00</t>
  </si>
  <si>
    <t>18/6/13 13:00 ~ 18/6/16 13:00</t>
  </si>
  <si>
    <t>18/6/28 13:00 ~ 18/7/1 13:00</t>
  </si>
  <si>
    <t>18/6/11 13:00 ~ 18/6/14 13:00</t>
  </si>
  <si>
    <t>18/6/19 13:00 ~ 18/6/22 13:00</t>
  </si>
  <si>
    <t>18/6/20 13:00 ~ 18/6/23 13:00</t>
  </si>
  <si>
    <t>18/6/25 13:00 ~ 18/6/28 13:00</t>
  </si>
  <si>
    <t>18/2/8 13:00 ~ 18/2/11 13:00</t>
  </si>
  <si>
    <t>18/5/22 20:00 ~ 18/5/25 13:00</t>
  </si>
  <si>
    <t>18/2/26 13:00 ~ 18/3/1 13:00</t>
  </si>
  <si>
    <t>18/2/28 13:00 ~ 18/3/3 13:00</t>
  </si>
  <si>
    <t>18/2/12 13:00 ~ 18/2/15 13:00</t>
  </si>
  <si>
    <t>18/6/27 13:00 ~ 18/6/30 13:00</t>
  </si>
  <si>
    <t>18/1/03 13:00 ~ 18/1/06 13:00</t>
  </si>
  <si>
    <t>18/1/04 13:00 ~ 18/1/07 13:00</t>
  </si>
  <si>
    <t>18/5/13 13:00 ~ 18/5/16 13:00</t>
  </si>
  <si>
    <t>18/6/29 13:00 ~ 18/7/2 13:00</t>
  </si>
  <si>
    <t>18/1/24 13:00 ~ 18/1/27 13:00</t>
  </si>
  <si>
    <t>18/4/30 13:00 ~ 18/5/3 13:00</t>
  </si>
  <si>
    <t>18/5/28 13:00 ~ 18/5/31 13:00</t>
  </si>
  <si>
    <t>18/4/10 13:00 ~ 18/4/13 13:00</t>
  </si>
  <si>
    <t>18/4/26 13:00 ~ 18/4/29 13:00</t>
  </si>
  <si>
    <t>18/5/23 13:00 ~ 18/5/26 13:00</t>
  </si>
  <si>
    <t>18/1/31 13:00 ~ 18/2/3 13:00</t>
  </si>
  <si>
    <t>18/4/12 13:00 ~ 18/4/15 13:00</t>
  </si>
  <si>
    <t>18/6/10 13:00 ~ 18/6/13 13:00</t>
  </si>
  <si>
    <t>18/4/9 20:00 ~ 18/4/12 13:00</t>
  </si>
  <si>
    <t>18/5/29 13:00 ~ 18/6/1 13:00</t>
  </si>
  <si>
    <t>18/5/10 13:00 ~ 18/5/13 13:00</t>
  </si>
  <si>
    <t>18/6/21 13:00 ~ 18/6/24 13:00</t>
  </si>
  <si>
    <t>18/6/22 13:00 ~ 18/6/25 13:00</t>
  </si>
  <si>
    <t>18/2/20 20:00 ~ 18/2/23 13:00</t>
  </si>
  <si>
    <t>18/5/30 13:00 ~ 18/6/2 13:00</t>
  </si>
  <si>
    <t>18/2/19 13:00 ~ 18/2/22 13:00</t>
  </si>
  <si>
    <t>18/6/8 13:00 ~ 18/6/11 13:00</t>
  </si>
  <si>
    <t>18/4/19 13:00 ~ 18/4/22 13:00</t>
  </si>
  <si>
    <t>18/2/22 13:00 ~ 18/2/25 13:00</t>
  </si>
  <si>
    <t>18/6/7 13:00 ~ 18/6/10 13:00</t>
  </si>
  <si>
    <t>18/6/26 13:00 ~ 18/6/29 13:00</t>
  </si>
  <si>
    <t>18/3/16 13:00 ~ 18/3/19 13:00</t>
  </si>
  <si>
    <t>18/6/15 13:00 ~ 18/6/18 13:00</t>
  </si>
  <si>
    <t>18/3/7 13:00 ~ 18/3/10 13:00</t>
  </si>
  <si>
    <t>18/5/21 13:00 ~ 18/5/24 13:00</t>
  </si>
  <si>
    <t>18/10/18 13:00 ~ 18/10/21 13:00</t>
  </si>
  <si>
    <t>새송이버섯 수율 45~50% (총알새송이는 수율 다름)</t>
  </si>
  <si>
    <t>18/6/12 13:00 ~ 18/6/15 13:00</t>
  </si>
  <si>
    <t>18/4/13 13:00 ~ 18/4/16 13:00</t>
  </si>
  <si>
    <t>훈제오리감자볶음</t>
  </si>
  <si>
    <t>키즈락 생산일지 작성 및 파일 관리방법</t>
  </si>
  <si>
    <t>각 시트의 기본 행 높이는 30 이다.</t>
  </si>
  <si>
    <t>자재입력 대기중</t>
  </si>
  <si>
    <t>고구마감자채볶음</t>
  </si>
  <si>
    <t>계란(국산)86%, 햄(국내산)9%, 소금,식용유,쪽파</t>
  </si>
  <si>
    <t>가지(국산)96%, 대파, 마늘, 간장, 참기름, 참깨</t>
  </si>
  <si>
    <t>쥐포(수입)98%, 참기름, 간장, 물엿, 깨소금, 대파</t>
  </si>
  <si>
    <t>깻잎(국산)98%,마늘, 대파, 참깨, 국간장, 참기름</t>
  </si>
  <si>
    <t>도라지(수입)96%,소금, 참기름, 참깨, 대파, 마늘</t>
  </si>
  <si>
    <t>고등어(국내산)93%, 데리야끼소스, 식용유, 밀가루</t>
  </si>
  <si>
    <t>두부(원료수입)93%, 양파3%, 당근, 간장, 식용유</t>
  </si>
  <si>
    <t>돼지고기등심(국산)53.23%, 빵가루, 밀가루, 식용유</t>
  </si>
  <si>
    <t>구운김(국내산)92%, 간장, 대파, 마늘,참기름, 참깨</t>
  </si>
  <si>
    <t>닭고기(국내산)92%,양파(국산) 3%, 스테이크소스</t>
  </si>
  <si>
    <t>멸치(국산)98% , 마늘, 물엿, 간장, 참깨, 참기름</t>
  </si>
  <si>
    <t>돼지고기(국산)54.6%, 밀가루, 빵가루, 건조코코넛</t>
  </si>
  <si>
    <t>시금치(수입)98%, 소금, 대파, 마늘, 참기름, 참깨</t>
  </si>
  <si>
    <t>건파래(국산)97%, 간장, 당근, 쪽파, 마늘, 대파</t>
  </si>
  <si>
    <t>돼지고기등심(국산)50%, 빵가루, 밀가루, 식용유</t>
  </si>
  <si>
    <t>멸치(국산)93% , 유자청, 마늘, 참깨, 참기름</t>
  </si>
  <si>
    <t>미역줄기(국산)90%, 양파(국산)5%, 참기름, 깨소금</t>
  </si>
  <si>
    <t>건파래김(국산)98%,참기름, 참깨, 설탕, 식용유</t>
  </si>
  <si>
    <t>표고소고기무조림</t>
  </si>
  <si>
    <t>피쉬어묵야채볶음</t>
  </si>
  <si>
    <t>잔멸치유자청볶음</t>
  </si>
  <si>
    <t>참치백김치덮밥소스</t>
  </si>
  <si>
    <t>참나물유자청무침</t>
  </si>
  <si>
    <t>청경채굴소스볶음</t>
  </si>
  <si>
    <t>일별 생산일지에 메뉴이름이 안뜨거나 개별중량, 자재사용내용 값이 안뜨는 경우, "온라인_반찬" 시트 DB에 입력이 안되어있거나 메뉴이름이 잘못된경우이다.</t>
  </si>
  <si>
    <t>소고기두부덮밥소스</t>
  </si>
  <si>
    <t>데리야끼고등어구이</t>
  </si>
  <si>
    <t>미트볼토마토소스</t>
  </si>
  <si>
    <t>모든 시트 이름을 새로운 달(月)에 맞추어 날짜 및 요일을 모두 변경한다. 여기서 급식만 있는 금요일과 온라인만 있는 일요일 또는 공휴일 시트를 잘 변경한다.</t>
  </si>
  <si>
    <t>새로운 달로 넘어갈 경우 파일을 다음달 월이름 Excel 파일로 저장한다. (예: "이번달이 2018년 10월" 이면 "2018년 11월 생산일지(키즈)"로 변경저장)</t>
  </si>
  <si>
    <t>시트 이름을 모두 변경했으면 각 시트에 왼쪽 상단 파란색 바탕 A3 칸에 "2019-03-10" 날짜 형식으로 입력한다.</t>
  </si>
  <si>
    <t>온라인반찬 DB 시트에 같거나 유사한 메뉴이름이 있는지 "찾기"를 사용하여 확인해 보고 메뉴이름이 없다면 추가한다.</t>
  </si>
  <si>
    <t>훈제오리(국산)56%, 감자(국산)28%, 부추(국산)2% ,파프리카(국산)2%,애호박(국산)3%,당근, 양파, 참깨, 소금</t>
  </si>
  <si>
    <t>훈제오리(국산)56%, 감자(국산)28%, 부추(국산)2% ,파프리카(국산)2%,호박(국산)3%,당근, 양파, 참깨, 굴소스</t>
  </si>
  <si>
    <t>콘버터</t>
  </si>
  <si>
    <t>무나물</t>
  </si>
  <si>
    <t>호박전</t>
  </si>
  <si>
    <t>깍두기</t>
  </si>
  <si>
    <t>깻잎전</t>
  </si>
  <si>
    <t>닭강정</t>
  </si>
  <si>
    <t>토마토소스미트볼</t>
  </si>
  <si>
    <t>피쉬어묵채소볶음</t>
  </si>
  <si>
    <t>단호박감자샐러드</t>
  </si>
  <si>
    <t>비엔나소세지볶음</t>
  </si>
  <si>
    <t>꼬마새송이장조림</t>
  </si>
  <si>
    <t>느타리애호박볶음</t>
  </si>
  <si>
    <t>각 생산일지 시트는 평일용(급식과 온라인배송이 같이 있는날), 금.급식용 (금요일 급식만 있는날), 일.온라인(일요일 또는 공휴일 온라인 배송만 있는날) 총 3가지로 구분한다.</t>
  </si>
  <si>
    <t>고사리(수입)96%, 대파, 간장, 참깨</t>
  </si>
  <si>
    <t>닭봉(국내산)95% ,간장, 물엿, 참깨</t>
  </si>
  <si>
    <t>맵쌀가루(국내산)97%,천일염,케찹,물엿</t>
  </si>
  <si>
    <t>닭고기(안심/국내산)71%, 밀가루,식용유</t>
  </si>
  <si>
    <t xml:space="preserve">돈목살(수입)91%, 간장, 대파, 마늘 </t>
  </si>
  <si>
    <t>연근(수입) 96%, 간장, 물엿, 참깨</t>
  </si>
  <si>
    <t>진미채(수입)93%, 간장, 깨소금,참기름</t>
  </si>
  <si>
    <t>감자(국산)60%,멸치(국산)32% 물엿,간장,참깨,참기름</t>
  </si>
  <si>
    <t xml:space="preserve">감자(수입) 57%, 밤(수입)28%, 간장, 물엿, 참깨 </t>
  </si>
  <si>
    <t>계란(국산)88%,곤약(수입)5%, 표고버섯, 간장, 물엿</t>
  </si>
  <si>
    <t>닭정육(국내산)25%, 감자(국내산)65%, 참깨, 간장, 물엿</t>
  </si>
  <si>
    <t>닭안심(국내산)87.5%,곤약(수입)9%,표고버섯, 간장, 물엿</t>
  </si>
  <si>
    <t>닭윙(국내산)93%, 파프리카(국산)4%,간장, 마늘, 물엿</t>
  </si>
  <si>
    <t>김치(국내산)81.5%, 양파, 계란, 부침가루, 소금, 식용유</t>
  </si>
  <si>
    <t>탕수육[돈육(국내산)36.7%,밀가루(밀:미국산),전분(옥수수:수입),탕수육가루]60%, 오이(국내산)9%, 파프리카,파인애플,양파,당근,목이버섯,식초,간장,케찹,설탕,전분,정제수</t>
  </si>
  <si>
    <t>계란(국산)86%, 당근,브로콜리,대두유,우유,소금,백후추</t>
  </si>
  <si>
    <t>유부, 식초, 참깨, 소금 (어른3개,어린이2개/141개)</t>
  </si>
  <si>
    <t>콩나물(원료수입)98%, 참기름, 대파, 마늘, 참깨, 소금</t>
  </si>
  <si>
    <t>메추리알(국산)88%,곤약(수입)5%, 표고버섯, 간장, 물엿</t>
  </si>
  <si>
    <t>시금치(수입)98%, 된장, 소금, 대파, 마늘, 참기름, 참깨</t>
  </si>
  <si>
    <t>시래기(국산)90% , 마늘, 간장, 대파, 참기름, 참깨</t>
  </si>
  <si>
    <t>동태살(수입)92%, 계란(국산/무항생제)5%, 밀가루, 식용유</t>
  </si>
  <si>
    <t>오이(국산)87.5%, 양파 9.3%,고추가루,식초,참깨,소금</t>
  </si>
  <si>
    <t>땅콩(수입)83%, 완두콩(수입)14%, 간장, 물엿, 참깨</t>
  </si>
  <si>
    <t>열무(국산)97% ,파프리카, 된장, 마늘, 대파,참기름, 참깨</t>
  </si>
  <si>
    <t>애호박(국산)94%, 계란(국산) 3%, 밀가루,식용유,소금</t>
  </si>
  <si>
    <t>우거지(국산)93%,들깨가루(원료수입)4% ,마늘,대파,소금</t>
  </si>
  <si>
    <t>실오징어채(페루산)71.4%, 대두유,맛술,간장,참기름,깨</t>
  </si>
  <si>
    <t>연두부(원료수입)98%,대파, 마늘, 참기름, 간장, 깨소금</t>
  </si>
  <si>
    <t>배추(국내산)93%,들깨가루(원료수입)4% ,마늘,대파,소금</t>
  </si>
  <si>
    <t>멸치(국산)86%, 유자청(국내산)9%, 물엿,참깨,참기름</t>
  </si>
  <si>
    <t>두부(원료수입)80%, 시래기(국산)17%, 간장, 대파, 마늘</t>
  </si>
  <si>
    <t>173374 쉐프솔루션 진짜통등심돈까스(130g*20입 2.6Kg/EA)</t>
  </si>
  <si>
    <t>반찬2</t>
  </si>
  <si>
    <t>반찬1</t>
  </si>
  <si>
    <t>흰쌀밥</t>
  </si>
  <si>
    <t>구분</t>
  </si>
  <si>
    <t>품명</t>
  </si>
  <si>
    <t>밥</t>
  </si>
  <si>
    <t>DB 시트에 새로운 메뉴를 추가할 경우 메뉴는 "가나다" 순서로 정렬되어있음으로 행삽입을 메뉴이름 순서에 맞춰서 해주면 된다.</t>
  </si>
  <si>
    <t>소고기(호주산)76%, 느타리버섯(국산) 9%, 양파 5%, 팽이버섯, 표고버섯, 당근, 대파, 마늘, 스테이크소스</t>
  </si>
  <si>
    <t>순살치킨[닭고기(국내산)68%,전분,간장,정제소금]53.3%, 파프리카,양파,마늘,간장,식초,맛술,설탕,후추,참기름,</t>
  </si>
  <si>
    <t>꽃맛살(연육수입 72.02%) 31%, 메추리알(국산)22%, 사과(국산)20%, 파인애플16%, 오이, 마요네즈, 설탕</t>
  </si>
  <si>
    <t>미트볼(돈육/국내산 15%,닭고기/국내산 50%)72%, 양파(국산)8%,피망(국산)6%, 파프리카, 간장, 식용유</t>
  </si>
  <si>
    <t>두부(원료수입산)31.8%, 소고기(호주산)27.3%, 양파,파,마늘,다시마육수,카놀라유,굴소스,간장,맛술,참기름,후추</t>
  </si>
  <si>
    <t>당면(원료수입)67%,파프리카(국산)12.5%,표고버섯5%,양파4%,소고기(수입), 당근,목이버섯,참깨,간장,참기름</t>
  </si>
  <si>
    <t>A3 칸에 날짜를 입력하면 나머지 모든 데이터값은 자동 불러오기 하여 채워진다.</t>
  </si>
  <si>
    <t>조리시점 및 유통설정</t>
  </si>
  <si>
    <t>로스율
(5%)</t>
  </si>
  <si>
    <t>총생산량(Kg)</t>
  </si>
  <si>
    <t>온라인
중/대(EA)</t>
  </si>
  <si>
    <t>구매단위
(g)</t>
  </si>
  <si>
    <t>구매단위
(EA)</t>
  </si>
  <si>
    <t>감자샐러드(이츠웰)</t>
  </si>
  <si>
    <t>오믈렛</t>
  </si>
  <si>
    <t>김치전</t>
  </si>
  <si>
    <t>김말이</t>
  </si>
  <si>
    <t>북어국</t>
  </si>
  <si>
    <t>설렁탕</t>
  </si>
  <si>
    <t>깐풍기</t>
  </si>
  <si>
    <t>출고량
(g 또는 수량)</t>
  </si>
  <si>
    <t>총생산량
(g 또는 수량)</t>
  </si>
  <si>
    <t>개별중량
(g ,수량)</t>
  </si>
  <si>
    <t>생산갯수</t>
  </si>
  <si>
    <t>작성일:</t>
  </si>
  <si>
    <t>입력또는수정일</t>
  </si>
  <si>
    <t>급식(EA)</t>
  </si>
  <si>
    <t>상품명 M10</t>
  </si>
  <si>
    <t>(대)
1인량</t>
  </si>
  <si>
    <t>온라인(g)</t>
  </si>
  <si>
    <t>상품코드</t>
  </si>
  <si>
    <t>(중)
1인량</t>
  </si>
  <si>
    <t>수정일:</t>
  </si>
  <si>
    <t>급식(g)</t>
  </si>
  <si>
    <t>자재
Mix%</t>
  </si>
  <si>
    <t>상품명 S10</t>
  </si>
  <si>
    <t xml:space="preserve">배송시점 </t>
  </si>
  <si>
    <t>중
(g)</t>
  </si>
  <si>
    <t>대
(EA)</t>
  </si>
  <si>
    <t>수량(장)</t>
  </si>
  <si>
    <t>대
(g)</t>
  </si>
  <si>
    <t>계란후라이</t>
  </si>
  <si>
    <t>중
(EA)</t>
  </si>
  <si>
    <t>급식
(EA)</t>
  </si>
  <si>
    <t>급식
(g)</t>
  </si>
  <si>
    <t>상품명 S20</t>
  </si>
  <si>
    <t>발주
1인량</t>
  </si>
  <si>
    <t>미니돈까스</t>
  </si>
  <si>
    <t>콘샐러드</t>
  </si>
  <si>
    <t>하이라이스</t>
  </si>
  <si>
    <t>자재사용내역</t>
  </si>
  <si>
    <t>배추김치</t>
  </si>
  <si>
    <t>중량(g)</t>
  </si>
  <si>
    <t>두부(원료수입)82%,식용유,간장,깨,참기름</t>
  </si>
  <si>
    <t>명엽채(수입)97%, 간장, 물엿, 참기름, 참깨</t>
  </si>
  <si>
    <t>새송이(국산))87%, 버터8% ,파슬리가루</t>
  </si>
  <si>
    <t>무(국산)97%,마늘, 고추가루, 참깨,식초,소금</t>
  </si>
  <si>
    <t>감자(국산)95%, 간장, 물엿, 참깨, 참기름</t>
  </si>
  <si>
    <t>계란(국산)72%, 옥수수전분, 소금, 식용유</t>
  </si>
  <si>
    <t>우엉채(수입)93% ,간장, 물엿, 참기름, 참깨</t>
  </si>
  <si>
    <t>피쉬볼(수입)58%, 양파(국산)6%, 당근(국산)7%, 피망, 파프리카, 참깨, 참기름, 소금</t>
  </si>
  <si>
    <t>피쉬어묵(수입)58%, 양파(국산)6%, 당근(국산)7%, 피망, 파프리카, 참깨, 참기름, 소금</t>
  </si>
  <si>
    <t>느타리버섯(국내산)32%, 어묵(원료수입)58%, 양파(국산) 6%,깨소금, 마늘, 대파,소금</t>
  </si>
  <si>
    <t>녹두(수입)38.2%, 정제수, 김치(국산), 숙주(수입),고춧가루(수입), 돼지고기(국내산)</t>
  </si>
  <si>
    <t>감자(국산)22%, 피망(국산)12%, 햄(국산돈육 90.08%)23%, 완두콩, 양파, 당근</t>
  </si>
  <si>
    <t>돼지고기(국내산)34%, 양파(국산)12%,감자(수입)15%, 당근(수입)15%,하이라이스분말</t>
  </si>
  <si>
    <t>면(수입)62% ,토마토소스 (양파,당근,양송이)37%,  올리브오일 (면 6개, 소스 9Kg)</t>
  </si>
  <si>
    <t>무말랭이(중국산)90%,쪽파(국내산)3%,고추가루,참치액젓,멸치액젓,물엿,설탕,생강가루,다시마육수,</t>
  </si>
  <si>
    <t>가지(국산)55%, 파프리카(국산) 20%, 모짜렐라치즈(수입)10%, 양파, 토마토소스,식용유</t>
  </si>
  <si>
    <t>돈까스[돼지고기등심(국내산)53.25%,빵가루,정제수,소금,팜유]98%, 대두유,돈까스소스(사과)</t>
  </si>
  <si>
    <t xml:space="preserve">오징어(국내산)33%, 돈육(국산)46%,느타리버섯(국산)12%,양파,당근, 간장,대파, 마늘  </t>
  </si>
  <si>
    <t>바지락(수입)34.8%, 양배추(국산)41.8%, 호박(국산) 15.6%, 피망(국산)2%, 당근,양파,마늘,참깨</t>
  </si>
  <si>
    <t>가다랑어(원양산:태평양) 74.47%, 양파(국산)5%, 파프리카(국산)5%, 호박, 당근, 감자, 콘, 완두콩</t>
  </si>
  <si>
    <t>닭정육(국내산)53%, 감자(국내산)25%, 당근,파,마늘,당면(원료수입산),춘장,간장,맛술,물엿,참기름,후추</t>
  </si>
  <si>
    <t>상추(국산)31%, 사과(국산)61.5%, 양파(국산) 2%, 간장, 참기름, 참깨, 마늘, 고추가루, 매실액</t>
  </si>
  <si>
    <t>생선통살까스[남방대구필렛(뉴질랜드산)50%,빵가루,정제수,쇼트닝,소금]98%, 타르타르소스(마요네즈, 파인애플)</t>
  </si>
  <si>
    <t>단호박(수입)45.6%,감자(국산)28%,스위트콘, 당근,양파,마요네즈,머스타드소스,건포도,설탕,후추,소금,아몬드</t>
  </si>
  <si>
    <t>돼지고기(국내산)50.12%, 양파(국내산)16.54%, 마늘 1.06%, 빵가루(밀:수입), 식물성유지(수입)</t>
  </si>
  <si>
    <t>돼지고기(국산)83%,피망(국산)2%, 파프리카(국산) 3%,양파(국산)2%,당근, 스테이크소스,굴소스,케찹,후추</t>
  </si>
  <si>
    <t>배추(국산)50%,무(국산)15%, 고추가루(국산), 찹쌀풀(국산), 파, 마늘(수입), 새우젓 등 양념(국산)</t>
  </si>
  <si>
    <t>계란(국내산)93%, 흰우유, 식용유, 소금</t>
  </si>
  <si>
    <t>고구마순(수입산)96%, 대파, 간장, 참깨</t>
  </si>
  <si>
    <t>소고기무국</t>
  </si>
  <si>
    <t>닭날개오븐구이</t>
  </si>
  <si>
    <t>소고기양배추국</t>
  </si>
  <si>
    <t>닭다리살구이</t>
  </si>
  <si>
    <t>간장제육불고기</t>
  </si>
  <si>
    <t>닭봉간장조림</t>
  </si>
  <si>
    <t>돼지갈비찜</t>
  </si>
  <si>
    <t>난자완스</t>
  </si>
  <si>
    <t>멘치까스</t>
  </si>
  <si>
    <t>새우까스</t>
  </si>
  <si>
    <t>우거지된장국</t>
  </si>
  <si>
    <t>시금치된장국</t>
  </si>
  <si>
    <t>소고기미역국</t>
  </si>
  <si>
    <t>돈육피망잡채</t>
  </si>
  <si>
    <t>레몬크림새우</t>
  </si>
  <si>
    <t>새콤탕수육</t>
  </si>
  <si>
    <t>궁중녹두전</t>
  </si>
  <si>
    <t>짜장덮밥소스</t>
  </si>
  <si>
    <t>궁중떡볶이</t>
  </si>
  <si>
    <t>궁중잡채</t>
  </si>
  <si>
    <t>단호박조림</t>
  </si>
  <si>
    <t>청포묵무침</t>
  </si>
  <si>
    <t>생선통살탕수육</t>
  </si>
  <si>
    <t>소불고기</t>
  </si>
  <si>
    <t>통등심돈까스</t>
  </si>
  <si>
    <t>훈제오리감자</t>
  </si>
  <si>
    <t>감자햄볶음</t>
  </si>
  <si>
    <t>폭찹스테이크</t>
  </si>
  <si>
    <t>생선까스</t>
  </si>
  <si>
    <t>햄버거스테이크</t>
  </si>
  <si>
    <t>카레라이스소스</t>
  </si>
  <si>
    <t>계란햄전</t>
  </si>
  <si>
    <t>스테이크불고기</t>
  </si>
  <si>
    <t>안동찜닭</t>
  </si>
  <si>
    <t>한우떡갈비</t>
  </si>
  <si>
    <t>순살치킨</t>
  </si>
  <si>
    <t>짜장제육볶음</t>
  </si>
  <si>
    <t>동그랑땡</t>
  </si>
  <si>
    <t>햄야채볶음</t>
  </si>
  <si>
    <t>두부김치볶음</t>
  </si>
  <si>
    <t>실오징어채볶음</t>
  </si>
  <si>
    <t>스팸야채볶음</t>
  </si>
  <si>
    <t>소고기무조림</t>
  </si>
  <si>
    <t>계란말이</t>
  </si>
  <si>
    <t>뱅어포구이</t>
  </si>
  <si>
    <t>계란장조림</t>
  </si>
  <si>
    <t>고구마맛탕</t>
  </si>
  <si>
    <t>마늘쫑멸치볶음</t>
  </si>
  <si>
    <t>베이컨계란찜</t>
  </si>
  <si>
    <t>소세지떡볶음</t>
  </si>
  <si>
    <t>조각피자</t>
  </si>
  <si>
    <t>야채참치</t>
  </si>
  <si>
    <t>채소계란찜</t>
  </si>
  <si>
    <t>채소스크램블</t>
  </si>
  <si>
    <t>옛날사라다</t>
  </si>
  <si>
    <t>케이준샐러드</t>
  </si>
  <si>
    <t>파래김무침</t>
  </si>
  <si>
    <t>파래김자반</t>
  </si>
  <si>
    <t>두부케찹조림</t>
  </si>
  <si>
    <t>스팸김치볶음</t>
  </si>
  <si>
    <t>표고탕수</t>
  </si>
  <si>
    <t>가지나물</t>
  </si>
  <si>
    <t>고구마순나물</t>
  </si>
  <si>
    <t>우엉조림</t>
  </si>
  <si>
    <t>고사리나물</t>
  </si>
  <si>
    <t>고구마전</t>
  </si>
  <si>
    <t>멕시칸샐러드</t>
  </si>
  <si>
    <t>짜장떡볶이</t>
  </si>
  <si>
    <t>버터새송이구이</t>
  </si>
  <si>
    <t>진미채간장볶음</t>
  </si>
  <si>
    <t>미트볼간장조림</t>
  </si>
  <si>
    <t>닭고기감자조림</t>
  </si>
  <si>
    <t>두부간장조림</t>
  </si>
  <si>
    <t>멸치검은콩조림</t>
  </si>
  <si>
    <t>메추리알장조림</t>
  </si>
  <si>
    <t>소고기가지볶음</t>
  </si>
  <si>
    <t>야채튀김</t>
  </si>
  <si>
    <t>얼갈이된장나물</t>
  </si>
  <si>
    <t>호박당근채나물</t>
  </si>
  <si>
    <t>유부시금치무침</t>
  </si>
  <si>
    <t>콩나물무침</t>
  </si>
  <si>
    <t>시금치된장나물</t>
  </si>
  <si>
    <t>오이초무침</t>
  </si>
  <si>
    <t>미역줄기볶음</t>
  </si>
  <si>
    <t>코울슬로</t>
  </si>
  <si>
    <t>미역오이무침</t>
  </si>
  <si>
    <t>배추들깨나물</t>
  </si>
  <si>
    <t>부추야채전</t>
  </si>
  <si>
    <t>새콤무생채</t>
  </si>
  <si>
    <t>시래기나물</t>
  </si>
  <si>
    <t>연두부양념장</t>
  </si>
  <si>
    <t>열무된장무침</t>
  </si>
  <si>
    <t>꼬물이만두</t>
  </si>
  <si>
    <t>조미김구이</t>
  </si>
  <si>
    <t>피망감자채볶음</t>
  </si>
  <si>
    <t>숙주나물</t>
  </si>
  <si>
    <t>돈육장조림</t>
  </si>
  <si>
    <t>떡갈비야채볶음</t>
  </si>
  <si>
    <t>메밀전병</t>
  </si>
  <si>
    <t>꽃맛살샐러드</t>
  </si>
  <si>
    <t>고등어구이</t>
  </si>
  <si>
    <t>감자멸치볶음</t>
  </si>
  <si>
    <t>구운쥐포무침</t>
  </si>
  <si>
    <t>감자밤조림</t>
  </si>
  <si>
    <t>깻잎순볶음</t>
  </si>
  <si>
    <t>구운두부양념장</t>
  </si>
  <si>
    <t>닭안심스테이크</t>
  </si>
  <si>
    <t>도라지나물</t>
  </si>
  <si>
    <t>도토리묵무침</t>
  </si>
  <si>
    <t>땅콩조림</t>
  </si>
  <si>
    <t>가지양념구이</t>
  </si>
  <si>
    <t>멸치볶음</t>
  </si>
  <si>
    <t>꿔바로우</t>
  </si>
  <si>
    <t>떠먹는피자</t>
  </si>
  <si>
    <t>가지치즈구이</t>
  </si>
  <si>
    <t>김말이튀김</t>
  </si>
  <si>
    <t>날치알계란찜</t>
  </si>
  <si>
    <t>느타리어묵볶음</t>
  </si>
  <si>
    <t>계란바나나구이</t>
  </si>
  <si>
    <t>구운김과양념장</t>
  </si>
  <si>
    <t>단무지무침</t>
  </si>
  <si>
    <t>닭고기곤약조림</t>
  </si>
  <si>
    <t>돈육피망볶음</t>
  </si>
  <si>
    <t>동태살구이</t>
  </si>
  <si>
    <t>들깨버섯무침</t>
  </si>
  <si>
    <t>등심돈까스</t>
  </si>
  <si>
    <t>떡꼬치구이</t>
  </si>
  <si>
    <t>연두부&amp;양념장</t>
  </si>
  <si>
    <t>오복지무침</t>
  </si>
  <si>
    <t>삼겹살오븐구이</t>
  </si>
  <si>
    <t>멸치간장볶음</t>
  </si>
  <si>
    <t>바지락채소볶음</t>
  </si>
  <si>
    <t>멸치유자청볶음</t>
  </si>
  <si>
    <t>베이컨스크램블</t>
  </si>
  <si>
    <t>시금치나물</t>
  </si>
  <si>
    <t>시래기두부조림</t>
  </si>
  <si>
    <t>양념돼지구이</t>
  </si>
  <si>
    <t>어묵마늘쫑볶음</t>
  </si>
  <si>
    <t>연근조림</t>
  </si>
  <si>
    <t>무말랭이무침</t>
  </si>
  <si>
    <t>연어채소볶음</t>
  </si>
  <si>
    <t>열무김치</t>
  </si>
  <si>
    <t>소세지계란말이</t>
  </si>
  <si>
    <t>오징어불고기</t>
  </si>
  <si>
    <t>어묵감자조림</t>
  </si>
  <si>
    <t>우거지들깨나물</t>
  </si>
  <si>
    <t>멸치견과조림</t>
  </si>
  <si>
    <t>볶음밥재료믹스</t>
  </si>
  <si>
    <t>시금치유부무침</t>
  </si>
  <si>
    <t>오이무침</t>
  </si>
  <si>
    <t>명엽채조림</t>
  </si>
  <si>
    <t>알감자조림</t>
  </si>
  <si>
    <t>오색콩조림</t>
  </si>
  <si>
    <t>멸치마늘쫑볶음</t>
  </si>
  <si>
    <t>미트볼간장볶음</t>
  </si>
  <si>
    <t>사과돈까스</t>
  </si>
  <si>
    <t>상추사과무침</t>
  </si>
  <si>
    <t>시금치김무침</t>
  </si>
  <si>
    <t>홍합채소볶음</t>
  </si>
  <si>
    <t>진미채간장조림</t>
  </si>
  <si>
    <t>표고어묵볶음</t>
  </si>
  <si>
    <t>토마토스파게티</t>
  </si>
  <si>
    <t>치즈미트볼볶음</t>
  </si>
  <si>
    <t>잡채어묵말이</t>
  </si>
  <si>
    <t>유부초밥</t>
  </si>
  <si>
    <t>쥐포무침</t>
  </si>
  <si>
    <t>칠리탕수육</t>
  </si>
  <si>
    <t>코코넛히레까스</t>
  </si>
  <si>
    <t>피쉬볼야채볶음</t>
  </si>
  <si>
    <t>돼지고기(국내산)36.4%, 청피망(국내산)29.5%, 양파(국내산)22.7%, 파프리카,마늘,대두유,간장,굴소스,맛술,소금,후추,참기름,참깨</t>
  </si>
  <si>
    <t>새우[새우(베트남산)37.33%,밀(미국산)28.32%,대두유]56%, 피망(국내산)10%, 파프리카,양파,당근,마늘,레몬즙,생크림,마요네즈</t>
  </si>
  <si>
    <t>비엔나소세지(닭고기 42.42%, 돼지고기 13.47%)65% , 청피망(국산)6%, 파프리카(국산)6%, 양파(국산)5%, 당근, 토마토케챂</t>
  </si>
  <si>
    <t>고등어(국내산), 식용유, 밀가루</t>
  </si>
  <si>
    <t>가지(국산)55%, 자재입력 대기중</t>
  </si>
  <si>
    <t>18/7/1 13:00 ~ 18/7/4 13:00</t>
  </si>
  <si>
    <t>18/6/4 13:00 ~ 18/6/7 13:00</t>
  </si>
  <si>
    <t>18/2/6 13:00 ~ 18/2/9 13:00</t>
  </si>
  <si>
    <t>18/3/2 13:00 ~ 18/3/5 13:00</t>
  </si>
  <si>
    <t>18/6/5 13:00 ~ 18/6/8 13:00</t>
  </si>
  <si>
    <t>18/4/5 13:00 ~ 18/4/8 13:00</t>
  </si>
  <si>
    <t>18/3/6 13:00 ~ 18/3/9 13:00</t>
  </si>
  <si>
    <t>18/6/1 13:00 ~ 18/6/4 13:00</t>
  </si>
  <si>
    <t>18/5/3 13:00 ~ 18/5/6 13:00</t>
  </si>
  <si>
    <t>치킨너겟</t>
    <phoneticPr fontId="12" type="noConversion"/>
  </si>
  <si>
    <t>새우까스</t>
    <phoneticPr fontId="12" type="noConversion"/>
  </si>
  <si>
    <t>유부무국</t>
    <phoneticPr fontId="12" type="noConversion"/>
  </si>
  <si>
    <t>닭봉떡간장조림</t>
    <phoneticPr fontId="12" type="noConversion"/>
  </si>
  <si>
    <t>밥</t>
    <phoneticPr fontId="12" type="noConversion"/>
  </si>
  <si>
    <t>메인</t>
    <phoneticPr fontId="12" type="noConversion"/>
  </si>
  <si>
    <t>반찬1</t>
    <phoneticPr fontId="12" type="noConversion"/>
  </si>
  <si>
    <t>반찬2</t>
    <phoneticPr fontId="12" type="noConversion"/>
  </si>
  <si>
    <t>국</t>
    <phoneticPr fontId="12" type="noConversion"/>
  </si>
  <si>
    <t>바지락콩나물국</t>
    <phoneticPr fontId="12" type="noConversion"/>
  </si>
  <si>
    <t>근대된장국</t>
    <phoneticPr fontId="12" type="noConversion"/>
  </si>
  <si>
    <t>감자채볶음</t>
    <phoneticPr fontId="12" type="noConversion"/>
  </si>
  <si>
    <t>북어콩나물국</t>
    <phoneticPr fontId="12" type="noConversion"/>
  </si>
  <si>
    <t>연두부</t>
    <phoneticPr fontId="12" type="noConversion"/>
  </si>
  <si>
    <t>배추김치</t>
    <phoneticPr fontId="12" type="noConversion"/>
  </si>
  <si>
    <t>깍두기</t>
    <phoneticPr fontId="12" type="noConversion"/>
  </si>
  <si>
    <t>황태계란국</t>
    <phoneticPr fontId="12" type="noConversion"/>
  </si>
  <si>
    <t>꼬마새송이장조림</t>
    <phoneticPr fontId="12" type="noConversion"/>
  </si>
  <si>
    <t>조미김</t>
    <phoneticPr fontId="12" type="noConversion"/>
  </si>
  <si>
    <t>고구마샐러드</t>
    <phoneticPr fontId="12" type="noConversion"/>
  </si>
  <si>
    <t>안동찜닭</t>
    <phoneticPr fontId="12" type="noConversion"/>
  </si>
  <si>
    <t>칠리새우</t>
    <phoneticPr fontId="12" type="noConversion"/>
  </si>
  <si>
    <t>야채고기말이</t>
    <phoneticPr fontId="12" type="noConversion"/>
  </si>
  <si>
    <t>출고일</t>
    <phoneticPr fontId="12" type="noConversion"/>
  </si>
  <si>
    <t>무말랭이 (중국산)67%, 고추잎, 마늘, 양파즙, 고추가루, 멸치액젓, 소금, 설탕, 생강, 물엿, 참깨</t>
  </si>
  <si>
    <t>깻잎 (중국산)60%, 물엿, 고추가루, 간장, 설탕, 맛술, 파, 멸치액젓, 새우젓, 물엿, 당근, 고추씨, 참깨</t>
  </si>
  <si>
    <t>콩나물어묵국</t>
    <phoneticPr fontId="12" type="noConversion"/>
  </si>
  <si>
    <t>고들빼기무침</t>
    <phoneticPr fontId="12" type="noConversion"/>
  </si>
  <si>
    <t>오징어젓갈</t>
    <phoneticPr fontId="12" type="noConversion"/>
  </si>
  <si>
    <t>자재사용내역</t>
    <phoneticPr fontId="12" type="noConversion"/>
  </si>
  <si>
    <t>궁중떡볶이</t>
    <phoneticPr fontId="12" type="noConversion"/>
  </si>
  <si>
    <t>양배추겉절이</t>
    <phoneticPr fontId="12" type="noConversion"/>
  </si>
  <si>
    <t>무말랭이무침</t>
    <phoneticPr fontId="12" type="noConversion"/>
  </si>
  <si>
    <t>양념깻잎지</t>
    <phoneticPr fontId="12" type="noConversion"/>
  </si>
  <si>
    <t>소고기양배추볶음</t>
    <phoneticPr fontId="12" type="noConversion"/>
  </si>
  <si>
    <t>무채콩나물국</t>
    <phoneticPr fontId="12" type="noConversion"/>
  </si>
  <si>
    <t>얼갈이겉절이</t>
    <phoneticPr fontId="12" type="noConversion"/>
  </si>
  <si>
    <t>소고기표고볶음</t>
    <phoneticPr fontId="12" type="noConversion"/>
  </si>
  <si>
    <t>황태콩나물국</t>
    <phoneticPr fontId="12" type="noConversion"/>
  </si>
  <si>
    <t>주먹밥</t>
    <phoneticPr fontId="12" type="noConversion"/>
  </si>
  <si>
    <t>로제떡볶이</t>
    <phoneticPr fontId="12" type="noConversion"/>
  </si>
  <si>
    <t>콩나물김치국</t>
    <phoneticPr fontId="12" type="noConversion"/>
  </si>
  <si>
    <t>수제피클</t>
    <phoneticPr fontId="12" type="noConversion"/>
  </si>
  <si>
    <t>돈육김치볶음</t>
    <phoneticPr fontId="12" type="noConversion"/>
  </si>
  <si>
    <t>치킨텐더</t>
    <phoneticPr fontId="12" type="noConversion"/>
  </si>
  <si>
    <t>감자조림</t>
    <phoneticPr fontId="12" type="noConversion"/>
  </si>
  <si>
    <t>매콤감자조림</t>
    <phoneticPr fontId="12" type="noConversion"/>
  </si>
  <si>
    <t>양념진미채</t>
    <phoneticPr fontId="12" type="noConversion"/>
  </si>
  <si>
    <t>맑은순두부국</t>
    <phoneticPr fontId="12" type="noConversion"/>
  </si>
  <si>
    <t>딤섬[(새우살36.62%, 정제수, 밀전분 11.47%, 타피오카전분 7.94%, 관자 5.64%, 대두유)원산지: 베트남산]</t>
    <phoneticPr fontId="12" type="noConversion"/>
  </si>
  <si>
    <t>매콤콩나물무침</t>
    <phoneticPr fontId="12" type="noConversion"/>
  </si>
  <si>
    <t>콩나물(원료수입산)92%, 당근, 마늘, 대파, 참치액, 소금, 참기름, 참깨</t>
    <phoneticPr fontId="12" type="noConversion"/>
  </si>
  <si>
    <t>고구마전</t>
    <phoneticPr fontId="12" type="noConversion"/>
  </si>
  <si>
    <t>양배추찜</t>
    <phoneticPr fontId="12" type="noConversion"/>
  </si>
  <si>
    <t>단무지실파무침</t>
    <phoneticPr fontId="12" type="noConversion"/>
  </si>
  <si>
    <t>새우관자딤섬</t>
    <phoneticPr fontId="12" type="noConversion"/>
  </si>
  <si>
    <t>메추리알소세지조림</t>
    <phoneticPr fontId="12" type="noConversion"/>
  </si>
  <si>
    <t>감자말이새우</t>
    <phoneticPr fontId="12" type="noConversion"/>
  </si>
  <si>
    <t>스틱단무지</t>
    <phoneticPr fontId="12" type="noConversion"/>
  </si>
  <si>
    <t>깐풍소스</t>
    <phoneticPr fontId="12" type="noConversion"/>
  </si>
  <si>
    <t>연근조림</t>
    <phoneticPr fontId="12" type="noConversion"/>
  </si>
  <si>
    <t>양파, 피망, 토마토소스, 우유, 생크림, 마늘, 올리브오일, 소금, 후추, 바질</t>
    <phoneticPr fontId="12" type="noConversion"/>
  </si>
  <si>
    <t>과일샐러드</t>
    <phoneticPr fontId="12" type="noConversion"/>
  </si>
  <si>
    <t>콩나물(콩:외국산)16% , 북어채(러시아산)5%, 두부(콩:미국,호주,캐나다등), 대파, 마늘, 참기름, 정제수, 소금</t>
  </si>
  <si>
    <t>콩나물(콩:수입산)15%, 어묵(원료수입산)10%, 양파, 파, 마늘, 정제수, 국간장, 소금</t>
  </si>
  <si>
    <t>순두부(콩:미국,캐나다,호주등)30%, 양파, 파, 마늘, 정제수, 국간장, 소금</t>
  </si>
  <si>
    <t>중식</t>
    <phoneticPr fontId="12" type="noConversion"/>
  </si>
  <si>
    <t>콩나물된장국</t>
    <phoneticPr fontId="12" type="noConversion"/>
  </si>
  <si>
    <t>콩나물(콩:수입산)20%, 두부(콩:수입산)8%, 양파, 파, 마늘, 정제수, 된장, 소금</t>
    <phoneticPr fontId="12" type="noConversion"/>
  </si>
  <si>
    <t>*탕수육40g(중구청50g) ,소스25g</t>
    <phoneticPr fontId="12" type="noConversion"/>
  </si>
  <si>
    <t>배추겉절이</t>
    <phoneticPr fontId="12" type="noConversion"/>
  </si>
  <si>
    <t>비프찹스테이크</t>
    <phoneticPr fontId="12" type="noConversion"/>
  </si>
  <si>
    <t>오이피클</t>
    <phoneticPr fontId="12" type="noConversion"/>
  </si>
  <si>
    <t>절임오이(오이:중국산, 정제염, 정제수, 화이트식초)</t>
    <phoneticPr fontId="12" type="noConversion"/>
  </si>
  <si>
    <t>칠리탕수육</t>
    <phoneticPr fontId="12" type="noConversion"/>
  </si>
  <si>
    <t>스테이크소스</t>
    <phoneticPr fontId="12" type="noConversion"/>
  </si>
  <si>
    <t xml:space="preserve">                              </t>
    <phoneticPr fontId="12" type="noConversion"/>
  </si>
  <si>
    <t>바베큐폭찹</t>
    <phoneticPr fontId="12" type="noConversion"/>
  </si>
  <si>
    <t>까르보나라소스</t>
    <phoneticPr fontId="12" type="noConversion"/>
  </si>
  <si>
    <t>맑은미역국</t>
    <phoneticPr fontId="12" type="noConversion"/>
  </si>
  <si>
    <t xml:space="preserve">1판에 64조각 </t>
    <phoneticPr fontId="12" type="noConversion"/>
  </si>
  <si>
    <t>소고기장국</t>
    <phoneticPr fontId="12" type="noConversion"/>
  </si>
  <si>
    <t>반찬단지</t>
    <phoneticPr fontId="12" type="noConversion"/>
  </si>
  <si>
    <t>이츠웰</t>
    <phoneticPr fontId="12" type="noConversion"/>
  </si>
  <si>
    <t>싱그람 쌈무</t>
    <phoneticPr fontId="12" type="noConversion"/>
  </si>
  <si>
    <t>팝콘치킨</t>
    <phoneticPr fontId="12" type="noConversion"/>
  </si>
  <si>
    <t>카프레제샐러드</t>
    <phoneticPr fontId="12" type="noConversion"/>
  </si>
  <si>
    <t>춘장(신송식품), 짜장분말(오뚜기)</t>
    <phoneticPr fontId="12" type="noConversion"/>
  </si>
  <si>
    <t>카레분말(오뚜기), 고형카레(S&amp;B골든카레)</t>
    <phoneticPr fontId="12" type="noConversion"/>
  </si>
  <si>
    <t>하이라이스분말(오뚜기)</t>
    <phoneticPr fontId="12" type="noConversion"/>
  </si>
  <si>
    <t>가지볶음</t>
    <phoneticPr fontId="12" type="noConversion"/>
  </si>
  <si>
    <t>메추리알떡볶음</t>
    <phoneticPr fontId="12" type="noConversion"/>
  </si>
  <si>
    <t>이츠웰 흰살생선까스</t>
    <phoneticPr fontId="12" type="noConversion"/>
  </si>
  <si>
    <t>생선통살까스 [민대구(한국산)50%, 빵가루, 정제수 ,쇼트닝, 소금]95%, 대두유</t>
    <phoneticPr fontId="12" type="noConversion"/>
  </si>
  <si>
    <t>야무진 단무지</t>
    <phoneticPr fontId="12" type="noConversion"/>
  </si>
  <si>
    <t>상품코드</t>
    <phoneticPr fontId="12" type="noConversion"/>
  </si>
  <si>
    <t>도토리묵(이츠웰)</t>
    <phoneticPr fontId="12" type="noConversion"/>
  </si>
  <si>
    <t>소고기숙주볶음</t>
    <phoneticPr fontId="12" type="noConversion"/>
  </si>
  <si>
    <t>볼어묵조림</t>
    <phoneticPr fontId="12" type="noConversion"/>
  </si>
  <si>
    <t>치킨텐더:이츠웰</t>
    <phoneticPr fontId="12" type="noConversion"/>
  </si>
  <si>
    <t>종로복떡방</t>
    <phoneticPr fontId="12" type="noConversion"/>
  </si>
  <si>
    <t>녹선오복지</t>
    <phoneticPr fontId="12" type="noConversion"/>
  </si>
  <si>
    <t>유부[(대두:캐나다, 호주, 미국등), 대두유(대두:미국,프바질, 파라과이등)]21%, 건더기스프{볶음참께(인도산), 정제염(국산), 김조각(국산), 가쓰오브시(필리핀산)등]5%,  정제수, 마늘, 가스오우동소스, 소금</t>
    <phoneticPr fontId="12" type="noConversion"/>
  </si>
  <si>
    <t>짜장분말(오뚜기), 춘장(신송식품)</t>
    <phoneticPr fontId="12" type="noConversion"/>
  </si>
  <si>
    <t>이음푸드</t>
    <phoneticPr fontId="12" type="noConversion"/>
  </si>
  <si>
    <t>북어채(러시아산)5%, 두부(원료수입산)12%, 무8%, 양파, 정제수, 대파, 마늘, 참기름, 국간장, 소금</t>
    <phoneticPr fontId="12" type="noConversion"/>
  </si>
  <si>
    <t>무(국산)85.2%, 고추가루(국산), 밀가루풀(국산), 파, 마늘, 새우젓 등 양념(국산)</t>
    <phoneticPr fontId="12" type="noConversion"/>
  </si>
  <si>
    <t>풍림푸드</t>
    <phoneticPr fontId="12" type="noConversion"/>
  </si>
  <si>
    <t>조흥 마또네콤비네이션피자</t>
    <phoneticPr fontId="12" type="noConversion"/>
  </si>
  <si>
    <t>스위트콘 (리치즈), 마요네즈(오뚜기)</t>
    <phoneticPr fontId="12" type="noConversion"/>
  </si>
  <si>
    <t>모양떡볶이떡(동성식품)</t>
    <phoneticPr fontId="12" type="noConversion"/>
  </si>
  <si>
    <t>꼬들이단무지무침</t>
    <phoneticPr fontId="12" type="noConversion"/>
  </si>
  <si>
    <t>돈갈비양념구이</t>
    <phoneticPr fontId="12" type="noConversion"/>
  </si>
  <si>
    <t>김치볶음</t>
    <phoneticPr fontId="12" type="noConversion"/>
  </si>
  <si>
    <t>칠리소스(이츠웰), 케찹(오뚜기)</t>
    <phoneticPr fontId="12" type="noConversion"/>
  </si>
  <si>
    <t>후르츠칵테일(리치스)</t>
    <phoneticPr fontId="12" type="noConversion"/>
  </si>
  <si>
    <t>콩나물(콩:외국산)16% , 황태채(러시아산)5%, 대파, 마늘, 참기름, 정제수, 소금</t>
    <phoneticPr fontId="12" type="noConversion"/>
  </si>
  <si>
    <t>돈까스소스(면사랑, 청정원)</t>
    <phoneticPr fontId="12" type="noConversion"/>
  </si>
  <si>
    <t>돈까스소스[토마토페이스트:중국산, 사과농축액:중국산, 정제수, 식초,소금], 양파, 대두유, 정제수</t>
    <phoneticPr fontId="12" type="noConversion"/>
  </si>
  <si>
    <t>콩자반(반찬단지)</t>
    <phoneticPr fontId="12" type="noConversion"/>
  </si>
  <si>
    <t>염장고들빼기 (고들빼기:중국산63%, 양파, 파, 마늘, 고추가루, 설탕, 액젓, 새우젓, 참깨</t>
    <phoneticPr fontId="12" type="noConversion"/>
  </si>
  <si>
    <t>참오징어젓-녹선</t>
    <phoneticPr fontId="12" type="noConversion"/>
  </si>
  <si>
    <t>양념오징어젓[오징어:69.14%(오징어:중국산), 정제소금, 물엿, 마늘, 고추가루, 설탕, 물엿]</t>
    <phoneticPr fontId="12" type="noConversion"/>
  </si>
  <si>
    <t>볼어묵(이츠웰)</t>
    <phoneticPr fontId="12" type="noConversion"/>
  </si>
  <si>
    <t>절임무[무(국산), 천일염(호주산)]95%, 마늘, 파, 참기름, 참깨</t>
    <phoneticPr fontId="12" type="noConversion"/>
  </si>
  <si>
    <t>꼬들이단무지(싱그람)</t>
    <phoneticPr fontId="12" type="noConversion"/>
  </si>
  <si>
    <t>사계절쌈장(해찬들)</t>
    <phoneticPr fontId="12" type="noConversion"/>
  </si>
  <si>
    <t>돼지갈비양념장(백설)</t>
    <phoneticPr fontId="12" type="noConversion"/>
  </si>
  <si>
    <t>크레잇</t>
    <phoneticPr fontId="12" type="noConversion"/>
  </si>
  <si>
    <t>*갈비만두 : 성분표기 인당1개 / 식수 인당1.5개</t>
    <phoneticPr fontId="12" type="noConversion"/>
  </si>
  <si>
    <t>피자크러스트(밀가루:네덜란드산), 정제소금, 피자치즈(모짜렐라, 고다:외국산), 피자소스[토마토페이스트:중국산, 사과농축액(사과:국산)], 불고기딥핑, 스모크햄, 피망, 정제수, 양파, 소시지, 새송이버섯, 블랙올리브</t>
    <phoneticPr fontId="12" type="noConversion"/>
  </si>
  <si>
    <t>반달감자[감자96.855%, 식물성유지(대두유, 카놀라유, 면실유), 산성피로인산나트륨, 포도당, 무수아황산(산화방지제)]미국산</t>
    <phoneticPr fontId="12" type="noConversion"/>
  </si>
  <si>
    <t>칼집비엔나소시지(이츠웰)</t>
    <phoneticPr fontId="12" type="noConversion"/>
  </si>
  <si>
    <t>사골엑기스(이츠웰), 모둠햄(선진)</t>
    <phoneticPr fontId="12" type="noConversion"/>
  </si>
  <si>
    <t>밀떡볶이떡(토담)</t>
    <phoneticPr fontId="12" type="noConversion"/>
  </si>
  <si>
    <t>고구마튀김(맘으로)</t>
    <phoneticPr fontId="12" type="noConversion"/>
  </si>
  <si>
    <t>고구마(중국산)37.5% , 당근(중국산)22.5%, 양파, 쑥갓, 튀김가루, 맵쌀가루, 정제수, 대두유, 정제소금</t>
    <phoneticPr fontId="12" type="noConversion"/>
  </si>
  <si>
    <t>고구마야채튀김(세미원 푸드)</t>
    <phoneticPr fontId="12" type="noConversion"/>
  </si>
  <si>
    <t>매운찜닭</t>
    <phoneticPr fontId="12" type="noConversion"/>
  </si>
  <si>
    <t>매콤닭갈비</t>
    <phoneticPr fontId="12" type="noConversion"/>
  </si>
  <si>
    <t>요구르트드레싱(이츠웰)</t>
    <phoneticPr fontId="12" type="noConversion"/>
  </si>
  <si>
    <t>오이피클(이츠웰)</t>
    <phoneticPr fontId="12" type="noConversion"/>
  </si>
  <si>
    <t>한입새우튀김</t>
    <phoneticPr fontId="12" type="noConversion"/>
  </si>
  <si>
    <t>새우[새우(베트남산) 37.33%, 밀(미국산)28.32%, 대두유]100%</t>
    <phoneticPr fontId="12" type="noConversion"/>
  </si>
  <si>
    <t>한입깐쇼새우(이츠웰)</t>
    <phoneticPr fontId="12" type="noConversion"/>
  </si>
  <si>
    <t>유자청(파낙스F&amp;B)</t>
    <phoneticPr fontId="12" type="noConversion"/>
  </si>
  <si>
    <t>오징어볼 [(오징어48.78%, 빵가루, 소맥분, 소맥전분, 정제염, 정제수)중국산]97%, 대두유3%</t>
    <phoneticPr fontId="12" type="noConversion"/>
  </si>
  <si>
    <t>찹쌀순대(이츠웰)</t>
    <phoneticPr fontId="12" type="noConversion"/>
  </si>
  <si>
    <t>스틱단무지(양지푸드)</t>
    <phoneticPr fontId="12" type="noConversion"/>
  </si>
  <si>
    <t>연두부 (대두:외국산)</t>
    <phoneticPr fontId="12" type="noConversion"/>
  </si>
  <si>
    <t>관자쇼마이(세미원푸드)</t>
    <phoneticPr fontId="12" type="noConversion"/>
  </si>
  <si>
    <t>깐메추리알(조인)</t>
    <phoneticPr fontId="12" type="noConversion"/>
  </si>
  <si>
    <t>새우까스(이츠웰)</t>
    <phoneticPr fontId="12" type="noConversion"/>
  </si>
  <si>
    <t>새우까스 [오징어(칠레산)33%, 새우살(수입산)14%, 생빵가루, 쇼트닝, 정제수, 전분, 정제소금] 95%, 대두유</t>
    <phoneticPr fontId="15" type="noConversion"/>
  </si>
  <si>
    <t>타르타르드레싱(쉐프솔루션), 파인애플 청크(이츠웰)</t>
    <phoneticPr fontId="12" type="noConversion"/>
  </si>
  <si>
    <t>녹차 재래돌김_선일물산</t>
    <phoneticPr fontId="12" type="noConversion"/>
  </si>
  <si>
    <t>미니치즈케익</t>
    <phoneticPr fontId="12" type="noConversion"/>
  </si>
  <si>
    <t>미니치즈케익(마더구스)/빵류</t>
    <phoneticPr fontId="12" type="noConversion"/>
  </si>
  <si>
    <t>　</t>
    <phoneticPr fontId="12" type="noConversion"/>
  </si>
  <si>
    <t>노리풍후리가케(이엔푸드)</t>
    <phoneticPr fontId="12" type="noConversion"/>
  </si>
  <si>
    <t>한입꼬마핫도그(이츠웰)</t>
    <phoneticPr fontId="12" type="noConversion"/>
  </si>
  <si>
    <t>빵류[꼬마핫도그용소시지(돼지고기:국산, 소맥전분:벨기에산), 비엔나믹스(밀가루:미국산, 팜유:벨기에산), 난백액(국산), 대두유]</t>
    <phoneticPr fontId="12" type="noConversion"/>
  </si>
  <si>
    <t>김밥용단무지</t>
    <phoneticPr fontId="12" type="noConversion"/>
  </si>
  <si>
    <t>근대된장나물</t>
    <phoneticPr fontId="12" type="noConversion"/>
  </si>
  <si>
    <t>딸기짜요</t>
    <phoneticPr fontId="12" type="noConversion"/>
  </si>
  <si>
    <t>쌈채소</t>
    <phoneticPr fontId="12" type="noConversion"/>
  </si>
  <si>
    <t>판두부(이츠웰)</t>
  </si>
  <si>
    <t>유아7g / 중구청8g</t>
    <phoneticPr fontId="12" type="noConversion"/>
  </si>
  <si>
    <t>유아8g / 중구청10g</t>
    <phoneticPr fontId="12" type="noConversion"/>
  </si>
  <si>
    <t>양반김(동원)</t>
    <phoneticPr fontId="12" type="noConversion"/>
  </si>
  <si>
    <t>도시락김</t>
    <phoneticPr fontId="12" type="noConversion"/>
  </si>
  <si>
    <t>스팸구이</t>
    <phoneticPr fontId="12" type="noConversion"/>
  </si>
  <si>
    <t>햄캔(로스팜)</t>
    <phoneticPr fontId="12" type="noConversion"/>
  </si>
  <si>
    <t>캔햄[돼지고기(미국,스페인,프랑스 등)86.01%, 정제수, 정제소금(국산), 의성마늘(국산)]97%, 대두유</t>
    <phoneticPr fontId="12" type="noConversion"/>
  </si>
  <si>
    <t>쌈무</t>
    <phoneticPr fontId="12" type="noConversion"/>
  </si>
  <si>
    <t>냉면김치[㈜등심]</t>
    <phoneticPr fontId="12" type="noConversion"/>
  </si>
  <si>
    <t>왕새우튀김</t>
    <phoneticPr fontId="12" type="noConversion"/>
  </si>
  <si>
    <t>소고기가지덮밥소스</t>
    <phoneticPr fontId="12" type="noConversion"/>
  </si>
  <si>
    <t>*표고강정 : 30g(35g)</t>
    <phoneticPr fontId="12" type="noConversion"/>
  </si>
  <si>
    <t>깐계란(이츠웰)</t>
    <phoneticPr fontId="12" type="noConversion"/>
  </si>
  <si>
    <t>비프토마토스튜</t>
    <phoneticPr fontId="12" type="noConversion"/>
  </si>
  <si>
    <t>수제꽃빵(세미원푸드)/빵류</t>
    <phoneticPr fontId="12" type="noConversion"/>
  </si>
  <si>
    <t>수제꽃빵</t>
    <phoneticPr fontId="12" type="noConversion"/>
  </si>
  <si>
    <t>소맥분(밀:미국산,호주산)57%, 정제수31%, 정백당9%, 날콩가루(대두:중국산.미국산.인도네시아산등), 대두유</t>
    <phoneticPr fontId="12" type="noConversion"/>
  </si>
  <si>
    <t>떡(밀:원료수입산)63%, 어묵(원료수입산)14%, 양파, 새송이버섯, 정제수, 우유, 생크림, 토마토소스(시판용), 소금</t>
    <phoneticPr fontId="12" type="noConversion"/>
  </si>
  <si>
    <t>무조림</t>
    <phoneticPr fontId="12" type="noConversion"/>
  </si>
  <si>
    <t>반찬3</t>
  </si>
  <si>
    <t>맑은콩나물국</t>
    <phoneticPr fontId="12" type="noConversion"/>
  </si>
  <si>
    <t>오이깨소스무침</t>
    <phoneticPr fontId="12" type="noConversion"/>
  </si>
  <si>
    <t>바지락살무국</t>
    <phoneticPr fontId="12" type="noConversion"/>
  </si>
  <si>
    <t>돈채부추볶음</t>
    <phoneticPr fontId="12" type="noConversion"/>
  </si>
  <si>
    <t>영양찜닭</t>
    <phoneticPr fontId="12" type="noConversion"/>
  </si>
  <si>
    <t>소고기볶음밥</t>
    <phoneticPr fontId="12" type="noConversion"/>
  </si>
  <si>
    <t>순살치킨[닭고기(닭다리살:브라질산)64.76%,밀가루(밀:호주산,미국산),옥수수전분(옥수수:외국산), 대두유]</t>
    <phoneticPr fontId="12" type="noConversion"/>
  </si>
  <si>
    <t>순살치킨가라아게(하림)</t>
    <phoneticPr fontId="12" type="noConversion"/>
  </si>
  <si>
    <t>타코야끼[밀가루(밀)13.6%, 양배추9.98%, 문어8.31%, 대두유(대두)7%, 계란6.68%, 정제소금, 생강]중국산</t>
    <phoneticPr fontId="12" type="noConversion"/>
  </si>
  <si>
    <t>타코야끼(세미원)</t>
    <phoneticPr fontId="12" type="noConversion"/>
  </si>
  <si>
    <t>*통등심돈까스:50g / 소스 25g</t>
    <phoneticPr fontId="12" type="noConversion"/>
  </si>
  <si>
    <t>소고기고사리볶음</t>
    <phoneticPr fontId="12" type="noConversion"/>
  </si>
  <si>
    <t>어묵채소볶음</t>
    <phoneticPr fontId="12" type="noConversion"/>
  </si>
  <si>
    <t>문어볼오븐구이</t>
    <phoneticPr fontId="12" type="noConversion"/>
  </si>
  <si>
    <t>삼색꿀떡</t>
    <phoneticPr fontId="12" type="noConversion"/>
  </si>
  <si>
    <t>닭감자조림</t>
    <phoneticPr fontId="12" type="noConversion"/>
  </si>
  <si>
    <t>*웨지감자 : 25g / 30g</t>
    <phoneticPr fontId="12" type="noConversion"/>
  </si>
  <si>
    <t>오이양배추무침</t>
    <phoneticPr fontId="12" type="noConversion"/>
  </si>
  <si>
    <t>포도짜요</t>
    <phoneticPr fontId="12" type="noConversion"/>
  </si>
  <si>
    <t>짜요짜요(서울우유)/짜먹는요구르트</t>
    <phoneticPr fontId="12" type="noConversion"/>
  </si>
  <si>
    <t>코코넛커리소스</t>
    <phoneticPr fontId="12" type="noConversion"/>
  </si>
  <si>
    <t>바질페스토(몬티)</t>
    <phoneticPr fontId="12" type="noConversion"/>
  </si>
  <si>
    <t>조랭이떡국</t>
    <phoneticPr fontId="12" type="noConversion"/>
  </si>
  <si>
    <t>배추(국산)80%, 양파, 파, 마늘, 멸치액젓, 고추가루, 설탕, 소금, 참깨</t>
    <phoneticPr fontId="12" type="noConversion"/>
  </si>
  <si>
    <t>돼지고기(사태:국산)57%, 파인애플(전처리용), 채소(무, 양파, 당근:국산)18%, 조랭이떡(쌀:국산)5%, 대파, 마늘, 생강가루, 월계수잎, 정제수, 간장, 설탕, 맛술, 물엿, 참기름, 후추</t>
    <phoneticPr fontId="12" type="noConversion"/>
  </si>
  <si>
    <t>쌀(국산)95%, 정제수</t>
    <phoneticPr fontId="12" type="noConversion"/>
  </si>
  <si>
    <t>펜네(듀럼밀100%)66%, 꼬마새송이버섯(국산)12%, 크림소스, 우유, 후추, 소금, 파슬리가루</t>
    <phoneticPr fontId="12" type="noConversion"/>
  </si>
  <si>
    <t>팝콘치킨{동물복지닭고기(닭가슴살:국산)63.38%,정제수,정제소금, 치킨브레더[옥수수전분(옥수수:외국산), 밀가루(밀:미국산,호주산)]마늘,양파,정제소금,대두유}78%, 케찹, 물엿, 참기름</t>
    <phoneticPr fontId="12" type="noConversion"/>
  </si>
  <si>
    <t>꼬마돈까스</t>
    <phoneticPr fontId="12" type="noConversion"/>
  </si>
  <si>
    <t>닭정육(닭가슴살,닭다리살:국산)53%, 밀떡(밀:수입산), 당근, 양파, 감자, 대파, 마늘, 고추장, 고추가루, 간장, 물엿, 참기름, 후추</t>
    <phoneticPr fontId="12" type="noConversion"/>
  </si>
  <si>
    <t>소고기(호주산)65%, 총알새송이(국산)12%, 양파, 당근, 파, 마늘, 간장, 설탕, 맛술, 후추, 참기름, 참깨</t>
    <phoneticPr fontId="12" type="noConversion"/>
  </si>
  <si>
    <t>돈까스 [돼지고기(국산)50%, 독일빅빵가루 (밀:미국산,캐나다산), 쇼트닝, 정제소금, 난백분, 소금, 후추, 설탕, 마늘분말] 97%, 대두유 3%</t>
    <phoneticPr fontId="12" type="noConversion"/>
  </si>
  <si>
    <t>무(국산)64.2%, 소고기(호주산)17.3%, 정제수, 맛술, 간장, 물엿, 후추, 참기름, 참깨</t>
    <phoneticPr fontId="12" type="noConversion"/>
  </si>
  <si>
    <t>무(국산)87%, 정제수, 간장, 물엿, 후추, 참기름, 참깨</t>
    <phoneticPr fontId="12" type="noConversion"/>
  </si>
  <si>
    <t>양배추(국산)99%</t>
    <phoneticPr fontId="12" type="noConversion"/>
  </si>
  <si>
    <t>연근(냉동연근:중국산)59.44%, 정제수, 물엿, 간장, 정제소금,참깨</t>
    <phoneticPr fontId="12" type="noConversion"/>
  </si>
  <si>
    <t>우엉조림(이음푸드)</t>
    <phoneticPr fontId="12" type="noConversion"/>
  </si>
  <si>
    <t>자차이(차이웰:중국산)</t>
    <phoneticPr fontId="12" type="noConversion"/>
  </si>
  <si>
    <t>데미그라스소스(시판용). 양파(국산)3%, 생크림, 우유</t>
    <phoneticPr fontId="12" type="noConversion"/>
  </si>
  <si>
    <t>닭(국산)54%, 감자(국산)10%, 양파, 당근, 파, 마늘, 정제수, 고추가루, 간장, 후추, 소금</t>
    <phoneticPr fontId="12" type="noConversion"/>
  </si>
  <si>
    <t>소고기(호주산)
한우목심(2등급 4*4*0.3cm 불고기용 KG)</t>
  </si>
  <si>
    <t>무(국산)20%, 바지락살(중국산)5%, 두부(콩:미국.호주.캐나다등), 대파, 마늘, 국간장, 정제수, 소금</t>
  </si>
  <si>
    <t>무(국산_)18.3%, 유부(원료수입산)7%, 정제수, 국간장, 파, 마늘, 소금</t>
  </si>
  <si>
    <t>소고기(호주산)14.3%, 사골육수 [잡뼈(한우), 사골(한우), 사골액기스 {정제수, 사골농축액17% (사골:호주산) 천일염}, 정제수], 생대파(국산), 후추, 소금</t>
  </si>
  <si>
    <t>돈후지(국산)85%, 갈비양념, 간장, 설탕, 양파, 파, 마늘, 후추, 참기름</t>
  </si>
  <si>
    <t>돼지갈비(국산)53.8%, 무(국산)19.2%, 양파, 파인애플(전처리용), 고추가루, 당근, 대파, 마늘, 생강가루, 월계수잎, 정제수, 간장, 설탕, 맛술, 물엿, 참기름, 후추</t>
  </si>
  <si>
    <t xml:space="preserve"> 소고기(호주산)73%,양배추(국산)12%, 양파, 당근, 대파, 마늘, 간장, , 맛술, 후추, 참기름, 참깨</t>
  </si>
  <si>
    <t>소고기(호주산)60%, 양파(국산)12%, 청경채(국산)6%, 파, 마늘, , 간장, 대두유, 소금, 후추, 전분, 정제수, 참기름</t>
  </si>
  <si>
    <t>소고기(호주산)35%, 가지(국산)12%, 양파, 파, 마늘, 두반장, 굴소스, 전분, 정제소금, 정제수, 대두유, 후추, 참기름, 참깨</t>
  </si>
  <si>
    <t>홍피망(국산)3%, 간장, 정제수, 식초, 굴소스, 설탕, 후추</t>
  </si>
  <si>
    <t>꼬마새송이버섯(국산)7%, 베이컨(원료수입산)5%, 양파, 마늘가루, 크림소스, 우유, 후추, 소금, 파슬리가루</t>
  </si>
  <si>
    <t>캔햄[돼지고기(미국,스페인,프랑스 등)86.01%, 정제수, 정제소금(국산), 의성마늘(국산)]75%, 채소(양파, 당근, 피망:국산)12%, 대두유, 마늘, 케찹, 참기름, 참깨</t>
  </si>
  <si>
    <t>고구마(중국산), 쌀가루(쌀:국산), 튀김가루(밀:미국산), 정제수, 소금, 대두유</t>
  </si>
  <si>
    <t>메추리알(국산)33%, 소시지 [돼지고기(국산)48%, 닭고기(국산)34.01%, 밀가루(밀:호주산), ,대두단백,소금], 정제수, 통후추, 월계수잎, 간장, 맛술, 물엿, 참깨</t>
  </si>
  <si>
    <t>계란(국산)81.8%, 정제수, 간장, 통후추, 맛술, 물엿</t>
  </si>
  <si>
    <t>김치(국산)87%, 양파, 대두유, 마늘, 참기름, 참깨</t>
  </si>
  <si>
    <t>닭안심(국산)55.4%, 밀가루(밀:미국산.호주산), 찰옥수수전분(미국산), 정제염, 정제수,대두유,기타(소고기.계란함유)</t>
  </si>
  <si>
    <t>계란(국산)72%, 전분, 소금, 물엿, 대두유</t>
  </si>
  <si>
    <t>햄 (국산돈육 90.08%) 40.9%, 양배추(국산)25%, 양파, 피망, 당근, 마늘, 대두유, 간장, , 후추, 참기름, 참깨</t>
  </si>
  <si>
    <t>감자(국산)78%, 마늘, 대두유, 정제수, 고추가루, 간장, 물엿, 참기름, 참깨</t>
  </si>
  <si>
    <t>가지(국산)86%, 대파, 마늘, 소금, 고추가루, 국간장, 참기름, 참깨</t>
  </si>
  <si>
    <t>오이(국산)95%, 유자청(국산), 소금</t>
  </si>
  <si>
    <t>단무지(국산), 고추가루, 설탕, 마늘, 실파, 참기름, 참깨</t>
  </si>
  <si>
    <t>무(국산)35%, 양배추, 적채, 오이, 정제수, 식초, 소금, 설탕</t>
  </si>
  <si>
    <t>상추(국산)</t>
  </si>
  <si>
    <t>절임무[무(국산)95.11%, 맛소금(국산), 마늘(국산), 정제수, 식초</t>
  </si>
  <si>
    <t>김(국산)90%, 옥배유(옥수수:국산), 들기름, 참기름, 맛소금</t>
  </si>
  <si>
    <t>김(국산), 카놀라유(원료:외국산), 참기름, 정제소금</t>
  </si>
  <si>
    <t>스위트콘 [옥수수:62.71% (원산지:태국)]81%, 양파(국산)7%, 파프리카(국산)7%, 소금, 설탕, 마요네즈</t>
  </si>
  <si>
    <t>쌀(국산)73%, 설탕18%, 참깨(인도산), 벌꿀(국산), 대두유,기타(난류.대두.밀)</t>
  </si>
  <si>
    <t>얼갈이(국산)80%, 양파, 파, 마늘, 멸치액젓, 고추가루, 설탕, 소금, 참깨</t>
  </si>
  <si>
    <t>양배추(국산)75%, 양파, 당근, 대파, 마늘, 새우젓, 멸치액젓, 소금, 고추가루, 참깨</t>
  </si>
  <si>
    <t>절임무63.33%(무,식염:국산)</t>
  </si>
  <si>
    <t>절임무(무,식염:국산)93%, 실파, 마늘, 참기름, 참깨</t>
  </si>
  <si>
    <t>밥(쌀:국산)95%, 후리카케[볶은참깨(참깨:인도산), 밀소맥볼(밀:미국,호주산),조각김(김:국산), 양조간장], 맛소금, 참기름</t>
  </si>
  <si>
    <t>모둠채소된장국</t>
    <phoneticPr fontId="12" type="noConversion"/>
  </si>
  <si>
    <t>감자(국산)85%, 베이컨 (삼겹살:수입산92.5%)9%, 대두유, 대파, 마늘, 소금, 참기름, 참깨</t>
    <phoneticPr fontId="12" type="noConversion"/>
  </si>
  <si>
    <t>무(국산)60%, 정제수, 소금, 식초, 설탕</t>
    <phoneticPr fontId="12" type="noConversion"/>
  </si>
  <si>
    <t>*해물전:1000680205(삼성웰스토리)</t>
    <phoneticPr fontId="12" type="noConversion"/>
  </si>
  <si>
    <t>고구마채소전</t>
    <phoneticPr fontId="12" type="noConversion"/>
  </si>
  <si>
    <t>*오징어볼탕수 : 35g / 45g/ 70g 소스 : 20g</t>
    <phoneticPr fontId="12" type="noConversion"/>
  </si>
  <si>
    <t>*고구마튀김35g / 45g</t>
    <phoneticPr fontId="12" type="noConversion"/>
  </si>
  <si>
    <t>오징어콩나물국</t>
    <phoneticPr fontId="12" type="noConversion"/>
  </si>
  <si>
    <t>시금치나물</t>
    <phoneticPr fontId="12" type="noConversion"/>
  </si>
  <si>
    <t>베이컨감자채볶음</t>
    <phoneticPr fontId="12" type="noConversion"/>
  </si>
  <si>
    <t>진미채(페루산)85%, 간장, 물엿, 참기름, 마요네즈, 참깨</t>
    <phoneticPr fontId="12" type="noConversion"/>
  </si>
  <si>
    <t>오징어링튀김(그린푸드)</t>
    <phoneticPr fontId="12" type="noConversion"/>
  </si>
  <si>
    <t>심플로트(렌치웨지컷),케찹(오뚜기/토마토페이스트43.8%)</t>
    <phoneticPr fontId="12" type="noConversion"/>
  </si>
  <si>
    <t>크라비아(사조대림)</t>
    <phoneticPr fontId="12" type="noConversion"/>
  </si>
  <si>
    <t>오색콩조림</t>
    <phoneticPr fontId="12" type="noConversion"/>
  </si>
  <si>
    <t>모둠콩조림(반찬단지)</t>
    <phoneticPr fontId="12" type="noConversion"/>
  </si>
  <si>
    <t>물엿, 검정콩(중국산), 건조땅콩(중국산), 강낭콩(중국산), 정제수, 해바라기씨앗, 호박씨앗, 호두, 아몬드, 건조무화과, 정제소금, 간장, 참기름, 참깨 / .4.5.14.21.</t>
    <phoneticPr fontId="12" type="noConversion"/>
  </si>
  <si>
    <t>오징어볶음</t>
    <phoneticPr fontId="12" type="noConversion"/>
  </si>
  <si>
    <t>오징어(국산, 칠레산)70%, 양배추, 양파, 당근, 파, 마늘, 고추장, 고추가루, 굴소스, 맛술, 소금, 설탕, 참기름, 참깨</t>
    <phoneticPr fontId="12" type="noConversion"/>
  </si>
  <si>
    <t>어묵채구이</t>
    <phoneticPr fontId="12" type="noConversion"/>
  </si>
  <si>
    <t>어묵(원료수입산)90%, 대두유, 간장, 설탕</t>
    <phoneticPr fontId="12" type="noConversion"/>
  </si>
  <si>
    <t>취나물</t>
    <phoneticPr fontId="12" type="noConversion"/>
  </si>
  <si>
    <t>감자샐러드[감자(국산)65%, 샐러드믹스(대두유, 난황, 양파, 스위트콘, 당근)17.95%]55%, 푸실리(듀럼밀100%)20%, 당근, 양파, 스위트콘, 마요네즈, 머스타드소스, 설탕, 후추, 소금</t>
    <phoneticPr fontId="12" type="noConversion"/>
  </si>
  <si>
    <t>크랜베리멸치볶음</t>
    <phoneticPr fontId="12" type="noConversion"/>
  </si>
  <si>
    <t>멸치(국산)75%, 건크랜베리(크랜배리62%:미국산)5%, 대두유, 간장, 물엿, 참기름, 참깨</t>
    <phoneticPr fontId="12" type="noConversion"/>
  </si>
  <si>
    <t>올방개묵(원료수입산)90%, 김가루(김:국산), 소금, 간장, 참기름, 참깨</t>
    <phoneticPr fontId="12" type="noConversion"/>
  </si>
  <si>
    <t>소고기숙주국</t>
    <phoneticPr fontId="12" type="noConversion"/>
  </si>
  <si>
    <t>스파게티면(듀럼밀100%)97%, 올리브오일3%</t>
    <phoneticPr fontId="12" type="noConversion"/>
  </si>
  <si>
    <t>마카로니(듀럼밀100%)75%, 로제소스[양파, 피망, 토마토소스, 크림치즈소스, 우유, 생크림, 마늘, 올리브오일, 소금, 후추]25%</t>
    <phoneticPr fontId="12" type="noConversion"/>
  </si>
  <si>
    <t>크림치즈소스(선인), 토마토스파게티소스(이츠웰)</t>
    <phoneticPr fontId="12" type="noConversion"/>
  </si>
  <si>
    <t>양배추생채</t>
    <phoneticPr fontId="12" type="noConversion"/>
  </si>
  <si>
    <t xml:space="preserve">양배추(국산)90%, 마늘, 파, 고추가루, 식초, 설탕, 소금, 참깨 </t>
    <phoneticPr fontId="12" type="noConversion"/>
  </si>
  <si>
    <t>한입깐쇼새우(이츠웰)</t>
  </si>
  <si>
    <t>망고바나나짜요</t>
    <phoneticPr fontId="12" type="noConversion"/>
  </si>
  <si>
    <t>원유(국산)72.79%, 탈지분유(국산)2.4, 망고바나나젤리시럽[바나나퓨레(코스타리카산), 망고퓨레(필리핀산)]15%</t>
    <phoneticPr fontId="12" type="noConversion"/>
  </si>
  <si>
    <t>밀가루(밀:호주,미국산), 정제수, 돼지고기(국내산,지방일부사용),닭고기(국산,기계발골육), 부추, 건면, 대파, 두부,양파, 양배추, 마늘, 대두유, 정제소금, 생강</t>
    <phoneticPr fontId="12" type="noConversion"/>
  </si>
  <si>
    <t>철판군만두(삼양)</t>
    <phoneticPr fontId="12" type="noConversion"/>
  </si>
  <si>
    <t>납작군만두</t>
    <phoneticPr fontId="12" type="noConversion"/>
  </si>
  <si>
    <t>돼지고기(국산), 곡류가공품[밀가루(밀:호주,미국산),부침양념믹수(중국산), 설탕, 정제소금, 부추, 당면(고구마전분), 두부, 양파, 대파, 양배추, 마늘, 대두유, 생강분말</t>
    <phoneticPr fontId="12" type="noConversion"/>
  </si>
  <si>
    <t>납작군만두(cj제일제당)</t>
    <phoneticPr fontId="12" type="noConversion"/>
  </si>
  <si>
    <t>계란(국산) 43.6%, 명란(러시아산)2%, 실파(국산), 정제수, 흰우유, 소금</t>
    <phoneticPr fontId="12" type="noConversion"/>
  </si>
  <si>
    <t>곡물치킨강정</t>
    <phoneticPr fontId="12" type="noConversion"/>
  </si>
  <si>
    <t>알배추찜&amp;양념장</t>
    <phoneticPr fontId="12" type="noConversion"/>
  </si>
  <si>
    <t>볼어묵국</t>
    <phoneticPr fontId="12" type="noConversion"/>
  </si>
  <si>
    <t>족발부추무침</t>
    <phoneticPr fontId="12" type="noConversion"/>
  </si>
  <si>
    <t>족발(미쓰족발&amp;이츠웰), 100g 260kcal</t>
    <phoneticPr fontId="12" type="noConversion"/>
  </si>
  <si>
    <t>돼지고기 63.4% [지방일부사용/외국산(미국,스페인,덴마크 등) 69.1%, 국산 30.9%], 닭고기 1.2%(국산), 부추, 당근, 양배추, 양파, 대파, 당면, 마늘,두부, 참기름, 양조간장, 정제소금, 후추, 참기름</t>
    <phoneticPr fontId="12" type="noConversion"/>
  </si>
  <si>
    <t xml:space="preserve"> 소고기채(호주산)75%,고사리(중국산)15%, 대파, 마늘, 국간장, 간장, 소금, 맛술, 후추, 들기름, 참깨</t>
    <phoneticPr fontId="12" type="noConversion"/>
  </si>
  <si>
    <t>오이(국산)82%, 세발나물(국산)4.5%, 파, 마늘, 고추가루, 소금, 설탕, 식초, 참깨</t>
    <phoneticPr fontId="12" type="noConversion"/>
  </si>
  <si>
    <t>전복소라미역국</t>
    <phoneticPr fontId="12" type="noConversion"/>
  </si>
  <si>
    <t>팝콘치킨{닭고기(국내산)60.8%, 정제수, 옥수수전분, 밀가루(밀:미국, 호주산), 빵가루, 양파, 대두단백, 마늘, 정제소금}78%, 케찹, 물엿, 참기름, 곡물씨리얼(현미:국산85%)2%</t>
    <phoneticPr fontId="12" type="noConversion"/>
  </si>
  <si>
    <t>현미씨리얼(켈로그), 팝콘치킨(하림)/1.2.5.6.15.</t>
    <phoneticPr fontId="12" type="noConversion"/>
  </si>
  <si>
    <t>소고기(부채살:호주산)65%, 무, 당근, 파, 마늘, 정제수, 간장, 설탕, 맛술, 후추, 참기름, 참깨</t>
    <phoneticPr fontId="12" type="noConversion"/>
  </si>
  <si>
    <t>쌈장(대두:미국,캐나다,호주등)70%, 논우렁살(우렁:베트남산)5%, 정제수, 양파, 마늘, 파, 참기름, 참깨</t>
    <phoneticPr fontId="12" type="noConversion"/>
  </si>
  <si>
    <t>알러지표기</t>
    <phoneticPr fontId="12" type="noConversion"/>
  </si>
  <si>
    <t>.5.</t>
    <phoneticPr fontId="12" type="noConversion"/>
  </si>
  <si>
    <t>.2.5.6.10.15.16.</t>
    <phoneticPr fontId="12" type="noConversion"/>
  </si>
  <si>
    <t>.21.</t>
    <phoneticPr fontId="12" type="noConversion"/>
  </si>
  <si>
    <t>계란(국산)10%, 황태채(러시아산)5%, 양파, 파, 마늘, 정제수, 참기름, 국간장, 소금</t>
    <phoneticPr fontId="12" type="noConversion"/>
  </si>
  <si>
    <t>알러지 표기</t>
    <phoneticPr fontId="12" type="noConversion"/>
  </si>
  <si>
    <t>건맛살채(원료수입산)85%, 대두유, 간장, 물엿, 마요네즈, 참기름, 참깨</t>
    <phoneticPr fontId="12" type="noConversion"/>
  </si>
  <si>
    <t>진미채(페루산)85%, 고추장, 마요네즈, 대두유, 간장, 물엿, 참기름, 참깨</t>
    <phoneticPr fontId="12" type="noConversion"/>
  </si>
  <si>
    <t>.5.21.</t>
    <phoneticPr fontId="12" type="noConversion"/>
  </si>
  <si>
    <t>.1.5.21.</t>
    <phoneticPr fontId="12" type="noConversion"/>
  </si>
  <si>
    <t>.5.9.21.</t>
    <phoneticPr fontId="12" type="noConversion"/>
  </si>
  <si>
    <t>.1.2.5.6.9.</t>
    <phoneticPr fontId="12" type="noConversion"/>
  </si>
  <si>
    <t>.1.5.16.</t>
    <phoneticPr fontId="12" type="noConversion"/>
  </si>
  <si>
    <t>.6.9.</t>
    <phoneticPr fontId="12" type="noConversion"/>
  </si>
  <si>
    <t>.5.9.10.</t>
    <phoneticPr fontId="12" type="noConversion"/>
  </si>
  <si>
    <t>잡채용 고기는 1Kg당 55인분(불고기용으로 주문)</t>
    <phoneticPr fontId="12" type="noConversion"/>
  </si>
  <si>
    <t>.2.4.12.</t>
    <phoneticPr fontId="12" type="noConversion"/>
  </si>
  <si>
    <t>.2.</t>
    <phoneticPr fontId="12" type="noConversion"/>
  </si>
  <si>
    <t>진미채케찹조림</t>
    <phoneticPr fontId="12" type="noConversion"/>
  </si>
  <si>
    <t>진미채(페루산)85%, 물엿, 마요네즈, 간장, 케찹, 참깨</t>
    <phoneticPr fontId="12" type="noConversion"/>
  </si>
  <si>
    <t>.5.6.10.21.</t>
    <phoneticPr fontId="12" type="noConversion"/>
  </si>
  <si>
    <t>.5.16.21.</t>
    <phoneticPr fontId="12" type="noConversion"/>
  </si>
  <si>
    <t>.5.6.21.</t>
    <phoneticPr fontId="12" type="noConversion"/>
  </si>
  <si>
    <t>닭다리살오븐구이</t>
    <phoneticPr fontId="12" type="noConversion"/>
  </si>
  <si>
    <t>모둠과채[사과(국산), 방울토마토(국산), 오이(국산), 당근(국산)]75%, 연근(국산)5%, 건포도, 마요네즈, 설탕, 소금</t>
  </si>
  <si>
    <t>과일연근샐러드</t>
    <phoneticPr fontId="12" type="noConversion"/>
  </si>
  <si>
    <t>.1.5.12.</t>
    <phoneticPr fontId="12" type="noConversion"/>
  </si>
  <si>
    <t>.5.9.16.</t>
    <phoneticPr fontId="12" type="noConversion"/>
  </si>
  <si>
    <t>.1.2.5.6.10.16.18.21.</t>
    <phoneticPr fontId="12" type="noConversion"/>
  </si>
  <si>
    <t>미니감자전(오분전)</t>
    <phoneticPr fontId="12" type="noConversion"/>
  </si>
  <si>
    <t>.5.6.13.</t>
    <phoneticPr fontId="12" type="noConversion"/>
  </si>
  <si>
    <t>.1.2.5.6.10.12.15.16.18.</t>
    <phoneticPr fontId="12" type="noConversion"/>
  </si>
  <si>
    <t>김말이(크레잇)</t>
    <phoneticPr fontId="12" type="noConversion"/>
  </si>
  <si>
    <t>이츠웰찰당면(고구마전분:중국산), 튀김가루(밀가루(밀:미국산), 옥수수전분(옥수수:외국산), 옥수수가루, 정제소금, 혼합식용유(대두유, 현미유, 팜올레인유), 부추, 김, 당근, 마늘, 간장,설탕, 후추가루</t>
    <phoneticPr fontId="12" type="noConversion"/>
  </si>
  <si>
    <t>.5.6.16.</t>
    <phoneticPr fontId="12" type="noConversion"/>
  </si>
  <si>
    <t>.1.5.6.</t>
    <phoneticPr fontId="12" type="noConversion"/>
  </si>
  <si>
    <t>훈제오리(에스에프)</t>
    <phoneticPr fontId="12" type="noConversion"/>
  </si>
  <si>
    <t>훈제오리{(오리육97.26%, 자일리톨, 소금, 대두단백, 양파분, 마늘분, 생강분, 로즈마리분말, 참기름, 후추)중국산)70%, 새송이버섯(국산), 양파, 당근, 파, 마늘, 굴소스, 소금, 참기름, 참깨</t>
    <phoneticPr fontId="12" type="noConversion"/>
  </si>
  <si>
    <t>.1.5.6.10.18.21.</t>
    <phoneticPr fontId="12" type="noConversion"/>
  </si>
  <si>
    <t>짜장분말(오뚜기)</t>
    <phoneticPr fontId="12" type="noConversion"/>
  </si>
  <si>
    <t>떡(밀:원료수입산)63%, 어묵(원료수입산)14%, 양파, 당근, 대파, 마늘, 정제수, 짜장분말, 대두유, 춘장, 설탕, 물엿, 후추</t>
    <phoneticPr fontId="12" type="noConversion"/>
  </si>
  <si>
    <t>1.2..5.6.10.15.16.</t>
    <phoneticPr fontId="12" type="noConversion"/>
  </si>
  <si>
    <t>.1.2.5.12.15.</t>
    <phoneticPr fontId="12" type="noConversion"/>
  </si>
  <si>
    <t>.1.5.8.21.</t>
    <phoneticPr fontId="12" type="noConversion"/>
  </si>
  <si>
    <t>.5.9.</t>
    <phoneticPr fontId="12" type="noConversion"/>
  </si>
  <si>
    <t>.1.2.5.</t>
    <phoneticPr fontId="12" type="noConversion"/>
  </si>
  <si>
    <t>취나물(국산)81.8%, 양파, 파, 마늘, 대두유, 국간장, 소금, 들기름, 참깨</t>
    <phoneticPr fontId="12" type="noConversion"/>
  </si>
  <si>
    <t>.5.17.</t>
    <phoneticPr fontId="12" type="noConversion"/>
  </si>
  <si>
    <t>.1.2.5.6.10.18.</t>
    <phoneticPr fontId="12" type="noConversion"/>
  </si>
  <si>
    <t>1.2.5.6.10.</t>
    <phoneticPr fontId="12" type="noConversion"/>
  </si>
  <si>
    <t>.5.6.12.16.18.</t>
    <phoneticPr fontId="12" type="noConversion"/>
  </si>
  <si>
    <t>.1.5.</t>
    <phoneticPr fontId="12" type="noConversion"/>
  </si>
  <si>
    <t>참치마요</t>
    <phoneticPr fontId="12" type="noConversion"/>
  </si>
  <si>
    <t>.5.15.18.21.</t>
    <phoneticPr fontId="12" type="noConversion"/>
  </si>
  <si>
    <t>오이(국산)80%, 홍파프리카(국산), 깨소스(깨소금(참깨:외국산), 소금, 참기름, 설탕)</t>
    <phoneticPr fontId="12" type="noConversion"/>
  </si>
  <si>
    <t>.5.16.</t>
    <phoneticPr fontId="12" type="noConversion"/>
  </si>
  <si>
    <t>.5.6.</t>
    <phoneticPr fontId="12" type="noConversion"/>
  </si>
  <si>
    <t>5.21.</t>
    <phoneticPr fontId="12" type="noConversion"/>
  </si>
  <si>
    <t>.5.9.18.21.</t>
    <phoneticPr fontId="12" type="noConversion"/>
  </si>
  <si>
    <t>.5..10.21.</t>
    <phoneticPr fontId="12" type="noConversion"/>
  </si>
  <si>
    <t>.5.10.19.21.</t>
    <phoneticPr fontId="12" type="noConversion"/>
  </si>
  <si>
    <t>.5.6.15.21.</t>
    <phoneticPr fontId="12" type="noConversion"/>
  </si>
  <si>
    <t xml:space="preserve">무(국산)90%, 참나물(국산)3%, 마늘, 파, 생강가루, 설탕, 소금, 참기름, 참깨 </t>
    <phoneticPr fontId="12" type="noConversion"/>
  </si>
  <si>
    <t>품명</t>
    <phoneticPr fontId="12" type="noConversion"/>
  </si>
  <si>
    <t>.5.6.10.15.16.18.21.</t>
    <phoneticPr fontId="12" type="noConversion"/>
  </si>
  <si>
    <t>.5.6.18.21.</t>
    <phoneticPr fontId="12" type="noConversion"/>
  </si>
  <si>
    <t>.5.6.9.18.</t>
    <phoneticPr fontId="12" type="noConversion"/>
  </si>
  <si>
    <t>1.5.6.17.</t>
    <phoneticPr fontId="12" type="noConversion"/>
  </si>
  <si>
    <t>.2.5.6.10.16.21.</t>
    <phoneticPr fontId="12" type="noConversion"/>
  </si>
  <si>
    <t>.5.18.</t>
    <phoneticPr fontId="12" type="noConversion"/>
  </si>
  <si>
    <t>.1.2.5.6.15.21.</t>
    <phoneticPr fontId="12" type="noConversion"/>
  </si>
  <si>
    <t>.1.5.6.9.17.</t>
    <phoneticPr fontId="12" type="noConversion"/>
  </si>
  <si>
    <t>.1.6.</t>
    <phoneticPr fontId="12" type="noConversion"/>
  </si>
  <si>
    <t>오징어(칠레산)46.24%, 생빵가루(밀가루:미국산,호주산), 쇼트닝(팜유:말레이시아산), 정제소금, 연육(베트남산), 정제수, 양파, 옥수수전분</t>
    <phoneticPr fontId="12" type="noConversion"/>
  </si>
  <si>
    <t>.1.2.5.6.15.</t>
    <phoneticPr fontId="12" type="noConversion"/>
  </si>
  <si>
    <t>.1.5.6.21.</t>
    <phoneticPr fontId="12" type="noConversion"/>
  </si>
  <si>
    <t>1.5.</t>
    <phoneticPr fontId="12" type="noConversion"/>
  </si>
  <si>
    <t>.1.5.19.</t>
    <phoneticPr fontId="12" type="noConversion"/>
  </si>
  <si>
    <t>.1.2.5.6.10.15.16.21.</t>
    <phoneticPr fontId="12" type="noConversion"/>
  </si>
  <si>
    <t>.5.6.10.16.</t>
    <phoneticPr fontId="12" type="noConversion"/>
  </si>
  <si>
    <t>.5.15.21.</t>
    <phoneticPr fontId="12" type="noConversion"/>
  </si>
  <si>
    <t>.1.5.6.8.10.</t>
    <phoneticPr fontId="12" type="noConversion"/>
  </si>
  <si>
    <t>요일</t>
  </si>
  <si>
    <t>월</t>
    <phoneticPr fontId="15" type="noConversion"/>
  </si>
  <si>
    <t>화</t>
    <phoneticPr fontId="15" type="noConversion"/>
  </si>
  <si>
    <t>수</t>
    <phoneticPr fontId="15" type="noConversion"/>
  </si>
  <si>
    <t>목</t>
    <phoneticPr fontId="15" type="noConversion"/>
  </si>
  <si>
    <t>금</t>
    <phoneticPr fontId="15" type="noConversion"/>
  </si>
  <si>
    <t>날짜</t>
  </si>
  <si>
    <t>.6.</t>
    <phoneticPr fontId="12" type="noConversion"/>
  </si>
  <si>
    <t>주차</t>
    <phoneticPr fontId="12" type="noConversion"/>
  </si>
  <si>
    <t>메뉴</t>
    <phoneticPr fontId="12" type="noConversion"/>
  </si>
  <si>
    <t>알레르기표기</t>
    <phoneticPr fontId="12" type="noConversion"/>
  </si>
  <si>
    <t>2주</t>
    <phoneticPr fontId="15" type="noConversion"/>
  </si>
  <si>
    <t>3주</t>
    <phoneticPr fontId="15" type="noConversion"/>
  </si>
  <si>
    <t>4주</t>
    <phoneticPr fontId="15" type="noConversion"/>
  </si>
  <si>
    <t>5주</t>
    <phoneticPr fontId="15" type="noConversion"/>
  </si>
  <si>
    <t>.1.2.5.6.15.16.</t>
    <phoneticPr fontId="12" type="noConversion"/>
  </si>
  <si>
    <t>불고기떡볶이</t>
    <phoneticPr fontId="12" type="noConversion"/>
  </si>
  <si>
    <t>.5.6.16.21.</t>
    <phoneticPr fontId="12" type="noConversion"/>
  </si>
  <si>
    <t xml:space="preserve">토마토소스(이츠웰) </t>
    <phoneticPr fontId="12" type="noConversion"/>
  </si>
  <si>
    <t>.5.12.</t>
    <phoneticPr fontId="12" type="noConversion"/>
  </si>
  <si>
    <t>.2.5.6.10.12.16.18.</t>
    <phoneticPr fontId="12" type="noConversion"/>
  </si>
  <si>
    <t>.5.7.</t>
    <phoneticPr fontId="12" type="noConversion"/>
  </si>
  <si>
    <t>자연드림</t>
    <phoneticPr fontId="12" type="noConversion"/>
  </si>
  <si>
    <t>*어묵채구이:12g / 15g</t>
    <phoneticPr fontId="12" type="noConversion"/>
  </si>
  <si>
    <t>.1.5.6.10.12.15.16.</t>
    <phoneticPr fontId="12" type="noConversion"/>
  </si>
  <si>
    <t>.1.5.6.10.16.</t>
    <phoneticPr fontId="12" type="noConversion"/>
  </si>
  <si>
    <t>.2.5.6.12.16.18.</t>
    <phoneticPr fontId="12" type="noConversion"/>
  </si>
  <si>
    <t>.1.2.5.6.12.</t>
    <phoneticPr fontId="12" type="noConversion"/>
  </si>
  <si>
    <t>.1.2.</t>
    <phoneticPr fontId="12" type="noConversion"/>
  </si>
  <si>
    <t>두부탕국</t>
    <phoneticPr fontId="12" type="noConversion"/>
  </si>
  <si>
    <t>짜장면(스파게티면)</t>
    <phoneticPr fontId="12" type="noConversion"/>
  </si>
  <si>
    <t>.2.5.6.10.12.15.16.</t>
    <phoneticPr fontId="12" type="noConversion"/>
  </si>
  <si>
    <t>.5.10.21.</t>
    <phoneticPr fontId="12" type="noConversion"/>
  </si>
  <si>
    <t>.1.2.5.6.12.15.21.</t>
    <phoneticPr fontId="12" type="noConversion"/>
  </si>
  <si>
    <t>햄채소볶음밥</t>
    <phoneticPr fontId="12" type="noConversion"/>
  </si>
  <si>
    <t>.1.2.5.10.15.18.21.</t>
    <phoneticPr fontId="12" type="noConversion"/>
  </si>
  <si>
    <t>.5.10.12.18.</t>
    <phoneticPr fontId="12" type="noConversion"/>
  </si>
  <si>
    <t>스파게티면</t>
    <phoneticPr fontId="12" type="noConversion"/>
  </si>
  <si>
    <t>.1.5.6.15.16.</t>
    <phoneticPr fontId="12" type="noConversion"/>
  </si>
  <si>
    <t>.1.12.</t>
    <phoneticPr fontId="12" type="noConversion"/>
  </si>
  <si>
    <t>닭고기(닭가슴살, 닭다리살:국산)54%, 양배추(국산)10%, 밀떡(밀:수입산)5%, 양파, 당근, 대파, 마늘, 생강가루,고추장, 고추가루, 간장, 후추, 참기름, 참깨</t>
    <phoneticPr fontId="12" type="noConversion"/>
  </si>
  <si>
    <t>감자(국산)90%, 당근(국산)3.5%, 대두유, 마늘, 소금, 후추, 참기름, 참깨</t>
    <phoneticPr fontId="12" type="noConversion"/>
  </si>
  <si>
    <t>돼지갈비양념찜</t>
    <phoneticPr fontId="12" type="noConversion"/>
  </si>
  <si>
    <t>백김치</t>
    <phoneticPr fontId="12" type="noConversion"/>
  </si>
  <si>
    <t>.1.5.18.</t>
    <phoneticPr fontId="12" type="noConversion"/>
  </si>
  <si>
    <t>단호박샐러드(이츠웰)</t>
    <phoneticPr fontId="12" type="noConversion"/>
  </si>
  <si>
    <t>돼지고기(사태:국산)70%, 파인애플(전처리용), 곤약(중국산)7%, 당근, 대파, 마늘, 생강가루, 월계수잎, 정제수, 간장, 설탕, 맛술, 물엿, 참기름, 후추</t>
    <phoneticPr fontId="12" type="noConversion"/>
  </si>
  <si>
    <t>펜네크림파스타</t>
    <phoneticPr fontId="12" type="noConversion"/>
  </si>
  <si>
    <t>치킨토마토스튜</t>
    <phoneticPr fontId="12" type="noConversion"/>
  </si>
  <si>
    <t>웨지컷감자구이</t>
    <phoneticPr fontId="12" type="noConversion"/>
  </si>
  <si>
    <t>얼갈이된장국</t>
    <phoneticPr fontId="12" type="noConversion"/>
  </si>
  <si>
    <t>케찹(오뚜기), 한입깐쇼새우(이츠웰)</t>
    <phoneticPr fontId="12" type="noConversion"/>
  </si>
  <si>
    <t>보코치니샐러드</t>
    <phoneticPr fontId="12" type="noConversion"/>
  </si>
  <si>
    <t>.5.6.9.</t>
    <phoneticPr fontId="12" type="noConversion"/>
  </si>
  <si>
    <t>굴림만두국</t>
    <phoneticPr fontId="12" type="noConversion"/>
  </si>
  <si>
    <t>.1.2.5.6.10.16.21.</t>
    <phoneticPr fontId="12" type="noConversion"/>
  </si>
  <si>
    <t>.2.5.6.10..15.16.</t>
    <phoneticPr fontId="12" type="noConversion"/>
  </si>
  <si>
    <t>케찹(토마토페이스트43.8%) / 개별포장(8g)</t>
    <phoneticPr fontId="12" type="noConversion"/>
  </si>
  <si>
    <t>.1.5.6.10.15.</t>
    <phoneticPr fontId="12" type="noConversion"/>
  </si>
  <si>
    <t>고기순대찜</t>
    <phoneticPr fontId="12" type="noConversion"/>
  </si>
  <si>
    <t>돼지고기(국산)19.23%, 당면(중국산)19.23%, 돼지소창(국산)13.94%, 돈혈(돼지선지:국산)9.62%, 돼지지방(국산)4.81%, 당근, 찹쌀, 대파, 설탕, 마늘, 소금, 고춧가루, 생강, 후추</t>
    <phoneticPr fontId="12" type="noConversion"/>
  </si>
  <si>
    <t>.2.5.6.10.16.</t>
    <phoneticPr fontId="12" type="noConversion"/>
  </si>
  <si>
    <t>.5.6.10.12.15.16.21.</t>
    <phoneticPr fontId="12" type="noConversion"/>
  </si>
  <si>
    <t>매콤닭감자조림</t>
    <phoneticPr fontId="12" type="noConversion"/>
  </si>
  <si>
    <t>닭(국산)60%, 감자(국산)13%, 양파, 당근, 파, 마늘, 정제수, 고추가루, 간장, 굴소스, 후추, 소금, 참깨</t>
    <phoneticPr fontId="12" type="noConversion"/>
  </si>
  <si>
    <t>.1.2.5.6.12.15.21./35g</t>
    <phoneticPr fontId="12" type="noConversion"/>
  </si>
  <si>
    <t>올갱이된장국</t>
    <phoneticPr fontId="12" type="noConversion"/>
  </si>
  <si>
    <t>.2.5.6.12.15.16.18.</t>
    <phoneticPr fontId="12" type="noConversion"/>
  </si>
  <si>
    <t>쥐어채[냉동어육(실꼬리돔:베트남산)]89.7%, 대두유, 마요네즈, 간장, 참기름, 참깨</t>
    <phoneticPr fontId="12" type="noConversion"/>
  </si>
  <si>
    <t>오징어볼튀김</t>
    <phoneticPr fontId="12" type="noConversion"/>
  </si>
  <si>
    <t xml:space="preserve">진미채(페루산)85%, 버터, 마요네즈, </t>
    <phoneticPr fontId="12" type="noConversion"/>
  </si>
  <si>
    <t>크래미양배추샐러드</t>
    <phoneticPr fontId="12" type="noConversion"/>
  </si>
  <si>
    <t>양배추(국산)80%, 크래미[명태연육80.26%(미국산), 감자전분(폴란드산, 국내산), 난백액(국내산),게엑기스1.36%(국내산)]5%, 마요네즈, 케찹, 설탕, 소금, 레몬즙</t>
    <phoneticPr fontId="12" type="noConversion"/>
  </si>
  <si>
    <t>무항생제고기산적</t>
    <phoneticPr fontId="12" type="noConversion"/>
  </si>
  <si>
    <t>돼지고기(무항생제:국산)60.83%, 정제수, 소불고기양념장(탈지대두:외국산), 설탕, 액상과당, 배퓨레(배:국산), 빵가루(밀:미국산, 호주산, 캐나다산), 쇼트닝(팜유:말레이시아산), 대두단백, 양파, 대파, 마늘, 젱제소금, 후추가루</t>
    <phoneticPr fontId="12" type="noConversion"/>
  </si>
  <si>
    <t>.5.6.10.</t>
    <phoneticPr fontId="12" type="noConversion"/>
  </si>
  <si>
    <t>오이(국산)85%, 당근, 파, 마늘, 소금, 설탕, 식초, 참깨</t>
    <phoneticPr fontId="12" type="noConversion"/>
  </si>
  <si>
    <t>양배추(국산)60%, 오이(국산)25%, 당근, 대파, 마늘, 소금, 참깨</t>
    <phoneticPr fontId="12" type="noConversion"/>
  </si>
  <si>
    <t>양배추(국산)75%, 햄(돼지고기:국산62%, 수입산38%)5%, 사과(국산), 당근, 마요네즈, 머스타드, 레몬즙, 소금</t>
    <phoneticPr fontId="12" type="noConversion"/>
  </si>
  <si>
    <t>오징어무국</t>
    <phoneticPr fontId="12" type="noConversion"/>
  </si>
  <si>
    <t>&amp; 타르타르소스</t>
    <phoneticPr fontId="12" type="noConversion"/>
  </si>
  <si>
    <t>햄감자채볶음</t>
    <phoneticPr fontId="12" type="noConversion"/>
  </si>
  <si>
    <t>감자(국산)90%, 햄(돼지고기:국내산 88.07%)5%, 대두유, 대파, 마늘, 소금, 참기름, 참깨</t>
    <phoneticPr fontId="12" type="noConversion"/>
  </si>
  <si>
    <t>.2.5.10.21.</t>
    <phoneticPr fontId="12" type="noConversion"/>
  </si>
  <si>
    <t>우리 슬라이스햄(이츠웰)</t>
    <phoneticPr fontId="12" type="noConversion"/>
  </si>
  <si>
    <t>닭봉(국산) 83.9%, 모양떡(쌀:수입산), 정제수, 간장, 물엿, 설탕, 참기름, 후추</t>
    <phoneticPr fontId="12" type="noConversion"/>
  </si>
  <si>
    <t>.2.5.6.9.10.15.16.17.</t>
    <phoneticPr fontId="12" type="noConversion"/>
  </si>
  <si>
    <t>명란계란찜</t>
    <phoneticPr fontId="12" type="noConversion"/>
  </si>
  <si>
    <t>삼색콩나물무침</t>
    <phoneticPr fontId="12" type="noConversion"/>
  </si>
  <si>
    <t>콩나물(원료수입산)90%, 당근, 부추, 마늘, 대파, 참치액, 소금, 참기름, 참깨</t>
    <phoneticPr fontId="12" type="noConversion"/>
  </si>
  <si>
    <t>조랭이떡미역국</t>
    <phoneticPr fontId="12" type="noConversion"/>
  </si>
  <si>
    <t>순살동태국</t>
    <phoneticPr fontId="12" type="noConversion"/>
  </si>
  <si>
    <t>임연수구이</t>
    <phoneticPr fontId="12" type="noConversion"/>
  </si>
  <si>
    <t>임연수(미국산)95%, 대두유, 밀가루, 소금</t>
    <phoneticPr fontId="12" type="noConversion"/>
  </si>
  <si>
    <t>볼어묵양배추국</t>
    <phoneticPr fontId="12" type="noConversion"/>
  </si>
  <si>
    <t>.15.</t>
    <phoneticPr fontId="12" type="noConversion"/>
  </si>
  <si>
    <t>미트볼케찹조림</t>
    <phoneticPr fontId="12" type="noConversion"/>
  </si>
  <si>
    <t>.1.5.6.10.12.15.</t>
    <phoneticPr fontId="12" type="noConversion"/>
  </si>
  <si>
    <t>.5.10.</t>
    <phoneticPr fontId="12" type="noConversion"/>
  </si>
  <si>
    <t>사골순대국</t>
    <phoneticPr fontId="12" type="noConversion"/>
  </si>
  <si>
    <t>순대(돼지고기:국산, 돼지소창:국산, 돈혈:국산, 당면:중국산)25%사골엑기스[정제수, 사골농축액17%(사골:호주산), 천일염], 정제수, 생대파(국산), 후추, 소금</t>
    <phoneticPr fontId="12" type="noConversion"/>
  </si>
  <si>
    <t>냉면육수(면사랑)</t>
    <phoneticPr fontId="12" type="noConversion"/>
  </si>
  <si>
    <t>멸치(국산)76%, 대두유, 고추장, 간장, 설탕, 물엿, 참기름, 참깨</t>
    <phoneticPr fontId="12" type="noConversion"/>
  </si>
  <si>
    <t>오삼불고기</t>
    <phoneticPr fontId="12" type="noConversion"/>
  </si>
  <si>
    <t>.5.6.10.17.21.</t>
    <phoneticPr fontId="12" type="noConversion"/>
  </si>
  <si>
    <t>쌈장(대두:미국,캐나다,호주등)93%, 마늘, 파, 마요네즈, 레몬즙, 참기름, 참깨</t>
    <phoneticPr fontId="12" type="noConversion"/>
  </si>
  <si>
    <t>&amp; 토마토소스</t>
    <phoneticPr fontId="12" type="noConversion"/>
  </si>
  <si>
    <t>꼬치어묵국</t>
    <phoneticPr fontId="12" type="noConversion"/>
  </si>
  <si>
    <t>꼬치어묵(삼호)</t>
    <phoneticPr fontId="12" type="noConversion"/>
  </si>
  <si>
    <t xml:space="preserve">오이(국산)87%, 부추(국산)3%, 파, 마늘, 고추가루, 소금, 설탕, 식초, 참깨 </t>
    <phoneticPr fontId="12" type="noConversion"/>
  </si>
  <si>
    <t>닭볶음탕</t>
    <phoneticPr fontId="12" type="noConversion"/>
  </si>
  <si>
    <t>.5.6.15.</t>
    <phoneticPr fontId="12" type="noConversion"/>
  </si>
  <si>
    <t>후랑크소시지구이</t>
    <phoneticPr fontId="12" type="noConversion"/>
  </si>
  <si>
    <t>더건강한 후랑크소시지(cj제일제당)</t>
    <phoneticPr fontId="12" type="noConversion"/>
  </si>
  <si>
    <t>돼지고기[지방일부사용/외국산(스페인, 캐나다, 미국등), 국산]91.18%, 정제수, 설탕, 분리대두단백(중국산)</t>
    <phoneticPr fontId="12" type="noConversion"/>
  </si>
  <si>
    <t>.2.5.10.16.</t>
    <phoneticPr fontId="12" type="noConversion"/>
  </si>
  <si>
    <t>돈사태떡조림</t>
    <phoneticPr fontId="12" type="noConversion"/>
  </si>
  <si>
    <t>표고계란탕</t>
    <phoneticPr fontId="12" type="noConversion"/>
  </si>
  <si>
    <t>부채살채소찜</t>
    <phoneticPr fontId="12" type="noConversion"/>
  </si>
  <si>
    <t>참나물겉절이</t>
    <phoneticPr fontId="12" type="noConversion"/>
  </si>
  <si>
    <t>참나물(국산)80%, 오이(국산)10%, 당근, 파, 마늘, 식초, 설탕, 멸치액젓, 고추가루, 참기름, 참깨</t>
    <phoneticPr fontId="12" type="noConversion"/>
  </si>
  <si>
    <t>.5.6.9.10.18.</t>
    <phoneticPr fontId="12" type="noConversion"/>
  </si>
  <si>
    <t>자차이(절임무:중국산)78%, 양배추(국산), 파, 마늘, 고추가루, 고추기름, 식초, 설탕, 소금, 참기름, 참깨</t>
    <phoneticPr fontId="15" type="noConversion"/>
  </si>
  <si>
    <t>해바라기씨멸치볶음</t>
    <phoneticPr fontId="12" type="noConversion"/>
  </si>
  <si>
    <t>왕새우튀김(사세통상)/수산물 가공품</t>
    <phoneticPr fontId="12" type="noConversion"/>
  </si>
  <si>
    <t>새우튀김[밀가루, 새우, 정제수, 타피오카전분, 옥수수가루, 옥수수전분, 설탕, 소금]베트남산</t>
    <phoneticPr fontId="12" type="noConversion"/>
  </si>
  <si>
    <t>콩나물(원료수입산)16%, 바지락(중국산)7%, 바지락육수, 대파, 마늘, 고추가루, 정제수, 국간장, 소금</t>
    <phoneticPr fontId="12" type="noConversion"/>
  </si>
  <si>
    <t>맥엔로제</t>
    <phoneticPr fontId="12" type="noConversion"/>
  </si>
  <si>
    <t>소고기탕국</t>
    <phoneticPr fontId="12" type="noConversion"/>
  </si>
  <si>
    <t>.1.12.19.</t>
    <phoneticPr fontId="12" type="noConversion"/>
  </si>
  <si>
    <t>&amp; 저염쌈장</t>
    <phoneticPr fontId="12" type="noConversion"/>
  </si>
  <si>
    <t>&amp; 우렁쌈장</t>
    <phoneticPr fontId="12" type="noConversion"/>
  </si>
  <si>
    <t>크림치즈(우유,크림:미국산)27.3%, 가공버터, 우유, 플레인요구르트, 계란, 박력분, 정제소금</t>
    <phoneticPr fontId="12" type="noConversion"/>
  </si>
  <si>
    <t>.1.5.10.19.21.</t>
    <phoneticPr fontId="12" type="noConversion"/>
  </si>
  <si>
    <t>젤리스틱포도</t>
    <phoneticPr fontId="12" type="noConversion"/>
  </si>
  <si>
    <t>[정제수, 유기농설탕13%, 포도농축액(포도100%, 국산)12%, 올리고당, 한천(국산), 비타민C]</t>
    <phoneticPr fontId="12" type="noConversion"/>
  </si>
  <si>
    <t>두부된장국</t>
    <phoneticPr fontId="12" type="noConversion"/>
  </si>
  <si>
    <t>수제치킨무</t>
    <phoneticPr fontId="12" type="noConversion"/>
  </si>
  <si>
    <t>.1.2.5.17.21.</t>
    <phoneticPr fontId="12" type="noConversion"/>
  </si>
  <si>
    <t>.1.5.17.18.21.</t>
    <phoneticPr fontId="12" type="noConversion"/>
  </si>
  <si>
    <t>닭고기[닭가슴살70%(국산), 닭다리살30%(브라질산)]75%, 모양떡(쌀:수입산)15%, 정제수, 간장, 물엿, 설탕, 후추, 참기름</t>
    <phoneticPr fontId="12" type="noConversion"/>
  </si>
  <si>
    <t>생선통살튀김</t>
    <phoneticPr fontId="12" type="noConversion"/>
  </si>
  <si>
    <t>멸치(국산)75%, 해바라기씨(중국산)5%, 대두유, 간장, 물엿, 참기름, 참깨</t>
    <phoneticPr fontId="12" type="noConversion"/>
  </si>
  <si>
    <t>피쉬볼샌드위치(세미원푸드)</t>
    <phoneticPr fontId="12" type="noConversion"/>
  </si>
  <si>
    <t>모둠어묵국</t>
    <phoneticPr fontId="12" type="noConversion"/>
  </si>
  <si>
    <t>.6.10.</t>
    <phoneticPr fontId="12" type="noConversion"/>
  </si>
  <si>
    <t>닭다리(장각:국산)60%, 삼계탕육수(정제수, 황기,대추,당귀,헛개나무, 엄나무,오가피:국산)38%, 소금, 대파, 마늘, 후추</t>
    <phoneticPr fontId="12" type="noConversion"/>
  </si>
  <si>
    <t>파프리카(국산)5%, 완두콩, 마늘, 정제수, 대두유, 케첩, 설탕, 식초, 전분(외국산)</t>
    <phoneticPr fontId="12" type="noConversion"/>
  </si>
  <si>
    <t>&amp; 스위트칠리소스</t>
    <phoneticPr fontId="12" type="noConversion"/>
  </si>
  <si>
    <t>통다리삼계탕</t>
    <phoneticPr fontId="12" type="noConversion"/>
  </si>
  <si>
    <t>&amp; 갈릭스테이크소스</t>
    <phoneticPr fontId="12" type="noConversion"/>
  </si>
  <si>
    <t>&amp; 탕수소스</t>
    <phoneticPr fontId="12" type="noConversion"/>
  </si>
  <si>
    <t>삼색숙주나물</t>
    <phoneticPr fontId="12" type="noConversion"/>
  </si>
  <si>
    <t>.2.5.6.12.15.</t>
    <phoneticPr fontId="12" type="noConversion"/>
  </si>
  <si>
    <t>토마토소스(오쉐프), 크림벵이스소스(면사랑)</t>
    <phoneticPr fontId="12" type="noConversion"/>
  </si>
  <si>
    <t>후르츠칵테일(과채가공품:필리핀산)11%, 식초, 간장, 설탕, 전분, 정제수</t>
    <phoneticPr fontId="12" type="noConversion"/>
  </si>
  <si>
    <t>용가리치킨너겟</t>
    <phoneticPr fontId="12" type="noConversion"/>
  </si>
  <si>
    <t>닭고기(국내산)56.83%, 크루스토브레딩(캐나다산:밀가루,식물성유지,설탕소금). 버터믹스, 정제수, 양파, 마늘, 후추</t>
    <phoneticPr fontId="12" type="noConversion"/>
  </si>
  <si>
    <t>.1.2.5.6.</t>
    <phoneticPr fontId="12" type="noConversion"/>
  </si>
  <si>
    <t>*족발:45g / 55g</t>
    <phoneticPr fontId="12" type="noConversion"/>
  </si>
  <si>
    <t>*훈제오리 : 40g / 50g</t>
    <phoneticPr fontId="12" type="noConversion"/>
  </si>
  <si>
    <t>로제닭볶음</t>
    <phoneticPr fontId="12" type="noConversion"/>
  </si>
  <si>
    <t>.1.5.6.8.9.17.</t>
    <phoneticPr fontId="12" type="noConversion"/>
  </si>
  <si>
    <t>두부구이</t>
    <phoneticPr fontId="12" type="noConversion"/>
  </si>
  <si>
    <t>두부(대두:미국, 캐나다, 호주등), 대두유</t>
    <phoneticPr fontId="12" type="noConversion"/>
  </si>
  <si>
    <t>세발나물오이무침</t>
    <phoneticPr fontId="12" type="noConversion"/>
  </si>
  <si>
    <t>양송이떡갈비</t>
    <phoneticPr fontId="12" type="noConversion"/>
  </si>
  <si>
    <t>돼지고기(국내산/갈비살25%, 지방5.5%)51.5%, 정제수, 소고기(국내산)9%, 흑설탕, 양송이버섯(국내산)3.5%, 양파, 옥수수전분, 간장, 설탕, 파, 마늘, 후추</t>
    <phoneticPr fontId="12" type="noConversion"/>
  </si>
  <si>
    <t>양송이버섯떡갈비(삼양식품)</t>
    <phoneticPr fontId="12" type="noConversion"/>
  </si>
  <si>
    <t>바다동물모양찐빵</t>
    <phoneticPr fontId="12" type="noConversion"/>
  </si>
  <si>
    <t>바다친구들 찐빵(세미원푸드)</t>
    <phoneticPr fontId="12" type="noConversion"/>
  </si>
  <si>
    <t>이솝찐빵(세미원푸드)</t>
    <phoneticPr fontId="12" type="noConversion"/>
  </si>
  <si>
    <t>삼색경단</t>
    <phoneticPr fontId="12" type="noConversion"/>
  </si>
  <si>
    <t>찹쌀(국산)69.9%, 팥앙금(팥:중국산)55.5%, 백설탕, 물엿, 정제소금, 밀가루</t>
    <phoneticPr fontId="12" type="noConversion"/>
  </si>
  <si>
    <t>알배추(국산)77%, 양념장[정제수, 간장, 설탕, 식초, 참기름, 참깨]23%</t>
    <phoneticPr fontId="12" type="noConversion"/>
  </si>
  <si>
    <t>*마카로니.콘샐러드 : 30g</t>
    <phoneticPr fontId="12" type="noConversion"/>
  </si>
  <si>
    <t>철판군만두</t>
    <phoneticPr fontId="12" type="noConversion"/>
  </si>
  <si>
    <t>토마토포크스튜</t>
    <phoneticPr fontId="12" type="noConversion"/>
  </si>
  <si>
    <t>토마토소스(오쉐프)</t>
  </si>
  <si>
    <t>.2.5.6.10.12.15.</t>
    <phoneticPr fontId="12" type="noConversion"/>
  </si>
  <si>
    <t>광양식소불고기</t>
    <phoneticPr fontId="12" type="noConversion"/>
  </si>
  <si>
    <t>불린미역(국산)23%, 정제수, 참기름, 국간장, 밥새우, 멸치육수농축액, 마늘, 소금</t>
  </si>
  <si>
    <t>콩나물(콩:외국산)25%, 정제수, 국간장, 마늘, 대파, 멸치육수농축액, 소금</t>
  </si>
  <si>
    <t>유부(원료수입산)10%, 팽이버섯(국산)2%, 미소된장(국내산), 정제수, 멸치육수농축액, 실파, 마늘, 소금</t>
  </si>
  <si>
    <t>계란(국산)13%, 채소[양파, 당근, 부추:국산]10%, 정제수, 멸치육수농축액, 대파, 마늘, 소금</t>
  </si>
  <si>
    <t>감자(국산)15%, 계란(국산)3.5%, 양파, 파, 마늘, 멸치육수농축액, 정제수, 소금</t>
  </si>
  <si>
    <t>두부(콩:미국,호주,캐나다등)18%, 팽이버섯(국산)5%, 실파(국산), 정제수, 미소된장(국산), 멸치육수농축액, 소금</t>
  </si>
  <si>
    <t>멸치육수농축액(면사랑)</t>
  </si>
  <si>
    <t xml:space="preserve">무(국산)18.3%, 소고기(호주산)10.7%, 양파, 대파, 마늘, 정제수, 소금, 멸치육수농축액, 국간장, 후추 </t>
  </si>
  <si>
    <t>무(국산)15%, 소고기(호주산)8%, 두부(원료수입산)5%, 양파, 대파, 마늘, 정제수, 멸치육수농축액, 국간장, 소금</t>
  </si>
  <si>
    <t>무(국산)20%, 오징어(미국산, 국산)5%, 양파, 대파, 마늘, 정제수, 멸치육수농축액, 국간장, 소금</t>
  </si>
  <si>
    <t>불린미역(미역:국산)18.3%, 소고기(호주산)5%, 마늘, 정제수, 밥새우, 멸치육수농축액, 소금, 국간장</t>
  </si>
  <si>
    <t>열갈이(국산)10%, 소고기(호주산)7%, 무(국산)5%, 콩나물(원료수입산)5%, 정제수, 된장, 대파, 마늘, 국간장, 멸치육수농축액, 소금</t>
  </si>
  <si>
    <t>콩나물(원료수입산)16%, 무(국산)10%, 대파, 마늘, 정제수, 멸치육수농축액, 국간장, 소금</t>
  </si>
  <si>
    <t>콩나물(원료수입산)13%, 무(국산)10%, 오징어(미국산,국산)5%, 대파, 마늘, 정제수, 멸치육수농축액, 국간장, 소금</t>
  </si>
  <si>
    <t>어묵[연육:베트남산, 밀가루(밀:호주산, 미국산)]21.3%, 무(국산)5%, 양파, 파, 마늘, 정제수, 멸치육수농축액, 소금</t>
  </si>
  <si>
    <t>우거지(국산)17%, 두부(원료수입산)10.7%, 양파, 대파, 마늘, 된장, 정제수, 멸치육수농축액, 소금</t>
  </si>
  <si>
    <t>얼갈이(국산) 23%, 된장(콩:원료수입산), 파, 마늘, 양파, 정제수, 멸치육수농축액, 국간장, 소금,</t>
  </si>
  <si>
    <t>굴림만두(돼지고기:국산), 두부, 양배추, 양파, 부추, 대파, 난백, 밀가루, 참기름)35%, 계란(국산), 정제수, 멸치육수농축액, 마늘, 파, 소금</t>
  </si>
  <si>
    <t>두부(콩:미국,캐나다,호주등)13%, 모둠버섯[새송이(국산), 표고(중국산),]10%, 양파, 파, 마늘, 된장, 멸치육수농축액, 정제수, 소금</t>
  </si>
  <si>
    <t>두부(원료수입산)18%, 무(국산)10%,, 파, 마늘, 정제수, 멸치육수농축액, 국간장, 소금</t>
  </si>
  <si>
    <t>무(국산)15%, 모둠어묵(어육:수입산)10%, 파, 마늘, 국간장, 멸치육수농축액, 정제수, 소금</t>
  </si>
  <si>
    <t>콩나물(콩:외국산)12% , 배추김치(배추, 고추가루:국산)7%, 두부(콩:미국,호주,캐나다등), 대파, 마늘, 멸치육수농축액, 국간장, 정제수, 소금</t>
  </si>
  <si>
    <t>양배추(국산)15%, 볼어묵{연육53.29%(어육:중국산, 베트남산), 밀가루(밀:호주산, 미국산), 정제소금(국산), 대두유}10.5%, 정제수, 대파, 마늘, 소금, 국간장, 멸치육수농축액</t>
  </si>
  <si>
    <t>감자(국산)17%, 황태(러시아산)3%,  양파, 파, 마늘, 멸치육수농축액, 정제수, 소금</t>
    <phoneticPr fontId="12" type="noConversion"/>
  </si>
  <si>
    <t>&amp; 로제소스</t>
    <phoneticPr fontId="12" type="noConversion"/>
  </si>
  <si>
    <t>코코넛밀크(몬), 카레분말(오뚜기)</t>
    <phoneticPr fontId="12" type="noConversion"/>
  </si>
  <si>
    <t>어묵(원료수입산)15%, 양배추(국산)10%,  양파, 대파, 마늘, 정제수, 국간장, 소금</t>
    <phoneticPr fontId="12" type="noConversion"/>
  </si>
  <si>
    <t>어묵양배추국</t>
    <phoneticPr fontId="12" type="noConversion"/>
  </si>
  <si>
    <t>.5.9.18.</t>
    <phoneticPr fontId="12" type="noConversion"/>
  </si>
  <si>
    <t>치커리오이무침</t>
    <phoneticPr fontId="12" type="noConversion"/>
  </si>
  <si>
    <t>오이(국산)82%, 치커리(국산)4.5%, 파, 마늘, 고추가루, 소금, 설탕, 식초, 참깨</t>
    <phoneticPr fontId="12" type="noConversion"/>
  </si>
  <si>
    <t>치커리사과무침</t>
    <phoneticPr fontId="12" type="noConversion"/>
  </si>
  <si>
    <t>.5.6.7.15.18.</t>
    <phoneticPr fontId="12" type="noConversion"/>
  </si>
  <si>
    <t>올방개묵무침</t>
    <phoneticPr fontId="12" type="noConversion"/>
  </si>
  <si>
    <t>닭정육(닭다리살:브라질산)85%, 데리야끼소스, 간장, 설탕, 양파, 파, 마늘, 맛술, 후추, 참기름, 참깨</t>
    <phoneticPr fontId="12" type="noConversion"/>
  </si>
  <si>
    <t>쥐어채볶음</t>
    <phoneticPr fontId="12" type="noConversion"/>
  </si>
  <si>
    <t>미역(국산)10%, 팽이버섯(국산)8%,  미소된장(국산), 멸치육수농축액, 정제수, 소금</t>
    <phoneticPr fontId="12" type="noConversion"/>
  </si>
  <si>
    <t xml:space="preserve">오이(국산)75%,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</si>
  <si>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버터진미채</t>
    <phoneticPr fontId="12" type="noConversion"/>
  </si>
  <si>
    <t>한입핫도그</t>
    <phoneticPr fontId="12" type="noConversion"/>
  </si>
  <si>
    <t>온두부</t>
    <phoneticPr fontId="12" type="noConversion"/>
  </si>
  <si>
    <t>두부(대두:미국, 캐나다, 호주등)</t>
    <phoneticPr fontId="12" type="noConversion"/>
  </si>
  <si>
    <t>치킨너겟(하림)</t>
    <phoneticPr fontId="12" type="noConversion"/>
  </si>
  <si>
    <t>.5.6.17.</t>
    <phoneticPr fontId="12" type="noConversion"/>
  </si>
  <si>
    <t>콥샐러드</t>
    <phoneticPr fontId="12" type="noConversion"/>
  </si>
  <si>
    <t>.1.2.5.10.12.19.</t>
    <phoneticPr fontId="12" type="noConversion"/>
  </si>
  <si>
    <t>.1.5.6.12.</t>
    <phoneticPr fontId="12" type="noConversion"/>
  </si>
  <si>
    <t>소고기애호박볶음</t>
    <phoneticPr fontId="12" type="noConversion"/>
  </si>
  <si>
    <t>호박(국산)75%, 소고기(호주산)5%, 양파, 당근, 대파, 마늘, 대두유, 소금, 참기름, 참깨</t>
    <phoneticPr fontId="12" type="noConversion"/>
  </si>
  <si>
    <t>베이컨마늘쫑볶음</t>
    <phoneticPr fontId="12" type="noConversion"/>
  </si>
  <si>
    <t>누들떡볶이(토담)</t>
    <phoneticPr fontId="12" type="noConversion"/>
  </si>
  <si>
    <t>밀떡볶이말랑이떡(토담)</t>
    <phoneticPr fontId="12" type="noConversion"/>
  </si>
  <si>
    <t>마늘쫑(중국산)85%, 베이컨(돼지고기:스페인산), 대두유, 간장, 소금, 설탕, 물엿, 참깨</t>
    <phoneticPr fontId="12" type="noConversion"/>
  </si>
  <si>
    <t>닭살데리야끼조림</t>
    <phoneticPr fontId="12" type="noConversion"/>
  </si>
  <si>
    <t>오곡멸치볶음</t>
    <phoneticPr fontId="12" type="noConversion"/>
  </si>
  <si>
    <t>멸치(국산)60%, 오곡씨리얼(옥수수,통밀,귀리.보리.쌀)20%, 대두유, 간장, 물엿, 참기름, 참깨</t>
    <phoneticPr fontId="12" type="noConversion"/>
  </si>
  <si>
    <t>오곡프레이크(켈로그)</t>
    <phoneticPr fontId="12" type="noConversion"/>
  </si>
  <si>
    <t>황태미역국</t>
    <phoneticPr fontId="12" type="noConversion"/>
  </si>
  <si>
    <t>미역(국산)18%, 황태(러시아산)5%, 정제수, 밥새우, 멸치육수농축액, 국간장, 참기름, 마늘, 소금</t>
    <phoneticPr fontId="12" type="noConversion"/>
  </si>
  <si>
    <t>친환경찰흑미쌀밥</t>
    <phoneticPr fontId="12" type="noConversion"/>
  </si>
  <si>
    <t>쌀(국산)90%, 찰흑미(국산.친환경)5%, 정제수</t>
    <phoneticPr fontId="12" type="noConversion"/>
  </si>
  <si>
    <t>친환경찰보리쌀밥</t>
    <phoneticPr fontId="12" type="noConversion"/>
  </si>
  <si>
    <t>쌀(국산)90%, 찰보리(국산.친환경)5%, 정제수</t>
    <phoneticPr fontId="12" type="noConversion"/>
  </si>
  <si>
    <t>쌀(국산)90%, 현미(국산.친환경)5%, 정제수</t>
    <phoneticPr fontId="12" type="noConversion"/>
  </si>
  <si>
    <t>절임알배추</t>
    <phoneticPr fontId="12" type="noConversion"/>
  </si>
  <si>
    <t>절임알배추[알배추(국산), 천일염(국산)]</t>
    <phoneticPr fontId="12" type="noConversion"/>
  </si>
  <si>
    <t>훈제오리잡채</t>
    <phoneticPr fontId="12" type="noConversion"/>
  </si>
  <si>
    <t>순두부된장국</t>
    <phoneticPr fontId="12" type="noConversion"/>
  </si>
  <si>
    <t>순두부(콩:미국,캐나다,호주등)25%, 된장(국산), 파, 마늘, 정제수, 멸치육수농축액, 소금</t>
    <phoneticPr fontId="12" type="noConversion"/>
  </si>
  <si>
    <t>유부미소국</t>
    <phoneticPr fontId="12" type="noConversion"/>
  </si>
  <si>
    <t>파르펠레냉파스타</t>
    <phoneticPr fontId="12" type="noConversion"/>
  </si>
  <si>
    <t>.2.5.6.12.</t>
    <phoneticPr fontId="12" type="noConversion"/>
  </si>
  <si>
    <t>&amp; 씨앗쌈장</t>
    <phoneticPr fontId="12" type="noConversion"/>
  </si>
  <si>
    <t>쌈장(대두:미국,캐나다,호주등)70%, 해바라기씨(중국산)5%, 정제수, 양파, 마늘, 파, 참기름, 참깨</t>
    <phoneticPr fontId="12" type="noConversion"/>
  </si>
  <si>
    <t>.5.6.21.</t>
    <phoneticPr fontId="12" type="noConversion"/>
  </si>
  <si>
    <t>콩나물냉채</t>
    <phoneticPr fontId="12" type="noConversion"/>
  </si>
  <si>
    <t>.1.2.5.6.8.12.21.</t>
    <phoneticPr fontId="12" type="noConversion"/>
  </si>
  <si>
    <t>소고기샤브국</t>
    <phoneticPr fontId="12" type="noConversion"/>
  </si>
  <si>
    <t>.5.16.</t>
    <phoneticPr fontId="12" type="noConversion"/>
  </si>
  <si>
    <t>청포묵무침</t>
    <phoneticPr fontId="12" type="noConversion"/>
  </si>
  <si>
    <t>닭고기(국산)65%, 총알새송이(국산)12%, 양파, 당근, 파, 마늘, 간장, 설탕, 맛술, 후추, 참기름, 참깨</t>
    <phoneticPr fontId="12" type="noConversion"/>
  </si>
  <si>
    <t>.5.15.21.</t>
    <phoneticPr fontId="12" type="noConversion"/>
  </si>
  <si>
    <t>소고기콩나물국</t>
    <phoneticPr fontId="12" type="noConversion"/>
  </si>
  <si>
    <t>콩나물(원료수입산)20%, 소고기(호주산)10.5%, 정제수, 대파, 마늘, 소금,멸치육수농축액, 국간장</t>
    <phoneticPr fontId="12" type="noConversion"/>
  </si>
  <si>
    <t>.5.10.21.</t>
    <phoneticPr fontId="12" type="noConversion"/>
  </si>
  <si>
    <t>돼지고기(국산)80%, 양파(국산)5%, 당근, 대파, 마늘, 간장, 맛술, 후추, 참기름, 참깨</t>
    <phoneticPr fontId="12" type="noConversion"/>
  </si>
  <si>
    <t>&amp; 오리엔탈드레싱</t>
    <phoneticPr fontId="12" type="noConversion"/>
  </si>
  <si>
    <t>모짜렐라치즈볼</t>
    <phoneticPr fontId="12" type="noConversion"/>
  </si>
  <si>
    <t>문어모양소떡구이</t>
    <phoneticPr fontId="12" type="noConversion"/>
  </si>
  <si>
    <t>.1.2.5.6.9.12.17.18.</t>
    <phoneticPr fontId="12" type="noConversion"/>
  </si>
  <si>
    <t>훈제족발슬라이스(미쓰족발)</t>
    <phoneticPr fontId="12" type="noConversion"/>
  </si>
  <si>
    <t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t>
    <phoneticPr fontId="12" type="noConversion"/>
  </si>
  <si>
    <t>.2.5.6.</t>
    <phoneticPr fontId="12" type="noConversion"/>
  </si>
  <si>
    <t>모짜렐라치즈볼(맘스터치)</t>
    <phoneticPr fontId="12" type="noConversion"/>
  </si>
  <si>
    <t>훈제닭다리살</t>
    <phoneticPr fontId="12" type="noConversion"/>
  </si>
  <si>
    <t>훈제닭다리살(킹닭)쿠팡</t>
    <phoneticPr fontId="12" type="noConversion"/>
  </si>
  <si>
    <t>닭다리살(브라질산)96.3%, 정제소금(국내산), 전분(옥수수/외국산)</t>
    <phoneticPr fontId="12" type="noConversion"/>
  </si>
  <si>
    <t>.5.15.</t>
    <phoneticPr fontId="12" type="noConversion"/>
  </si>
  <si>
    <t>목살(돼지고기:국산)95%, 맛술, 소금, 후추</t>
    <phoneticPr fontId="12" type="noConversion"/>
  </si>
  <si>
    <t>.5.10.</t>
    <phoneticPr fontId="12" type="noConversion"/>
  </si>
  <si>
    <t>문어모양소떡구이(유빛)</t>
    <phoneticPr fontId="12" type="noConversion"/>
  </si>
  <si>
    <t>.5.6.10.12.15.18.21.</t>
    <phoneticPr fontId="12" type="noConversion"/>
  </si>
  <si>
    <t>&amp; 토마토케찹</t>
    <phoneticPr fontId="12" type="noConversion"/>
  </si>
  <si>
    <t>신당꿈
특식</t>
    <phoneticPr fontId="12" type="noConversion"/>
  </si>
  <si>
    <t>*건두부무침 : 25g / 35g</t>
    <phoneticPr fontId="12" type="noConversion"/>
  </si>
  <si>
    <t>.2.18.</t>
    <phoneticPr fontId="12" type="noConversion"/>
  </si>
  <si>
    <t>*영양찜닭:85g / 95g</t>
    <phoneticPr fontId="12" type="noConversion"/>
  </si>
  <si>
    <t>양상추샐러드</t>
    <phoneticPr fontId="12" type="noConversion"/>
  </si>
  <si>
    <t>양상추(국산)85%, 치커리, 적채</t>
    <phoneticPr fontId="12" type="noConversion"/>
  </si>
  <si>
    <t>조랭이떡(칠갑농산),베이컨(크레잇)</t>
    <phoneticPr fontId="12" type="noConversion"/>
  </si>
  <si>
    <t>조랭이떡(쌀:국산, 정제소금:국산)76%, 베이컨[돼지고기(앞다리살:미국산)96.21%]9%, 양파, 파프리카, 대두유, 굴소스, 케찹, 물엿</t>
    <phoneticPr fontId="12" type="noConversion"/>
  </si>
  <si>
    <t>닭고기(국산)46.18%, 양파(국산), 빵가루(밀:미국산,호주산), 식물성유지(수입), 마늘, 설탕, 정제소금/ 데리야끼소스(정제수, 설탕, 양조간장, 천일염, 치킨농축액).5.6.15.18.</t>
    <phoneticPr fontId="12" type="noConversion"/>
  </si>
  <si>
    <t>&amp; 레몬크림소스</t>
    <phoneticPr fontId="12" type="noConversion"/>
  </si>
  <si>
    <t>파르펠레면[듀럼밀세몰리나(밀)100%이탈리아산)]60%, 방울토마토(국내산)15%, 치커리, 블랙올리브, 파마산치즈가루, 오리엔탈드레싱, 레몬즙</t>
    <phoneticPr fontId="12" type="noConversion"/>
  </si>
  <si>
    <t>*파르펠레냉파스타:30g</t>
    <phoneticPr fontId="12" type="noConversion"/>
  </si>
  <si>
    <r>
      <rPr>
        <b/>
        <sz val="10"/>
        <color indexed="23"/>
        <rFont val="돋움"/>
        <family val="3"/>
        <charset val="129"/>
      </rPr>
      <t>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쌀(국산),현미(국산. 친환경), 찰흑미(국산. 친환경), 찰보리(국산. 친환경), 
소고기(호주산), 돈육(국산), 목살(폭찹스테이크:미국산), 닭고기(국산. 무항생제), 닭정육(닭다리살:국산, 브라질산), 훈제오리(무항생제.국산)
배추김치(국산 종가집.하선정), 깍두기(무,고추가루:국산), 
오징어(국산,페루산,미국산, 칠레산), 낙지(베트남산), 새우젓(새우:국내산), 바지락살(중국산), 채소류(국산), 국용채소류(국산/단,기후변화 등 이슈로 국산 수급이 어려울경우:중국산)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
영양사 : 천은혜</t>
    </r>
    <phoneticPr fontId="36" type="noConversion"/>
  </si>
  <si>
    <t>한입쌀떡볶이(동성식품), 문어모양비엔나(진주햄)</t>
    <phoneticPr fontId="12" type="noConversion"/>
  </si>
  <si>
    <t>수제고구마맛탕</t>
    <phoneticPr fontId="12" type="noConversion"/>
  </si>
  <si>
    <t>논우렁살된장찌개</t>
    <phoneticPr fontId="12" type="noConversion"/>
  </si>
  <si>
    <t>메추리알(국산)70%, 소고기(호주산)7%, 정제수, 맛술, 통후추, 월계수잎, 간장, 설탕, 물엿, 참기름, 참깨</t>
    <phoneticPr fontId="12" type="noConversion"/>
  </si>
  <si>
    <t>.1.5.16.21.</t>
    <phoneticPr fontId="12" type="noConversion"/>
  </si>
  <si>
    <t>미소장국</t>
    <phoneticPr fontId="12" type="noConversion"/>
  </si>
  <si>
    <t>호박(국산)70%, 느타리버섯(국산)15%, 당근, 파, 마늘, 대두유, 소금, 참치액, 참기름, 참깨</t>
    <phoneticPr fontId="12" type="noConversion"/>
  </si>
  <si>
    <t>열무된장국</t>
    <phoneticPr fontId="12" type="noConversion"/>
  </si>
  <si>
    <t>시금치(중국산)23%, 양파, 대파, 마늘, 정제수, 된장, 국간장, 멸치육수농축액, 소금</t>
    <phoneticPr fontId="12" type="noConversion"/>
  </si>
  <si>
    <t>열무(국산)18%, 두부(대두:수입산), 양파, 파, 마늘, 된장, 멸치육수농축액, 국간장, 정제수, 소금</t>
    <phoneticPr fontId="12" type="noConversion"/>
  </si>
  <si>
    <t>닭고기(국산)12%, 무(국산)10%, 곰탕육수(정제수, 황기, 대추, 당귀, 헛개나무, 엄나무, 오가피:국산), 파, 마늘, 소금</t>
    <phoneticPr fontId="12" type="noConversion"/>
  </si>
  <si>
    <t>불고기잡채</t>
    <phoneticPr fontId="12" type="noConversion"/>
  </si>
  <si>
    <t>당면(원료수입산)60%, 소고기(호주산)25%, 양파, 당근, 표고버섯, 부추, 대두유, 간장, 설탕, 참기름, 참깨</t>
    <phoneticPr fontId="12" type="noConversion"/>
  </si>
  <si>
    <t>.5.10.12.21.</t>
    <phoneticPr fontId="12" type="noConversion"/>
  </si>
  <si>
    <t>논우렁살(우렁:베트남산), 모둠채소(호박, 양파, 감자:국산)25%, 두부(콩:미국,호주,캐나다등)8%, 파, 마늘, 된장, 멸치육수농축액, 정제수, 소금</t>
    <phoneticPr fontId="12" type="noConversion"/>
  </si>
  <si>
    <t>가지(국내산)86%, 소고기(호주산)5%, 파, 마늘, 간장, 맛술, 후추, 소금, 참기름, 참깨</t>
    <phoneticPr fontId="12" type="noConversion"/>
  </si>
  <si>
    <t>돼지고기(미국산)83%, 피망(국산)2%, 파프리카(국산)3%, 양파(국산)2%, 당근, 바베큐소스, 후추, 참기름</t>
    <phoneticPr fontId="12" type="noConversion"/>
  </si>
  <si>
    <t>.5.10.12.13.21.</t>
    <phoneticPr fontId="12" type="noConversion"/>
  </si>
  <si>
    <t>돈채시금치볶음</t>
    <phoneticPr fontId="12" type="noConversion"/>
  </si>
  <si>
    <t>돼지고기(국산)57.5%, 양파(국산)10%, 시금치(국산)5%, 당근(국산)2.5%, 소스(마늘, 간장, 설탕, 후추, 대두유, 참기름, 참깨)25%</t>
    <phoneticPr fontId="12" type="noConversion"/>
  </si>
  <si>
    <t>고등어카레구이</t>
    <phoneticPr fontId="12" type="noConversion"/>
  </si>
  <si>
    <t>고등어(국산)95%, 카레가루, 대두유, 소금</t>
    <phoneticPr fontId="12" type="noConversion"/>
  </si>
  <si>
    <t>.2.5.6.7.12.16.18.</t>
    <phoneticPr fontId="12" type="noConversion"/>
  </si>
  <si>
    <t>쌀밥(쌀:국산)85%, 햄(돼지고기:국산)3%, 스크램블(계란:국산)2.5%, 혼합채소4종(,당근,양파,:국산)3%, 대두유, 소금, 간장, 참기름,참깨</t>
    <phoneticPr fontId="12" type="noConversion"/>
  </si>
  <si>
    <t>청포묵(원료수입산)90%, 계란지단(국산), 오이, 당근, 소금, 간장, 참기름, 참깨</t>
    <phoneticPr fontId="12" type="noConversion"/>
  </si>
  <si>
    <t>크로와상샌드위치</t>
    <phoneticPr fontId="12" type="noConversion"/>
  </si>
  <si>
    <t>.1.2.5.6.10.12.16.</t>
    <phoneticPr fontId="12" type="noConversion"/>
  </si>
  <si>
    <t>양파(국산)15%,해산물[칵테일새우(베트남산), 솔방울오징어(중국산), 갑오징어(베트남산)]8%, 돈육(국산)5%, 양배추, 감자, 당근, 대파, 마늘, 대두유 ,춘장, 짜장분말, 정제수, 전분</t>
    <phoneticPr fontId="12" type="noConversion"/>
  </si>
  <si>
    <t>양파(국산)18%, 돈육(국산)11.9%, 양배추, 감자, 당근, 대파, 마늘, 대두유 ,춘장, 짜장분말, 정제수, 전분</t>
    <phoneticPr fontId="12" type="noConversion"/>
  </si>
  <si>
    <t>양파(국산)18%, 소고기(호주산)11.9%, 양배추, 감자, 당근, 대파, 마늘, 대두유 ,춘장, 짜장분말, 정제수, 전분</t>
    <phoneticPr fontId="12" type="noConversion"/>
  </si>
  <si>
    <t>닭고기(국산)14.5%, 양파(국산)20.8%, 감자, 당근, 코코넛밀크(코코넛75%, 정제수)20%, 카레분말11.1%, 정제수, 대두유</t>
    <phoneticPr fontId="12" type="noConversion"/>
  </si>
  <si>
    <t>미역줄기(국산)90.1%, 당근, 마늘, 대두유, 간장, 소금, 참기름, 참깨</t>
    <phoneticPr fontId="12" type="noConversion"/>
  </si>
  <si>
    <t>크로와상[(밀:미국.캐나다산), 마가린, 정제소금(국내산)], 슬라이스햄. 치즈. 미니로메인, 머스터드, 마요네즈</t>
    <phoneticPr fontId="12" type="noConversion"/>
  </si>
  <si>
    <t>쌀국수</t>
    <phoneticPr fontId="12" type="noConversion"/>
  </si>
  <si>
    <t>건면(쌀90%, 정제수 : 필리핀산)</t>
    <phoneticPr fontId="12" type="noConversion"/>
  </si>
  <si>
    <t>양배추(국산)70%, 유자청(유자:국산, 백설탕), 레몬즙, 올리브오일, 소금</t>
    <phoneticPr fontId="12" type="noConversion"/>
  </si>
  <si>
    <t>모둠과일[사과(국산), 방울토마토(국산), 파인애플(청크/필리핀산), 오이, 당근]80%, 건포도, 마요네즈, 설탕, 소금</t>
    <phoneticPr fontId="12" type="noConversion"/>
  </si>
  <si>
    <t>채소계란찜</t>
    <phoneticPr fontId="12" type="noConversion"/>
  </si>
  <si>
    <t>계란(국산)46.2%, 쪽파, 당근, 정제수, 우유, 소금</t>
    <phoneticPr fontId="12" type="noConversion"/>
  </si>
  <si>
    <t>차돌숙주볶음</t>
    <phoneticPr fontId="12" type="noConversion"/>
  </si>
  <si>
    <t>.5.6.16.18.21.</t>
    <phoneticPr fontId="12" type="noConversion"/>
  </si>
  <si>
    <t>*소고기가지볶음 : 30g</t>
    <phoneticPr fontId="12" type="noConversion"/>
  </si>
  <si>
    <t>닭다리오븐구이</t>
    <phoneticPr fontId="12" type="noConversion"/>
  </si>
  <si>
    <t>닭다리(닭고기:국산), 맛술, 소금, 월계수잎, 대두유</t>
    <phoneticPr fontId="12" type="noConversion"/>
  </si>
  <si>
    <t>비프하이라이스소스</t>
    <phoneticPr fontId="12" type="noConversion"/>
  </si>
  <si>
    <t>양파(국산)20.8%, 소고기(호주산)11.9%, 당근, 감자, 후추, 대두유, 하이라이스분말, 정제수</t>
    <phoneticPr fontId="12" type="noConversion"/>
  </si>
  <si>
    <t>유부다시국</t>
    <phoneticPr fontId="12" type="noConversion"/>
  </si>
  <si>
    <t>.1.2.5.6.10.15.16.</t>
    <phoneticPr fontId="12" type="noConversion"/>
  </si>
  <si>
    <t>팽이미소국</t>
    <phoneticPr fontId="12" type="noConversion"/>
  </si>
  <si>
    <t>청경채숙주나물</t>
    <phoneticPr fontId="12" type="noConversion"/>
  </si>
  <si>
    <t>숙주나물(원료수입산)83%, 청경채(국산)7%, 마늘, 파, 참치액, 소금, 참기름, 참깨</t>
    <phoneticPr fontId="12" type="noConversion"/>
  </si>
  <si>
    <t>멸치(국산)79.9%, 대두유, 간장, 맛술, 물엿, 참기름, 참깨</t>
    <phoneticPr fontId="12" type="noConversion"/>
  </si>
  <si>
    <t>.2.5.6.15.16.21.</t>
    <phoneticPr fontId="12" type="noConversion"/>
  </si>
  <si>
    <t>불고기피자</t>
  </si>
  <si>
    <t>전복버터구이</t>
    <phoneticPr fontId="12" type="noConversion"/>
  </si>
  <si>
    <t>닭날개오븐구이</t>
    <phoneticPr fontId="12" type="noConversion"/>
  </si>
  <si>
    <t>닭날개(국산)95%, 맛술, 소금, 후추</t>
    <phoneticPr fontId="12" type="noConversion"/>
  </si>
  <si>
    <t>전복(국산)97%, 버터, 소금, 파슬리가루</t>
    <phoneticPr fontId="12" type="noConversion"/>
  </si>
  <si>
    <t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t>
  </si>
  <si>
    <t>.1.2.5.6.12.16.</t>
  </si>
  <si>
    <t>이색무채나물</t>
    <phoneticPr fontId="12" type="noConversion"/>
  </si>
  <si>
    <t>돈수육[돼지고기(앞다리살, 뒷다리살 : 국산), 된장,한방재료(황기,대추,당귀,헛개나무, 엄나무,오가피:국산), 월계수잎, 맛술, 마늘, 양파, 대파, 통후추, 생강가루, 정제소금, 정제수]99%</t>
    <phoneticPr fontId="12" type="noConversion"/>
  </si>
  <si>
    <t>과드라불고기피자(M&amp;F)</t>
    <phoneticPr fontId="12" type="noConversion"/>
  </si>
  <si>
    <t>세멸치엿장조림</t>
    <phoneticPr fontId="12" type="noConversion"/>
  </si>
  <si>
    <t>돈까스 [돼지고기(국산)29.38%, 닭고기(국산)21.15%, 정제수, 밀가루, 옥수수전분, 정제소금, 흑후추, 마늘], 대두유</t>
    <phoneticPr fontId="12" type="noConversion"/>
  </si>
  <si>
    <t>중식소고기볶음</t>
    <phoneticPr fontId="12" type="noConversion"/>
  </si>
  <si>
    <t>비트무생채</t>
    <phoneticPr fontId="12" type="noConversion"/>
  </si>
  <si>
    <t xml:space="preserve">무(국산)93%, 비트(국산)2%, 설탕, 소금, 식초 </t>
    <phoneticPr fontId="12" type="noConversion"/>
  </si>
  <si>
    <t>소고기낙지전골</t>
    <phoneticPr fontId="12" type="noConversion"/>
  </si>
  <si>
    <t>크래미오이초무침</t>
    <phoneticPr fontId="12" type="noConversion"/>
  </si>
  <si>
    <t>닭봉삼계탕</t>
    <phoneticPr fontId="12" type="noConversion"/>
  </si>
  <si>
    <t>소고기(호주산)75%, 떡국떡(쌀:외국산)12%, 파, 마늘, 간장, 설탕, 맛술, 후추, 참기름, 참깨</t>
    <phoneticPr fontId="12" type="noConversion"/>
  </si>
  <si>
    <t>소고기(호주산)75%, 새송이버섯(국산)10%, 황금팽이버섯(국산)2%, 당근, 대파, 마늘, 간장, 맛술, 참기름, 후추, 참깨</t>
    <phoneticPr fontId="12" type="noConversion"/>
  </si>
  <si>
    <t>목살소금구이</t>
    <phoneticPr fontId="12" type="noConversion"/>
  </si>
  <si>
    <t>감자말이새우[(감자58.1%, 동방실꼬리돔22.6%새우16%, , 마늘, 설탕, 소금, 후추, 타피오카전분. 대두유)원산지:베트남]</t>
    <phoneticPr fontId="12" type="noConversion"/>
  </si>
  <si>
    <t>돼지고기(국산)55%, 오징어(원양산)10%, 양파, 당근, 대파, 마늘, 간장, 맛술, 후추, 설탕, 참기름, 참깨</t>
    <phoneticPr fontId="12" type="noConversion"/>
  </si>
  <si>
    <t>브로콜리닭볶음</t>
    <phoneticPr fontId="12" type="noConversion"/>
  </si>
  <si>
    <t>닭(가슴살.다리살:국산)75%, 브로콜리(국산)5%, 당근, 파, 마늘, 맛술, 후추, 간장, 설탕, 참기름, 참깨</t>
    <phoneticPr fontId="12" type="noConversion"/>
  </si>
  <si>
    <t>맑은닭곰탕</t>
    <phoneticPr fontId="12" type="noConversion"/>
  </si>
  <si>
    <t>닭고기(국산)12%, 무(국산)10%, 정제수, 파, 마늘, 소금</t>
    <phoneticPr fontId="12" type="noConversion"/>
  </si>
  <si>
    <t>닭고기(닭다리살, 닭가슴살:국산)80%,양파, 당근, 파, 마늘, 정제수, 간장, 데리야끼소스(시판용), 후추, 소금</t>
    <phoneticPr fontId="12" type="noConversion"/>
  </si>
  <si>
    <t>코코넛새우꼬치</t>
    <phoneticPr fontId="12" type="noConversion"/>
  </si>
  <si>
    <t>[새우40%, 빵가루22.5%(밀가루,팜유,설탕,정제소금), 버터믹스20.5%(밀가루, 타피오카전분, 설탕,정제소금,팜유), 코코넛플레이크7%, 팜유5%]미얀마산</t>
    <phoneticPr fontId="12" type="noConversion"/>
  </si>
  <si>
    <t>코코넛새우꼬치(에이치푸드서플라이)</t>
    <phoneticPr fontId="12" type="noConversion"/>
  </si>
  <si>
    <t>마요네즈(오뚜기)</t>
    <phoneticPr fontId="12" type="noConversion"/>
  </si>
  <si>
    <t>새송이(국산)71.4%, 표고버섯, 정제수, 간장, 물엿, 참깨</t>
    <phoneticPr fontId="12" type="noConversion"/>
  </si>
  <si>
    <t>제육쌈장두루치기</t>
    <phoneticPr fontId="12" type="noConversion"/>
  </si>
  <si>
    <t>돼지고기(국산)80%, 양배추(국산)5%, 정제수,, 당근, 대파, 마늘, 쌈장, 간장, 맛술, 참기름, 후추</t>
    <phoneticPr fontId="12" type="noConversion"/>
  </si>
  <si>
    <t>양배추유자청샐러드</t>
    <phoneticPr fontId="12" type="noConversion"/>
  </si>
  <si>
    <t>몽골리안포크</t>
    <phoneticPr fontId="12" type="noConversion"/>
  </si>
  <si>
    <t>바베큐소스(이츠웰)</t>
    <phoneticPr fontId="12" type="noConversion"/>
  </si>
  <si>
    <t>김자반</t>
    <phoneticPr fontId="12" type="noConversion"/>
  </si>
  <si>
    <t>닭살새송이볶음</t>
    <phoneticPr fontId="12" type="noConversion"/>
  </si>
  <si>
    <t>마카로니(듀럼밀100%)75%, 다진파인애플(수입)10%, 오이, 소금, 마요네즈</t>
    <phoneticPr fontId="12" type="noConversion"/>
  </si>
  <si>
    <t>목살데리야끼구이</t>
    <phoneticPr fontId="12" type="noConversion"/>
  </si>
  <si>
    <t>목살(국산)85%, 데리야끼소스, 파, 마늘, 맛술, 후추, 참깨</t>
    <phoneticPr fontId="12" type="noConversion"/>
  </si>
  <si>
    <t>누들떡(밀:수입산)45%, 어묵(원료수입산)10%, 비엔나소세지(돼지고기,닭고기:국산), 메추리알(국산)., 양파, 당근, 파, 마늘, 정제수, 고추장, 설탕, 간장, 물엿</t>
    <phoneticPr fontId="12" type="noConversion"/>
  </si>
  <si>
    <t>2.5.6.10.15.16.</t>
    <phoneticPr fontId="12" type="noConversion"/>
  </si>
  <si>
    <t>[돼지고기(지방일부사용:국산), 닭고기(국산), 밀가루(밀:미국산,호주산), 정제수, 천일염(호주산92%, 국산8%), 쇼트닝, 옥수수전분, 콩기름, 양파, 마늘 등]</t>
    <phoneticPr fontId="12" type="noConversion"/>
  </si>
  <si>
    <t>하트꼬마돈카츠(크레잇)</t>
    <phoneticPr fontId="12" type="noConversion"/>
  </si>
  <si>
    <t>하트돈카츠</t>
    <phoneticPr fontId="12" type="noConversion"/>
  </si>
  <si>
    <t>알찬녹두전(사옹원)</t>
    <phoneticPr fontId="12" type="noConversion"/>
  </si>
  <si>
    <t>[불린동부(동부콩:미얀마,미국,중국)38.2%, 숙주(녹두:중국산), 불린녹두(녹두:미얀마,호주,중국),배추김치, 마늘, 파, 새우젓, 정제수, 정제소금, 대두유]</t>
    <phoneticPr fontId="12" type="noConversion"/>
  </si>
  <si>
    <t>.2.5.6.8.9.17.18.</t>
    <phoneticPr fontId="12" type="noConversion"/>
  </si>
  <si>
    <t>돼지고기(국산)83%, 양파, 홍피망, 청경채, 간장, 노두유, 설탕, 치킨스톡, 마늘, 정제수, 전분, 후추, 소금, 참기름</t>
    <phoneticPr fontId="12" type="noConversion"/>
  </si>
  <si>
    <t>계란(국산)20%, 표고(국산)3%, 파, 마늘, 멸치육수농축액, 정제수, 소금</t>
    <phoneticPr fontId="12" type="noConversion"/>
  </si>
  <si>
    <t>닭정육(닭가슴살.닭다리살:국산)75%, 양배추, 양파, 당근, 부추, 대두유, 맛술, 후추, 춘장, 소금, 설탕, 파, 마늘, 참기름, 참깨</t>
    <phoneticPr fontId="12" type="noConversion"/>
  </si>
  <si>
    <t>눈꽃치즈팝콘치킨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</si>
  <si>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대두유}98%, 눈꽃치즈(모짜렐라99%)2%</t>
    <phoneticPr fontId="12" type="noConversion"/>
  </si>
  <si>
    <t>팝콘치킨(튼튼스쿨). 눈꽃치즈(도노)</t>
    <phoneticPr fontId="12" type="noConversion"/>
  </si>
  <si>
    <t>.5.</t>
    <phoneticPr fontId="12" type="noConversion"/>
  </si>
  <si>
    <t>몽글순두부(풀무원)</t>
    <phoneticPr fontId="12" type="noConversion"/>
  </si>
  <si>
    <t>{동물복지닭고기(닭가슴살:국산)63.38%, 정제수, 정제소금, 치킨브레더[옥수수전분(옥수수:외국산), 밀가루(밀:미극산,호주산)], 마늘, 양파, 정제소금, 대두유}</t>
    <phoneticPr fontId="12" type="noConversion"/>
  </si>
  <si>
    <t>모둠채소(치커리, 양배추, 당근, 적채,  : 국산)65%, 사과(국산)3%, 소스[유자청(유자:국산.백설탕), 레몬즙, 올리브오일, 소금]8.5%</t>
    <phoneticPr fontId="12" type="noConversion"/>
  </si>
  <si>
    <t>열무김치</t>
    <phoneticPr fontId="12" type="noConversion"/>
  </si>
  <si>
    <t>.9.</t>
    <phoneticPr fontId="12" type="noConversion"/>
  </si>
  <si>
    <t>열무김치(종가김치)</t>
    <phoneticPr fontId="12" type="noConversion"/>
  </si>
  <si>
    <t>젤리스틱망고</t>
    <phoneticPr fontId="12" type="noConversion"/>
  </si>
  <si>
    <t>[정제수, 유기황설탕(유기사탕수수100%)18%, 망고농축액(망고100%.이스라엘산), 파인애플농축액(파인애츨100%.태국산), 분말한천(한천100%국산)., 유기농프락토올리고당(유기농설탕100%), 비타민C]</t>
    <phoneticPr fontId="12" type="noConversion"/>
  </si>
  <si>
    <t>검은콩(중국산)77%, 해바라기씨(중국산)5%, 간장, 물엿, 설탕, 참기름, 참깨</t>
    <phoneticPr fontId="12" type="noConversion"/>
  </si>
  <si>
    <t>청경채나물</t>
    <phoneticPr fontId="12" type="noConversion"/>
  </si>
  <si>
    <t>청경채(국산)80%, 마늘, 국간장, 참치액. 소금. 참기름, 참깨</t>
    <phoneticPr fontId="12" type="noConversion"/>
  </si>
  <si>
    <t>꼰낄리에로제파스타</t>
    <phoneticPr fontId="12" type="noConversion"/>
  </si>
  <si>
    <t>꼰낄리에(듀럼밀100%.이탈리아산)65%, 모둠해물(쭈꾸미, 농조개살, 갑오징어, 한치, 새우살 : 베트남산)12%, 양파, 피망, 토마토소스, 우유, 생크림, 마늘, 올리브오일, 소금, 후추, 바질</t>
    <phoneticPr fontId="12" type="noConversion"/>
  </si>
  <si>
    <t>토마토소스(이츠웰), 꼰낄리에리가테(42번. 룸모), 해물모둠(이츠웰)</t>
    <phoneticPr fontId="12" type="noConversion"/>
  </si>
  <si>
    <t>보쌈수육</t>
    <phoneticPr fontId="12" type="noConversion"/>
  </si>
  <si>
    <t>애호박버섯볶음</t>
    <phoneticPr fontId="12" type="noConversion"/>
  </si>
  <si>
    <t>얼갈이나물</t>
    <phoneticPr fontId="12" type="noConversion"/>
  </si>
  <si>
    <t>양념치킨</t>
    <phoneticPr fontId="12" type="noConversion"/>
  </si>
  <si>
    <t>참치 [가다랑어 (원양산:태평양) 74.47%]70%, 모둠채소[당근, 양파, 완두콩]12%, 소금, 설탕, 마요네즈, 레몬즙</t>
    <phoneticPr fontId="12" type="noConversion"/>
  </si>
  <si>
    <t>소고기(호주산)12%, 알배추(국산)7%, 느타리(국산), 청경채(국산), 대파, 마늘, 간장, 정제수, 소금</t>
    <phoneticPr fontId="12" type="noConversion"/>
  </si>
  <si>
    <t xml:space="preserve"> 요거트드레싱(유산균음료, 정제수, 마요네즈, 난황맥, 대두유)</t>
    <phoneticPr fontId="12" type="noConversion"/>
  </si>
  <si>
    <t>&amp; 요거트드레싱</t>
    <phoneticPr fontId="12" type="noConversion"/>
  </si>
  <si>
    <t>떡류[쌀(국산)98%, 정제수, 정제소금(국산)]55%, 소시지[돼지고기(지방일부사용.국산)85.22%,옥수수전분, 정제소금,떡갈비양념장]45%</t>
    <phoneticPr fontId="12" type="noConversion"/>
  </si>
  <si>
    <t>쌀밥(쌀:국산)85%, 소민찌(소고기:호주산)2.5%, 감자, 당근, 양파, 피망, 대두유, 간장, 소금, 참기름, 참깨</t>
    <phoneticPr fontId="12" type="noConversion"/>
  </si>
  <si>
    <t>방울토마토(국산)55%, 보코치니치즈(모짜렐라치즈:미국산)20%, 청포도(페루산), 파인애플청크(수입산), 샐러드채소(치커리, 어린잎채소:국산)12%, 오리엔탈드레싱13%</t>
    <phoneticPr fontId="12" type="noConversion"/>
  </si>
  <si>
    <t>목화솜탕수육</t>
    <phoneticPr fontId="12" type="noConversion"/>
  </si>
  <si>
    <t>도토리묵채소무침</t>
    <phoneticPr fontId="12" type="noConversion"/>
  </si>
  <si>
    <t>도토리묵(원료수입산)85%, 오이, 당근, 마늘, 간장, 소금, 설탕, 참기름, 참깨</t>
    <phoneticPr fontId="12" type="noConversion"/>
  </si>
  <si>
    <t>미소된장제육</t>
    <phoneticPr fontId="12" type="noConversion"/>
  </si>
  <si>
    <t>미소된장(범일)</t>
    <phoneticPr fontId="12" type="noConversion"/>
  </si>
  <si>
    <t>햄에그롤</t>
    <phoneticPr fontId="12" type="noConversion"/>
  </si>
  <si>
    <t>계란(전락액59.6%, 난백액18.41% :국산), 프레스햄[(돼지고기(국산),돈지방(국산), 설탕]16%, 정제소금, 다시마엑기스, 양조간장, 소고기다시</t>
    <phoneticPr fontId="12" type="noConversion"/>
  </si>
  <si>
    <t>.1.2.5.6.10.16.</t>
    <phoneticPr fontId="12" type="noConversion"/>
  </si>
  <si>
    <t>동그랑땡</t>
    <phoneticPr fontId="12" type="noConversion"/>
  </si>
  <si>
    <t>계란옷 입은 고기완자(사옹원)</t>
    <phoneticPr fontId="12" type="noConversion"/>
  </si>
  <si>
    <t>고기완자[돼지고기(국산), 두부(대두(미국,캐나다,호주 등), 양파(중국산), 정제수, 돼지지방(국산), 당근, 대두유, 파, 부추, 곡류가공품, 전란분(미국산), 간장,설탕, 정제소금, 전란액(국산), 치자황색소], 대두유</t>
    <phoneticPr fontId="12" type="noConversion"/>
  </si>
  <si>
    <t>호박잎된장국</t>
    <phoneticPr fontId="12" type="noConversion"/>
  </si>
  <si>
    <t>깍두기(고추가루, 배추:국산)18%, 돼지고기(국산)7%, 두부(원료수입산), 양파, 대파, 마늘, 정제수, 멸치육수농축액, 소금</t>
    <phoneticPr fontId="12" type="noConversion"/>
  </si>
  <si>
    <t>순두부(대두:수입산)15%, 호박, 파, 마늘, 새우젓(새우,소금:국산), 멸치육수농축액, 정제수, 소금</t>
    <phoneticPr fontId="12" type="noConversion"/>
  </si>
  <si>
    <t>두부조림</t>
    <phoneticPr fontId="12" type="noConversion"/>
  </si>
  <si>
    <t>두부(대두:미국.캐나다.호주 등), 들기름, 간장, 마늘, 파, 맛술, 전분물, 참깨</t>
    <phoneticPr fontId="12" type="noConversion"/>
  </si>
  <si>
    <t>오이초무침</t>
    <phoneticPr fontId="12" type="noConversion"/>
  </si>
  <si>
    <t>감자계란국</t>
    <phoneticPr fontId="12" type="noConversion"/>
  </si>
  <si>
    <t>건맛살채볶음</t>
    <phoneticPr fontId="12" type="noConversion"/>
  </si>
  <si>
    <t>.1.5.6.10.</t>
    <phoneticPr fontId="12" type="noConversion"/>
  </si>
  <si>
    <t>[오징어29.62%, 문어3%, 파래0.12%, 정제수, 밀가루, 밀전분, 양파, 옥수수전분, 설탕, 후추]중국산, 대두유</t>
    <phoneticPr fontId="12" type="noConversion"/>
  </si>
  <si>
    <t>파래해물까스(아이엠푸드)</t>
    <phoneticPr fontId="12" type="noConversion"/>
  </si>
  <si>
    <t>.5.6.12.15.21.</t>
    <phoneticPr fontId="12" type="noConversion"/>
  </si>
  <si>
    <t>강서폴리
소풍</t>
    <phoneticPr fontId="12" type="noConversion"/>
  </si>
  <si>
    <t>풍요한아침 햄에그롤(풍림푸드)/15g / 160원</t>
    <phoneticPr fontId="12" type="noConversion"/>
  </si>
  <si>
    <t>만두[전분가공품(원료수입산)23.23%, 돼지고기(국산)19.72%, 부추(중국,국산)14.87%]95%, 간장, 참기름</t>
  </si>
  <si>
    <t xml:space="preserve">소고기(호주산)35%, 채소(감자,당근,양파:국산)25%, 정제수, 베이크드빈스, 토마토홀, 토마토소스, 맛술, 치킨스톡, 버터, 소금 </t>
    <phoneticPr fontId="12" type="noConversion"/>
  </si>
  <si>
    <t xml:space="preserve">돼지고기(국산)35%, 채소(감자,당근,양파:국산)25%, 정제수, 베이크드빈스, 토마토홀, 토마토소스, 맛술, 치킨스톡, 버터, 소금 </t>
    <phoneticPr fontId="12" type="noConversion"/>
  </si>
  <si>
    <t xml:space="preserve">닭고기(국산)35%, 채소(감자,당근,양파:국산)25%, 정제수, 베이크드빈스, 토마토홀, 토마토소스, 맛술, 치킨스톡, 버터, 소금 </t>
    <phoneticPr fontId="12" type="noConversion"/>
  </si>
  <si>
    <t>국물떡볶이</t>
    <phoneticPr fontId="12" type="noConversion"/>
  </si>
  <si>
    <t>.5.10.</t>
    <phoneticPr fontId="12" type="noConversion"/>
  </si>
  <si>
    <t>*한입해쉬브라운 : 9g(개당)</t>
    <phoneticPr fontId="12" type="noConversion"/>
  </si>
  <si>
    <t>당면(원료수입)60%, 훈제오리(국산)30%, 양파, 청피망, 당근, 표고버섯, 대두유, 간장, 설탕, 참기름, 참깨</t>
    <phoneticPr fontId="12" type="noConversion"/>
  </si>
  <si>
    <t>훈제닭[닭(국산)97.7%, 훈제오리시즈닝, 비프분말(소고기:호주산), 정제소금, 설탕]80%, 양배추(국산)7%, 마늘, 간장, 맛술, 물엿, 참기름, 참깨</t>
    <phoneticPr fontId="12" type="noConversion"/>
  </si>
  <si>
    <t>베이컨떡볶음</t>
    <phoneticPr fontId="12" type="noConversion"/>
  </si>
  <si>
    <t>건새우무채나물</t>
    <phoneticPr fontId="12" type="noConversion"/>
  </si>
  <si>
    <t>.5.9.21.</t>
    <phoneticPr fontId="12" type="noConversion"/>
  </si>
  <si>
    <t>에그타르트</t>
    <phoneticPr fontId="12" type="noConversion"/>
  </si>
  <si>
    <t>우리밀 에그타르트(이츠웰)</t>
    <phoneticPr fontId="12" type="noConversion"/>
  </si>
  <si>
    <t>우리밀(밀:국내산), 가공버터(뉴질렌드산), 식물성유지, 크림, 버터밀크분말, 우유, 난황액(계란:국산), 설탕, 정제소금</t>
    <phoneticPr fontId="12" type="noConversion"/>
  </si>
  <si>
    <t>.1.2.5.6.</t>
    <phoneticPr fontId="12" type="noConversion"/>
  </si>
  <si>
    <t>빵류[{소시지(미국산/돼지고기},{핫도그믹스(밀:미국,호주산),혼합탈지분유(네덜란드산)},빵가루{밀가루(밀:미국산,호주산)},대두유,난백액},곡류가공품{찹쌀(국산)100%}]</t>
    <phoneticPr fontId="12" type="noConversion"/>
  </si>
  <si>
    <t>크리스피쌀핫도그(잔슨빌)</t>
    <phoneticPr fontId="12" type="noConversion"/>
  </si>
  <si>
    <t>크리스피쌀핫도그</t>
    <phoneticPr fontId="12" type="noConversion"/>
  </si>
  <si>
    <t>돼지고기(삼겹살:국산), 소금, 후추</t>
    <phoneticPr fontId="12" type="noConversion"/>
  </si>
  <si>
    <t>.10.</t>
    <phoneticPr fontId="12" type="noConversion"/>
  </si>
  <si>
    <t>뿌링클치킨</t>
    <phoneticPr fontId="12" type="noConversion"/>
  </si>
  <si>
    <t>순살치킨[닭고기(닭다리살:브라질산)64.76%,밀가루(밀:호주산,미국산),옥수수전분(옥수수:외국산), 대두유]95%, 치즈시즈닝[(치즈혼합분말:미국산,호주산)15.58%,(스트롱체다치즈분말:덴마크산)0.5%]5%</t>
    <phoneticPr fontId="12" type="noConversion"/>
  </si>
  <si>
    <t>치즈시즈닝(상상푸드)</t>
    <phoneticPr fontId="12" type="noConversion"/>
  </si>
  <si>
    <t>&amp; 케찹</t>
    <phoneticPr fontId="12" type="noConversion"/>
  </si>
  <si>
    <t>정제수. 토마토페잉스트(미국.칠레.중국 등)24%, 발표식초. 정제소금(국산), 설탕</t>
    <phoneticPr fontId="12" type="noConversion"/>
  </si>
  <si>
    <t>토마토소스(오뚜기)</t>
  </si>
  <si>
    <t>고구마(국산)87%, 대두유, 올리고당, 설탕, 간장, 흑임자</t>
    <phoneticPr fontId="12" type="noConversion"/>
  </si>
  <si>
    <t>무(국산)90.9%, 건새우(국내산)2.5%, 대파, 마늘, 대두유, 소금, 참기름, 참깨</t>
    <phoneticPr fontId="12" type="noConversion"/>
  </si>
  <si>
    <t>김치(고추가루, 배추:국산)18%, 돼지고기(목살:국산)25%, 두부(원료수입산), 양파, 대파, 마늘, 정제수, 국간장, 소금</t>
    <phoneticPr fontId="12" type="noConversion"/>
  </si>
  <si>
    <t>백김치(정우식품)</t>
    <phoneticPr fontId="12" type="noConversion"/>
  </si>
  <si>
    <t>닭정육(국산)78%, 총알새송이(국산), 마늘, 정제수, 우유, 생크림, 토마토소스, 크림베이스소스, 소금, 파슬리가루</t>
    <phoneticPr fontId="12" type="noConversion"/>
  </si>
  <si>
    <t>감자된장국</t>
    <phoneticPr fontId="12" type="noConversion"/>
  </si>
  <si>
    <t>계란(국산)20%, 대파(국산)2%, 마늘, 멸치육수농축액, 정제수, 소금</t>
    <phoneticPr fontId="12" type="noConversion"/>
  </si>
  <si>
    <t>계란(국산)18.7%, 게살(국산)3.5%, 팽이버섯, 파, 마늘, 멸치육수농축액, 정제수, 녹말가루, 소금, 참기름</t>
    <phoneticPr fontId="12" type="noConversion"/>
  </si>
  <si>
    <t>두부튀김</t>
    <phoneticPr fontId="12" type="noConversion"/>
  </si>
  <si>
    <t>메추리알(국산)45%,돼지고기(국산)35%,  파인애플(전처리용), 정제수, 생강가루, 월계수잎, 간장, 설탕, 맛술, 물엿, 참기름, 후추</t>
    <phoneticPr fontId="12" type="noConversion"/>
  </si>
  <si>
    <t>두부(대두:미국.캐나다.중국 등)56.25%,정제소금(국내산),생빵가루[(밀:미국산.캐나다산), 팜유(말레이시아산), 효모, 전분, 정제소금],쌀가루,대두유</t>
    <phoneticPr fontId="12" type="noConversion"/>
  </si>
  <si>
    <t>건파래김(국산)85.4%, 대두유, 들기름, 설탕, 맛소금, 참깨</t>
    <phoneticPr fontId="12" type="noConversion"/>
  </si>
  <si>
    <t>팝콘치킨강정</t>
    <phoneticPr fontId="12" type="noConversion"/>
  </si>
  <si>
    <t>*족발부추무침 : 45g, 55g</t>
    <phoneticPr fontId="12" type="noConversion"/>
  </si>
  <si>
    <t>*춘장닭불고기 : 70g / 80g</t>
    <phoneticPr fontId="12" type="noConversion"/>
  </si>
  <si>
    <t>소고기계란덮밥소스</t>
    <phoneticPr fontId="12" type="noConversion"/>
  </si>
  <si>
    <t>돈부리소스(가토코), 쯔유(이엔푸드)</t>
    <phoneticPr fontId="12" type="noConversion"/>
  </si>
  <si>
    <t>.1.2.5.6.16.</t>
    <phoneticPr fontId="12" type="noConversion"/>
  </si>
  <si>
    <t>눈꽃치즈치킨</t>
    <phoneticPr fontId="12" type="noConversion"/>
  </si>
  <si>
    <t>두부계란국</t>
    <phoneticPr fontId="12" type="noConversion"/>
  </si>
  <si>
    <t>두부(대두:수입산)18%, 계란(국내산)3.5%, 파, 마늘, 멸치육수농축액, 정제수, 소금</t>
    <phoneticPr fontId="12" type="noConversion"/>
  </si>
  <si>
    <t>시래기된장국</t>
    <phoneticPr fontId="12" type="noConversion"/>
  </si>
  <si>
    <t>절임배추64.0%[배추(국산),무(국산),종가김치전용풀(쌀:국산)], 토마토페이스트(토마토:미국산)2.7%,[멸치액젓, 양파,다시마농축액,고춧가루,마늘,대파,새우액젓,김치유산균발효액,생강양념,호화쌀혼합분말]국산</t>
    <phoneticPr fontId="12" type="noConversion"/>
  </si>
  <si>
    <t>.9.12.</t>
    <phoneticPr fontId="12" type="noConversion"/>
  </si>
  <si>
    <t>토마토김치(종가집)</t>
    <phoneticPr fontId="12" type="noConversion"/>
  </si>
  <si>
    <t>[이츠웰찰당면(고구마전분:중국산), 튀김가루(밀가루(밀:미국산), 옥수수전분(옥수수:외국산), 옥수수가루, 정제소금, 혼합식용유(대두유, 현미유, 팜올레인유), 부추, 김, 당근, 마늘, 간장,설탕, 후추가루]60%, 떡(밀:수입산)25%, 소스(대두유,케찹,설탕,물엿,참기름,참깨)15%</t>
    <phoneticPr fontId="12" type="noConversion"/>
  </si>
  <si>
    <t>김말이떡강정</t>
    <phoneticPr fontId="12" type="noConversion"/>
  </si>
  <si>
    <t xml:space="preserve">*샐러드 채소 : 15g, 20g ,25g </t>
    <phoneticPr fontId="12" type="noConversion"/>
  </si>
  <si>
    <t>*양송이떡갈비 : 1.5ea, 1.75,  2</t>
    <phoneticPr fontId="12" type="noConversion"/>
  </si>
  <si>
    <t>*야채고기말이 : 1.1, 1.5, 1.5</t>
    <phoneticPr fontId="12" type="noConversion"/>
  </si>
  <si>
    <t>소고기(호주산)50%, 낙지(베트남산,인도네시아산)5%, 모둠버섯(느타리:국산, 팽이버섯:국산)15%, 알배추, 양파, 당근, 대파, 마늘, 간장, 정제수, 소금, 후추, 참기름</t>
    <phoneticPr fontId="12" type="noConversion"/>
  </si>
  <si>
    <t>.5.</t>
    <phoneticPr fontId="12" type="noConversion"/>
  </si>
  <si>
    <t>.5.18.</t>
    <phoneticPr fontId="12" type="noConversion"/>
  </si>
  <si>
    <t>소고기버섯국</t>
    <phoneticPr fontId="12" type="noConversion"/>
  </si>
  <si>
    <t>소고기감자국</t>
    <phoneticPr fontId="12" type="noConversion"/>
  </si>
  <si>
    <t>.5.16.</t>
    <phoneticPr fontId="12" type="noConversion"/>
  </si>
  <si>
    <t>전란액(국산)65.64%, 난백액(국산)23.44%, 대파, 당근, 옥수수유, 정제소금, 간장, 쇠고기다시, 전지분유, 카로틴 외</t>
    <phoneticPr fontId="12" type="noConversion"/>
  </si>
  <si>
    <t>.1.2.5.6.16.18.</t>
    <phoneticPr fontId="12" type="noConversion"/>
  </si>
  <si>
    <t>계란(국산)90%, 대두유, 옥수수전분, 정제소금, 설탕 외</t>
    <phoneticPr fontId="12" type="noConversion"/>
  </si>
  <si>
    <t>계란(국산)90%, 브로콜리(국내산)6%, 대두유, 우유, 소금, 백후추</t>
    <phoneticPr fontId="12" type="noConversion"/>
  </si>
  <si>
    <t>.1.2.5.</t>
    <phoneticPr fontId="12" type="noConversion"/>
  </si>
  <si>
    <t>고구마샐러드(이츠웰)</t>
    <phoneticPr fontId="12" type="noConversion"/>
  </si>
  <si>
    <t>물파래무채나물</t>
    <phoneticPr fontId="12" type="noConversion"/>
  </si>
  <si>
    <t>물파래(국내산)3%, 무채(무:국내산)87%, 소금, 설탕, 참치액, 국간장, 마늘, 참기름, 참깨</t>
    <phoneticPr fontId="12" type="noConversion"/>
  </si>
  <si>
    <t>.5.21.</t>
    <phoneticPr fontId="12" type="noConversion"/>
  </si>
  <si>
    <t>갈비만두찜</t>
    <phoneticPr fontId="12" type="noConversion"/>
  </si>
  <si>
    <t>소고기우엉조림</t>
    <phoneticPr fontId="12" type="noConversion"/>
  </si>
  <si>
    <t>소고기(호주산)70%, 우엉(국산)5%, 정제수, 맛술, 통후추, 월계수잎, 간장, 설탕, 물엿, 참기름, 참깨</t>
    <phoneticPr fontId="12" type="noConversion"/>
  </si>
  <si>
    <t>봄동바지락된장국</t>
    <phoneticPr fontId="12" type="noConversion"/>
  </si>
  <si>
    <t>봄동(국산)18.8%, 바지락(중국산)5%, 정제수,  양파, 마늘, 파, 된장, 멸치육수농축액, 국간장, 소금</t>
    <phoneticPr fontId="12" type="noConversion"/>
  </si>
  <si>
    <t>육개장</t>
    <phoneticPr fontId="12" type="noConversion"/>
  </si>
  <si>
    <t>.5.16.</t>
    <phoneticPr fontId="12" type="noConversion"/>
  </si>
  <si>
    <t>소고기마파두부</t>
    <phoneticPr fontId="12" type="noConversion"/>
  </si>
  <si>
    <t>두부(원료수입산)35%, 소고기(호주산)25%, 양파, 파, 마늘, 정제수, 대두유, 두반장, 굴소스, 녹말가루, 맛술, 참기름, 후추</t>
    <phoneticPr fontId="12" type="noConversion"/>
  </si>
  <si>
    <t>.5.16.18.21.</t>
    <phoneticPr fontId="12" type="noConversion"/>
  </si>
  <si>
    <t>굴소스(이금기),두반장(이금기)</t>
    <phoneticPr fontId="12" type="noConversion"/>
  </si>
  <si>
    <t>자차이무침</t>
    <phoneticPr fontId="12" type="noConversion"/>
  </si>
  <si>
    <t>짬뽕국</t>
    <phoneticPr fontId="12" type="noConversion"/>
  </si>
  <si>
    <t>.5.9.15.17.18.</t>
    <phoneticPr fontId="12" type="noConversion"/>
  </si>
  <si>
    <t>들깨미역국</t>
    <phoneticPr fontId="12" type="noConversion"/>
  </si>
  <si>
    <t>불린미역(국산)23%, 정제수, 거피들깨(중국산), 참기름, 국간장, 밥새우, 멸치육수농축액, 마늘, 소금</t>
    <phoneticPr fontId="12" type="noConversion"/>
  </si>
  <si>
    <t>&amp; 깐풍소스</t>
    <phoneticPr fontId="12" type="noConversion"/>
  </si>
  <si>
    <t>파프리카, 양파, 마늘, 간장, 식초, 맛술, 설탕, 대두유, 정제수, 전분, 후추, 참기름</t>
    <phoneticPr fontId="12" type="noConversion"/>
  </si>
  <si>
    <t>.5.21.</t>
    <phoneticPr fontId="12" type="noConversion"/>
  </si>
  <si>
    <t>깐풍두부</t>
    <phoneticPr fontId="12" type="noConversion"/>
  </si>
  <si>
    <t>두부튀김[(대두:외국산),생빵가루(밀:미국산,캐나다산),팜유(말레이시아산)]90%, 깐풍소스(파프리카,양파,마늘,간장,식초,맛술,설탕,정제수,전분,후추,참기름)10%</t>
    <phoneticPr fontId="12" type="noConversion"/>
  </si>
  <si>
    <t>겉바속촉두부까스(성원냉동식품)</t>
    <phoneticPr fontId="12" type="noConversion"/>
  </si>
  <si>
    <t>돼지고기(국산)65%, 김치(국산)15%, 양파, 파, 마늘, 고추가루, 간장, 대두유, 소금, 참기름, 참깨</t>
    <phoneticPr fontId="12" type="noConversion"/>
  </si>
  <si>
    <t>들깨무채국</t>
    <phoneticPr fontId="12" type="noConversion"/>
  </si>
  <si>
    <t>무(국산)20%, 두부(콩:미국,호주,캐나다등), 거피들깨(중국산), 대파, 마늘, 멸치육수농축액, 정제수, 소금</t>
    <phoneticPr fontId="12" type="noConversion"/>
  </si>
  <si>
    <t>.2.</t>
    <phoneticPr fontId="12" type="noConversion"/>
  </si>
  <si>
    <t>모닝빵</t>
    <phoneticPr fontId="12" type="noConversion"/>
  </si>
  <si>
    <t>&amp; 딸기잼</t>
    <phoneticPr fontId="12" type="noConversion"/>
  </si>
  <si>
    <t>감자전</t>
    <phoneticPr fontId="12" type="noConversion"/>
  </si>
  <si>
    <t>훈제오리볶음</t>
    <phoneticPr fontId="12" type="noConversion"/>
  </si>
  <si>
    <t>푸르트샐러드</t>
    <phoneticPr fontId="12" type="noConversion"/>
  </si>
  <si>
    <t>짜장덮밥소스</t>
    <phoneticPr fontId="12" type="noConversion"/>
  </si>
  <si>
    <t>소고기버섯전골</t>
    <phoneticPr fontId="12" type="noConversion"/>
  </si>
  <si>
    <t>.5.16.21.</t>
    <phoneticPr fontId="12" type="noConversion"/>
  </si>
  <si>
    <t>.5.6.15.21.</t>
    <phoneticPr fontId="12" type="noConversion"/>
  </si>
  <si>
    <t>.5.21.</t>
    <phoneticPr fontId="12" type="noConversion"/>
  </si>
  <si>
    <t>족발냉채</t>
    <phoneticPr fontId="12" type="noConversion"/>
  </si>
  <si>
    <t>밀가루(밀:캐나다산), 백설탕, 계란(국산), 마가린(팜유:말레이시아산),야자유(인도네시아산),가공유크림우유),</t>
    <phoneticPr fontId="12" type="noConversion"/>
  </si>
  <si>
    <t>플레인모닝롤(신라명과)</t>
    <phoneticPr fontId="12" type="noConversion"/>
  </si>
  <si>
    <t>.1.2.5.6.</t>
    <phoneticPr fontId="12" type="noConversion"/>
  </si>
  <si>
    <t>.2.5.6.12.15.18.21.</t>
    <phoneticPr fontId="12" type="noConversion"/>
  </si>
  <si>
    <t>참치김치찌개</t>
    <phoneticPr fontId="12" type="noConversion"/>
  </si>
  <si>
    <t>얼큰어묵탕</t>
    <phoneticPr fontId="12" type="noConversion"/>
  </si>
  <si>
    <t>볼어묵[연육(:중국산, 베트남산)53.29%, 설탕, 밀가루(밀:미국산, 호주산), 정제소금(국산)]18%, 무(국산)10%, 양파, 대파, 고춧가루, 멸치육수농축액, 마늘, 정제수, 국간장, 소금</t>
    <phoneticPr fontId="12" type="noConversion"/>
  </si>
  <si>
    <t>삼치데리야끼구이</t>
    <phoneticPr fontId="12" type="noConversion"/>
  </si>
  <si>
    <t>삼치(국산)94%, 대두유, 소금, 데리야끼소스</t>
    <phoneticPr fontId="12" type="noConversion"/>
  </si>
  <si>
    <t>.5.6.</t>
    <phoneticPr fontId="12" type="noConversion"/>
  </si>
  <si>
    <t>돼지갈비찜</t>
    <phoneticPr fontId="12" type="noConversion"/>
  </si>
  <si>
    <t>돼지갈비(국산)53.8%, 무(국산)19.2%, 양파, 파인애플(전처리용), 당근, 대파, 마늘, 생강가루, 월계수잎, 정제수, 간장, 설탕, 맛술, 물엿, 참기름, 후추</t>
    <phoneticPr fontId="12" type="noConversion"/>
  </si>
  <si>
    <t>한식잡채</t>
    <phoneticPr fontId="12" type="noConversion"/>
  </si>
  <si>
    <t>.5.6.10.19.21.</t>
    <phoneticPr fontId="12" type="noConversion"/>
  </si>
  <si>
    <t>.21.</t>
    <phoneticPr fontId="12" type="noConversion"/>
  </si>
  <si>
    <t>불고기김말이(사옹원)</t>
    <phoneticPr fontId="12" type="noConversion"/>
  </si>
  <si>
    <t>2.5.6.10.16.</t>
    <phoneticPr fontId="12" type="noConversion"/>
  </si>
  <si>
    <t>당면(중국산)55.93%, 돼지고기(국산)4.66%, 당근, 백설탕, 튀김가루, 숯불고기맛소스, 대두유, 양파, 김(국산)1.6%, 옥수수전분, 참기름, 마늘, 참깨 등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</si>
  <si>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t>
    <phoneticPr fontId="12" type="noConversion"/>
  </si>
  <si>
    <t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아쿠아민에프(영국산/해조100%)0.31%}80%, 칠리소스[파프리카, 완두콩, 마늘, 대두유, 정제수, 케첩, 설탕, 식초, 전분]20%</t>
    <phoneticPr fontId="12" type="noConversion"/>
  </si>
  <si>
    <r>
      <t xml:space="preserve">새우[새우(베트남산) 37.33%, 밀(미국산)28.32%, 대두유] </t>
    </r>
    <r>
      <rPr>
        <sz val="10"/>
        <color rgb="FFFF0000"/>
        <rFont val="맑은 고딕"/>
        <family val="3"/>
        <charset val="129"/>
      </rPr>
      <t>80%</t>
    </r>
    <r>
      <rPr>
        <sz val="10"/>
        <color rgb="FF000000"/>
        <rFont val="맑은 고딕"/>
        <family val="3"/>
        <charset val="129"/>
      </rPr>
      <t xml:space="preserve">,칠리소스[파프리카, </t>
    </r>
    <r>
      <rPr>
        <sz val="10"/>
        <color rgb="FFFF0000"/>
        <rFont val="맑은 고딕"/>
        <family val="3"/>
        <charset val="129"/>
      </rPr>
      <t>완두콩</t>
    </r>
    <r>
      <rPr>
        <sz val="10"/>
        <color rgb="FF000000"/>
        <rFont val="맑은 고딕"/>
        <family val="3"/>
        <charset val="129"/>
      </rPr>
      <t>, 마늘,대두유, 정제수,케첩, 설탕,식초, 전분]20%</t>
    </r>
    <phoneticPr fontId="12" type="noConversion"/>
  </si>
  <si>
    <t>.1.5.6.10.17.</t>
    <phoneticPr fontId="12" type="noConversion"/>
  </si>
  <si>
    <t>&amp; 새우젓양념</t>
    <phoneticPr fontId="12" type="noConversion"/>
  </si>
  <si>
    <t>새우젓(새우:국산,천일염:국산), 정제수, 고춧가루, 참기름, 참깨</t>
    <phoneticPr fontId="12" type="noConversion"/>
  </si>
  <si>
    <t>.9.21.</t>
    <phoneticPr fontId="12" type="noConversion"/>
  </si>
  <si>
    <t>새우감바스</t>
    <phoneticPr fontId="12" type="noConversion"/>
  </si>
  <si>
    <t>&amp; 바게트빵</t>
    <phoneticPr fontId="12" type="noConversion"/>
  </si>
  <si>
    <t>[밀가루(밀:미국산,호주산,캐나다산), 정제수, 호밀분말(호밀:독일산), 정제소금(국산), 효모]</t>
    <phoneticPr fontId="12" type="noConversion"/>
  </si>
  <si>
    <t>.6.</t>
    <phoneticPr fontId="12" type="noConversion"/>
  </si>
  <si>
    <t>모닝바게트(삼립)</t>
    <phoneticPr fontId="12" type="noConversion"/>
  </si>
  <si>
    <t>프리미엄떡갈비</t>
    <phoneticPr fontId="12" type="noConversion"/>
  </si>
  <si>
    <t xml:space="preserve">돼지고기(국산)65%, 소고기(국산)7%, 양파, 대파, 양배추, 마늘, 배퓨레, 사과퓨레, </t>
    <phoneticPr fontId="12" type="noConversion"/>
  </si>
  <si>
    <t>돈사태찜</t>
    <phoneticPr fontId="12" type="noConversion"/>
  </si>
  <si>
    <t>돈사태곤약조림</t>
    <phoneticPr fontId="12" type="noConversion"/>
  </si>
  <si>
    <t>친환경귀리쌀밥</t>
    <phoneticPr fontId="12" type="noConversion"/>
  </si>
  <si>
    <t>스위트콘[옥수수62.71%(원산지:태국)]50%, 양배추(국산)30%,  파프리카, 당근, 적채, 마요네즈, 식초, 설탕, 소금</t>
    <phoneticPr fontId="12" type="noConversion"/>
  </si>
  <si>
    <t>1회용딸기잼(오뚜기)</t>
    <phoneticPr fontId="12" type="noConversion"/>
  </si>
  <si>
    <t>[설탕, 딸기(국산)45%, 물엿 등] / 12g 개별포장</t>
    <phoneticPr fontId="12" type="noConversion"/>
  </si>
  <si>
    <t>돼지사태(국산)54%, 무(국산)12%, 양파, 표고버섯, 파인애플(전처리용), 당근, 대파, 마늘, 생강가루, 월계수잎, 돼지갈비양념장, 정제수, 간장, 설탕, 맛술, 물엿, 참기름, 후추</t>
    <phoneticPr fontId="12" type="noConversion"/>
  </si>
  <si>
    <t>쌀(국산)90%, 귀리(국산.친환경)5%, 정제수</t>
    <phoneticPr fontId="12" type="noConversion"/>
  </si>
  <si>
    <t>불고기김말이튀김</t>
    <phoneticPr fontId="12" type="noConversion"/>
  </si>
  <si>
    <t>돌나물샐러드</t>
    <phoneticPr fontId="12" type="noConversion"/>
  </si>
  <si>
    <t>&amp; 미트소스</t>
    <phoneticPr fontId="12" type="noConversion"/>
  </si>
  <si>
    <t>녹두전</t>
    <phoneticPr fontId="12" type="noConversion"/>
  </si>
  <si>
    <t>양배추당근라페</t>
    <phoneticPr fontId="12" type="noConversion"/>
  </si>
  <si>
    <t>양배추(국내산)50%, 당근(국내산)45%, 소금, 레몬즙, 머스터드소스, 설탕, 마늘, 올리브오일</t>
    <phoneticPr fontId="12" type="noConversion"/>
  </si>
  <si>
    <t>&amp; 삼선짜장소스</t>
    <phoneticPr fontId="12" type="noConversion"/>
  </si>
  <si>
    <t>&amp; 초고추장</t>
    <phoneticPr fontId="12" type="noConversion"/>
  </si>
  <si>
    <t>고추장75.99%[물엿,밀가루(밀:미국산,호주산),혼합양념(고춧가루:중국산)6%,정제소금,밀쌀],설탕,발효식초8.58%,볶음참깨(참깨:외국산),마늘농축액(마늘:국산),생강농축액,정제수 등</t>
    <phoneticPr fontId="12" type="noConversion"/>
  </si>
  <si>
    <t>하와이안폭찹</t>
    <phoneticPr fontId="12" type="noConversion"/>
  </si>
  <si>
    <t>.1.5.6.19.</t>
    <phoneticPr fontId="12" type="noConversion"/>
  </si>
  <si>
    <t>소고기장조림</t>
    <phoneticPr fontId="12" type="noConversion"/>
  </si>
  <si>
    <t>로제순살치킨떡볶이</t>
    <phoneticPr fontId="12" type="noConversion"/>
  </si>
  <si>
    <t>닭고기(닭다리살:국내산)55%, 떡(밀:원료수입산)15%, 어묵(원료수입산)3%, 양파, 새송이버섯, 정제수, 우유, 생크림, 토마토소스(시판용), 소금</t>
    <phoneticPr fontId="12" type="noConversion"/>
  </si>
  <si>
    <t>.1.5.6.12.15.</t>
    <phoneticPr fontId="12" type="noConversion"/>
  </si>
  <si>
    <t>해물순두부찌개</t>
    <phoneticPr fontId="12" type="noConversion"/>
  </si>
  <si>
    <t>순두부(대두:수입산)42.9%, 해물[바지락살(중국산), 칵테일새우(베트남산), 오징어(미국산)]7%, 양파, 파, 마늘, 정제수, 멸치육수농축액, 고춧가루, 국간장,소금</t>
    <phoneticPr fontId="12" type="noConversion"/>
  </si>
  <si>
    <t>.5.9.17.18.</t>
    <phoneticPr fontId="12" type="noConversion"/>
  </si>
  <si>
    <t>배추김치.</t>
    <phoneticPr fontId="12" type="noConversion"/>
  </si>
  <si>
    <t>절임배추(배추.식염.무:국산), 양념(액젓, 양념풀, 양파, 고춧가루, 마늘, 대파, 소금, 유산균배양액:국산)</t>
    <phoneticPr fontId="12" type="noConversion"/>
  </si>
  <si>
    <t>시원한포기김치(하선정)</t>
    <phoneticPr fontId="12" type="noConversion"/>
  </si>
  <si>
    <t>&amp; 오렌지드레싱</t>
    <phoneticPr fontId="12" type="noConversion"/>
  </si>
  <si>
    <t>정제수, 밀감(중국산)설탕, 옥수수(외국산), 오렌지농축액(냉동오렌지농축액:브라질산)</t>
    <phoneticPr fontId="12" type="noConversion"/>
  </si>
  <si>
    <t>오렌지드레싱소스(쉐프원)</t>
    <phoneticPr fontId="12" type="noConversion"/>
  </si>
  <si>
    <t>부대햄볶음</t>
    <phoneticPr fontId="12" type="noConversion"/>
  </si>
  <si>
    <t>팝콘피쉬볼(그린푸드) 개당12g</t>
    <phoneticPr fontId="12" type="noConversion"/>
  </si>
  <si>
    <t>*생선통살탕수 : 40g / 50g / 교사 70g, 소스 25g
개당 12g</t>
    <phoneticPr fontId="12" type="noConversion"/>
  </si>
  <si>
    <t>김밥볶음밥</t>
    <phoneticPr fontId="12" type="noConversion"/>
  </si>
  <si>
    <t>쌀밥(쌀:국산)87%, 김밥재료[스크램블에그(계란:국산),당근,단무지,햄]10%, 김가루2%, 참기름, 참깨</t>
    <phoneticPr fontId="12" type="noConversion"/>
  </si>
  <si>
    <t>족발[돼지고기(뒷다리:국산)97.6%, 양파(국산), 마늘(국산), 참당귀, 생강, 감초, 설탕, 대파, 정제소금, 계피, 치자]95%, 양배추, 적채, 부추, 마늘, 간장, 설탕, 참기름, 참깨</t>
    <phoneticPr fontId="12" type="noConversion"/>
  </si>
  <si>
    <t>돌나물(국산)10%, 모둠채소(양배추, 적채)90%</t>
    <phoneticPr fontId="12" type="noConversion"/>
  </si>
  <si>
    <t>호텔컬렉션떡갈비(신세계푸드)</t>
    <phoneticPr fontId="12" type="noConversion"/>
  </si>
  <si>
    <t>.5.22.</t>
    <phoneticPr fontId="12" type="noConversion"/>
  </si>
  <si>
    <t>.5.9.21.22.</t>
    <phoneticPr fontId="12" type="noConversion"/>
  </si>
  <si>
    <t>.5.16.21.22.</t>
    <phoneticPr fontId="12" type="noConversion"/>
  </si>
  <si>
    <t>배추(국산)86.4%, 마늘, 대파, 된장, 참치액, 소금, 참기름, 참깨</t>
    <phoneticPr fontId="12" type="noConversion"/>
  </si>
  <si>
    <t>.5.21.22.</t>
    <phoneticPr fontId="12" type="noConversion"/>
  </si>
  <si>
    <t>근대(국산)90%, 홍파프리카, 마늘, 된장, 소금, 참기름, 참깨</t>
    <phoneticPr fontId="12" type="noConversion"/>
  </si>
  <si>
    <t>.21.22.</t>
    <phoneticPr fontId="12" type="noConversion"/>
  </si>
  <si>
    <t>순두부된장찌개</t>
    <phoneticPr fontId="12" type="noConversion"/>
  </si>
  <si>
    <t>모둠채소(호박, 양파, 감자:국산)20%, 순두부(콩:미국,호주,캐나다등)12%, 파, 마늘, 된장, 멸치육수농축액, 정제수, 소금</t>
    <phoneticPr fontId="12" type="noConversion"/>
  </si>
  <si>
    <t>단무지송송이무침</t>
    <phoneticPr fontId="12" type="noConversion"/>
  </si>
  <si>
    <t>단호박샐러드</t>
    <phoneticPr fontId="12" type="noConversion"/>
  </si>
  <si>
    <t>건파래유부무침</t>
  </si>
  <si>
    <t>얼큰오징어무국</t>
    <phoneticPr fontId="12" type="noConversion"/>
  </si>
  <si>
    <t>무(국산)20%, 오징어(미국산, 국산)5%, 양파, 대파, 마늘, 정제수, 멸치육수농축액, 국간장, 고춧가루, 소금</t>
    <phoneticPr fontId="12" type="noConversion"/>
  </si>
  <si>
    <t>배추된장국</t>
    <phoneticPr fontId="12" type="noConversion"/>
  </si>
  <si>
    <t>데친배추(배추:국산)18%, 두부(대두:수입산), 양파, 대파, 마늘, 된장, 정제수, 멸치육수농축액, 국간장</t>
    <phoneticPr fontId="12" type="noConversion"/>
  </si>
  <si>
    <t>파래김(국내산)75%, 유부(원료수입산), 쪽파, 맛술, 간장, 참기름, 참깨</t>
    <phoneticPr fontId="15" type="noConversion"/>
  </si>
  <si>
    <t>얼큰소고기무국</t>
    <phoneticPr fontId="12" type="noConversion"/>
  </si>
  <si>
    <t xml:space="preserve">무(국산)18.3%, 소고기(호주산)10.7%, 양파, 대파, 마늘, 정제수, 소금, 고춧가루, 멸치육수농축액, 국간장, 후추 </t>
    <phoneticPr fontId="12" type="noConversion"/>
  </si>
  <si>
    <t>도라에몽만쥬</t>
  </si>
  <si>
    <t>빵류{밀가루(밀:미국산.호주산),카스타드크림[설탕,물엿,카놀라유(외국산),유청분말(외국산),마가린(팜유:말레이시아산),대두유,전란액(국내산)등]}</t>
    <phoneticPr fontId="12" type="noConversion"/>
  </si>
  <si>
    <t>비트치킨무</t>
    <phoneticPr fontId="12" type="noConversion"/>
  </si>
  <si>
    <t>무(국산),정제수,빙초산,정제소금(국산),식초, 비트레드 등</t>
    <phoneticPr fontId="12" type="noConversion"/>
  </si>
  <si>
    <t>*양배추당근라페 :  20g / 30g</t>
    <phoneticPr fontId="12" type="noConversion"/>
  </si>
  <si>
    <t>*꼬마돈까스: 25g, 중구청 35g</t>
    <phoneticPr fontId="12" type="noConversion"/>
  </si>
  <si>
    <t>*미트볼 : 개당10g</t>
    <phoneticPr fontId="12" type="noConversion"/>
  </si>
  <si>
    <t>깻잎닭갈비</t>
    <phoneticPr fontId="12" type="noConversion"/>
  </si>
  <si>
    <t>닭정육(닭가슴살, 닭다리살 : 국산)54%, 양배추(국산)10%, 밀떡(밀:수입산)5%, 깻잎(국산)2%, 양파, 당근, 대파, 마늘, 생강가루, 간장, 간장, 후추, 참기름, 참깨</t>
    <phoneticPr fontId="12" type="noConversion"/>
  </si>
  <si>
    <t>소고기(호주산)65%, 모둠버섯(느타리:국산, 새송이:국산)15%, 양파, 당근, 대파, 마늘, 간장, 정제수, 소금, 후추, 참기름</t>
    <phoneticPr fontId="12" type="noConversion"/>
  </si>
  <si>
    <t>스크램블에그(계란:국산)7%, 당근,  쌀밥(쌀:국산)85%, 버터, 대두유, 소금, 참기름,참깨</t>
    <phoneticPr fontId="12" type="noConversion"/>
  </si>
  <si>
    <t>니모어묵국</t>
    <phoneticPr fontId="12" type="noConversion"/>
  </si>
  <si>
    <t>어묵[태국산(동방실꼬리돔(47.3%), 밀전분, 정제소금,계란]12.6%, 무(국산)7%, 대파, 마늘, 정제수, 국간장, 소금</t>
    <phoneticPr fontId="12" type="noConversion"/>
  </si>
  <si>
    <t>피쉬볼(랜쉬푸드)</t>
    <phoneticPr fontId="12" type="noConversion"/>
  </si>
  <si>
    <t>불린미역(국산)20%, 전복소라다이스[피뿔고동살(불가리아,터키,루마니아등)50%, 논우렁살(베트남산)30%, 전복살(말레이시아,인도네시아,중국 등)20%]5%, 정제수, 밥새우, 멸치육수농축액, 국간장, 참기름, 마늘, 소금</t>
    <phoneticPr fontId="12" type="noConversion"/>
  </si>
  <si>
    <t>유자청오이송송이</t>
    <phoneticPr fontId="12" type="noConversion"/>
  </si>
  <si>
    <t>해물까스</t>
    <phoneticPr fontId="12" type="noConversion"/>
  </si>
  <si>
    <t>.1.8.12.</t>
    <phoneticPr fontId="12" type="noConversion"/>
  </si>
  <si>
    <t>양배추(국산)87%, 적채, 당근, 마요네즈, 케찹, 설탕, 소금, 레몬즙</t>
    <phoneticPr fontId="12" type="noConversion"/>
  </si>
  <si>
    <t>감자버섯된장국</t>
    <phoneticPr fontId="12" type="noConversion"/>
  </si>
  <si>
    <t>돼지고기(국내산)23%, 배추우거지(배추:국내산), 깻순(국내산), 감자, 양파, 파, 마늘, 된장, 치킨스톡, 소금</t>
    <phoneticPr fontId="12" type="noConversion"/>
  </si>
  <si>
    <t>.5.10.15.16..</t>
    <phoneticPr fontId="12" type="noConversion"/>
  </si>
  <si>
    <t>감자(국내산)18%, 소고기(호주산,미국산)7%, 양파, 정제수, 마늘, 대파, 국간장, 소금</t>
    <phoneticPr fontId="12" type="noConversion"/>
  </si>
  <si>
    <t>문어모양소떡소떡</t>
    <phoneticPr fontId="12" type="noConversion"/>
  </si>
  <si>
    <t>간장닭갈비</t>
    <phoneticPr fontId="12" type="noConversion"/>
  </si>
  <si>
    <t>닭정육(닭가슴살, 닭다리살 : 국산)54%, 양배추(국산)10%, 밀떡(밀:수입산)5%, 양파, 당근, 대파, 마늘, 생강가루, 간장, 간장, 후추, 참기름, 참깨</t>
    <phoneticPr fontId="12" type="noConversion"/>
  </si>
  <si>
    <t>진미채</t>
    <phoneticPr fontId="12" type="noConversion"/>
  </si>
  <si>
    <t>소고기새송이볶음</t>
    <phoneticPr fontId="12" type="noConversion"/>
  </si>
  <si>
    <t>열무(국산)86.4%, 마늘, 대파, 참치액, 된장, 소금, 참기름, 참깨</t>
    <phoneticPr fontId="12" type="noConversion"/>
  </si>
  <si>
    <t>얼갈이(국산)86.4%, 마늘, 대파, 참치액, 국간장, 소금, 참기름, 참깨</t>
    <phoneticPr fontId="12" type="noConversion"/>
  </si>
  <si>
    <t>실곤약(사조대림)</t>
    <phoneticPr fontId="12" type="noConversion"/>
  </si>
  <si>
    <t>도토리묵(원료수입산)85%, 배추김치(국산)7%, 간장, 설탕, 참기름, 참깨</t>
    <phoneticPr fontId="12" type="noConversion"/>
  </si>
  <si>
    <t>매콤무생채</t>
    <phoneticPr fontId="12" type="noConversion"/>
  </si>
  <si>
    <t>무(국산)95%, 마늘, 파, 고춧가루, 생강가루, 식초, 설탕, 소금, 참깨</t>
    <phoneticPr fontId="12" type="noConversion"/>
  </si>
  <si>
    <t>감자(국내산)10%, 모둠버섯(표고:중국산, 새송이, 느타리:국산)7%, 두부(대두:수입산), 양파, 정제수, 된장(콩:수입산), 멸치육수농축액, 마늘, 파, 소금</t>
    <phoneticPr fontId="12" type="noConversion"/>
  </si>
  <si>
    <t>겨울시즌 : 냉이 추가</t>
    <phoneticPr fontId="12" type="noConversion"/>
  </si>
  <si>
    <t>도토리묵냉국</t>
    <phoneticPr fontId="12" type="noConversion"/>
  </si>
  <si>
    <t>1주</t>
    <phoneticPr fontId="15" type="noConversion"/>
  </si>
  <si>
    <t>참나물오이무침</t>
    <phoneticPr fontId="12" type="noConversion"/>
  </si>
  <si>
    <t>오이(국산)82%, 참나물(국산)4.5%, 파, 마늘, 고추가루, 소금, 설탕, 식초, 참깨</t>
    <phoneticPr fontId="12" type="noConversion"/>
  </si>
  <si>
    <t>마라로제소스(이츠웰)</t>
    <phoneticPr fontId="12" type="noConversion"/>
  </si>
  <si>
    <t>.2.5.6.15.16.</t>
    <phoneticPr fontId="12" type="noConversion"/>
  </si>
  <si>
    <t>김치전</t>
    <phoneticPr fontId="12" type="noConversion"/>
  </si>
  <si>
    <t>알찬김치전(사옹원)</t>
    <phoneticPr fontId="12" type="noConversion"/>
  </si>
  <si>
    <t>.2.5.6.9.12.16.</t>
    <phoneticPr fontId="12" type="noConversion"/>
  </si>
  <si>
    <t>김치(중국산),밀가루(밀:미국산),부침가루(밀:미국산,호주산),정제소금(국산),대두유(대두:외국산)</t>
    <phoneticPr fontId="12" type="noConversion"/>
  </si>
  <si>
    <t>.4.5.9.12.</t>
    <phoneticPr fontId="12" type="noConversion"/>
  </si>
  <si>
    <t>근대(국산)22.8%, 양파(국산), 정제수, 된장, 대파, 마늘, 멸치육수농축액, 소금</t>
    <phoneticPr fontId="12" type="noConversion"/>
  </si>
  <si>
    <t>*삼색소고기소보로 : 50g / 70g</t>
    <phoneticPr fontId="12" type="noConversion"/>
  </si>
  <si>
    <t>*훈제오리잡채 : 55g / 70g</t>
    <phoneticPr fontId="12" type="noConversion"/>
  </si>
  <si>
    <t>시래기(무청시래기:국산)25%, 양파, 대파, 마늘, 정제수, 된장, 멸치육수농축액, 소금</t>
    <phoneticPr fontId="12" type="noConversion"/>
  </si>
  <si>
    <t>{소시지[닭고기(국산)54.04%, 정제수, 돼지고기(국산)24.22%, 옥수수전분(러시아,헝가리,세르비아등).돈지방(국산),정제수, 정제소금)]45%, 떡(쌀:외국산)55%}90%, 소스(마늘,대두유,간장,케찹,물엿,참기름,참깨)10%</t>
    <phoneticPr fontId="12" type="noConversion"/>
  </si>
  <si>
    <t>버터계란볶음밥</t>
    <phoneticPr fontId="12" type="noConversion"/>
  </si>
  <si>
    <t>호박잎된장찌개</t>
    <phoneticPr fontId="12" type="noConversion"/>
  </si>
  <si>
    <t>호박잎(국내산)5%, 모둠채소(호박, 양파, 감자:국산)20%, 두부(콩:미국,호주,캐나다등)8%, 파, 마늘, 된장, 멸치육수농축액, 정제수, 소금</t>
    <phoneticPr fontId="12" type="noConversion"/>
  </si>
  <si>
    <t>&amp; 라구스파게티소스</t>
    <phoneticPr fontId="12" type="noConversion"/>
  </si>
  <si>
    <t>미트소스(이츠웰)</t>
    <phoneticPr fontId="12" type="noConversion"/>
  </si>
  <si>
    <t>정제수,양파(국산),토마토페이스트(토마토:미국산)10%,소고기(호주산)10%,돼지고기(국산)8%,당근,옥수수유</t>
    <phoneticPr fontId="12" type="noConversion"/>
  </si>
  <si>
    <t>베이컨스크램블에그</t>
    <phoneticPr fontId="12" type="noConversion"/>
  </si>
  <si>
    <t>계란(국산)90%, 베이컨(돼지고기:외국산)5%, 대두유, 우유, 소금, 백후추</t>
    <phoneticPr fontId="12" type="noConversion"/>
  </si>
  <si>
    <t>호박(국산)75%, 당근, 양파, 대파, 마늘, 대두유, 새우젓, 소금, 참기름, 참깨</t>
    <phoneticPr fontId="12" type="noConversion"/>
  </si>
  <si>
    <t>춘장닭볶음</t>
    <phoneticPr fontId="12" type="noConversion"/>
  </si>
  <si>
    <t xml:space="preserve">도토리묵(원료수입산)38%, 오이, 당근, 마늘, 냉면육수(시판용), 참깨 </t>
    <phoneticPr fontId="12" type="noConversion"/>
  </si>
  <si>
    <t>양상추(국산)40%, 치커리, 후르츠칵테일(필리핀산)35%, 요거트, 연유</t>
    <phoneticPr fontId="12" type="noConversion"/>
  </si>
  <si>
    <t xml:space="preserve"> 건새우(국산)23%, 마늘쫑(중국산)68%, 간장, 설탕, 물엿, 참깨</t>
    <phoneticPr fontId="12" type="noConversion"/>
  </si>
  <si>
    <t>건새우마늘쫑볶음</t>
    <phoneticPr fontId="12" type="noConversion"/>
  </si>
  <si>
    <t>숲속친구들찐빵</t>
    <phoneticPr fontId="12" type="noConversion"/>
  </si>
  <si>
    <t>밀가루(밀)45.85%, 팥22.8%, 정제수, 설탕9.28%, 팜유1.11%,/원산지:중국</t>
    <phoneticPr fontId="12" type="noConversion"/>
  </si>
  <si>
    <t>밀가루(밀)45.75%, 팥22.8%, 정제수, 설탕9.28%, 팜유1.11%, /원산지:중국</t>
    <phoneticPr fontId="12" type="noConversion"/>
  </si>
  <si>
    <t>밀가루(밀)42.91%, 팥28%, 정제수, 설탕 8.68%, 팜유1.04%,/원산지:중국</t>
    <phoneticPr fontId="12" type="noConversion"/>
  </si>
  <si>
    <t>숲속친구들찐빵(세미원푸드)</t>
    <phoneticPr fontId="12" type="noConversion"/>
  </si>
  <si>
    <t>닭정육(국산)78%, 마라로제소스[우유(국산).고춧가루(중국산.베트남산)]</t>
    <phoneticPr fontId="12" type="noConversion"/>
  </si>
  <si>
    <t>.1.5.6.10.15.16.</t>
    <phoneticPr fontId="12" type="noConversion"/>
  </si>
  <si>
    <t>마라샹궈소스(차이웰)</t>
    <phoneticPr fontId="12" type="noConversion"/>
  </si>
  <si>
    <t>가지나물</t>
    <phoneticPr fontId="12" type="noConversion"/>
  </si>
  <si>
    <t>가지(국내산)86%, 양파, 당근, 파, 마늘, 간장, 굴소스, 후추, 소금, 참기름, 참깨</t>
    <phoneticPr fontId="12" type="noConversion"/>
  </si>
  <si>
    <t>.5.18.21.</t>
    <phoneticPr fontId="12" type="noConversion"/>
  </si>
  <si>
    <t>치즈스틱</t>
    <phoneticPr fontId="12" type="noConversion"/>
  </si>
  <si>
    <t>프라임치즈[모짜렐라치즈(외국산)50%,쇼트닝(말레이시아산)]45.6%, 빵가루[소맥분(밀:미국산,호주산),쇼트닝유(팜유:말레이시아산)]</t>
    <phoneticPr fontId="12" type="noConversion"/>
  </si>
  <si>
    <t>모짜렐라치즈스틱(맘스터치)</t>
    <phoneticPr fontId="12" type="noConversion"/>
  </si>
  <si>
    <t>꽁치김치찌개</t>
    <phoneticPr fontId="12" type="noConversion"/>
  </si>
  <si>
    <t>꽁치캔(꽁치:외국산), 배추김치(국내산), 두부(대두:외국산), 고춧가루(국내산), 파, 마늘, 정제수, 소금</t>
    <phoneticPr fontId="12" type="noConversion"/>
  </si>
  <si>
    <t>미트소스(이츠웰), 토마토소스(오뚜기)</t>
    <phoneticPr fontId="12" type="noConversion"/>
  </si>
  <si>
    <t>참치김치덮밥소스</t>
    <phoneticPr fontId="12" type="noConversion"/>
  </si>
  <si>
    <t>청경채새우볶음</t>
    <phoneticPr fontId="12" type="noConversion"/>
  </si>
  <si>
    <t>청경채(국내산)75%, 칵테일새우(베트남산)10%, 대두유, 정제수, 전분, 마늘, 굴소스, 소금, 후추, 참기름, 참깨</t>
    <phoneticPr fontId="12" type="noConversion"/>
  </si>
  <si>
    <t>검은콩해바라기씨조림</t>
    <phoneticPr fontId="12" type="noConversion"/>
  </si>
  <si>
    <t>삼겹살소금구이</t>
    <phoneticPr fontId="12" type="noConversion"/>
  </si>
  <si>
    <t>모둠채소맑은국</t>
    <phoneticPr fontId="12" type="noConversion"/>
  </si>
  <si>
    <t>라구숏파스타</t>
    <phoneticPr fontId="12" type="noConversion"/>
  </si>
  <si>
    <t>푸실리(듀럼밀:터키산)60%, 양파, 피망, 양송이, 라구소스{토마토페이스트(토마토:미국산), 소고기(호주산),돼지고기(국산)], 올리브유, 파슬리가루</t>
    <phoneticPr fontId="12" type="noConversion"/>
  </si>
  <si>
    <t>.5.6.10.12.15.16.</t>
    <phoneticPr fontId="12" type="noConversion"/>
  </si>
  <si>
    <t>미트볼[돼지고기(국내산)45.45%,소고기(호주산,뉴질랜드산)20.61%]80%, 양파, 피망, 토마토소스, 후추, 파슬리가루</t>
    <phoneticPr fontId="12" type="noConversion"/>
  </si>
  <si>
    <t>미트볼골드(선진)</t>
    <phoneticPr fontId="12" type="noConversion"/>
  </si>
  <si>
    <t>모둠채소[(호박.감자.양파.느타리버섯:국산),.표고버섯(중국산)]20%, 두부(원료수입산)5%, 정제수, 된장, 대파, 마늘, 소금</t>
    <phoneticPr fontId="12" type="noConversion"/>
  </si>
  <si>
    <t>모둠채소[호박,감자,무,양파:국내산]25%, 파, 마늘, 정제수, 멸치육수농축액, 국간장, 소금</t>
    <phoneticPr fontId="12" type="noConversion"/>
  </si>
  <si>
    <t>돼지고기 (국산)70%, 양파, 부추, 당근, 마늘, 대두유, 춘장(원료수입산), 짜장가루, 후추, 참기름, 참깨</t>
    <phoneticPr fontId="12" type="noConversion"/>
  </si>
  <si>
    <t>돈사태김치찜</t>
    <phoneticPr fontId="12" type="noConversion"/>
  </si>
  <si>
    <t>돼지고기(사태:국산)62%, 파인애플(전처리용), 채소(무, 양파, 당근:국산)18%, 대파, 마늘, 생강가루, 월계수잎, 정제수, 고춧가루, 간장, 설탕, 맛술, 물엿, 참기름, 후추</t>
    <phoneticPr fontId="12" type="noConversion"/>
  </si>
  <si>
    <t>돼지고기(사태:국산)62%, 파인애플(전처리용),배추김치(국내산)18%, 대파, 마늘, 생강가루, 월계수잎, 정제수, 고춧가루, 간장, 설탕, 맛술, 물엿, 참기름, 후추</t>
    <phoneticPr fontId="12" type="noConversion"/>
  </si>
  <si>
    <t>건새우무채국</t>
    <phoneticPr fontId="12" type="noConversion"/>
  </si>
  <si>
    <t>.2.5.6.10.16.21.22.</t>
    <phoneticPr fontId="12" type="noConversion"/>
  </si>
  <si>
    <t>순대(돼지고기:국산, 돼지소창:국산, 돈혈:국산, 당면:중국산)75%, 양배추, 양파, 당근, 깻잎, 들깨가루, 대두유, 굴소스, 맛술, 후추, 참기름</t>
    <phoneticPr fontId="12" type="noConversion"/>
  </si>
  <si>
    <t>백순대볶음</t>
    <phoneticPr fontId="12" type="noConversion"/>
  </si>
  <si>
    <t>.2.5.6.15.21.</t>
    <phoneticPr fontId="12" type="noConversion"/>
  </si>
  <si>
    <t>치즈닭갈비</t>
    <phoneticPr fontId="12" type="noConversion"/>
  </si>
  <si>
    <t>봉어묵볶이</t>
    <phoneticPr fontId="12" type="noConversion"/>
  </si>
  <si>
    <t>어묵(원료수입산)85%, 채소(양파, 당근, 파:국산)10%, 마늘, 대두유, 간장, 참기름, 참깨</t>
    <phoneticPr fontId="12" type="noConversion"/>
  </si>
  <si>
    <t>어묵(원료수입)75%,  양파(국산) , 파, 마늘, 정제수, 고추장, 고추가루(국산), 간장, 설탕, 물엿, 참깨</t>
    <phoneticPr fontId="12" type="noConversion"/>
  </si>
  <si>
    <t>닭다리살(닭다리살:브라질산), 양파, 피망, 간장, 우스터소스, 케찹, 설탕, 물엿, 후추</t>
    <phoneticPr fontId="12" type="noConversion"/>
  </si>
  <si>
    <t>소고기두부조림</t>
    <phoneticPr fontId="12" type="noConversion"/>
  </si>
  <si>
    <t>두부(대두:미국.캐나다.호주 등)85%, 소고기(호주산)3%, 들기름, 간장, 마늘, 파, 맛술, 전분물, 참깨</t>
    <phoneticPr fontId="12" type="noConversion"/>
  </si>
  <si>
    <t>진미채실곤약무침</t>
    <phoneticPr fontId="12" type="noConversion"/>
  </si>
  <si>
    <t>실곤약(구약성분99.8%,중국산)55%,진미채(오징어:페루산)5%,양배추, 오이, 당근, 파, 마늘, 고추장, 식초, 설탕, 참기름, 참깨</t>
    <phoneticPr fontId="12" type="noConversion"/>
  </si>
  <si>
    <t>소고기브로콜리볶음</t>
    <phoneticPr fontId="12" type="noConversion"/>
  </si>
  <si>
    <t>어육소시지[연육(외국산),옥수수전분(옥수수:외국산)],계란옷믹스[밀가루(밀:미국산),옥수수전분(옥수수:외국산),전란분(인도산),난백분(프랑스산)],대두유</t>
    <phoneticPr fontId="12" type="noConversion"/>
  </si>
  <si>
    <t>계란옷입은 분홍소세지전(크레잇)</t>
    <phoneticPr fontId="12" type="noConversion"/>
  </si>
  <si>
    <t>분홍소세지구이</t>
    <phoneticPr fontId="12" type="noConversion"/>
  </si>
  <si>
    <t>소고기(호주산)62%, 브로콜리(국내산)25%, 양파, 치킨스톡, 간장, 설탕, 맛술, 후추, 참기름, 참깨</t>
    <phoneticPr fontId="12" type="noConversion"/>
  </si>
  <si>
    <t>.5.15.16.18.21.</t>
    <phoneticPr fontId="12" type="noConversion"/>
  </si>
  <si>
    <t>닭다리살구이</t>
    <phoneticPr fontId="12" type="noConversion"/>
  </si>
  <si>
    <t>마늘쫑멸치볶음</t>
    <phoneticPr fontId="12" type="noConversion"/>
  </si>
  <si>
    <t>세멸치(국내산)65%, 마늘쫑(중국산)25%, 대두유, 간장, 설탕, 물엿, 참깨</t>
    <phoneticPr fontId="12" type="noConversion"/>
  </si>
  <si>
    <t>감자(국산)78%, 마늘, 대두유, 정제수, 맛술, 간장, 물엿, 참기름, 참깨</t>
    <phoneticPr fontId="12" type="noConversion"/>
  </si>
  <si>
    <t>미나리무생채</t>
    <phoneticPr fontId="12" type="noConversion"/>
  </si>
  <si>
    <t xml:space="preserve">무(국산)93%, 미나리(국산)2%, 마늘, 파, 고추가루, 생강가루, 설탕, 소금, 참깨 </t>
    <phoneticPr fontId="12" type="noConversion"/>
  </si>
  <si>
    <t>미니떡갈비</t>
    <phoneticPr fontId="12" type="noConversion"/>
  </si>
  <si>
    <t>납작떡갈비(임꺽정)</t>
    <phoneticPr fontId="12" type="noConversion"/>
  </si>
  <si>
    <t>우삼겹떡볶이</t>
    <phoneticPr fontId="12" type="noConversion"/>
  </si>
  <si>
    <t>우삼겹(미국산)5%, 밀떡(밀:외국산)50%, 어묵(연육:외국산), 메추리알(국산), 양파, 양배추, 파, 마늘, 정제수, 간장, 고추장, 설탕</t>
    <phoneticPr fontId="12" type="noConversion"/>
  </si>
  <si>
    <t>족발채소볶음</t>
    <phoneticPr fontId="12" type="noConversion"/>
  </si>
  <si>
    <t>훈제족발[돼지고기(앞다리:덴마크, 스페인, 캐나다 등)70%, 양배추, 양파, 깻잎, 파, 마늘, 고춧가루, 설탕, 맛술, 참기름, 참깨</t>
    <phoneticPr fontId="12" type="noConversion"/>
  </si>
  <si>
    <t>.1.5.6.10.13.15.16.21.</t>
    <phoneticPr fontId="12" type="noConversion"/>
  </si>
  <si>
    <t>꽃게된장찌개</t>
    <phoneticPr fontId="12" type="noConversion"/>
  </si>
  <si>
    <t>꽃게(중국산)18%, 모듬채소(호박,양파,감자:국산)12%, 두부(대두:외국산), 마늘, 된장, 멸치육수농축액, 정제수, 국간장, 소금</t>
    <phoneticPr fontId="12" type="noConversion"/>
  </si>
  <si>
    <t>.5.8.</t>
    <phoneticPr fontId="12" type="noConversion"/>
  </si>
  <si>
    <t>당면(원료수입산)70%, 양파, 당근, 부추, 대두유, 간장, 설탕, 참기름, 참깨</t>
    <phoneticPr fontId="12" type="noConversion"/>
  </si>
  <si>
    <t xml:space="preserve">113128 천일식품 미니돈까스(1Kg/EA) 개당10g / 100개 내외입. </t>
    <phoneticPr fontId="12" type="noConversion"/>
  </si>
  <si>
    <t>돼지고기(국산)36.53%, 밀가루(밀:미국산.호주산), 양파(국산), 건무, 부추, 곤약, 돼지갈비살(국산)2.09%, 설탕, 갅방, 물엿, 마늘, 생강, 참기름, 후추, 대파 등</t>
    <phoneticPr fontId="12" type="noConversion"/>
  </si>
  <si>
    <t>달콤한갈비만두(한만두) 개당25g</t>
    <phoneticPr fontId="12" type="noConversion"/>
  </si>
  <si>
    <t>닭고기버섯국</t>
    <phoneticPr fontId="12" type="noConversion"/>
  </si>
  <si>
    <t>닭고기(국내산)7%, 버섯 [느타리,새송이:국산)]5%, 무(국산), 양파, 정제수, 마늘, 대파, 치킨스톡, 국간장, 소금</t>
    <phoneticPr fontId="12" type="noConversion"/>
  </si>
  <si>
    <t>버섯 [느타리,새송이:국산)]18%, 소고기(호주산)10%, 양파, 정제수, 마늘, 대파, 국간장, 소금</t>
    <phoneticPr fontId="12" type="noConversion"/>
  </si>
  <si>
    <t>크래미미역초무침</t>
    <phoneticPr fontId="12" type="noConversion"/>
  </si>
  <si>
    <t xml:space="preserve">미역(국산)75%, 크래미[명태연육80.26%(미국산), 감자전분(폴란드산, 국내산), 난백액(국내산),게엑기스1.36%(국내산)]10%, 파프리카(국산), 설탕, 식초, 레몬즙, 소금 </t>
    <phoneticPr fontId="12" type="noConversion"/>
  </si>
  <si>
    <t>캐릭터찐빵</t>
    <phoneticPr fontId="12" type="noConversion"/>
  </si>
  <si>
    <t>단호박(중국산)66.6%, 샐러드베이스13.8%[난황(국내산), 대두유(대두:외국산), 양조식초 등], 당근(중국산), 물엿, 정제수, 가쓰오브시엑기스, 설탕 등</t>
    <phoneticPr fontId="12" type="noConversion"/>
  </si>
  <si>
    <t>미트소스[소고기(호주산)10%,돼지고기(국산)8%,토마토페이스트(토마토:미국산)10%], 양파, 피망, 토마토스파게티소스, 올리브오일, 후추, 파슬리가루</t>
    <phoneticPr fontId="12" type="noConversion"/>
  </si>
  <si>
    <t>닭정육(닭가슴살, 닭다리살:국산)54%, ,모짜렐라치즈(원유:외국산)5%, 모양떡(쌀:외국산), 양배추, 양파, 당근, 대파, 마늘, 생강가루, 간장, 후추, 참기름, 참깨</t>
    <phoneticPr fontId="12" type="noConversion"/>
  </si>
  <si>
    <t>골든커리덮밥소스</t>
    <phoneticPr fontId="12" type="noConversion"/>
  </si>
  <si>
    <t>닭고기(국산)15%, 채소[당근, 양파, 감자]25%, 대두유, 카레분말[강황(인도산)]11.1%, 고형카레(일본산)1.5%, 정제수</t>
    <phoneticPr fontId="12" type="noConversion"/>
  </si>
  <si>
    <t>양파, 피망, 토마토소스[과채가공품(토마토:이탈리아산),토마토페이스트(토마토:중국산)], 올리브오일, 후추, 파슬리가루</t>
    <phoneticPr fontId="12" type="noConversion"/>
  </si>
  <si>
    <t>오징어링튀김</t>
    <phoneticPr fontId="12" type="noConversion"/>
  </si>
  <si>
    <t>명엽채조림</t>
    <phoneticPr fontId="12" type="noConversion"/>
  </si>
  <si>
    <t>제육간장불고기</t>
    <phoneticPr fontId="12" type="noConversion"/>
  </si>
  <si>
    <t>열무나물</t>
    <phoneticPr fontId="12" type="noConversion"/>
  </si>
  <si>
    <t>닭살떡조림</t>
    <phoneticPr fontId="12" type="noConversion"/>
  </si>
  <si>
    <t>양배추(국산)19.6%, 소고기(호주산)5.4%, 정제수, 대파, 마늘, 소금,멸치육수농축액, 국간장</t>
    <phoneticPr fontId="12" type="noConversion"/>
  </si>
  <si>
    <t>&amp; 베이컨토마토소스</t>
    <phoneticPr fontId="12" type="noConversion"/>
  </si>
  <si>
    <t>베이컨(돼지고기기:외국산)7%,토마토소스[과채가공품(토마토:이탈리아산),토마토페이스트(토마토:중국산)],  양파, 피망, 올리브오일, 후추, 파슬리가루</t>
    <phoneticPr fontId="12" type="noConversion"/>
  </si>
  <si>
    <t>.5.10.12.</t>
    <phoneticPr fontId="12" type="noConversion"/>
  </si>
  <si>
    <t>레몬크림탕수육</t>
    <phoneticPr fontId="12" type="noConversion"/>
  </si>
  <si>
    <t>불고기피자</t>
    <phoneticPr fontId="12" type="noConversion"/>
  </si>
  <si>
    <t>{소시지[닭고기(국산)54.04%, 정제수, 돼지고기(국산)24.22%, 옥수수전분(러시아,헝가리,세르비아등).돈지방(국산),정제수, 정제소금)]80%, 대두유, 당근, 양파, 간장, 올리고당, 참기름, 참께</t>
    <phoneticPr fontId="12" type="noConversion"/>
  </si>
  <si>
    <t>새우튀김</t>
    <phoneticPr fontId="12" type="noConversion"/>
  </si>
  <si>
    <t>새우튀김[흰다리새우30%, 빵가루(밀가루.쇼트닝.설탕.효모.옥수수전분.정제소금 등)베트남산</t>
    <phoneticPr fontId="12" type="noConversion"/>
  </si>
  <si>
    <t>.1.5.6.9.</t>
    <phoneticPr fontId="12" type="noConversion"/>
  </si>
  <si>
    <t>새우튀김(이츠웰)/개당20g</t>
    <phoneticPr fontId="12" type="noConversion"/>
  </si>
  <si>
    <t>돼지고기(국내산)25.06%,소고기(국내산)5%,양배추,양파(국내산),설탕,빵가루,표고버섯,옥수수전본,대파,당근,양조간장,마늘,참기름,생강,소금,후추</t>
    <phoneticPr fontId="12" type="noConversion"/>
  </si>
  <si>
    <t>육즙가득미니떡갈비(아이누리)</t>
    <phoneticPr fontId="12" type="noConversion"/>
  </si>
  <si>
    <t>올갱이미역국</t>
    <phoneticPr fontId="12" type="noConversion"/>
  </si>
  <si>
    <t>불린미역(국산)21%, 다슬기(국내산)2%, 마늘, 정제수, 국간장, 참치액, 소금</t>
    <phoneticPr fontId="12" type="noConversion"/>
  </si>
  <si>
    <t>황금팽이소불고기</t>
    <phoneticPr fontId="12" type="noConversion"/>
  </si>
  <si>
    <t>날치알계란찜</t>
    <phoneticPr fontId="12" type="noConversion"/>
  </si>
  <si>
    <t>계란(국산)46.2%, 날치알[열빙어알(아이슬랜드산).날치알(인도네시아산.페루산)1.5%, 쪽파, 당근, 정제수, 우유, 소금</t>
    <phoneticPr fontId="12" type="noConversion"/>
  </si>
  <si>
    <t>도라지오이생채</t>
    <phoneticPr fontId="12" type="noConversion"/>
  </si>
  <si>
    <t>도라지(중국산)55%, 오이(국내산)25%, 당근, 양파, 파, 마늘, 고추장, 식초, 설탕, 소금, 참기름, 참깨</t>
    <phoneticPr fontId="12" type="noConversion"/>
  </si>
  <si>
    <t>배추된장나물</t>
    <phoneticPr fontId="12" type="noConversion"/>
  </si>
  <si>
    <t>과일</t>
    <phoneticPr fontId="12" type="noConversion"/>
  </si>
  <si>
    <t>닭봉양념조림</t>
    <phoneticPr fontId="12" type="noConversion"/>
  </si>
  <si>
    <t>닭봉(닭:국산)90%, 정제수, 간장, 고추장, 케찹, 물엿, 맛술, 설탕, 후추, 참기름</t>
    <phoneticPr fontId="12" type="noConversion"/>
  </si>
  <si>
    <t>두부(대두:미국.캐나다.호주 등), 들기름, 간장, 두반장, 고춧가루, 마늘, 파, 맛술, 전분물, 참깨</t>
    <phoneticPr fontId="12" type="noConversion"/>
  </si>
  <si>
    <t>순살치킨</t>
    <phoneticPr fontId="12" type="noConversion"/>
  </si>
  <si>
    <t>70g</t>
    <phoneticPr fontId="12" type="noConversion"/>
  </si>
  <si>
    <t>황태감자국</t>
    <phoneticPr fontId="12" type="noConversion"/>
  </si>
  <si>
    <t>얼갈이(국산) 20%, 다슬기(국산)3%, 된장(콩:원료수입산), 파, 마늘, 양파, 정제수, 국간장, 소금,</t>
    <phoneticPr fontId="12" type="noConversion"/>
  </si>
  <si>
    <t>고사리당근나물</t>
    <phoneticPr fontId="12" type="noConversion"/>
  </si>
  <si>
    <t>고사리(중국산)85.6%, 당근, 마늘, 대파, 대두유, 국간장, 소금, 참기름, 참깨</t>
    <phoneticPr fontId="12" type="noConversion"/>
  </si>
  <si>
    <t>검은콩멸치조림</t>
    <phoneticPr fontId="12" type="noConversion"/>
  </si>
  <si>
    <t>검은콩(중국산)82%, 멸치(국내산)3%,  간장, 물엿, 설탕, 참기름, 참깨</t>
    <phoneticPr fontId="12" type="noConversion"/>
  </si>
  <si>
    <t>돈채버섯볶음</t>
    <phoneticPr fontId="12" type="noConversion"/>
  </si>
  <si>
    <t>고구마(국산)78%, 대두유, 정제수, 맛술, 간장, 물엿, 참기름</t>
    <phoneticPr fontId="12" type="noConversion"/>
  </si>
  <si>
    <t>유니짜장덮밥소스</t>
    <phoneticPr fontId="12" type="noConversion"/>
  </si>
  <si>
    <t>소고기소보로</t>
    <phoneticPr fontId="12" type="noConversion"/>
  </si>
  <si>
    <t>.5.21.</t>
    <phoneticPr fontId="12" type="noConversion"/>
  </si>
  <si>
    <t>고구마조림</t>
    <phoneticPr fontId="12" type="noConversion"/>
  </si>
  <si>
    <t>도토리묵김치무침</t>
    <phoneticPr fontId="12" type="noConversion"/>
  </si>
  <si>
    <t>하와이안마카로니SD</t>
    <phoneticPr fontId="12" type="noConversion"/>
  </si>
  <si>
    <t>건새우미역국</t>
    <phoneticPr fontId="12" type="noConversion"/>
  </si>
  <si>
    <t>무(국산)25%, 건새우(국산)3%, 대파, 마늘, 멸치육수농축액, 정제수, 소금</t>
    <phoneticPr fontId="12" type="noConversion"/>
  </si>
  <si>
    <t>불린미역(국산)23%, 건새우(국내산),3%, 정제수, 참기름, 국간장, 밥새우, 멸치육수농축액, 마늘, 소금</t>
    <phoneticPr fontId="12" type="noConversion"/>
  </si>
  <si>
    <t>.5.9.21.</t>
    <phoneticPr fontId="12" type="noConversion"/>
  </si>
  <si>
    <t>햄김치볶음밥</t>
    <phoneticPr fontId="12" type="noConversion"/>
  </si>
  <si>
    <t>쌀밥(쌀:국산)85%, 배추김치(국내산)5%, 햄(돼지고기:국산)3%, 대두유, 소금, 간장, 참기름,참깨</t>
    <phoneticPr fontId="12" type="noConversion"/>
  </si>
  <si>
    <t>..5.10.11.</t>
    <phoneticPr fontId="12" type="noConversion"/>
  </si>
  <si>
    <t>밥(쌀:국산)95%, 김가루(김:국내산), 후리카케[볶은참깨(참깨:인도산), 밀소맥볼(밀:미국,호주산),조각김(김:국산), 양조간장], 맛소금, 참기름</t>
    <phoneticPr fontId="12" type="noConversion"/>
  </si>
  <si>
    <t>김가루밥</t>
    <phoneticPr fontId="12" type="noConversion"/>
  </si>
  <si>
    <t>조미밥</t>
    <phoneticPr fontId="12" type="noConversion"/>
  </si>
  <si>
    <t>게살계란탕</t>
    <phoneticPr fontId="12" type="noConversion"/>
  </si>
  <si>
    <t>제공인원</t>
    <phoneticPr fontId="12" type="noConversion"/>
  </si>
  <si>
    <t>40g / 50g</t>
    <phoneticPr fontId="12" type="noConversion"/>
  </si>
  <si>
    <t>소불고기</t>
    <phoneticPr fontId="12" type="noConversion"/>
  </si>
  <si>
    <t>소고기(호주산)77%, 새송이버섯(국산)10%, 당근, 대파, 마늘, 간장, 맛술, 참기름, 후추, 참깨</t>
    <phoneticPr fontId="12" type="noConversion"/>
  </si>
  <si>
    <t>.5.6.12.16.21.</t>
    <phoneticPr fontId="12" type="noConversion"/>
  </si>
  <si>
    <t>친환경귀리쌀밥</t>
  </si>
  <si>
    <t>친환경찰흑미쌀밥</t>
  </si>
  <si>
    <t>백김치</t>
  </si>
  <si>
    <t>친환경찰보리쌀밥</t>
  </si>
  <si>
    <t>도시락김</t>
  </si>
  <si>
    <t>김자반</t>
  </si>
  <si>
    <t>미역무채무침</t>
    <phoneticPr fontId="12" type="noConversion"/>
  </si>
  <si>
    <t>무(국내산)70%, 미역(국산)15%, (국내산)]10%, 설탕, 식초, 레몬즙, 소금, 참깨</t>
    <phoneticPr fontId="12" type="noConversion"/>
  </si>
  <si>
    <t>메추리알짜장볶이</t>
    <phoneticPr fontId="12" type="noConversion"/>
  </si>
  <si>
    <t>메추리알(국산)65%, 어묵(연육:베트남산.중국산)15%, 짜장분말, 춘장, 대두유, 설탕, 정제수, 물엿</t>
    <phoneticPr fontId="12" type="noConversion"/>
  </si>
  <si>
    <t>자숙연근(중국산)85%, 흑임자소스[흑임자(중국산.인도산), 플레인요거트, 레몬즙, 소금, 설탕, 식초]15%</t>
    <phoneticPr fontId="12" type="noConversion"/>
  </si>
  <si>
    <t>훈제닭볶음</t>
    <phoneticPr fontId="12" type="noConversion"/>
  </si>
  <si>
    <t>파래김(국내산)86%, 당근, 쪽파, 맛술, 간장, 참기름, 참깨</t>
    <phoneticPr fontId="15" type="noConversion"/>
  </si>
  <si>
    <t>건파래무침</t>
    <phoneticPr fontId="12" type="noConversion"/>
  </si>
  <si>
    <t>족발채소무침</t>
    <phoneticPr fontId="12" type="noConversion"/>
  </si>
  <si>
    <t>푸실리감자SD</t>
    <phoneticPr fontId="12" type="noConversion"/>
  </si>
  <si>
    <t>콩나물청경채무침</t>
    <phoneticPr fontId="12" type="noConversion"/>
  </si>
  <si>
    <t>콩나물(원료수입산)90%, 청경채(국산)2%, 마늘, 대파, 참치액, 소금, 참기름, 참깨</t>
    <phoneticPr fontId="12" type="noConversion"/>
  </si>
  <si>
    <t>소고기짜장덮밥소스</t>
    <phoneticPr fontId="12" type="noConversion"/>
  </si>
  <si>
    <t>돈육깍두기찌개</t>
    <phoneticPr fontId="12" type="noConversion"/>
  </si>
  <si>
    <t>감자크림뇨끼</t>
    <phoneticPr fontId="12" type="noConversion"/>
  </si>
  <si>
    <t>뇨끼(이탈리아산)75%, 베이컨(돼지고기:수입산)3%, 크림소스, 우유, 후추, 소금, 파슬리가루</t>
    <phoneticPr fontId="12" type="noConversion"/>
  </si>
  <si>
    <t>양배추오렌지SD</t>
    <phoneticPr fontId="12" type="noConversion"/>
  </si>
  <si>
    <t>[양배추(국산)90%, 적채(국산)2.5%, 오렌지슬라이스(오렌지:미국산)7.5%]87%, 오렌지드레싱[밀감(중국산),설탕, 옥수수(외국산), 오렌지농축액(브라질산)]13%</t>
    <phoneticPr fontId="12" type="noConversion"/>
  </si>
  <si>
    <t>멸치육수농축액(면사랑) 40g / 55g</t>
    <phoneticPr fontId="12" type="noConversion"/>
  </si>
  <si>
    <t>돼지사태(국산)62%, 곤약, 양파, 표고버섯, 파인애플(전처리용), 당근, 대파, 마늘, 생강가루, 월계수잎, 정제수, 간장, 설탕, 맛술, 물엿, 참기름, 후추</t>
    <phoneticPr fontId="12" type="noConversion"/>
  </si>
  <si>
    <t>미니해물부추전</t>
    <phoneticPr fontId="12" type="noConversion"/>
  </si>
  <si>
    <t>부추(중국산)36.5%, 부침가루[밀가루(밀:호주산,미국산), 정제소금(국산), 찹쌀가루, 정제소금], 정제수, 양파(국산)11.3%, 오징어, 대두유, 정제소금</t>
    <phoneticPr fontId="12" type="noConversion"/>
  </si>
  <si>
    <t>오징어부추전(영풍)</t>
    <phoneticPr fontId="12" type="noConversion"/>
  </si>
  <si>
    <t>40g</t>
    <phoneticPr fontId="12" type="noConversion"/>
  </si>
  <si>
    <t>40g / 50g 멸치육수농축액(면사랑)</t>
    <phoneticPr fontId="12" type="noConversion"/>
  </si>
  <si>
    <t>25g / 30g</t>
    <phoneticPr fontId="12" type="noConversion"/>
  </si>
  <si>
    <t>된장찌개</t>
    <phoneticPr fontId="12" type="noConversion"/>
  </si>
  <si>
    <t>모둠채소(호박, 양파, 감자:국산)20%, 두부(콩:미국,호주,캐나다등)12%, 파, 마늘, 된장, 멸치육수농축액, 정제수, 소금</t>
    <phoneticPr fontId="12" type="noConversion"/>
  </si>
  <si>
    <t>마라닭살떡조림</t>
    <phoneticPr fontId="12" type="noConversion"/>
  </si>
  <si>
    <t>닭고기[닭가슴살70%(국산), 닭다리살30%(브라질산)]75%, 모양떡(쌀:수입산)15%, 마라상궈소스, 정제수, 간장, 물엿, 설탕, 후추</t>
    <phoneticPr fontId="12" type="noConversion"/>
  </si>
  <si>
    <t>43ea까지 / 용가리치킨(하림)</t>
    <phoneticPr fontId="12" type="noConversion"/>
  </si>
  <si>
    <t>550g/1,200g/순살치킨가라아게(하림)</t>
    <phoneticPr fontId="12" type="noConversion"/>
  </si>
  <si>
    <t>450g/900g/목화솜 등심탕수육(이츠웰.하늘푸드)</t>
    <phoneticPr fontId="12" type="noConversion"/>
  </si>
  <si>
    <t>글로벌
리더스
.
석식</t>
    <phoneticPr fontId="12" type="noConversion"/>
  </si>
  <si>
    <t>매콤찜닭</t>
    <phoneticPr fontId="12" type="noConversion"/>
  </si>
  <si>
    <t>양념멸치볶음</t>
    <phoneticPr fontId="12" type="noConversion"/>
  </si>
  <si>
    <t>35g / 45g</t>
    <phoneticPr fontId="12" type="noConversion"/>
  </si>
  <si>
    <t>45g / 50g</t>
    <phoneticPr fontId="12" type="noConversion"/>
  </si>
  <si>
    <t>50g / 60g</t>
    <phoneticPr fontId="12" type="noConversion"/>
  </si>
  <si>
    <t>30g / 35g</t>
    <phoneticPr fontId="12" type="noConversion"/>
  </si>
  <si>
    <t>40g / 45g</t>
    <phoneticPr fontId="12" type="noConversion"/>
  </si>
  <si>
    <t>통살오징어볼(가토코)/개당 5g(97원)</t>
    <phoneticPr fontId="12" type="noConversion"/>
  </si>
  <si>
    <t>닭안심카레조림</t>
    <phoneticPr fontId="12" type="noConversion"/>
  </si>
  <si>
    <t>닭고기(국내산)85%, 양파, 당근, 마늘, 카레가루, 소금, 후추, 참깨</t>
    <phoneticPr fontId="12" type="noConversion"/>
  </si>
  <si>
    <t>냉이(국산)7.8%, 모둠채소[느타리버섯(국산)), 무(국산), 양파(국산) ]13%, 파, 마늘, 된장, 정제수, 멸치육수농축액, 소금</t>
    <phoneticPr fontId="12" type="noConversion"/>
  </si>
  <si>
    <t>냉이된장국</t>
    <phoneticPr fontId="12" type="noConversion"/>
  </si>
  <si>
    <t>구운어묵볶음</t>
    <phoneticPr fontId="12" type="noConversion"/>
  </si>
  <si>
    <t>순두부(대두:미국,태나다.중국 등)70%, 정제수, 멸치육수농축액, 국간장</t>
    <phoneticPr fontId="12" type="noConversion"/>
  </si>
  <si>
    <t>순두부탕</t>
    <phoneticPr fontId="12" type="noConversion"/>
  </si>
  <si>
    <t>감자(국산)20%, 두부(대두:외국산)5%, 양파, 파, 마늘, 멸치육수농축액, 된장, 정제수, 소금</t>
    <phoneticPr fontId="12" type="noConversion"/>
  </si>
  <si>
    <t>50g/60g</t>
    <phoneticPr fontId="12" type="noConversion"/>
  </si>
  <si>
    <t>참치깍두기볶음</t>
    <phoneticPr fontId="12" type="noConversion"/>
  </si>
  <si>
    <t>.5.6.9.21.</t>
    <phoneticPr fontId="12" type="noConversion"/>
  </si>
  <si>
    <t>돈채춘장볶음</t>
    <phoneticPr fontId="12" type="noConversion"/>
  </si>
  <si>
    <t>토마토닭볶음탕</t>
    <phoneticPr fontId="12" type="noConversion"/>
  </si>
  <si>
    <t>.5.6.12.15.</t>
    <phoneticPr fontId="12" type="noConversion"/>
  </si>
  <si>
    <t>돈채피망볶음</t>
    <phoneticPr fontId="12" type="noConversion"/>
  </si>
  <si>
    <t>미소불고기</t>
    <phoneticPr fontId="12" type="noConversion"/>
  </si>
  <si>
    <t>돼지고기(국산)80%, 양배추, 양파, 당근, 대파, 마늘, 미소된장[국내생산(대두.쌀:외국산)], 간장, 맛술, 참기름, 후추</t>
    <phoneticPr fontId="12" type="noConversion"/>
  </si>
  <si>
    <t>소고기(호주산)78%, 미소된장[국내생산(대두:외국산,쌀:외국산)], 정제수, 양파, 피망, 마늘, 간장, 설탕, 맛술, 후추, 참기름, 참깨</t>
    <phoneticPr fontId="12" type="noConversion"/>
  </si>
  <si>
    <t>명란크림숏파스타</t>
    <phoneticPr fontId="12" type="noConversion"/>
  </si>
  <si>
    <t>펜네(듀럼밀100%)66%, 명란(미국산), 꼬마새송이버섯(국산), 크림소스, 우유, 후추, 소금, 파슬리가루</t>
    <phoneticPr fontId="12" type="noConversion"/>
  </si>
  <si>
    <t>채소계란전</t>
    <phoneticPr fontId="12" type="noConversion"/>
  </si>
  <si>
    <t>[두부(대두:외국산), 전란액(국산),대파(국산), 양배추, 당근, 대두유]</t>
    <phoneticPr fontId="12" type="noConversion"/>
  </si>
  <si>
    <t>1.5.6.</t>
    <phoneticPr fontId="12" type="noConversion"/>
  </si>
  <si>
    <t>담백가득 야채계란전(개당 30g)</t>
    <phoneticPr fontId="12" type="noConversion"/>
  </si>
  <si>
    <t>숙주닭곰탕</t>
    <phoneticPr fontId="12" type="noConversion"/>
  </si>
  <si>
    <t>닭고기(국내산)12%, 숙주(녹두:외국산), 파, 마늘, 소금, 치킨스톡</t>
    <phoneticPr fontId="12" type="noConversion"/>
  </si>
  <si>
    <t>.5.16.</t>
    <phoneticPr fontId="12" type="noConversion"/>
  </si>
  <si>
    <t>양념두부조림</t>
    <phoneticPr fontId="12" type="noConversion"/>
  </si>
  <si>
    <t>멸치육수농축액(면사랑) 40g / 45g )</t>
    <phoneticPr fontId="12" type="noConversion"/>
  </si>
  <si>
    <t>돼지고기(국산)75%,  양파, 파, 마늘, 생강, 고추장, 파인애플, 고춧가루, 설탕, 간장, 맛술, 후추, 참기름, 참깨</t>
    <phoneticPr fontId="12" type="noConversion"/>
  </si>
  <si>
    <t>소고기다짐육(호주산)60%, 스크램블에그(계란:국내산)30%, 부추(국내산), 대두유, 간장, 맛술, 설탕, 후추, 참기름, 참깨</t>
    <phoneticPr fontId="12" type="noConversion"/>
  </si>
  <si>
    <t>시금치(국산)90%, 홍파프리카, 마늘, 파, 소금, 국간장, 참기름, 참깨</t>
    <phoneticPr fontId="12" type="noConversion"/>
  </si>
  <si>
    <t>30g / 35g</t>
    <phoneticPr fontId="12" type="noConversion"/>
  </si>
  <si>
    <t>절임열무51%(열무,식염, 고춧가루, 양파, 대파, 전용풀. 마늘, 다시마농축액.새우액젓.생강:국산)</t>
    <phoneticPr fontId="12" type="noConversion"/>
  </si>
  <si>
    <t>채소계란국</t>
    <phoneticPr fontId="12" type="noConversion"/>
  </si>
  <si>
    <t>사골미역국</t>
    <phoneticPr fontId="12" type="noConversion"/>
  </si>
  <si>
    <t>불린미역(국내산)25%, 사골육수 [우잡뼈(한우)사골액기스 {정제수, 사골농축액17%(호주산) 천일염}, 정제수], 참기름, 국간장, 밥새우, 소금</t>
    <phoneticPr fontId="12" type="noConversion"/>
  </si>
  <si>
    <t>.2.5.6.9.12.16.</t>
    <phoneticPr fontId="12" type="noConversion"/>
  </si>
  <si>
    <t>28g / 30g</t>
    <phoneticPr fontId="12" type="noConversion"/>
  </si>
  <si>
    <t>볼어묵(이츠웰)40g  / 45g</t>
    <phoneticPr fontId="12" type="noConversion"/>
  </si>
  <si>
    <t>&amp; 양념장</t>
    <phoneticPr fontId="12" type="noConversion"/>
  </si>
  <si>
    <t>저염표고강정</t>
    <phoneticPr fontId="12" type="noConversion"/>
  </si>
  <si>
    <t>표고탕수[표고버섯채(중국산:46.88%), 밀가루:미국산]78%, 강정소스(케찹, 설탕, 물엿, 참기름)</t>
    <phoneticPr fontId="12" type="noConversion"/>
  </si>
  <si>
    <t>소고기가지나물</t>
    <phoneticPr fontId="12" type="noConversion"/>
  </si>
  <si>
    <t>대파계란탕</t>
    <phoneticPr fontId="12" type="noConversion"/>
  </si>
  <si>
    <t>닭안심채소구이</t>
    <phoneticPr fontId="12" type="noConversion"/>
  </si>
  <si>
    <t>쪽파(국산)5%, 마늘, 정제수, 간장, 참기름, 참깨</t>
    <phoneticPr fontId="12" type="noConversion"/>
  </si>
  <si>
    <t>흑임자연근샐러드</t>
    <phoneticPr fontId="12" type="noConversion"/>
  </si>
  <si>
    <t>김치제육</t>
    <phoneticPr fontId="12" type="noConversion"/>
  </si>
  <si>
    <t>돼지고기(국산)65%, 배추김치(국내산)25%, 양파, 대파, 마늘, 고춧가루(국내산), 설탕, 소금, 참기름, 참깨</t>
    <phoneticPr fontId="12" type="noConversion"/>
  </si>
  <si>
    <t>.5.6.9.10.21.</t>
    <phoneticPr fontId="12" type="noConversion"/>
  </si>
  <si>
    <t>.1.5.6.15.21.</t>
    <phoneticPr fontId="12" type="noConversion"/>
  </si>
  <si>
    <t>스크램블에그</t>
    <phoneticPr fontId="12" type="noConversion"/>
  </si>
  <si>
    <t>25g / 28g</t>
    <phoneticPr fontId="12" type="noConversion"/>
  </si>
  <si>
    <t>25g / 28g</t>
    <phoneticPr fontId="12" type="noConversion"/>
  </si>
  <si>
    <t>원유(국산)72.8%, 탈지분유(국산)2.4%, 딸기젤리시럽(딸기:국산)15%, 백설탕, 올리고당, 유산균</t>
    <phoneticPr fontId="12" type="noConversion"/>
  </si>
  <si>
    <t>원유(국산)72.8%, 탈지분유(국산)2.4%, 포도젤리시럽(포도:미국산)15%, 백설탕, 올리고당, 유산균</t>
    <phoneticPr fontId="12" type="noConversion"/>
  </si>
  <si>
    <t>.5.10.12.13.19.21.</t>
    <phoneticPr fontId="12" type="noConversion"/>
  </si>
  <si>
    <t>소고기(호주산)70%, 양파(국산)7%, 아스파라거스(중국산), 파프리카, 피망, 마늘, 스테이크소스, 생크림, 우유, 간장, 설탕, 소금, 후추, 참깨</t>
    <phoneticPr fontId="12" type="noConversion"/>
  </si>
  <si>
    <t>스테이크소스(오뚜기)</t>
    <phoneticPr fontId="12" type="noConversion"/>
  </si>
  <si>
    <t>.2.5.6.12.16.21.</t>
    <phoneticPr fontId="12" type="noConversion"/>
  </si>
  <si>
    <t>닭(국산)60%, 감자(국산)13%, 양파, 당근, 파, 마늘, 정제수, 간장, 후추, 소금, 참깨</t>
    <phoneticPr fontId="12" type="noConversion"/>
  </si>
  <si>
    <t>닭고기(닭안심:국산)82%, 채소(양파, 청피망, 홍피망 : 국산)10%, 대두유, 맛술, 후추, 간장, 설탕, 파, 마늘, 참기름, 참깨</t>
    <phoneticPr fontId="12" type="noConversion"/>
  </si>
  <si>
    <t>데리야끼소스(이츠웰)</t>
  </si>
  <si>
    <t>데리야끼소스(이츠웰)</t>
    <phoneticPr fontId="12" type="noConversion"/>
  </si>
  <si>
    <t>멘치까스(하림), 데리야끼소스(이츠웰)</t>
  </si>
  <si>
    <t>.5.6.15..21.</t>
    <phoneticPr fontId="12" type="noConversion"/>
  </si>
  <si>
    <t>.2.5.6.12.16.</t>
    <phoneticPr fontId="12" type="noConversion"/>
  </si>
  <si>
    <t>돼지고기(국산)80%, 느타리버섯(국내산)5%, 양파, 당근, 마늘, 간장, 대두유, , 후추, 참기름, 참깨</t>
    <phoneticPr fontId="12" type="noConversion"/>
  </si>
  <si>
    <t>돼지고기(국산)80%, 피망(국내산)5%, 양파, 당근, 마늘, 간장, 대두유, , 후추, 참기름, 참깨</t>
    <phoneticPr fontId="12" type="noConversion"/>
  </si>
  <si>
    <t>돼지고기(미국산)83%, 피망(국산)2%, 파프리카(국산)3%, 양파(국산)2%, 당근, 스테이크소스, 후추, 참기름</t>
    <phoneticPr fontId="12" type="noConversion"/>
  </si>
  <si>
    <t>돼지고기(미국산)83%, 파인애클청크(파인애플:수입산), 양파, 피망, 파프리카, 당근, 스테이크소스, 후추, 참기름</t>
    <phoneticPr fontId="12" type="noConversion"/>
  </si>
  <si>
    <t>35g /40g</t>
    <phoneticPr fontId="12" type="noConversion"/>
  </si>
  <si>
    <t>50g/55g</t>
    <phoneticPr fontId="12" type="noConversion"/>
  </si>
  <si>
    <t>70g</t>
    <phoneticPr fontId="12" type="noConversion"/>
  </si>
  <si>
    <t>닭정육(닭가슴살,닭다리살:국산)53%, 밀떡(밀:수입산), 당근, 양파, 양배추, 대파, 마늘,정제수, 춘장, 간장, 물엿, 참기름, 후추</t>
    <phoneticPr fontId="12" type="noConversion"/>
  </si>
  <si>
    <t>닭고기(국산)53%, 밀떡(밀:수입산), 당근, 양파, 양배추, 대파, 마늘, 고추장, 고춧가루, 정제수, 간장, 물엿, 참기름, 후추</t>
    <phoneticPr fontId="12" type="noConversion"/>
  </si>
  <si>
    <t>40g / 45g볼어묵(이츠웰)</t>
    <phoneticPr fontId="12" type="noConversion"/>
  </si>
  <si>
    <t>40g / 45g종합어묵(사조대림)</t>
    <phoneticPr fontId="12" type="noConversion"/>
  </si>
  <si>
    <t>35g / 40g</t>
    <phoneticPr fontId="12" type="noConversion"/>
  </si>
  <si>
    <t>소고기(미국산.호주산)45%, 계란(국내산)10%, 표고버섯(국내산)5%, 양파, 돈부리소스, 쯔유, 정제수, 소금, 전분</t>
    <phoneticPr fontId="12" type="noConversion"/>
  </si>
  <si>
    <t xml:space="preserve"> 소고기(호주산)60%, 표고버섯(국내산)18%, 양파, 당근, 대파, 마늘, 간장, 대두유, 소금, 후추, 참기름</t>
    <phoneticPr fontId="12" type="noConversion"/>
  </si>
  <si>
    <t>.1.2.5.8.21.</t>
    <phoneticPr fontId="12" type="noConversion"/>
  </si>
  <si>
    <t>샌드어묵조림</t>
    <phoneticPr fontId="12" type="noConversion"/>
  </si>
  <si>
    <t>어묵{(연육:동방실꼬리돔)47%,, 정제수, 당근6%, 대두, 감자전분, 옥수수, 양파, 정제소금, 설탕, 계란] 원산지:중국산}90%, 양파, 파, 마늘, 간장, 참기름, 참깨</t>
    <phoneticPr fontId="12" type="noConversion"/>
  </si>
  <si>
    <t>볼어묵[연육(:중국산, 베트남산)53.29%, 설탕, 밀가루(밀:미국산, 호주산), 정제소금(국산)]90%, 양파, 마늘, 파, 간장, 참기름, 참깨</t>
    <phoneticPr fontId="12" type="noConversion"/>
  </si>
  <si>
    <t>들깨무나물</t>
    <phoneticPr fontId="12" type="noConversion"/>
  </si>
  <si>
    <t>무(국산)92%, 거피들깨(중국산), 대파, 마늘, 대두유, 소금, 들기름</t>
    <phoneticPr fontId="12" type="noConversion"/>
  </si>
  <si>
    <t>다솔토종닭훈제(팜덕) / 다향(.5.6.21.)</t>
    <phoneticPr fontId="12" type="noConversion"/>
  </si>
  <si>
    <t>소시지 [돼지고기(국산)50.31%, 닭고기(국산)31.43%]75%, 양파, 청피망, 케찹, 참기름, 참깨</t>
    <phoneticPr fontId="12" type="noConversion"/>
  </si>
  <si>
    <t>.5.6.10.12.16.21.</t>
    <phoneticPr fontId="12" type="noConversion"/>
  </si>
  <si>
    <t>메추리알파프리카볶음</t>
    <phoneticPr fontId="12" type="noConversion"/>
  </si>
  <si>
    <t>.1.5.6.12.21.</t>
    <phoneticPr fontId="12" type="noConversion"/>
  </si>
  <si>
    <t>메추리알(국산)40%, 떡(쌀:수입산), 청피망(국산)5%, 케찹, 간장, 물엿</t>
    <phoneticPr fontId="12" type="noConversion"/>
  </si>
  <si>
    <t>토마토소스(이츠웰), 로제소스 사용여부체크</t>
    <phoneticPr fontId="12" type="noConversion"/>
  </si>
  <si>
    <t>돼지고기 (국산)70%, 부추(국내산)5%, ,양파, 당근, 마늘, 대두유, 간장, 설탕, 후추, 참기름, 참깨</t>
    <phoneticPr fontId="12" type="noConversion"/>
  </si>
  <si>
    <t>.5.6.10.21.</t>
    <phoneticPr fontId="12" type="noConversion"/>
  </si>
  <si>
    <t>순두부계란탕</t>
    <phoneticPr fontId="12" type="noConversion"/>
  </si>
  <si>
    <t>순두부(원료수입산)42.9%, 계란(국내산)7%, 당근, 파, 마늘, 정제수, 멸치육수농축액, 국간장, 소금</t>
    <phoneticPr fontId="12" type="noConversion"/>
  </si>
  <si>
    <t>느타리당근나물</t>
    <phoneticPr fontId="12" type="noConversion"/>
  </si>
  <si>
    <t>느타리버섯(국내산)30%, 당근(국내산)28%, 호박(국내산)28%, 양파, 파, 마늘, 참치액, 소금, 참기름, 참깨</t>
    <phoneticPr fontId="12" type="noConversion"/>
  </si>
  <si>
    <t>.5.21.</t>
    <phoneticPr fontId="12" type="noConversion"/>
  </si>
  <si>
    <t>[정제수, 백포도농축액, 샤인머스켓농축액, 자일리톨, 청포도향(천연향료), 효소처리스테비아, 구연산]</t>
    <phoneticPr fontId="12" type="noConversion"/>
  </si>
  <si>
    <t>베베쿡</t>
    <phoneticPr fontId="12" type="noConversion"/>
  </si>
  <si>
    <t>비타포도스틱젤리</t>
    <phoneticPr fontId="12" type="noConversion"/>
  </si>
  <si>
    <t>.2.5.6.15.</t>
    <phoneticPr fontId="12" type="noConversion"/>
  </si>
  <si>
    <t>라디치오샐러드</t>
    <phoneticPr fontId="12" type="noConversion"/>
  </si>
  <si>
    <t>.5.6.13.21.</t>
    <phoneticPr fontId="12" type="noConversion"/>
  </si>
  <si>
    <t>오리엔탈드레싱(크레잇)</t>
  </si>
  <si>
    <t>오리엔탈드레싱(크레잇)</t>
    <phoneticPr fontId="12" type="noConversion"/>
  </si>
  <si>
    <t>모둠채소[라디치오5%, 양상추, 치커리, 적채]국내산</t>
    <phoneticPr fontId="12" type="noConversion"/>
  </si>
  <si>
    <t>아그네시 파르팔레, 오리엔탈드레싱(크레잇)</t>
  </si>
  <si>
    <t>.2.5.6.12.13.</t>
    <phoneticPr fontId="12" type="noConversion"/>
  </si>
  <si>
    <t>오색콩나물냉채</t>
    <phoneticPr fontId="12" type="noConversion"/>
  </si>
  <si>
    <t>콩나물(원료수입산)80%, 크래미[명태연육80.26%(미국산), 난백액(국내산), 게엑기스1.36%(국내산)]10%, 당근, 쪽파, 마늘, 허니머스터드, 식초, 설탕, 참기름, 참깨</t>
    <phoneticPr fontId="12" type="noConversion"/>
  </si>
  <si>
    <t>콩나물(원료수입산)80%, 크래미[명태연육80.26%(미국산), 난백액(국내산), 게엑기스1.36%(국내산)]10%, 당근, 부추, 적채, 마늘, 허니머스터드, 식초, 설탕, 참기름, 참깨</t>
    <phoneticPr fontId="12" type="noConversion"/>
  </si>
  <si>
    <t>.1.2.5.6.8.12.21.</t>
    <phoneticPr fontId="12" type="noConversion"/>
  </si>
  <si>
    <t>양배추두부된장국</t>
    <phoneticPr fontId="12" type="noConversion"/>
  </si>
  <si>
    <t>양배추(국내산)20%, 두부(대두:외국산)7%, 정제수, 파, 마늘, 국간장, 멸치육수농축액, 소금</t>
    <phoneticPr fontId="12" type="noConversion"/>
  </si>
  <si>
    <t>돈육(국산)8%, 두부(원료수입산)7%, 애호박, 양파, 파, 마늘, 고추장, 고추가루, 국간장, 소금</t>
    <phoneticPr fontId="12" type="noConversion"/>
  </si>
  <si>
    <t>해물동그랑땡</t>
    <phoneticPr fontId="12" type="noConversion"/>
  </si>
  <si>
    <t>{[닭고기(국산),전란액(국산),복합조미식품{밀가루(밀:미국산.호주산)]오징어, 양파, 대파, 치자황색소, 후추 등}</t>
    <phoneticPr fontId="12" type="noConversion"/>
  </si>
  <si>
    <t>.1.2.5.6.10.15.17.</t>
    <phoneticPr fontId="12" type="noConversion"/>
  </si>
  <si>
    <t>22g/125원/계란옷입은알찬해물동그랑땡(굿딜)</t>
    <phoneticPr fontId="12" type="noConversion"/>
  </si>
  <si>
    <t>부대찌개</t>
    <phoneticPr fontId="12" type="noConversion"/>
  </si>
  <si>
    <t>사골엑기스(이츠웰), 모둠햄(대림선)</t>
    <phoneticPr fontId="12" type="noConversion"/>
  </si>
  <si>
    <t>모둠햄{켄터키후랑크[닭고기(국산)20%,돼지고기(국산)],스모크햄[돼지고기(국산),닭고기(국산)]}18%, 베이크드빈(원료수입산)3%, 양배추, 양파, 파, 마늘, 대두유, 케첩, 간장, 설탕, 고춧가루, 치킨스톡, 물엿, 후추</t>
    <phoneticPr fontId="12" type="noConversion"/>
  </si>
  <si>
    <t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t>
    <phoneticPr fontId="12" type="noConversion"/>
  </si>
  <si>
    <t>꽈리고추계란장조림</t>
    <phoneticPr fontId="12" type="noConversion"/>
  </si>
  <si>
    <t>계란(국산)78%, 꽈리고추(국내산)3%, 정제수, 간장, 통후추, 맛술, 물엿</t>
    <phoneticPr fontId="12" type="noConversion"/>
  </si>
  <si>
    <t>양배추케요샐러드</t>
    <phoneticPr fontId="12" type="noConversion"/>
  </si>
  <si>
    <t>배추(국내산)70&amp;, 무(국내산)10%, 마늘, 생강, 양파, 설탕, 정제수, 소금</t>
    <phoneticPr fontId="12" type="noConversion"/>
  </si>
  <si>
    <t>스테이크소스(오뚜기),데미글라스소스(오뚜기)</t>
    <phoneticPr fontId="12" type="noConversion"/>
  </si>
  <si>
    <t>.1.2.5.6.15.16.18.</t>
    <phoneticPr fontId="12" type="noConversion"/>
  </si>
  <si>
    <t>.1.2.5.18.21.</t>
    <phoneticPr fontId="12" type="noConversion"/>
  </si>
  <si>
    <t>.1.5.10.15.16.18.21.</t>
    <phoneticPr fontId="12" type="noConversion"/>
  </si>
  <si>
    <t>.1.2.5.16.18.21.</t>
    <phoneticPr fontId="12" type="noConversion"/>
  </si>
  <si>
    <t>.1.2.5.10.18.</t>
    <phoneticPr fontId="12" type="noConversion"/>
  </si>
  <si>
    <t>.1.2.5.18.</t>
    <phoneticPr fontId="12" type="noConversion"/>
  </si>
  <si>
    <t>닭(닭가슴살,닭다리살:국산)70%, 표고버섯(국산), 대추채(국산), 연근(중국산), 양파, 당근, 파, 마늘, 정제수, 물엿, 맛술, 간장, 후추, 소금, 참기름, 참깨</t>
    <phoneticPr fontId="12" type="noConversion"/>
  </si>
  <si>
    <r>
      <t>방울토마토(국산)30%, 보코치니치즈(모짜렐라치즈:미국산)25%, 파인애플청크(수입산), 바질페스토</t>
    </r>
    <r>
      <rPr>
        <sz val="10"/>
        <color rgb="FFFF0000"/>
        <rFont val="맑은 고딕"/>
        <family val="3"/>
        <charset val="129"/>
      </rPr>
      <t>(캐슈넛미량함유)</t>
    </r>
    <r>
      <rPr>
        <sz val="10"/>
        <color rgb="FF000000"/>
        <rFont val="맑은 고딕"/>
        <family val="3"/>
        <charset val="129"/>
      </rPr>
      <t>, 올리브오일, 소금, 레몬</t>
    </r>
    <phoneticPr fontId="12" type="noConversion"/>
  </si>
  <si>
    <t>아귀(국산)8%, 콩나물(콩:수입산), 무(국내산), 파, 마늘, 정제수, 국간장, 소금</t>
    <phoneticPr fontId="12" type="noConversion"/>
  </si>
  <si>
    <t>메추리알(국산)82%, 파프리카(국내산)3%, 간장, 물엿, 참기름, 참깨</t>
    <phoneticPr fontId="12" type="noConversion"/>
  </si>
  <si>
    <t>35g / 40g(2026.05.12)</t>
    <phoneticPr fontId="12" type="noConversion"/>
  </si>
  <si>
    <t>&amp; 브라운소스</t>
    <phoneticPr fontId="12" type="noConversion"/>
  </si>
  <si>
    <t>오이미역초무침</t>
    <phoneticPr fontId="12" type="noConversion"/>
  </si>
  <si>
    <t>오이(국산)75%, 불린미역(미역:국내산)12%, 설탕, 식초, 레몬즙, 소금, 참깨</t>
    <phoneticPr fontId="12" type="noConversion"/>
  </si>
  <si>
    <t>팝콘피쉬볼[명태살(러시아산)63.06%, 옥수수가루(주국산),옥수수전분(중국산),밀가루, 베이킹파우더, 정제수, 정제소금]97%, 대두유(원료수입산)</t>
    <phoneticPr fontId="12" type="noConversion"/>
  </si>
  <si>
    <t>1.6.</t>
    <phoneticPr fontId="12" type="noConversion"/>
  </si>
  <si>
    <t>양송이(국내산)2%, 스테이크소스[토마토페이스트(중국산),사과농축액(사과:국산)], 데미글라스소스[사골엑기스(뉴질랜드산),토마토페이스트(수입산),버터루 등)], 마늘, 생크림, 우유</t>
    <phoneticPr fontId="12" type="noConversion"/>
  </si>
  <si>
    <t>케찹떡볶이</t>
    <phoneticPr fontId="12" type="noConversion"/>
  </si>
  <si>
    <t>허니돈육강정</t>
    <phoneticPr fontId="12" type="noConversion"/>
  </si>
  <si>
    <t>오리엔탈그린샐러드</t>
    <phoneticPr fontId="12" type="noConversion"/>
  </si>
  <si>
    <t>오리엔탈드레싱(크래잇)</t>
    <phoneticPr fontId="12" type="noConversion"/>
  </si>
  <si>
    <t>모둠채소(양상추, 로메인, 양배추, 치커리, 적채:국산)90%, 오리엔탈드레싱[양조간장, 혼합간장, 천일염, 대두유, 레몬식초, 참기름, 참깨 등]</t>
    <phoneticPr fontId="12" type="noConversion"/>
  </si>
  <si>
    <t>20g / 25g</t>
    <phoneticPr fontId="12" type="noConversion"/>
  </si>
  <si>
    <t>얼큰순두부찌개</t>
    <phoneticPr fontId="12" type="noConversion"/>
  </si>
  <si>
    <t>순두부(원료수입산)42.9%, 바지락살(중국산)3%, 호박, 양파, 파, 마늘, 정제수, 고춧가루, 고추기름, 국간장, 참치액, 소금</t>
    <phoneticPr fontId="12" type="noConversion"/>
  </si>
  <si>
    <t>돈육김치찌개</t>
    <phoneticPr fontId="12" type="noConversion"/>
  </si>
  <si>
    <t>순살치킨[닭고기(닭다리살:브라질산)64.76%,밀가루(밀:호주산,미국산),옥수수전분(옥수수:외국산), 대두유]85%, 케찹, 물엿, 참기름</t>
    <phoneticPr fontId="12" type="noConversion"/>
  </si>
  <si>
    <t>족발[돼지고기(뒷다리:국산)97.6%, 양파(국산), 마늘(국산), 참당귀, 생강, 감초, 설탕, 대파, 정제소금, 계피, 치자]95%, 부추, 마늘, 간장, 설탕, 참기름, 참깨</t>
    <phoneticPr fontId="12" type="noConversion"/>
  </si>
  <si>
    <t>어간장두부조림</t>
    <phoneticPr fontId="12" type="noConversion"/>
  </si>
  <si>
    <t>.5.6.8.</t>
  </si>
  <si>
    <t>두부(대두:외국산), 어간장[멸치액젓(베트남산),홍게엑기스], 양조간장, 마늘, 파, 맛술, 전분물</t>
    <phoneticPr fontId="12" type="noConversion"/>
  </si>
  <si>
    <t>순살동태(러시아산)7.2%, 무(국산)13%,두부, 쑥갓, 양파, 대파, 마늘, 멸치육수농축액, 국간장, 소금</t>
    <phoneticPr fontId="12" type="noConversion"/>
  </si>
  <si>
    <t>밀떡(밀:수입산)60%, 소고기(호주산)20%, 양파, 당근, , 대두유, 간장, 설탕, 참기름, 참깨</t>
    <phoneticPr fontId="12" type="noConversion"/>
  </si>
  <si>
    <t>메추리알(국산)77.3%, 정제수, 통후추, 월계수잎, 간장, 설탕, 물엿, 참기름</t>
    <phoneticPr fontId="12" type="noConversion"/>
  </si>
  <si>
    <t>돈사태양념찜</t>
    <phoneticPr fontId="12" type="noConversion"/>
  </si>
  <si>
    <t>마라떡볶이</t>
    <phoneticPr fontId="12" type="noConversion"/>
  </si>
  <si>
    <t>밀떡(밀:원료수입산), 어묵(연육(베트남산.중국산),소시지(돼지고기.닭고기:국내산), 대파, 정제수, 마라로제소스[우유(국산).고춧가루(중국산.베트남산)]</t>
    <phoneticPr fontId="12" type="noConversion"/>
  </si>
  <si>
    <t>한입새우튀김 : 30g / 40g / 50g (소스15g)</t>
    <phoneticPr fontId="12" type="noConversion"/>
  </si>
  <si>
    <t>코울슬로</t>
    <phoneticPr fontId="12" type="noConversion"/>
  </si>
  <si>
    <t>볼어묵[연육(:중국산, 베트남산)]18%, 무(국산)7%, 양파, 대파, 마늘, 정제수, 국간장, 소금</t>
    <phoneticPr fontId="12" type="noConversion"/>
  </si>
  <si>
    <t>돈육우거지탕</t>
    <phoneticPr fontId="12" type="noConversion"/>
  </si>
  <si>
    <t>돈육장조림</t>
    <phoneticPr fontId="12" type="noConversion"/>
  </si>
  <si>
    <t>중식소고기볶음</t>
  </si>
  <si>
    <t>치커리오이무침</t>
  </si>
  <si>
    <t>치즈계란찜</t>
    <phoneticPr fontId="12" type="noConversion"/>
  </si>
  <si>
    <t>순살치킨[닭고기(닭다리살:브라질산)64.76%,밀가루(밀:호주산,미국산),옥수수전분(옥수수:외국산), 대두유]98%, 눈꽃치즈(모짜렐라치즈:외국산99%)2%</t>
    <phoneticPr fontId="12" type="noConversion"/>
  </si>
  <si>
    <t>메추리알장조림</t>
    <phoneticPr fontId="12" type="noConversion"/>
  </si>
  <si>
    <t>뿌링클감자구이</t>
    <phoneticPr fontId="12" type="noConversion"/>
  </si>
  <si>
    <t>심플로트(렌치웨지컷),뿌링클치즈시즈닝(상상푸드)</t>
    <phoneticPr fontId="12" type="noConversion"/>
  </si>
  <si>
    <t>반달감자[감자96.855%, 식물성유지(대두유, 카놀라유, 면실유), 산성피로인산나트륨, 포도당, 무수아황산(산화방지제)]미국산, 치즈시즈닝(치즈혼합분말:미국산,호주산)</t>
    <phoneticPr fontId="12" type="noConversion"/>
  </si>
  <si>
    <t>비엔나채소볶음</t>
    <phoneticPr fontId="12" type="noConversion"/>
  </si>
  <si>
    <t>마라로제닭볶음</t>
    <phoneticPr fontId="12" type="noConversion"/>
  </si>
  <si>
    <t>족발[돼지고기(뒷다리:국산)97.6%, 양파(국산), 마늘(국산), 참당귀, 생강, 감초, 설탕, 대파, 정제소금, 계피, 치자]70%, 곤약분모자(곤약분말:외국산)양배추, 적채, 당근, 부추, 마늘, 허니머스터드, 식초 설탕, 참기름, 참깨</t>
    <phoneticPr fontId="12" type="noConversion"/>
  </si>
  <si>
    <t>족발(미쓰족발&amp;이츠웰), 발효곤약분모자(마틴조)</t>
    <phoneticPr fontId="12" type="noConversion"/>
  </si>
  <si>
    <t>.1.2.5.6.10.21.</t>
    <phoneticPr fontId="12" type="noConversion"/>
  </si>
  <si>
    <t>김치(고추가루, 배추:국산)20%, 참치(가다랑어:원양산)10%, 두부(원료수입산), 양파, 대파, 마늘, 정제수, 국간장, 소금</t>
    <phoneticPr fontId="12" type="noConversion"/>
  </si>
  <si>
    <t>챀치파우치(사조)</t>
    <phoneticPr fontId="12" type="noConversion"/>
  </si>
  <si>
    <t>김치(고추가루, 배추:국산)50%, 참치(가다랑어:원양산)25%, 양파, 파, 마늘, 설탕, 고춧가루, 대두유, 참기름, 참깨</t>
    <phoneticPr fontId="12" type="noConversion"/>
  </si>
  <si>
    <t>참치파우치(사조)</t>
    <phoneticPr fontId="12" type="noConversion"/>
  </si>
  <si>
    <t>참치(가다랑어:원양산)7%, 깍두기[무(국내산),고춧가루(국내산)],대두유, 소금,참기름,참깨</t>
    <phoneticPr fontId="12" type="noConversion"/>
  </si>
  <si>
    <t>들기름도토리묵무침</t>
    <phoneticPr fontId="12" type="noConversion"/>
  </si>
  <si>
    <t>도토리묵(원료수입산)85%, 김가루(김:국내산), 간장, 설탕, 들기름, 참깨</t>
    <phoneticPr fontId="12" type="noConversion"/>
  </si>
  <si>
    <t>돈채마늘쫑볶음</t>
    <phoneticPr fontId="12" type="noConversion"/>
  </si>
  <si>
    <t>돈채(돼지고기:국산)62%, 마늘쫑(중국산)7%, 양파, 당근, 소스(마늘, 간장, 설탕, 후추, 대두유, 참기름, 참깨)25%</t>
    <phoneticPr fontId="12" type="noConversion"/>
  </si>
  <si>
    <t xml:space="preserve">                  08월 식단표</t>
    <phoneticPr fontId="12" type="noConversion"/>
  </si>
  <si>
    <t xml:space="preserve">           08월 식단표</t>
    <phoneticPr fontId="12" type="noConversion"/>
  </si>
  <si>
    <t>6주차</t>
    <phoneticPr fontId="12" type="noConversion"/>
  </si>
  <si>
    <t>유니짜장덮밥소스</t>
  </si>
  <si>
    <t>두부탕국</t>
  </si>
  <si>
    <t>닭살떡조림</t>
  </si>
  <si>
    <t>햄에그롤</t>
  </si>
  <si>
    <t>콩나물청경채무침</t>
  </si>
  <si>
    <t>우삼겹된장찌개</t>
  </si>
  <si>
    <t>미소된장제육</t>
  </si>
  <si>
    <t>근대된장국</t>
  </si>
  <si>
    <t>숙주나물</t>
    <phoneticPr fontId="12" type="noConversion"/>
  </si>
  <si>
    <t>애호박새우젓볶음</t>
    <phoneticPr fontId="12" type="noConversion"/>
  </si>
  <si>
    <t>소고기양배추볶음</t>
  </si>
  <si>
    <t>저염표고강정</t>
  </si>
  <si>
    <t>들깨미역국</t>
  </si>
  <si>
    <t>돼지갈비양념찜</t>
  </si>
  <si>
    <t>메추리알파프리카볶음</t>
  </si>
  <si>
    <t>맑은아귀국</t>
  </si>
  <si>
    <t>갈릭햄버거스테이크</t>
  </si>
  <si>
    <t>유부미소국</t>
  </si>
  <si>
    <t>[돼지고기(지방일부사용:국산)47.47%, 소고기(국산)13.39%, 양파, 난백액,설탕,마늘,정제소금, 후추가루]86%, 갈릭소스[양송이(국내산)2%,스테이크소스,데미글라수소스,마늘,생크림,후추]14%</t>
    <phoneticPr fontId="12" type="noConversion"/>
  </si>
  <si>
    <t>125921 튼튼스쿨 쥬시햄벅스테이크(튼튼스쿨60g*16입 960g/EA)</t>
    <phoneticPr fontId="12" type="noConversion"/>
  </si>
  <si>
    <t>.1.5.6.10.16.18.</t>
    <phoneticPr fontId="12" type="noConversion"/>
  </si>
  <si>
    <t>갈릭햄버거스테이크</t>
    <phoneticPr fontId="12" type="noConversion"/>
  </si>
  <si>
    <t>하와이안마카로니SD</t>
  </si>
  <si>
    <t>볼어묵조림</t>
  </si>
  <si>
    <t>오징어콩나물국</t>
  </si>
  <si>
    <t>돈채부추볶음</t>
  </si>
  <si>
    <t>팝콘치킨</t>
  </si>
  <si>
    <t>순두부계란탕</t>
  </si>
  <si>
    <t>영양찜닭</t>
  </si>
  <si>
    <t>올방개묵무침</t>
  </si>
  <si>
    <t>미트볼우스터소스조림</t>
  </si>
  <si>
    <t>불고기누들떡잡채</t>
  </si>
  <si>
    <t>비트무생채</t>
  </si>
  <si>
    <t>순살삼계탕</t>
  </si>
  <si>
    <t>미트볼우스터소스조림</t>
    <phoneticPr fontId="12" type="noConversion"/>
  </si>
  <si>
    <t>미트볼골드(선진),우스터소스(오뚜기)</t>
    <phoneticPr fontId="12" type="noConversion"/>
  </si>
  <si>
    <t>미트볼[돼지고기(국내산)45.45%,소고기(호주산,뉴질랜드산)20.61%]80%, 양파, 피망, 우스터소스, 간장, 맛술, 후추, 파슬리가루</t>
    <phoneticPr fontId="12" type="noConversion"/>
  </si>
  <si>
    <t>.1.2.5.6.10.12.15.16.</t>
    <phoneticPr fontId="12" type="noConversion"/>
  </si>
  <si>
    <t>불고기누들떡잡채</t>
    <phoneticPr fontId="12" type="noConversion"/>
  </si>
  <si>
    <t>누들떡(밀:미국산.호주산)70%, 소고기(호주산)12%, 표고버섯, 양파, 당근, 부추, 맛술, 간장, 설탕, 참기름, 참깨</t>
    <phoneticPr fontId="12" type="noConversion"/>
  </si>
  <si>
    <t>누들떡(토담)</t>
    <phoneticPr fontId="12" type="noConversion"/>
  </si>
  <si>
    <t>소세지케찹볶음</t>
    <phoneticPr fontId="12" type="noConversion"/>
  </si>
  <si>
    <t>닭봉(국산)36%, 무(국산)7%, 삼계탕육수(정제수, 황기, 대추, 당귀, 허개나무, 엄나무, 오가피 : 국산), 파, 마늘, 소금</t>
    <phoneticPr fontId="12" type="noConversion"/>
  </si>
  <si>
    <t>순살삼계탕</t>
    <phoneticPr fontId="12" type="noConversion"/>
  </si>
  <si>
    <t>코코넛커리소스</t>
  </si>
  <si>
    <t>새우튀김</t>
  </si>
  <si>
    <t>보코치니샐러드</t>
  </si>
  <si>
    <t>돈갈비양념구이</t>
  </si>
  <si>
    <t>고사리당근나물</t>
  </si>
  <si>
    <t>얼갈이된장국</t>
  </si>
  <si>
    <t>야채참치</t>
    <phoneticPr fontId="12" type="noConversion"/>
  </si>
  <si>
    <t>참치 [가다랑어 (원양산:태평양) 74.47%]70%, 모둠채소[당근, 양파, 스위트콘, 홍파프리카, 완두콩]18%, 대두유, 간장, 맛술, 설탕, 후추가루</t>
    <phoneticPr fontId="12" type="noConversion"/>
  </si>
  <si>
    <t>소고기우엉조림</t>
  </si>
  <si>
    <t>문어볼오븐구이</t>
  </si>
  <si>
    <t>오색콩나물냉채</t>
  </si>
  <si>
    <t>양배추두부된장국</t>
  </si>
  <si>
    <t>허니양념치킨</t>
  </si>
  <si>
    <t>감자크림뇨끼</t>
  </si>
  <si>
    <t>과일샐러드</t>
  </si>
  <si>
    <t>허니양념치킨</t>
    <phoneticPr fontId="12" type="noConversion"/>
  </si>
  <si>
    <t>순살치킨[닭고기(닭다리살:브라질산)64.76%,밀가루(밀:호주산,미국산),옥수수전분(옥수수:외국산), 대두유]85%,양념소스[사양벌꿀(국산)2%, 케찹, 물엿, 참기름]15%</t>
    <phoneticPr fontId="12" type="noConversion"/>
  </si>
  <si>
    <t>.1.2.5.6.12.15.16.21.</t>
    <phoneticPr fontId="12" type="noConversion"/>
  </si>
  <si>
    <t>메추리알짜장볶이</t>
  </si>
  <si>
    <t>오이부추무침</t>
  </si>
  <si>
    <t>니모어묵국</t>
  </si>
  <si>
    <t>오이부추무침</t>
    <phoneticPr fontId="12" type="noConversion"/>
  </si>
  <si>
    <t>치즈닭갈비</t>
  </si>
  <si>
    <t>크랜베리멸치볶음</t>
  </si>
  <si>
    <t>오삼불고기</t>
  </si>
  <si>
    <t>숫자치킨너겟</t>
  </si>
  <si>
    <t>숫자치킨너겟</t>
    <phoneticPr fontId="12" type="noConversion"/>
  </si>
  <si>
    <t>숫자치킨너겟(푸디버디)</t>
    <phoneticPr fontId="12" type="noConversion"/>
  </si>
  <si>
    <t>치킨너겟[닭고기(안심86.7%,스킨13.3%:국내산),브레더믹스(빵가루(중국산),밀가루분(밀:미국산.호주산)],대두단백(대두:미국산),당근,브로콜리 등]</t>
    <phoneticPr fontId="12" type="noConversion"/>
  </si>
  <si>
    <t>치킨너겟{닭고기(닭:국산100%)74.65%, 브레더[밀가루(밀:호주산, 미극산),전분(옥수수:외국산)], 대두단백, 정제소금, 백설탕 등}</t>
    <phoneticPr fontId="12" type="noConversion"/>
  </si>
  <si>
    <t>비프하이라이스소스</t>
  </si>
  <si>
    <t>철판군만두</t>
  </si>
  <si>
    <t>들기름도토리묵무침</t>
  </si>
  <si>
    <t>올갱이된장국</t>
  </si>
  <si>
    <t>황태무채국</t>
    <phoneticPr fontId="12" type="noConversion"/>
  </si>
  <si>
    <t>무(국산)20%, 황태(러시아산)5%, 두부(콩:미국,호주,캐나다등), 대파, 마늘, 멸치육수농축액, 정제수, 소금</t>
    <phoneticPr fontId="12" type="noConversion"/>
  </si>
  <si>
    <t>돈육고추장찌개</t>
    <phoneticPr fontId="12" type="noConversion"/>
  </si>
  <si>
    <r>
      <t>♣대체공휴일</t>
    </r>
    <r>
      <rPr>
        <b/>
        <sz val="18"/>
        <color rgb="FFFF0000"/>
        <rFont val="맑은 고딕"/>
        <family val="3"/>
        <charset val="129"/>
      </rPr>
      <t>♣</t>
    </r>
    <phoneticPr fontId="12" type="noConversion"/>
  </si>
  <si>
    <t>스팸케찹조림</t>
    <phoneticPr fontId="12" type="noConversion"/>
  </si>
  <si>
    <t>소고기장국</t>
  </si>
  <si>
    <t>우삼겹된장찌개</t>
    <phoneticPr fontId="12" type="noConversion"/>
  </si>
  <si>
    <t>모둠채소(호박, 양파, 새송이:국산)20%, 두부(콩:미국,호주,캐나다등)8%, 소고기(미국산)3%, 파, 마늘, 된장, 멸치육수농축액, 정제수, 소금</t>
    <phoneticPr fontId="12" type="noConversion"/>
  </si>
  <si>
    <t>제육두루치기</t>
  </si>
  <si>
    <t>호박새우젓볶음</t>
  </si>
  <si>
    <t>제육두루치기</t>
    <phoneticPr fontId="12" type="noConversion"/>
  </si>
  <si>
    <t>돼지고기(국산)65%, 양파(국산)10%, 당근, 대파, 마늘, 고추장, 고춧가루, 간장, , 맛술, 후추, 설탕, 참기름, 참깨</t>
    <phoneticPr fontId="12" type="noConversion"/>
  </si>
  <si>
    <t>호박새우젓볶음</t>
    <phoneticPr fontId="12" type="noConversion"/>
  </si>
  <si>
    <t>꽈리고추계란장조림</t>
  </si>
  <si>
    <t>매콤볼어묵조림</t>
  </si>
  <si>
    <t>.5.6.21.</t>
  </si>
  <si>
    <t>매콤영양찜닭</t>
  </si>
  <si>
    <t>.5.6.15.21.</t>
  </si>
  <si>
    <t>소세지케찹볶음</t>
  </si>
  <si>
    <t>돈육고추장찌개</t>
  </si>
  <si>
    <t>♣대체공휴일♣</t>
    <phoneticPr fontId="12" type="noConversion"/>
  </si>
  <si>
    <t>황태무채국</t>
  </si>
  <si>
    <t>매콤양념불백</t>
  </si>
  <si>
    <t>매콤양념불백</t>
    <phoneticPr fontId="12" type="noConversion"/>
  </si>
  <si>
    <t>부대찌개</t>
  </si>
  <si>
    <t>매콤치즈닭갈비</t>
  </si>
  <si>
    <t>.2.5.6.15.21.</t>
  </si>
  <si>
    <t>소고기새송이볶음</t>
  </si>
  <si>
    <t>검은콩해바라기씨조림</t>
  </si>
  <si>
    <t>게살계란탕</t>
  </si>
  <si>
    <t>매콤오삼불고기</t>
  </si>
  <si>
    <t>라디치오샐러드(오리엔탈소스)</t>
  </si>
  <si>
    <t>맑은미역국</t>
  </si>
  <si>
    <t>.5.6.10.17.21.</t>
  </si>
  <si>
    <t>맑은아귀국</t>
    <phoneticPr fontId="12" type="noConversion"/>
  </si>
  <si>
    <t>목살김치찜</t>
    <phoneticPr fontId="12" type="noConversion"/>
  </si>
  <si>
    <t>소떡꼬치</t>
    <phoneticPr fontId="12" type="noConversion"/>
  </si>
  <si>
    <t>목살(돼지고기:칠레산)60%, 배추김치(배추, 고추가루:국산)15%, 파인애플(전처리용), 파, 마늘, 생강가루, 월계수잎, 정제수, 간장, 설탕, 맛술, 물엿, 참기름, 후추</t>
    <phoneticPr fontId="12" type="noConversion"/>
  </si>
  <si>
    <t>쌀떡볶이(쌀:외국산),숲불갈비향소시지[닭고기(국산),돼지고기(국산),당근,대두단백,비프스테이크소스]</t>
    <phoneticPr fontId="12" type="noConversion"/>
  </si>
  <si>
    <t>소떡소떡떡꼬치(쿠즈락)</t>
    <phoneticPr fontId="12" type="noConversion"/>
  </si>
  <si>
    <t>2026-08-03 09:30~</t>
  </si>
  <si>
    <t>2026-08-03 14:30~</t>
  </si>
  <si>
    <t>2026-08-03(월)</t>
    <phoneticPr fontId="12" type="noConversion"/>
  </si>
  <si>
    <t>닭정육(국내산)78%, 토마토(국내산), 감자(국내산), 토마토홀(토마토:이탈리아산),  양파, 치킨스톡, 고추장(미량), 마늘, 정제수, 소금, 후추</t>
    <phoneticPr fontId="12" type="noConversion"/>
  </si>
  <si>
    <t>구운어묵[연육(베트남산),밀가루(밀:호주산.미국산)]75%,  양파(국산) , 당근, 파, 마늘, 대두유, 간장, 참기름, 참깨</t>
    <phoneticPr fontId="12" type="noConversion"/>
  </si>
  <si>
    <t>구운어묵(삼호)</t>
    <phoneticPr fontId="12" type="noConversion"/>
  </si>
  <si>
    <t>8g / 10g</t>
    <phoneticPr fontId="12" type="noConversion"/>
  </si>
  <si>
    <t>칠리새우</t>
  </si>
  <si>
    <t>모짜렐라치즈볼</t>
  </si>
  <si>
    <t>족발냉채</t>
  </si>
  <si>
    <t>크리스피쌀핫도그</t>
  </si>
  <si>
    <t>떡갈비(신세계푸드 피코크)</t>
    <phoneticPr fontId="12" type="noConversion"/>
  </si>
  <si>
    <t>떡갈비</t>
    <phoneticPr fontId="12" type="noConversion"/>
  </si>
  <si>
    <t>[돼지고기(국산)66.5%, 돼지갈비살(국산)6.42%,닭갈비(국산),소고기(국산)15.34%, 양파, 대파, 마늘, 간장, 빵가루 등]</t>
    <phoneticPr fontId="12" type="noConversion"/>
  </si>
  <si>
    <t>.5.6.10.15.16.</t>
    <phoneticPr fontId="12" type="noConversion"/>
  </si>
  <si>
    <t>구슬떡(쌀:외국산)75%, 븛랙올리브(이탈리아산)3%, 양배추, 정제수, 토마토소스(시판용), 케찹, 설탕, 물엿</t>
    <phoneticPr fontId="12" type="noConversion"/>
  </si>
  <si>
    <t>[메추리알(국내산), 보코치니치즈(모짜렐라치즈:미국산), 방울토마토(국내산), 오이(국산]75%, 요거트드레싱(유산균음료, 정제수, 마요네즈, 난황맥, 대두유)25%</t>
    <phoneticPr fontId="12" type="noConversion"/>
  </si>
  <si>
    <t>프레시탕수육(삼양식품)</t>
    <phoneticPr fontId="12" type="noConversion"/>
  </si>
  <si>
    <t>탕수육{돼지고기(국내산)52.64%, 밀가루(밀:미국산), 빵가루[밀가루(밀:외국산), 정제소금(국산), 대두유 등]}85%,소스(사양꿀(국내산),대두유,케찹,설탕,물엿,참기름,참깨)15%</t>
    <phoneticPr fontId="12" type="noConversion"/>
  </si>
  <si>
    <t>.2.5.6.10.12.21.</t>
    <phoneticPr fontId="12" type="noConversion"/>
  </si>
  <si>
    <t>&amp;허니머스터드S</t>
    <phoneticPr fontId="12" type="noConversion"/>
  </si>
  <si>
    <t>{정제수, 마요네즈[식물성유지(외국산),난황액(계란:국산) 등], 향신료조제품[미국산(식초, 겨자씨, 강황 등], 사양벌꿀(국산), 겨자분{겨자(외국산)] 등}</t>
    <phoneticPr fontId="12" type="noConversion"/>
  </si>
  <si>
    <t xml:space="preserve">허니머스터드(이츠웰) </t>
    <phoneticPr fontId="12" type="noConversion"/>
  </si>
  <si>
    <t>케이준샐러드</t>
    <phoneticPr fontId="12" type="noConversion"/>
  </si>
  <si>
    <t xml:space="preserve">샐러드채소[국내산(양상추, 치커리, 적채)]75%, 치킨텐더(닭고기:국내산)25%, </t>
    <phoneticPr fontId="12" type="noConversion"/>
  </si>
  <si>
    <t>골든치킨텐더(이츠웰)</t>
    <phoneticPr fontId="12" type="noConversion"/>
  </si>
  <si>
    <t>콩나물해물찜</t>
    <phoneticPr fontId="12" type="noConversion"/>
  </si>
  <si>
    <t>모둠해물[낙지(베트남산), 갑오징어(베이비까:베트남산), 자숙새우살(베트남산)]50%, 콩나물(대두:외국산)35%, 양파, 대파, 마늘, 고춧가루(국내산), 소금, 국간장, 녹말, 참기름, 참깨</t>
    <phoneticPr fontId="12" type="noConversion"/>
  </si>
  <si>
    <t>.5.9.17.21.</t>
    <phoneticPr fontId="12" type="noConversion"/>
  </si>
  <si>
    <t>잠봉샐러드</t>
    <phoneticPr fontId="12" type="noConversion"/>
  </si>
  <si>
    <t>모둠채소[국내산(양상추, 로메인, 어린잎)]92%, 잠봉[돼지고기(국산), 분리유청대두단백가공품(미국산), 난백분(이탈리아산), 소금(국산) 등]8%</t>
    <phoneticPr fontId="12" type="noConversion"/>
  </si>
  <si>
    <t>.1.2.5.10.</t>
    <phoneticPr fontId="12" type="noConversion"/>
  </si>
  <si>
    <t>잠봉(오땔)</t>
    <phoneticPr fontId="12" type="noConversion"/>
  </si>
  <si>
    <t>&amp; 키위드레싱</t>
    <phoneticPr fontId="12" type="noConversion"/>
  </si>
  <si>
    <t>{정제수, 키위퓨레(뉴질랜드산), 마요네즈[식물성유지(외국산), 난황액(계란:국산), 발효식초 등], 정제소금(중국산) 등}</t>
    <phoneticPr fontId="12" type="noConversion"/>
  </si>
  <si>
    <t>키위드레싱(이츠웰)</t>
    <phoneticPr fontId="12" type="noConversion"/>
  </si>
  <si>
    <t>리코타치즈샐러드</t>
    <phoneticPr fontId="12" type="noConversion"/>
  </si>
  <si>
    <t>리코타치즈[국산(원유, 농축유청, 유크림)]25%, 모둠채소[국내산(라디치오, 양상추, 치커리, 적채)]</t>
    <phoneticPr fontId="12" type="noConversion"/>
  </si>
  <si>
    <t>덴마크 리코타치즈[㈜동원F&amp;B]</t>
    <phoneticPr fontId="12" type="noConversion"/>
  </si>
  <si>
    <t>[정제수, 발효식초(이탈리아산)14%, 대두유(대두:외국산), 정제소금(중국산) 등]</t>
    <phoneticPr fontId="12" type="noConversion"/>
  </si>
  <si>
    <t>.5.13.</t>
    <phoneticPr fontId="12" type="noConversion"/>
  </si>
  <si>
    <t>발사믹드레싱(이츠웰)</t>
    <phoneticPr fontId="12" type="noConversion"/>
  </si>
  <si>
    <t>&amp; 발사믹드레싱</t>
    <phoneticPr fontId="12" type="noConversion"/>
  </si>
  <si>
    <t>.1.5.20.</t>
    <phoneticPr fontId="12" type="noConversion"/>
  </si>
  <si>
    <t>미역(국산)18.6%, 조랭이떡(쌀:국산)12%, 정제수, 밥새우, 멸치육수농축액, 국간장, 참기름, 소금</t>
    <phoneticPr fontId="12" type="noConversion"/>
  </si>
  <si>
    <t>조랭이떡(쌀:국산85.2%, 소고기(호주산)5%, 양파, 당근, 표고버섯, 피망, 간장, 설탕, 참기름, 참깨</t>
    <phoneticPr fontId="12" type="noConversion"/>
  </si>
  <si>
    <t>조랭이떡(쌀:국산)25%, 소고기(호주산)3.5%, 계란(국내산)1%, 대파, 마늘, 국간장, 정제수, 소금</t>
    <phoneticPr fontId="12" type="noConversion"/>
  </si>
  <si>
    <t>계란(국산)46.2%, 눈꽃치즈(모짜렐라치즈:외국산)2%, 정제수, 우유, 소금</t>
    <phoneticPr fontId="12" type="noConversion"/>
  </si>
  <si>
    <t>왕새우튀김</t>
  </si>
  <si>
    <t>케이준샐러드&amp;허니머스터드D</t>
    <phoneticPr fontId="12" type="noConversion"/>
  </si>
  <si>
    <t>눈꽃치즈치킨</t>
  </si>
  <si>
    <t>보쌈수육</t>
  </si>
  <si>
    <t>고등어카레구이</t>
  </si>
  <si>
    <t>라코타치즈샐러드&amp;발사믹D</t>
    <phoneticPr fontId="12" type="noConversion"/>
  </si>
  <si>
    <t>전복버터구이</t>
  </si>
  <si>
    <t>잠봉샐러드&amp;키위드레싱</t>
    <phoneticPr fontId="12" type="noConversion"/>
  </si>
  <si>
    <t>우삼겹떡볶이</t>
  </si>
  <si>
    <t>새우감바스&amp;바게트</t>
  </si>
  <si>
    <t>쉬림프콥샐러드</t>
  </si>
  <si>
    <t>쉬림프콥샐러드</t>
    <phoneticPr fontId="12" type="noConversion"/>
  </si>
  <si>
    <t>임연수구이</t>
  </si>
  <si>
    <t>차돌숙주볶음</t>
  </si>
  <si>
    <t>삼치데리야끼구이</t>
  </si>
  <si>
    <t>마라떡볶이</t>
  </si>
  <si>
    <t>콘버터</t>
    <phoneticPr fontId="12" type="noConversion"/>
  </si>
  <si>
    <t>스위트콘(수입)83%, 파프리카(국산)5%, 양파(국산)5%, 버터, 마요네즈, 소금, 설탕</t>
  </si>
  <si>
    <t>스위트콘(리치스)</t>
    <phoneticPr fontId="12" type="noConversion"/>
  </si>
  <si>
    <t>.1.2.5.16.</t>
    <phoneticPr fontId="12" type="noConversion"/>
  </si>
  <si>
    <t>불고기샐러드</t>
    <phoneticPr fontId="12" type="noConversion"/>
  </si>
  <si>
    <t xml:space="preserve">샐러드채소[국내산(양상추,치커리, 적채)]75%, 소불고기(소고기:호주산)25%, </t>
    <phoneticPr fontId="12" type="noConversion"/>
  </si>
  <si>
    <t>&amp; 시저드레싱</t>
    <phoneticPr fontId="12" type="noConversion"/>
  </si>
  <si>
    <t>시저드레싱(이츠웰)</t>
    <phoneticPr fontId="12" type="noConversion"/>
  </si>
  <si>
    <t>{마요네즈[대두유(대두:외국산), 난황액(계란:국산)],홀그레인머스타드(프랑스산),정제소금(중국산)등}</t>
    <phoneticPr fontId="12" type="noConversion"/>
  </si>
  <si>
    <t>.1.2.5.6.13.</t>
    <phoneticPr fontId="12" type="noConversion"/>
  </si>
  <si>
    <r>
      <t>새우살(베트남산)45%, 방울토마토(국내산)15.6%, 알리오올리오소스[올리브오일, 파슬리가루, 바질페스토(</t>
    </r>
    <r>
      <rPr>
        <sz val="10"/>
        <color rgb="FFFF0000"/>
        <rFont val="맑은 고딕"/>
        <family val="3"/>
        <charset val="129"/>
      </rPr>
      <t>케슈넛미량함유</t>
    </r>
    <r>
      <rPr>
        <sz val="10"/>
        <color rgb="FF000000"/>
        <rFont val="맑은 고딕"/>
        <family val="3"/>
        <charset val="129"/>
      </rPr>
      <t>), 소금, 레몬즙, 편마늘]39.4%</t>
    </r>
    <phoneticPr fontId="12" type="noConversion"/>
  </si>
  <si>
    <t>[새우살(베트남산), 메추리알(국내산), 보코치니치즈(모짜렐라치즈:미국산), 방울토마토(국내산), 스위트콘(태국산), 오이(국산]75%, 렌치드레싱[대두유(대두:외국산), 가공유크림(독일산), 난황액(계란:국산) 등]</t>
    <phoneticPr fontId="12" type="noConversion"/>
  </si>
  <si>
    <t>.1.2.5.9.12.</t>
    <phoneticPr fontId="12" type="noConversion"/>
  </si>
  <si>
    <t>렌치드레싱(이츠웰)</t>
    <phoneticPr fontId="12" type="noConversion"/>
  </si>
  <si>
    <t>불고기샐러드&amp;오리엔탈드레싱</t>
    <phoneticPr fontId="12" type="noConversion"/>
  </si>
  <si>
    <t>훈제닭샐러드</t>
    <phoneticPr fontId="12" type="noConversion"/>
  </si>
  <si>
    <t>숙주(녹두:외국산)12%, 해산물(대왕오징어:페루산, 홍합.바지락.새우살:중국산)7%, 양파, 청경채,  파, 마늘, 정제수, 고춧가루, 고추기름, 치킨스톡, 소금</t>
  </si>
  <si>
    <t>숙주(녹두:외국산)20%, 소고기(호주산)8%, 정제수, 대파, 마늘, 멸치육수농축액, 국간장, 소금</t>
  </si>
  <si>
    <t>소고기(호주산)8.3%, 무(국산)10%, 고사리(중국산), 숙주(녹두:외국산), 느타리버섯, 파, 마늘, 정제수, 국간장, 소금, 후추</t>
  </si>
  <si>
    <t>소고기(호주산)62%, 숙주(녹두:외국산)28%, 양파, 파, 마늘, 간장, 대두유, 후추, 참기름</t>
  </si>
  <si>
    <t>차돌(소고기:미국산)35%, 숙주(녹두:외국산)40%, 양파, 대파, 마늘, 대두유, 소금, 굴소스, 간장, 맛술, 참기름, 참깨</t>
  </si>
  <si>
    <t>숙주(녹두:외국산)90%, 당근, 부추, 대파, 마늘, 참치액, 소금, 참기름, 참깨</t>
  </si>
  <si>
    <t>숙주(녹두:외국산)90%, 당근, 마늘, 대파, 참치액, 소금, 참기름, 참깨</t>
  </si>
  <si>
    <t>멸치육수농축액(면사랑) 35g / 40g</t>
    <phoneticPr fontId="12" type="noConversion"/>
  </si>
  <si>
    <t>가스오우동소스(면사랑), 유부(이츠웰 슬라이스유부)30g / 35g</t>
    <phoneticPr fontId="12" type="noConversion"/>
  </si>
  <si>
    <t>고구마순나물</t>
    <phoneticPr fontId="12" type="noConversion"/>
  </si>
  <si>
    <t>데친고구마순(중국산)85%, 파, 마늘, 대두유, 국간장, 소금, 참기름, 참깨</t>
    <phoneticPr fontId="12" type="noConversion"/>
  </si>
  <si>
    <t>[고구마(중국산)71.04%, 샐러드베이스14.3%, 대두(외국산), 스위트콘(태국산), 난황(계란:국산), 식초, 과당 등]</t>
    <phoneticPr fontId="12" type="noConversion"/>
  </si>
  <si>
    <t>친환경찰현미쌀밥</t>
    <phoneticPr fontId="12" type="noConversion"/>
  </si>
  <si>
    <t>계란후라이</t>
    <phoneticPr fontId="12" type="noConversion"/>
  </si>
  <si>
    <t>포도클럽 : 백김치</t>
    <phoneticPr fontId="12" type="noConversion"/>
  </si>
  <si>
    <t>2026-08-04 09:30~</t>
  </si>
  <si>
    <t>2026-08-04 14:30~</t>
  </si>
  <si>
    <t>2026-08-04(화)</t>
    <phoneticPr fontId="12" type="noConversion"/>
  </si>
  <si>
    <t>모둠채소(호박, 양파, 새송이:국산)20%, 두부(콩:미국,호주,캐나다등)8%, 소고기(미국산)3%, 파, 마늘, 된장, 고춧가루(국내산), 멸치육수농축액, 정제수, 소금</t>
    <phoneticPr fontId="12" type="noConversion"/>
  </si>
  <si>
    <t>매콤우삼겹된장찌개</t>
    <phoneticPr fontId="12" type="noConversion"/>
  </si>
  <si>
    <t>2026-08-05 09:30~</t>
  </si>
  <si>
    <t>2026-08-05 14:30~</t>
  </si>
  <si>
    <t>2026-08-05(수)</t>
    <phoneticPr fontId="12" type="noConversion"/>
  </si>
  <si>
    <t>글로벌리더스 : 제육두루치기</t>
    <phoneticPr fontId="12" type="noConversion"/>
  </si>
  <si>
    <t>2026-08-06 09:30~</t>
  </si>
  <si>
    <t>2026-08-06 14:30~</t>
  </si>
  <si>
    <t>2026-08-06(목)</t>
    <phoneticPr fontId="12" type="noConversion"/>
  </si>
  <si>
    <t>흰쌀밥</t>
    <phoneticPr fontId="12" type="noConversion"/>
  </si>
  <si>
    <t>2026-08-07 09:30~</t>
  </si>
  <si>
    <t>2026-08-07 14:30~</t>
  </si>
  <si>
    <t>2026-08-07(금)</t>
    <phoneticPr fontId="12" type="noConversion"/>
  </si>
  <si>
    <t>도라에몽만쥬</t>
    <phoneticPr fontId="12" type="noConversion"/>
  </si>
  <si>
    <t>수박(국내산)</t>
    <phoneticPr fontId="12" type="noConversion"/>
  </si>
  <si>
    <t>매콤돼지갈비양념찜</t>
    <phoneticPr fontId="12" type="noConversion"/>
  </si>
  <si>
    <t>{양조간장(탈지대두(외국산),천일염(호주산),양조식초, 대두유(대두:외국산), 혼합간장(대두:외국산), 레몬식초, 마늘, 참기름, 참깨 등]</t>
    <phoneticPr fontId="15" type="noConversion"/>
  </si>
  <si>
    <t>타르타르소스(시판용)85%, 마요네즈, 파인애플청크(파인애플:필리핀산), 설탕</t>
    <phoneticPr fontId="15" type="noConversion"/>
  </si>
  <si>
    <t>.1.5.6.12.15.16.18.</t>
    <phoneticPr fontId="12" type="noConversion"/>
  </si>
  <si>
    <t>2026-08-10(월)</t>
  </si>
  <si>
    <t>2026-08-10 09:30~</t>
  </si>
  <si>
    <t>2026-08-10 14:30~</t>
  </si>
  <si>
    <t>계란장조림</t>
    <phoneticPr fontId="12" type="noConversion"/>
  </si>
  <si>
    <t>2026-08-11 09:30~</t>
  </si>
  <si>
    <t>2026-08-11 14:30~</t>
  </si>
  <si>
    <t>2026-08-11(화)</t>
    <phoneticPr fontId="12" type="noConversion"/>
  </si>
  <si>
    <t>매콤볼어묵조림</t>
    <phoneticPr fontId="12" type="noConversion"/>
  </si>
  <si>
    <t>볼어묵[연육(:중국산, 베트남산)53.29%, 설탕, 밀가루(밀:미국산, 호주산), 정제소금(국산)]90%, 양파, 마늘, 파, 고춧가루(국내산), 간장, 참기름, 참깨</t>
    <phoneticPr fontId="12" type="noConversion"/>
  </si>
  <si>
    <t>.5.17.</t>
  </si>
  <si>
    <t>매콤오징어콩나물국</t>
    <phoneticPr fontId="12" type="noConversion"/>
  </si>
  <si>
    <t>2026-08-12 09:30~</t>
  </si>
  <si>
    <t>2026-08-12 14:30~</t>
  </si>
  <si>
    <t>2026-08-12(수)</t>
    <phoneticPr fontId="12" type="noConversion"/>
  </si>
  <si>
    <t>글로벌리더스 : 열무김치</t>
    <phoneticPr fontId="12" type="noConversion"/>
  </si>
  <si>
    <t>2026-08-13 09:30~</t>
  </si>
  <si>
    <t>2026-08-13 14:30~</t>
  </si>
  <si>
    <t>2026-08-13(목)</t>
    <phoneticPr fontId="12" type="noConversion"/>
  </si>
  <si>
    <t>소세지채소볶음</t>
    <phoneticPr fontId="12" type="noConversion"/>
  </si>
  <si>
    <t>글로벌리더스 : 매콤영양찜닭</t>
    <phoneticPr fontId="12" type="noConversion"/>
  </si>
  <si>
    <t>*영양찜닭:70g / 90g</t>
    <phoneticPr fontId="12" type="noConversion"/>
  </si>
  <si>
    <t>매콤영양찜닭</t>
    <phoneticPr fontId="12" type="noConversion"/>
  </si>
  <si>
    <t>닭(닭가슴살,닭다리살:국산)70%, 표고버섯(국산), 대추채(국산), 연근(중국산), 양파, 당근, 파, 마늘, 정제수, 고춧가루(국내산), 물엿, 맛술, 간장, 후추, 소금, 참기름, 참깨</t>
    <phoneticPr fontId="12" type="noConversion"/>
  </si>
  <si>
    <t>2026-08-14 09:30~</t>
  </si>
  <si>
    <t>2026-08-14 14:30~</t>
  </si>
  <si>
    <t>2026-08-14(금)</t>
    <phoneticPr fontId="12" type="noConversion"/>
  </si>
  <si>
    <t>글로벌리더스 : 돈육고추장찌개
포도클럽 : 백김치</t>
    <phoneticPr fontId="12" type="noConversion"/>
  </si>
  <si>
    <t>위니위니
소풍</t>
    <phoneticPr fontId="12" type="noConversion"/>
  </si>
  <si>
    <t>소풍장소 : 항공대 항공우주박물관</t>
    <phoneticPr fontId="12" type="noConversion"/>
  </si>
  <si>
    <t>위니위니
생파</t>
    <phoneticPr fontId="12" type="noConversion"/>
  </si>
  <si>
    <t>돼지고기(국내산)14.9%, 모둠채소[양배추, 양파, 감자, 당근]25%, 대파, 마늘, 대두유 ,춘장, 짜장분말, 정제수, 전분</t>
    <phoneticPr fontId="15" type="noConversion"/>
  </si>
  <si>
    <t>명엽채(국내산)95%, 마요네즈, 간장, 물엿, 참기름, 참깨</t>
    <phoneticPr fontId="12" type="noConversion"/>
  </si>
  <si>
    <t xml:space="preserve"> 마요네즈, 레몬즙, 생크림, 설탕</t>
    <phoneticPr fontId="12" type="noConversion"/>
  </si>
  <si>
    <t>딤섬 표고버섯튀김</t>
    <phoneticPr fontId="15" type="noConversion"/>
  </si>
  <si>
    <t>2026-08-18 09:30~</t>
  </si>
  <si>
    <t>2026-08-18 14:30~</t>
  </si>
  <si>
    <t>2026-08-18(화)</t>
    <phoneticPr fontId="12" type="noConversion"/>
  </si>
  <si>
    <t>2026-08-19 09:30~</t>
  </si>
  <si>
    <t>2026-08-19 14:30~</t>
  </si>
  <si>
    <t>2026-08-19(수)</t>
    <phoneticPr fontId="12" type="noConversion"/>
  </si>
  <si>
    <t>글로벌리더스 : 매콤양념불백</t>
    <phoneticPr fontId="12" type="noConversion"/>
  </si>
  <si>
    <t>2026-08-20 09:30~</t>
  </si>
  <si>
    <t>2026-08-20 14:30~</t>
  </si>
  <si>
    <t>2026-08-20(목)</t>
    <phoneticPr fontId="12" type="noConversion"/>
  </si>
  <si>
    <t>2026-08-21 09:30~</t>
  </si>
  <si>
    <t>2026-08-21 14:30~</t>
  </si>
  <si>
    <t>2026-08-21(금)</t>
    <phoneticPr fontId="12" type="noConversion"/>
  </si>
  <si>
    <t>글로벌리더스 : 매콤콩나물무침</t>
    <phoneticPr fontId="12" type="noConversion"/>
  </si>
  <si>
    <t>소고기미역국</t>
    <phoneticPr fontId="12" type="noConversion"/>
  </si>
  <si>
    <t>포도클럽 : 백김치
강서폴리 셋팅메뉴 : 허니양념치킨, 과일샐러드, 바나나</t>
    <phoneticPr fontId="12" type="noConversion"/>
  </si>
  <si>
    <t>2026-08-24(월)</t>
  </si>
  <si>
    <t>2026-08-24 09:30~</t>
  </si>
  <si>
    <t>2026-08-24 14:30~</t>
  </si>
  <si>
    <t>매콤오이무침</t>
    <phoneticPr fontId="12" type="noConversion"/>
  </si>
  <si>
    <t xml:space="preserve">오이(국산)87%, 부추(국산)3%, 파, 마늘, 고추가루, 소금, 설탕, 식초, 참깨 </t>
  </si>
  <si>
    <t>.5.21.</t>
  </si>
  <si>
    <t>2026-08-25 09:30~</t>
  </si>
  <si>
    <t>2026-08-25 14:30~</t>
  </si>
  <si>
    <t>2026-08-25(화)</t>
    <phoneticPr fontId="12" type="noConversion"/>
  </si>
  <si>
    <t>소고기무국</t>
    <phoneticPr fontId="12" type="noConversion"/>
  </si>
  <si>
    <t>오믈렛</t>
    <phoneticPr fontId="12" type="noConversion"/>
  </si>
  <si>
    <t>글로벌리더스 : 매콤치즈닭갈비</t>
    <phoneticPr fontId="12" type="noConversion"/>
  </si>
  <si>
    <t>글로벌리더스 : 매콤오이부추무침, 부대찌개
포도클럽 : 백김치</t>
    <phoneticPr fontId="12" type="noConversion"/>
  </si>
  <si>
    <t>매콤치즈닭갈비</t>
    <phoneticPr fontId="12" type="noConversion"/>
  </si>
  <si>
    <t>닭정육(닭가슴살, 닭다리살:국산)54%, ,모짜렐라치즈(원유:외국산)5%, 모양떡(쌀:외국산), 양배추, 양파, 당근, 대파, 마늘, 고춧가루(국내산), 생강가루, 간장, 후추, 참기름, 참깨</t>
    <phoneticPr fontId="12" type="noConversion"/>
  </si>
  <si>
    <t>2026-08-26 09:30~</t>
  </si>
  <si>
    <t>2026-08-26 14:30~</t>
  </si>
  <si>
    <t>2026-08-26(수)</t>
    <phoneticPr fontId="12" type="noConversion"/>
  </si>
  <si>
    <t>폭찹스테이크</t>
    <phoneticPr fontId="12" type="noConversion"/>
  </si>
  <si>
    <t>글로벌리더스 : 양념멸치볶음, 열무김치</t>
    <phoneticPr fontId="12" type="noConversion"/>
  </si>
  <si>
    <t>2026-08-27 09:30~</t>
  </si>
  <si>
    <t>2026-08-27 14:30~</t>
  </si>
  <si>
    <t>2026-08-27(목)</t>
    <phoneticPr fontId="12" type="noConversion"/>
  </si>
  <si>
    <t>글로벌리더스 : 매콤논우렁살된장찌개</t>
    <phoneticPr fontId="12" type="noConversion"/>
  </si>
  <si>
    <t>.5.</t>
  </si>
  <si>
    <t>논우렁살(우렁:베트남산), 모둠채소(호박, 양파, 감자:국산)25%, 두부(콩:미국,호주,캐나다등)8%, 파, 마늘, 된장, 고춧가루(국내산), 멸치육수농축액, 정제수, 소금</t>
    <phoneticPr fontId="12" type="noConversion"/>
  </si>
  <si>
    <t>매콤논우렁살된장찌개</t>
    <phoneticPr fontId="12" type="noConversion"/>
  </si>
  <si>
    <t>2026-08-28 09:30~</t>
  </si>
  <si>
    <t>2026-08-28 14:30~</t>
  </si>
  <si>
    <t>2026-08-28(금)</t>
    <phoneticPr fontId="12" type="noConversion"/>
  </si>
  <si>
    <t>글러벌리더스 : 매콤오삼불고기</t>
    <phoneticPr fontId="12" type="noConversion"/>
  </si>
  <si>
    <t>매콤오삼불고기</t>
    <phoneticPr fontId="12" type="noConversion"/>
  </si>
  <si>
    <t>돼지고기(국산)55%, 오징어(원양산)10%, 양파, 당근, 대파, 마늘, 간장, 맛술, 후추, 설탕, 참기름, 참깨</t>
  </si>
  <si>
    <t>2026-08-30(월)</t>
  </si>
  <si>
    <t>2026-08-30 09:30~</t>
  </si>
  <si>
    <t>2026-08-30 14:30~</t>
  </si>
  <si>
    <t>복숭아(국내산)</t>
    <phoneticPr fontId="12" type="noConversion"/>
  </si>
  <si>
    <t>포도클럽 : 백김치 ( 60명 / 1,650g )
BIS수내교사, JCS, 위니위니 : 조미김 ( 119aud / 120매 )</t>
    <phoneticPr fontId="12" type="noConversion"/>
  </si>
  <si>
    <t>참외(국내산)</t>
    <phoneticPr fontId="12" type="noConversion"/>
  </si>
  <si>
    <t>서빙고, 샘재, 리비어 대체식 : 닭봉 ( 11명 / 27EA )</t>
    <phoneticPr fontId="12" type="noConversion"/>
  </si>
  <si>
    <t>채소[호박잎, 호박, 감자]18%, 두부(대두:외국산)7%, 정제수, 파, 마늘, 된장, 멸치육수농축액, 국간장, 소금</t>
    <phoneticPr fontId="12" type="noConversion"/>
  </si>
  <si>
    <t>글로벌리더스 : 매콤오징어콩나물국, 매콤볼어묵조림
리비어, 서빙고초 병설(알러지대체식): 치킨너겟</t>
    <phoneticPr fontId="12" type="noConversion"/>
  </si>
  <si>
    <t>방울토마토(국내산)</t>
    <phoneticPr fontId="12" type="noConversion"/>
  </si>
  <si>
    <t xml:space="preserve">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</si>
</sst>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176" formatCode="m&quot;/&quot;d;@"/>
    <numFmt numFmtId="177" formatCode="0_);[Red]\(0\)"/>
    <numFmt numFmtId="178" formatCode="0.0%"/>
    <numFmt numFmtId="179" formatCode="_-* #,##0.0_-;\-* #,##0.0_-;_-* &quot;-&quot;_-;_-@_-"/>
    <numFmt numFmtId="180" formatCode="0&quot;장&quot;"/>
    <numFmt numFmtId="181" formatCode="0&quot;개&quot;"/>
    <numFmt numFmtId="182" formatCode="0.0&quot;장&quot;"/>
    <numFmt numFmtId="183" formatCode="0.0&quot;알&quot;"/>
    <numFmt numFmtId="184" formatCode="0&quot;조각&quot;"/>
    <numFmt numFmtId="185" formatCode="0&quot;통&quot;"/>
    <numFmt numFmtId="186" formatCode="0&quot;알&quot;"/>
    <numFmt numFmtId="187" formatCode="&quot;컷팅전&quot;0&quot;장&quot;"/>
    <numFmt numFmtId="188" formatCode="&quot;컷팅후&quot;0&quot;장&quot;"/>
    <numFmt numFmtId="189" formatCode="0.00&quot;장&quot;"/>
    <numFmt numFmtId="190" formatCode="&quot;컷팅전&quot;0.0&quot;장&quot;"/>
    <numFmt numFmtId="191" formatCode="0.0&quot;개&quot;"/>
    <numFmt numFmtId="192" formatCode="mm&quot;월&quot;\ dd&quot;일&quot;"/>
    <numFmt numFmtId="193" formatCode="aaa"/>
    <numFmt numFmtId="194" formatCode="m&quot;월&quot;\ d&quot;일&quot;;@"/>
  </numFmts>
  <fonts count="47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4"/>
      <color rgb="FF222222"/>
      <name val="Cj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9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48"/>
      <color theme="0"/>
      <name val="맑은 고딕"/>
      <family val="3"/>
      <charset val="129"/>
      <scheme val="minor"/>
    </font>
    <font>
      <b/>
      <sz val="14"/>
      <color theme="0"/>
      <name val="나눔고딕 ExtraBold"/>
      <family val="3"/>
      <charset val="129"/>
    </font>
    <font>
      <sz val="14"/>
      <color theme="0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18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</fonts>
  <fills count="29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92D050"/>
        </stop>
      </gradientFill>
    </fill>
    <fill>
      <gradientFill degree="90">
        <stop position="0">
          <color rgb="FFFFFFFF"/>
        </stop>
        <stop position="1">
          <color rgb="FFFFFF00"/>
        </stop>
      </gradientFill>
    </fill>
    <fill>
      <gradientFill degree="90">
        <stop position="0">
          <color rgb="FFFFFFFF"/>
        </stop>
        <stop position="1">
          <color rgb="FF4F81BD"/>
        </stop>
      </gradientFill>
    </fill>
    <fill>
      <gradientFill degree="90">
        <stop position="0">
          <color rgb="FFFFFFFF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6E0ED"/>
        <bgColor indexed="64"/>
      </patternFill>
    </fill>
    <fill>
      <gradientFill degree="90">
        <stop position="0">
          <color rgb="FFFFFFFF"/>
        </stop>
        <stop position="1">
          <color rgb="FFFFC00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C6DAF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2F688"/>
        <bgColor indexed="64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9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41" fontId="11" fillId="0" borderId="0">
      <alignment vertical="center"/>
    </xf>
    <xf numFmtId="0" fontId="11" fillId="0" borderId="0">
      <alignment vertical="center"/>
    </xf>
  </cellStyleXfs>
  <cellXfs count="349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41" fontId="3" fillId="4" borderId="1" xfId="3" applyFont="1" applyFill="1" applyBorder="1" applyAlignment="1">
      <alignment horizontal="center" vertical="center" wrapText="1"/>
    </xf>
    <xf numFmtId="41" fontId="3" fillId="4" borderId="1" xfId="3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41" fontId="0" fillId="0" borderId="1" xfId="3" applyFont="1" applyBorder="1">
      <alignment vertical="center"/>
    </xf>
    <xf numFmtId="0" fontId="0" fillId="0" borderId="1" xfId="3" applyNumberFormat="1" applyFont="1" applyBorder="1">
      <alignment vertical="center"/>
    </xf>
    <xf numFmtId="41" fontId="0" fillId="0" borderId="0" xfId="3" applyFont="1">
      <alignment vertical="center"/>
    </xf>
    <xf numFmtId="0" fontId="4" fillId="0" borderId="1" xfId="0" applyFont="1" applyBorder="1">
      <alignment vertical="center"/>
    </xf>
    <xf numFmtId="177" fontId="0" fillId="0" borderId="0" xfId="0" applyNumberFormat="1">
      <alignment vertical="center"/>
    </xf>
    <xf numFmtId="41" fontId="4" fillId="0" borderId="1" xfId="3" applyFont="1" applyBorder="1">
      <alignment vertical="center"/>
    </xf>
    <xf numFmtId="14" fontId="0" fillId="0" borderId="1" xfId="0" applyNumberFormat="1" applyBorder="1">
      <alignment vertical="center"/>
    </xf>
    <xf numFmtId="177" fontId="0" fillId="0" borderId="0" xfId="0" applyNumberFormat="1" applyAlignment="1">
      <alignment horizontal="right" vertical="center"/>
    </xf>
    <xf numFmtId="177" fontId="0" fillId="5" borderId="1" xfId="0" applyNumberForma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4" fontId="4" fillId="0" borderId="1" xfId="0" applyNumberFormat="1" applyFont="1" applyBorder="1">
      <alignment vertical="center"/>
    </xf>
    <xf numFmtId="0" fontId="4" fillId="0" borderId="0" xfId="0" applyFont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0" borderId="1" xfId="1" applyFont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78" fontId="0" fillId="0" borderId="0" xfId="4" applyNumberFormat="1" applyFont="1">
      <alignment vertical="center"/>
    </xf>
    <xf numFmtId="0" fontId="1" fillId="0" borderId="1" xfId="0" applyFont="1" applyBorder="1">
      <alignment vertical="center"/>
    </xf>
    <xf numFmtId="179" fontId="2" fillId="0" borderId="0" xfId="2" applyNumberFormat="1" applyFont="1">
      <alignment vertical="center"/>
    </xf>
    <xf numFmtId="0" fontId="4" fillId="0" borderId="1" xfId="3" applyNumberFormat="1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41" fontId="4" fillId="0" borderId="1" xfId="3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/>
    </xf>
    <xf numFmtId="177" fontId="1" fillId="0" borderId="1" xfId="3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4" fillId="0" borderId="1" xfId="3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4" applyNumberFormat="1" applyFont="1" applyBorder="1">
      <alignment vertical="center"/>
    </xf>
    <xf numFmtId="177" fontId="3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5" xfId="3" applyFont="1" applyFill="1" applyBorder="1" applyAlignment="1">
      <alignment horizontal="center" vertical="center" wrapText="1"/>
    </xf>
    <xf numFmtId="177" fontId="3" fillId="3" borderId="1" xfId="3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1" fontId="3" fillId="3" borderId="5" xfId="3" applyFont="1" applyFill="1" applyBorder="1" applyAlignment="1">
      <alignment horizontal="center" vertical="center" wrapText="1"/>
    </xf>
    <xf numFmtId="41" fontId="3" fillId="11" borderId="1" xfId="3" applyFont="1" applyFill="1" applyBorder="1" applyAlignment="1">
      <alignment horizontal="center" vertical="center" wrapText="1"/>
    </xf>
    <xf numFmtId="41" fontId="0" fillId="12" borderId="1" xfId="3" applyFont="1" applyFill="1" applyBorder="1">
      <alignment vertical="center"/>
    </xf>
    <xf numFmtId="181" fontId="0" fillId="12" borderId="1" xfId="3" applyNumberFormat="1" applyFont="1" applyFill="1" applyBorder="1">
      <alignment vertical="center"/>
    </xf>
    <xf numFmtId="41" fontId="4" fillId="12" borderId="1" xfId="3" applyFont="1" applyFill="1" applyBorder="1">
      <alignment vertical="center"/>
    </xf>
    <xf numFmtId="180" fontId="0" fillId="12" borderId="1" xfId="3" applyNumberFormat="1" applyFont="1" applyFill="1" applyBorder="1">
      <alignment vertical="center"/>
    </xf>
    <xf numFmtId="182" fontId="0" fillId="12" borderId="1" xfId="3" applyNumberFormat="1" applyFont="1" applyFill="1" applyBorder="1">
      <alignment vertical="center"/>
    </xf>
    <xf numFmtId="185" fontId="0" fillId="12" borderId="1" xfId="3" applyNumberFormat="1" applyFont="1" applyFill="1" applyBorder="1">
      <alignment vertical="center"/>
    </xf>
    <xf numFmtId="186" fontId="0" fillId="12" borderId="1" xfId="3" applyNumberFormat="1" applyFont="1" applyFill="1" applyBorder="1">
      <alignment vertical="center"/>
    </xf>
    <xf numFmtId="180" fontId="4" fillId="12" borderId="1" xfId="3" applyNumberFormat="1" applyFont="1" applyFill="1" applyBorder="1">
      <alignment vertical="center"/>
    </xf>
    <xf numFmtId="41" fontId="5" fillId="11" borderId="1" xfId="3" applyFont="1" applyFill="1" applyBorder="1" applyAlignment="1">
      <alignment horizontal="center" vertical="center" wrapText="1"/>
    </xf>
    <xf numFmtId="41" fontId="4" fillId="12" borderId="1" xfId="3" applyFont="1" applyFill="1" applyBorder="1" applyAlignment="1">
      <alignment horizontal="center" vertical="center"/>
    </xf>
    <xf numFmtId="41" fontId="4" fillId="0" borderId="0" xfId="3" applyFont="1" applyAlignment="1">
      <alignment horizontal="center" vertical="center"/>
    </xf>
    <xf numFmtId="41" fontId="3" fillId="0" borderId="0" xfId="3" applyFont="1">
      <alignment vertical="center"/>
    </xf>
    <xf numFmtId="187" fontId="1" fillId="12" borderId="1" xfId="3" applyNumberFormat="1" applyFont="1" applyFill="1" applyBorder="1">
      <alignment vertical="center"/>
    </xf>
    <xf numFmtId="188" fontId="1" fillId="12" borderId="1" xfId="3" applyNumberFormat="1" applyFont="1" applyFill="1" applyBorder="1">
      <alignment vertical="center"/>
    </xf>
    <xf numFmtId="0" fontId="7" fillId="0" borderId="0" xfId="0" applyFont="1">
      <alignment vertical="center"/>
    </xf>
    <xf numFmtId="41" fontId="5" fillId="3" borderId="5" xfId="3" applyFont="1" applyFill="1" applyBorder="1" applyAlignment="1">
      <alignment horizontal="center" vertical="center" wrapText="1"/>
    </xf>
    <xf numFmtId="41" fontId="4" fillId="0" borderId="0" xfId="3" applyFont="1">
      <alignment vertical="center"/>
    </xf>
    <xf numFmtId="41" fontId="4" fillId="0" borderId="1" xfId="3" applyFont="1" applyBorder="1" applyAlignment="1">
      <alignment vertical="center" wrapText="1"/>
    </xf>
    <xf numFmtId="41" fontId="3" fillId="5" borderId="5" xfId="3" applyFont="1" applyFill="1" applyBorder="1" applyAlignment="1">
      <alignment horizontal="center" vertical="center" wrapText="1"/>
    </xf>
    <xf numFmtId="41" fontId="0" fillId="13" borderId="1" xfId="3" applyFont="1" applyFill="1" applyBorder="1">
      <alignment vertical="center"/>
    </xf>
    <xf numFmtId="181" fontId="0" fillId="13" borderId="1" xfId="3" applyNumberFormat="1" applyFont="1" applyFill="1" applyBorder="1">
      <alignment vertical="center"/>
    </xf>
    <xf numFmtId="184" fontId="0" fillId="13" borderId="1" xfId="3" applyNumberFormat="1" applyFont="1" applyFill="1" applyBorder="1">
      <alignment vertical="center"/>
    </xf>
    <xf numFmtId="182" fontId="0" fillId="13" borderId="1" xfId="0" applyNumberFormat="1" applyFill="1" applyBorder="1">
      <alignment vertical="center"/>
    </xf>
    <xf numFmtId="180" fontId="0" fillId="13" borderId="1" xfId="0" applyNumberFormat="1" applyFill="1" applyBorder="1">
      <alignment vertical="center"/>
    </xf>
    <xf numFmtId="181" fontId="0" fillId="13" borderId="1" xfId="0" applyNumberFormat="1" applyFill="1" applyBorder="1">
      <alignment vertical="center"/>
    </xf>
    <xf numFmtId="183" fontId="0" fillId="13" borderId="1" xfId="0" applyNumberFormat="1" applyFill="1" applyBorder="1">
      <alignment vertical="center"/>
    </xf>
    <xf numFmtId="0" fontId="4" fillId="0" borderId="1" xfId="0" applyFont="1" applyBorder="1" applyAlignment="1">
      <alignment vertical="center" wrapText="1"/>
    </xf>
    <xf numFmtId="182" fontId="0" fillId="13" borderId="1" xfId="3" applyNumberFormat="1" applyFont="1" applyFill="1" applyBorder="1">
      <alignment vertical="center"/>
    </xf>
    <xf numFmtId="189" fontId="0" fillId="13" borderId="1" xfId="3" applyNumberFormat="1" applyFont="1" applyFill="1" applyBorder="1">
      <alignment vertical="center"/>
    </xf>
    <xf numFmtId="190" fontId="6" fillId="12" borderId="1" xfId="3" applyNumberFormat="1" applyFont="1" applyFill="1" applyBorder="1">
      <alignment vertical="center"/>
    </xf>
    <xf numFmtId="177" fontId="4" fillId="6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>
      <alignment vertical="center"/>
    </xf>
    <xf numFmtId="181" fontId="4" fillId="0" borderId="1" xfId="3" applyNumberFormat="1" applyFont="1" applyBorder="1">
      <alignment vertical="center"/>
    </xf>
    <xf numFmtId="179" fontId="0" fillId="0" borderId="1" xfId="3" applyNumberFormat="1" applyFont="1" applyBorder="1">
      <alignment vertical="center"/>
    </xf>
    <xf numFmtId="179" fontId="0" fillId="12" borderId="1" xfId="3" applyNumberFormat="1" applyFont="1" applyFill="1" applyBorder="1">
      <alignment vertical="center"/>
    </xf>
    <xf numFmtId="180" fontId="0" fillId="13" borderId="1" xfId="3" applyNumberFormat="1" applyFont="1" applyFill="1" applyBorder="1">
      <alignment vertical="center"/>
    </xf>
    <xf numFmtId="184" fontId="4" fillId="0" borderId="1" xfId="3" applyNumberFormat="1" applyFont="1" applyBorder="1">
      <alignment vertical="center"/>
    </xf>
    <xf numFmtId="184" fontId="0" fillId="12" borderId="1" xfId="3" applyNumberFormat="1" applyFont="1" applyFill="1" applyBorder="1">
      <alignment vertical="center"/>
    </xf>
    <xf numFmtId="186" fontId="0" fillId="13" borderId="1" xfId="3" applyNumberFormat="1" applyFont="1" applyFill="1" applyBorder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3" applyNumberFormat="1" applyFont="1" applyBorder="1" applyAlignment="1">
      <alignment vertical="center" wrapText="1"/>
    </xf>
    <xf numFmtId="191" fontId="0" fillId="12" borderId="1" xfId="3" applyNumberFormat="1" applyFont="1" applyFill="1" applyBorder="1">
      <alignment vertical="center"/>
    </xf>
    <xf numFmtId="191" fontId="0" fillId="13" borderId="1" xfId="3" applyNumberFormat="1" applyFont="1" applyFill="1" applyBorder="1">
      <alignment vertical="center"/>
    </xf>
    <xf numFmtId="180" fontId="4" fillId="0" borderId="1" xfId="3" applyNumberFormat="1" applyFont="1" applyBorder="1">
      <alignment vertical="center"/>
    </xf>
    <xf numFmtId="183" fontId="0" fillId="12" borderId="1" xfId="3" applyNumberFormat="1" applyFont="1" applyFill="1" applyBorder="1">
      <alignment vertical="center"/>
    </xf>
    <xf numFmtId="183" fontId="0" fillId="13" borderId="1" xfId="3" applyNumberFormat="1" applyFont="1" applyFill="1" applyBorder="1">
      <alignment vertical="center"/>
    </xf>
    <xf numFmtId="182" fontId="0" fillId="0" borderId="1" xfId="3" applyNumberFormat="1" applyFont="1" applyBorder="1">
      <alignment vertical="center"/>
    </xf>
    <xf numFmtId="41" fontId="2" fillId="0" borderId="3" xfId="2" applyFont="1" applyBorder="1" applyAlignment="1">
      <alignment horizontal="center" vertical="center" wrapText="1"/>
    </xf>
    <xf numFmtId="179" fontId="2" fillId="0" borderId="1" xfId="2" applyNumberFormat="1" applyFont="1" applyBorder="1" applyAlignment="1">
      <alignment horizontal="center" vertical="center" wrapText="1"/>
    </xf>
    <xf numFmtId="41" fontId="2" fillId="0" borderId="1" xfId="2" applyFont="1" applyBorder="1" applyAlignment="1">
      <alignment horizontal="center" vertical="center"/>
    </xf>
    <xf numFmtId="41" fontId="5" fillId="0" borderId="2" xfId="2" applyFont="1" applyBorder="1" applyAlignment="1">
      <alignment horizontal="left" vertical="center" wrapText="1"/>
    </xf>
    <xf numFmtId="41" fontId="4" fillId="6" borderId="1" xfId="3" applyFont="1" applyFill="1" applyBorder="1">
      <alignment vertical="center"/>
    </xf>
    <xf numFmtId="41" fontId="0" fillId="6" borderId="1" xfId="3" applyFont="1" applyFill="1" applyBorder="1">
      <alignment vertical="center"/>
    </xf>
    <xf numFmtId="41" fontId="4" fillId="6" borderId="1" xfId="3" applyFont="1" applyFill="1" applyBorder="1" applyAlignment="1">
      <alignment horizontal="center" vertical="center"/>
    </xf>
    <xf numFmtId="178" fontId="0" fillId="6" borderId="1" xfId="4" applyNumberFormat="1" applyFont="1" applyFill="1" applyBorder="1">
      <alignment vertical="center"/>
    </xf>
    <xf numFmtId="0" fontId="0" fillId="6" borderId="0" xfId="0" applyFill="1">
      <alignment vertical="center"/>
    </xf>
    <xf numFmtId="192" fontId="2" fillId="0" borderId="6" xfId="2" applyNumberFormat="1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>
      <alignment vertical="center"/>
    </xf>
    <xf numFmtId="0" fontId="4" fillId="0" borderId="4" xfId="1" applyFont="1" applyBorder="1" applyAlignment="1">
      <alignment vertical="center" wrapText="1"/>
    </xf>
    <xf numFmtId="176" fontId="1" fillId="0" borderId="3" xfId="1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41" fontId="0" fillId="12" borderId="0" xfId="3" applyFont="1" applyFill="1">
      <alignment vertical="center"/>
    </xf>
    <xf numFmtId="41" fontId="4" fillId="12" borderId="0" xfId="3" applyFont="1" applyFill="1" applyAlignment="1">
      <alignment horizontal="center" vertical="center"/>
    </xf>
    <xf numFmtId="177" fontId="4" fillId="0" borderId="0" xfId="3" applyNumberFormat="1" applyFont="1" applyAlignment="1">
      <alignment horizontal="center" vertical="center"/>
    </xf>
    <xf numFmtId="41" fontId="0" fillId="13" borderId="0" xfId="3" applyFont="1" applyFill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41" fontId="0" fillId="0" borderId="1" xfId="3" applyFont="1" applyBorder="1" applyAlignment="1">
      <alignment horizontal="center" vertical="center"/>
    </xf>
    <xf numFmtId="0" fontId="4" fillId="0" borderId="1" xfId="3" applyNumberFormat="1" applyFont="1" applyBorder="1" applyAlignment="1">
      <alignment horizontal="center" vertical="center" wrapText="1"/>
    </xf>
    <xf numFmtId="0" fontId="4" fillId="6" borderId="1" xfId="3" applyNumberFormat="1" applyFont="1" applyFill="1" applyBorder="1" applyAlignment="1">
      <alignment horizontal="center" vertical="center" wrapText="1"/>
    </xf>
    <xf numFmtId="41" fontId="0" fillId="6" borderId="1" xfId="3" applyFont="1" applyFill="1" applyBorder="1" applyAlignment="1">
      <alignment horizontal="center" vertical="center"/>
    </xf>
    <xf numFmtId="179" fontId="1" fillId="0" borderId="11" xfId="2" applyNumberFormat="1" applyFont="1" applyBorder="1" applyAlignment="1">
      <alignment vertical="center" wrapText="1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3" xfId="1" applyFont="1" applyBorder="1" applyAlignment="1">
      <alignment vertical="center" wrapText="1"/>
    </xf>
    <xf numFmtId="0" fontId="5" fillId="0" borderId="12" xfId="0" applyFont="1" applyBorder="1">
      <alignment vertical="center"/>
    </xf>
    <xf numFmtId="0" fontId="5" fillId="0" borderId="14" xfId="2" applyNumberFormat="1" applyFont="1" applyBorder="1" applyAlignment="1">
      <alignment horizontal="center" vertical="center" wrapText="1"/>
    </xf>
    <xf numFmtId="192" fontId="2" fillId="0" borderId="15" xfId="2" applyNumberFormat="1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0" borderId="1" xfId="5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5" fillId="0" borderId="1" xfId="3" applyNumberFormat="1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41" fontId="2" fillId="0" borderId="1" xfId="3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4" fillId="1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81" fontId="11" fillId="12" borderId="1" xfId="3" applyNumberForma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0" xfId="0" applyAlignment="1">
      <alignment horizontal="center" vertical="center"/>
    </xf>
    <xf numFmtId="176" fontId="1" fillId="0" borderId="10" xfId="1" applyNumberFormat="1" applyFont="1" applyBorder="1" applyAlignment="1">
      <alignment horizontal="center" vertical="center"/>
    </xf>
    <xf numFmtId="0" fontId="4" fillId="0" borderId="13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21" fillId="6" borderId="1" xfId="3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vertical="center" wrapText="1"/>
    </xf>
    <xf numFmtId="179" fontId="1" fillId="0" borderId="21" xfId="2" applyNumberFormat="1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4" fillId="17" borderId="1" xfId="3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/>
    </xf>
    <xf numFmtId="0" fontId="22" fillId="17" borderId="1" xfId="0" applyFont="1" applyFill="1" applyBorder="1" applyAlignment="1">
      <alignment horizontal="center" vertical="center"/>
    </xf>
    <xf numFmtId="0" fontId="21" fillId="17" borderId="1" xfId="0" applyFont="1" applyFill="1" applyBorder="1" applyAlignment="1">
      <alignment horizontal="center" vertical="center"/>
    </xf>
    <xf numFmtId="0" fontId="0" fillId="17" borderId="0" xfId="0" applyFill="1">
      <alignment vertical="center"/>
    </xf>
    <xf numFmtId="0" fontId="31" fillId="8" borderId="33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7" fillId="22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38" fillId="21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1" fillId="22" borderId="23" xfId="0" applyFont="1" applyFill="1" applyBorder="1" applyAlignment="1">
      <alignment horizontal="center" vertical="center"/>
    </xf>
    <xf numFmtId="0" fontId="37" fillId="22" borderId="23" xfId="0" applyFont="1" applyFill="1" applyBorder="1" applyAlignment="1">
      <alignment horizontal="center" vertical="center"/>
    </xf>
    <xf numFmtId="0" fontId="38" fillId="22" borderId="2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5" fillId="0" borderId="1" xfId="5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5" fillId="0" borderId="1" xfId="3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5" fillId="0" borderId="1" xfId="1" applyFont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9" fontId="17" fillId="21" borderId="24" xfId="2" applyNumberFormat="1" applyFont="1" applyFill="1" applyBorder="1" applyAlignment="1">
      <alignment horizontal="left" vertical="center" wrapText="1"/>
    </xf>
    <xf numFmtId="179" fontId="17" fillId="21" borderId="28" xfId="2" applyNumberFormat="1" applyFont="1" applyFill="1" applyBorder="1" applyAlignment="1">
      <alignment horizontal="left" vertical="center" wrapText="1"/>
    </xf>
    <xf numFmtId="0" fontId="21" fillId="0" borderId="1" xfId="3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horizontal="center" vertical="center"/>
    </xf>
    <xf numFmtId="0" fontId="23" fillId="0" borderId="1" xfId="3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" xfId="3" applyNumberFormat="1" applyFont="1" applyBorder="1" applyAlignment="1">
      <alignment horizontal="center" vertical="center"/>
    </xf>
    <xf numFmtId="0" fontId="1" fillId="22" borderId="27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40" fillId="0" borderId="13" xfId="1" applyFont="1" applyBorder="1" applyAlignment="1">
      <alignment horizontal="center" vertical="center" wrapText="1"/>
    </xf>
    <xf numFmtId="0" fontId="20" fillId="23" borderId="37" xfId="0" applyFont="1" applyFill="1" applyBorder="1" applyAlignment="1">
      <alignment horizontal="center" vertical="center"/>
    </xf>
    <xf numFmtId="0" fontId="20" fillId="23" borderId="38" xfId="0" applyFont="1" applyFill="1" applyBorder="1" applyAlignment="1">
      <alignment horizontal="center" vertical="center"/>
    </xf>
    <xf numFmtId="0" fontId="20" fillId="23" borderId="14" xfId="0" applyFont="1" applyFill="1" applyBorder="1" applyAlignment="1">
      <alignment horizontal="center" vertical="center"/>
    </xf>
    <xf numFmtId="0" fontId="20" fillId="23" borderId="13" xfId="0" applyFont="1" applyFill="1" applyBorder="1" applyAlignment="1">
      <alignment horizontal="center" vertical="center"/>
    </xf>
    <xf numFmtId="0" fontId="20" fillId="23" borderId="20" xfId="0" applyFont="1" applyFill="1" applyBorder="1" applyAlignment="1">
      <alignment horizontal="center" vertical="center"/>
    </xf>
    <xf numFmtId="0" fontId="20" fillId="23" borderId="39" xfId="0" applyFont="1" applyFill="1" applyBorder="1" applyAlignment="1">
      <alignment horizontal="center" vertical="center"/>
    </xf>
    <xf numFmtId="176" fontId="41" fillId="6" borderId="10" xfId="1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4" fillId="0" borderId="40" xfId="1" applyFont="1" applyBorder="1" applyAlignment="1">
      <alignment horizontal="center" vertical="center"/>
    </xf>
    <xf numFmtId="0" fontId="4" fillId="0" borderId="40" xfId="1" applyFont="1" applyBorder="1" applyAlignment="1">
      <alignment vertical="center" wrapText="1"/>
    </xf>
    <xf numFmtId="179" fontId="2" fillId="0" borderId="41" xfId="2" applyNumberFormat="1" applyFont="1" applyBorder="1" applyAlignment="1">
      <alignment horizontal="center" vertical="center" wrapText="1"/>
    </xf>
    <xf numFmtId="192" fontId="2" fillId="0" borderId="42" xfId="2" applyNumberFormat="1" applyFont="1" applyBorder="1" applyAlignment="1">
      <alignment horizontal="center" vertical="center"/>
    </xf>
    <xf numFmtId="179" fontId="1" fillId="0" borderId="43" xfId="2" applyNumberFormat="1" applyFont="1" applyBorder="1" applyAlignment="1">
      <alignment vertical="center" wrapText="1"/>
    </xf>
    <xf numFmtId="0" fontId="29" fillId="18" borderId="44" xfId="0" applyFont="1" applyFill="1" applyBorder="1" applyAlignment="1">
      <alignment horizontal="center" vertical="center"/>
    </xf>
    <xf numFmtId="0" fontId="32" fillId="23" borderId="47" xfId="0" applyFont="1" applyFill="1" applyBorder="1" applyAlignment="1">
      <alignment horizontal="center" vertical="center"/>
    </xf>
    <xf numFmtId="0" fontId="32" fillId="23" borderId="20" xfId="0" applyFont="1" applyFill="1" applyBorder="1" applyAlignment="1">
      <alignment horizontal="center" vertical="center"/>
    </xf>
    <xf numFmtId="0" fontId="31" fillId="8" borderId="34" xfId="0" applyFont="1" applyFill="1" applyBorder="1" applyAlignment="1">
      <alignment horizontal="center" vertical="center"/>
    </xf>
    <xf numFmtId="0" fontId="32" fillId="23" borderId="49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1" xfId="3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23" fillId="24" borderId="1" xfId="0" applyFont="1" applyFill="1" applyBorder="1" applyAlignment="1">
      <alignment horizontal="center" vertical="center"/>
    </xf>
    <xf numFmtId="0" fontId="4" fillId="24" borderId="1" xfId="1" applyFont="1" applyFill="1" applyBorder="1" applyAlignment="1">
      <alignment horizontal="center" vertical="center" wrapText="1"/>
    </xf>
    <xf numFmtId="0" fontId="4" fillId="24" borderId="1" xfId="0" applyFont="1" applyFill="1" applyBorder="1" applyAlignment="1">
      <alignment horizontal="center" vertical="center" wrapText="1"/>
    </xf>
    <xf numFmtId="179" fontId="5" fillId="21" borderId="24" xfId="2" applyNumberFormat="1" applyFont="1" applyFill="1" applyBorder="1" applyAlignment="1">
      <alignment horizontal="left" vertical="center" wrapText="1"/>
    </xf>
    <xf numFmtId="0" fontId="22" fillId="22" borderId="23" xfId="0" applyFont="1" applyFill="1" applyBorder="1" applyAlignment="1">
      <alignment horizontal="center" vertical="center"/>
    </xf>
    <xf numFmtId="0" fontId="4" fillId="22" borderId="23" xfId="0" applyFont="1" applyFill="1" applyBorder="1" applyAlignment="1">
      <alignment horizontal="center" vertical="center"/>
    </xf>
    <xf numFmtId="0" fontId="37" fillId="22" borderId="25" xfId="0" applyFont="1" applyFill="1" applyBorder="1" applyAlignment="1">
      <alignment horizontal="center" vertical="center"/>
    </xf>
    <xf numFmtId="176" fontId="1" fillId="0" borderId="50" xfId="1" applyNumberFormat="1" applyFont="1" applyBorder="1" applyAlignment="1">
      <alignment horizontal="center" vertical="center"/>
    </xf>
    <xf numFmtId="176" fontId="1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0" fillId="0" borderId="0" xfId="0" applyNumberFormat="1">
      <alignment vertical="center"/>
    </xf>
    <xf numFmtId="0" fontId="42" fillId="0" borderId="0" xfId="0" applyFont="1">
      <alignment vertical="center"/>
    </xf>
    <xf numFmtId="0" fontId="14" fillId="0" borderId="0" xfId="0" applyFont="1">
      <alignment vertical="center"/>
    </xf>
    <xf numFmtId="41" fontId="2" fillId="0" borderId="51" xfId="2" applyFont="1" applyBorder="1" applyAlignment="1">
      <alignment horizontal="center" vertical="center" wrapText="1"/>
    </xf>
    <xf numFmtId="41" fontId="5" fillId="0" borderId="7" xfId="2" applyFont="1" applyBorder="1" applyAlignment="1">
      <alignment horizontal="left" vertical="center" wrapText="1"/>
    </xf>
    <xf numFmtId="179" fontId="2" fillId="0" borderId="8" xfId="2" applyNumberFormat="1" applyFont="1" applyBorder="1" applyAlignment="1">
      <alignment horizontal="center" vertical="center" wrapText="1"/>
    </xf>
    <xf numFmtId="41" fontId="2" fillId="0" borderId="8" xfId="2" applyFont="1" applyBorder="1" applyAlignment="1">
      <alignment horizontal="center" vertical="center"/>
    </xf>
    <xf numFmtId="0" fontId="22" fillId="0" borderId="1" xfId="3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5" fillId="25" borderId="1" xfId="0" applyFont="1" applyFill="1" applyBorder="1" applyAlignment="1">
      <alignment vertical="center" wrapText="1"/>
    </xf>
    <xf numFmtId="0" fontId="20" fillId="23" borderId="52" xfId="0" applyFont="1" applyFill="1" applyBorder="1" applyAlignment="1">
      <alignment horizontal="center" vertical="center"/>
    </xf>
    <xf numFmtId="0" fontId="20" fillId="23" borderId="53" xfId="0" applyFont="1" applyFill="1" applyBorder="1" applyAlignment="1">
      <alignment horizontal="center" vertical="center"/>
    </xf>
    <xf numFmtId="179" fontId="17" fillId="21" borderId="26" xfId="2" applyNumberFormat="1" applyFont="1" applyFill="1" applyBorder="1" applyAlignment="1">
      <alignment horizontal="left" vertical="center" wrapText="1"/>
    </xf>
    <xf numFmtId="0" fontId="40" fillId="26" borderId="13" xfId="1" applyFont="1" applyFill="1" applyBorder="1" applyAlignment="1">
      <alignment horizontal="left" vertical="center" wrapText="1"/>
    </xf>
    <xf numFmtId="179" fontId="43" fillId="21" borderId="26" xfId="2" applyNumberFormat="1" applyFont="1" applyFill="1" applyBorder="1" applyAlignment="1">
      <alignment horizontal="left" vertical="center" wrapText="1"/>
    </xf>
    <xf numFmtId="179" fontId="43" fillId="21" borderId="24" xfId="2" applyNumberFormat="1" applyFont="1" applyFill="1" applyBorder="1" applyAlignment="1">
      <alignment horizontal="left" vertical="center" wrapText="1"/>
    </xf>
    <xf numFmtId="0" fontId="37" fillId="21" borderId="0" xfId="0" applyFont="1" applyFill="1" applyAlignment="1">
      <alignment horizontal="center" vertical="center"/>
    </xf>
    <xf numFmtId="0" fontId="37" fillId="22" borderId="27" xfId="0" applyFont="1" applyFill="1" applyBorder="1" applyAlignment="1">
      <alignment horizontal="center" vertical="center"/>
    </xf>
    <xf numFmtId="179" fontId="43" fillId="21" borderId="28" xfId="2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3" applyNumberFormat="1" applyFont="1" applyFill="1" applyBorder="1" applyAlignment="1">
      <alignment vertical="center" wrapText="1"/>
    </xf>
    <xf numFmtId="41" fontId="4" fillId="12" borderId="0" xfId="3" applyFont="1" applyFill="1">
      <alignment vertical="center"/>
    </xf>
    <xf numFmtId="0" fontId="2" fillId="6" borderId="1" xfId="0" applyFont="1" applyFill="1" applyBorder="1" applyAlignment="1">
      <alignment vertical="center" wrapText="1"/>
    </xf>
    <xf numFmtId="3" fontId="11" fillId="27" borderId="0" xfId="0" applyNumberFormat="1" applyFont="1" applyFill="1" applyAlignment="1">
      <alignment horizontal="center" vertical="center"/>
    </xf>
    <xf numFmtId="0" fontId="11" fillId="27" borderId="0" xfId="0" applyFont="1" applyFill="1" applyAlignment="1">
      <alignment horizontal="center" vertical="center"/>
    </xf>
    <xf numFmtId="0" fontId="25" fillId="23" borderId="32" xfId="0" applyFont="1" applyFill="1" applyBorder="1" applyAlignment="1">
      <alignment horizontal="center" vertical="center"/>
    </xf>
    <xf numFmtId="0" fontId="25" fillId="23" borderId="54" xfId="0" applyFont="1" applyFill="1" applyBorder="1" applyAlignment="1">
      <alignment horizontal="center" vertical="center"/>
    </xf>
    <xf numFmtId="0" fontId="37" fillId="6" borderId="0" xfId="0" applyFont="1" applyFill="1" applyAlignment="1">
      <alignment horizontal="center" vertical="center"/>
    </xf>
    <xf numFmtId="179" fontId="43" fillId="6" borderId="24" xfId="2" applyNumberFormat="1" applyFont="1" applyFill="1" applyBorder="1" applyAlignment="1">
      <alignment horizontal="left" vertical="center" wrapText="1"/>
    </xf>
    <xf numFmtId="0" fontId="37" fillId="28" borderId="27" xfId="0" applyFont="1" applyFill="1" applyBorder="1" applyAlignment="1">
      <alignment horizontal="center" vertical="center"/>
    </xf>
    <xf numFmtId="41" fontId="5" fillId="0" borderId="5" xfId="2" applyFont="1" applyBorder="1" applyAlignment="1">
      <alignment horizontal="left" vertical="center" wrapText="1"/>
    </xf>
    <xf numFmtId="41" fontId="2" fillId="0" borderId="41" xfId="2" applyFont="1" applyBorder="1" applyAlignment="1">
      <alignment horizontal="center" vertical="center"/>
    </xf>
    <xf numFmtId="41" fontId="1" fillId="3" borderId="54" xfId="2" applyFont="1" applyFill="1" applyBorder="1" applyAlignment="1">
      <alignment horizontal="center" vertical="center"/>
    </xf>
    <xf numFmtId="41" fontId="2" fillId="3" borderId="46" xfId="2" applyFont="1" applyFill="1" applyBorder="1" applyAlignment="1">
      <alignment horizontal="center" vertical="center" wrapText="1"/>
    </xf>
    <xf numFmtId="41" fontId="5" fillId="2" borderId="55" xfId="2" applyFont="1" applyFill="1" applyBorder="1" applyAlignment="1">
      <alignment horizontal="center" vertical="center" wrapText="1"/>
    </xf>
    <xf numFmtId="41" fontId="2" fillId="2" borderId="55" xfId="2" applyFont="1" applyFill="1" applyBorder="1" applyAlignment="1">
      <alignment horizontal="center" vertical="center" wrapText="1"/>
    </xf>
    <xf numFmtId="179" fontId="2" fillId="3" borderId="45" xfId="2" applyNumberFormat="1" applyFont="1" applyFill="1" applyBorder="1" applyAlignment="1">
      <alignment horizontal="center" vertical="center" wrapText="1"/>
    </xf>
    <xf numFmtId="41" fontId="2" fillId="3" borderId="45" xfId="2" applyFont="1" applyFill="1" applyBorder="1" applyAlignment="1">
      <alignment horizontal="center" vertical="center"/>
    </xf>
    <xf numFmtId="41" fontId="2" fillId="3" borderId="55" xfId="2" applyFont="1" applyFill="1" applyBorder="1" applyAlignment="1">
      <alignment horizontal="center" vertical="center"/>
    </xf>
    <xf numFmtId="179" fontId="2" fillId="3" borderId="55" xfId="2" applyNumberFormat="1" applyFont="1" applyFill="1" applyBorder="1" applyAlignment="1">
      <alignment horizontal="center" vertical="center" wrapText="1"/>
    </xf>
    <xf numFmtId="41" fontId="2" fillId="3" borderId="56" xfId="2" applyFont="1" applyFill="1" applyBorder="1" applyAlignment="1">
      <alignment horizontal="center" vertical="center"/>
    </xf>
    <xf numFmtId="0" fontId="20" fillId="28" borderId="32" xfId="0" applyFont="1" applyFill="1" applyBorder="1" applyAlignment="1">
      <alignment horizontal="center" vertical="center"/>
    </xf>
    <xf numFmtId="0" fontId="20" fillId="28" borderId="54" xfId="0" applyFont="1" applyFill="1" applyBorder="1" applyAlignment="1">
      <alignment horizontal="center" vertical="center"/>
    </xf>
    <xf numFmtId="41" fontId="19" fillId="6" borderId="2" xfId="2" applyFont="1" applyFill="1" applyBorder="1" applyAlignment="1">
      <alignment horizontal="left" vertical="center" wrapText="1"/>
    </xf>
    <xf numFmtId="0" fontId="21" fillId="6" borderId="4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 wrapText="1"/>
    </xf>
    <xf numFmtId="0" fontId="21" fillId="6" borderId="4" xfId="1" applyFont="1" applyFill="1" applyBorder="1" applyAlignment="1">
      <alignment vertical="center" wrapText="1"/>
    </xf>
    <xf numFmtId="179" fontId="41" fillId="6" borderId="1" xfId="2" applyNumberFormat="1" applyFont="1" applyFill="1" applyBorder="1" applyAlignment="1">
      <alignment horizontal="center" vertical="center" wrapText="1"/>
    </xf>
    <xf numFmtId="0" fontId="22" fillId="0" borderId="1" xfId="1" applyFont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25" fillId="0" borderId="1" xfId="1" applyFont="1" applyBorder="1" applyAlignment="1">
      <alignment vertical="center" wrapText="1"/>
    </xf>
    <xf numFmtId="179" fontId="1" fillId="0" borderId="1" xfId="2" applyNumberFormat="1" applyFont="1" applyBorder="1" applyAlignment="1">
      <alignment horizontal="center" vertical="center" wrapText="1"/>
    </xf>
    <xf numFmtId="41" fontId="1" fillId="0" borderId="1" xfId="2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/>
    </xf>
    <xf numFmtId="41" fontId="5" fillId="0" borderId="1" xfId="2" applyFont="1" applyBorder="1" applyAlignment="1">
      <alignment horizontal="left" vertical="center" wrapText="1"/>
    </xf>
    <xf numFmtId="41" fontId="2" fillId="0" borderId="22" xfId="2" applyFont="1" applyBorder="1" applyAlignment="1">
      <alignment horizontal="center" vertical="center" wrapText="1"/>
    </xf>
    <xf numFmtId="0" fontId="4" fillId="0" borderId="57" xfId="1" applyFont="1" applyBorder="1" applyAlignment="1">
      <alignment horizontal="center" vertical="center"/>
    </xf>
    <xf numFmtId="0" fontId="4" fillId="0" borderId="57" xfId="1" applyFont="1" applyBorder="1" applyAlignment="1">
      <alignment vertical="center" wrapText="1"/>
    </xf>
    <xf numFmtId="192" fontId="2" fillId="0" borderId="58" xfId="2" applyNumberFormat="1" applyFont="1" applyBorder="1" applyAlignment="1">
      <alignment horizontal="center" vertical="center"/>
    </xf>
    <xf numFmtId="179" fontId="1" fillId="0" borderId="9" xfId="2" applyNumberFormat="1" applyFont="1" applyBorder="1" applyAlignment="1">
      <alignment vertical="center" wrapText="1"/>
    </xf>
    <xf numFmtId="0" fontId="28" fillId="15" borderId="25" xfId="0" applyFont="1" applyFill="1" applyBorder="1" applyAlignment="1">
      <alignment horizontal="center" vertical="center"/>
    </xf>
    <xf numFmtId="0" fontId="28" fillId="15" borderId="29" xfId="0" applyFont="1" applyFill="1" applyBorder="1" applyAlignment="1">
      <alignment horizontal="center" vertical="center"/>
    </xf>
    <xf numFmtId="0" fontId="28" fillId="15" borderId="26" xfId="0" applyFont="1" applyFill="1" applyBorder="1" applyAlignment="1">
      <alignment horizontal="center" vertical="center"/>
    </xf>
    <xf numFmtId="193" fontId="30" fillId="18" borderId="45" xfId="0" applyNumberFormat="1" applyFont="1" applyFill="1" applyBorder="1" applyAlignment="1">
      <alignment horizontal="center" vertical="center"/>
    </xf>
    <xf numFmtId="193" fontId="30" fillId="18" borderId="31" xfId="0" applyNumberFormat="1" applyFont="1" applyFill="1" applyBorder="1" applyAlignment="1">
      <alignment horizontal="center" vertical="center"/>
    </xf>
    <xf numFmtId="193" fontId="30" fillId="18" borderId="30" xfId="0" applyNumberFormat="1" applyFont="1" applyFill="1" applyBorder="1" applyAlignment="1">
      <alignment horizontal="center" vertical="center"/>
    </xf>
    <xf numFmtId="193" fontId="30" fillId="18" borderId="32" xfId="0" applyNumberFormat="1" applyFont="1" applyFill="1" applyBorder="1" applyAlignment="1">
      <alignment horizontal="center" vertical="center"/>
    </xf>
    <xf numFmtId="193" fontId="30" fillId="18" borderId="46" xfId="0" applyNumberFormat="1" applyFont="1" applyFill="1" applyBorder="1" applyAlignment="1">
      <alignment horizontal="center" vertical="center"/>
    </xf>
    <xf numFmtId="194" fontId="32" fillId="19" borderId="48" xfId="0" applyNumberFormat="1" applyFont="1" applyFill="1" applyBorder="1" applyAlignment="1">
      <alignment horizontal="center" vertical="center"/>
    </xf>
    <xf numFmtId="194" fontId="32" fillId="19" borderId="9" xfId="0" applyNumberFormat="1" applyFont="1" applyFill="1" applyBorder="1" applyAlignment="1">
      <alignment horizontal="center" vertical="center"/>
    </xf>
    <xf numFmtId="0" fontId="31" fillId="21" borderId="25" xfId="0" applyFont="1" applyFill="1" applyBorder="1" applyAlignment="1">
      <alignment horizontal="center" vertical="center"/>
    </xf>
    <xf numFmtId="0" fontId="31" fillId="21" borderId="23" xfId="0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194" fontId="3" fillId="19" borderId="22" xfId="0" applyNumberFormat="1" applyFont="1" applyFill="1" applyBorder="1" applyAlignment="1">
      <alignment horizontal="center" vertical="center"/>
    </xf>
    <xf numFmtId="194" fontId="3" fillId="19" borderId="35" xfId="0" applyNumberFormat="1" applyFont="1" applyFill="1" applyBorder="1" applyAlignment="1">
      <alignment horizontal="center" vertical="center"/>
    </xf>
    <xf numFmtId="0" fontId="31" fillId="21" borderId="17" xfId="0" applyFont="1" applyFill="1" applyBorder="1" applyAlignment="1">
      <alignment horizontal="center" vertical="center"/>
    </xf>
    <xf numFmtId="0" fontId="31" fillId="21" borderId="16" xfId="0" applyFont="1" applyFill="1" applyBorder="1" applyAlignment="1">
      <alignment horizontal="center" vertical="center"/>
    </xf>
    <xf numFmtId="0" fontId="31" fillId="21" borderId="18" xfId="0" applyFont="1" applyFill="1" applyBorder="1" applyAlignment="1">
      <alignment horizontal="center" vertical="center"/>
    </xf>
    <xf numFmtId="0" fontId="46" fillId="22" borderId="25" xfId="0" applyFont="1" applyFill="1" applyBorder="1" applyAlignment="1">
      <alignment horizontal="center" vertical="center"/>
    </xf>
    <xf numFmtId="0" fontId="46" fillId="22" borderId="26" xfId="0" applyFont="1" applyFill="1" applyBorder="1" applyAlignment="1">
      <alignment horizontal="center" vertical="center"/>
    </xf>
    <xf numFmtId="0" fontId="46" fillId="22" borderId="23" xfId="0" applyFont="1" applyFill="1" applyBorder="1" applyAlignment="1">
      <alignment horizontal="center" vertical="center"/>
    </xf>
    <xf numFmtId="0" fontId="46" fillId="22" borderId="24" xfId="0" applyFont="1" applyFill="1" applyBorder="1" applyAlignment="1">
      <alignment horizontal="center" vertical="center"/>
    </xf>
    <xf numFmtId="0" fontId="31" fillId="20" borderId="30" xfId="0" applyFont="1" applyFill="1" applyBorder="1" applyAlignment="1">
      <alignment horizontal="center" vertical="center" wrapText="1"/>
    </xf>
    <xf numFmtId="0" fontId="31" fillId="20" borderId="31" xfId="0" applyFont="1" applyFill="1" applyBorder="1" applyAlignment="1">
      <alignment horizontal="center" vertical="center" wrapText="1"/>
    </xf>
    <xf numFmtId="0" fontId="31" fillId="20" borderId="32" xfId="0" applyFont="1" applyFill="1" applyBorder="1" applyAlignment="1">
      <alignment horizontal="center" vertical="center" wrapText="1"/>
    </xf>
    <xf numFmtId="194" fontId="32" fillId="19" borderId="34" xfId="0" applyNumberFormat="1" applyFont="1" applyFill="1" applyBorder="1" applyAlignment="1">
      <alignment horizontal="center" vertical="center"/>
    </xf>
    <xf numFmtId="194" fontId="32" fillId="19" borderId="35" xfId="0" applyNumberFormat="1" applyFont="1" applyFill="1" applyBorder="1" applyAlignment="1">
      <alignment horizontal="center" vertical="center"/>
    </xf>
    <xf numFmtId="194" fontId="3" fillId="19" borderId="48" xfId="0" applyNumberFormat="1" applyFont="1" applyFill="1" applyBorder="1" applyAlignment="1">
      <alignment horizontal="center" vertical="center"/>
    </xf>
    <xf numFmtId="194" fontId="3" fillId="19" borderId="9" xfId="0" applyNumberFormat="1" applyFont="1" applyFill="1" applyBorder="1" applyAlignment="1">
      <alignment horizontal="center" vertical="center"/>
    </xf>
    <xf numFmtId="0" fontId="44" fillId="22" borderId="25" xfId="0" applyFont="1" applyFill="1" applyBorder="1" applyAlignment="1">
      <alignment horizontal="center" vertical="center"/>
    </xf>
    <xf numFmtId="0" fontId="44" fillId="22" borderId="26" xfId="0" applyFont="1" applyFill="1" applyBorder="1" applyAlignment="1">
      <alignment horizontal="center" vertical="center"/>
    </xf>
    <xf numFmtId="0" fontId="44" fillId="22" borderId="23" xfId="0" applyFont="1" applyFill="1" applyBorder="1" applyAlignment="1">
      <alignment horizontal="center" vertical="center"/>
    </xf>
    <xf numFmtId="0" fontId="44" fillId="22" borderId="24" xfId="0" applyFont="1" applyFill="1" applyBorder="1" applyAlignment="1">
      <alignment horizontal="center" vertical="center"/>
    </xf>
    <xf numFmtId="0" fontId="44" fillId="22" borderId="27" xfId="0" applyFont="1" applyFill="1" applyBorder="1" applyAlignment="1">
      <alignment horizontal="center" vertical="center"/>
    </xf>
    <xf numFmtId="0" fontId="44" fillId="22" borderId="2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4" fontId="16" fillId="0" borderId="19" xfId="0" applyNumberFormat="1" applyFont="1" applyBorder="1" applyAlignment="1">
      <alignment horizontal="center" vertical="center"/>
    </xf>
    <xf numFmtId="176" fontId="2" fillId="14" borderId="16" xfId="1" applyNumberFormat="1" applyFont="1" applyFill="1" applyBorder="1" applyAlignment="1">
      <alignment horizontal="center" vertical="center" wrapText="1"/>
    </xf>
    <xf numFmtId="176" fontId="2" fillId="14" borderId="18" xfId="1" applyNumberFormat="1" applyFont="1" applyFill="1" applyBorder="1" applyAlignment="1">
      <alignment horizontal="center" vertical="center" wrapText="1"/>
    </xf>
    <xf numFmtId="176" fontId="2" fillId="6" borderId="17" xfId="1" applyNumberFormat="1" applyFont="1" applyFill="1" applyBorder="1" applyAlignment="1">
      <alignment horizontal="center" vertical="center" wrapText="1"/>
    </xf>
    <xf numFmtId="176" fontId="2" fillId="6" borderId="16" xfId="1" applyNumberFormat="1" applyFont="1" applyFill="1" applyBorder="1" applyAlignment="1">
      <alignment horizontal="center" vertical="center" wrapText="1"/>
    </xf>
    <xf numFmtId="176" fontId="2" fillId="6" borderId="18" xfId="1" applyNumberFormat="1" applyFont="1" applyFill="1" applyBorder="1" applyAlignment="1">
      <alignment horizontal="center" vertical="center" wrapText="1"/>
    </xf>
    <xf numFmtId="176" fontId="1" fillId="0" borderId="10" xfId="1" applyNumberFormat="1" applyFont="1" applyBorder="1" applyAlignment="1">
      <alignment horizontal="center" vertical="center"/>
    </xf>
    <xf numFmtId="176" fontId="1" fillId="0" borderId="36" xfId="1" applyNumberFormat="1" applyFont="1" applyBorder="1" applyAlignment="1">
      <alignment horizontal="center" vertical="center"/>
    </xf>
    <xf numFmtId="176" fontId="41" fillId="6" borderId="10" xfId="1" applyNumberFormat="1" applyFont="1" applyFill="1" applyBorder="1" applyAlignment="1">
      <alignment horizontal="center" vertical="center" wrapText="1"/>
    </xf>
    <xf numFmtId="176" fontId="41" fillId="6" borderId="36" xfId="1" applyNumberFormat="1" applyFont="1" applyFill="1" applyBorder="1" applyAlignment="1">
      <alignment horizontal="center" vertical="center" wrapText="1"/>
    </xf>
    <xf numFmtId="176" fontId="2" fillId="27" borderId="17" xfId="1" applyNumberFormat="1" applyFont="1" applyFill="1" applyBorder="1" applyAlignment="1">
      <alignment horizontal="center" vertical="center" wrapText="1"/>
    </xf>
    <xf numFmtId="176" fontId="2" fillId="27" borderId="16" xfId="1" applyNumberFormat="1" applyFont="1" applyFill="1" applyBorder="1" applyAlignment="1">
      <alignment horizontal="center" vertical="center" wrapText="1"/>
    </xf>
    <xf numFmtId="176" fontId="2" fillId="27" borderId="18" xfId="1" applyNumberFormat="1" applyFont="1" applyFill="1" applyBorder="1" applyAlignment="1">
      <alignment horizontal="center" vertical="center" wrapText="1"/>
    </xf>
    <xf numFmtId="176" fontId="2" fillId="14" borderId="17" xfId="1" applyNumberFormat="1" applyFont="1" applyFill="1" applyBorder="1" applyAlignment="1">
      <alignment horizontal="center" vertical="center" wrapText="1"/>
    </xf>
  </cellXfs>
  <cellStyles count="16">
    <cellStyle name="백분율" xfId="4" builtinId="5"/>
    <cellStyle name="쉼표 [0]" xfId="3" builtinId="6"/>
    <cellStyle name="쉼표 [0] 2" xfId="2" xr:uid="{00000000-0005-0000-0000-000002000000}"/>
    <cellStyle name="쉼표 [0] 2 2" xfId="6" xr:uid="{00000000-0005-0000-0000-000003000000}"/>
    <cellStyle name="쉼표 [0] 2 2 2" xfId="13" xr:uid="{00000000-0005-0000-0000-000004000000}"/>
    <cellStyle name="쉼표 [0] 2 3" xfId="11" xr:uid="{00000000-0005-0000-0000-000005000000}"/>
    <cellStyle name="쉼표 [0] 2 4" xfId="9" xr:uid="{00000000-0005-0000-0000-000006000000}"/>
    <cellStyle name="쉼표 [0] 3" xfId="7" xr:uid="{00000000-0005-0000-0000-000007000000}"/>
    <cellStyle name="쉼표 [0] 3 2" xfId="14" xr:uid="{00000000-0005-0000-0000-000008000000}"/>
    <cellStyle name="쉼표 [0] 4" xfId="12" xr:uid="{00000000-0005-0000-0000-000009000000}"/>
    <cellStyle name="쉼표 [0] 5" xfId="10" xr:uid="{00000000-0005-0000-0000-00000A000000}"/>
    <cellStyle name="표준" xfId="0" builtinId="0"/>
    <cellStyle name="표준 2" xfId="1" xr:uid="{00000000-0005-0000-0000-00000C000000}"/>
    <cellStyle name="표준 2 2" xfId="5" xr:uid="{00000000-0005-0000-0000-00000D000000}"/>
    <cellStyle name="표준 2 3" xfId="15" xr:uid="{00000000-0005-0000-0000-00000E000000}"/>
    <cellStyle name="표준 3" xfId="8" xr:uid="{00000000-0005-0000-0000-00000F000000}"/>
  </cellStyles>
  <dxfs count="8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72F688"/>
      <color rgb="FF00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333;&#54984;\&#49373;&#49328;&#51068;&#51648;\&#53412;&#51592;&#46973;\2019&#45380;\CJ&#51452;&#47928;&#54788;&#54889;(2018.11.01-2019.04.0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1</v>
          </cell>
          <cell r="B2" t="str">
            <v>2019-04-08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</row>
        <row r="3">
          <cell r="A3">
            <v>2</v>
          </cell>
          <cell r="B3" t="str">
            <v>2019-04-08</v>
          </cell>
          <cell r="C3" t="str">
            <v>더바른푸드</v>
          </cell>
          <cell r="D3" t="str">
            <v>더바른푸드</v>
          </cell>
          <cell r="E3" t="str">
            <v>일반</v>
          </cell>
          <cell r="F3" t="str">
            <v>주문진행</v>
          </cell>
          <cell r="G3">
            <v>127359</v>
          </cell>
          <cell r="H3" t="str">
            <v>사조대림 사각잡채군만두(32±1개입 800g/EA)</v>
          </cell>
          <cell r="I3" t="str">
            <v>EA</v>
          </cell>
          <cell r="J3">
            <v>34</v>
          </cell>
          <cell r="K3">
            <v>0</v>
          </cell>
          <cell r="L3">
            <v>3380</v>
          </cell>
          <cell r="M3">
            <v>114920</v>
          </cell>
          <cell r="N3">
            <v>11492</v>
          </cell>
          <cell r="O3">
            <v>126412</v>
          </cell>
          <cell r="P3">
            <v>0</v>
          </cell>
          <cell r="Q3" t="str">
            <v/>
          </cell>
          <cell r="R3" t="str">
            <v>냉동</v>
          </cell>
          <cell r="S3" t="str">
            <v>EA(6)</v>
          </cell>
          <cell r="T3" t="str">
            <v/>
          </cell>
          <cell r="U3" t="str">
            <v/>
          </cell>
          <cell r="V3" t="str">
            <v>2019-04-03</v>
          </cell>
          <cell r="W3" t="str">
            <v>2019-04-03 14:36:12</v>
          </cell>
          <cell r="X3" t="str">
            <v>더바른푸드</v>
          </cell>
        </row>
        <row r="4">
          <cell r="A4">
            <v>3</v>
          </cell>
          <cell r="B4" t="str">
            <v>2019-04-08</v>
          </cell>
          <cell r="C4">
            <v>0</v>
          </cell>
          <cell r="D4">
            <v>0</v>
          </cell>
          <cell r="E4" t="str">
            <v>대체상품</v>
          </cell>
          <cell r="F4">
            <v>0</v>
          </cell>
          <cell r="G4">
            <v>400950</v>
          </cell>
          <cell r="H4" t="str">
            <v>돈뒷다리(0.5*0.5*5cm 잡채용 KG)</v>
          </cell>
          <cell r="I4" t="str">
            <v>KG</v>
          </cell>
          <cell r="J4">
            <v>0</v>
          </cell>
          <cell r="K4">
            <v>0</v>
          </cell>
          <cell r="L4">
            <v>4230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str">
            <v>냉동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</row>
        <row r="5">
          <cell r="A5">
            <v>4</v>
          </cell>
          <cell r="B5" t="str">
            <v>2019-04-08</v>
          </cell>
          <cell r="C5" t="str">
            <v>더바른푸드</v>
          </cell>
          <cell r="D5" t="str">
            <v>더바른푸드</v>
          </cell>
          <cell r="E5" t="str">
            <v>대체상품</v>
          </cell>
          <cell r="F5">
            <v>0</v>
          </cell>
          <cell r="G5">
            <v>411752</v>
          </cell>
          <cell r="H5" t="str">
            <v>프레시웨이 돈등심(2.5*2.5*2.5cm 장조림용 5Kg/EA)</v>
          </cell>
          <cell r="I5" t="str">
            <v>EA</v>
          </cell>
          <cell r="J5">
            <v>0</v>
          </cell>
          <cell r="K5">
            <v>0</v>
          </cell>
          <cell r="L5">
            <v>34310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 t="str">
            <v/>
          </cell>
          <cell r="R5" t="str">
            <v>냉동</v>
          </cell>
          <cell r="S5">
            <v>0</v>
          </cell>
          <cell r="T5" t="str">
            <v/>
          </cell>
          <cell r="U5" t="str">
            <v/>
          </cell>
          <cell r="V5" t="str">
            <v>2019-04-03</v>
          </cell>
          <cell r="W5" t="str">
            <v>2019-04-03 14:36:12</v>
          </cell>
          <cell r="X5" t="str">
            <v>더바른푸드</v>
          </cell>
        </row>
        <row r="6">
          <cell r="A6">
            <v>5</v>
          </cell>
          <cell r="B6" t="str">
            <v>2019-04-08</v>
          </cell>
          <cell r="C6" t="str">
            <v>더바른푸드</v>
          </cell>
          <cell r="D6" t="str">
            <v>더바른푸드</v>
          </cell>
          <cell r="E6" t="str">
            <v>대체상품</v>
          </cell>
          <cell r="F6">
            <v>0</v>
          </cell>
          <cell r="G6">
            <v>408460</v>
          </cell>
          <cell r="H6" t="str">
            <v>한우목심(2등급 4*4*0.3cm 불고기용 KG)</v>
          </cell>
          <cell r="I6" t="str">
            <v>KG</v>
          </cell>
          <cell r="J6">
            <v>0</v>
          </cell>
          <cell r="K6">
            <v>0</v>
          </cell>
          <cell r="L6">
            <v>28340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 t="str">
            <v/>
          </cell>
          <cell r="R6" t="str">
            <v>냉장</v>
          </cell>
          <cell r="S6">
            <v>0</v>
          </cell>
          <cell r="T6" t="str">
            <v/>
          </cell>
          <cell r="U6" t="str">
            <v/>
          </cell>
          <cell r="V6" t="str">
            <v>2019-04-03</v>
          </cell>
          <cell r="W6" t="str">
            <v>2019-04-03 14:36:12</v>
          </cell>
          <cell r="X6" t="str">
            <v>더바른푸드</v>
          </cell>
        </row>
        <row r="7">
          <cell r="A7">
            <v>6</v>
          </cell>
          <cell r="B7" t="str">
            <v>2019-04-08</v>
          </cell>
          <cell r="C7" t="str">
            <v>더바른푸드</v>
          </cell>
          <cell r="D7" t="str">
            <v>더바른푸드</v>
          </cell>
          <cell r="E7" t="str">
            <v>대체상품</v>
          </cell>
          <cell r="F7">
            <v>0</v>
          </cell>
          <cell r="G7">
            <v>422146</v>
          </cell>
          <cell r="H7" t="str">
            <v>아이누리 돈등심(무항생제_MAP_0.5*0.5*0.5cm 짜장카레용 500g/EA)</v>
          </cell>
          <cell r="I7" t="str">
            <v>EA</v>
          </cell>
          <cell r="J7">
            <v>0</v>
          </cell>
          <cell r="K7">
            <v>0</v>
          </cell>
          <cell r="L7">
            <v>6120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 t="str">
            <v/>
          </cell>
          <cell r="R7" t="str">
            <v>냉장</v>
          </cell>
          <cell r="S7">
            <v>0</v>
          </cell>
          <cell r="T7" t="str">
            <v/>
          </cell>
          <cell r="U7" t="str">
            <v/>
          </cell>
          <cell r="V7" t="str">
            <v>2019-04-03</v>
          </cell>
          <cell r="W7" t="str">
            <v>2019-04-03 14:36:12</v>
          </cell>
          <cell r="X7" t="str">
            <v>더바른푸드</v>
          </cell>
        </row>
        <row r="8">
          <cell r="A8">
            <v>7</v>
          </cell>
          <cell r="B8" t="str">
            <v>2019-04-08</v>
          </cell>
          <cell r="C8" t="str">
            <v>더바른푸드</v>
          </cell>
          <cell r="D8" t="str">
            <v>더바른푸드</v>
          </cell>
          <cell r="E8" t="str">
            <v>대체상품</v>
          </cell>
          <cell r="F8">
            <v>0</v>
          </cell>
          <cell r="G8">
            <v>411756</v>
          </cell>
          <cell r="H8" t="str">
            <v>프레시웨이 돈앞다리(6*5*0.3cm 불고기용 1Kg/EA)</v>
          </cell>
          <cell r="I8" t="str">
            <v>EA</v>
          </cell>
          <cell r="J8">
            <v>0</v>
          </cell>
          <cell r="K8">
            <v>0</v>
          </cell>
          <cell r="L8">
            <v>8010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 t="str">
            <v/>
          </cell>
          <cell r="R8" t="str">
            <v>냉동</v>
          </cell>
          <cell r="S8">
            <v>0</v>
          </cell>
          <cell r="T8" t="str">
            <v/>
          </cell>
          <cell r="U8" t="str">
            <v/>
          </cell>
          <cell r="V8" t="str">
            <v>2019-04-03</v>
          </cell>
          <cell r="W8" t="str">
            <v>2019-04-03 14:36:12</v>
          </cell>
          <cell r="X8" t="str">
            <v>더바른푸드</v>
          </cell>
        </row>
        <row r="9">
          <cell r="A9">
            <v>8</v>
          </cell>
          <cell r="B9" t="str">
            <v>2019-04-08</v>
          </cell>
          <cell r="C9" t="str">
            <v>더바른푸드</v>
          </cell>
          <cell r="D9" t="str">
            <v>더바른푸드</v>
          </cell>
          <cell r="E9" t="str">
            <v>대체상품</v>
          </cell>
          <cell r="F9">
            <v>0</v>
          </cell>
          <cell r="G9">
            <v>422627</v>
          </cell>
          <cell r="H9" t="str">
            <v>돈사태(2*2*2cm 키즈용_장조림용 KG)</v>
          </cell>
          <cell r="I9" t="str">
            <v>KG</v>
          </cell>
          <cell r="J9">
            <v>0</v>
          </cell>
          <cell r="K9">
            <v>0</v>
          </cell>
          <cell r="L9">
            <v>5800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/>
          </cell>
          <cell r="R9" t="str">
            <v>냉동</v>
          </cell>
          <cell r="S9">
            <v>0</v>
          </cell>
          <cell r="T9" t="str">
            <v/>
          </cell>
          <cell r="U9" t="str">
            <v/>
          </cell>
          <cell r="V9" t="str">
            <v>2019-04-03</v>
          </cell>
          <cell r="W9" t="str">
            <v>2019-04-03 14:36:12</v>
          </cell>
          <cell r="X9" t="str">
            <v>더바른푸드</v>
          </cell>
        </row>
        <row r="10">
          <cell r="A10">
            <v>9</v>
          </cell>
          <cell r="B10" t="str">
            <v>2019-04-08</v>
          </cell>
          <cell r="C10" t="str">
            <v>더바른푸드</v>
          </cell>
          <cell r="D10" t="str">
            <v>더바른푸드</v>
          </cell>
          <cell r="E10" t="str">
            <v>대체상품</v>
          </cell>
          <cell r="F10">
            <v>0</v>
          </cell>
          <cell r="G10">
            <v>204418</v>
          </cell>
          <cell r="H10" t="str">
            <v>무우(특품 9~12개입 18Kg/BOX)</v>
          </cell>
          <cell r="I10" t="str">
            <v>KG</v>
          </cell>
          <cell r="J10">
            <v>0</v>
          </cell>
          <cell r="K10">
            <v>0</v>
          </cell>
          <cell r="L10">
            <v>21040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 t="str">
            <v/>
          </cell>
          <cell r="R10" t="str">
            <v>냉장</v>
          </cell>
          <cell r="S10">
            <v>0</v>
          </cell>
          <cell r="T10" t="str">
            <v/>
          </cell>
          <cell r="U10" t="str">
            <v/>
          </cell>
          <cell r="V10" t="str">
            <v>2019-04-03</v>
          </cell>
          <cell r="W10" t="str">
            <v>2019-04-03 14:36:12</v>
          </cell>
          <cell r="X10" t="str">
            <v>더바른푸드</v>
          </cell>
        </row>
        <row r="11">
          <cell r="A11">
            <v>10</v>
          </cell>
          <cell r="B11" t="str">
            <v>2019-04-08</v>
          </cell>
          <cell r="C11" t="str">
            <v>더바른푸드</v>
          </cell>
          <cell r="D11" t="str">
            <v>더바른푸드</v>
          </cell>
          <cell r="E11" t="str">
            <v>대체상품</v>
          </cell>
          <cell r="F11">
            <v>0</v>
          </cell>
          <cell r="G11">
            <v>206241</v>
          </cell>
          <cell r="H11" t="str">
            <v>감자(0.5*0.5*6cm채썰기 볶음용 1Kg/PAC)</v>
          </cell>
          <cell r="I11" t="str">
            <v>KG</v>
          </cell>
          <cell r="J11">
            <v>0</v>
          </cell>
          <cell r="K11">
            <v>0</v>
          </cell>
          <cell r="L11">
            <v>4500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 t="str">
            <v/>
          </cell>
          <cell r="R11" t="str">
            <v>냉장</v>
          </cell>
          <cell r="S11">
            <v>0</v>
          </cell>
          <cell r="T11" t="str">
            <v/>
          </cell>
          <cell r="U11" t="str">
            <v/>
          </cell>
          <cell r="V11" t="str">
            <v>2019-04-03</v>
          </cell>
          <cell r="W11" t="str">
            <v>2019-04-03 14:36:12</v>
          </cell>
          <cell r="X11" t="str">
            <v>더바른푸드</v>
          </cell>
        </row>
        <row r="12">
          <cell r="A12">
            <v>11</v>
          </cell>
          <cell r="B12" t="str">
            <v>2019-04-08</v>
          </cell>
          <cell r="C12" t="str">
            <v>더바른푸드</v>
          </cell>
          <cell r="D12" t="str">
            <v>더바른푸드</v>
          </cell>
          <cell r="E12" t="str">
            <v>대체상품</v>
          </cell>
          <cell r="F12">
            <v>0</v>
          </cell>
          <cell r="G12">
            <v>211823</v>
          </cell>
          <cell r="H12" t="str">
            <v>깐감자(20~40g/개 조림용 1Kg/EA)</v>
          </cell>
          <cell r="I12" t="str">
            <v>KG</v>
          </cell>
          <cell r="J12">
            <v>0</v>
          </cell>
          <cell r="K12">
            <v>0</v>
          </cell>
          <cell r="L12">
            <v>5320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 t="str">
            <v/>
          </cell>
          <cell r="R12" t="str">
            <v>냉장</v>
          </cell>
          <cell r="S12">
            <v>0</v>
          </cell>
          <cell r="T12" t="str">
            <v/>
          </cell>
          <cell r="U12" t="str">
            <v/>
          </cell>
          <cell r="V12" t="str">
            <v>2019-04-03</v>
          </cell>
          <cell r="W12" t="str">
            <v>2019-04-03 14:36:12</v>
          </cell>
          <cell r="X12" t="str">
            <v>더바른푸드</v>
          </cell>
        </row>
        <row r="13">
          <cell r="A13">
            <v>12</v>
          </cell>
          <cell r="B13" t="str">
            <v>2019-04-08</v>
          </cell>
          <cell r="C13" t="str">
            <v>더바른푸드</v>
          </cell>
          <cell r="D13" t="str">
            <v>더바른푸드</v>
          </cell>
          <cell r="E13" t="str">
            <v>대체상품</v>
          </cell>
          <cell r="F13">
            <v>0</v>
          </cell>
          <cell r="G13">
            <v>318643</v>
          </cell>
          <cell r="H13" t="str">
            <v>아이누리 자른건미역(상품 200g/EA)</v>
          </cell>
          <cell r="I13" t="str">
            <v>KG</v>
          </cell>
          <cell r="J13">
            <v>0</v>
          </cell>
          <cell r="K13">
            <v>0</v>
          </cell>
          <cell r="L13">
            <v>4360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 t="str">
            <v/>
          </cell>
          <cell r="R13" t="str">
            <v>냉장</v>
          </cell>
          <cell r="S13">
            <v>0</v>
          </cell>
          <cell r="T13" t="str">
            <v/>
          </cell>
          <cell r="U13" t="str">
            <v/>
          </cell>
          <cell r="V13" t="str">
            <v>2019-04-03</v>
          </cell>
          <cell r="W13" t="str">
            <v>2019-04-03 14:36:12</v>
          </cell>
          <cell r="X13" t="str">
            <v>더바른푸드</v>
          </cell>
        </row>
        <row r="14">
          <cell r="A14">
            <v>13</v>
          </cell>
          <cell r="B14" t="str">
            <v>2019-04-08</v>
          </cell>
          <cell r="C14" t="str">
            <v>더바른푸드</v>
          </cell>
          <cell r="D14" t="str">
            <v>더바른푸드</v>
          </cell>
          <cell r="E14" t="str">
            <v>대체상품</v>
          </cell>
          <cell r="F14">
            <v>0</v>
          </cell>
          <cell r="G14">
            <v>424285</v>
          </cell>
          <cell r="H14" t="str">
            <v>소양지(3*2*0.3cm_저지방 키즈용_국거리용 KG)</v>
          </cell>
          <cell r="I14" t="str">
            <v>KG</v>
          </cell>
          <cell r="J14">
            <v>0</v>
          </cell>
          <cell r="K14">
            <v>0</v>
          </cell>
          <cell r="L14">
            <v>12970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호주</v>
          </cell>
          <cell r="R14" t="str">
            <v>냉장</v>
          </cell>
          <cell r="S14">
            <v>0</v>
          </cell>
          <cell r="T14" t="str">
            <v/>
          </cell>
          <cell r="U14" t="str">
            <v/>
          </cell>
          <cell r="V14" t="str">
            <v>2019-04-03</v>
          </cell>
          <cell r="W14" t="str">
            <v>2019-04-03 14:36:12</v>
          </cell>
          <cell r="X14" t="str">
            <v>더바른푸드</v>
          </cell>
        </row>
        <row r="15">
          <cell r="A15">
            <v>14</v>
          </cell>
          <cell r="B15" t="str">
            <v>2019-04-08</v>
          </cell>
          <cell r="C15" t="str">
            <v>더바른푸드</v>
          </cell>
          <cell r="D15" t="str">
            <v>더바른푸드</v>
          </cell>
          <cell r="E15" t="str">
            <v>대체상품</v>
          </cell>
          <cell r="F15">
            <v>0</v>
          </cell>
          <cell r="G15">
            <v>313064</v>
          </cell>
          <cell r="H15" t="str">
            <v>아이누리 오징어몸채(500g/EA)</v>
          </cell>
          <cell r="I15" t="str">
            <v>KG</v>
          </cell>
          <cell r="J15">
            <v>0</v>
          </cell>
          <cell r="K15">
            <v>0</v>
          </cell>
          <cell r="L15">
            <v>7850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 t="str">
            <v>한국</v>
          </cell>
          <cell r="R15" t="str">
            <v>냉장</v>
          </cell>
          <cell r="S15">
            <v>0</v>
          </cell>
          <cell r="T15" t="str">
            <v/>
          </cell>
          <cell r="U15" t="str">
            <v/>
          </cell>
          <cell r="V15" t="str">
            <v>2019-04-03</v>
          </cell>
          <cell r="W15" t="str">
            <v>2019-04-03 14:36:12</v>
          </cell>
          <cell r="X15" t="str">
            <v>더바른푸드</v>
          </cell>
        </row>
        <row r="16">
          <cell r="A16">
            <v>15</v>
          </cell>
          <cell r="B16" t="str">
            <v>2019-04-08</v>
          </cell>
          <cell r="C16" t="str">
            <v>더바른푸드</v>
          </cell>
          <cell r="D16" t="str">
            <v>더바른푸드</v>
          </cell>
          <cell r="E16" t="str">
            <v>대체상품</v>
          </cell>
          <cell r="F16">
            <v>0</v>
          </cell>
          <cell r="G16">
            <v>312503</v>
          </cell>
          <cell r="H16" t="str">
            <v>건홍합(1Kg/EA)</v>
          </cell>
          <cell r="I16" t="str">
            <v>KG</v>
          </cell>
          <cell r="J16">
            <v>0</v>
          </cell>
          <cell r="K16">
            <v>0</v>
          </cell>
          <cell r="L16">
            <v>32610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str">
            <v>한국</v>
          </cell>
          <cell r="R16" t="str">
            <v>냉장</v>
          </cell>
          <cell r="S16">
            <v>0</v>
          </cell>
          <cell r="T16" t="str">
            <v/>
          </cell>
          <cell r="U16" t="str">
            <v/>
          </cell>
          <cell r="V16" t="str">
            <v>2019-04-03</v>
          </cell>
          <cell r="W16" t="str">
            <v>2019-04-03 14:36:12</v>
          </cell>
          <cell r="X16" t="str">
            <v>더바른푸드</v>
          </cell>
        </row>
        <row r="17">
          <cell r="A17">
            <v>16</v>
          </cell>
          <cell r="B17" t="str">
            <v>2019-04-08</v>
          </cell>
          <cell r="C17" t="str">
            <v>더바른푸드</v>
          </cell>
          <cell r="D17" t="str">
            <v>더바른푸드</v>
          </cell>
          <cell r="E17" t="str">
            <v>대체상품</v>
          </cell>
          <cell r="F17">
            <v>0</v>
          </cell>
          <cell r="G17">
            <v>412748</v>
          </cell>
          <cell r="H17" t="str">
            <v>닭가슴살(130±10g/덩어리_껍질제거 2Kg/EA)</v>
          </cell>
          <cell r="I17" t="str">
            <v>KG</v>
          </cell>
          <cell r="J17">
            <v>0</v>
          </cell>
          <cell r="K17">
            <v>0</v>
          </cell>
          <cell r="L17">
            <v>10650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 t="str">
            <v>한국</v>
          </cell>
          <cell r="R17" t="str">
            <v>냉장</v>
          </cell>
          <cell r="S17">
            <v>0</v>
          </cell>
          <cell r="T17" t="str">
            <v/>
          </cell>
          <cell r="U17" t="str">
            <v/>
          </cell>
          <cell r="V17" t="str">
            <v>2019-04-03</v>
          </cell>
          <cell r="W17" t="str">
            <v>2019-04-03 14:36:12</v>
          </cell>
          <cell r="X17" t="str">
            <v>더바른푸드</v>
          </cell>
        </row>
        <row r="18">
          <cell r="A18">
            <v>16</v>
          </cell>
          <cell r="B18" t="str">
            <v>2019-04-08</v>
          </cell>
          <cell r="C18" t="str">
            <v>더바른푸드</v>
          </cell>
          <cell r="D18" t="str">
            <v>더바른푸드</v>
          </cell>
          <cell r="E18" t="str">
            <v>대체상품</v>
          </cell>
          <cell r="F18">
            <v>0</v>
          </cell>
          <cell r="G18">
            <v>208690</v>
          </cell>
          <cell r="H18" t="str">
            <v>샐러드믹스(혼합4종 500g/EA)</v>
          </cell>
          <cell r="I18" t="str">
            <v>KG</v>
          </cell>
          <cell r="J18">
            <v>0</v>
          </cell>
          <cell r="K18">
            <v>0</v>
          </cell>
          <cell r="L18">
            <v>4420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str">
            <v>한국</v>
          </cell>
          <cell r="R18" t="str">
            <v>냉장</v>
          </cell>
          <cell r="S18">
            <v>0</v>
          </cell>
          <cell r="T18" t="str">
            <v/>
          </cell>
          <cell r="U18" t="str">
            <v/>
          </cell>
          <cell r="V18" t="str">
            <v>2019-04-03</v>
          </cell>
          <cell r="W18" t="str">
            <v>2019-04-03 14:36:12</v>
          </cell>
          <cell r="X18" t="str">
            <v>더바른푸드</v>
          </cell>
        </row>
        <row r="19">
          <cell r="A19">
            <v>16</v>
          </cell>
          <cell r="B19" t="str">
            <v>2019-04-08</v>
          </cell>
          <cell r="C19" t="str">
            <v>더바른푸드</v>
          </cell>
          <cell r="D19" t="str">
            <v>더바른푸드</v>
          </cell>
          <cell r="E19" t="str">
            <v>대체상품</v>
          </cell>
          <cell r="F19">
            <v>0</v>
          </cell>
          <cell r="G19">
            <v>241732</v>
          </cell>
          <cell r="H19" t="str">
            <v>이츠웰 케이준드레싱(NEW_2017리뉴얼 2Kg/EA)</v>
          </cell>
          <cell r="I19" t="str">
            <v>KG</v>
          </cell>
          <cell r="J19">
            <v>0</v>
          </cell>
          <cell r="K19">
            <v>0</v>
          </cell>
          <cell r="L19">
            <v>6640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str">
            <v>한국</v>
          </cell>
          <cell r="R19" t="str">
            <v>냉장</v>
          </cell>
          <cell r="S19">
            <v>0</v>
          </cell>
          <cell r="T19" t="str">
            <v/>
          </cell>
          <cell r="U19" t="str">
            <v/>
          </cell>
          <cell r="V19" t="str">
            <v>2019-04-03</v>
          </cell>
          <cell r="W19" t="str">
            <v>2019-04-03 14:36:12</v>
          </cell>
          <cell r="X19" t="str">
            <v>더바른푸드</v>
          </cell>
        </row>
        <row r="20">
          <cell r="A20">
            <v>16</v>
          </cell>
          <cell r="B20" t="str">
            <v>2019-04-08</v>
          </cell>
          <cell r="C20" t="str">
            <v>더바른푸드</v>
          </cell>
          <cell r="D20" t="str">
            <v>더바른푸드</v>
          </cell>
          <cell r="E20" t="str">
            <v>대체상품</v>
          </cell>
          <cell r="F20">
            <v>0</v>
          </cell>
          <cell r="G20">
            <v>200691</v>
          </cell>
          <cell r="H20" t="str">
            <v>취청오이(상품 KG)</v>
          </cell>
          <cell r="I20" t="str">
            <v>KG</v>
          </cell>
          <cell r="J20">
            <v>0</v>
          </cell>
          <cell r="K20">
            <v>0</v>
          </cell>
          <cell r="L20">
            <v>3550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str">
            <v>한국</v>
          </cell>
          <cell r="R20" t="str">
            <v>냉장</v>
          </cell>
          <cell r="S20">
            <v>0</v>
          </cell>
          <cell r="T20" t="str">
            <v/>
          </cell>
          <cell r="U20" t="str">
            <v/>
          </cell>
          <cell r="V20" t="str">
            <v>2019-04-03</v>
          </cell>
          <cell r="W20" t="str">
            <v>2019-04-03 14:36:12</v>
          </cell>
          <cell r="X20" t="str">
            <v>더바른푸드</v>
          </cell>
        </row>
        <row r="21">
          <cell r="A21">
            <v>17</v>
          </cell>
          <cell r="B21" t="str">
            <v>2019-04-05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18</v>
          </cell>
          <cell r="B22" t="str">
            <v>2019-04-05</v>
          </cell>
          <cell r="C22" t="str">
            <v>더바른푸드</v>
          </cell>
          <cell r="D22" t="str">
            <v>더바른푸드</v>
          </cell>
          <cell r="E22" t="str">
            <v>일반</v>
          </cell>
          <cell r="F22" t="str">
            <v>주문진행</v>
          </cell>
          <cell r="G22">
            <v>143910</v>
          </cell>
          <cell r="H22" t="str">
            <v>종로복떡방 인절미(50개입 1Kg/EA)</v>
          </cell>
          <cell r="I22" t="str">
            <v>EA</v>
          </cell>
          <cell r="J22">
            <v>13</v>
          </cell>
          <cell r="K22">
            <v>0</v>
          </cell>
          <cell r="L22">
            <v>10630</v>
          </cell>
          <cell r="M22">
            <v>138190</v>
          </cell>
          <cell r="N22">
            <v>13819</v>
          </cell>
          <cell r="O22">
            <v>152009</v>
          </cell>
          <cell r="P22">
            <v>0</v>
          </cell>
          <cell r="Q22" t="str">
            <v/>
          </cell>
          <cell r="R22" t="str">
            <v>냉동</v>
          </cell>
          <cell r="S22" t="str">
            <v>EA(1)</v>
          </cell>
          <cell r="T22" t="str">
            <v/>
          </cell>
          <cell r="U22" t="str">
            <v/>
          </cell>
          <cell r="V22" t="str">
            <v>2019-03-27</v>
          </cell>
          <cell r="W22" t="str">
            <v>2019-03-27 15:26:24</v>
          </cell>
          <cell r="X22" t="str">
            <v>더바른푸드</v>
          </cell>
        </row>
        <row r="23">
          <cell r="A23">
            <v>19</v>
          </cell>
          <cell r="B23" t="str">
            <v>2019-04-05</v>
          </cell>
          <cell r="C23" t="str">
            <v>더바른푸드</v>
          </cell>
          <cell r="D23" t="str">
            <v>더바른푸드</v>
          </cell>
          <cell r="E23" t="str">
            <v>일반</v>
          </cell>
          <cell r="F23" t="str">
            <v>주문진행</v>
          </cell>
          <cell r="G23">
            <v>160243</v>
          </cell>
          <cell r="H23" t="str">
            <v>비피더스 떠먹는요구르트(딸기 83g/EA)</v>
          </cell>
          <cell r="I23" t="str">
            <v>EA</v>
          </cell>
          <cell r="J23">
            <v>315</v>
          </cell>
          <cell r="K23">
            <v>0</v>
          </cell>
          <cell r="L23">
            <v>290</v>
          </cell>
          <cell r="M23">
            <v>91350</v>
          </cell>
          <cell r="N23">
            <v>9135</v>
          </cell>
          <cell r="O23">
            <v>100485</v>
          </cell>
          <cell r="P23">
            <v>0</v>
          </cell>
          <cell r="Q23" t="str">
            <v>한국</v>
          </cell>
          <cell r="R23" t="str">
            <v>냉장</v>
          </cell>
          <cell r="S23" t="str">
            <v>EA(1)</v>
          </cell>
          <cell r="T23" t="str">
            <v/>
          </cell>
          <cell r="U23" t="str">
            <v>스푼 넉넉히 부탁드립니다</v>
          </cell>
          <cell r="V23" t="str">
            <v>2019-03-27</v>
          </cell>
          <cell r="W23" t="str">
            <v>2019-03-27 15:26:24</v>
          </cell>
          <cell r="X23" t="str">
            <v>더바른푸드</v>
          </cell>
        </row>
        <row r="24">
          <cell r="A24">
            <v>20</v>
          </cell>
          <cell r="B24" t="str">
            <v>2019-04-05</v>
          </cell>
          <cell r="C24" t="str">
            <v>더바른푸드</v>
          </cell>
          <cell r="D24" t="str">
            <v>더바른푸드</v>
          </cell>
          <cell r="E24" t="str">
            <v>일반</v>
          </cell>
          <cell r="F24" t="str">
            <v>주문진행</v>
          </cell>
          <cell r="G24">
            <v>122082</v>
          </cell>
          <cell r="H24" t="str">
            <v>빙그레 흰우유(참맛좋은 200g/EA)</v>
          </cell>
          <cell r="I24" t="str">
            <v>EA</v>
          </cell>
          <cell r="J24">
            <v>24</v>
          </cell>
          <cell r="K24">
            <v>0</v>
          </cell>
          <cell r="L24">
            <v>430</v>
          </cell>
          <cell r="M24">
            <v>10320</v>
          </cell>
          <cell r="N24">
            <v>0</v>
          </cell>
          <cell r="O24">
            <v>10320</v>
          </cell>
          <cell r="P24">
            <v>0</v>
          </cell>
          <cell r="Q24" t="str">
            <v>한국</v>
          </cell>
          <cell r="R24" t="str">
            <v>냉장</v>
          </cell>
          <cell r="S24" t="str">
            <v>EA(1)</v>
          </cell>
          <cell r="T24" t="str">
            <v/>
          </cell>
          <cell r="U24" t="str">
            <v/>
          </cell>
          <cell r="V24" t="str">
            <v>2019-03-27</v>
          </cell>
          <cell r="W24" t="str">
            <v>2019-03-27 15:26:24</v>
          </cell>
          <cell r="X24" t="str">
            <v>더바른푸드</v>
          </cell>
        </row>
        <row r="25">
          <cell r="A25">
            <v>21</v>
          </cell>
          <cell r="B25" t="str">
            <v>2019-04-05</v>
          </cell>
          <cell r="C25" t="str">
            <v>더바른푸드</v>
          </cell>
          <cell r="D25" t="str">
            <v>더바른푸드</v>
          </cell>
          <cell r="E25" t="str">
            <v>일반</v>
          </cell>
          <cell r="F25" t="str">
            <v>주문진행</v>
          </cell>
          <cell r="G25">
            <v>319720</v>
          </cell>
          <cell r="H25" t="str">
            <v>건파래(찢은것 500g/EA)</v>
          </cell>
          <cell r="I25" t="str">
            <v>EA</v>
          </cell>
          <cell r="J25">
            <v>3</v>
          </cell>
          <cell r="K25">
            <v>0</v>
          </cell>
          <cell r="L25">
            <v>15770</v>
          </cell>
          <cell r="M25">
            <v>47310</v>
          </cell>
          <cell r="N25">
            <v>0</v>
          </cell>
          <cell r="O25">
            <v>47310</v>
          </cell>
          <cell r="P25">
            <v>0</v>
          </cell>
          <cell r="Q25" t="str">
            <v>한국</v>
          </cell>
          <cell r="R25" t="str">
            <v>실온</v>
          </cell>
          <cell r="S25" t="str">
            <v>EA(14)</v>
          </cell>
          <cell r="T25" t="str">
            <v/>
          </cell>
          <cell r="U25" t="str">
            <v/>
          </cell>
          <cell r="V25" t="str">
            <v>2019-04-02</v>
          </cell>
          <cell r="W25" t="str">
            <v>2019-04-02 14:23:01</v>
          </cell>
          <cell r="X25" t="str">
            <v>더바른푸드</v>
          </cell>
        </row>
        <row r="26">
          <cell r="A26">
            <v>22</v>
          </cell>
          <cell r="B26" t="str">
            <v>2019-04-05</v>
          </cell>
          <cell r="C26" t="str">
            <v>더바른푸드</v>
          </cell>
          <cell r="D26" t="str">
            <v>더바른푸드</v>
          </cell>
          <cell r="E26" t="str">
            <v>일반</v>
          </cell>
          <cell r="F26" t="str">
            <v>주문진행</v>
          </cell>
          <cell r="G26">
            <v>205184</v>
          </cell>
          <cell r="H26" t="str">
            <v>단호박(상품 2등분_속제거 KG)</v>
          </cell>
          <cell r="I26" t="str">
            <v>KG</v>
          </cell>
          <cell r="J26">
            <v>8</v>
          </cell>
          <cell r="K26">
            <v>0</v>
          </cell>
          <cell r="L26">
            <v>4180</v>
          </cell>
          <cell r="M26">
            <v>33440</v>
          </cell>
          <cell r="N26">
            <v>0</v>
          </cell>
          <cell r="O26">
            <v>33440</v>
          </cell>
          <cell r="P26">
            <v>0</v>
          </cell>
          <cell r="Q26" t="str">
            <v>뉴질랜드</v>
          </cell>
          <cell r="R26" t="str">
            <v>냉장</v>
          </cell>
          <cell r="S26" t="str">
            <v>KG(1)</v>
          </cell>
          <cell r="T26" t="str">
            <v/>
          </cell>
          <cell r="U26" t="str">
            <v/>
          </cell>
          <cell r="V26" t="str">
            <v>2019-04-02</v>
          </cell>
          <cell r="W26" t="str">
            <v>2019-04-02 14:26:09</v>
          </cell>
          <cell r="X26" t="str">
            <v>더바른푸드</v>
          </cell>
        </row>
        <row r="27">
          <cell r="A27">
            <v>23</v>
          </cell>
          <cell r="B27" t="str">
            <v>2019-04-05</v>
          </cell>
          <cell r="C27" t="str">
            <v>더바른푸드</v>
          </cell>
          <cell r="D27" t="str">
            <v>더바른푸드</v>
          </cell>
          <cell r="E27" t="str">
            <v>일반</v>
          </cell>
          <cell r="F27" t="str">
            <v>주문진행</v>
          </cell>
          <cell r="G27">
            <v>212132</v>
          </cell>
          <cell r="H27" t="str">
            <v>냉동고구마(맛탕용 1Kg/EA)</v>
          </cell>
          <cell r="I27" t="str">
            <v>EA</v>
          </cell>
          <cell r="J27">
            <v>10</v>
          </cell>
          <cell r="K27">
            <v>0</v>
          </cell>
          <cell r="L27">
            <v>2750</v>
          </cell>
          <cell r="M27">
            <v>27500</v>
          </cell>
          <cell r="N27">
            <v>2750</v>
          </cell>
          <cell r="O27">
            <v>30250</v>
          </cell>
          <cell r="P27">
            <v>0</v>
          </cell>
          <cell r="Q27" t="str">
            <v/>
          </cell>
          <cell r="R27" t="str">
            <v>냉동</v>
          </cell>
          <cell r="S27" t="str">
            <v>EA(1)</v>
          </cell>
          <cell r="T27" t="str">
            <v/>
          </cell>
          <cell r="U27" t="str">
            <v/>
          </cell>
          <cell r="V27" t="str">
            <v>2019-04-02</v>
          </cell>
          <cell r="W27" t="str">
            <v>2019-04-02 14:28:35</v>
          </cell>
          <cell r="X27" t="str">
            <v>더바른푸드</v>
          </cell>
        </row>
        <row r="28">
          <cell r="A28">
            <v>24</v>
          </cell>
          <cell r="B28" t="str">
            <v>2019-04-05</v>
          </cell>
          <cell r="C28" t="str">
            <v>더바른푸드</v>
          </cell>
          <cell r="D28" t="str">
            <v>더바른푸드</v>
          </cell>
          <cell r="E28" t="str">
            <v>일반</v>
          </cell>
          <cell r="F28" t="str">
            <v>주문진행</v>
          </cell>
          <cell r="G28">
            <v>205273</v>
          </cell>
          <cell r="H28" t="str">
            <v>건고구마순(데친것 KG)</v>
          </cell>
          <cell r="I28" t="str">
            <v>KG</v>
          </cell>
          <cell r="J28">
            <v>16</v>
          </cell>
          <cell r="K28">
            <v>0</v>
          </cell>
          <cell r="L28">
            <v>3200</v>
          </cell>
          <cell r="M28">
            <v>51200</v>
          </cell>
          <cell r="N28">
            <v>0</v>
          </cell>
          <cell r="O28">
            <v>51200</v>
          </cell>
          <cell r="P28">
            <v>0</v>
          </cell>
          <cell r="Q28" t="str">
            <v>중국</v>
          </cell>
          <cell r="R28" t="str">
            <v>냉장</v>
          </cell>
          <cell r="S28" t="str">
            <v>KG(1)</v>
          </cell>
          <cell r="T28" t="str">
            <v/>
          </cell>
          <cell r="U28" t="str">
            <v/>
          </cell>
          <cell r="V28" t="str">
            <v>2019-04-02</v>
          </cell>
          <cell r="W28" t="str">
            <v>2019-04-02 14:31:17</v>
          </cell>
          <cell r="X28" t="str">
            <v>더바른푸드</v>
          </cell>
        </row>
        <row r="29">
          <cell r="A29">
            <v>25</v>
          </cell>
          <cell r="B29" t="str">
            <v>2019-04-05</v>
          </cell>
          <cell r="C29" t="str">
            <v>더바른푸드</v>
          </cell>
          <cell r="D29" t="str">
            <v>더바른푸드</v>
          </cell>
          <cell r="E29" t="str">
            <v>일반</v>
          </cell>
          <cell r="F29" t="str">
            <v>주문진행</v>
          </cell>
          <cell r="G29">
            <v>119587</v>
          </cell>
          <cell r="H29" t="str">
            <v>이츠웰 찰순대(통 1Kg/EA)</v>
          </cell>
          <cell r="I29" t="str">
            <v>EA</v>
          </cell>
          <cell r="J29">
            <v>2</v>
          </cell>
          <cell r="K29">
            <v>0</v>
          </cell>
          <cell r="L29">
            <v>3470</v>
          </cell>
          <cell r="M29">
            <v>6940</v>
          </cell>
          <cell r="N29">
            <v>694</v>
          </cell>
          <cell r="O29">
            <v>7634</v>
          </cell>
          <cell r="P29">
            <v>0</v>
          </cell>
          <cell r="Q29" t="str">
            <v/>
          </cell>
          <cell r="R29" t="str">
            <v>냉장</v>
          </cell>
          <cell r="S29" t="str">
            <v>EA(10)</v>
          </cell>
          <cell r="T29" t="str">
            <v/>
          </cell>
          <cell r="U29" t="str">
            <v/>
          </cell>
          <cell r="V29" t="str">
            <v>2019-04-02</v>
          </cell>
          <cell r="W29" t="str">
            <v>2019-04-02 14:33:38</v>
          </cell>
          <cell r="X29" t="str">
            <v>더바른푸드</v>
          </cell>
        </row>
        <row r="30">
          <cell r="A30">
            <v>26</v>
          </cell>
          <cell r="B30" t="str">
            <v>2019-04-05</v>
          </cell>
          <cell r="C30" t="str">
            <v>더바른푸드</v>
          </cell>
          <cell r="D30" t="str">
            <v>더바른푸드</v>
          </cell>
          <cell r="E30" t="str">
            <v>일반</v>
          </cell>
          <cell r="F30" t="str">
            <v>주문진행</v>
          </cell>
          <cell r="G30">
            <v>313570</v>
          </cell>
          <cell r="H30" t="str">
            <v>프레시웨이 북어채(1Kg/EA)</v>
          </cell>
          <cell r="I30" t="str">
            <v>EA</v>
          </cell>
          <cell r="J30">
            <v>4</v>
          </cell>
          <cell r="K30">
            <v>0</v>
          </cell>
          <cell r="L30">
            <v>23710</v>
          </cell>
          <cell r="M30">
            <v>94840</v>
          </cell>
          <cell r="N30">
            <v>0</v>
          </cell>
          <cell r="O30">
            <v>94840</v>
          </cell>
          <cell r="P30">
            <v>0</v>
          </cell>
          <cell r="Q30" t="str">
            <v>러시아</v>
          </cell>
          <cell r="R30" t="str">
            <v>냉장</v>
          </cell>
          <cell r="S30" t="str">
            <v>EA(8)</v>
          </cell>
          <cell r="T30" t="str">
            <v/>
          </cell>
          <cell r="U30" t="str">
            <v/>
          </cell>
          <cell r="V30" t="str">
            <v>2019-04-03</v>
          </cell>
          <cell r="W30" t="str">
            <v>2019-04-03 13:57:57</v>
          </cell>
          <cell r="X30" t="str">
            <v>더바른푸드</v>
          </cell>
        </row>
        <row r="31">
          <cell r="A31">
            <v>27</v>
          </cell>
          <cell r="B31" t="str">
            <v>2019-04-05</v>
          </cell>
          <cell r="C31" t="str">
            <v>더바른푸드</v>
          </cell>
          <cell r="D31" t="str">
            <v>더바른푸드</v>
          </cell>
          <cell r="E31" t="str">
            <v>일반</v>
          </cell>
          <cell r="F31" t="str">
            <v>주문진행</v>
          </cell>
          <cell r="G31">
            <v>420010</v>
          </cell>
          <cell r="H31" t="str">
            <v>알로팜 계란(왕란_무항생제_68g*30입 2.04Kg/EA)</v>
          </cell>
          <cell r="I31" t="str">
            <v>EA</v>
          </cell>
          <cell r="J31">
            <v>10</v>
          </cell>
          <cell r="K31">
            <v>0</v>
          </cell>
          <cell r="L31">
            <v>4090</v>
          </cell>
          <cell r="M31">
            <v>40900</v>
          </cell>
          <cell r="N31">
            <v>0</v>
          </cell>
          <cell r="O31">
            <v>40900</v>
          </cell>
          <cell r="P31">
            <v>40900</v>
          </cell>
          <cell r="Q31" t="str">
            <v>한국</v>
          </cell>
          <cell r="R31" t="str">
            <v>냉장</v>
          </cell>
          <cell r="S31" t="str">
            <v>EA(1)</v>
          </cell>
          <cell r="T31" t="str">
            <v/>
          </cell>
          <cell r="U31" t="str">
            <v/>
          </cell>
          <cell r="V31" t="str">
            <v>2019-04-03</v>
          </cell>
          <cell r="W31" t="str">
            <v>2019-04-03 14:28:03</v>
          </cell>
          <cell r="X31" t="str">
            <v>더바른푸드</v>
          </cell>
        </row>
        <row r="32">
          <cell r="A32">
            <v>28</v>
          </cell>
          <cell r="B32" t="str">
            <v>2019-04-05</v>
          </cell>
          <cell r="C32" t="str">
            <v>더바른푸드</v>
          </cell>
          <cell r="D32" t="str">
            <v>더바른푸드</v>
          </cell>
          <cell r="E32" t="str">
            <v>일반</v>
          </cell>
          <cell r="F32" t="str">
            <v>주문진행</v>
          </cell>
          <cell r="G32">
            <v>145806</v>
          </cell>
          <cell r="H32" t="str">
            <v>진주햄 더블햄(슬라이스_26장 500g/EA)</v>
          </cell>
          <cell r="I32" t="str">
            <v>EA</v>
          </cell>
          <cell r="J32">
            <v>8</v>
          </cell>
          <cell r="K32">
            <v>0</v>
          </cell>
          <cell r="L32">
            <v>3560</v>
          </cell>
          <cell r="M32">
            <v>28480</v>
          </cell>
          <cell r="N32">
            <v>2848</v>
          </cell>
          <cell r="O32">
            <v>31328</v>
          </cell>
          <cell r="P32">
            <v>0</v>
          </cell>
          <cell r="Q32" t="str">
            <v/>
          </cell>
          <cell r="R32" t="str">
            <v>냉장</v>
          </cell>
          <cell r="S32" t="str">
            <v>EA(20)</v>
          </cell>
          <cell r="T32" t="str">
            <v/>
          </cell>
          <cell r="U32" t="str">
            <v/>
          </cell>
          <cell r="V32" t="str">
            <v>2019-04-03</v>
          </cell>
          <cell r="W32" t="str">
            <v>2019-04-03 14:28:03</v>
          </cell>
          <cell r="X32" t="str">
            <v>더바른푸드</v>
          </cell>
        </row>
        <row r="33">
          <cell r="A33">
            <v>29</v>
          </cell>
          <cell r="B33" t="str">
            <v>2019-04-05</v>
          </cell>
          <cell r="C33" t="str">
            <v>더바른푸드</v>
          </cell>
          <cell r="D33" t="str">
            <v>더바른푸드</v>
          </cell>
          <cell r="E33" t="str">
            <v>일반</v>
          </cell>
          <cell r="F33" t="str">
            <v>주문진행</v>
          </cell>
          <cell r="G33">
            <v>242743</v>
          </cell>
          <cell r="H33" t="str">
            <v>이츠웰 메밀전병(곤드레나물_60g*20입 1.2Kg/EA)</v>
          </cell>
          <cell r="I33" t="str">
            <v>EA</v>
          </cell>
          <cell r="J33">
            <v>2</v>
          </cell>
          <cell r="K33">
            <v>0</v>
          </cell>
          <cell r="L33">
            <v>7690</v>
          </cell>
          <cell r="M33">
            <v>15380</v>
          </cell>
          <cell r="N33">
            <v>1538</v>
          </cell>
          <cell r="O33">
            <v>16918</v>
          </cell>
          <cell r="P33">
            <v>0</v>
          </cell>
          <cell r="Q33" t="str">
            <v/>
          </cell>
          <cell r="R33" t="str">
            <v>냉동</v>
          </cell>
          <cell r="S33" t="str">
            <v>EA(6)</v>
          </cell>
          <cell r="T33" t="str">
            <v/>
          </cell>
          <cell r="U33" t="str">
            <v/>
          </cell>
          <cell r="V33" t="str">
            <v>2019-04-03</v>
          </cell>
          <cell r="W33" t="str">
            <v>2019-04-03 14:29:10</v>
          </cell>
          <cell r="X33" t="str">
            <v>더바른푸드</v>
          </cell>
        </row>
        <row r="34">
          <cell r="A34">
            <v>30</v>
          </cell>
          <cell r="B34" t="str">
            <v>2019-04-05</v>
          </cell>
          <cell r="C34" t="str">
            <v>더바른푸드</v>
          </cell>
          <cell r="D34" t="str">
            <v>더바른푸드</v>
          </cell>
          <cell r="E34" t="str">
            <v>일반</v>
          </cell>
          <cell r="F34" t="str">
            <v>주문진행</v>
          </cell>
          <cell r="G34">
            <v>410401</v>
          </cell>
          <cell r="H34" t="str">
            <v>체리부로 닭다리살(무항생_100±10g/덩어리_껍질있음 KG)</v>
          </cell>
          <cell r="I34" t="str">
            <v>KG</v>
          </cell>
          <cell r="J34">
            <v>1</v>
          </cell>
          <cell r="K34">
            <v>0</v>
          </cell>
          <cell r="L34">
            <v>9120</v>
          </cell>
          <cell r="M34">
            <v>9120</v>
          </cell>
          <cell r="N34">
            <v>0</v>
          </cell>
          <cell r="O34">
            <v>9120</v>
          </cell>
          <cell r="P34">
            <v>9120</v>
          </cell>
          <cell r="Q34" t="str">
            <v>한국</v>
          </cell>
          <cell r="R34" t="str">
            <v>냉장</v>
          </cell>
          <cell r="S34" t="str">
            <v>KG(1)</v>
          </cell>
          <cell r="T34" t="str">
            <v/>
          </cell>
          <cell r="U34" t="str">
            <v/>
          </cell>
          <cell r="V34" t="str">
            <v>2019-04-03</v>
          </cell>
          <cell r="W34" t="str">
            <v>2019-04-03 14:33:02</v>
          </cell>
          <cell r="X34" t="str">
            <v>더바른푸드</v>
          </cell>
        </row>
        <row r="35">
          <cell r="A35">
            <v>31</v>
          </cell>
          <cell r="B35" t="str">
            <v>2019-04-05</v>
          </cell>
          <cell r="C35" t="str">
            <v>더바른푸드</v>
          </cell>
          <cell r="D35" t="str">
            <v>더바른푸드</v>
          </cell>
          <cell r="E35" t="str">
            <v>일반</v>
          </cell>
          <cell r="F35" t="str">
            <v>주문진행</v>
          </cell>
          <cell r="G35">
            <v>235418</v>
          </cell>
          <cell r="H35" t="str">
            <v>삼승 프리미엄닭가슴살(1등급 130±10g/덩어리_껍질제거 KG)</v>
          </cell>
          <cell r="I35" t="str">
            <v>KG</v>
          </cell>
          <cell r="J35">
            <v>1</v>
          </cell>
          <cell r="K35">
            <v>0</v>
          </cell>
          <cell r="L35">
            <v>5470</v>
          </cell>
          <cell r="M35">
            <v>5470</v>
          </cell>
          <cell r="N35">
            <v>0</v>
          </cell>
          <cell r="O35">
            <v>5470</v>
          </cell>
          <cell r="P35">
            <v>0</v>
          </cell>
          <cell r="Q35" t="str">
            <v>한국</v>
          </cell>
          <cell r="R35" t="str">
            <v>냉장</v>
          </cell>
          <cell r="S35" t="str">
            <v>KG(1)</v>
          </cell>
          <cell r="T35" t="str">
            <v/>
          </cell>
          <cell r="U35" t="str">
            <v/>
          </cell>
          <cell r="V35" t="str">
            <v>2019-04-03</v>
          </cell>
          <cell r="W35" t="str">
            <v>2019-04-03 14:33:02</v>
          </cell>
          <cell r="X35" t="str">
            <v>더바른푸드</v>
          </cell>
        </row>
        <row r="36">
          <cell r="A36">
            <v>32</v>
          </cell>
          <cell r="B36" t="str">
            <v>2019-04-05</v>
          </cell>
          <cell r="C36" t="str">
            <v>더바른푸드</v>
          </cell>
          <cell r="D36" t="str">
            <v>더바른푸드</v>
          </cell>
          <cell r="E36" t="str">
            <v>일반</v>
          </cell>
          <cell r="F36" t="str">
            <v>주문진행</v>
          </cell>
          <cell r="G36">
            <v>235445</v>
          </cell>
          <cell r="H36" t="str">
            <v>삼승 프리미엄닭안심(1등급 30±5g/개_껍질제거 KG)</v>
          </cell>
          <cell r="I36" t="str">
            <v>KG</v>
          </cell>
          <cell r="J36">
            <v>1</v>
          </cell>
          <cell r="K36">
            <v>0</v>
          </cell>
          <cell r="L36">
            <v>5840</v>
          </cell>
          <cell r="M36">
            <v>5840</v>
          </cell>
          <cell r="N36">
            <v>0</v>
          </cell>
          <cell r="O36">
            <v>5840</v>
          </cell>
          <cell r="P36">
            <v>0</v>
          </cell>
          <cell r="Q36" t="str">
            <v>한국</v>
          </cell>
          <cell r="R36" t="str">
            <v>냉장</v>
          </cell>
          <cell r="S36" t="str">
            <v>KG(1)</v>
          </cell>
          <cell r="T36" t="str">
            <v/>
          </cell>
          <cell r="U36" t="str">
            <v/>
          </cell>
          <cell r="V36" t="str">
            <v>2019-04-03</v>
          </cell>
          <cell r="W36" t="str">
            <v>2019-04-03 14:33:02</v>
          </cell>
          <cell r="X36" t="str">
            <v>더바른푸드</v>
          </cell>
        </row>
        <row r="37">
          <cell r="A37">
            <v>33</v>
          </cell>
          <cell r="B37" t="str">
            <v>2019-04-04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</row>
        <row r="38">
          <cell r="A38">
            <v>34</v>
          </cell>
          <cell r="B38" t="str">
            <v>2019-04-04</v>
          </cell>
          <cell r="C38" t="str">
            <v>더바른푸드</v>
          </cell>
          <cell r="D38" t="str">
            <v>더바른푸드</v>
          </cell>
          <cell r="E38" t="str">
            <v>일반</v>
          </cell>
          <cell r="F38" t="str">
            <v>주문진행</v>
          </cell>
          <cell r="G38">
            <v>145345</v>
          </cell>
          <cell r="H38" t="str">
            <v>이츠웰 우리밀촉촉마들렌(개별포장_15g*30입 450g/EA)</v>
          </cell>
          <cell r="I38" t="str">
            <v>EA</v>
          </cell>
          <cell r="J38">
            <v>24</v>
          </cell>
          <cell r="K38">
            <v>0</v>
          </cell>
          <cell r="L38">
            <v>6190</v>
          </cell>
          <cell r="M38">
            <v>148560</v>
          </cell>
          <cell r="N38">
            <v>14856</v>
          </cell>
          <cell r="O38">
            <v>163416</v>
          </cell>
          <cell r="P38">
            <v>0</v>
          </cell>
          <cell r="Q38" t="str">
            <v>한국</v>
          </cell>
          <cell r="R38" t="str">
            <v>냉동</v>
          </cell>
          <cell r="S38" t="str">
            <v>EA(10)</v>
          </cell>
          <cell r="T38" t="str">
            <v/>
          </cell>
          <cell r="U38" t="str">
            <v/>
          </cell>
          <cell r="V38" t="str">
            <v>2019-03-27</v>
          </cell>
          <cell r="W38" t="str">
            <v>2019-03-27 15:24:37</v>
          </cell>
          <cell r="X38" t="str">
            <v>더바른푸드</v>
          </cell>
        </row>
        <row r="39">
          <cell r="A39">
            <v>35</v>
          </cell>
          <cell r="B39" t="str">
            <v>2019-04-04</v>
          </cell>
          <cell r="C39" t="str">
            <v>더바른푸드</v>
          </cell>
          <cell r="D39" t="str">
            <v>더바른푸드</v>
          </cell>
          <cell r="E39" t="str">
            <v>일반</v>
          </cell>
          <cell r="F39" t="str">
            <v>주문진행</v>
          </cell>
          <cell r="G39">
            <v>254995</v>
          </cell>
          <cell r="H39" t="str">
            <v>개미식품 튼튼칼슘롤(21곡_10g*30개입 300g/EA)</v>
          </cell>
          <cell r="I39" t="str">
            <v>EA</v>
          </cell>
          <cell r="J39">
            <v>2</v>
          </cell>
          <cell r="K39">
            <v>0</v>
          </cell>
          <cell r="L39">
            <v>6000</v>
          </cell>
          <cell r="M39">
            <v>12000</v>
          </cell>
          <cell r="N39">
            <v>1200</v>
          </cell>
          <cell r="O39">
            <v>13200</v>
          </cell>
          <cell r="P39">
            <v>0</v>
          </cell>
          <cell r="Q39" t="str">
            <v/>
          </cell>
          <cell r="R39" t="str">
            <v>실온</v>
          </cell>
          <cell r="S39" t="str">
            <v>EA(20)</v>
          </cell>
          <cell r="T39" t="str">
            <v/>
          </cell>
          <cell r="U39" t="str">
            <v/>
          </cell>
          <cell r="V39" t="str">
            <v>2019-03-27</v>
          </cell>
          <cell r="W39" t="str">
            <v>2019-03-27 15:24:37</v>
          </cell>
          <cell r="X39" t="str">
            <v>더바른푸드</v>
          </cell>
        </row>
        <row r="40">
          <cell r="A40">
            <v>36</v>
          </cell>
          <cell r="B40" t="str">
            <v>2019-04-04</v>
          </cell>
          <cell r="C40" t="str">
            <v>더바른푸드</v>
          </cell>
          <cell r="D40" t="str">
            <v>더바른푸드</v>
          </cell>
          <cell r="E40" t="str">
            <v>일반</v>
          </cell>
          <cell r="F40" t="str">
            <v>주문진행</v>
          </cell>
          <cell r="G40">
            <v>122082</v>
          </cell>
          <cell r="H40" t="str">
            <v>빙그레 흰우유(참맛좋은 200g/EA)</v>
          </cell>
          <cell r="I40" t="str">
            <v>EA</v>
          </cell>
          <cell r="J40">
            <v>264</v>
          </cell>
          <cell r="K40">
            <v>0</v>
          </cell>
          <cell r="L40">
            <v>430</v>
          </cell>
          <cell r="M40">
            <v>113520</v>
          </cell>
          <cell r="N40">
            <v>0</v>
          </cell>
          <cell r="O40">
            <v>113520</v>
          </cell>
          <cell r="P40">
            <v>0</v>
          </cell>
          <cell r="Q40" t="str">
            <v>한국</v>
          </cell>
          <cell r="R40" t="str">
            <v>냉장</v>
          </cell>
          <cell r="S40" t="str">
            <v>EA(1)</v>
          </cell>
          <cell r="T40" t="str">
            <v/>
          </cell>
          <cell r="U40" t="str">
            <v/>
          </cell>
          <cell r="V40" t="str">
            <v>2019-03-27</v>
          </cell>
          <cell r="W40" t="str">
            <v>2019-03-27 15:24:37</v>
          </cell>
          <cell r="X40" t="str">
            <v>더바른푸드</v>
          </cell>
        </row>
        <row r="41">
          <cell r="A41">
            <v>37</v>
          </cell>
          <cell r="B41" t="str">
            <v>2019-04-04</v>
          </cell>
          <cell r="C41" t="str">
            <v>더바른푸드</v>
          </cell>
          <cell r="D41" t="str">
            <v>더바른푸드</v>
          </cell>
          <cell r="E41" t="str">
            <v>일반</v>
          </cell>
          <cell r="F41" t="str">
            <v>주문진행</v>
          </cell>
          <cell r="G41">
            <v>136633</v>
          </cell>
          <cell r="H41" t="str">
            <v>이오 요구르트(80ml_유기농 80g/EA)</v>
          </cell>
          <cell r="I41" t="str">
            <v>EA</v>
          </cell>
          <cell r="J41">
            <v>24</v>
          </cell>
          <cell r="K41">
            <v>0</v>
          </cell>
          <cell r="L41">
            <v>300</v>
          </cell>
          <cell r="M41">
            <v>7200</v>
          </cell>
          <cell r="N41">
            <v>720</v>
          </cell>
          <cell r="O41">
            <v>7920</v>
          </cell>
          <cell r="P41">
            <v>0</v>
          </cell>
          <cell r="Q41" t="str">
            <v>한국</v>
          </cell>
          <cell r="R41" t="str">
            <v>냉장</v>
          </cell>
          <cell r="S41" t="str">
            <v>EA(50)</v>
          </cell>
          <cell r="T41" t="str">
            <v/>
          </cell>
          <cell r="U41" t="str">
            <v>빨대 부탁드립니다</v>
          </cell>
          <cell r="V41" t="str">
            <v>2019-03-27</v>
          </cell>
          <cell r="W41" t="str">
            <v>2019-03-27 15:24:37</v>
          </cell>
          <cell r="X41" t="str">
            <v>더바른푸드</v>
          </cell>
        </row>
        <row r="42">
          <cell r="A42">
            <v>38</v>
          </cell>
          <cell r="B42" t="str">
            <v>2019-04-04</v>
          </cell>
          <cell r="C42" t="str">
            <v>더바른푸드</v>
          </cell>
          <cell r="D42" t="str">
            <v>더바른푸드</v>
          </cell>
          <cell r="E42" t="str">
            <v>일반</v>
          </cell>
          <cell r="F42" t="str">
            <v>주문진행</v>
          </cell>
          <cell r="G42">
            <v>143426</v>
          </cell>
          <cell r="H42" t="str">
            <v>이츠웰 연두부(80g/EA)</v>
          </cell>
          <cell r="I42" t="str">
            <v>EA</v>
          </cell>
          <cell r="J42">
            <v>1100</v>
          </cell>
          <cell r="K42">
            <v>0</v>
          </cell>
          <cell r="L42">
            <v>180</v>
          </cell>
          <cell r="M42">
            <v>198000</v>
          </cell>
          <cell r="N42">
            <v>0</v>
          </cell>
          <cell r="O42">
            <v>198000</v>
          </cell>
          <cell r="P42">
            <v>0</v>
          </cell>
          <cell r="Q42" t="str">
            <v>외국산</v>
          </cell>
          <cell r="R42" t="str">
            <v>냉장</v>
          </cell>
          <cell r="S42" t="str">
            <v>EA(1)</v>
          </cell>
          <cell r="T42" t="str">
            <v/>
          </cell>
          <cell r="U42" t="str">
            <v/>
          </cell>
          <cell r="V42" t="str">
            <v>2019-04-01</v>
          </cell>
          <cell r="W42" t="str">
            <v>2019-04-01 14:06:51</v>
          </cell>
          <cell r="X42" t="str">
            <v>더바른푸드</v>
          </cell>
        </row>
        <row r="43">
          <cell r="A43">
            <v>39</v>
          </cell>
          <cell r="B43" t="str">
            <v>2019-04-04</v>
          </cell>
          <cell r="C43" t="str">
            <v>더바른푸드</v>
          </cell>
          <cell r="D43" t="str">
            <v>더바른푸드</v>
          </cell>
          <cell r="E43" t="str">
            <v>일반</v>
          </cell>
          <cell r="F43" t="str">
            <v>주문진행</v>
          </cell>
          <cell r="G43">
            <v>312522</v>
          </cell>
          <cell r="H43" t="str">
            <v>뱅어포(10장 120g/EA)</v>
          </cell>
          <cell r="I43" t="str">
            <v>EA</v>
          </cell>
          <cell r="J43">
            <v>35</v>
          </cell>
          <cell r="K43">
            <v>0</v>
          </cell>
          <cell r="L43">
            <v>7840</v>
          </cell>
          <cell r="M43">
            <v>274400</v>
          </cell>
          <cell r="N43">
            <v>0</v>
          </cell>
          <cell r="O43">
            <v>274400</v>
          </cell>
          <cell r="P43">
            <v>0</v>
          </cell>
          <cell r="Q43" t="str">
            <v>한국</v>
          </cell>
          <cell r="R43" t="str">
            <v>실온</v>
          </cell>
          <cell r="S43" t="str">
            <v>EA(1)</v>
          </cell>
          <cell r="T43" t="str">
            <v/>
          </cell>
          <cell r="U43" t="str">
            <v/>
          </cell>
          <cell r="V43" t="str">
            <v>2019-04-01</v>
          </cell>
          <cell r="W43" t="str">
            <v>2019-04-01 14:10:41</v>
          </cell>
          <cell r="X43" t="str">
            <v>더바른푸드</v>
          </cell>
        </row>
        <row r="44">
          <cell r="A44">
            <v>40</v>
          </cell>
          <cell r="B44" t="str">
            <v>2019-04-04</v>
          </cell>
          <cell r="C44" t="str">
            <v>더바른푸드</v>
          </cell>
          <cell r="D44" t="str">
            <v>더바른푸드</v>
          </cell>
          <cell r="E44" t="str">
            <v>일반</v>
          </cell>
          <cell r="F44" t="str">
            <v>주문진행</v>
          </cell>
          <cell r="G44">
            <v>130452</v>
          </cell>
          <cell r="H44" t="str">
            <v>사조오양 스모크햄(즉석 1Kg/EA)</v>
          </cell>
          <cell r="I44" t="str">
            <v>EA</v>
          </cell>
          <cell r="J44">
            <v>18</v>
          </cell>
          <cell r="K44">
            <v>0</v>
          </cell>
          <cell r="L44">
            <v>3650</v>
          </cell>
          <cell r="M44">
            <v>65700</v>
          </cell>
          <cell r="N44">
            <v>6570</v>
          </cell>
          <cell r="O44">
            <v>72270</v>
          </cell>
          <cell r="P44">
            <v>0</v>
          </cell>
          <cell r="Q44" t="str">
            <v/>
          </cell>
          <cell r="R44" t="str">
            <v>냉장</v>
          </cell>
          <cell r="S44" t="str">
            <v>EA(10)</v>
          </cell>
          <cell r="T44" t="str">
            <v/>
          </cell>
          <cell r="U44" t="str">
            <v/>
          </cell>
          <cell r="V44" t="str">
            <v>2019-04-02</v>
          </cell>
          <cell r="W44" t="str">
            <v>2019-04-02 14:12:24</v>
          </cell>
          <cell r="X44" t="str">
            <v>더바른푸드</v>
          </cell>
        </row>
        <row r="45">
          <cell r="A45">
            <v>41</v>
          </cell>
          <cell r="B45" t="str">
            <v>2019-04-04</v>
          </cell>
          <cell r="C45" t="str">
            <v>더바른푸드</v>
          </cell>
          <cell r="D45" t="str">
            <v>더바른푸드</v>
          </cell>
          <cell r="E45" t="str">
            <v>일반</v>
          </cell>
          <cell r="F45" t="str">
            <v>주문진행</v>
          </cell>
          <cell r="G45">
            <v>143422</v>
          </cell>
          <cell r="H45" t="str">
            <v>이츠웰 순두부(1Kg/EA)</v>
          </cell>
          <cell r="I45" t="str">
            <v>EA</v>
          </cell>
          <cell r="J45">
            <v>60</v>
          </cell>
          <cell r="K45">
            <v>0</v>
          </cell>
          <cell r="L45">
            <v>800</v>
          </cell>
          <cell r="M45">
            <v>48000</v>
          </cell>
          <cell r="N45">
            <v>0</v>
          </cell>
          <cell r="O45">
            <v>48000</v>
          </cell>
          <cell r="P45">
            <v>0</v>
          </cell>
          <cell r="Q45" t="str">
            <v>외국산</v>
          </cell>
          <cell r="R45" t="str">
            <v>냉장</v>
          </cell>
          <cell r="S45" t="str">
            <v>EA(1)</v>
          </cell>
          <cell r="T45" t="str">
            <v/>
          </cell>
          <cell r="U45" t="str">
            <v/>
          </cell>
          <cell r="V45" t="str">
            <v>2019-04-02</v>
          </cell>
          <cell r="W45" t="str">
            <v>2019-04-02 14:14:20</v>
          </cell>
          <cell r="X45" t="str">
            <v>더바른푸드</v>
          </cell>
        </row>
        <row r="46">
          <cell r="A46">
            <v>42</v>
          </cell>
          <cell r="B46" t="str">
            <v>2019-04-04</v>
          </cell>
          <cell r="C46" t="str">
            <v>더바른푸드</v>
          </cell>
          <cell r="D46" t="str">
            <v>더바른푸드</v>
          </cell>
          <cell r="E46" t="str">
            <v>일반</v>
          </cell>
          <cell r="F46" t="str">
            <v>주문진행</v>
          </cell>
          <cell r="G46">
            <v>206631</v>
          </cell>
          <cell r="H46" t="str">
            <v>냉동아욱(상품 1Kg/PAC)</v>
          </cell>
          <cell r="I46" t="str">
            <v>PAC</v>
          </cell>
          <cell r="J46">
            <v>20</v>
          </cell>
          <cell r="K46">
            <v>0</v>
          </cell>
          <cell r="L46">
            <v>2500</v>
          </cell>
          <cell r="M46">
            <v>50000</v>
          </cell>
          <cell r="N46">
            <v>5000</v>
          </cell>
          <cell r="O46">
            <v>55000</v>
          </cell>
          <cell r="P46">
            <v>0</v>
          </cell>
          <cell r="Q46" t="str">
            <v>중국</v>
          </cell>
          <cell r="R46" t="str">
            <v>냉동</v>
          </cell>
          <cell r="S46" t="str">
            <v>PAC(1)</v>
          </cell>
          <cell r="T46" t="str">
            <v/>
          </cell>
          <cell r="U46" t="str">
            <v/>
          </cell>
          <cell r="V46" t="str">
            <v>2019-04-02</v>
          </cell>
          <cell r="W46" t="str">
            <v>2019-04-02 14:17:06</v>
          </cell>
          <cell r="X46" t="str">
            <v>더바른푸드</v>
          </cell>
        </row>
        <row r="47">
          <cell r="A47">
            <v>43</v>
          </cell>
          <cell r="B47" t="str">
            <v>2019-04-04</v>
          </cell>
          <cell r="C47" t="str">
            <v>더바른푸드</v>
          </cell>
          <cell r="D47" t="str">
            <v>더바른푸드</v>
          </cell>
          <cell r="E47" t="str">
            <v>일반</v>
          </cell>
          <cell r="F47" t="str">
            <v>주문진행</v>
          </cell>
          <cell r="G47">
            <v>310639</v>
          </cell>
          <cell r="H47" t="str">
            <v>명란(1Kg/EA)</v>
          </cell>
          <cell r="I47" t="str">
            <v>EA</v>
          </cell>
          <cell r="J47">
            <v>2</v>
          </cell>
          <cell r="K47">
            <v>0</v>
          </cell>
          <cell r="L47">
            <v>8890</v>
          </cell>
          <cell r="M47">
            <v>17780</v>
          </cell>
          <cell r="N47">
            <v>0</v>
          </cell>
          <cell r="O47">
            <v>17780</v>
          </cell>
          <cell r="P47">
            <v>0</v>
          </cell>
          <cell r="Q47" t="str">
            <v>미국</v>
          </cell>
          <cell r="R47" t="str">
            <v>냉동</v>
          </cell>
          <cell r="S47" t="str">
            <v>EA(1)</v>
          </cell>
          <cell r="T47" t="str">
            <v/>
          </cell>
          <cell r="U47" t="str">
            <v/>
          </cell>
          <cell r="V47" t="str">
            <v>2019-04-02</v>
          </cell>
          <cell r="W47" t="str">
            <v>2019-04-02 14:34:42</v>
          </cell>
          <cell r="X47" t="str">
            <v>더바른푸드</v>
          </cell>
        </row>
        <row r="48">
          <cell r="A48">
            <v>44</v>
          </cell>
          <cell r="B48" t="str">
            <v>2019-04-04</v>
          </cell>
          <cell r="C48" t="str">
            <v>더바른푸드</v>
          </cell>
          <cell r="D48" t="str">
            <v>더바른푸드</v>
          </cell>
          <cell r="E48" t="str">
            <v>일반</v>
          </cell>
          <cell r="F48" t="str">
            <v>주문진행</v>
          </cell>
          <cell r="G48">
            <v>302889</v>
          </cell>
          <cell r="H48" t="str">
            <v>명태곤이(1Kg/PAC)</v>
          </cell>
          <cell r="I48" t="str">
            <v>PAC</v>
          </cell>
          <cell r="J48">
            <v>2</v>
          </cell>
          <cell r="K48">
            <v>0</v>
          </cell>
          <cell r="L48">
            <v>11000</v>
          </cell>
          <cell r="M48">
            <v>22000</v>
          </cell>
          <cell r="N48">
            <v>0</v>
          </cell>
          <cell r="O48">
            <v>22000</v>
          </cell>
          <cell r="P48">
            <v>0</v>
          </cell>
          <cell r="Q48" t="str">
            <v>러시아</v>
          </cell>
          <cell r="R48" t="str">
            <v>냉동</v>
          </cell>
          <cell r="S48" t="str">
            <v>PAC(1)</v>
          </cell>
          <cell r="T48" t="str">
            <v/>
          </cell>
          <cell r="U48" t="str">
            <v/>
          </cell>
          <cell r="V48" t="str">
            <v>2019-04-02</v>
          </cell>
          <cell r="W48" t="str">
            <v>2019-04-02 14:34:42</v>
          </cell>
          <cell r="X48" t="str">
            <v>더바른푸드</v>
          </cell>
        </row>
        <row r="49">
          <cell r="A49">
            <v>45</v>
          </cell>
          <cell r="B49" t="str">
            <v>2019-04-04</v>
          </cell>
          <cell r="C49" t="str">
            <v>더바른푸드</v>
          </cell>
          <cell r="D49" t="str">
            <v>더바른푸드</v>
          </cell>
          <cell r="E49" t="str">
            <v>일반</v>
          </cell>
          <cell r="F49" t="str">
            <v>주문진행</v>
          </cell>
          <cell r="G49">
            <v>247824</v>
          </cell>
          <cell r="H49" t="str">
            <v>주일 건다시마(실속 1Kg/EA)</v>
          </cell>
          <cell r="I49" t="str">
            <v>EA</v>
          </cell>
          <cell r="J49">
            <v>10</v>
          </cell>
          <cell r="K49">
            <v>0</v>
          </cell>
          <cell r="L49">
            <v>9300</v>
          </cell>
          <cell r="M49">
            <v>93000</v>
          </cell>
          <cell r="N49">
            <v>0</v>
          </cell>
          <cell r="O49">
            <v>93000</v>
          </cell>
          <cell r="P49">
            <v>0</v>
          </cell>
          <cell r="Q49" t="str">
            <v>한국</v>
          </cell>
          <cell r="R49" t="str">
            <v>실온</v>
          </cell>
          <cell r="S49" t="str">
            <v>EA(20)</v>
          </cell>
          <cell r="T49" t="str">
            <v/>
          </cell>
          <cell r="U49" t="str">
            <v/>
          </cell>
          <cell r="V49" t="str">
            <v>2019-04-03</v>
          </cell>
          <cell r="W49" t="str">
            <v>2019-04-03 13:09:40</v>
          </cell>
          <cell r="X49" t="str">
            <v>더바른푸드</v>
          </cell>
        </row>
        <row r="50">
          <cell r="A50">
            <v>46</v>
          </cell>
          <cell r="B50" t="str">
            <v>2019-04-04</v>
          </cell>
          <cell r="C50" t="str">
            <v>더바른푸드</v>
          </cell>
          <cell r="D50" t="str">
            <v>더바른푸드</v>
          </cell>
          <cell r="E50" t="str">
            <v>일반</v>
          </cell>
          <cell r="F50" t="str">
            <v>주문진행</v>
          </cell>
          <cell r="G50">
            <v>191682</v>
          </cell>
          <cell r="H50" t="str">
            <v>제이팜스 냉동다진마늘(1Kg/EA)</v>
          </cell>
          <cell r="I50" t="str">
            <v>EA</v>
          </cell>
          <cell r="J50">
            <v>10</v>
          </cell>
          <cell r="K50">
            <v>0</v>
          </cell>
          <cell r="L50">
            <v>2270</v>
          </cell>
          <cell r="M50">
            <v>22700</v>
          </cell>
          <cell r="N50">
            <v>0</v>
          </cell>
          <cell r="O50">
            <v>22700</v>
          </cell>
          <cell r="P50">
            <v>0</v>
          </cell>
          <cell r="Q50" t="str">
            <v>중국</v>
          </cell>
          <cell r="R50" t="str">
            <v>냉동</v>
          </cell>
          <cell r="S50" t="str">
            <v>EA(10)</v>
          </cell>
          <cell r="T50" t="str">
            <v/>
          </cell>
          <cell r="U50" t="str">
            <v/>
          </cell>
          <cell r="V50" t="str">
            <v>2019-04-03</v>
          </cell>
          <cell r="W50" t="str">
            <v>2019-04-03 13:09:40</v>
          </cell>
          <cell r="X50" t="str">
            <v>더바른푸드</v>
          </cell>
        </row>
        <row r="51">
          <cell r="A51">
            <v>47</v>
          </cell>
          <cell r="B51" t="str">
            <v>2019-04-04</v>
          </cell>
          <cell r="C51" t="str">
            <v>더바른푸드</v>
          </cell>
          <cell r="D51" t="str">
            <v>더바른푸드</v>
          </cell>
          <cell r="E51" t="str">
            <v>일반</v>
          </cell>
          <cell r="F51" t="str">
            <v>주문진행</v>
          </cell>
          <cell r="G51">
            <v>204973</v>
          </cell>
          <cell r="H51" t="str">
            <v>냉동대파(1Kg/PAC)</v>
          </cell>
          <cell r="I51" t="str">
            <v>PAC</v>
          </cell>
          <cell r="J51">
            <v>15</v>
          </cell>
          <cell r="K51">
            <v>0</v>
          </cell>
          <cell r="L51">
            <v>1400</v>
          </cell>
          <cell r="M51">
            <v>21000</v>
          </cell>
          <cell r="N51">
            <v>0</v>
          </cell>
          <cell r="O51">
            <v>21000</v>
          </cell>
          <cell r="P51">
            <v>0</v>
          </cell>
          <cell r="Q51" t="str">
            <v>중국</v>
          </cell>
          <cell r="R51" t="str">
            <v>냉동</v>
          </cell>
          <cell r="S51" t="str">
            <v>PAC(1)</v>
          </cell>
          <cell r="T51" t="str">
            <v/>
          </cell>
          <cell r="U51" t="str">
            <v/>
          </cell>
          <cell r="V51" t="str">
            <v>2019-04-03</v>
          </cell>
          <cell r="W51" t="str">
            <v>2019-04-03 13:09:40</v>
          </cell>
          <cell r="X51" t="str">
            <v>더바른푸드</v>
          </cell>
        </row>
        <row r="52">
          <cell r="A52">
            <v>48</v>
          </cell>
          <cell r="B52" t="str">
            <v>2019-04-04</v>
          </cell>
          <cell r="C52" t="str">
            <v>더바른푸드</v>
          </cell>
          <cell r="D52" t="str">
            <v>더바른푸드</v>
          </cell>
          <cell r="E52" t="str">
            <v>일반</v>
          </cell>
          <cell r="F52" t="str">
            <v>주문진행</v>
          </cell>
          <cell r="G52">
            <v>135871</v>
          </cell>
          <cell r="H52" t="str">
            <v>이츠웰 대두유(18L 16.506Kg/EA)</v>
          </cell>
          <cell r="I52" t="str">
            <v>EA</v>
          </cell>
          <cell r="J52">
            <v>3</v>
          </cell>
          <cell r="K52">
            <v>0</v>
          </cell>
          <cell r="L52">
            <v>28710</v>
          </cell>
          <cell r="M52">
            <v>86130</v>
          </cell>
          <cell r="N52">
            <v>8613</v>
          </cell>
          <cell r="O52">
            <v>94743</v>
          </cell>
          <cell r="P52">
            <v>0</v>
          </cell>
          <cell r="Q52" t="str">
            <v/>
          </cell>
          <cell r="R52" t="str">
            <v>실온</v>
          </cell>
          <cell r="S52" t="str">
            <v>EA(1)</v>
          </cell>
          <cell r="T52" t="str">
            <v/>
          </cell>
          <cell r="U52" t="str">
            <v/>
          </cell>
          <cell r="V52" t="str">
            <v>2019-04-03</v>
          </cell>
          <cell r="W52" t="str">
            <v>2019-04-03 13:35:56</v>
          </cell>
          <cell r="X52" t="str">
            <v>더바른푸드</v>
          </cell>
        </row>
        <row r="53">
          <cell r="A53">
            <v>49</v>
          </cell>
          <cell r="B53" t="str">
            <v>2019-04-04</v>
          </cell>
          <cell r="C53" t="str">
            <v>더바른푸드</v>
          </cell>
          <cell r="D53" t="str">
            <v>더바른푸드</v>
          </cell>
          <cell r="E53" t="str">
            <v>일반</v>
          </cell>
          <cell r="F53" t="str">
            <v>주문진행</v>
          </cell>
          <cell r="G53">
            <v>208502</v>
          </cell>
          <cell r="H53" t="str">
            <v>세척당근(3L 10Kg/EA)</v>
          </cell>
          <cell r="I53" t="str">
            <v>EA</v>
          </cell>
          <cell r="J53">
            <v>1</v>
          </cell>
          <cell r="K53">
            <v>0</v>
          </cell>
          <cell r="L53">
            <v>12370</v>
          </cell>
          <cell r="M53">
            <v>12370</v>
          </cell>
          <cell r="N53">
            <v>0</v>
          </cell>
          <cell r="O53">
            <v>12370</v>
          </cell>
          <cell r="P53">
            <v>0</v>
          </cell>
          <cell r="Q53" t="str">
            <v>중국</v>
          </cell>
          <cell r="R53" t="str">
            <v>실온</v>
          </cell>
          <cell r="S53" t="str">
            <v>EA(1)</v>
          </cell>
          <cell r="T53" t="str">
            <v/>
          </cell>
          <cell r="U53" t="str">
            <v/>
          </cell>
          <cell r="V53" t="str">
            <v>2019-04-03</v>
          </cell>
          <cell r="W53" t="str">
            <v>2019-04-03 13:36:32</v>
          </cell>
          <cell r="X53" t="str">
            <v>더바른푸드</v>
          </cell>
        </row>
        <row r="54">
          <cell r="A54">
            <v>50</v>
          </cell>
          <cell r="B54" t="str">
            <v>2019-04-04</v>
          </cell>
          <cell r="C54" t="str">
            <v>더바른푸드</v>
          </cell>
          <cell r="D54" t="str">
            <v>더바른푸드</v>
          </cell>
          <cell r="E54" t="str">
            <v>일반</v>
          </cell>
          <cell r="F54" t="str">
            <v>주문진행</v>
          </cell>
          <cell r="G54">
            <v>211696</v>
          </cell>
          <cell r="H54" t="str">
            <v>건시래기(데친것 KG)</v>
          </cell>
          <cell r="I54" t="str">
            <v>KG</v>
          </cell>
          <cell r="J54">
            <v>3</v>
          </cell>
          <cell r="K54">
            <v>0</v>
          </cell>
          <cell r="L54">
            <v>2850</v>
          </cell>
          <cell r="M54">
            <v>8550</v>
          </cell>
          <cell r="N54">
            <v>0</v>
          </cell>
          <cell r="O54">
            <v>8550</v>
          </cell>
          <cell r="P54">
            <v>0</v>
          </cell>
          <cell r="Q54" t="str">
            <v>한국</v>
          </cell>
          <cell r="R54" t="str">
            <v>냉장</v>
          </cell>
          <cell r="S54" t="str">
            <v>KG(1)</v>
          </cell>
          <cell r="T54" t="str">
            <v/>
          </cell>
          <cell r="U54" t="str">
            <v/>
          </cell>
          <cell r="V54" t="str">
            <v>2019-04-03</v>
          </cell>
          <cell r="W54" t="str">
            <v>2019-04-03 13:37:41</v>
          </cell>
          <cell r="X54" t="str">
            <v>더바른푸드</v>
          </cell>
        </row>
        <row r="55">
          <cell r="A55">
            <v>51</v>
          </cell>
          <cell r="B55" t="str">
            <v>2019-04-03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A56">
            <v>52</v>
          </cell>
          <cell r="B56" t="str">
            <v>2019-04-03</v>
          </cell>
          <cell r="C56" t="str">
            <v>더바른푸드</v>
          </cell>
          <cell r="D56" t="str">
            <v>더바른푸드</v>
          </cell>
          <cell r="E56" t="str">
            <v>일반</v>
          </cell>
          <cell r="F56" t="str">
            <v>입고완료</v>
          </cell>
          <cell r="G56">
            <v>145344</v>
          </cell>
          <cell r="H56" t="str">
            <v>이츠웰 우리밀에그타르트(35g*16입 560g/EA)</v>
          </cell>
          <cell r="I56" t="str">
            <v>EA</v>
          </cell>
          <cell r="J56">
            <v>19</v>
          </cell>
          <cell r="K56">
            <v>19</v>
          </cell>
          <cell r="L56">
            <v>8560</v>
          </cell>
          <cell r="M56">
            <v>162640</v>
          </cell>
          <cell r="N56">
            <v>16264</v>
          </cell>
          <cell r="O56">
            <v>178904</v>
          </cell>
          <cell r="P56">
            <v>0</v>
          </cell>
          <cell r="Q56" t="str">
            <v>한국</v>
          </cell>
          <cell r="R56" t="str">
            <v>냉동</v>
          </cell>
          <cell r="S56" t="str">
            <v>EA(10)</v>
          </cell>
          <cell r="T56" t="str">
            <v/>
          </cell>
          <cell r="U56" t="str">
            <v/>
          </cell>
          <cell r="V56" t="str">
            <v>2019-03-27</v>
          </cell>
          <cell r="W56" t="str">
            <v>2019-03-27 15:21:27</v>
          </cell>
          <cell r="X56" t="str">
            <v>더바른푸드</v>
          </cell>
        </row>
        <row r="57">
          <cell r="A57">
            <v>53</v>
          </cell>
          <cell r="B57" t="str">
            <v>2019-04-03</v>
          </cell>
          <cell r="C57" t="str">
            <v>더바른푸드</v>
          </cell>
          <cell r="D57" t="str">
            <v>더바른푸드</v>
          </cell>
          <cell r="E57" t="str">
            <v>일반</v>
          </cell>
          <cell r="F57" t="str">
            <v>입고완료</v>
          </cell>
          <cell r="G57">
            <v>143910</v>
          </cell>
          <cell r="H57" t="str">
            <v>종로복떡방 인절미(50개입 1Kg/EA)</v>
          </cell>
          <cell r="I57" t="str">
            <v>EA</v>
          </cell>
          <cell r="J57">
            <v>1</v>
          </cell>
          <cell r="K57">
            <v>1</v>
          </cell>
          <cell r="L57">
            <v>10630</v>
          </cell>
          <cell r="M57">
            <v>10630</v>
          </cell>
          <cell r="N57">
            <v>1063</v>
          </cell>
          <cell r="O57">
            <v>11693</v>
          </cell>
          <cell r="P57">
            <v>0</v>
          </cell>
          <cell r="Q57" t="str">
            <v/>
          </cell>
          <cell r="R57" t="str">
            <v>냉동</v>
          </cell>
          <cell r="S57" t="str">
            <v>EA(1)</v>
          </cell>
          <cell r="T57" t="str">
            <v/>
          </cell>
          <cell r="U57" t="str">
            <v/>
          </cell>
          <cell r="V57" t="str">
            <v>2019-03-27</v>
          </cell>
          <cell r="W57" t="str">
            <v>2019-03-27 15:21:27</v>
          </cell>
          <cell r="X57" t="str">
            <v>더바른푸드</v>
          </cell>
        </row>
        <row r="58">
          <cell r="A58">
            <v>54</v>
          </cell>
          <cell r="B58" t="str">
            <v>2019-04-03</v>
          </cell>
          <cell r="C58" t="str">
            <v>더바른푸드</v>
          </cell>
          <cell r="D58" t="str">
            <v>더바른푸드</v>
          </cell>
          <cell r="E58" t="str">
            <v>일반</v>
          </cell>
          <cell r="F58" t="str">
            <v>입고완료</v>
          </cell>
          <cell r="G58">
            <v>264253</v>
          </cell>
          <cell r="H58" t="str">
            <v>이츠웰 배도라지주스(80g/EA)</v>
          </cell>
          <cell r="I58" t="str">
            <v>BOX</v>
          </cell>
          <cell r="J58">
            <v>5</v>
          </cell>
          <cell r="K58">
            <v>5</v>
          </cell>
          <cell r="L58">
            <v>16650</v>
          </cell>
          <cell r="M58">
            <v>83250</v>
          </cell>
          <cell r="N58">
            <v>8325</v>
          </cell>
          <cell r="O58">
            <v>91575</v>
          </cell>
          <cell r="P58">
            <v>0</v>
          </cell>
          <cell r="Q58" t="str">
            <v/>
          </cell>
          <cell r="R58" t="str">
            <v>실온</v>
          </cell>
          <cell r="S58" t="str">
            <v>EA(45)</v>
          </cell>
          <cell r="T58" t="str">
            <v/>
          </cell>
          <cell r="U58" t="str">
            <v/>
          </cell>
          <cell r="V58" t="str">
            <v>2019-03-27</v>
          </cell>
          <cell r="W58" t="str">
            <v>2019-03-27 15:21:27</v>
          </cell>
          <cell r="X58" t="str">
            <v>더바른푸드</v>
          </cell>
        </row>
        <row r="59">
          <cell r="A59">
            <v>55</v>
          </cell>
          <cell r="B59" t="str">
            <v>2019-04-03</v>
          </cell>
          <cell r="C59" t="str">
            <v>더바른푸드</v>
          </cell>
          <cell r="D59" t="str">
            <v>더바른푸드</v>
          </cell>
          <cell r="E59" t="str">
            <v>일반</v>
          </cell>
          <cell r="F59" t="str">
            <v>입고완료</v>
          </cell>
          <cell r="G59">
            <v>160243</v>
          </cell>
          <cell r="H59" t="str">
            <v>비피더스 떠먹는요구르트(딸기 83g/EA)</v>
          </cell>
          <cell r="I59" t="str">
            <v>EA</v>
          </cell>
          <cell r="J59">
            <v>24</v>
          </cell>
          <cell r="K59">
            <v>24</v>
          </cell>
          <cell r="L59">
            <v>290</v>
          </cell>
          <cell r="M59">
            <v>6960</v>
          </cell>
          <cell r="N59">
            <v>696</v>
          </cell>
          <cell r="O59">
            <v>7656</v>
          </cell>
          <cell r="P59">
            <v>0</v>
          </cell>
          <cell r="Q59" t="str">
            <v>한국</v>
          </cell>
          <cell r="R59" t="str">
            <v>냉장</v>
          </cell>
          <cell r="S59" t="str">
            <v>EA(1)</v>
          </cell>
          <cell r="T59" t="str">
            <v/>
          </cell>
          <cell r="U59" t="str">
            <v>스푼부탁드립니다</v>
          </cell>
          <cell r="V59" t="str">
            <v>2019-03-27</v>
          </cell>
          <cell r="W59" t="str">
            <v>2019-03-27 15:21:27</v>
          </cell>
          <cell r="X59" t="str">
            <v>더바른푸드</v>
          </cell>
        </row>
        <row r="60">
          <cell r="A60">
            <v>56</v>
          </cell>
          <cell r="B60" t="str">
            <v>2019-04-03</v>
          </cell>
          <cell r="C60" t="str">
            <v>더바른푸드</v>
          </cell>
          <cell r="D60" t="str">
            <v>더바른푸드</v>
          </cell>
          <cell r="E60" t="str">
            <v>일반</v>
          </cell>
          <cell r="F60" t="str">
            <v>입고완료</v>
          </cell>
          <cell r="G60">
            <v>159126</v>
          </cell>
          <cell r="H60" t="str">
            <v>건강마을 플리또주스(100ml_유기농_포도 100g/EA)</v>
          </cell>
          <cell r="I60" t="str">
            <v>BOX</v>
          </cell>
          <cell r="J60">
            <v>3</v>
          </cell>
          <cell r="K60">
            <v>3</v>
          </cell>
          <cell r="L60">
            <v>17600</v>
          </cell>
          <cell r="M60">
            <v>52800</v>
          </cell>
          <cell r="N60">
            <v>5280</v>
          </cell>
          <cell r="O60">
            <v>58080</v>
          </cell>
          <cell r="P60">
            <v>0</v>
          </cell>
          <cell r="Q60" t="str">
            <v/>
          </cell>
          <cell r="R60" t="str">
            <v>실온</v>
          </cell>
          <cell r="S60" t="str">
            <v>EA(40)</v>
          </cell>
          <cell r="T60" t="str">
            <v/>
          </cell>
          <cell r="U60" t="str">
            <v/>
          </cell>
          <cell r="V60" t="str">
            <v>2019-03-28</v>
          </cell>
          <cell r="W60" t="str">
            <v>2019-03-28 12:39:10</v>
          </cell>
          <cell r="X60" t="str">
            <v>더바른푸드</v>
          </cell>
        </row>
        <row r="61">
          <cell r="A61">
            <v>57</v>
          </cell>
          <cell r="B61" t="str">
            <v>2019-04-03</v>
          </cell>
          <cell r="C61" t="str">
            <v>더바른푸드</v>
          </cell>
          <cell r="D61" t="str">
            <v>더바른푸드</v>
          </cell>
          <cell r="E61" t="str">
            <v>일반</v>
          </cell>
          <cell r="F61" t="str">
            <v>입고완료</v>
          </cell>
          <cell r="G61">
            <v>172567</v>
          </cell>
          <cell r="H61" t="str">
            <v>쉐프솔루션 치킨가라아게(1Kg/EA)</v>
          </cell>
          <cell r="I61" t="str">
            <v>EA</v>
          </cell>
          <cell r="J61">
            <v>85</v>
          </cell>
          <cell r="K61">
            <v>85</v>
          </cell>
          <cell r="L61">
            <v>8070</v>
          </cell>
          <cell r="M61">
            <v>685950</v>
          </cell>
          <cell r="N61">
            <v>68595</v>
          </cell>
          <cell r="O61">
            <v>754545</v>
          </cell>
          <cell r="P61">
            <v>0</v>
          </cell>
          <cell r="Q61" t="str">
            <v>브라질</v>
          </cell>
          <cell r="R61" t="str">
            <v>냉동</v>
          </cell>
          <cell r="S61" t="str">
            <v>EA(8)</v>
          </cell>
          <cell r="T61" t="str">
            <v/>
          </cell>
          <cell r="U61" t="str">
            <v/>
          </cell>
          <cell r="V61" t="str">
            <v>2019-03-29</v>
          </cell>
          <cell r="W61" t="str">
            <v>2019-03-29 14:04:18</v>
          </cell>
          <cell r="X61" t="str">
            <v>더바른푸드</v>
          </cell>
        </row>
        <row r="62">
          <cell r="A62">
            <v>58</v>
          </cell>
          <cell r="B62" t="str">
            <v>2019-04-03</v>
          </cell>
          <cell r="C62" t="str">
            <v>더바른푸드</v>
          </cell>
          <cell r="D62" t="str">
            <v>더바른푸드</v>
          </cell>
          <cell r="E62" t="str">
            <v>일반</v>
          </cell>
          <cell r="F62" t="str">
            <v>입고완료</v>
          </cell>
          <cell r="G62">
            <v>134239</v>
          </cell>
          <cell r="H62" t="str">
            <v>사옹원 동태전(1Kg/EA)</v>
          </cell>
          <cell r="I62" t="str">
            <v>EA</v>
          </cell>
          <cell r="J62">
            <v>1</v>
          </cell>
          <cell r="K62">
            <v>1</v>
          </cell>
          <cell r="L62">
            <v>14140</v>
          </cell>
          <cell r="M62">
            <v>14140</v>
          </cell>
          <cell r="N62">
            <v>1414</v>
          </cell>
          <cell r="O62">
            <v>15554</v>
          </cell>
          <cell r="P62">
            <v>0</v>
          </cell>
          <cell r="Q62" t="str">
            <v/>
          </cell>
          <cell r="R62" t="str">
            <v>냉동</v>
          </cell>
          <cell r="S62" t="str">
            <v>EA(5)</v>
          </cell>
          <cell r="T62" t="str">
            <v/>
          </cell>
          <cell r="U62" t="str">
            <v/>
          </cell>
          <cell r="V62" t="str">
            <v>2019-03-29</v>
          </cell>
          <cell r="W62" t="str">
            <v>2019-03-29 14:18:48</v>
          </cell>
          <cell r="X62" t="str">
            <v>더바른푸드</v>
          </cell>
        </row>
        <row r="63">
          <cell r="A63">
            <v>59</v>
          </cell>
          <cell r="B63" t="str">
            <v>2019-04-03</v>
          </cell>
          <cell r="C63" t="str">
            <v>더바른푸드</v>
          </cell>
          <cell r="D63" t="str">
            <v>더바른푸드</v>
          </cell>
          <cell r="E63" t="str">
            <v>일반</v>
          </cell>
          <cell r="F63" t="str">
            <v>입고완료</v>
          </cell>
          <cell r="G63">
            <v>223306</v>
          </cell>
          <cell r="H63" t="str">
            <v>냉동근대(IQF 1Kg/EA)</v>
          </cell>
          <cell r="I63" t="str">
            <v>EA</v>
          </cell>
          <cell r="J63">
            <v>25</v>
          </cell>
          <cell r="K63">
            <v>25</v>
          </cell>
          <cell r="L63">
            <v>1710</v>
          </cell>
          <cell r="M63">
            <v>42750</v>
          </cell>
          <cell r="N63">
            <v>4275</v>
          </cell>
          <cell r="O63">
            <v>47025</v>
          </cell>
          <cell r="P63">
            <v>0</v>
          </cell>
          <cell r="Q63" t="str">
            <v>중국</v>
          </cell>
          <cell r="R63" t="str">
            <v>냉동</v>
          </cell>
          <cell r="S63" t="str">
            <v>EA(1)</v>
          </cell>
          <cell r="T63" t="str">
            <v/>
          </cell>
          <cell r="U63" t="str">
            <v/>
          </cell>
          <cell r="V63" t="str">
            <v>2019-04-01</v>
          </cell>
          <cell r="W63" t="str">
            <v>2019-04-01 14:05:38</v>
          </cell>
          <cell r="X63" t="str">
            <v>더바른푸드</v>
          </cell>
        </row>
        <row r="64">
          <cell r="A64">
            <v>60</v>
          </cell>
          <cell r="B64" t="str">
            <v>2019-04-03</v>
          </cell>
          <cell r="C64" t="str">
            <v>더바른푸드</v>
          </cell>
          <cell r="D64" t="str">
            <v>더바른푸드</v>
          </cell>
          <cell r="E64" t="str">
            <v>일반</v>
          </cell>
          <cell r="F64" t="str">
            <v>입고완료</v>
          </cell>
          <cell r="G64">
            <v>107247</v>
          </cell>
          <cell r="H64" t="str">
            <v>하인즈 데미그라스소스(3Kg/EA)</v>
          </cell>
          <cell r="I64" t="str">
            <v>EA</v>
          </cell>
          <cell r="J64">
            <v>6</v>
          </cell>
          <cell r="K64">
            <v>6</v>
          </cell>
          <cell r="L64">
            <v>16880</v>
          </cell>
          <cell r="M64">
            <v>101280</v>
          </cell>
          <cell r="N64">
            <v>10128</v>
          </cell>
          <cell r="O64">
            <v>111408</v>
          </cell>
          <cell r="P64">
            <v>0</v>
          </cell>
          <cell r="Q64" t="str">
            <v/>
          </cell>
          <cell r="R64" t="str">
            <v>실온</v>
          </cell>
          <cell r="S64" t="str">
            <v>EA(6)</v>
          </cell>
          <cell r="T64" t="str">
            <v/>
          </cell>
          <cell r="U64" t="str">
            <v/>
          </cell>
          <cell r="V64" t="str">
            <v>2019-04-01</v>
          </cell>
          <cell r="W64" t="str">
            <v>2019-04-01 14:35:58</v>
          </cell>
          <cell r="X64" t="str">
            <v>더바른푸드</v>
          </cell>
        </row>
        <row r="65">
          <cell r="A65">
            <v>61</v>
          </cell>
          <cell r="B65" t="str">
            <v>2019-04-03</v>
          </cell>
          <cell r="C65" t="str">
            <v>더바른푸드</v>
          </cell>
          <cell r="D65" t="str">
            <v>더바른푸드</v>
          </cell>
          <cell r="E65" t="str">
            <v>일반</v>
          </cell>
          <cell r="F65" t="str">
            <v>입고완료</v>
          </cell>
          <cell r="G65">
            <v>118007</v>
          </cell>
          <cell r="H65" t="str">
            <v>한성 새우젓(1Kg/EA)</v>
          </cell>
          <cell r="I65" t="str">
            <v>EA</v>
          </cell>
          <cell r="J65">
            <v>3</v>
          </cell>
          <cell r="K65">
            <v>3</v>
          </cell>
          <cell r="L65">
            <v>10250</v>
          </cell>
          <cell r="M65">
            <v>30750</v>
          </cell>
          <cell r="N65">
            <v>3075</v>
          </cell>
          <cell r="O65">
            <v>33825</v>
          </cell>
          <cell r="P65">
            <v>0</v>
          </cell>
          <cell r="Q65" t="str">
            <v>한국</v>
          </cell>
          <cell r="R65" t="str">
            <v>냉장</v>
          </cell>
          <cell r="S65" t="str">
            <v>EA(1)</v>
          </cell>
          <cell r="T65" t="str">
            <v/>
          </cell>
          <cell r="U65" t="str">
            <v/>
          </cell>
          <cell r="V65" t="str">
            <v>2019-04-01</v>
          </cell>
          <cell r="W65" t="str">
            <v>2019-04-01 14:35:58</v>
          </cell>
          <cell r="X65" t="str">
            <v>더바른푸드</v>
          </cell>
        </row>
        <row r="66">
          <cell r="A66">
            <v>62</v>
          </cell>
          <cell r="B66" t="str">
            <v>2019-04-03</v>
          </cell>
          <cell r="C66" t="str">
            <v>더바른푸드</v>
          </cell>
          <cell r="D66" t="str">
            <v>더바른푸드</v>
          </cell>
          <cell r="E66" t="str">
            <v>일반</v>
          </cell>
          <cell r="F66" t="str">
            <v>입고완료</v>
          </cell>
          <cell r="G66">
            <v>526319</v>
          </cell>
          <cell r="H66" t="str">
            <v>면장갑(민무늬_10입 EA)</v>
          </cell>
          <cell r="I66" t="str">
            <v>EA</v>
          </cell>
          <cell r="J66">
            <v>10</v>
          </cell>
          <cell r="K66">
            <v>10</v>
          </cell>
          <cell r="L66">
            <v>2440</v>
          </cell>
          <cell r="M66">
            <v>24400</v>
          </cell>
          <cell r="N66">
            <v>2440</v>
          </cell>
          <cell r="O66">
            <v>26840</v>
          </cell>
          <cell r="P66">
            <v>0</v>
          </cell>
          <cell r="Q66" t="str">
            <v>중국</v>
          </cell>
          <cell r="R66" t="str">
            <v>실온</v>
          </cell>
          <cell r="S66" t="str">
            <v>EA(1)</v>
          </cell>
          <cell r="T66" t="str">
            <v/>
          </cell>
          <cell r="U66" t="str">
            <v/>
          </cell>
          <cell r="V66" t="str">
            <v>2019-04-01</v>
          </cell>
          <cell r="W66" t="str">
            <v>2019-04-01 14:35:58</v>
          </cell>
          <cell r="X66" t="str">
            <v>더바른푸드</v>
          </cell>
        </row>
        <row r="67">
          <cell r="A67">
            <v>63</v>
          </cell>
          <cell r="B67" t="str">
            <v>2019-04-03</v>
          </cell>
          <cell r="C67" t="str">
            <v>더바른푸드</v>
          </cell>
          <cell r="D67" t="str">
            <v>더바른푸드</v>
          </cell>
          <cell r="E67" t="str">
            <v>일반</v>
          </cell>
          <cell r="F67" t="str">
            <v>입고완료</v>
          </cell>
          <cell r="G67">
            <v>526201</v>
          </cell>
          <cell r="H67" t="str">
            <v>마미손 고무장갑(빨간색_대L EA)</v>
          </cell>
          <cell r="I67" t="str">
            <v>EA</v>
          </cell>
          <cell r="J67">
            <v>20</v>
          </cell>
          <cell r="K67">
            <v>20</v>
          </cell>
          <cell r="L67">
            <v>1340</v>
          </cell>
          <cell r="M67">
            <v>26800</v>
          </cell>
          <cell r="N67">
            <v>2680</v>
          </cell>
          <cell r="O67">
            <v>29480</v>
          </cell>
          <cell r="P67">
            <v>0</v>
          </cell>
          <cell r="Q67" t="str">
            <v/>
          </cell>
          <cell r="R67" t="str">
            <v>실온</v>
          </cell>
          <cell r="S67" t="str">
            <v>EA(100)</v>
          </cell>
          <cell r="T67" t="str">
            <v/>
          </cell>
          <cell r="U67" t="str">
            <v/>
          </cell>
          <cell r="V67" t="str">
            <v>2019-04-01</v>
          </cell>
          <cell r="W67" t="str">
            <v>2019-04-01 14:35:58</v>
          </cell>
          <cell r="X67" t="str">
            <v>더바른푸드</v>
          </cell>
        </row>
        <row r="68">
          <cell r="A68">
            <v>64</v>
          </cell>
          <cell r="B68" t="str">
            <v>2019-04-03</v>
          </cell>
          <cell r="C68" t="str">
            <v>더바른푸드</v>
          </cell>
          <cell r="D68" t="str">
            <v>더바른푸드</v>
          </cell>
          <cell r="E68" t="str">
            <v>일반</v>
          </cell>
          <cell r="F68" t="str">
            <v>입고완료</v>
          </cell>
          <cell r="G68">
            <v>526203</v>
          </cell>
          <cell r="H68" t="str">
            <v>마미손 고무장갑(화이트(아이보리)_대L EA)</v>
          </cell>
          <cell r="I68" t="str">
            <v>EA</v>
          </cell>
          <cell r="J68">
            <v>20</v>
          </cell>
          <cell r="K68">
            <v>20</v>
          </cell>
          <cell r="L68">
            <v>1340</v>
          </cell>
          <cell r="M68">
            <v>26800</v>
          </cell>
          <cell r="N68">
            <v>2680</v>
          </cell>
          <cell r="O68">
            <v>29480</v>
          </cell>
          <cell r="P68">
            <v>0</v>
          </cell>
          <cell r="Q68" t="str">
            <v/>
          </cell>
          <cell r="R68" t="str">
            <v>실온</v>
          </cell>
          <cell r="S68" t="str">
            <v>EA(100)</v>
          </cell>
          <cell r="T68" t="str">
            <v/>
          </cell>
          <cell r="U68" t="str">
            <v/>
          </cell>
          <cell r="V68" t="str">
            <v>2019-04-01</v>
          </cell>
          <cell r="W68" t="str">
            <v>2019-04-01 14:35:58</v>
          </cell>
          <cell r="X68" t="str">
            <v>더바른푸드</v>
          </cell>
        </row>
        <row r="69">
          <cell r="A69">
            <v>65</v>
          </cell>
          <cell r="B69" t="str">
            <v>2019-04-03</v>
          </cell>
          <cell r="C69" t="str">
            <v>더바른푸드</v>
          </cell>
          <cell r="D69" t="str">
            <v>더바른푸드</v>
          </cell>
          <cell r="E69" t="str">
            <v>일반</v>
          </cell>
          <cell r="F69" t="str">
            <v>입고완료</v>
          </cell>
          <cell r="G69">
            <v>160016</v>
          </cell>
          <cell r="H69" t="str">
            <v>오뚜기 케찹(스파우트팩 3.3Kg/EA)</v>
          </cell>
          <cell r="I69" t="str">
            <v>EA</v>
          </cell>
          <cell r="J69">
            <v>8</v>
          </cell>
          <cell r="K69">
            <v>8</v>
          </cell>
          <cell r="L69">
            <v>3670</v>
          </cell>
          <cell r="M69">
            <v>29360</v>
          </cell>
          <cell r="N69">
            <v>2936</v>
          </cell>
          <cell r="O69">
            <v>32296</v>
          </cell>
          <cell r="P69">
            <v>0</v>
          </cell>
          <cell r="Q69" t="str">
            <v/>
          </cell>
          <cell r="R69" t="str">
            <v>실온</v>
          </cell>
          <cell r="S69" t="str">
            <v>EA(4)</v>
          </cell>
          <cell r="T69" t="str">
            <v/>
          </cell>
          <cell r="U69" t="str">
            <v/>
          </cell>
          <cell r="V69" t="str">
            <v>2019-04-02</v>
          </cell>
          <cell r="W69" t="str">
            <v>2019-04-02 13:51:40</v>
          </cell>
          <cell r="X69" t="str">
            <v>더바른푸드</v>
          </cell>
        </row>
        <row r="70">
          <cell r="A70">
            <v>66</v>
          </cell>
          <cell r="B70" t="str">
            <v>2019-04-03</v>
          </cell>
          <cell r="C70" t="str">
            <v>더바른푸드</v>
          </cell>
          <cell r="D70" t="str">
            <v>더바른푸드</v>
          </cell>
          <cell r="E70" t="str">
            <v>일반</v>
          </cell>
          <cell r="F70" t="str">
            <v>입고완료</v>
          </cell>
          <cell r="G70">
            <v>143791</v>
          </cell>
          <cell r="H70" t="str">
            <v>이츠웰 참기름(NEW_PET_1.8L 1.65Kg/EA)</v>
          </cell>
          <cell r="I70" t="str">
            <v>EA</v>
          </cell>
          <cell r="J70">
            <v>6</v>
          </cell>
          <cell r="K70">
            <v>6</v>
          </cell>
          <cell r="L70">
            <v>14780</v>
          </cell>
          <cell r="M70">
            <v>88680</v>
          </cell>
          <cell r="N70">
            <v>8868</v>
          </cell>
          <cell r="O70">
            <v>97548</v>
          </cell>
          <cell r="P70">
            <v>0</v>
          </cell>
          <cell r="Q70" t="str">
            <v>베트남</v>
          </cell>
          <cell r="R70" t="str">
            <v>실온</v>
          </cell>
          <cell r="S70" t="str">
            <v>EA(6)</v>
          </cell>
          <cell r="T70" t="str">
            <v/>
          </cell>
          <cell r="U70" t="str">
            <v/>
          </cell>
          <cell r="V70" t="str">
            <v>2019-04-02</v>
          </cell>
          <cell r="W70" t="str">
            <v>2019-04-02 13:52:05</v>
          </cell>
          <cell r="X70" t="str">
            <v>더바른푸드</v>
          </cell>
        </row>
        <row r="71">
          <cell r="A71">
            <v>67</v>
          </cell>
          <cell r="B71" t="str">
            <v>2019-04-02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A72">
            <v>68</v>
          </cell>
          <cell r="B72" t="str">
            <v>2019-04-02</v>
          </cell>
          <cell r="C72" t="str">
            <v>더바른푸드</v>
          </cell>
          <cell r="D72" t="str">
            <v>더바른푸드</v>
          </cell>
          <cell r="E72" t="str">
            <v>일반</v>
          </cell>
          <cell r="F72" t="str">
            <v>입고완료</v>
          </cell>
          <cell r="G72">
            <v>158488</v>
          </cell>
          <cell r="H72" t="str">
            <v>마더구스 아몬드파운드(개별포장_30g*30입 900g/EA)</v>
          </cell>
          <cell r="I72" t="str">
            <v>EA</v>
          </cell>
          <cell r="J72">
            <v>13</v>
          </cell>
          <cell r="K72">
            <v>13</v>
          </cell>
          <cell r="L72">
            <v>10540</v>
          </cell>
          <cell r="M72">
            <v>137020</v>
          </cell>
          <cell r="N72">
            <v>13702</v>
          </cell>
          <cell r="O72">
            <v>150722</v>
          </cell>
          <cell r="P72">
            <v>0</v>
          </cell>
          <cell r="Q72" t="str">
            <v/>
          </cell>
          <cell r="R72" t="str">
            <v>냉동</v>
          </cell>
          <cell r="S72" t="str">
            <v>EA(8)</v>
          </cell>
          <cell r="T72" t="str">
            <v/>
          </cell>
          <cell r="U72" t="str">
            <v/>
          </cell>
          <cell r="V72" t="str">
            <v>2019-03-27</v>
          </cell>
          <cell r="W72" t="str">
            <v>2019-03-27 15:07:13</v>
          </cell>
          <cell r="X72" t="str">
            <v>더바른푸드</v>
          </cell>
        </row>
        <row r="73">
          <cell r="A73">
            <v>69</v>
          </cell>
          <cell r="B73" t="str">
            <v>2019-04-02</v>
          </cell>
          <cell r="C73" t="str">
            <v>더바른푸드</v>
          </cell>
          <cell r="D73" t="str">
            <v>더바른푸드</v>
          </cell>
          <cell r="E73" t="str">
            <v>일반</v>
          </cell>
          <cell r="F73" t="str">
            <v>입고완료</v>
          </cell>
          <cell r="G73">
            <v>145345</v>
          </cell>
          <cell r="H73" t="str">
            <v>이츠웰 우리밀촉촉마들렌(개별포장_15g*30입 450g/EA)</v>
          </cell>
          <cell r="I73" t="str">
            <v>EA</v>
          </cell>
          <cell r="J73">
            <v>2</v>
          </cell>
          <cell r="K73">
            <v>2</v>
          </cell>
          <cell r="L73">
            <v>6190</v>
          </cell>
          <cell r="M73">
            <v>12380</v>
          </cell>
          <cell r="N73">
            <v>1238</v>
          </cell>
          <cell r="O73">
            <v>13618</v>
          </cell>
          <cell r="P73">
            <v>0</v>
          </cell>
          <cell r="Q73" t="str">
            <v>한국</v>
          </cell>
          <cell r="R73" t="str">
            <v>냉동</v>
          </cell>
          <cell r="S73" t="str">
            <v>EA(10)</v>
          </cell>
          <cell r="T73" t="str">
            <v/>
          </cell>
          <cell r="U73" t="str">
            <v/>
          </cell>
          <cell r="V73" t="str">
            <v>2019-03-27</v>
          </cell>
          <cell r="W73" t="str">
            <v>2019-03-27 15:08:00</v>
          </cell>
          <cell r="X73" t="str">
            <v>더바른푸드</v>
          </cell>
        </row>
        <row r="74">
          <cell r="A74">
            <v>70</v>
          </cell>
          <cell r="B74" t="str">
            <v>2019-04-02</v>
          </cell>
          <cell r="C74" t="str">
            <v>더바른푸드</v>
          </cell>
          <cell r="D74" t="str">
            <v>더바른푸드</v>
          </cell>
          <cell r="E74" t="str">
            <v>일반</v>
          </cell>
          <cell r="F74" t="str">
            <v>입고완료</v>
          </cell>
          <cell r="G74">
            <v>122082</v>
          </cell>
          <cell r="H74" t="str">
            <v>빙그레 흰우유(참맛좋은 200g/EA)</v>
          </cell>
          <cell r="I74" t="str">
            <v>EA</v>
          </cell>
          <cell r="J74">
            <v>267</v>
          </cell>
          <cell r="K74">
            <v>267</v>
          </cell>
          <cell r="L74">
            <v>430</v>
          </cell>
          <cell r="M74">
            <v>114810</v>
          </cell>
          <cell r="N74">
            <v>0</v>
          </cell>
          <cell r="O74">
            <v>114810</v>
          </cell>
          <cell r="P74">
            <v>0</v>
          </cell>
          <cell r="Q74" t="str">
            <v>한국</v>
          </cell>
          <cell r="R74" t="str">
            <v>냉장</v>
          </cell>
          <cell r="S74" t="str">
            <v>EA(1)</v>
          </cell>
          <cell r="T74" t="str">
            <v/>
          </cell>
          <cell r="U74" t="str">
            <v/>
          </cell>
          <cell r="V74" t="str">
            <v>2019-03-27</v>
          </cell>
          <cell r="W74" t="str">
            <v>2019-03-27 15:08:27</v>
          </cell>
          <cell r="X74" t="str">
            <v>더바른푸드</v>
          </cell>
        </row>
        <row r="75">
          <cell r="A75">
            <v>71</v>
          </cell>
          <cell r="B75" t="str">
            <v>2019-04-02</v>
          </cell>
          <cell r="C75" t="str">
            <v>더바른푸드</v>
          </cell>
          <cell r="D75" t="str">
            <v>더바른푸드</v>
          </cell>
          <cell r="E75" t="str">
            <v>일반</v>
          </cell>
          <cell r="F75" t="str">
            <v>입고완료</v>
          </cell>
          <cell r="G75">
            <v>159126</v>
          </cell>
          <cell r="H75" t="str">
            <v>건강마을 플리또주스(100ml_유기농_포도 100g/EA)</v>
          </cell>
          <cell r="I75" t="str">
            <v>BOX</v>
          </cell>
          <cell r="J75">
            <v>1</v>
          </cell>
          <cell r="K75">
            <v>1</v>
          </cell>
          <cell r="L75">
            <v>17600</v>
          </cell>
          <cell r="M75">
            <v>17600</v>
          </cell>
          <cell r="N75">
            <v>1760</v>
          </cell>
          <cell r="O75">
            <v>19360</v>
          </cell>
          <cell r="P75">
            <v>0</v>
          </cell>
          <cell r="Q75" t="str">
            <v/>
          </cell>
          <cell r="R75" t="str">
            <v>실온</v>
          </cell>
          <cell r="S75" t="str">
            <v>EA(40)</v>
          </cell>
          <cell r="T75" t="str">
            <v/>
          </cell>
          <cell r="U75" t="str">
            <v/>
          </cell>
          <cell r="V75" t="str">
            <v>2019-03-27</v>
          </cell>
          <cell r="W75" t="str">
            <v>2019-03-27 15:09:02</v>
          </cell>
          <cell r="X75" t="str">
            <v>더바른푸드</v>
          </cell>
        </row>
        <row r="76">
          <cell r="A76">
            <v>72</v>
          </cell>
          <cell r="B76" t="str">
            <v>2019-04-02</v>
          </cell>
          <cell r="C76" t="str">
            <v>더바른푸드</v>
          </cell>
          <cell r="D76" t="str">
            <v>더바른푸드</v>
          </cell>
          <cell r="E76" t="str">
            <v>일반</v>
          </cell>
          <cell r="F76" t="str">
            <v>입고완료</v>
          </cell>
          <cell r="G76">
            <v>173374</v>
          </cell>
          <cell r="H76" t="str">
            <v>쉐프솔루션 진짜통등심돈까스(130g*20입 2.6Kg/EA)</v>
          </cell>
          <cell r="I76" t="str">
            <v>EA</v>
          </cell>
          <cell r="J76">
            <v>21</v>
          </cell>
          <cell r="K76">
            <v>21</v>
          </cell>
          <cell r="L76">
            <v>20600</v>
          </cell>
          <cell r="M76">
            <v>432600</v>
          </cell>
          <cell r="N76">
            <v>43260</v>
          </cell>
          <cell r="O76">
            <v>475860</v>
          </cell>
          <cell r="P76">
            <v>0</v>
          </cell>
          <cell r="Q76" t="str">
            <v>한국</v>
          </cell>
          <cell r="R76" t="str">
            <v>냉동</v>
          </cell>
          <cell r="S76" t="str">
            <v>EA(4)</v>
          </cell>
          <cell r="T76" t="str">
            <v/>
          </cell>
          <cell r="U76" t="str">
            <v/>
          </cell>
          <cell r="V76" t="str">
            <v>2019-03-28</v>
          </cell>
          <cell r="W76" t="str">
            <v>2019-03-28 14:07:53</v>
          </cell>
          <cell r="X76" t="str">
            <v>더바른푸드</v>
          </cell>
        </row>
        <row r="77">
          <cell r="A77">
            <v>73</v>
          </cell>
          <cell r="B77" t="str">
            <v>2019-04-02</v>
          </cell>
          <cell r="C77" t="str">
            <v>더바른푸드</v>
          </cell>
          <cell r="D77" t="str">
            <v>더바른푸드</v>
          </cell>
          <cell r="E77" t="str">
            <v>일반</v>
          </cell>
          <cell r="F77" t="str">
            <v>입고완료</v>
          </cell>
          <cell r="G77">
            <v>167858</v>
          </cell>
          <cell r="H77" t="str">
            <v>사조 참치캔(3Kg/EA)</v>
          </cell>
          <cell r="I77" t="str">
            <v>EA</v>
          </cell>
          <cell r="J77">
            <v>13</v>
          </cell>
          <cell r="K77">
            <v>13</v>
          </cell>
          <cell r="L77">
            <v>19200</v>
          </cell>
          <cell r="M77">
            <v>249600</v>
          </cell>
          <cell r="N77">
            <v>24960</v>
          </cell>
          <cell r="O77">
            <v>274560</v>
          </cell>
          <cell r="P77">
            <v>0</v>
          </cell>
          <cell r="Q77" t="str">
            <v/>
          </cell>
          <cell r="R77" t="str">
            <v>실온</v>
          </cell>
          <cell r="S77" t="str">
            <v>EA(6)</v>
          </cell>
          <cell r="T77" t="str">
            <v/>
          </cell>
          <cell r="U77" t="str">
            <v/>
          </cell>
          <cell r="V77" t="str">
            <v>2019-03-28</v>
          </cell>
          <cell r="W77" t="str">
            <v>2019-03-28 14:11:45</v>
          </cell>
          <cell r="X77" t="str">
            <v>더바른푸드</v>
          </cell>
        </row>
        <row r="78">
          <cell r="A78">
            <v>74</v>
          </cell>
          <cell r="B78" t="str">
            <v>2019-04-02</v>
          </cell>
          <cell r="C78" t="str">
            <v>더바른푸드</v>
          </cell>
          <cell r="D78" t="str">
            <v>더바른푸드</v>
          </cell>
          <cell r="E78" t="str">
            <v>일반</v>
          </cell>
          <cell r="F78" t="str">
            <v>입고완료</v>
          </cell>
          <cell r="G78">
            <v>212132</v>
          </cell>
          <cell r="H78" t="str">
            <v>냉동고구마(맛탕용 1Kg/EA)</v>
          </cell>
          <cell r="I78" t="str">
            <v>EA</v>
          </cell>
          <cell r="J78">
            <v>14</v>
          </cell>
          <cell r="K78">
            <v>14</v>
          </cell>
          <cell r="L78">
            <v>2750</v>
          </cell>
          <cell r="M78">
            <v>38500</v>
          </cell>
          <cell r="N78">
            <v>3850</v>
          </cell>
          <cell r="O78">
            <v>42350</v>
          </cell>
          <cell r="P78">
            <v>0</v>
          </cell>
          <cell r="Q78" t="str">
            <v/>
          </cell>
          <cell r="R78" t="str">
            <v>냉동</v>
          </cell>
          <cell r="S78" t="str">
            <v>EA(1)</v>
          </cell>
          <cell r="T78" t="str">
            <v/>
          </cell>
          <cell r="U78" t="str">
            <v/>
          </cell>
          <cell r="V78" t="str">
            <v>2019-03-28</v>
          </cell>
          <cell r="W78" t="str">
            <v>2019-03-28 14:17:20</v>
          </cell>
          <cell r="X78" t="str">
            <v>더바른푸드</v>
          </cell>
        </row>
        <row r="79">
          <cell r="A79">
            <v>75</v>
          </cell>
          <cell r="B79" t="str">
            <v>2019-04-02</v>
          </cell>
          <cell r="C79" t="str">
            <v>더바른푸드</v>
          </cell>
          <cell r="D79" t="str">
            <v>더바른푸드</v>
          </cell>
          <cell r="E79" t="str">
            <v>일반</v>
          </cell>
          <cell r="F79" t="str">
            <v>입고완료</v>
          </cell>
          <cell r="G79">
            <v>211696</v>
          </cell>
          <cell r="H79" t="str">
            <v>건시래기(데친것 KG)</v>
          </cell>
          <cell r="I79" t="str">
            <v>KG</v>
          </cell>
          <cell r="J79">
            <v>30</v>
          </cell>
          <cell r="K79">
            <v>30</v>
          </cell>
          <cell r="L79">
            <v>2850</v>
          </cell>
          <cell r="M79">
            <v>85500</v>
          </cell>
          <cell r="N79">
            <v>0</v>
          </cell>
          <cell r="O79">
            <v>85500</v>
          </cell>
          <cell r="P79">
            <v>0</v>
          </cell>
          <cell r="Q79" t="str">
            <v>한국</v>
          </cell>
          <cell r="R79" t="str">
            <v>냉장</v>
          </cell>
          <cell r="S79" t="str">
            <v>KG(1)</v>
          </cell>
          <cell r="T79" t="str">
            <v/>
          </cell>
          <cell r="U79" t="str">
            <v/>
          </cell>
          <cell r="V79" t="str">
            <v>2019-03-29</v>
          </cell>
          <cell r="W79" t="str">
            <v>2019-03-29 13:59:17</v>
          </cell>
          <cell r="X79" t="str">
            <v>더바른푸드</v>
          </cell>
        </row>
        <row r="80">
          <cell r="A80">
            <v>76</v>
          </cell>
          <cell r="B80" t="str">
            <v>2019-04-02</v>
          </cell>
          <cell r="C80" t="str">
            <v>더바른푸드</v>
          </cell>
          <cell r="D80" t="str">
            <v>더바른푸드</v>
          </cell>
          <cell r="E80" t="str">
            <v>일반</v>
          </cell>
          <cell r="F80" t="str">
            <v>입고완료</v>
          </cell>
          <cell r="G80">
            <v>313570</v>
          </cell>
          <cell r="H80" t="str">
            <v>프레시웨이 북어채(1Kg/EA)</v>
          </cell>
          <cell r="I80" t="str">
            <v>EA</v>
          </cell>
          <cell r="J80">
            <v>2</v>
          </cell>
          <cell r="K80">
            <v>2</v>
          </cell>
          <cell r="L80">
            <v>23710</v>
          </cell>
          <cell r="M80">
            <v>47420</v>
          </cell>
          <cell r="N80">
            <v>0</v>
          </cell>
          <cell r="O80">
            <v>47420</v>
          </cell>
          <cell r="P80">
            <v>0</v>
          </cell>
          <cell r="Q80" t="str">
            <v>러시아</v>
          </cell>
          <cell r="R80" t="str">
            <v>냉장</v>
          </cell>
          <cell r="S80" t="str">
            <v>EA(8)</v>
          </cell>
          <cell r="T80" t="str">
            <v/>
          </cell>
          <cell r="U80" t="str">
            <v/>
          </cell>
          <cell r="V80" t="str">
            <v>2019-03-29</v>
          </cell>
          <cell r="W80" t="str">
            <v>2019-03-29 13:59:17</v>
          </cell>
          <cell r="X80" t="str">
            <v>더바른푸드</v>
          </cell>
        </row>
        <row r="81">
          <cell r="A81">
            <v>77</v>
          </cell>
          <cell r="B81" t="str">
            <v>2019-04-02</v>
          </cell>
          <cell r="C81" t="str">
            <v>더바른푸드</v>
          </cell>
          <cell r="D81" t="str">
            <v>더바른푸드</v>
          </cell>
          <cell r="E81" t="str">
            <v>일반</v>
          </cell>
          <cell r="F81" t="str">
            <v>입고완료</v>
          </cell>
          <cell r="G81">
            <v>168384</v>
          </cell>
          <cell r="H81" t="str">
            <v>사조대림 사각어묵(알뜰 1Kg/EA)</v>
          </cell>
          <cell r="I81" t="str">
            <v>EA</v>
          </cell>
          <cell r="J81">
            <v>8</v>
          </cell>
          <cell r="K81">
            <v>8</v>
          </cell>
          <cell r="L81">
            <v>2310</v>
          </cell>
          <cell r="M81">
            <v>18480</v>
          </cell>
          <cell r="N81">
            <v>1848</v>
          </cell>
          <cell r="O81">
            <v>20328</v>
          </cell>
          <cell r="P81">
            <v>0</v>
          </cell>
          <cell r="Q81" t="str">
            <v/>
          </cell>
          <cell r="R81" t="str">
            <v>냉장</v>
          </cell>
          <cell r="S81" t="str">
            <v>EA(1)</v>
          </cell>
          <cell r="T81" t="str">
            <v/>
          </cell>
          <cell r="U81" t="str">
            <v/>
          </cell>
          <cell r="V81" t="str">
            <v>2019-03-29</v>
          </cell>
          <cell r="W81" t="str">
            <v>2019-03-29 14:14:28</v>
          </cell>
          <cell r="X81" t="str">
            <v>더바른푸드</v>
          </cell>
        </row>
        <row r="82">
          <cell r="A82">
            <v>78</v>
          </cell>
          <cell r="B82" t="str">
            <v>2019-04-02</v>
          </cell>
          <cell r="C82" t="str">
            <v>더바른푸드</v>
          </cell>
          <cell r="D82" t="str">
            <v>더바른푸드</v>
          </cell>
          <cell r="E82" t="str">
            <v>일반</v>
          </cell>
          <cell r="F82" t="str">
            <v>입고완료</v>
          </cell>
          <cell r="G82">
            <v>191682</v>
          </cell>
          <cell r="H82" t="str">
            <v>제이팜스 냉동다진마늘(1Kg/EA)</v>
          </cell>
          <cell r="I82" t="str">
            <v>EA</v>
          </cell>
          <cell r="J82">
            <v>10</v>
          </cell>
          <cell r="K82">
            <v>10</v>
          </cell>
          <cell r="L82">
            <v>2270</v>
          </cell>
          <cell r="M82">
            <v>22700</v>
          </cell>
          <cell r="N82">
            <v>0</v>
          </cell>
          <cell r="O82">
            <v>22700</v>
          </cell>
          <cell r="P82">
            <v>0</v>
          </cell>
          <cell r="Q82" t="str">
            <v>중국</v>
          </cell>
          <cell r="R82" t="str">
            <v>냉동</v>
          </cell>
          <cell r="S82" t="str">
            <v>EA(10)</v>
          </cell>
          <cell r="T82" t="str">
            <v/>
          </cell>
          <cell r="U82" t="str">
            <v/>
          </cell>
          <cell r="V82" t="str">
            <v>2019-04-01</v>
          </cell>
          <cell r="W82" t="str">
            <v>2019-04-01 12:42:16</v>
          </cell>
          <cell r="X82" t="str">
            <v>더바른푸드</v>
          </cell>
        </row>
        <row r="83">
          <cell r="A83">
            <v>79</v>
          </cell>
          <cell r="B83" t="str">
            <v>2019-04-01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A84">
            <v>80</v>
          </cell>
          <cell r="B84" t="str">
            <v>2019-04-01</v>
          </cell>
          <cell r="C84" t="str">
            <v>더바른푸드</v>
          </cell>
          <cell r="D84" t="str">
            <v>더바른푸드</v>
          </cell>
          <cell r="E84" t="str">
            <v>일반</v>
          </cell>
          <cell r="F84" t="str">
            <v>입고완료</v>
          </cell>
          <cell r="G84">
            <v>251973</v>
          </cell>
          <cell r="H84" t="str">
            <v>냉동혼합채소2종(감자+당근 짜장용 1Kg/EA)</v>
          </cell>
          <cell r="I84" t="str">
            <v>EA</v>
          </cell>
          <cell r="J84">
            <v>20</v>
          </cell>
          <cell r="K84">
            <v>20</v>
          </cell>
          <cell r="L84">
            <v>2260</v>
          </cell>
          <cell r="M84">
            <v>45200</v>
          </cell>
          <cell r="N84">
            <v>4520</v>
          </cell>
          <cell r="O84">
            <v>49720</v>
          </cell>
          <cell r="P84">
            <v>0</v>
          </cell>
          <cell r="Q84" t="str">
            <v>스페인</v>
          </cell>
          <cell r="R84" t="str">
            <v>냉동</v>
          </cell>
          <cell r="S84" t="str">
            <v>EA(1)</v>
          </cell>
          <cell r="T84" t="str">
            <v/>
          </cell>
          <cell r="U84" t="str">
            <v/>
          </cell>
          <cell r="V84" t="str">
            <v>2019-03-27</v>
          </cell>
          <cell r="W84" t="str">
            <v>2019-03-27 14:01:05</v>
          </cell>
          <cell r="X84" t="str">
            <v>더바른푸드</v>
          </cell>
        </row>
        <row r="85">
          <cell r="A85">
            <v>81</v>
          </cell>
          <cell r="B85" t="str">
            <v>2019-04-01</v>
          </cell>
          <cell r="C85" t="str">
            <v>더바른푸드</v>
          </cell>
          <cell r="D85" t="str">
            <v>더바른푸드</v>
          </cell>
          <cell r="E85" t="str">
            <v>일반</v>
          </cell>
          <cell r="F85" t="str">
            <v>입고완료</v>
          </cell>
          <cell r="G85">
            <v>193090</v>
          </cell>
          <cell r="H85" t="str">
            <v>냉동감자(절단_3~4cm 1Kg/EA)</v>
          </cell>
          <cell r="I85" t="str">
            <v>EA</v>
          </cell>
          <cell r="J85">
            <v>20</v>
          </cell>
          <cell r="K85">
            <v>20</v>
          </cell>
          <cell r="L85">
            <v>2030</v>
          </cell>
          <cell r="M85">
            <v>40600</v>
          </cell>
          <cell r="N85">
            <v>4060</v>
          </cell>
          <cell r="O85">
            <v>44660</v>
          </cell>
          <cell r="P85">
            <v>0</v>
          </cell>
          <cell r="Q85" t="str">
            <v>중국</v>
          </cell>
          <cell r="R85" t="str">
            <v>냉동</v>
          </cell>
          <cell r="S85" t="str">
            <v>EA(1)</v>
          </cell>
          <cell r="T85" t="str">
            <v/>
          </cell>
          <cell r="U85" t="str">
            <v/>
          </cell>
          <cell r="V85" t="str">
            <v>2019-03-27</v>
          </cell>
          <cell r="W85" t="str">
            <v>2019-03-27 14:05:58</v>
          </cell>
          <cell r="X85" t="str">
            <v>더바른푸드</v>
          </cell>
        </row>
        <row r="86">
          <cell r="A86">
            <v>82</v>
          </cell>
          <cell r="B86" t="str">
            <v>2019-04-01</v>
          </cell>
          <cell r="C86" t="str">
            <v>더바른푸드</v>
          </cell>
          <cell r="D86" t="str">
            <v>더바른푸드</v>
          </cell>
          <cell r="E86" t="str">
            <v>일반</v>
          </cell>
          <cell r="F86" t="str">
            <v>입고완료</v>
          </cell>
          <cell r="G86">
            <v>254995</v>
          </cell>
          <cell r="H86" t="str">
            <v>개미식품 튼튼칼슘롤(21곡_10g*30개입 300g/EA)</v>
          </cell>
          <cell r="I86" t="str">
            <v>EA</v>
          </cell>
          <cell r="J86">
            <v>23</v>
          </cell>
          <cell r="K86">
            <v>23</v>
          </cell>
          <cell r="L86">
            <v>6000</v>
          </cell>
          <cell r="M86">
            <v>138000</v>
          </cell>
          <cell r="N86">
            <v>13800</v>
          </cell>
          <cell r="O86">
            <v>151800</v>
          </cell>
          <cell r="P86">
            <v>0</v>
          </cell>
          <cell r="Q86" t="str">
            <v/>
          </cell>
          <cell r="R86" t="str">
            <v>실온</v>
          </cell>
          <cell r="S86" t="str">
            <v>EA(20)</v>
          </cell>
          <cell r="T86" t="str">
            <v/>
          </cell>
          <cell r="U86" t="str">
            <v/>
          </cell>
          <cell r="V86" t="str">
            <v>2019-03-27</v>
          </cell>
          <cell r="W86" t="str">
            <v>2019-03-27 15:01:30</v>
          </cell>
          <cell r="X86" t="str">
            <v>더바른푸드</v>
          </cell>
        </row>
        <row r="87">
          <cell r="A87">
            <v>83</v>
          </cell>
          <cell r="B87" t="str">
            <v>2019-04-01</v>
          </cell>
          <cell r="C87" t="str">
            <v>더바른푸드</v>
          </cell>
          <cell r="D87" t="str">
            <v>더바른푸드</v>
          </cell>
          <cell r="E87" t="str">
            <v>일반</v>
          </cell>
          <cell r="F87" t="str">
            <v>입고완료</v>
          </cell>
          <cell r="G87">
            <v>145344</v>
          </cell>
          <cell r="H87" t="str">
            <v>이츠웰 우리밀에그타르트(35g*16입 560g/EA)</v>
          </cell>
          <cell r="I87" t="str">
            <v>EA</v>
          </cell>
          <cell r="J87">
            <v>2</v>
          </cell>
          <cell r="K87">
            <v>2</v>
          </cell>
          <cell r="L87">
            <v>8560</v>
          </cell>
          <cell r="M87">
            <v>17120</v>
          </cell>
          <cell r="N87">
            <v>1712</v>
          </cell>
          <cell r="O87">
            <v>18832</v>
          </cell>
          <cell r="P87">
            <v>0</v>
          </cell>
          <cell r="Q87" t="str">
            <v>한국</v>
          </cell>
          <cell r="R87" t="str">
            <v>냉동</v>
          </cell>
          <cell r="S87" t="str">
            <v>EA(10)</v>
          </cell>
          <cell r="T87" t="str">
            <v/>
          </cell>
          <cell r="U87" t="str">
            <v/>
          </cell>
          <cell r="V87" t="str">
            <v>2019-03-27</v>
          </cell>
          <cell r="W87" t="str">
            <v>2019-03-27 15:02:09</v>
          </cell>
          <cell r="X87" t="str">
            <v>더바른푸드</v>
          </cell>
        </row>
        <row r="88">
          <cell r="A88">
            <v>84</v>
          </cell>
          <cell r="B88" t="str">
            <v>2019-04-01</v>
          </cell>
          <cell r="C88" t="str">
            <v>더바른푸드</v>
          </cell>
          <cell r="D88" t="str">
            <v>더바른푸드</v>
          </cell>
          <cell r="E88" t="str">
            <v>일반</v>
          </cell>
          <cell r="F88" t="str">
            <v>입고완료</v>
          </cell>
          <cell r="G88">
            <v>136633</v>
          </cell>
          <cell r="H88" t="str">
            <v>이오 요구르트(80ml_유기농 80g/EA)</v>
          </cell>
          <cell r="I88" t="str">
            <v>EA</v>
          </cell>
          <cell r="J88">
            <v>292</v>
          </cell>
          <cell r="K88">
            <v>292</v>
          </cell>
          <cell r="L88">
            <v>300</v>
          </cell>
          <cell r="M88">
            <v>87600</v>
          </cell>
          <cell r="N88">
            <v>8760</v>
          </cell>
          <cell r="O88">
            <v>96360</v>
          </cell>
          <cell r="P88">
            <v>0</v>
          </cell>
          <cell r="Q88" t="str">
            <v>한국</v>
          </cell>
          <cell r="R88" t="str">
            <v>냉장</v>
          </cell>
          <cell r="S88" t="str">
            <v>EA(50)</v>
          </cell>
          <cell r="T88" t="str">
            <v/>
          </cell>
          <cell r="U88" t="str">
            <v>빨대 넉넉히 부탁드립니다</v>
          </cell>
          <cell r="V88" t="str">
            <v>2019-03-27</v>
          </cell>
          <cell r="W88" t="str">
            <v>2019-03-27 15:02:47</v>
          </cell>
          <cell r="X88" t="str">
            <v>더바른푸드</v>
          </cell>
        </row>
        <row r="89">
          <cell r="A89">
            <v>85</v>
          </cell>
          <cell r="B89" t="str">
            <v>2019-04-01</v>
          </cell>
          <cell r="C89" t="str">
            <v>더바른푸드</v>
          </cell>
          <cell r="D89" t="str">
            <v>더바른푸드</v>
          </cell>
          <cell r="E89" t="str">
            <v>일반</v>
          </cell>
          <cell r="F89" t="str">
            <v>입고완료</v>
          </cell>
          <cell r="G89">
            <v>264253</v>
          </cell>
          <cell r="H89" t="str">
            <v>이츠웰 배도라지주스(80g/EA)</v>
          </cell>
          <cell r="I89" t="str">
            <v>BOX</v>
          </cell>
          <cell r="J89">
            <v>1</v>
          </cell>
          <cell r="K89">
            <v>1</v>
          </cell>
          <cell r="L89">
            <v>16650</v>
          </cell>
          <cell r="M89">
            <v>16650</v>
          </cell>
          <cell r="N89">
            <v>1665</v>
          </cell>
          <cell r="O89">
            <v>18315</v>
          </cell>
          <cell r="P89">
            <v>0</v>
          </cell>
          <cell r="Q89" t="str">
            <v/>
          </cell>
          <cell r="R89" t="str">
            <v>실온</v>
          </cell>
          <cell r="S89" t="str">
            <v>EA(45)</v>
          </cell>
          <cell r="T89" t="str">
            <v/>
          </cell>
          <cell r="U89" t="str">
            <v/>
          </cell>
          <cell r="V89" t="str">
            <v>2019-03-27</v>
          </cell>
          <cell r="W89" t="str">
            <v>2019-03-27 15:04:56</v>
          </cell>
          <cell r="X89" t="str">
            <v>더바른푸드</v>
          </cell>
        </row>
        <row r="90">
          <cell r="A90">
            <v>86</v>
          </cell>
          <cell r="B90" t="str">
            <v>2019-04-01</v>
          </cell>
          <cell r="C90" t="str">
            <v>더바른푸드</v>
          </cell>
          <cell r="D90" t="str">
            <v>더바른푸드</v>
          </cell>
          <cell r="E90" t="str">
            <v>일반</v>
          </cell>
          <cell r="F90" t="str">
            <v>입고완료</v>
          </cell>
          <cell r="G90">
            <v>248028</v>
          </cell>
          <cell r="H90" t="str">
            <v>이츠웰 오징어채(1Kg/EA)</v>
          </cell>
          <cell r="I90" t="str">
            <v>EA</v>
          </cell>
          <cell r="J90">
            <v>17</v>
          </cell>
          <cell r="K90">
            <v>17</v>
          </cell>
          <cell r="L90">
            <v>11630</v>
          </cell>
          <cell r="M90">
            <v>197710</v>
          </cell>
          <cell r="N90">
            <v>0</v>
          </cell>
          <cell r="O90">
            <v>197710</v>
          </cell>
          <cell r="P90">
            <v>0</v>
          </cell>
          <cell r="Q90" t="str">
            <v>한국</v>
          </cell>
          <cell r="R90" t="str">
            <v>냉동</v>
          </cell>
          <cell r="S90" t="str">
            <v>EA(10)</v>
          </cell>
          <cell r="T90" t="str">
            <v/>
          </cell>
          <cell r="U90" t="str">
            <v/>
          </cell>
          <cell r="V90" t="str">
            <v>2019-03-28</v>
          </cell>
          <cell r="W90" t="str">
            <v>2019-03-28 14:08:40</v>
          </cell>
          <cell r="X90" t="str">
            <v>더바른푸드</v>
          </cell>
        </row>
        <row r="91">
          <cell r="A91">
            <v>87</v>
          </cell>
          <cell r="B91" t="str">
            <v>2019-04-01</v>
          </cell>
          <cell r="C91" t="str">
            <v>더바른푸드</v>
          </cell>
          <cell r="D91" t="str">
            <v>더바른푸드</v>
          </cell>
          <cell r="E91" t="str">
            <v>일반</v>
          </cell>
          <cell r="F91" t="str">
            <v>입고완료</v>
          </cell>
          <cell r="G91">
            <v>275548</v>
          </cell>
          <cell r="H91" t="str">
            <v>동태(내장제거_50~70g/토막 KG)</v>
          </cell>
          <cell r="I91" t="str">
            <v>KG</v>
          </cell>
          <cell r="J91">
            <v>2</v>
          </cell>
          <cell r="K91">
            <v>2</v>
          </cell>
          <cell r="L91">
            <v>4970</v>
          </cell>
          <cell r="M91">
            <v>9940</v>
          </cell>
          <cell r="N91">
            <v>0</v>
          </cell>
          <cell r="O91">
            <v>9940</v>
          </cell>
          <cell r="P91">
            <v>0</v>
          </cell>
          <cell r="Q91" t="str">
            <v>미국</v>
          </cell>
          <cell r="R91" t="str">
            <v>냉동</v>
          </cell>
          <cell r="S91" t="str">
            <v>KG(1)</v>
          </cell>
          <cell r="T91" t="str">
            <v/>
          </cell>
          <cell r="U91" t="str">
            <v/>
          </cell>
          <cell r="V91" t="str">
            <v>2019-03-28</v>
          </cell>
          <cell r="W91" t="str">
            <v>2019-03-28 14:50:37</v>
          </cell>
          <cell r="X91" t="str">
            <v>더바른푸드</v>
          </cell>
        </row>
        <row r="92">
          <cell r="A92">
            <v>88</v>
          </cell>
          <cell r="B92" t="str">
            <v>2019-04-01</v>
          </cell>
          <cell r="C92" t="str">
            <v>더바른푸드</v>
          </cell>
          <cell r="D92" t="str">
            <v>더바른푸드</v>
          </cell>
          <cell r="E92" t="str">
            <v>일반</v>
          </cell>
          <cell r="F92" t="str">
            <v>입고완료</v>
          </cell>
          <cell r="G92">
            <v>410401</v>
          </cell>
          <cell r="H92" t="str">
            <v>체리부로 닭다리살(무항생_100±10g/덩어리_껍질있음 KG)</v>
          </cell>
          <cell r="I92" t="str">
            <v>KG</v>
          </cell>
          <cell r="J92">
            <v>2</v>
          </cell>
          <cell r="K92">
            <v>2</v>
          </cell>
          <cell r="L92">
            <v>9120</v>
          </cell>
          <cell r="M92">
            <v>18240</v>
          </cell>
          <cell r="N92">
            <v>0</v>
          </cell>
          <cell r="O92">
            <v>18240</v>
          </cell>
          <cell r="P92">
            <v>18240</v>
          </cell>
          <cell r="Q92" t="str">
            <v>한국</v>
          </cell>
          <cell r="R92" t="str">
            <v>냉장</v>
          </cell>
          <cell r="S92" t="str">
            <v>KG(1)</v>
          </cell>
          <cell r="T92" t="str">
            <v/>
          </cell>
          <cell r="U92" t="str">
            <v/>
          </cell>
          <cell r="V92" t="str">
            <v>2019-03-28</v>
          </cell>
          <cell r="W92" t="str">
            <v>2019-03-28 15:31:29</v>
          </cell>
          <cell r="X92" t="str">
            <v>더바른푸드</v>
          </cell>
        </row>
        <row r="93">
          <cell r="A93">
            <v>89</v>
          </cell>
          <cell r="B93" t="str">
            <v>2019-04-01</v>
          </cell>
          <cell r="C93" t="str">
            <v>더바른푸드</v>
          </cell>
          <cell r="D93" t="str">
            <v>더바른푸드</v>
          </cell>
          <cell r="E93" t="str">
            <v>일반</v>
          </cell>
          <cell r="F93" t="str">
            <v>입고완료</v>
          </cell>
          <cell r="G93">
            <v>204973</v>
          </cell>
          <cell r="H93" t="str">
            <v>냉동대파(1Kg/PAC)</v>
          </cell>
          <cell r="I93" t="str">
            <v>PAC</v>
          </cell>
          <cell r="J93">
            <v>15</v>
          </cell>
          <cell r="K93">
            <v>15</v>
          </cell>
          <cell r="L93">
            <v>1400</v>
          </cell>
          <cell r="M93">
            <v>21000</v>
          </cell>
          <cell r="N93">
            <v>0</v>
          </cell>
          <cell r="O93">
            <v>21000</v>
          </cell>
          <cell r="P93">
            <v>0</v>
          </cell>
          <cell r="Q93" t="str">
            <v>중국</v>
          </cell>
          <cell r="R93" t="str">
            <v>냉동</v>
          </cell>
          <cell r="S93" t="str">
            <v>PAC(1)</v>
          </cell>
          <cell r="T93" t="str">
            <v/>
          </cell>
          <cell r="U93" t="str">
            <v/>
          </cell>
          <cell r="V93" t="str">
            <v>2019-03-29</v>
          </cell>
          <cell r="W93" t="str">
            <v>2019-03-29 14:20:07</v>
          </cell>
          <cell r="X93" t="str">
            <v>더바른푸드</v>
          </cell>
        </row>
        <row r="94">
          <cell r="A94">
            <v>90</v>
          </cell>
          <cell r="B94" t="str">
            <v>2019-04-01</v>
          </cell>
          <cell r="C94" t="str">
            <v>더바른푸드</v>
          </cell>
          <cell r="D94" t="str">
            <v>더바른푸드</v>
          </cell>
          <cell r="E94" t="str">
            <v>일반</v>
          </cell>
          <cell r="F94" t="str">
            <v>입고완료</v>
          </cell>
          <cell r="G94">
            <v>247931</v>
          </cell>
          <cell r="H94" t="str">
            <v>마당발 냉동다진마늘(1Kg/EA)</v>
          </cell>
          <cell r="I94" t="str">
            <v>EA</v>
          </cell>
          <cell r="J94">
            <v>10</v>
          </cell>
          <cell r="K94">
            <v>10</v>
          </cell>
          <cell r="L94">
            <v>2410</v>
          </cell>
          <cell r="M94">
            <v>24100</v>
          </cell>
          <cell r="N94">
            <v>0</v>
          </cell>
          <cell r="O94">
            <v>24100</v>
          </cell>
          <cell r="P94">
            <v>0</v>
          </cell>
          <cell r="Q94" t="str">
            <v>중국</v>
          </cell>
          <cell r="R94" t="str">
            <v>냉동</v>
          </cell>
          <cell r="S94" t="str">
            <v>EA(10)</v>
          </cell>
          <cell r="T94" t="str">
            <v/>
          </cell>
          <cell r="U94" t="str">
            <v/>
          </cell>
          <cell r="V94" t="str">
            <v>2019-03-29</v>
          </cell>
          <cell r="W94" t="str">
            <v>2019-03-29 14:20:07</v>
          </cell>
          <cell r="X94" t="str">
            <v>더바른푸드</v>
          </cell>
        </row>
        <row r="95">
          <cell r="A95">
            <v>91</v>
          </cell>
          <cell r="B95" t="str">
            <v>2019-03-30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A96">
            <v>92</v>
          </cell>
          <cell r="B96" t="str">
            <v>2019-03-30</v>
          </cell>
          <cell r="C96" t="str">
            <v>더바른푸드</v>
          </cell>
          <cell r="D96" t="str">
            <v>더바른푸드</v>
          </cell>
          <cell r="E96" t="str">
            <v>일반</v>
          </cell>
          <cell r="F96" t="str">
            <v>입고완료</v>
          </cell>
          <cell r="G96">
            <v>208502</v>
          </cell>
          <cell r="H96" t="str">
            <v>세척당근(3L 10Kg/EA)</v>
          </cell>
          <cell r="I96" t="str">
            <v>EA</v>
          </cell>
          <cell r="J96">
            <v>2</v>
          </cell>
          <cell r="K96">
            <v>2</v>
          </cell>
          <cell r="L96">
            <v>12370</v>
          </cell>
          <cell r="M96">
            <v>24740</v>
          </cell>
          <cell r="N96">
            <v>0</v>
          </cell>
          <cell r="O96">
            <v>24740</v>
          </cell>
          <cell r="P96">
            <v>0</v>
          </cell>
          <cell r="Q96" t="str">
            <v>중국</v>
          </cell>
          <cell r="R96" t="str">
            <v>실온</v>
          </cell>
          <cell r="S96" t="str">
            <v>EA(1)</v>
          </cell>
          <cell r="T96" t="str">
            <v/>
          </cell>
          <cell r="U96" t="str">
            <v/>
          </cell>
          <cell r="V96" t="str">
            <v>2019-03-29</v>
          </cell>
          <cell r="W96" t="str">
            <v>2019-03-29 10:36:06</v>
          </cell>
          <cell r="X96" t="str">
            <v>더바른푸드</v>
          </cell>
        </row>
        <row r="97">
          <cell r="A97">
            <v>93</v>
          </cell>
          <cell r="B97" t="str">
            <v>2019-03-30</v>
          </cell>
          <cell r="C97" t="str">
            <v>더바른푸드</v>
          </cell>
          <cell r="D97" t="str">
            <v>더바른푸드</v>
          </cell>
          <cell r="E97" t="str">
            <v>일반</v>
          </cell>
          <cell r="F97" t="str">
            <v>입고완료</v>
          </cell>
          <cell r="G97">
            <v>107826</v>
          </cell>
          <cell r="H97" t="str">
            <v>오뚜기 하이라이스(1Kg/EA)</v>
          </cell>
          <cell r="I97" t="str">
            <v>EA</v>
          </cell>
          <cell r="J97">
            <v>15</v>
          </cell>
          <cell r="K97">
            <v>15</v>
          </cell>
          <cell r="L97">
            <v>4380</v>
          </cell>
          <cell r="M97">
            <v>65700</v>
          </cell>
          <cell r="N97">
            <v>6570</v>
          </cell>
          <cell r="O97">
            <v>72270</v>
          </cell>
          <cell r="P97">
            <v>0</v>
          </cell>
          <cell r="Q97" t="str">
            <v/>
          </cell>
          <cell r="R97" t="str">
            <v>실온</v>
          </cell>
          <cell r="S97" t="str">
            <v>EA(10)</v>
          </cell>
          <cell r="T97" t="str">
            <v/>
          </cell>
          <cell r="U97" t="str">
            <v/>
          </cell>
          <cell r="V97" t="str">
            <v>2019-03-29</v>
          </cell>
          <cell r="W97" t="str">
            <v>2019-03-29 12:15:03</v>
          </cell>
          <cell r="X97" t="str">
            <v>더바른푸드</v>
          </cell>
        </row>
        <row r="98">
          <cell r="A98">
            <v>94</v>
          </cell>
          <cell r="B98" t="str">
            <v>2019-03-30</v>
          </cell>
          <cell r="C98" t="str">
            <v>더바른푸드</v>
          </cell>
          <cell r="D98" t="str">
            <v>더바른푸드</v>
          </cell>
          <cell r="E98" t="str">
            <v>일반</v>
          </cell>
          <cell r="F98" t="str">
            <v>입고완료</v>
          </cell>
          <cell r="G98">
            <v>122935</v>
          </cell>
          <cell r="H98" t="str">
            <v>리치스 스위트콘(2.95Kg/EA)</v>
          </cell>
          <cell r="I98" t="str">
            <v>EA</v>
          </cell>
          <cell r="J98">
            <v>18</v>
          </cell>
          <cell r="K98">
            <v>18</v>
          </cell>
          <cell r="L98">
            <v>2860</v>
          </cell>
          <cell r="M98">
            <v>51480</v>
          </cell>
          <cell r="N98">
            <v>5148</v>
          </cell>
          <cell r="O98">
            <v>56628</v>
          </cell>
          <cell r="P98">
            <v>0</v>
          </cell>
          <cell r="Q98" t="str">
            <v>태국</v>
          </cell>
          <cell r="R98" t="str">
            <v>실온</v>
          </cell>
          <cell r="S98" t="str">
            <v>EA(6)</v>
          </cell>
          <cell r="T98" t="str">
            <v/>
          </cell>
          <cell r="U98" t="str">
            <v/>
          </cell>
          <cell r="V98" t="str">
            <v>2019-03-29</v>
          </cell>
          <cell r="W98" t="str">
            <v>2019-03-29 12:16:08</v>
          </cell>
          <cell r="X98" t="str">
            <v>더바른푸드</v>
          </cell>
        </row>
        <row r="99">
          <cell r="A99">
            <v>95</v>
          </cell>
          <cell r="B99" t="str">
            <v>2019-03-30</v>
          </cell>
          <cell r="C99" t="str">
            <v>더바른푸드</v>
          </cell>
          <cell r="D99" t="str">
            <v>더바른푸드</v>
          </cell>
          <cell r="E99" t="str">
            <v>일반</v>
          </cell>
          <cell r="F99" t="str">
            <v>입고완료</v>
          </cell>
          <cell r="G99">
            <v>106212</v>
          </cell>
          <cell r="H99" t="str">
            <v>백설 하얀설탕(15Kg/EA)</v>
          </cell>
          <cell r="I99" t="str">
            <v>EA</v>
          </cell>
          <cell r="J99">
            <v>2</v>
          </cell>
          <cell r="K99">
            <v>2</v>
          </cell>
          <cell r="L99">
            <v>15680</v>
          </cell>
          <cell r="M99">
            <v>31360</v>
          </cell>
          <cell r="N99">
            <v>3136</v>
          </cell>
          <cell r="O99">
            <v>34496</v>
          </cell>
          <cell r="P99">
            <v>0</v>
          </cell>
          <cell r="Q99" t="str">
            <v/>
          </cell>
          <cell r="R99" t="str">
            <v>실온</v>
          </cell>
          <cell r="S99" t="str">
            <v>EA(1)</v>
          </cell>
          <cell r="T99" t="str">
            <v/>
          </cell>
          <cell r="U99" t="str">
            <v/>
          </cell>
          <cell r="V99" t="str">
            <v>2019-03-29</v>
          </cell>
          <cell r="W99" t="str">
            <v>2019-03-29 13:16:41</v>
          </cell>
          <cell r="X99" t="str">
            <v>더바른푸드</v>
          </cell>
        </row>
        <row r="100">
          <cell r="A100">
            <v>96</v>
          </cell>
          <cell r="B100" t="str">
            <v>2019-03-30</v>
          </cell>
          <cell r="C100" t="str">
            <v>더바른푸드</v>
          </cell>
          <cell r="D100" t="str">
            <v>더바른푸드</v>
          </cell>
          <cell r="E100" t="str">
            <v>일반</v>
          </cell>
          <cell r="F100" t="str">
            <v>입고완료</v>
          </cell>
          <cell r="G100">
            <v>106154</v>
          </cell>
          <cell r="H100" t="str">
            <v>해찬들 사계절쌈장(14Kg/EA)</v>
          </cell>
          <cell r="I100" t="str">
            <v>EA</v>
          </cell>
          <cell r="J100">
            <v>1</v>
          </cell>
          <cell r="K100">
            <v>1</v>
          </cell>
          <cell r="L100">
            <v>27130</v>
          </cell>
          <cell r="M100">
            <v>27130</v>
          </cell>
          <cell r="N100">
            <v>2713</v>
          </cell>
          <cell r="O100">
            <v>29843</v>
          </cell>
          <cell r="P100">
            <v>0</v>
          </cell>
          <cell r="Q100" t="str">
            <v/>
          </cell>
          <cell r="R100" t="str">
            <v>실온</v>
          </cell>
          <cell r="S100" t="str">
            <v>EA(1)</v>
          </cell>
          <cell r="T100" t="str">
            <v/>
          </cell>
          <cell r="U100" t="str">
            <v/>
          </cell>
          <cell r="V100" t="str">
            <v>2019-03-29</v>
          </cell>
          <cell r="W100" t="str">
            <v>2019-03-29 13:19:13</v>
          </cell>
          <cell r="X100" t="str">
            <v>더바른푸드</v>
          </cell>
        </row>
        <row r="101">
          <cell r="A101">
            <v>97</v>
          </cell>
          <cell r="B101" t="str">
            <v>2019-03-29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A102">
            <v>98</v>
          </cell>
          <cell r="B102" t="str">
            <v>2019-03-29</v>
          </cell>
          <cell r="C102" t="str">
            <v>더바른푸드</v>
          </cell>
          <cell r="D102" t="str">
            <v>더바른푸드</v>
          </cell>
          <cell r="E102" t="str">
            <v>일반</v>
          </cell>
          <cell r="F102" t="str">
            <v>입고완료</v>
          </cell>
          <cell r="G102">
            <v>135205</v>
          </cell>
          <cell r="H102" t="str">
            <v>마더구스 베이비슈(카스타드미니_13g*36입 468g/EA)</v>
          </cell>
          <cell r="I102" t="str">
            <v>EA</v>
          </cell>
          <cell r="J102">
            <v>18</v>
          </cell>
          <cell r="K102">
            <v>18</v>
          </cell>
          <cell r="L102">
            <v>4880</v>
          </cell>
          <cell r="M102">
            <v>87840</v>
          </cell>
          <cell r="N102">
            <v>8784</v>
          </cell>
          <cell r="O102">
            <v>96624</v>
          </cell>
          <cell r="P102">
            <v>0</v>
          </cell>
          <cell r="Q102" t="str">
            <v/>
          </cell>
          <cell r="R102" t="str">
            <v>냉동</v>
          </cell>
          <cell r="S102" t="str">
            <v>EA(10)</v>
          </cell>
          <cell r="T102" t="str">
            <v/>
          </cell>
          <cell r="U102" t="str">
            <v/>
          </cell>
          <cell r="V102" t="str">
            <v>2019-03-21</v>
          </cell>
          <cell r="W102" t="str">
            <v>2019-03-21 15:31:33</v>
          </cell>
          <cell r="X102" t="str">
            <v>더바른푸드</v>
          </cell>
        </row>
        <row r="103">
          <cell r="A103">
            <v>99</v>
          </cell>
          <cell r="B103" t="str">
            <v>2019-03-29</v>
          </cell>
          <cell r="C103" t="str">
            <v>더바른푸드</v>
          </cell>
          <cell r="D103" t="str">
            <v>더바른푸드</v>
          </cell>
          <cell r="E103" t="str">
            <v>일반</v>
          </cell>
          <cell r="F103" t="str">
            <v>입고완료</v>
          </cell>
          <cell r="G103">
            <v>266478</v>
          </cell>
          <cell r="H103" t="str">
            <v>전주제과 수제초코파이(오리지널미니 40g/EA)</v>
          </cell>
          <cell r="I103" t="str">
            <v>BOX</v>
          </cell>
          <cell r="J103">
            <v>1</v>
          </cell>
          <cell r="K103">
            <v>1</v>
          </cell>
          <cell r="L103">
            <v>18800</v>
          </cell>
          <cell r="M103">
            <v>18800</v>
          </cell>
          <cell r="N103">
            <v>1880</v>
          </cell>
          <cell r="O103">
            <v>20680</v>
          </cell>
          <cell r="P103">
            <v>0</v>
          </cell>
          <cell r="Q103" t="str">
            <v/>
          </cell>
          <cell r="R103" t="str">
            <v>냉동</v>
          </cell>
          <cell r="S103" t="str">
            <v>EA(40)</v>
          </cell>
          <cell r="T103" t="str">
            <v/>
          </cell>
          <cell r="U103" t="str">
            <v/>
          </cell>
          <cell r="V103" t="str">
            <v>2019-03-21</v>
          </cell>
          <cell r="W103" t="str">
            <v>2019-03-21 15:31:33</v>
          </cell>
          <cell r="X103" t="str">
            <v>더바른푸드</v>
          </cell>
        </row>
        <row r="104">
          <cell r="A104">
            <v>100</v>
          </cell>
          <cell r="B104" t="str">
            <v>2019-03-29</v>
          </cell>
          <cell r="C104" t="str">
            <v>더바른푸드</v>
          </cell>
          <cell r="D104" t="str">
            <v>더바른푸드</v>
          </cell>
          <cell r="E104" t="str">
            <v>일반</v>
          </cell>
          <cell r="F104" t="str">
            <v>입고완료</v>
          </cell>
          <cell r="G104">
            <v>136633</v>
          </cell>
          <cell r="H104" t="str">
            <v>이오 요구르트(80ml_유기농 80g/EA)</v>
          </cell>
          <cell r="I104" t="str">
            <v>EA</v>
          </cell>
          <cell r="J104">
            <v>73</v>
          </cell>
          <cell r="K104">
            <v>73</v>
          </cell>
          <cell r="L104">
            <v>300</v>
          </cell>
          <cell r="M104">
            <v>21900</v>
          </cell>
          <cell r="N104">
            <v>2190</v>
          </cell>
          <cell r="O104">
            <v>24090</v>
          </cell>
          <cell r="P104">
            <v>0</v>
          </cell>
          <cell r="Q104" t="str">
            <v>한국</v>
          </cell>
          <cell r="R104" t="str">
            <v>냉장</v>
          </cell>
          <cell r="S104" t="str">
            <v>EA(50)</v>
          </cell>
          <cell r="T104" t="str">
            <v/>
          </cell>
          <cell r="U104" t="str">
            <v>빨대 부탁드립니다</v>
          </cell>
          <cell r="V104" t="str">
            <v>2019-03-21</v>
          </cell>
          <cell r="W104" t="str">
            <v>2019-03-21 15:31:33</v>
          </cell>
          <cell r="X104" t="str">
            <v>더바른푸드</v>
          </cell>
        </row>
        <row r="105">
          <cell r="A105">
            <v>101</v>
          </cell>
          <cell r="B105" t="str">
            <v>2019-03-29</v>
          </cell>
          <cell r="C105" t="str">
            <v>더바른푸드</v>
          </cell>
          <cell r="D105" t="str">
            <v>더바른푸드</v>
          </cell>
          <cell r="E105" t="str">
            <v>일반</v>
          </cell>
          <cell r="F105" t="str">
            <v>입고완료</v>
          </cell>
          <cell r="G105">
            <v>122082</v>
          </cell>
          <cell r="H105" t="str">
            <v>빙그레 흰우유(참맛좋은 200g/EA)</v>
          </cell>
          <cell r="I105" t="str">
            <v>EA</v>
          </cell>
          <cell r="J105">
            <v>24</v>
          </cell>
          <cell r="K105">
            <v>24</v>
          </cell>
          <cell r="L105">
            <v>430</v>
          </cell>
          <cell r="M105">
            <v>10320</v>
          </cell>
          <cell r="N105">
            <v>0</v>
          </cell>
          <cell r="O105">
            <v>10320</v>
          </cell>
          <cell r="P105">
            <v>0</v>
          </cell>
          <cell r="Q105" t="str">
            <v>한국</v>
          </cell>
          <cell r="R105" t="str">
            <v>냉장</v>
          </cell>
          <cell r="S105" t="str">
            <v>EA(1)</v>
          </cell>
          <cell r="T105" t="str">
            <v/>
          </cell>
          <cell r="U105" t="str">
            <v/>
          </cell>
          <cell r="V105" t="str">
            <v>2019-03-21</v>
          </cell>
          <cell r="W105" t="str">
            <v>2019-03-21 15:31:34</v>
          </cell>
          <cell r="X105" t="str">
            <v>더바른푸드</v>
          </cell>
        </row>
        <row r="106">
          <cell r="A106">
            <v>102</v>
          </cell>
          <cell r="B106" t="str">
            <v>2019-03-29</v>
          </cell>
          <cell r="C106" t="str">
            <v>더바른푸드</v>
          </cell>
          <cell r="D106" t="str">
            <v>더바른푸드</v>
          </cell>
          <cell r="E106" t="str">
            <v>일반</v>
          </cell>
          <cell r="F106" t="str">
            <v>입고완료</v>
          </cell>
          <cell r="G106">
            <v>160746</v>
          </cell>
          <cell r="H106" t="str">
            <v>서울우유 바나나우유(200ml 200g/EA)</v>
          </cell>
          <cell r="I106" t="str">
            <v>EA</v>
          </cell>
          <cell r="J106">
            <v>143</v>
          </cell>
          <cell r="K106">
            <v>143</v>
          </cell>
          <cell r="L106">
            <v>490</v>
          </cell>
          <cell r="M106">
            <v>70070</v>
          </cell>
          <cell r="N106">
            <v>7007</v>
          </cell>
          <cell r="O106">
            <v>77077</v>
          </cell>
          <cell r="P106">
            <v>0</v>
          </cell>
          <cell r="Q106" t="str">
            <v/>
          </cell>
          <cell r="R106" t="str">
            <v>냉장</v>
          </cell>
          <cell r="S106" t="str">
            <v>EA(1)</v>
          </cell>
          <cell r="T106" t="str">
            <v/>
          </cell>
          <cell r="U106" t="str">
            <v/>
          </cell>
          <cell r="V106" t="str">
            <v>2019-03-21</v>
          </cell>
          <cell r="W106" t="str">
            <v>2019-03-21 15:31:34</v>
          </cell>
          <cell r="X106" t="str">
            <v>더바른푸드</v>
          </cell>
        </row>
        <row r="107">
          <cell r="A107">
            <v>103</v>
          </cell>
          <cell r="B107" t="str">
            <v>2019-03-29</v>
          </cell>
          <cell r="C107" t="str">
            <v>더바른푸드</v>
          </cell>
          <cell r="D107" t="str">
            <v>더바른푸드</v>
          </cell>
          <cell r="E107" t="str">
            <v>일반</v>
          </cell>
          <cell r="F107" t="str">
            <v>입고완료</v>
          </cell>
          <cell r="G107">
            <v>229193</v>
          </cell>
          <cell r="H107" t="str">
            <v>델몬트 조각파인애플(40g*50입 2Kg/EA)</v>
          </cell>
          <cell r="I107" t="str">
            <v>EA</v>
          </cell>
          <cell r="J107">
            <v>2</v>
          </cell>
          <cell r="K107">
            <v>2</v>
          </cell>
          <cell r="L107">
            <v>19590</v>
          </cell>
          <cell r="M107">
            <v>39180</v>
          </cell>
          <cell r="N107">
            <v>0</v>
          </cell>
          <cell r="O107">
            <v>39180</v>
          </cell>
          <cell r="P107">
            <v>0</v>
          </cell>
          <cell r="Q107" t="str">
            <v>필리핀</v>
          </cell>
          <cell r="R107" t="str">
            <v>냉장</v>
          </cell>
          <cell r="S107" t="str">
            <v>EA(1)</v>
          </cell>
          <cell r="T107" t="str">
            <v/>
          </cell>
          <cell r="U107" t="str">
            <v/>
          </cell>
          <cell r="V107" t="str">
            <v>2019-03-21</v>
          </cell>
          <cell r="W107" t="str">
            <v>2019-03-21 15:36:20</v>
          </cell>
          <cell r="X107" t="str">
            <v>더바른푸드</v>
          </cell>
        </row>
        <row r="108">
          <cell r="A108">
            <v>104</v>
          </cell>
          <cell r="B108" t="str">
            <v>2019-03-29</v>
          </cell>
          <cell r="C108" t="str">
            <v>더바른푸드</v>
          </cell>
          <cell r="D108" t="str">
            <v>더바른푸드</v>
          </cell>
          <cell r="E108" t="str">
            <v>일반</v>
          </cell>
          <cell r="F108" t="str">
            <v>입고완료</v>
          </cell>
          <cell r="G108">
            <v>228178</v>
          </cell>
          <cell r="H108" t="str">
            <v>델몬트 조각파인애플(40g/EA)</v>
          </cell>
          <cell r="I108" t="str">
            <v>EA</v>
          </cell>
          <cell r="J108">
            <v>10</v>
          </cell>
          <cell r="K108">
            <v>10</v>
          </cell>
          <cell r="L108">
            <v>550</v>
          </cell>
          <cell r="M108">
            <v>5500</v>
          </cell>
          <cell r="N108">
            <v>0</v>
          </cell>
          <cell r="O108">
            <v>5500</v>
          </cell>
          <cell r="P108">
            <v>0</v>
          </cell>
          <cell r="Q108" t="str">
            <v>필리핀</v>
          </cell>
          <cell r="R108" t="str">
            <v>냉장</v>
          </cell>
          <cell r="S108" t="str">
            <v>EA(1)</v>
          </cell>
          <cell r="T108" t="str">
            <v/>
          </cell>
          <cell r="U108" t="str">
            <v/>
          </cell>
          <cell r="V108" t="str">
            <v>2019-03-21</v>
          </cell>
          <cell r="W108" t="str">
            <v>2019-03-21 15:36:20</v>
          </cell>
          <cell r="X108" t="str">
            <v>더바른푸드</v>
          </cell>
        </row>
        <row r="109">
          <cell r="A109">
            <v>105</v>
          </cell>
          <cell r="B109" t="str">
            <v>2019-03-29</v>
          </cell>
          <cell r="C109" t="str">
            <v>더바른푸드</v>
          </cell>
          <cell r="D109" t="str">
            <v>더바른푸드</v>
          </cell>
          <cell r="E109" t="str">
            <v>일반</v>
          </cell>
          <cell r="F109" t="str">
            <v>입고완료</v>
          </cell>
          <cell r="G109">
            <v>130452</v>
          </cell>
          <cell r="H109" t="str">
            <v>사조오양 스모크햄(즉석 1Kg/EA)</v>
          </cell>
          <cell r="I109" t="str">
            <v>EA</v>
          </cell>
          <cell r="J109">
            <v>8</v>
          </cell>
          <cell r="K109">
            <v>8</v>
          </cell>
          <cell r="L109">
            <v>3650</v>
          </cell>
          <cell r="M109">
            <v>29200</v>
          </cell>
          <cell r="N109">
            <v>2920</v>
          </cell>
          <cell r="O109">
            <v>32120</v>
          </cell>
          <cell r="P109">
            <v>0</v>
          </cell>
          <cell r="Q109" t="str">
            <v/>
          </cell>
          <cell r="R109" t="str">
            <v>냉장</v>
          </cell>
          <cell r="S109" t="str">
            <v>EA(10)</v>
          </cell>
          <cell r="T109" t="str">
            <v/>
          </cell>
          <cell r="U109" t="str">
            <v/>
          </cell>
          <cell r="V109" t="str">
            <v>2019-03-26</v>
          </cell>
          <cell r="W109" t="str">
            <v>2019-03-26 14:58:38</v>
          </cell>
          <cell r="X109" t="str">
            <v>더바른푸드</v>
          </cell>
        </row>
        <row r="110">
          <cell r="A110">
            <v>106</v>
          </cell>
          <cell r="B110" t="str">
            <v>2019-03-29</v>
          </cell>
          <cell r="C110" t="str">
            <v>더바른푸드</v>
          </cell>
          <cell r="D110" t="str">
            <v>더바른푸드</v>
          </cell>
          <cell r="E110" t="str">
            <v>일반</v>
          </cell>
          <cell r="F110" t="str">
            <v>입고완료</v>
          </cell>
          <cell r="G110">
            <v>205745</v>
          </cell>
          <cell r="H110" t="str">
            <v>총알새송이버섯(실속 2Kg/BOX)</v>
          </cell>
          <cell r="I110" t="str">
            <v>BOX</v>
          </cell>
          <cell r="J110">
            <v>1</v>
          </cell>
          <cell r="K110">
            <v>1</v>
          </cell>
          <cell r="L110">
            <v>4720</v>
          </cell>
          <cell r="M110">
            <v>4720</v>
          </cell>
          <cell r="N110">
            <v>0</v>
          </cell>
          <cell r="O110">
            <v>4720</v>
          </cell>
          <cell r="P110">
            <v>0</v>
          </cell>
          <cell r="Q110" t="str">
            <v>한국</v>
          </cell>
          <cell r="R110" t="str">
            <v>냉장</v>
          </cell>
          <cell r="S110" t="str">
            <v>BOX(1)</v>
          </cell>
          <cell r="T110" t="str">
            <v/>
          </cell>
          <cell r="U110" t="str">
            <v/>
          </cell>
          <cell r="V110" t="str">
            <v>2019-03-26</v>
          </cell>
          <cell r="W110" t="str">
            <v>2019-03-26 15:07:40</v>
          </cell>
          <cell r="X110" t="str">
            <v>더바른푸드</v>
          </cell>
        </row>
        <row r="111">
          <cell r="A111">
            <v>107</v>
          </cell>
          <cell r="B111" t="str">
            <v>2019-03-29</v>
          </cell>
          <cell r="C111" t="str">
            <v>더바른푸드</v>
          </cell>
          <cell r="D111" t="str">
            <v>더바른푸드</v>
          </cell>
          <cell r="E111" t="str">
            <v>일반</v>
          </cell>
          <cell r="F111" t="str">
            <v>입고완료</v>
          </cell>
          <cell r="G111">
            <v>211696</v>
          </cell>
          <cell r="H111" t="str">
            <v>건시래기(데친것 KG)</v>
          </cell>
          <cell r="I111" t="str">
            <v>KG</v>
          </cell>
          <cell r="J111">
            <v>10</v>
          </cell>
          <cell r="K111">
            <v>10</v>
          </cell>
          <cell r="L111">
            <v>2850</v>
          </cell>
          <cell r="M111">
            <v>28500</v>
          </cell>
          <cell r="N111">
            <v>0</v>
          </cell>
          <cell r="O111">
            <v>28500</v>
          </cell>
          <cell r="P111">
            <v>0</v>
          </cell>
          <cell r="Q111" t="str">
            <v>한국</v>
          </cell>
          <cell r="R111" t="str">
            <v>냉장</v>
          </cell>
          <cell r="S111" t="str">
            <v>KG(1)</v>
          </cell>
          <cell r="T111" t="str">
            <v/>
          </cell>
          <cell r="U111" t="str">
            <v/>
          </cell>
          <cell r="V111" t="str">
            <v>2019-03-26</v>
          </cell>
          <cell r="W111" t="str">
            <v>2019-03-26 15:13:19</v>
          </cell>
          <cell r="X111" t="str">
            <v>더바른푸드</v>
          </cell>
        </row>
        <row r="112">
          <cell r="A112">
            <v>108</v>
          </cell>
          <cell r="B112" t="str">
            <v>2019-03-29</v>
          </cell>
          <cell r="C112" t="str">
            <v>더바른푸드</v>
          </cell>
          <cell r="D112" t="str">
            <v>더바른푸드</v>
          </cell>
          <cell r="E112" t="str">
            <v>일반</v>
          </cell>
          <cell r="F112" t="str">
            <v>입고완료</v>
          </cell>
          <cell r="G112">
            <v>177623</v>
          </cell>
          <cell r="H112" t="str">
            <v>이츠웰 꽁치캔(1.88Kg/EA)</v>
          </cell>
          <cell r="I112" t="str">
            <v>EA</v>
          </cell>
          <cell r="J112">
            <v>2</v>
          </cell>
          <cell r="K112">
            <v>2</v>
          </cell>
          <cell r="L112">
            <v>8820</v>
          </cell>
          <cell r="M112">
            <v>17640</v>
          </cell>
          <cell r="N112">
            <v>1764</v>
          </cell>
          <cell r="O112">
            <v>19404</v>
          </cell>
          <cell r="P112">
            <v>0</v>
          </cell>
          <cell r="Q112" t="str">
            <v/>
          </cell>
          <cell r="R112" t="str">
            <v>실온</v>
          </cell>
          <cell r="S112" t="str">
            <v>EA(6)</v>
          </cell>
          <cell r="T112" t="str">
            <v/>
          </cell>
          <cell r="U112" t="str">
            <v/>
          </cell>
          <cell r="V112" t="str">
            <v>2019-03-26</v>
          </cell>
          <cell r="W112" t="str">
            <v>2019-03-26 15:15:21</v>
          </cell>
          <cell r="X112" t="str">
            <v>더바른푸드</v>
          </cell>
        </row>
        <row r="113">
          <cell r="A113">
            <v>109</v>
          </cell>
          <cell r="B113" t="str">
            <v>2019-03-29</v>
          </cell>
          <cell r="C113" t="str">
            <v>더바른푸드</v>
          </cell>
          <cell r="D113" t="str">
            <v>더바른푸드</v>
          </cell>
          <cell r="E113" t="str">
            <v>일반</v>
          </cell>
          <cell r="F113" t="str">
            <v>입고완료</v>
          </cell>
          <cell r="G113">
            <v>236048</v>
          </cell>
          <cell r="H113" t="str">
            <v>종가집 묵은지(10Kg/BOX)</v>
          </cell>
          <cell r="I113" t="str">
            <v>BOX</v>
          </cell>
          <cell r="J113">
            <v>1</v>
          </cell>
          <cell r="K113">
            <v>1</v>
          </cell>
          <cell r="L113">
            <v>33860</v>
          </cell>
          <cell r="M113">
            <v>33860</v>
          </cell>
          <cell r="N113">
            <v>0</v>
          </cell>
          <cell r="O113">
            <v>33860</v>
          </cell>
          <cell r="P113">
            <v>0</v>
          </cell>
          <cell r="Q113" t="str">
            <v>한국</v>
          </cell>
          <cell r="R113" t="str">
            <v>냉장</v>
          </cell>
          <cell r="S113" t="str">
            <v>BOX(1)</v>
          </cell>
          <cell r="T113" t="str">
            <v/>
          </cell>
          <cell r="U113" t="str">
            <v/>
          </cell>
          <cell r="V113" t="str">
            <v>2019-03-26</v>
          </cell>
          <cell r="W113" t="str">
            <v>2019-03-26 15:15:21</v>
          </cell>
          <cell r="X113" t="str">
            <v>더바른푸드</v>
          </cell>
        </row>
        <row r="114">
          <cell r="A114">
            <v>110</v>
          </cell>
          <cell r="B114" t="str">
            <v>2019-03-29</v>
          </cell>
          <cell r="C114" t="str">
            <v>더바른푸드</v>
          </cell>
          <cell r="D114" t="str">
            <v>더바른푸드</v>
          </cell>
          <cell r="E114" t="str">
            <v>일반</v>
          </cell>
          <cell r="F114" t="str">
            <v>입고완료</v>
          </cell>
          <cell r="G114">
            <v>201605</v>
          </cell>
          <cell r="H114" t="str">
            <v>마늘쫑(상품 KG)</v>
          </cell>
          <cell r="I114" t="str">
            <v>KG</v>
          </cell>
          <cell r="J114">
            <v>3</v>
          </cell>
          <cell r="K114">
            <v>3</v>
          </cell>
          <cell r="L114">
            <v>4870</v>
          </cell>
          <cell r="M114">
            <v>14610</v>
          </cell>
          <cell r="N114">
            <v>0</v>
          </cell>
          <cell r="O114">
            <v>14610</v>
          </cell>
          <cell r="P114">
            <v>0</v>
          </cell>
          <cell r="Q114" t="str">
            <v>중국</v>
          </cell>
          <cell r="R114" t="str">
            <v>냉장</v>
          </cell>
          <cell r="S114" t="str">
            <v>KG(1)</v>
          </cell>
          <cell r="T114" t="str">
            <v/>
          </cell>
          <cell r="U114" t="str">
            <v/>
          </cell>
          <cell r="V114" t="str">
            <v>2019-03-26</v>
          </cell>
          <cell r="W114" t="str">
            <v>2019-03-26 15:15:21</v>
          </cell>
          <cell r="X114" t="str">
            <v>더바른푸드</v>
          </cell>
        </row>
        <row r="115">
          <cell r="A115">
            <v>111</v>
          </cell>
          <cell r="B115" t="str">
            <v>2019-03-29</v>
          </cell>
          <cell r="C115" t="str">
            <v>더바른푸드</v>
          </cell>
          <cell r="D115" t="str">
            <v>더바른푸드</v>
          </cell>
          <cell r="E115" t="str">
            <v>일반</v>
          </cell>
          <cell r="F115" t="str">
            <v>입고완료</v>
          </cell>
          <cell r="G115">
            <v>312342</v>
          </cell>
          <cell r="H115" t="str">
            <v>냉동굴(깐것_수율90% 1Kg/EA)</v>
          </cell>
          <cell r="I115" t="str">
            <v>EA</v>
          </cell>
          <cell r="J115">
            <v>20</v>
          </cell>
          <cell r="K115">
            <v>20</v>
          </cell>
          <cell r="L115">
            <v>11120</v>
          </cell>
          <cell r="M115">
            <v>222400</v>
          </cell>
          <cell r="N115">
            <v>0</v>
          </cell>
          <cell r="O115">
            <v>222400</v>
          </cell>
          <cell r="P115">
            <v>0</v>
          </cell>
          <cell r="Q115" t="str">
            <v>한국</v>
          </cell>
          <cell r="R115" t="str">
            <v>냉동</v>
          </cell>
          <cell r="S115" t="str">
            <v>EA(10)</v>
          </cell>
          <cell r="T115" t="str">
            <v/>
          </cell>
          <cell r="U115" t="str">
            <v/>
          </cell>
          <cell r="V115" t="str">
            <v>2019-03-27</v>
          </cell>
          <cell r="W115" t="str">
            <v>2019-03-27 13:52:34</v>
          </cell>
          <cell r="X115" t="str">
            <v>더바른푸드</v>
          </cell>
        </row>
        <row r="116">
          <cell r="A116">
            <v>112</v>
          </cell>
          <cell r="B116" t="str">
            <v>2019-03-29</v>
          </cell>
          <cell r="C116" t="str">
            <v>더바른푸드</v>
          </cell>
          <cell r="D116" t="str">
            <v>더바른푸드</v>
          </cell>
          <cell r="E116" t="str">
            <v>일반</v>
          </cell>
          <cell r="F116" t="str">
            <v>입고완료</v>
          </cell>
          <cell r="G116">
            <v>168384</v>
          </cell>
          <cell r="H116" t="str">
            <v>사조대림 사각어묵(알뜰 1Kg/EA)</v>
          </cell>
          <cell r="I116" t="str">
            <v>EA</v>
          </cell>
          <cell r="J116">
            <v>22</v>
          </cell>
          <cell r="K116">
            <v>22</v>
          </cell>
          <cell r="L116">
            <v>2310</v>
          </cell>
          <cell r="M116">
            <v>50820</v>
          </cell>
          <cell r="N116">
            <v>5082</v>
          </cell>
          <cell r="O116">
            <v>55902</v>
          </cell>
          <cell r="P116">
            <v>0</v>
          </cell>
          <cell r="Q116" t="str">
            <v/>
          </cell>
          <cell r="R116" t="str">
            <v>냉장</v>
          </cell>
          <cell r="S116" t="str">
            <v>EA(1)</v>
          </cell>
          <cell r="T116" t="str">
            <v/>
          </cell>
          <cell r="U116" t="str">
            <v/>
          </cell>
          <cell r="V116" t="str">
            <v>2019-03-27</v>
          </cell>
          <cell r="W116" t="str">
            <v>2019-03-27 14:06:41</v>
          </cell>
          <cell r="X116" t="str">
            <v>더바른푸드</v>
          </cell>
        </row>
        <row r="117">
          <cell r="A117">
            <v>113</v>
          </cell>
          <cell r="B117" t="str">
            <v>2019-03-29</v>
          </cell>
          <cell r="C117" t="str">
            <v>더바른푸드</v>
          </cell>
          <cell r="D117" t="str">
            <v>더바른푸드</v>
          </cell>
          <cell r="E117" t="str">
            <v>일반</v>
          </cell>
          <cell r="F117" t="str">
            <v>입고완료</v>
          </cell>
          <cell r="G117">
            <v>159357</v>
          </cell>
          <cell r="H117" t="str">
            <v>이츠웰 칼집쏙쏙비엔나소시지(1Kg/EA)</v>
          </cell>
          <cell r="I117" t="str">
            <v>EA</v>
          </cell>
          <cell r="J117">
            <v>1</v>
          </cell>
          <cell r="K117">
            <v>1</v>
          </cell>
          <cell r="L117">
            <v>5690</v>
          </cell>
          <cell r="M117">
            <v>5690</v>
          </cell>
          <cell r="N117">
            <v>569</v>
          </cell>
          <cell r="O117">
            <v>6259</v>
          </cell>
          <cell r="P117">
            <v>0</v>
          </cell>
          <cell r="Q117" t="str">
            <v/>
          </cell>
          <cell r="R117" t="str">
            <v>냉장</v>
          </cell>
          <cell r="S117" t="str">
            <v>EA(10)</v>
          </cell>
          <cell r="T117" t="str">
            <v/>
          </cell>
          <cell r="U117" t="str">
            <v/>
          </cell>
          <cell r="V117" t="str">
            <v>2019-03-27</v>
          </cell>
          <cell r="W117" t="str">
            <v>2019-03-27 14:10:10</v>
          </cell>
          <cell r="X117" t="str">
            <v>더바른푸드</v>
          </cell>
        </row>
        <row r="118">
          <cell r="A118">
            <v>114</v>
          </cell>
          <cell r="B118" t="str">
            <v>2019-03-29</v>
          </cell>
          <cell r="C118" t="str">
            <v>더바른푸드</v>
          </cell>
          <cell r="D118" t="str">
            <v>더바른푸드</v>
          </cell>
          <cell r="E118" t="str">
            <v>일반</v>
          </cell>
          <cell r="F118" t="str">
            <v>입고완료</v>
          </cell>
          <cell r="G118">
            <v>137737</v>
          </cell>
          <cell r="H118" t="str">
            <v>이츠웰 손만두(실속 28g*50입 1.4Kg/EA)</v>
          </cell>
          <cell r="I118" t="str">
            <v>EA</v>
          </cell>
          <cell r="J118">
            <v>1</v>
          </cell>
          <cell r="K118">
            <v>1</v>
          </cell>
          <cell r="L118">
            <v>4790</v>
          </cell>
          <cell r="M118">
            <v>4790</v>
          </cell>
          <cell r="N118">
            <v>479</v>
          </cell>
          <cell r="O118">
            <v>5269</v>
          </cell>
          <cell r="P118">
            <v>0</v>
          </cell>
          <cell r="Q118" t="str">
            <v/>
          </cell>
          <cell r="R118" t="str">
            <v>냉동</v>
          </cell>
          <cell r="S118" t="str">
            <v>EA(6)</v>
          </cell>
          <cell r="T118" t="str">
            <v/>
          </cell>
          <cell r="U118" t="str">
            <v/>
          </cell>
          <cell r="V118" t="str">
            <v>2019-03-27</v>
          </cell>
          <cell r="W118" t="str">
            <v>2019-03-27 14:16:20</v>
          </cell>
          <cell r="X118" t="str">
            <v>더바른푸드</v>
          </cell>
        </row>
        <row r="119">
          <cell r="A119">
            <v>115</v>
          </cell>
          <cell r="B119" t="str">
            <v>2019-03-29</v>
          </cell>
          <cell r="C119" t="str">
            <v>더바른푸드</v>
          </cell>
          <cell r="D119" t="str">
            <v>더바른푸드</v>
          </cell>
          <cell r="E119" t="str">
            <v>일반</v>
          </cell>
          <cell r="F119" t="str">
            <v>입고완료</v>
          </cell>
          <cell r="G119">
            <v>197123</v>
          </cell>
          <cell r="H119" t="str">
            <v>종가집 깍두기(숙성_2*2cm 10Kg/BOX)</v>
          </cell>
          <cell r="I119" t="str">
            <v>BOX</v>
          </cell>
          <cell r="J119">
            <v>1</v>
          </cell>
          <cell r="K119">
            <v>1</v>
          </cell>
          <cell r="L119">
            <v>33290</v>
          </cell>
          <cell r="M119">
            <v>33290</v>
          </cell>
          <cell r="N119">
            <v>0</v>
          </cell>
          <cell r="O119">
            <v>33290</v>
          </cell>
          <cell r="P119">
            <v>0</v>
          </cell>
          <cell r="Q119" t="str">
            <v>한국</v>
          </cell>
          <cell r="R119" t="str">
            <v>냉장</v>
          </cell>
          <cell r="S119" t="str">
            <v>BOX(1)</v>
          </cell>
          <cell r="T119" t="str">
            <v/>
          </cell>
          <cell r="U119" t="str">
            <v/>
          </cell>
          <cell r="V119" t="str">
            <v>2019-03-27</v>
          </cell>
          <cell r="W119" t="str">
            <v>2019-03-27 14:33:05</v>
          </cell>
          <cell r="X119" t="str">
            <v>더바른푸드</v>
          </cell>
        </row>
        <row r="120">
          <cell r="A120">
            <v>116</v>
          </cell>
          <cell r="B120" t="str">
            <v>2019-03-29</v>
          </cell>
          <cell r="C120" t="str">
            <v>더바른푸드</v>
          </cell>
          <cell r="D120" t="str">
            <v>더바른푸드</v>
          </cell>
          <cell r="E120" t="str">
            <v>일반</v>
          </cell>
          <cell r="F120" t="str">
            <v>입고완료</v>
          </cell>
          <cell r="G120">
            <v>197120</v>
          </cell>
          <cell r="H120" t="str">
            <v>종가집 포기김치(숙성 10Kg/BOX)</v>
          </cell>
          <cell r="I120" t="str">
            <v>BOX</v>
          </cell>
          <cell r="J120">
            <v>8</v>
          </cell>
          <cell r="K120">
            <v>8</v>
          </cell>
          <cell r="L120">
            <v>31390</v>
          </cell>
          <cell r="M120">
            <v>251120</v>
          </cell>
          <cell r="N120">
            <v>0</v>
          </cell>
          <cell r="O120">
            <v>251120</v>
          </cell>
          <cell r="P120">
            <v>0</v>
          </cell>
          <cell r="Q120" t="str">
            <v>한국</v>
          </cell>
          <cell r="R120" t="str">
            <v>냉장</v>
          </cell>
          <cell r="S120" t="str">
            <v>BOX(1)</v>
          </cell>
          <cell r="T120" t="str">
            <v/>
          </cell>
          <cell r="U120" t="str">
            <v/>
          </cell>
          <cell r="V120" t="str">
            <v>2019-03-28</v>
          </cell>
          <cell r="W120" t="str">
            <v>2019-03-28 14:14:02</v>
          </cell>
          <cell r="X120" t="str">
            <v>더바른푸드</v>
          </cell>
        </row>
        <row r="121">
          <cell r="A121">
            <v>117</v>
          </cell>
          <cell r="B121" t="str">
            <v>2019-03-29</v>
          </cell>
          <cell r="C121" t="str">
            <v>더바른푸드</v>
          </cell>
          <cell r="D121" t="str">
            <v>더바른푸드</v>
          </cell>
          <cell r="E121" t="str">
            <v>일반</v>
          </cell>
          <cell r="F121" t="str">
            <v>입고완료</v>
          </cell>
          <cell r="G121">
            <v>168259</v>
          </cell>
          <cell r="H121" t="str">
            <v>명품 순두부(1Kg/EA)</v>
          </cell>
          <cell r="I121" t="str">
            <v>EA</v>
          </cell>
          <cell r="J121">
            <v>8</v>
          </cell>
          <cell r="K121">
            <v>8</v>
          </cell>
          <cell r="L121">
            <v>940</v>
          </cell>
          <cell r="M121">
            <v>7520</v>
          </cell>
          <cell r="N121">
            <v>0</v>
          </cell>
          <cell r="O121">
            <v>7520</v>
          </cell>
          <cell r="P121">
            <v>0</v>
          </cell>
          <cell r="Q121" t="str">
            <v>수입산</v>
          </cell>
          <cell r="R121" t="str">
            <v>냉장</v>
          </cell>
          <cell r="S121" t="str">
            <v>EA(1)</v>
          </cell>
          <cell r="T121" t="str">
            <v/>
          </cell>
          <cell r="U121" t="str">
            <v/>
          </cell>
          <cell r="V121" t="str">
            <v>2019-03-28</v>
          </cell>
          <cell r="W121" t="str">
            <v>2019-03-28 14:29:06</v>
          </cell>
          <cell r="X121" t="str">
            <v>더바른푸드</v>
          </cell>
        </row>
        <row r="122">
          <cell r="A122">
            <v>118</v>
          </cell>
          <cell r="B122" t="str">
            <v>2019-03-29</v>
          </cell>
          <cell r="C122" t="str">
            <v>더바른푸드</v>
          </cell>
          <cell r="D122" t="str">
            <v>더바른푸드</v>
          </cell>
          <cell r="E122" t="str">
            <v>일반</v>
          </cell>
          <cell r="F122" t="str">
            <v>입고완료</v>
          </cell>
          <cell r="G122">
            <v>246968</v>
          </cell>
          <cell r="H122" t="str">
            <v>하선정 멸치액젓(논산_알뜰형 9Kg/EA)</v>
          </cell>
          <cell r="I122" t="str">
            <v>EA</v>
          </cell>
          <cell r="J122">
            <v>2</v>
          </cell>
          <cell r="K122">
            <v>2</v>
          </cell>
          <cell r="L122">
            <v>16480</v>
          </cell>
          <cell r="M122">
            <v>32960</v>
          </cell>
          <cell r="N122">
            <v>3296</v>
          </cell>
          <cell r="O122">
            <v>36256</v>
          </cell>
          <cell r="P122">
            <v>0</v>
          </cell>
          <cell r="Q122" t="str">
            <v/>
          </cell>
          <cell r="R122" t="str">
            <v>실온</v>
          </cell>
          <cell r="S122" t="str">
            <v>EA(1)</v>
          </cell>
          <cell r="T122" t="str">
            <v/>
          </cell>
          <cell r="U122" t="str">
            <v/>
          </cell>
          <cell r="V122" t="str">
            <v>2019-03-28</v>
          </cell>
          <cell r="W122" t="str">
            <v>2019-03-28 14:29:43</v>
          </cell>
          <cell r="X122" t="str">
            <v>더바른푸드</v>
          </cell>
        </row>
        <row r="123">
          <cell r="A123">
            <v>119</v>
          </cell>
          <cell r="B123" t="str">
            <v>2019-03-28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A124">
            <v>120</v>
          </cell>
          <cell r="B124" t="str">
            <v>2019-03-28</v>
          </cell>
          <cell r="C124" t="str">
            <v>더바른푸드</v>
          </cell>
          <cell r="D124" t="str">
            <v>더바른푸드</v>
          </cell>
          <cell r="E124" t="str">
            <v>일반</v>
          </cell>
          <cell r="F124" t="str">
            <v>입고완료</v>
          </cell>
          <cell r="G124">
            <v>139406</v>
          </cell>
          <cell r="H124" t="str">
            <v>빠니니 치즈케익(사각_25g*40입 1Kg/EA)</v>
          </cell>
          <cell r="I124" t="str">
            <v>EA</v>
          </cell>
          <cell r="J124">
            <v>8</v>
          </cell>
          <cell r="K124">
            <v>8</v>
          </cell>
          <cell r="L124">
            <v>16250</v>
          </cell>
          <cell r="M124">
            <v>130000</v>
          </cell>
          <cell r="N124">
            <v>13000</v>
          </cell>
          <cell r="O124">
            <v>143000</v>
          </cell>
          <cell r="P124">
            <v>0</v>
          </cell>
          <cell r="Q124" t="str">
            <v/>
          </cell>
          <cell r="R124" t="str">
            <v>냉동</v>
          </cell>
          <cell r="S124" t="str">
            <v>EA(1)</v>
          </cell>
          <cell r="T124" t="str">
            <v/>
          </cell>
          <cell r="U124" t="str">
            <v/>
          </cell>
          <cell r="V124" t="str">
            <v>2019-03-21</v>
          </cell>
          <cell r="W124" t="str">
            <v>2019-03-21 15:25:54</v>
          </cell>
          <cell r="X124" t="str">
            <v>더바른푸드</v>
          </cell>
        </row>
        <row r="125">
          <cell r="A125">
            <v>121</v>
          </cell>
          <cell r="B125" t="str">
            <v>2019-03-28</v>
          </cell>
          <cell r="C125" t="str">
            <v>더바른푸드</v>
          </cell>
          <cell r="D125" t="str">
            <v>더바른푸드</v>
          </cell>
          <cell r="E125" t="str">
            <v>일반</v>
          </cell>
          <cell r="F125" t="str">
            <v>입고완료</v>
          </cell>
          <cell r="G125">
            <v>122082</v>
          </cell>
          <cell r="H125" t="str">
            <v>빙그레 흰우유(참맛좋은 200g/EA)</v>
          </cell>
          <cell r="I125" t="str">
            <v>EA</v>
          </cell>
          <cell r="J125">
            <v>173</v>
          </cell>
          <cell r="K125">
            <v>173</v>
          </cell>
          <cell r="L125">
            <v>430</v>
          </cell>
          <cell r="M125">
            <v>74390</v>
          </cell>
          <cell r="N125">
            <v>0</v>
          </cell>
          <cell r="O125">
            <v>74390</v>
          </cell>
          <cell r="P125">
            <v>0</v>
          </cell>
          <cell r="Q125" t="str">
            <v>한국</v>
          </cell>
          <cell r="R125" t="str">
            <v>냉장</v>
          </cell>
          <cell r="S125" t="str">
            <v>EA(1)</v>
          </cell>
          <cell r="T125" t="str">
            <v/>
          </cell>
          <cell r="U125" t="str">
            <v/>
          </cell>
          <cell r="V125" t="str">
            <v>2019-03-21</v>
          </cell>
          <cell r="W125" t="str">
            <v>2019-03-21 15:25:54</v>
          </cell>
          <cell r="X125" t="str">
            <v>더바른푸드</v>
          </cell>
        </row>
        <row r="126">
          <cell r="A126">
            <v>122</v>
          </cell>
          <cell r="B126" t="str">
            <v>2019-03-28</v>
          </cell>
          <cell r="C126" t="str">
            <v>더바른푸드</v>
          </cell>
          <cell r="D126" t="str">
            <v>더바른푸드</v>
          </cell>
          <cell r="E126" t="str">
            <v>일반</v>
          </cell>
          <cell r="F126" t="str">
            <v>입고완료</v>
          </cell>
          <cell r="G126">
            <v>165129</v>
          </cell>
          <cell r="H126" t="str">
            <v>쉐프솔루션 비비고도톰동그랑땡(1Kg/EA)</v>
          </cell>
          <cell r="I126" t="str">
            <v>EA</v>
          </cell>
          <cell r="J126">
            <v>62</v>
          </cell>
          <cell r="K126">
            <v>62</v>
          </cell>
          <cell r="L126">
            <v>7100</v>
          </cell>
          <cell r="M126">
            <v>440200</v>
          </cell>
          <cell r="N126">
            <v>44020</v>
          </cell>
          <cell r="O126">
            <v>484220</v>
          </cell>
          <cell r="P126">
            <v>0</v>
          </cell>
          <cell r="Q126" t="str">
            <v/>
          </cell>
          <cell r="R126" t="str">
            <v>냉동</v>
          </cell>
          <cell r="S126" t="str">
            <v>EA(6)</v>
          </cell>
          <cell r="T126" t="str">
            <v/>
          </cell>
          <cell r="U126" t="str">
            <v/>
          </cell>
          <cell r="V126" t="str">
            <v>2019-03-25</v>
          </cell>
          <cell r="W126" t="str">
            <v>2019-03-25 14:35:04</v>
          </cell>
          <cell r="X126" t="str">
            <v>더바른푸드</v>
          </cell>
        </row>
        <row r="127">
          <cell r="A127">
            <v>123</v>
          </cell>
          <cell r="B127" t="str">
            <v>2019-03-28</v>
          </cell>
          <cell r="C127" t="str">
            <v>더바른푸드</v>
          </cell>
          <cell r="D127" t="str">
            <v>더바른푸드</v>
          </cell>
          <cell r="E127" t="str">
            <v>일반</v>
          </cell>
          <cell r="F127" t="str">
            <v>입고완료</v>
          </cell>
          <cell r="G127">
            <v>175493</v>
          </cell>
          <cell r="H127" t="str">
            <v>덴마크 흰우유(1L_클래식 1Kg/EA)</v>
          </cell>
          <cell r="I127" t="str">
            <v>EA</v>
          </cell>
          <cell r="J127">
            <v>4</v>
          </cell>
          <cell r="K127">
            <v>4</v>
          </cell>
          <cell r="L127">
            <v>1940</v>
          </cell>
          <cell r="M127">
            <v>7760</v>
          </cell>
          <cell r="N127">
            <v>0</v>
          </cell>
          <cell r="O127">
            <v>7760</v>
          </cell>
          <cell r="P127">
            <v>0</v>
          </cell>
          <cell r="Q127" t="str">
            <v>한국</v>
          </cell>
          <cell r="R127" t="str">
            <v>냉장</v>
          </cell>
          <cell r="S127" t="str">
            <v>EA(1)</v>
          </cell>
          <cell r="T127" t="str">
            <v/>
          </cell>
          <cell r="U127" t="str">
            <v/>
          </cell>
          <cell r="V127" t="str">
            <v>2019-03-25</v>
          </cell>
          <cell r="W127" t="str">
            <v>2019-03-25 14:41:57</v>
          </cell>
          <cell r="X127" t="str">
            <v>더바른푸드</v>
          </cell>
        </row>
        <row r="128">
          <cell r="A128">
            <v>124</v>
          </cell>
          <cell r="B128" t="str">
            <v>2019-03-28</v>
          </cell>
          <cell r="C128" t="str">
            <v>더바른푸드</v>
          </cell>
          <cell r="D128" t="str">
            <v>더바른푸드</v>
          </cell>
          <cell r="E128" t="str">
            <v>일반</v>
          </cell>
          <cell r="F128" t="str">
            <v>입고완료</v>
          </cell>
          <cell r="G128">
            <v>159994</v>
          </cell>
          <cell r="H128" t="str">
            <v>반찬단지 콩자반(NEW 1Kg/EA)</v>
          </cell>
          <cell r="I128" t="str">
            <v>EA</v>
          </cell>
          <cell r="J128">
            <v>7</v>
          </cell>
          <cell r="K128">
            <v>7</v>
          </cell>
          <cell r="L128">
            <v>3760</v>
          </cell>
          <cell r="M128">
            <v>26320</v>
          </cell>
          <cell r="N128">
            <v>2632</v>
          </cell>
          <cell r="O128">
            <v>28952</v>
          </cell>
          <cell r="P128">
            <v>0</v>
          </cell>
          <cell r="Q128" t="str">
            <v>중국</v>
          </cell>
          <cell r="R128" t="str">
            <v>냉장</v>
          </cell>
          <cell r="S128" t="str">
            <v>EA(10)</v>
          </cell>
          <cell r="T128" t="str">
            <v/>
          </cell>
          <cell r="U128" t="str">
            <v/>
          </cell>
          <cell r="V128" t="str">
            <v>2019-03-25</v>
          </cell>
          <cell r="W128" t="str">
            <v>2019-03-25 14:47:41</v>
          </cell>
          <cell r="X128" t="str">
            <v>더바른푸드</v>
          </cell>
        </row>
        <row r="129">
          <cell r="A129">
            <v>125</v>
          </cell>
          <cell r="B129" t="str">
            <v>2019-03-28</v>
          </cell>
          <cell r="C129" t="str">
            <v>더바른푸드</v>
          </cell>
          <cell r="D129" t="str">
            <v>더바른푸드</v>
          </cell>
          <cell r="E129" t="str">
            <v>일반</v>
          </cell>
          <cell r="F129" t="str">
            <v>입고완료</v>
          </cell>
          <cell r="G129">
            <v>310704</v>
          </cell>
          <cell r="H129" t="str">
            <v>프레시웨이 세멸치(상품 볶음용 1Kg/EA)</v>
          </cell>
          <cell r="I129" t="str">
            <v>EA</v>
          </cell>
          <cell r="J129">
            <v>2</v>
          </cell>
          <cell r="K129">
            <v>2</v>
          </cell>
          <cell r="L129">
            <v>18880</v>
          </cell>
          <cell r="M129">
            <v>37760</v>
          </cell>
          <cell r="N129">
            <v>0</v>
          </cell>
          <cell r="O129">
            <v>37760</v>
          </cell>
          <cell r="P129">
            <v>0</v>
          </cell>
          <cell r="Q129" t="str">
            <v>한국</v>
          </cell>
          <cell r="R129" t="str">
            <v>냉장</v>
          </cell>
          <cell r="S129" t="str">
            <v>EA(10)</v>
          </cell>
          <cell r="T129" t="str">
            <v/>
          </cell>
          <cell r="U129" t="str">
            <v/>
          </cell>
          <cell r="V129" t="str">
            <v>2019-03-25</v>
          </cell>
          <cell r="W129" t="str">
            <v>2019-03-25 14:47:41</v>
          </cell>
          <cell r="X129" t="str">
            <v>더바른푸드</v>
          </cell>
        </row>
        <row r="130">
          <cell r="A130">
            <v>126</v>
          </cell>
          <cell r="B130" t="str">
            <v>2019-03-28</v>
          </cell>
          <cell r="C130" t="str">
            <v>더바른푸드</v>
          </cell>
          <cell r="D130" t="str">
            <v>더바른푸드</v>
          </cell>
          <cell r="E130" t="str">
            <v>일반</v>
          </cell>
          <cell r="F130" t="str">
            <v>입고완료</v>
          </cell>
          <cell r="G130">
            <v>400546</v>
          </cell>
          <cell r="H130" t="str">
            <v>통닭(1.2kg±50g/마리_껍질있음 1.2Kg/EA)</v>
          </cell>
          <cell r="I130" t="str">
            <v>EA</v>
          </cell>
          <cell r="J130">
            <v>20</v>
          </cell>
          <cell r="K130">
            <v>20</v>
          </cell>
          <cell r="L130">
            <v>4720</v>
          </cell>
          <cell r="M130">
            <v>94400</v>
          </cell>
          <cell r="N130">
            <v>0</v>
          </cell>
          <cell r="O130">
            <v>94400</v>
          </cell>
          <cell r="P130">
            <v>0</v>
          </cell>
          <cell r="Q130" t="str">
            <v>한국</v>
          </cell>
          <cell r="R130" t="str">
            <v>냉장</v>
          </cell>
          <cell r="S130" t="str">
            <v>EA(1)</v>
          </cell>
          <cell r="T130" t="str">
            <v/>
          </cell>
          <cell r="U130" t="str">
            <v/>
          </cell>
          <cell r="V130" t="str">
            <v>2019-03-26</v>
          </cell>
          <cell r="W130" t="str">
            <v>2019-03-26 14:33:14</v>
          </cell>
          <cell r="X130" t="str">
            <v>더바른푸드</v>
          </cell>
        </row>
        <row r="131">
          <cell r="A131">
            <v>127</v>
          </cell>
          <cell r="B131" t="str">
            <v>2019-03-28</v>
          </cell>
          <cell r="C131" t="str">
            <v>더바른푸드</v>
          </cell>
          <cell r="D131" t="str">
            <v>더바른푸드</v>
          </cell>
          <cell r="E131" t="str">
            <v>일반</v>
          </cell>
          <cell r="F131" t="str">
            <v>입고완료</v>
          </cell>
          <cell r="G131">
            <v>410393</v>
          </cell>
          <cell r="H131" t="str">
            <v>체리부로 닭안심(무항생_깍둑썰기 KG)</v>
          </cell>
          <cell r="I131" t="str">
            <v>KG</v>
          </cell>
          <cell r="J131">
            <v>2</v>
          </cell>
          <cell r="K131">
            <v>2</v>
          </cell>
          <cell r="L131">
            <v>6230</v>
          </cell>
          <cell r="M131">
            <v>12460</v>
          </cell>
          <cell r="N131">
            <v>0</v>
          </cell>
          <cell r="O131">
            <v>12460</v>
          </cell>
          <cell r="P131">
            <v>12460</v>
          </cell>
          <cell r="Q131" t="str">
            <v>한국</v>
          </cell>
          <cell r="R131" t="str">
            <v>냉장</v>
          </cell>
          <cell r="S131" t="str">
            <v>KG(1)</v>
          </cell>
          <cell r="T131" t="str">
            <v/>
          </cell>
          <cell r="U131" t="str">
            <v/>
          </cell>
          <cell r="V131" t="str">
            <v>2019-03-26</v>
          </cell>
          <cell r="W131" t="str">
            <v>2019-03-26 14:33:14</v>
          </cell>
          <cell r="X131" t="str">
            <v>더바른푸드</v>
          </cell>
        </row>
        <row r="132">
          <cell r="A132">
            <v>128</v>
          </cell>
          <cell r="B132" t="str">
            <v>2019-03-28</v>
          </cell>
          <cell r="C132" t="str">
            <v>더바른푸드</v>
          </cell>
          <cell r="D132" t="str">
            <v>더바른푸드</v>
          </cell>
          <cell r="E132" t="str">
            <v>일반</v>
          </cell>
          <cell r="F132" t="str">
            <v>입고완료</v>
          </cell>
          <cell r="G132">
            <v>114264</v>
          </cell>
          <cell r="H132" t="str">
            <v>동성식품 한입쌀떡볶이떡(1Kg/EA)</v>
          </cell>
          <cell r="I132" t="str">
            <v>EA</v>
          </cell>
          <cell r="J132">
            <v>41</v>
          </cell>
          <cell r="K132">
            <v>41</v>
          </cell>
          <cell r="L132">
            <v>1340</v>
          </cell>
          <cell r="M132">
            <v>54940</v>
          </cell>
          <cell r="N132">
            <v>5494</v>
          </cell>
          <cell r="O132">
            <v>60434</v>
          </cell>
          <cell r="P132">
            <v>0</v>
          </cell>
          <cell r="Q132" t="str">
            <v>수입산</v>
          </cell>
          <cell r="R132" t="str">
            <v>냉장</v>
          </cell>
          <cell r="S132" t="str">
            <v>EA(1)</v>
          </cell>
          <cell r="T132" t="str">
            <v/>
          </cell>
          <cell r="U132" t="str">
            <v/>
          </cell>
          <cell r="V132" t="str">
            <v>2019-03-26</v>
          </cell>
          <cell r="W132" t="str">
            <v>2019-03-26 14:39:48</v>
          </cell>
          <cell r="X132" t="str">
            <v>더바른푸드</v>
          </cell>
        </row>
        <row r="133">
          <cell r="A133">
            <v>129</v>
          </cell>
          <cell r="B133" t="str">
            <v>2019-03-28</v>
          </cell>
          <cell r="C133" t="str">
            <v>더바른푸드</v>
          </cell>
          <cell r="D133" t="str">
            <v>더바른푸드</v>
          </cell>
          <cell r="E133" t="str">
            <v>일반</v>
          </cell>
          <cell r="F133" t="str">
            <v>입고완료</v>
          </cell>
          <cell r="G133">
            <v>143422</v>
          </cell>
          <cell r="H133" t="str">
            <v>이츠웰 순두부(1Kg/EA)</v>
          </cell>
          <cell r="I133" t="str">
            <v>EA</v>
          </cell>
          <cell r="J133">
            <v>30</v>
          </cell>
          <cell r="K133">
            <v>30</v>
          </cell>
          <cell r="L133">
            <v>800</v>
          </cell>
          <cell r="M133">
            <v>24000</v>
          </cell>
          <cell r="N133">
            <v>0</v>
          </cell>
          <cell r="O133">
            <v>24000</v>
          </cell>
          <cell r="P133">
            <v>0</v>
          </cell>
          <cell r="Q133" t="str">
            <v>외국산</v>
          </cell>
          <cell r="R133" t="str">
            <v>냉장</v>
          </cell>
          <cell r="S133" t="str">
            <v>EA(1)</v>
          </cell>
          <cell r="T133" t="str">
            <v/>
          </cell>
          <cell r="U133" t="str">
            <v/>
          </cell>
          <cell r="V133" t="str">
            <v>2019-03-26</v>
          </cell>
          <cell r="W133" t="str">
            <v>2019-03-26 14:44:10</v>
          </cell>
          <cell r="X133" t="str">
            <v>더바른푸드</v>
          </cell>
        </row>
        <row r="134">
          <cell r="A134">
            <v>130</v>
          </cell>
          <cell r="B134" t="str">
            <v>2019-03-28</v>
          </cell>
          <cell r="C134" t="str">
            <v>더바른푸드</v>
          </cell>
          <cell r="D134" t="str">
            <v>더바른푸드</v>
          </cell>
          <cell r="E134" t="str">
            <v>일반</v>
          </cell>
          <cell r="F134" t="str">
            <v>입고완료</v>
          </cell>
          <cell r="G134">
            <v>228649</v>
          </cell>
          <cell r="H134" t="str">
            <v>가자미(내장제거_50~70g/토막 절단 KG)</v>
          </cell>
          <cell r="I134" t="str">
            <v>KG</v>
          </cell>
          <cell r="J134">
            <v>3</v>
          </cell>
          <cell r="K134">
            <v>3</v>
          </cell>
          <cell r="L134">
            <v>6230</v>
          </cell>
          <cell r="M134">
            <v>18690</v>
          </cell>
          <cell r="N134">
            <v>0</v>
          </cell>
          <cell r="O134">
            <v>18690</v>
          </cell>
          <cell r="P134">
            <v>0</v>
          </cell>
          <cell r="Q134" t="str">
            <v>러시아</v>
          </cell>
          <cell r="R134" t="str">
            <v>냉동</v>
          </cell>
          <cell r="S134" t="str">
            <v>KG(1)</v>
          </cell>
          <cell r="T134" t="str">
            <v/>
          </cell>
          <cell r="U134" t="str">
            <v/>
          </cell>
          <cell r="V134" t="str">
            <v>2019-03-26</v>
          </cell>
          <cell r="W134" t="str">
            <v>2019-03-26 15:15:44</v>
          </cell>
          <cell r="X134" t="str">
            <v>더바른푸드</v>
          </cell>
        </row>
        <row r="135">
          <cell r="A135">
            <v>131</v>
          </cell>
          <cell r="B135" t="str">
            <v>2019-03-28</v>
          </cell>
          <cell r="C135" t="str">
            <v>더바른푸드</v>
          </cell>
          <cell r="D135" t="str">
            <v>더바른푸드</v>
          </cell>
          <cell r="E135" t="str">
            <v>일반</v>
          </cell>
          <cell r="F135" t="str">
            <v>입고완료</v>
          </cell>
          <cell r="G135">
            <v>317997</v>
          </cell>
          <cell r="H135" t="str">
            <v>바지락살(자숙_100/200 250g/EA)</v>
          </cell>
          <cell r="I135" t="str">
            <v>EA</v>
          </cell>
          <cell r="J135">
            <v>6</v>
          </cell>
          <cell r="K135">
            <v>6</v>
          </cell>
          <cell r="L135">
            <v>1200</v>
          </cell>
          <cell r="M135">
            <v>7200</v>
          </cell>
          <cell r="N135">
            <v>720</v>
          </cell>
          <cell r="O135">
            <v>7920</v>
          </cell>
          <cell r="P135">
            <v>0</v>
          </cell>
          <cell r="Q135" t="str">
            <v>중국</v>
          </cell>
          <cell r="R135" t="str">
            <v>냉동</v>
          </cell>
          <cell r="S135" t="str">
            <v>EA(10)</v>
          </cell>
          <cell r="T135" t="str">
            <v/>
          </cell>
          <cell r="U135" t="str">
            <v/>
          </cell>
          <cell r="V135" t="str">
            <v>2019-03-27</v>
          </cell>
          <cell r="W135" t="str">
            <v>2019-03-27 13:50:25</v>
          </cell>
          <cell r="X135" t="str">
            <v>더바른푸드</v>
          </cell>
        </row>
        <row r="136">
          <cell r="A136">
            <v>132</v>
          </cell>
          <cell r="B136" t="str">
            <v>2019-03-28</v>
          </cell>
          <cell r="C136" t="str">
            <v>더바른푸드</v>
          </cell>
          <cell r="D136" t="str">
            <v>더바른푸드</v>
          </cell>
          <cell r="E136" t="str">
            <v>일반</v>
          </cell>
          <cell r="F136" t="str">
            <v>입고완료</v>
          </cell>
          <cell r="G136">
            <v>247824</v>
          </cell>
          <cell r="H136" t="str">
            <v>주일 건다시마(실속 1Kg/EA)</v>
          </cell>
          <cell r="I136" t="str">
            <v>EA</v>
          </cell>
          <cell r="J136">
            <v>1</v>
          </cell>
          <cell r="K136">
            <v>1</v>
          </cell>
          <cell r="L136">
            <v>9300</v>
          </cell>
          <cell r="M136">
            <v>9300</v>
          </cell>
          <cell r="N136">
            <v>0</v>
          </cell>
          <cell r="O136">
            <v>9300</v>
          </cell>
          <cell r="P136">
            <v>0</v>
          </cell>
          <cell r="Q136" t="str">
            <v>한국</v>
          </cell>
          <cell r="R136" t="str">
            <v>실온</v>
          </cell>
          <cell r="S136" t="str">
            <v>EA(20)</v>
          </cell>
          <cell r="T136" t="str">
            <v/>
          </cell>
          <cell r="U136" t="str">
            <v/>
          </cell>
          <cell r="V136" t="str">
            <v>2019-03-27</v>
          </cell>
          <cell r="W136" t="str">
            <v>2019-03-27 14:30:09</v>
          </cell>
          <cell r="X136" t="str">
            <v>더바른푸드</v>
          </cell>
        </row>
        <row r="137">
          <cell r="A137">
            <v>133</v>
          </cell>
          <cell r="B137" t="str">
            <v>2019-03-28</v>
          </cell>
          <cell r="C137" t="str">
            <v>더바른푸드</v>
          </cell>
          <cell r="D137" t="str">
            <v>더바른푸드</v>
          </cell>
          <cell r="E137" t="str">
            <v>일반</v>
          </cell>
          <cell r="F137" t="str">
            <v>입고완료</v>
          </cell>
          <cell r="G137">
            <v>135245</v>
          </cell>
          <cell r="H137" t="str">
            <v>염전하늘 천일염(탈수 10Kg/EA)</v>
          </cell>
          <cell r="I137" t="str">
            <v>EA</v>
          </cell>
          <cell r="J137">
            <v>1</v>
          </cell>
          <cell r="K137">
            <v>1</v>
          </cell>
          <cell r="L137">
            <v>9240</v>
          </cell>
          <cell r="M137">
            <v>9240</v>
          </cell>
          <cell r="N137">
            <v>0</v>
          </cell>
          <cell r="O137">
            <v>9240</v>
          </cell>
          <cell r="P137">
            <v>0</v>
          </cell>
          <cell r="Q137" t="str">
            <v/>
          </cell>
          <cell r="R137" t="str">
            <v>실온</v>
          </cell>
          <cell r="S137" t="str">
            <v>EA(10)</v>
          </cell>
          <cell r="T137" t="str">
            <v/>
          </cell>
          <cell r="U137" t="str">
            <v/>
          </cell>
          <cell r="V137" t="str">
            <v>2019-03-27</v>
          </cell>
          <cell r="W137" t="str">
            <v>2019-03-27 14:30:31</v>
          </cell>
          <cell r="X137" t="str">
            <v>더바른푸드</v>
          </cell>
        </row>
        <row r="138">
          <cell r="A138">
            <v>134</v>
          </cell>
          <cell r="B138" t="str">
            <v>2019-03-28</v>
          </cell>
          <cell r="C138" t="str">
            <v>더바른푸드</v>
          </cell>
          <cell r="D138" t="str">
            <v>더바른푸드</v>
          </cell>
          <cell r="E138" t="str">
            <v>일반</v>
          </cell>
          <cell r="F138" t="str">
            <v>입고완료</v>
          </cell>
          <cell r="G138">
            <v>105943</v>
          </cell>
          <cell r="H138" t="str">
            <v>대상 재래된장(지함_재래식숙성 14Kg/EA)</v>
          </cell>
          <cell r="I138" t="str">
            <v>EA</v>
          </cell>
          <cell r="J138">
            <v>1</v>
          </cell>
          <cell r="K138">
            <v>1</v>
          </cell>
          <cell r="L138">
            <v>25020</v>
          </cell>
          <cell r="M138">
            <v>25020</v>
          </cell>
          <cell r="N138">
            <v>2502</v>
          </cell>
          <cell r="O138">
            <v>27522</v>
          </cell>
          <cell r="P138">
            <v>0</v>
          </cell>
          <cell r="Q138" t="str">
            <v/>
          </cell>
          <cell r="R138" t="str">
            <v>실온</v>
          </cell>
          <cell r="S138" t="str">
            <v>EA(1)</v>
          </cell>
          <cell r="T138" t="str">
            <v/>
          </cell>
          <cell r="U138" t="str">
            <v/>
          </cell>
          <cell r="V138" t="str">
            <v>2019-03-27</v>
          </cell>
          <cell r="W138" t="str">
            <v>2019-03-27 14:56:44</v>
          </cell>
          <cell r="X138" t="str">
            <v>더바른푸드</v>
          </cell>
        </row>
        <row r="139">
          <cell r="A139">
            <v>135</v>
          </cell>
          <cell r="B139" t="str">
            <v>2019-03-28</v>
          </cell>
          <cell r="C139" t="str">
            <v>더바른푸드</v>
          </cell>
          <cell r="D139" t="str">
            <v>더바른푸드</v>
          </cell>
          <cell r="E139" t="str">
            <v>일반</v>
          </cell>
          <cell r="F139" t="str">
            <v>입고완료</v>
          </cell>
          <cell r="G139">
            <v>138570</v>
          </cell>
          <cell r="H139" t="str">
            <v>면사랑 멸치육수(1.8L_보급형 1.8Kg/EA)</v>
          </cell>
          <cell r="I139" t="str">
            <v>EA</v>
          </cell>
          <cell r="J139">
            <v>12</v>
          </cell>
          <cell r="K139">
            <v>12</v>
          </cell>
          <cell r="L139">
            <v>6770</v>
          </cell>
          <cell r="M139">
            <v>81240</v>
          </cell>
          <cell r="N139">
            <v>8124</v>
          </cell>
          <cell r="O139">
            <v>89364</v>
          </cell>
          <cell r="P139">
            <v>0</v>
          </cell>
          <cell r="Q139" t="str">
            <v/>
          </cell>
          <cell r="R139" t="str">
            <v>실온</v>
          </cell>
          <cell r="S139" t="str">
            <v>EA(6)</v>
          </cell>
          <cell r="T139" t="str">
            <v/>
          </cell>
          <cell r="U139" t="str">
            <v/>
          </cell>
          <cell r="V139" t="str">
            <v>2019-03-27</v>
          </cell>
          <cell r="W139" t="str">
            <v>2019-03-27 14:56:44</v>
          </cell>
          <cell r="X139" t="str">
            <v>더바른푸드</v>
          </cell>
        </row>
        <row r="140">
          <cell r="A140">
            <v>136</v>
          </cell>
          <cell r="B140" t="str">
            <v>2019-03-27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A141">
            <v>137</v>
          </cell>
          <cell r="B141" t="str">
            <v>2019-03-27</v>
          </cell>
          <cell r="C141" t="str">
            <v>더바른푸드</v>
          </cell>
          <cell r="D141" t="str">
            <v>더바른푸드</v>
          </cell>
          <cell r="E141" t="str">
            <v>일반</v>
          </cell>
          <cell r="F141" t="str">
            <v>입고완료</v>
          </cell>
          <cell r="G141">
            <v>270329</v>
          </cell>
          <cell r="H141" t="str">
            <v>안흥식품 할매쌀찐빵(60g내외*16입 960g/EA)</v>
          </cell>
          <cell r="I141" t="str">
            <v>EA</v>
          </cell>
          <cell r="J141">
            <v>19</v>
          </cell>
          <cell r="K141">
            <v>19</v>
          </cell>
          <cell r="L141">
            <v>4480</v>
          </cell>
          <cell r="M141">
            <v>85120</v>
          </cell>
          <cell r="N141">
            <v>8512</v>
          </cell>
          <cell r="O141">
            <v>93632</v>
          </cell>
          <cell r="P141">
            <v>0</v>
          </cell>
          <cell r="Q141" t="str">
            <v/>
          </cell>
          <cell r="R141" t="str">
            <v>냉동</v>
          </cell>
          <cell r="S141" t="str">
            <v>EA(8)</v>
          </cell>
          <cell r="T141" t="str">
            <v/>
          </cell>
          <cell r="U141" t="str">
            <v/>
          </cell>
          <cell r="V141" t="str">
            <v>2019-03-21</v>
          </cell>
          <cell r="W141" t="str">
            <v>2019-03-21 15:13:24</v>
          </cell>
          <cell r="X141" t="str">
            <v>더바른푸드</v>
          </cell>
        </row>
        <row r="142">
          <cell r="A142">
            <v>138</v>
          </cell>
          <cell r="B142" t="str">
            <v>2019-03-27</v>
          </cell>
          <cell r="C142" t="str">
            <v>더바른푸드</v>
          </cell>
          <cell r="D142" t="str">
            <v>더바른푸드</v>
          </cell>
          <cell r="E142" t="str">
            <v>일반</v>
          </cell>
          <cell r="F142" t="str">
            <v>입고완료</v>
          </cell>
          <cell r="G142">
            <v>160244</v>
          </cell>
          <cell r="H142" t="str">
            <v>비피더스 떠먹는요구르트(복숭아 83g/EA)</v>
          </cell>
          <cell r="I142" t="str">
            <v>EA</v>
          </cell>
          <cell r="J142">
            <v>183</v>
          </cell>
          <cell r="K142">
            <v>183</v>
          </cell>
          <cell r="L142">
            <v>300</v>
          </cell>
          <cell r="M142">
            <v>54900</v>
          </cell>
          <cell r="N142">
            <v>5490</v>
          </cell>
          <cell r="O142">
            <v>60390</v>
          </cell>
          <cell r="P142">
            <v>0</v>
          </cell>
          <cell r="Q142" t="str">
            <v>한국</v>
          </cell>
          <cell r="R142" t="str">
            <v>냉장</v>
          </cell>
          <cell r="S142" t="str">
            <v>EA(1)</v>
          </cell>
          <cell r="T142" t="str">
            <v/>
          </cell>
          <cell r="U142" t="str">
            <v>스푼부탁드립니다</v>
          </cell>
          <cell r="V142" t="str">
            <v>2019-03-21</v>
          </cell>
          <cell r="W142" t="str">
            <v>2019-03-21 15:15:20</v>
          </cell>
          <cell r="X142" t="str">
            <v>더바른푸드</v>
          </cell>
        </row>
        <row r="143">
          <cell r="A143">
            <v>139</v>
          </cell>
          <cell r="B143" t="str">
            <v>2019-03-27</v>
          </cell>
          <cell r="C143" t="str">
            <v>더바른푸드</v>
          </cell>
          <cell r="D143" t="str">
            <v>더바른푸드</v>
          </cell>
          <cell r="E143" t="str">
            <v>일반</v>
          </cell>
          <cell r="F143" t="str">
            <v>입고완료</v>
          </cell>
          <cell r="G143">
            <v>136633</v>
          </cell>
          <cell r="H143" t="str">
            <v>이오 요구르트(80ml_유기농 80g/EA)</v>
          </cell>
          <cell r="I143" t="str">
            <v>EA</v>
          </cell>
          <cell r="J143">
            <v>24</v>
          </cell>
          <cell r="K143">
            <v>24</v>
          </cell>
          <cell r="L143">
            <v>300</v>
          </cell>
          <cell r="M143">
            <v>7200</v>
          </cell>
          <cell r="N143">
            <v>720</v>
          </cell>
          <cell r="O143">
            <v>7920</v>
          </cell>
          <cell r="P143">
            <v>0</v>
          </cell>
          <cell r="Q143" t="str">
            <v>한국</v>
          </cell>
          <cell r="R143" t="str">
            <v>냉장</v>
          </cell>
          <cell r="S143" t="str">
            <v>EA(50)</v>
          </cell>
          <cell r="T143" t="str">
            <v/>
          </cell>
          <cell r="U143" t="str">
            <v>빨대부탁드립니다</v>
          </cell>
          <cell r="V143" t="str">
            <v>2019-03-21</v>
          </cell>
          <cell r="W143" t="str">
            <v>2019-03-21 15:15:20</v>
          </cell>
          <cell r="X143" t="str">
            <v>더바른푸드</v>
          </cell>
        </row>
        <row r="144">
          <cell r="A144">
            <v>140</v>
          </cell>
          <cell r="B144" t="str">
            <v>2019-03-27</v>
          </cell>
          <cell r="C144" t="str">
            <v>더바른푸드</v>
          </cell>
          <cell r="D144" t="str">
            <v>더바른푸드</v>
          </cell>
          <cell r="E144" t="str">
            <v>일반</v>
          </cell>
          <cell r="F144" t="str">
            <v>입고완료</v>
          </cell>
          <cell r="G144">
            <v>259671</v>
          </cell>
          <cell r="H144" t="str">
            <v>세준푸드 맑은식혜(유기농 125g/EA)</v>
          </cell>
          <cell r="I144" t="str">
            <v>BOX</v>
          </cell>
          <cell r="J144">
            <v>6</v>
          </cell>
          <cell r="K144">
            <v>6</v>
          </cell>
          <cell r="L144">
            <v>10320</v>
          </cell>
          <cell r="M144">
            <v>61920</v>
          </cell>
          <cell r="N144">
            <v>6192</v>
          </cell>
          <cell r="O144">
            <v>68112</v>
          </cell>
          <cell r="P144">
            <v>0</v>
          </cell>
          <cell r="Q144" t="str">
            <v/>
          </cell>
          <cell r="R144" t="str">
            <v>실온</v>
          </cell>
          <cell r="S144" t="str">
            <v>EA(24)</v>
          </cell>
          <cell r="T144" t="str">
            <v/>
          </cell>
          <cell r="U144" t="str">
            <v/>
          </cell>
          <cell r="V144" t="str">
            <v>2019-03-21</v>
          </cell>
          <cell r="W144" t="str">
            <v>2019-03-21 15:15:20</v>
          </cell>
          <cell r="X144" t="str">
            <v>더바른푸드</v>
          </cell>
        </row>
        <row r="145">
          <cell r="A145">
            <v>141</v>
          </cell>
          <cell r="B145" t="str">
            <v>2019-03-27</v>
          </cell>
          <cell r="C145" t="str">
            <v>더바른푸드</v>
          </cell>
          <cell r="D145" t="str">
            <v>더바른푸드</v>
          </cell>
          <cell r="E145" t="str">
            <v>일반</v>
          </cell>
          <cell r="F145" t="str">
            <v>입고완료</v>
          </cell>
          <cell r="G145">
            <v>193090</v>
          </cell>
          <cell r="H145" t="str">
            <v>냉동감자(절단_3~4cm 1Kg/EA)</v>
          </cell>
          <cell r="I145" t="str">
            <v>EA</v>
          </cell>
          <cell r="J145">
            <v>30</v>
          </cell>
          <cell r="K145">
            <v>30</v>
          </cell>
          <cell r="L145">
            <v>2030</v>
          </cell>
          <cell r="M145">
            <v>60900</v>
          </cell>
          <cell r="N145">
            <v>6090</v>
          </cell>
          <cell r="O145">
            <v>66990</v>
          </cell>
          <cell r="P145">
            <v>0</v>
          </cell>
          <cell r="Q145" t="str">
            <v>중국</v>
          </cell>
          <cell r="R145" t="str">
            <v>냉동</v>
          </cell>
          <cell r="S145" t="str">
            <v>EA(1)</v>
          </cell>
          <cell r="T145" t="str">
            <v/>
          </cell>
          <cell r="U145" t="str">
            <v/>
          </cell>
          <cell r="V145" t="str">
            <v>2019-03-22</v>
          </cell>
          <cell r="W145" t="str">
            <v>2019-03-22 14:16:51</v>
          </cell>
          <cell r="X145" t="str">
            <v>더바른푸드</v>
          </cell>
        </row>
        <row r="146">
          <cell r="A146">
            <v>142</v>
          </cell>
          <cell r="B146" t="str">
            <v>2019-03-27</v>
          </cell>
          <cell r="C146" t="str">
            <v>더바른푸드</v>
          </cell>
          <cell r="D146" t="str">
            <v>더바른푸드</v>
          </cell>
          <cell r="E146" t="str">
            <v>일반</v>
          </cell>
          <cell r="F146" t="str">
            <v>입고완료</v>
          </cell>
          <cell r="G146">
            <v>420010</v>
          </cell>
          <cell r="H146" t="str">
            <v>알로팜 계란(왕란_무항생제_68g*30입 2.04Kg/EA)</v>
          </cell>
          <cell r="I146" t="str">
            <v>EA</v>
          </cell>
          <cell r="J146">
            <v>35</v>
          </cell>
          <cell r="K146">
            <v>35</v>
          </cell>
          <cell r="L146">
            <v>4130</v>
          </cell>
          <cell r="M146">
            <v>144550</v>
          </cell>
          <cell r="N146">
            <v>0</v>
          </cell>
          <cell r="O146">
            <v>144550</v>
          </cell>
          <cell r="P146">
            <v>144550</v>
          </cell>
          <cell r="Q146" t="str">
            <v>한국</v>
          </cell>
          <cell r="R146" t="str">
            <v>냉장</v>
          </cell>
          <cell r="S146" t="str">
            <v>EA(1)</v>
          </cell>
          <cell r="T146" t="str">
            <v/>
          </cell>
          <cell r="U146" t="str">
            <v/>
          </cell>
          <cell r="V146" t="str">
            <v>2019-03-25</v>
          </cell>
          <cell r="W146" t="str">
            <v>2019-03-25 14:38:34</v>
          </cell>
          <cell r="X146" t="str">
            <v>더바른푸드</v>
          </cell>
        </row>
        <row r="147">
          <cell r="A147">
            <v>143</v>
          </cell>
          <cell r="B147" t="str">
            <v>2019-03-27</v>
          </cell>
          <cell r="C147" t="str">
            <v>더바른푸드</v>
          </cell>
          <cell r="D147" t="str">
            <v>더바른푸드</v>
          </cell>
          <cell r="E147" t="str">
            <v>일반</v>
          </cell>
          <cell r="F147" t="str">
            <v>입고완료</v>
          </cell>
          <cell r="G147">
            <v>211037</v>
          </cell>
          <cell r="H147" t="str">
            <v>느타리버섯(실속 균상 2Kg/EA)</v>
          </cell>
          <cell r="I147" t="str">
            <v>BOX</v>
          </cell>
          <cell r="J147">
            <v>1</v>
          </cell>
          <cell r="K147">
            <v>1</v>
          </cell>
          <cell r="L147">
            <v>12330</v>
          </cell>
          <cell r="M147">
            <v>12330</v>
          </cell>
          <cell r="N147">
            <v>0</v>
          </cell>
          <cell r="O147">
            <v>12330</v>
          </cell>
          <cell r="P147">
            <v>0</v>
          </cell>
          <cell r="Q147" t="str">
            <v>한국</v>
          </cell>
          <cell r="R147" t="str">
            <v>냉장</v>
          </cell>
          <cell r="S147" t="str">
            <v>EA(1)</v>
          </cell>
          <cell r="T147" t="str">
            <v/>
          </cell>
          <cell r="U147" t="str">
            <v/>
          </cell>
          <cell r="V147" t="str">
            <v>2019-03-26</v>
          </cell>
          <cell r="W147" t="str">
            <v>2019-03-26 14:42:21</v>
          </cell>
          <cell r="X147" t="str">
            <v>더바른푸드</v>
          </cell>
        </row>
        <row r="148">
          <cell r="A148">
            <v>144</v>
          </cell>
          <cell r="B148" t="str">
            <v>2019-03-27</v>
          </cell>
          <cell r="C148" t="str">
            <v>더바른푸드</v>
          </cell>
          <cell r="D148" t="str">
            <v>더바른푸드</v>
          </cell>
          <cell r="E148" t="str">
            <v>일반</v>
          </cell>
          <cell r="F148" t="str">
            <v>입고완료</v>
          </cell>
          <cell r="G148">
            <v>208502</v>
          </cell>
          <cell r="H148" t="str">
            <v>세척당근(3L 10Kg/EA)</v>
          </cell>
          <cell r="I148" t="str">
            <v>EA</v>
          </cell>
          <cell r="J148">
            <v>1</v>
          </cell>
          <cell r="K148">
            <v>1</v>
          </cell>
          <cell r="L148">
            <v>12370</v>
          </cell>
          <cell r="M148">
            <v>12370</v>
          </cell>
          <cell r="N148">
            <v>0</v>
          </cell>
          <cell r="O148">
            <v>12370</v>
          </cell>
          <cell r="P148">
            <v>0</v>
          </cell>
          <cell r="Q148" t="str">
            <v>중국</v>
          </cell>
          <cell r="R148" t="str">
            <v>실온</v>
          </cell>
          <cell r="S148" t="str">
            <v>EA(1)</v>
          </cell>
          <cell r="T148" t="str">
            <v/>
          </cell>
          <cell r="U148" t="str">
            <v/>
          </cell>
          <cell r="V148" t="str">
            <v>2019-03-26</v>
          </cell>
          <cell r="W148" t="str">
            <v>2019-03-26 14:42:21</v>
          </cell>
          <cell r="X148" t="str">
            <v>더바른푸드</v>
          </cell>
        </row>
        <row r="149">
          <cell r="A149">
            <v>145</v>
          </cell>
          <cell r="B149" t="str">
            <v>2019-03-27</v>
          </cell>
          <cell r="C149" t="str">
            <v>더바른푸드</v>
          </cell>
          <cell r="D149" t="str">
            <v>더바른푸드</v>
          </cell>
          <cell r="E149" t="str">
            <v>일반</v>
          </cell>
          <cell r="F149" t="str">
            <v>입고완료</v>
          </cell>
          <cell r="G149">
            <v>105597</v>
          </cell>
          <cell r="H149" t="str">
            <v>웰가 홈버터(홈랜드 4.5Kg/EA)</v>
          </cell>
          <cell r="I149" t="str">
            <v>EA</v>
          </cell>
          <cell r="J149">
            <v>1</v>
          </cell>
          <cell r="K149">
            <v>1</v>
          </cell>
          <cell r="L149">
            <v>18000</v>
          </cell>
          <cell r="M149">
            <v>18000</v>
          </cell>
          <cell r="N149">
            <v>1800</v>
          </cell>
          <cell r="O149">
            <v>19800</v>
          </cell>
          <cell r="P149">
            <v>0</v>
          </cell>
          <cell r="Q149" t="str">
            <v/>
          </cell>
          <cell r="R149" t="str">
            <v>실온</v>
          </cell>
          <cell r="S149" t="str">
            <v>EA(1)</v>
          </cell>
          <cell r="T149" t="str">
            <v/>
          </cell>
          <cell r="U149" t="str">
            <v/>
          </cell>
          <cell r="V149" t="str">
            <v>2019-03-26</v>
          </cell>
          <cell r="W149" t="str">
            <v>2019-03-26 14:42:21</v>
          </cell>
          <cell r="X149" t="str">
            <v>더바른푸드</v>
          </cell>
        </row>
        <row r="150">
          <cell r="A150">
            <v>146</v>
          </cell>
          <cell r="B150" t="str">
            <v>2019-03-26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A151">
            <v>147</v>
          </cell>
          <cell r="B151" t="str">
            <v>2019-03-26</v>
          </cell>
          <cell r="C151" t="str">
            <v>더바른푸드</v>
          </cell>
          <cell r="D151" t="str">
            <v>더바른푸드</v>
          </cell>
          <cell r="E151" t="str">
            <v>일반</v>
          </cell>
          <cell r="F151" t="str">
            <v>입고완료</v>
          </cell>
          <cell r="G151">
            <v>126925</v>
          </cell>
          <cell r="H151" t="str">
            <v>한성 전통떡갈비(16.5g*61±3개입 1Kg/EA)</v>
          </cell>
          <cell r="I151" t="str">
            <v>EA</v>
          </cell>
          <cell r="J151">
            <v>37</v>
          </cell>
          <cell r="K151">
            <v>37</v>
          </cell>
          <cell r="L151">
            <v>5460</v>
          </cell>
          <cell r="M151">
            <v>202020</v>
          </cell>
          <cell r="N151">
            <v>20202</v>
          </cell>
          <cell r="O151">
            <v>222222</v>
          </cell>
          <cell r="P151">
            <v>0</v>
          </cell>
          <cell r="Q151" t="str">
            <v/>
          </cell>
          <cell r="R151" t="str">
            <v>냉동</v>
          </cell>
          <cell r="S151" t="str">
            <v>EA(10)</v>
          </cell>
          <cell r="T151" t="str">
            <v/>
          </cell>
          <cell r="U151" t="str">
            <v/>
          </cell>
          <cell r="V151" t="str">
            <v>2019-03-21</v>
          </cell>
          <cell r="W151" t="str">
            <v>2019-03-21 14:57:04</v>
          </cell>
          <cell r="X151" t="str">
            <v>더바른푸드</v>
          </cell>
        </row>
        <row r="152">
          <cell r="A152">
            <v>148</v>
          </cell>
          <cell r="B152" t="str">
            <v>2019-03-26</v>
          </cell>
          <cell r="C152" t="str">
            <v>더바른푸드</v>
          </cell>
          <cell r="D152" t="str">
            <v>더바른푸드</v>
          </cell>
          <cell r="E152" t="str">
            <v>일반</v>
          </cell>
          <cell r="F152" t="str">
            <v>입고완료</v>
          </cell>
          <cell r="G152">
            <v>252892</v>
          </cell>
          <cell r="H152" t="str">
            <v>사옹원 통통고구마튀김(45g*23입 1Kg/EA)</v>
          </cell>
          <cell r="I152" t="str">
            <v>EA</v>
          </cell>
          <cell r="J152">
            <v>5</v>
          </cell>
          <cell r="K152">
            <v>5</v>
          </cell>
          <cell r="L152">
            <v>10960</v>
          </cell>
          <cell r="M152">
            <v>54800</v>
          </cell>
          <cell r="N152">
            <v>5480</v>
          </cell>
          <cell r="O152">
            <v>60280</v>
          </cell>
          <cell r="P152">
            <v>0</v>
          </cell>
          <cell r="Q152" t="str">
            <v/>
          </cell>
          <cell r="R152" t="str">
            <v>냉동</v>
          </cell>
          <cell r="S152" t="str">
            <v>EA(5)</v>
          </cell>
          <cell r="T152" t="str">
            <v/>
          </cell>
          <cell r="U152" t="str">
            <v/>
          </cell>
          <cell r="V152" t="str">
            <v>2019-03-21</v>
          </cell>
          <cell r="W152" t="str">
            <v>2019-03-21 14:57:47</v>
          </cell>
          <cell r="X152" t="str">
            <v>더바른푸드</v>
          </cell>
        </row>
        <row r="153">
          <cell r="A153">
            <v>149</v>
          </cell>
          <cell r="B153" t="str">
            <v>2019-03-26</v>
          </cell>
          <cell r="C153" t="str">
            <v>더바른푸드</v>
          </cell>
          <cell r="D153" t="str">
            <v>더바른푸드</v>
          </cell>
          <cell r="E153" t="str">
            <v>일반</v>
          </cell>
          <cell r="F153" t="str">
            <v>입고완료</v>
          </cell>
          <cell r="G153">
            <v>266478</v>
          </cell>
          <cell r="H153" t="str">
            <v>전주제과 수제초코파이(오리지널미니 40g/EA)</v>
          </cell>
          <cell r="I153" t="str">
            <v>BOX</v>
          </cell>
          <cell r="J153">
            <v>8</v>
          </cell>
          <cell r="K153">
            <v>8</v>
          </cell>
          <cell r="L153">
            <v>18800</v>
          </cell>
          <cell r="M153">
            <v>150400</v>
          </cell>
          <cell r="N153">
            <v>15040</v>
          </cell>
          <cell r="O153">
            <v>165440</v>
          </cell>
          <cell r="P153">
            <v>0</v>
          </cell>
          <cell r="Q153" t="str">
            <v/>
          </cell>
          <cell r="R153" t="str">
            <v>냉동</v>
          </cell>
          <cell r="S153" t="str">
            <v>EA(40)</v>
          </cell>
          <cell r="T153" t="str">
            <v/>
          </cell>
          <cell r="U153" t="str">
            <v/>
          </cell>
          <cell r="V153" t="str">
            <v>2019-03-21</v>
          </cell>
          <cell r="W153" t="str">
            <v>2019-03-21 15:10:44</v>
          </cell>
          <cell r="X153" t="str">
            <v>더바른푸드</v>
          </cell>
        </row>
        <row r="154">
          <cell r="A154">
            <v>150</v>
          </cell>
          <cell r="B154" t="str">
            <v>2019-03-26</v>
          </cell>
          <cell r="C154" t="str">
            <v>더바른푸드</v>
          </cell>
          <cell r="D154" t="str">
            <v>더바른푸드</v>
          </cell>
          <cell r="E154" t="str">
            <v>일반</v>
          </cell>
          <cell r="F154" t="str">
            <v>입고완료</v>
          </cell>
          <cell r="G154">
            <v>122082</v>
          </cell>
          <cell r="H154" t="str">
            <v>빙그레 흰우유(참맛좋은 200g/EA)</v>
          </cell>
          <cell r="I154" t="str">
            <v>EA</v>
          </cell>
          <cell r="J154">
            <v>207</v>
          </cell>
          <cell r="K154">
            <v>207</v>
          </cell>
          <cell r="L154">
            <v>430</v>
          </cell>
          <cell r="M154">
            <v>89010</v>
          </cell>
          <cell r="N154">
            <v>0</v>
          </cell>
          <cell r="O154">
            <v>89010</v>
          </cell>
          <cell r="P154">
            <v>0</v>
          </cell>
          <cell r="Q154" t="str">
            <v>한국</v>
          </cell>
          <cell r="R154" t="str">
            <v>냉장</v>
          </cell>
          <cell r="S154" t="str">
            <v>EA(1)</v>
          </cell>
          <cell r="T154" t="str">
            <v/>
          </cell>
          <cell r="U154" t="str">
            <v/>
          </cell>
          <cell r="V154" t="str">
            <v>2019-03-21</v>
          </cell>
          <cell r="W154" t="str">
            <v>2019-03-21 15:11:47</v>
          </cell>
          <cell r="X154" t="str">
            <v>더바른푸드</v>
          </cell>
        </row>
        <row r="155">
          <cell r="A155">
            <v>151</v>
          </cell>
          <cell r="B155" t="str">
            <v>2019-03-26</v>
          </cell>
          <cell r="C155" t="str">
            <v>더바른푸드</v>
          </cell>
          <cell r="D155" t="str">
            <v>더바른푸드</v>
          </cell>
          <cell r="E155" t="str">
            <v>일반</v>
          </cell>
          <cell r="F155" t="str">
            <v>입고완료</v>
          </cell>
          <cell r="G155">
            <v>219387</v>
          </cell>
          <cell r="H155" t="str">
            <v>냉동배추우거지(1Kg/EA)</v>
          </cell>
          <cell r="I155" t="str">
            <v>EA</v>
          </cell>
          <cell r="J155">
            <v>40</v>
          </cell>
          <cell r="K155">
            <v>40</v>
          </cell>
          <cell r="L155">
            <v>1460</v>
          </cell>
          <cell r="M155">
            <v>58400</v>
          </cell>
          <cell r="N155">
            <v>5840</v>
          </cell>
          <cell r="O155">
            <v>64240</v>
          </cell>
          <cell r="P155">
            <v>0</v>
          </cell>
          <cell r="Q155" t="str">
            <v>중국</v>
          </cell>
          <cell r="R155" t="str">
            <v>냉동</v>
          </cell>
          <cell r="S155" t="str">
            <v>EA(1)</v>
          </cell>
          <cell r="T155" t="str">
            <v/>
          </cell>
          <cell r="U155" t="str">
            <v/>
          </cell>
          <cell r="V155" t="str">
            <v>2019-03-22</v>
          </cell>
          <cell r="W155" t="str">
            <v>2019-03-22 14:03:32</v>
          </cell>
          <cell r="X155" t="str">
            <v>더바른푸드</v>
          </cell>
        </row>
        <row r="156">
          <cell r="A156">
            <v>152</v>
          </cell>
          <cell r="B156" t="str">
            <v>2019-03-26</v>
          </cell>
          <cell r="C156" t="str">
            <v>더바른푸드</v>
          </cell>
          <cell r="D156" t="str">
            <v>더바른푸드</v>
          </cell>
          <cell r="E156" t="str">
            <v>일반</v>
          </cell>
          <cell r="F156" t="str">
            <v>입고완료</v>
          </cell>
          <cell r="G156">
            <v>408799</v>
          </cell>
          <cell r="H156" t="str">
            <v>이츠웰 오리훈제(슬라이스_무항생제오리로만든 1Kg/PAC)</v>
          </cell>
          <cell r="I156" t="str">
            <v>PAC</v>
          </cell>
          <cell r="J156">
            <v>38</v>
          </cell>
          <cell r="K156">
            <v>38</v>
          </cell>
          <cell r="L156">
            <v>11890</v>
          </cell>
          <cell r="M156">
            <v>451820</v>
          </cell>
          <cell r="N156">
            <v>45182</v>
          </cell>
          <cell r="O156">
            <v>497002</v>
          </cell>
          <cell r="P156">
            <v>497002</v>
          </cell>
          <cell r="Q156" t="str">
            <v>한국</v>
          </cell>
          <cell r="R156" t="str">
            <v>냉장</v>
          </cell>
          <cell r="S156" t="str">
            <v>PAC(1)</v>
          </cell>
          <cell r="T156" t="str">
            <v/>
          </cell>
          <cell r="U156" t="str">
            <v/>
          </cell>
          <cell r="V156" t="str">
            <v>2019-03-22</v>
          </cell>
          <cell r="W156" t="str">
            <v>2019-03-22 14:09:30</v>
          </cell>
          <cell r="X156" t="str">
            <v>더바른푸드</v>
          </cell>
        </row>
        <row r="157">
          <cell r="A157">
            <v>153</v>
          </cell>
          <cell r="B157" t="str">
            <v>2019-03-26</v>
          </cell>
          <cell r="C157" t="str">
            <v>더바른푸드</v>
          </cell>
          <cell r="D157" t="str">
            <v>더바른푸드</v>
          </cell>
          <cell r="E157" t="str">
            <v>일반</v>
          </cell>
          <cell r="F157" t="str">
            <v>입고완료</v>
          </cell>
          <cell r="G157">
            <v>234831</v>
          </cell>
          <cell r="H157" t="str">
            <v>오징어실채(500g/EA)</v>
          </cell>
          <cell r="I157" t="str">
            <v>EA</v>
          </cell>
          <cell r="J157">
            <v>21</v>
          </cell>
          <cell r="K157">
            <v>21</v>
          </cell>
          <cell r="L157">
            <v>13500</v>
          </cell>
          <cell r="M157">
            <v>283500</v>
          </cell>
          <cell r="N157">
            <v>28350</v>
          </cell>
          <cell r="O157">
            <v>311850</v>
          </cell>
          <cell r="P157">
            <v>0</v>
          </cell>
          <cell r="Q157" t="str">
            <v>페루</v>
          </cell>
          <cell r="R157" t="str">
            <v>냉장</v>
          </cell>
          <cell r="S157" t="str">
            <v>EA(1)</v>
          </cell>
          <cell r="T157" t="str">
            <v/>
          </cell>
          <cell r="U157" t="str">
            <v/>
          </cell>
          <cell r="V157" t="str">
            <v>2019-03-22</v>
          </cell>
          <cell r="W157" t="str">
            <v>2019-03-22 14:22:30</v>
          </cell>
          <cell r="X157" t="str">
            <v>더바른푸드</v>
          </cell>
        </row>
        <row r="158">
          <cell r="A158">
            <v>154</v>
          </cell>
          <cell r="B158" t="str">
            <v>2019-03-26</v>
          </cell>
          <cell r="C158" t="str">
            <v>더바른푸드</v>
          </cell>
          <cell r="D158" t="str">
            <v>더바른푸드</v>
          </cell>
          <cell r="E158" t="str">
            <v>일반</v>
          </cell>
          <cell r="F158" t="str">
            <v>입고완료</v>
          </cell>
          <cell r="G158">
            <v>114170</v>
          </cell>
          <cell r="H158" t="str">
            <v>냉동브로컬리(1Kg/EA)</v>
          </cell>
          <cell r="I158" t="str">
            <v>EA</v>
          </cell>
          <cell r="J158">
            <v>1</v>
          </cell>
          <cell r="K158">
            <v>1</v>
          </cell>
          <cell r="L158">
            <v>2370</v>
          </cell>
          <cell r="M158">
            <v>2370</v>
          </cell>
          <cell r="N158">
            <v>237</v>
          </cell>
          <cell r="O158">
            <v>2607</v>
          </cell>
          <cell r="P158">
            <v>0</v>
          </cell>
          <cell r="Q158" t="str">
            <v>중국</v>
          </cell>
          <cell r="R158" t="str">
            <v>냉동</v>
          </cell>
          <cell r="S158" t="str">
            <v>EA(10)</v>
          </cell>
          <cell r="T158" t="str">
            <v/>
          </cell>
          <cell r="U158" t="str">
            <v/>
          </cell>
          <cell r="V158" t="str">
            <v>2019-03-22</v>
          </cell>
          <cell r="W158" t="str">
            <v>2019-03-22 14:30:03</v>
          </cell>
          <cell r="X158" t="str">
            <v>더바른푸드</v>
          </cell>
        </row>
        <row r="159">
          <cell r="A159">
            <v>155</v>
          </cell>
          <cell r="B159" t="str">
            <v>2019-03-26</v>
          </cell>
          <cell r="C159" t="str">
            <v>더바른푸드</v>
          </cell>
          <cell r="D159" t="str">
            <v>더바른푸드</v>
          </cell>
          <cell r="E159" t="str">
            <v>일반</v>
          </cell>
          <cell r="F159" t="str">
            <v>입고완료</v>
          </cell>
          <cell r="G159">
            <v>312196</v>
          </cell>
          <cell r="H159" t="str">
            <v>염장다시마(쌈용 1Kg/EA)</v>
          </cell>
          <cell r="I159" t="str">
            <v>EA</v>
          </cell>
          <cell r="J159">
            <v>3</v>
          </cell>
          <cell r="K159">
            <v>3</v>
          </cell>
          <cell r="L159">
            <v>2040</v>
          </cell>
          <cell r="M159">
            <v>6120</v>
          </cell>
          <cell r="N159">
            <v>0</v>
          </cell>
          <cell r="O159">
            <v>6120</v>
          </cell>
          <cell r="P159">
            <v>0</v>
          </cell>
          <cell r="Q159" t="str">
            <v>한국</v>
          </cell>
          <cell r="R159" t="str">
            <v>냉장</v>
          </cell>
          <cell r="S159" t="str">
            <v>EA(10)</v>
          </cell>
          <cell r="T159" t="str">
            <v/>
          </cell>
          <cell r="U159" t="str">
            <v/>
          </cell>
          <cell r="V159" t="str">
            <v>2019-03-22</v>
          </cell>
          <cell r="W159" t="str">
            <v>2019-03-22 14:30:03</v>
          </cell>
          <cell r="X159" t="str">
            <v>더바른푸드</v>
          </cell>
        </row>
        <row r="160">
          <cell r="A160">
            <v>156</v>
          </cell>
          <cell r="B160" t="str">
            <v>2019-03-26</v>
          </cell>
          <cell r="C160" t="str">
            <v>더바른푸드</v>
          </cell>
          <cell r="D160" t="str">
            <v>더바른푸드</v>
          </cell>
          <cell r="E160" t="str">
            <v>일반</v>
          </cell>
          <cell r="F160" t="str">
            <v>입고완료</v>
          </cell>
          <cell r="G160">
            <v>198579</v>
          </cell>
          <cell r="H160" t="str">
            <v>PRIDE 통새우(바나메이_41~50미 500g/EA)</v>
          </cell>
          <cell r="I160" t="str">
            <v>EA</v>
          </cell>
          <cell r="J160">
            <v>1</v>
          </cell>
          <cell r="K160">
            <v>1</v>
          </cell>
          <cell r="L160">
            <v>5670</v>
          </cell>
          <cell r="M160">
            <v>5670</v>
          </cell>
          <cell r="N160">
            <v>0</v>
          </cell>
          <cell r="O160">
            <v>5670</v>
          </cell>
          <cell r="P160">
            <v>0</v>
          </cell>
          <cell r="Q160" t="str">
            <v>태국</v>
          </cell>
          <cell r="R160" t="str">
            <v>냉동</v>
          </cell>
          <cell r="S160" t="str">
            <v>EA(10)</v>
          </cell>
          <cell r="T160" t="str">
            <v/>
          </cell>
          <cell r="U160" t="str">
            <v/>
          </cell>
          <cell r="V160" t="str">
            <v>2019-03-22</v>
          </cell>
          <cell r="W160" t="str">
            <v>2019-03-22 14:31:42</v>
          </cell>
          <cell r="X160" t="str">
            <v>더바른푸드</v>
          </cell>
        </row>
        <row r="161">
          <cell r="A161">
            <v>157</v>
          </cell>
          <cell r="B161" t="str">
            <v>2019-03-26</v>
          </cell>
          <cell r="C161" t="str">
            <v>더바른푸드</v>
          </cell>
          <cell r="D161" t="str">
            <v>더바른푸드</v>
          </cell>
          <cell r="E161" t="str">
            <v>일반</v>
          </cell>
          <cell r="F161" t="str">
            <v>입고완료</v>
          </cell>
          <cell r="G161">
            <v>512178</v>
          </cell>
          <cell r="H161" t="str">
            <v>이츠웰 페이퍼타올(실속 핸드타올_4500매 BOX)</v>
          </cell>
          <cell r="I161" t="str">
            <v>BOX</v>
          </cell>
          <cell r="J161">
            <v>1</v>
          </cell>
          <cell r="K161">
            <v>1</v>
          </cell>
          <cell r="L161">
            <v>19720</v>
          </cell>
          <cell r="M161">
            <v>19720</v>
          </cell>
          <cell r="N161">
            <v>1972</v>
          </cell>
          <cell r="O161">
            <v>21692</v>
          </cell>
          <cell r="P161">
            <v>0</v>
          </cell>
          <cell r="Q161" t="str">
            <v/>
          </cell>
          <cell r="R161" t="str">
            <v>실온</v>
          </cell>
          <cell r="S161" t="str">
            <v>BOX(1)</v>
          </cell>
          <cell r="T161" t="str">
            <v/>
          </cell>
          <cell r="U161" t="str">
            <v/>
          </cell>
          <cell r="V161" t="str">
            <v>2019-03-22</v>
          </cell>
          <cell r="W161" t="str">
            <v>2019-03-22 14:44:52</v>
          </cell>
          <cell r="X161" t="str">
            <v>더바른푸드</v>
          </cell>
        </row>
        <row r="162">
          <cell r="A162">
            <v>158</v>
          </cell>
          <cell r="B162" t="str">
            <v>2019-03-26</v>
          </cell>
          <cell r="C162" t="str">
            <v>더바른푸드</v>
          </cell>
          <cell r="D162" t="str">
            <v>더바른푸드</v>
          </cell>
          <cell r="E162" t="str">
            <v>일반</v>
          </cell>
          <cell r="F162" t="str">
            <v>입고완료</v>
          </cell>
          <cell r="G162">
            <v>126873</v>
          </cell>
          <cell r="H162" t="str">
            <v>해찬들 사계절쌈장(6.5Kg/EA)</v>
          </cell>
          <cell r="I162" t="str">
            <v>EA</v>
          </cell>
          <cell r="J162">
            <v>1</v>
          </cell>
          <cell r="K162">
            <v>1</v>
          </cell>
          <cell r="L162">
            <v>13130</v>
          </cell>
          <cell r="M162">
            <v>13130</v>
          </cell>
          <cell r="N162">
            <v>1313</v>
          </cell>
          <cell r="O162">
            <v>14443</v>
          </cell>
          <cell r="P162">
            <v>0</v>
          </cell>
          <cell r="Q162" t="str">
            <v/>
          </cell>
          <cell r="R162" t="str">
            <v>실온</v>
          </cell>
          <cell r="S162" t="str">
            <v>EA(2)</v>
          </cell>
          <cell r="T162" t="str">
            <v/>
          </cell>
          <cell r="U162" t="str">
            <v/>
          </cell>
          <cell r="V162" t="str">
            <v>2019-03-25</v>
          </cell>
          <cell r="W162" t="str">
            <v>2019-03-25 15:18:27</v>
          </cell>
          <cell r="X162" t="str">
            <v>더바른푸드</v>
          </cell>
        </row>
        <row r="163">
          <cell r="A163">
            <v>159</v>
          </cell>
          <cell r="B163" t="str">
            <v>2019-03-26</v>
          </cell>
          <cell r="C163" t="str">
            <v>더바른푸드</v>
          </cell>
          <cell r="D163" t="str">
            <v>더바른푸드</v>
          </cell>
          <cell r="E163" t="str">
            <v>일반</v>
          </cell>
          <cell r="F163" t="str">
            <v>입고완료</v>
          </cell>
          <cell r="G163">
            <v>106212</v>
          </cell>
          <cell r="H163" t="str">
            <v>백설 하얀설탕(15Kg/EA)</v>
          </cell>
          <cell r="I163" t="str">
            <v>EA</v>
          </cell>
          <cell r="J163">
            <v>1</v>
          </cell>
          <cell r="K163">
            <v>1</v>
          </cell>
          <cell r="L163">
            <v>15680</v>
          </cell>
          <cell r="M163">
            <v>15680</v>
          </cell>
          <cell r="N163">
            <v>1568</v>
          </cell>
          <cell r="O163">
            <v>17248</v>
          </cell>
          <cell r="P163">
            <v>0</v>
          </cell>
          <cell r="Q163" t="str">
            <v/>
          </cell>
          <cell r="R163" t="str">
            <v>실온</v>
          </cell>
          <cell r="S163" t="str">
            <v>EA(1)</v>
          </cell>
          <cell r="T163" t="str">
            <v/>
          </cell>
          <cell r="U163" t="str">
            <v/>
          </cell>
          <cell r="V163" t="str">
            <v>2019-03-25</v>
          </cell>
          <cell r="W163" t="str">
            <v>2019-03-25 15:18:27</v>
          </cell>
          <cell r="X163" t="str">
            <v>더바른푸드</v>
          </cell>
        </row>
        <row r="164">
          <cell r="A164">
            <v>160</v>
          </cell>
          <cell r="B164" t="str">
            <v>2019-03-26</v>
          </cell>
          <cell r="C164" t="str">
            <v>더바른푸드</v>
          </cell>
          <cell r="D164" t="str">
            <v>더바른푸드</v>
          </cell>
          <cell r="E164" t="str">
            <v>일반</v>
          </cell>
          <cell r="F164" t="str">
            <v>입고완료</v>
          </cell>
          <cell r="G164">
            <v>106931</v>
          </cell>
          <cell r="H164" t="str">
            <v>오뚜기 미향(18L 18Kg/EA)</v>
          </cell>
          <cell r="I164" t="str">
            <v>EA</v>
          </cell>
          <cell r="J164">
            <v>2</v>
          </cell>
          <cell r="K164">
            <v>2</v>
          </cell>
          <cell r="L164">
            <v>21280</v>
          </cell>
          <cell r="M164">
            <v>42560</v>
          </cell>
          <cell r="N164">
            <v>4256</v>
          </cell>
          <cell r="O164">
            <v>46816</v>
          </cell>
          <cell r="P164">
            <v>0</v>
          </cell>
          <cell r="Q164" t="str">
            <v/>
          </cell>
          <cell r="R164" t="str">
            <v>실온</v>
          </cell>
          <cell r="S164" t="str">
            <v>EA(1)</v>
          </cell>
          <cell r="T164" t="str">
            <v/>
          </cell>
          <cell r="U164" t="str">
            <v/>
          </cell>
          <cell r="V164" t="str">
            <v>2019-03-25</v>
          </cell>
          <cell r="W164" t="str">
            <v>2019-03-25 15:18:27</v>
          </cell>
          <cell r="X164" t="str">
            <v>더바른푸드</v>
          </cell>
        </row>
        <row r="165">
          <cell r="A165">
            <v>161</v>
          </cell>
          <cell r="B165" t="str">
            <v>2019-03-26</v>
          </cell>
          <cell r="C165" t="str">
            <v>더바른푸드</v>
          </cell>
          <cell r="D165" t="str">
            <v>더바른푸드</v>
          </cell>
          <cell r="E165" t="str">
            <v>일반</v>
          </cell>
          <cell r="F165" t="str">
            <v>입고완료</v>
          </cell>
          <cell r="G165">
            <v>204973</v>
          </cell>
          <cell r="H165" t="str">
            <v>냉동대파(1Kg/PAC)</v>
          </cell>
          <cell r="I165" t="str">
            <v>PAC</v>
          </cell>
          <cell r="J165">
            <v>15</v>
          </cell>
          <cell r="K165">
            <v>15</v>
          </cell>
          <cell r="L165">
            <v>1400</v>
          </cell>
          <cell r="M165">
            <v>21000</v>
          </cell>
          <cell r="N165">
            <v>0</v>
          </cell>
          <cell r="O165">
            <v>21000</v>
          </cell>
          <cell r="P165">
            <v>0</v>
          </cell>
          <cell r="Q165" t="str">
            <v>중국</v>
          </cell>
          <cell r="R165" t="str">
            <v>냉동</v>
          </cell>
          <cell r="S165" t="str">
            <v>PAC(1)</v>
          </cell>
          <cell r="T165" t="str">
            <v/>
          </cell>
          <cell r="U165" t="str">
            <v/>
          </cell>
          <cell r="V165" t="str">
            <v>2019-03-25</v>
          </cell>
          <cell r="W165" t="str">
            <v>2019-03-25 15:18:27</v>
          </cell>
          <cell r="X165" t="str">
            <v>더바른푸드</v>
          </cell>
        </row>
        <row r="166">
          <cell r="A166">
            <v>162</v>
          </cell>
          <cell r="B166" t="str">
            <v>2019-03-26</v>
          </cell>
          <cell r="C166" t="str">
            <v>더바른푸드</v>
          </cell>
          <cell r="D166" t="str">
            <v>더바른푸드</v>
          </cell>
          <cell r="E166" t="str">
            <v>일반</v>
          </cell>
          <cell r="F166" t="str">
            <v>입고완료</v>
          </cell>
          <cell r="G166">
            <v>247931</v>
          </cell>
          <cell r="H166" t="str">
            <v>마당발 냉동다진마늘(1Kg/EA)</v>
          </cell>
          <cell r="I166" t="str">
            <v>EA</v>
          </cell>
          <cell r="J166">
            <v>10</v>
          </cell>
          <cell r="K166">
            <v>10</v>
          </cell>
          <cell r="L166">
            <v>2410</v>
          </cell>
          <cell r="M166">
            <v>24100</v>
          </cell>
          <cell r="N166">
            <v>0</v>
          </cell>
          <cell r="O166">
            <v>24100</v>
          </cell>
          <cell r="P166">
            <v>0</v>
          </cell>
          <cell r="Q166" t="str">
            <v>중국</v>
          </cell>
          <cell r="R166" t="str">
            <v>냉동</v>
          </cell>
          <cell r="S166" t="str">
            <v>EA(10)</v>
          </cell>
          <cell r="T166" t="str">
            <v/>
          </cell>
          <cell r="U166" t="str">
            <v/>
          </cell>
          <cell r="V166" t="str">
            <v>2019-03-25</v>
          </cell>
          <cell r="W166" t="str">
            <v>2019-03-25 15:18:27</v>
          </cell>
          <cell r="X166" t="str">
            <v>더바른푸드</v>
          </cell>
        </row>
        <row r="167">
          <cell r="A167">
            <v>163</v>
          </cell>
          <cell r="B167" t="str">
            <v>2019-03-26</v>
          </cell>
          <cell r="C167" t="str">
            <v>더바른푸드</v>
          </cell>
          <cell r="D167" t="str">
            <v>더바른푸드</v>
          </cell>
          <cell r="E167" t="str">
            <v>일반</v>
          </cell>
          <cell r="F167" t="str">
            <v>입고완료</v>
          </cell>
          <cell r="G167">
            <v>314295</v>
          </cell>
          <cell r="H167" t="str">
            <v>디포리(밴댕이 1.5Kg/BOX)</v>
          </cell>
          <cell r="I167" t="str">
            <v>BOX</v>
          </cell>
          <cell r="J167">
            <v>5</v>
          </cell>
          <cell r="K167">
            <v>5</v>
          </cell>
          <cell r="L167">
            <v>10930</v>
          </cell>
          <cell r="M167">
            <v>54650</v>
          </cell>
          <cell r="N167">
            <v>0</v>
          </cell>
          <cell r="O167">
            <v>54650</v>
          </cell>
          <cell r="P167">
            <v>0</v>
          </cell>
          <cell r="Q167" t="str">
            <v>베트남</v>
          </cell>
          <cell r="R167" t="str">
            <v>냉동</v>
          </cell>
          <cell r="S167" t="str">
            <v>BOX(1)</v>
          </cell>
          <cell r="T167" t="str">
            <v/>
          </cell>
          <cell r="U167" t="str">
            <v/>
          </cell>
          <cell r="V167" t="str">
            <v>2019-03-25</v>
          </cell>
          <cell r="W167" t="str">
            <v>2019-03-25 15:18:27</v>
          </cell>
          <cell r="X167" t="str">
            <v>더바른푸드</v>
          </cell>
        </row>
        <row r="168">
          <cell r="A168">
            <v>164</v>
          </cell>
          <cell r="B168" t="str">
            <v>2019-03-25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A169">
            <v>165</v>
          </cell>
          <cell r="B169" t="str">
            <v>2019-03-25</v>
          </cell>
          <cell r="C169" t="str">
            <v>더바른푸드</v>
          </cell>
          <cell r="D169" t="str">
            <v>더바른푸드</v>
          </cell>
          <cell r="E169" t="str">
            <v>일반</v>
          </cell>
          <cell r="F169" t="str">
            <v>입고완료</v>
          </cell>
          <cell r="G169">
            <v>204964</v>
          </cell>
          <cell r="H169" t="str">
            <v>냉동표고버섯(슬라이스 1Kg/PAC)</v>
          </cell>
          <cell r="I169" t="str">
            <v>PAC</v>
          </cell>
          <cell r="J169">
            <v>10</v>
          </cell>
          <cell r="K169">
            <v>10</v>
          </cell>
          <cell r="L169">
            <v>2790</v>
          </cell>
          <cell r="M169">
            <v>27900</v>
          </cell>
          <cell r="N169">
            <v>0</v>
          </cell>
          <cell r="O169">
            <v>27900</v>
          </cell>
          <cell r="P169">
            <v>0</v>
          </cell>
          <cell r="Q169" t="str">
            <v>중국</v>
          </cell>
          <cell r="R169" t="str">
            <v>냉동</v>
          </cell>
          <cell r="S169" t="str">
            <v>PAC(1)</v>
          </cell>
          <cell r="T169" t="str">
            <v/>
          </cell>
          <cell r="U169" t="str">
            <v/>
          </cell>
          <cell r="V169" t="str">
            <v>2019-03-20</v>
          </cell>
          <cell r="W169" t="str">
            <v>2019-03-20 15:24:08</v>
          </cell>
          <cell r="X169" t="str">
            <v>더바른푸드</v>
          </cell>
        </row>
        <row r="170">
          <cell r="A170">
            <v>166</v>
          </cell>
          <cell r="B170" t="str">
            <v>2019-03-25</v>
          </cell>
          <cell r="C170" t="str">
            <v>더바른푸드</v>
          </cell>
          <cell r="D170" t="str">
            <v>더바른푸드</v>
          </cell>
          <cell r="E170" t="str">
            <v>일반</v>
          </cell>
          <cell r="F170" t="str">
            <v>입고완료</v>
          </cell>
          <cell r="G170">
            <v>226247</v>
          </cell>
          <cell r="H170" t="str">
            <v>냉동표고버섯(1.5*1.5cm다이스 1Kg/EA)</v>
          </cell>
          <cell r="I170" t="str">
            <v>EA</v>
          </cell>
          <cell r="J170">
            <v>10</v>
          </cell>
          <cell r="K170">
            <v>10</v>
          </cell>
          <cell r="L170">
            <v>2780</v>
          </cell>
          <cell r="M170">
            <v>27800</v>
          </cell>
          <cell r="N170">
            <v>0</v>
          </cell>
          <cell r="O170">
            <v>27800</v>
          </cell>
          <cell r="P170">
            <v>0</v>
          </cell>
          <cell r="Q170" t="str">
            <v>중국</v>
          </cell>
          <cell r="R170" t="str">
            <v>냉동</v>
          </cell>
          <cell r="S170" t="str">
            <v>EA(1)</v>
          </cell>
          <cell r="T170" t="str">
            <v/>
          </cell>
          <cell r="U170" t="str">
            <v/>
          </cell>
          <cell r="V170" t="str">
            <v>2019-03-20</v>
          </cell>
          <cell r="W170" t="str">
            <v>2019-03-20 15:24:08</v>
          </cell>
          <cell r="X170" t="str">
            <v>더바른푸드</v>
          </cell>
        </row>
        <row r="171">
          <cell r="A171">
            <v>167</v>
          </cell>
          <cell r="B171" t="str">
            <v>2019-03-25</v>
          </cell>
          <cell r="C171" t="str">
            <v>더바른푸드</v>
          </cell>
          <cell r="D171" t="str">
            <v>더바른푸드</v>
          </cell>
          <cell r="E171" t="str">
            <v>일반</v>
          </cell>
          <cell r="F171" t="str">
            <v>입고완료</v>
          </cell>
          <cell r="G171">
            <v>112116</v>
          </cell>
          <cell r="H171" t="str">
            <v>쉐프솔루션 동그랑땡(11g/개 1Kg/PAC)</v>
          </cell>
          <cell r="I171" t="str">
            <v>PAC</v>
          </cell>
          <cell r="J171">
            <v>39</v>
          </cell>
          <cell r="K171">
            <v>39</v>
          </cell>
          <cell r="L171">
            <v>4280</v>
          </cell>
          <cell r="M171">
            <v>166920</v>
          </cell>
          <cell r="N171">
            <v>16692</v>
          </cell>
          <cell r="O171">
            <v>183612</v>
          </cell>
          <cell r="P171">
            <v>0</v>
          </cell>
          <cell r="Q171" t="str">
            <v/>
          </cell>
          <cell r="R171" t="str">
            <v>냉동</v>
          </cell>
          <cell r="S171" t="str">
            <v>PAC(5)</v>
          </cell>
          <cell r="T171" t="str">
            <v/>
          </cell>
          <cell r="U171" t="str">
            <v/>
          </cell>
          <cell r="V171" t="str">
            <v>2019-03-21</v>
          </cell>
          <cell r="W171" t="str">
            <v>2019-03-21 14:20:37</v>
          </cell>
          <cell r="X171" t="str">
            <v>더바른푸드</v>
          </cell>
        </row>
        <row r="172">
          <cell r="A172">
            <v>168</v>
          </cell>
          <cell r="B172" t="str">
            <v>2019-03-25</v>
          </cell>
          <cell r="C172" t="str">
            <v>더바른푸드</v>
          </cell>
          <cell r="D172" t="str">
            <v>더바른푸드</v>
          </cell>
          <cell r="E172" t="str">
            <v>일반</v>
          </cell>
          <cell r="F172" t="str">
            <v>입고완료</v>
          </cell>
          <cell r="G172">
            <v>177839</v>
          </cell>
          <cell r="H172" t="str">
            <v>이츠웰 단호박샐러드(16년리뉴얼 1Kg/EA)</v>
          </cell>
          <cell r="I172" t="str">
            <v>EA</v>
          </cell>
          <cell r="J172">
            <v>8</v>
          </cell>
          <cell r="K172">
            <v>8</v>
          </cell>
          <cell r="L172">
            <v>4430</v>
          </cell>
          <cell r="M172">
            <v>35440</v>
          </cell>
          <cell r="N172">
            <v>3544</v>
          </cell>
          <cell r="O172">
            <v>38984</v>
          </cell>
          <cell r="P172">
            <v>0</v>
          </cell>
          <cell r="Q172" t="str">
            <v/>
          </cell>
          <cell r="R172" t="str">
            <v>냉장</v>
          </cell>
          <cell r="S172" t="str">
            <v>EA(10)</v>
          </cell>
          <cell r="T172" t="str">
            <v/>
          </cell>
          <cell r="U172" t="str">
            <v/>
          </cell>
          <cell r="V172" t="str">
            <v>2019-03-21</v>
          </cell>
          <cell r="W172" t="str">
            <v>2019-03-21 14:21:15</v>
          </cell>
          <cell r="X172" t="str">
            <v>더바른푸드</v>
          </cell>
        </row>
        <row r="173">
          <cell r="A173">
            <v>169</v>
          </cell>
          <cell r="B173" t="str">
            <v>2019-03-25</v>
          </cell>
          <cell r="C173" t="str">
            <v>더바른푸드</v>
          </cell>
          <cell r="D173" t="str">
            <v>더바른푸드</v>
          </cell>
          <cell r="E173" t="str">
            <v>일반</v>
          </cell>
          <cell r="F173" t="str">
            <v>입고완료</v>
          </cell>
          <cell r="G173">
            <v>119763</v>
          </cell>
          <cell r="H173" t="str">
            <v>이츠웰 종합어묵(알뜰 1Kg/EA)</v>
          </cell>
          <cell r="I173" t="str">
            <v>EA</v>
          </cell>
          <cell r="J173">
            <v>5</v>
          </cell>
          <cell r="K173">
            <v>5</v>
          </cell>
          <cell r="L173">
            <v>3020</v>
          </cell>
          <cell r="M173">
            <v>15100</v>
          </cell>
          <cell r="N173">
            <v>1510</v>
          </cell>
          <cell r="O173">
            <v>16610</v>
          </cell>
          <cell r="P173">
            <v>0</v>
          </cell>
          <cell r="Q173" t="str">
            <v/>
          </cell>
          <cell r="R173" t="str">
            <v>냉장</v>
          </cell>
          <cell r="S173" t="str">
            <v>EA(10)</v>
          </cell>
          <cell r="T173" t="str">
            <v/>
          </cell>
          <cell r="U173" t="str">
            <v/>
          </cell>
          <cell r="V173" t="str">
            <v>2019-03-21</v>
          </cell>
          <cell r="W173" t="str">
            <v>2019-03-21 14:37:21</v>
          </cell>
          <cell r="X173" t="str">
            <v>더바른푸드</v>
          </cell>
        </row>
        <row r="174">
          <cell r="A174">
            <v>170</v>
          </cell>
          <cell r="B174" t="str">
            <v>2019-03-25</v>
          </cell>
          <cell r="C174" t="str">
            <v>더바른푸드</v>
          </cell>
          <cell r="D174" t="str">
            <v>더바른푸드</v>
          </cell>
          <cell r="E174" t="str">
            <v>일반</v>
          </cell>
          <cell r="F174" t="str">
            <v>입고완료</v>
          </cell>
          <cell r="G174">
            <v>221871</v>
          </cell>
          <cell r="H174" t="str">
            <v>냉동시금치(IQF 1Kg/EA)</v>
          </cell>
          <cell r="I174" t="str">
            <v>EA</v>
          </cell>
          <cell r="J174">
            <v>80</v>
          </cell>
          <cell r="K174">
            <v>80</v>
          </cell>
          <cell r="L174">
            <v>1720</v>
          </cell>
          <cell r="M174">
            <v>137600</v>
          </cell>
          <cell r="N174">
            <v>13760</v>
          </cell>
          <cell r="O174">
            <v>151360</v>
          </cell>
          <cell r="P174">
            <v>0</v>
          </cell>
          <cell r="Q174" t="str">
            <v>중국</v>
          </cell>
          <cell r="R174" t="str">
            <v>냉동</v>
          </cell>
          <cell r="S174" t="str">
            <v>EA(1)</v>
          </cell>
          <cell r="T174" t="str">
            <v/>
          </cell>
          <cell r="U174" t="str">
            <v/>
          </cell>
          <cell r="V174" t="str">
            <v>2019-03-21</v>
          </cell>
          <cell r="W174" t="str">
            <v>2019-03-21 14:58:24</v>
          </cell>
          <cell r="X174" t="str">
            <v>더바른푸드</v>
          </cell>
        </row>
        <row r="175">
          <cell r="A175">
            <v>171</v>
          </cell>
          <cell r="B175" t="str">
            <v>2019-03-25</v>
          </cell>
          <cell r="C175" t="str">
            <v>더바른푸드</v>
          </cell>
          <cell r="D175" t="str">
            <v>더바른푸드</v>
          </cell>
          <cell r="E175" t="str">
            <v>일반</v>
          </cell>
          <cell r="F175" t="str">
            <v>입고완료</v>
          </cell>
          <cell r="G175">
            <v>177623</v>
          </cell>
          <cell r="H175" t="str">
            <v>이츠웰 꽁치캔(1.88Kg/EA)</v>
          </cell>
          <cell r="I175" t="str">
            <v>EA</v>
          </cell>
          <cell r="J175">
            <v>1</v>
          </cell>
          <cell r="K175">
            <v>1</v>
          </cell>
          <cell r="L175">
            <v>8820</v>
          </cell>
          <cell r="M175">
            <v>8820</v>
          </cell>
          <cell r="N175">
            <v>882</v>
          </cell>
          <cell r="O175">
            <v>9702</v>
          </cell>
          <cell r="P175">
            <v>0</v>
          </cell>
          <cell r="Q175" t="str">
            <v/>
          </cell>
          <cell r="R175" t="str">
            <v>실온</v>
          </cell>
          <cell r="S175" t="str">
            <v>EA(6)</v>
          </cell>
          <cell r="T175" t="str">
            <v/>
          </cell>
          <cell r="U175" t="str">
            <v/>
          </cell>
          <cell r="V175" t="str">
            <v>2019-03-21</v>
          </cell>
          <cell r="W175" t="str">
            <v>2019-03-21 14:59:02</v>
          </cell>
          <cell r="X175" t="str">
            <v>더바른푸드</v>
          </cell>
        </row>
        <row r="176">
          <cell r="A176">
            <v>172</v>
          </cell>
          <cell r="B176" t="str">
            <v>2019-03-25</v>
          </cell>
          <cell r="C176" t="str">
            <v>더바른푸드</v>
          </cell>
          <cell r="D176" t="str">
            <v>더바른푸드</v>
          </cell>
          <cell r="E176" t="str">
            <v>일반</v>
          </cell>
          <cell r="F176" t="str">
            <v>입고완료</v>
          </cell>
          <cell r="G176">
            <v>166336</v>
          </cell>
          <cell r="H176" t="str">
            <v>종로복떡방 흰바람떡(멥쌀_34입 1Kg/EA)</v>
          </cell>
          <cell r="I176" t="str">
            <v>EA</v>
          </cell>
          <cell r="J176">
            <v>19</v>
          </cell>
          <cell r="K176">
            <v>19</v>
          </cell>
          <cell r="L176">
            <v>7320</v>
          </cell>
          <cell r="M176">
            <v>139080</v>
          </cell>
          <cell r="N176">
            <v>13908</v>
          </cell>
          <cell r="O176">
            <v>152988</v>
          </cell>
          <cell r="P176">
            <v>0</v>
          </cell>
          <cell r="Q176" t="str">
            <v/>
          </cell>
          <cell r="R176" t="str">
            <v>냉동</v>
          </cell>
          <cell r="S176" t="str">
            <v>EA(1)</v>
          </cell>
          <cell r="T176" t="str">
            <v/>
          </cell>
          <cell r="U176" t="str">
            <v/>
          </cell>
          <cell r="V176" t="str">
            <v>2019-03-21</v>
          </cell>
          <cell r="W176" t="str">
            <v>2019-03-21 15:08:31</v>
          </cell>
          <cell r="X176" t="str">
            <v>더바른푸드</v>
          </cell>
        </row>
        <row r="177">
          <cell r="A177">
            <v>173</v>
          </cell>
          <cell r="B177" t="str">
            <v>2019-03-25</v>
          </cell>
          <cell r="C177" t="str">
            <v>더바른푸드</v>
          </cell>
          <cell r="D177" t="str">
            <v>더바른푸드</v>
          </cell>
          <cell r="E177" t="str">
            <v>일반</v>
          </cell>
          <cell r="F177" t="str">
            <v>입고완료</v>
          </cell>
          <cell r="G177">
            <v>270329</v>
          </cell>
          <cell r="H177" t="str">
            <v>안흥식품 할매쌀찐빵(60g내외*16입 960g/EA)</v>
          </cell>
          <cell r="I177" t="str">
            <v>EA</v>
          </cell>
          <cell r="J177">
            <v>2</v>
          </cell>
          <cell r="K177">
            <v>2</v>
          </cell>
          <cell r="L177">
            <v>4480</v>
          </cell>
          <cell r="M177">
            <v>8960</v>
          </cell>
          <cell r="N177">
            <v>896</v>
          </cell>
          <cell r="O177">
            <v>9856</v>
          </cell>
          <cell r="P177">
            <v>0</v>
          </cell>
          <cell r="Q177" t="str">
            <v/>
          </cell>
          <cell r="R177" t="str">
            <v>냉동</v>
          </cell>
          <cell r="S177" t="str">
            <v>EA(8)</v>
          </cell>
          <cell r="T177" t="str">
            <v/>
          </cell>
          <cell r="U177" t="str">
            <v/>
          </cell>
          <cell r="V177" t="str">
            <v>2019-03-21</v>
          </cell>
          <cell r="W177" t="str">
            <v>2019-03-21 15:08:31</v>
          </cell>
          <cell r="X177" t="str">
            <v>더바른푸드</v>
          </cell>
        </row>
        <row r="178">
          <cell r="A178">
            <v>174</v>
          </cell>
          <cell r="B178" t="str">
            <v>2019-03-25</v>
          </cell>
          <cell r="C178" t="str">
            <v>더바른푸드</v>
          </cell>
          <cell r="D178" t="str">
            <v>더바른푸드</v>
          </cell>
          <cell r="E178" t="str">
            <v>일반</v>
          </cell>
          <cell r="F178" t="str">
            <v>입고완료</v>
          </cell>
          <cell r="G178">
            <v>159125</v>
          </cell>
          <cell r="H178" t="str">
            <v>건강마을 플리또주스(100ml_유기농_오렌지 100g/EA)</v>
          </cell>
          <cell r="I178" t="str">
            <v>BOX</v>
          </cell>
          <cell r="J178">
            <v>5</v>
          </cell>
          <cell r="K178">
            <v>5</v>
          </cell>
          <cell r="L178">
            <v>17600</v>
          </cell>
          <cell r="M178">
            <v>88000</v>
          </cell>
          <cell r="N178">
            <v>8800</v>
          </cell>
          <cell r="O178">
            <v>96800</v>
          </cell>
          <cell r="P178">
            <v>0</v>
          </cell>
          <cell r="Q178" t="str">
            <v/>
          </cell>
          <cell r="R178" t="str">
            <v>실온</v>
          </cell>
          <cell r="S178" t="str">
            <v>EA(40)</v>
          </cell>
          <cell r="T178" t="str">
            <v/>
          </cell>
          <cell r="U178" t="str">
            <v/>
          </cell>
          <cell r="V178" t="str">
            <v>2019-03-21</v>
          </cell>
          <cell r="W178" t="str">
            <v>2019-03-21 15:08:31</v>
          </cell>
          <cell r="X178" t="str">
            <v>더바른푸드</v>
          </cell>
        </row>
        <row r="179">
          <cell r="A179">
            <v>175</v>
          </cell>
          <cell r="B179" t="str">
            <v>2019-03-25</v>
          </cell>
          <cell r="C179" t="str">
            <v>더바른푸드</v>
          </cell>
          <cell r="D179" t="str">
            <v>더바른푸드</v>
          </cell>
          <cell r="E179" t="str">
            <v>일반</v>
          </cell>
          <cell r="F179" t="str">
            <v>입고완료</v>
          </cell>
          <cell r="G179">
            <v>160244</v>
          </cell>
          <cell r="H179" t="str">
            <v>비피더스 떠먹는요구르트(복숭아 83g/EA)</v>
          </cell>
          <cell r="I179" t="str">
            <v>EA</v>
          </cell>
          <cell r="J179">
            <v>24</v>
          </cell>
          <cell r="K179">
            <v>24</v>
          </cell>
          <cell r="L179">
            <v>300</v>
          </cell>
          <cell r="M179">
            <v>7200</v>
          </cell>
          <cell r="N179">
            <v>720</v>
          </cell>
          <cell r="O179">
            <v>7920</v>
          </cell>
          <cell r="P179">
            <v>0</v>
          </cell>
          <cell r="Q179" t="str">
            <v>한국</v>
          </cell>
          <cell r="R179" t="str">
            <v>냉장</v>
          </cell>
          <cell r="S179" t="str">
            <v>EA(1)</v>
          </cell>
          <cell r="T179" t="str">
            <v/>
          </cell>
          <cell r="U179" t="str">
            <v>스푼부탁드립니다.</v>
          </cell>
          <cell r="V179" t="str">
            <v>2019-03-21</v>
          </cell>
          <cell r="W179" t="str">
            <v>2019-03-21 15:08:31</v>
          </cell>
          <cell r="X179" t="str">
            <v>더바른푸드</v>
          </cell>
        </row>
        <row r="180">
          <cell r="A180">
            <v>176</v>
          </cell>
          <cell r="B180" t="str">
            <v>2019-03-25</v>
          </cell>
          <cell r="C180" t="str">
            <v>더바른푸드</v>
          </cell>
          <cell r="D180" t="str">
            <v>더바른푸드</v>
          </cell>
          <cell r="E180" t="str">
            <v>일반</v>
          </cell>
          <cell r="F180" t="str">
            <v>입고완료</v>
          </cell>
          <cell r="G180">
            <v>136633</v>
          </cell>
          <cell r="H180" t="str">
            <v>이오 요구르트(80ml_유기농 80g/EA)</v>
          </cell>
          <cell r="I180" t="str">
            <v>EA</v>
          </cell>
          <cell r="J180">
            <v>142</v>
          </cell>
          <cell r="K180">
            <v>142</v>
          </cell>
          <cell r="L180">
            <v>300</v>
          </cell>
          <cell r="M180">
            <v>42600</v>
          </cell>
          <cell r="N180">
            <v>4260</v>
          </cell>
          <cell r="O180">
            <v>46860</v>
          </cell>
          <cell r="P180">
            <v>0</v>
          </cell>
          <cell r="Q180" t="str">
            <v>한국</v>
          </cell>
          <cell r="R180" t="str">
            <v>냉장</v>
          </cell>
          <cell r="S180" t="str">
            <v>EA(50)</v>
          </cell>
          <cell r="T180" t="str">
            <v/>
          </cell>
          <cell r="U180" t="str">
            <v>빨대 부탁드립니다.</v>
          </cell>
          <cell r="V180" t="str">
            <v>2019-03-21</v>
          </cell>
          <cell r="W180" t="str">
            <v>2019-03-21 15:08:31</v>
          </cell>
          <cell r="X180" t="str">
            <v>더바른푸드</v>
          </cell>
        </row>
        <row r="181">
          <cell r="A181">
            <v>177</v>
          </cell>
          <cell r="B181" t="str">
            <v>2019-03-25</v>
          </cell>
          <cell r="C181" t="str">
            <v>더바른푸드</v>
          </cell>
          <cell r="D181" t="str">
            <v>더바른푸드</v>
          </cell>
          <cell r="E181" t="str">
            <v>일반</v>
          </cell>
          <cell r="F181" t="str">
            <v>입고완료</v>
          </cell>
          <cell r="G181">
            <v>143791</v>
          </cell>
          <cell r="H181" t="str">
            <v>이츠웰 참기름(NEW_PET_1.8L 1.65Kg/EA)</v>
          </cell>
          <cell r="I181" t="str">
            <v>EA</v>
          </cell>
          <cell r="J181">
            <v>6</v>
          </cell>
          <cell r="K181">
            <v>6</v>
          </cell>
          <cell r="L181">
            <v>14780</v>
          </cell>
          <cell r="M181">
            <v>88680</v>
          </cell>
          <cell r="N181">
            <v>8868</v>
          </cell>
          <cell r="O181">
            <v>97548</v>
          </cell>
          <cell r="P181">
            <v>0</v>
          </cell>
          <cell r="Q181" t="str">
            <v>베트남</v>
          </cell>
          <cell r="R181" t="str">
            <v>실온</v>
          </cell>
          <cell r="S181" t="str">
            <v>EA(6)</v>
          </cell>
          <cell r="T181" t="str">
            <v/>
          </cell>
          <cell r="U181" t="str">
            <v/>
          </cell>
          <cell r="V181" t="str">
            <v>2019-03-22</v>
          </cell>
          <cell r="W181" t="str">
            <v>2019-03-22 14:50:34</v>
          </cell>
          <cell r="X181" t="str">
            <v>더바른푸드</v>
          </cell>
        </row>
        <row r="182">
          <cell r="A182">
            <v>178</v>
          </cell>
          <cell r="B182" t="str">
            <v>2019-03-25</v>
          </cell>
          <cell r="C182" t="str">
            <v>더바른푸드</v>
          </cell>
          <cell r="D182" t="str">
            <v>더바른푸드</v>
          </cell>
          <cell r="E182" t="str">
            <v>일반</v>
          </cell>
          <cell r="F182" t="str">
            <v>입고완료</v>
          </cell>
          <cell r="G182">
            <v>106019</v>
          </cell>
          <cell r="H182" t="str">
            <v>샘표 진간장(15L_덕용 15Kg/EA)</v>
          </cell>
          <cell r="I182" t="str">
            <v>EA</v>
          </cell>
          <cell r="J182">
            <v>2</v>
          </cell>
          <cell r="K182">
            <v>2</v>
          </cell>
          <cell r="L182">
            <v>20300</v>
          </cell>
          <cell r="M182">
            <v>40600</v>
          </cell>
          <cell r="N182">
            <v>4060</v>
          </cell>
          <cell r="O182">
            <v>44660</v>
          </cell>
          <cell r="P182">
            <v>0</v>
          </cell>
          <cell r="Q182" t="str">
            <v/>
          </cell>
          <cell r="R182" t="str">
            <v>실온</v>
          </cell>
          <cell r="S182" t="str">
            <v>EA(1)</v>
          </cell>
          <cell r="T182" t="str">
            <v/>
          </cell>
          <cell r="U182" t="str">
            <v/>
          </cell>
          <cell r="V182" t="str">
            <v>2019-03-22</v>
          </cell>
          <cell r="W182" t="str">
            <v>2019-03-22 14:50:34</v>
          </cell>
          <cell r="X182" t="str">
            <v>더바른푸드</v>
          </cell>
        </row>
        <row r="183">
          <cell r="A183">
            <v>179</v>
          </cell>
          <cell r="B183" t="str">
            <v>2019-03-22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A184">
            <v>180</v>
          </cell>
          <cell r="B184" t="str">
            <v>2019-03-22</v>
          </cell>
          <cell r="C184" t="str">
            <v>더바른푸드</v>
          </cell>
          <cell r="D184" t="str">
            <v>더바른푸드</v>
          </cell>
          <cell r="E184" t="str">
            <v>일반</v>
          </cell>
          <cell r="F184" t="str">
            <v>입고완료</v>
          </cell>
          <cell r="G184">
            <v>145344</v>
          </cell>
          <cell r="H184" t="str">
            <v>이츠웰 우리밀에그타르트(35g*16입 560g/EA)</v>
          </cell>
          <cell r="I184" t="str">
            <v>EA</v>
          </cell>
          <cell r="J184">
            <v>1</v>
          </cell>
          <cell r="K184">
            <v>1</v>
          </cell>
          <cell r="L184">
            <v>8560</v>
          </cell>
          <cell r="M184">
            <v>8560</v>
          </cell>
          <cell r="N184">
            <v>856</v>
          </cell>
          <cell r="O184">
            <v>9416</v>
          </cell>
          <cell r="P184">
            <v>0</v>
          </cell>
          <cell r="Q184" t="str">
            <v>한국</v>
          </cell>
          <cell r="R184" t="str">
            <v>냉동</v>
          </cell>
          <cell r="S184" t="str">
            <v>EA(10)</v>
          </cell>
          <cell r="T184" t="str">
            <v/>
          </cell>
          <cell r="U184" t="str">
            <v/>
          </cell>
          <cell r="V184" t="str">
            <v>2019-03-15</v>
          </cell>
          <cell r="W184" t="str">
            <v>2019-03-15 15:14:16</v>
          </cell>
          <cell r="X184" t="str">
            <v>더바른푸드</v>
          </cell>
        </row>
        <row r="185">
          <cell r="A185">
            <v>181</v>
          </cell>
          <cell r="B185" t="str">
            <v>2019-03-22</v>
          </cell>
          <cell r="C185" t="str">
            <v>더바른푸드</v>
          </cell>
          <cell r="D185" t="str">
            <v>더바른푸드</v>
          </cell>
          <cell r="E185" t="str">
            <v>일반</v>
          </cell>
          <cell r="F185" t="str">
            <v>입고완료</v>
          </cell>
          <cell r="G185">
            <v>136633</v>
          </cell>
          <cell r="H185" t="str">
            <v>이오 요구르트(80ml_유기농 80g/EA)</v>
          </cell>
          <cell r="I185" t="str">
            <v>EA</v>
          </cell>
          <cell r="J185">
            <v>73</v>
          </cell>
          <cell r="K185">
            <v>73</v>
          </cell>
          <cell r="L185">
            <v>300</v>
          </cell>
          <cell r="M185">
            <v>21900</v>
          </cell>
          <cell r="N185">
            <v>2190</v>
          </cell>
          <cell r="O185">
            <v>24090</v>
          </cell>
          <cell r="P185">
            <v>0</v>
          </cell>
          <cell r="Q185" t="str">
            <v>한국</v>
          </cell>
          <cell r="R185" t="str">
            <v>냉장</v>
          </cell>
          <cell r="S185" t="str">
            <v>EA(50)</v>
          </cell>
          <cell r="T185" t="str">
            <v/>
          </cell>
          <cell r="U185" t="str">
            <v>빨대 넉넉히 부탁드립니다.</v>
          </cell>
          <cell r="V185" t="str">
            <v>2019-03-15</v>
          </cell>
          <cell r="W185" t="str">
            <v>2019-03-15 15:14:16</v>
          </cell>
          <cell r="X185" t="str">
            <v>더바른푸드</v>
          </cell>
        </row>
        <row r="186">
          <cell r="A186">
            <v>182</v>
          </cell>
          <cell r="B186" t="str">
            <v>2019-03-22</v>
          </cell>
          <cell r="C186" t="str">
            <v>더바른푸드</v>
          </cell>
          <cell r="D186" t="str">
            <v>더바른푸드</v>
          </cell>
          <cell r="E186" t="str">
            <v>일반</v>
          </cell>
          <cell r="F186" t="str">
            <v>입고완료</v>
          </cell>
          <cell r="G186">
            <v>122082</v>
          </cell>
          <cell r="H186" t="str">
            <v>빙그레 흰우유(참맛좋은 200g/EA)</v>
          </cell>
          <cell r="I186" t="str">
            <v>EA</v>
          </cell>
          <cell r="J186">
            <v>24</v>
          </cell>
          <cell r="K186">
            <v>24</v>
          </cell>
          <cell r="L186">
            <v>430</v>
          </cell>
          <cell r="M186">
            <v>10320</v>
          </cell>
          <cell r="N186">
            <v>0</v>
          </cell>
          <cell r="O186">
            <v>10320</v>
          </cell>
          <cell r="P186">
            <v>0</v>
          </cell>
          <cell r="Q186" t="str">
            <v>한국</v>
          </cell>
          <cell r="R186" t="str">
            <v>냉장</v>
          </cell>
          <cell r="S186" t="str">
            <v>EA(1)</v>
          </cell>
          <cell r="T186" t="str">
            <v/>
          </cell>
          <cell r="U186" t="str">
            <v/>
          </cell>
          <cell r="V186" t="str">
            <v>2019-03-15</v>
          </cell>
          <cell r="W186" t="str">
            <v>2019-03-15 15:14:16</v>
          </cell>
          <cell r="X186" t="str">
            <v>더바른푸드</v>
          </cell>
        </row>
        <row r="187">
          <cell r="A187">
            <v>183</v>
          </cell>
          <cell r="B187" t="str">
            <v>2019-03-22</v>
          </cell>
          <cell r="C187" t="str">
            <v>더바른푸드</v>
          </cell>
          <cell r="D187" t="str">
            <v>더바른푸드</v>
          </cell>
          <cell r="E187" t="str">
            <v>일반</v>
          </cell>
          <cell r="F187" t="str">
            <v>입고완료</v>
          </cell>
          <cell r="G187">
            <v>160243</v>
          </cell>
          <cell r="H187" t="str">
            <v>비피더스 떠먹는요구르트(딸기 83g/EA)</v>
          </cell>
          <cell r="I187" t="str">
            <v>EA</v>
          </cell>
          <cell r="J187">
            <v>142</v>
          </cell>
          <cell r="K187">
            <v>142</v>
          </cell>
          <cell r="L187">
            <v>290</v>
          </cell>
          <cell r="M187">
            <v>41180</v>
          </cell>
          <cell r="N187">
            <v>4118</v>
          </cell>
          <cell r="O187">
            <v>45298</v>
          </cell>
          <cell r="P187">
            <v>0</v>
          </cell>
          <cell r="Q187" t="str">
            <v>한국</v>
          </cell>
          <cell r="R187" t="str">
            <v>냉장</v>
          </cell>
          <cell r="S187" t="str">
            <v>EA(1)</v>
          </cell>
          <cell r="T187" t="str">
            <v/>
          </cell>
          <cell r="U187" t="str">
            <v/>
          </cell>
          <cell r="V187" t="str">
            <v>2019-03-15</v>
          </cell>
          <cell r="W187" t="str">
            <v>2019-03-15 15:14:16</v>
          </cell>
          <cell r="X187" t="str">
            <v>더바른푸드</v>
          </cell>
        </row>
        <row r="188">
          <cell r="A188">
            <v>184</v>
          </cell>
          <cell r="B188" t="str">
            <v>2019-03-22</v>
          </cell>
          <cell r="C188" t="str">
            <v>더바른푸드</v>
          </cell>
          <cell r="D188" t="str">
            <v>더바른푸드</v>
          </cell>
          <cell r="E188" t="str">
            <v>일반</v>
          </cell>
          <cell r="F188" t="str">
            <v>입고완료</v>
          </cell>
          <cell r="G188">
            <v>166334</v>
          </cell>
          <cell r="H188" t="str">
            <v>종로복떡방 흰꿀떡(멥쌀_20G*50입 1Kg/EA)</v>
          </cell>
          <cell r="I188" t="str">
            <v>EA</v>
          </cell>
          <cell r="J188">
            <v>13</v>
          </cell>
          <cell r="K188">
            <v>13</v>
          </cell>
          <cell r="L188">
            <v>6750</v>
          </cell>
          <cell r="M188">
            <v>87750</v>
          </cell>
          <cell r="N188">
            <v>8775</v>
          </cell>
          <cell r="O188">
            <v>96525</v>
          </cell>
          <cell r="P188">
            <v>0</v>
          </cell>
          <cell r="Q188" t="str">
            <v/>
          </cell>
          <cell r="R188" t="str">
            <v>냉동</v>
          </cell>
          <cell r="S188" t="str">
            <v>EA(1)</v>
          </cell>
          <cell r="T188" t="str">
            <v/>
          </cell>
          <cell r="U188" t="str">
            <v/>
          </cell>
          <cell r="V188" t="str">
            <v>2019-03-15</v>
          </cell>
          <cell r="W188" t="str">
            <v>2019-03-15 15:36:50</v>
          </cell>
          <cell r="X188" t="str">
            <v>더바른푸드</v>
          </cell>
        </row>
        <row r="189">
          <cell r="A189">
            <v>185</v>
          </cell>
          <cell r="B189" t="str">
            <v>2019-03-22</v>
          </cell>
          <cell r="C189" t="str">
            <v>더바른푸드</v>
          </cell>
          <cell r="D189" t="str">
            <v>더바른푸드</v>
          </cell>
          <cell r="E189" t="str">
            <v>일반</v>
          </cell>
          <cell r="F189" t="str">
            <v>입고완료</v>
          </cell>
          <cell r="G189">
            <v>197120</v>
          </cell>
          <cell r="H189" t="str">
            <v>종가집 포기김치(숙성 10Kg/BOX)</v>
          </cell>
          <cell r="I189" t="str">
            <v>BOX</v>
          </cell>
          <cell r="J189">
            <v>8</v>
          </cell>
          <cell r="K189">
            <v>8</v>
          </cell>
          <cell r="L189">
            <v>31390</v>
          </cell>
          <cell r="M189">
            <v>251120</v>
          </cell>
          <cell r="N189">
            <v>0</v>
          </cell>
          <cell r="O189">
            <v>251120</v>
          </cell>
          <cell r="P189">
            <v>0</v>
          </cell>
          <cell r="Q189" t="str">
            <v>한국</v>
          </cell>
          <cell r="R189" t="str">
            <v>냉장</v>
          </cell>
          <cell r="S189" t="str">
            <v>BOX(1)</v>
          </cell>
          <cell r="T189" t="str">
            <v/>
          </cell>
          <cell r="U189" t="str">
            <v/>
          </cell>
          <cell r="V189" t="str">
            <v>2019-03-18</v>
          </cell>
          <cell r="W189" t="str">
            <v>2019-03-18 14:32:21</v>
          </cell>
          <cell r="X189" t="str">
            <v>더바른푸드</v>
          </cell>
        </row>
        <row r="190">
          <cell r="A190">
            <v>186</v>
          </cell>
          <cell r="B190" t="str">
            <v>2019-03-22</v>
          </cell>
          <cell r="C190" t="str">
            <v>더바른푸드</v>
          </cell>
          <cell r="D190" t="str">
            <v>더바른푸드</v>
          </cell>
          <cell r="E190" t="str">
            <v>일반</v>
          </cell>
          <cell r="F190" t="str">
            <v>입고완료</v>
          </cell>
          <cell r="G190">
            <v>193090</v>
          </cell>
          <cell r="H190" t="str">
            <v>냉동감자(절단_3~4cm 1Kg/EA)</v>
          </cell>
          <cell r="I190" t="str">
            <v>EA</v>
          </cell>
          <cell r="J190">
            <v>10</v>
          </cell>
          <cell r="K190">
            <v>10</v>
          </cell>
          <cell r="L190">
            <v>2030</v>
          </cell>
          <cell r="M190">
            <v>20300</v>
          </cell>
          <cell r="N190">
            <v>2030</v>
          </cell>
          <cell r="O190">
            <v>22330</v>
          </cell>
          <cell r="P190">
            <v>0</v>
          </cell>
          <cell r="Q190" t="str">
            <v>중국</v>
          </cell>
          <cell r="R190" t="str">
            <v>냉동</v>
          </cell>
          <cell r="S190" t="str">
            <v>EA(1)</v>
          </cell>
          <cell r="T190" t="str">
            <v/>
          </cell>
          <cell r="U190" t="str">
            <v/>
          </cell>
          <cell r="V190" t="str">
            <v>2019-03-19</v>
          </cell>
          <cell r="W190" t="str">
            <v>2019-03-19 14:21:19</v>
          </cell>
          <cell r="X190" t="str">
            <v>더바른푸드</v>
          </cell>
        </row>
        <row r="191">
          <cell r="A191">
            <v>187</v>
          </cell>
          <cell r="B191" t="str">
            <v>2019-03-22</v>
          </cell>
          <cell r="C191" t="str">
            <v>더바른푸드</v>
          </cell>
          <cell r="D191" t="str">
            <v>더바른푸드</v>
          </cell>
          <cell r="E191" t="str">
            <v>일반</v>
          </cell>
          <cell r="F191" t="str">
            <v>입고완료</v>
          </cell>
          <cell r="G191">
            <v>251973</v>
          </cell>
          <cell r="H191" t="str">
            <v>냉동혼합채소2종(감자+당근 짜장용 1Kg/EA)</v>
          </cell>
          <cell r="I191" t="str">
            <v>EA</v>
          </cell>
          <cell r="J191">
            <v>10</v>
          </cell>
          <cell r="K191">
            <v>10</v>
          </cell>
          <cell r="L191">
            <v>2260</v>
          </cell>
          <cell r="M191">
            <v>22600</v>
          </cell>
          <cell r="N191">
            <v>2260</v>
          </cell>
          <cell r="O191">
            <v>24860</v>
          </cell>
          <cell r="P191">
            <v>0</v>
          </cell>
          <cell r="Q191" t="str">
            <v>스페인</v>
          </cell>
          <cell r="R191" t="str">
            <v>냉동</v>
          </cell>
          <cell r="S191" t="str">
            <v>EA(1)</v>
          </cell>
          <cell r="T191" t="str">
            <v/>
          </cell>
          <cell r="U191" t="str">
            <v/>
          </cell>
          <cell r="V191" t="str">
            <v>2019-03-19</v>
          </cell>
          <cell r="W191" t="str">
            <v>2019-03-19 15:03:04</v>
          </cell>
          <cell r="X191" t="str">
            <v>더바른푸드</v>
          </cell>
        </row>
        <row r="192">
          <cell r="A192">
            <v>188</v>
          </cell>
          <cell r="B192" t="str">
            <v>2019-03-22</v>
          </cell>
          <cell r="C192" t="str">
            <v>더바른푸드</v>
          </cell>
          <cell r="D192" t="str">
            <v>더바른푸드</v>
          </cell>
          <cell r="E192" t="str">
            <v>일반</v>
          </cell>
          <cell r="F192" t="str">
            <v>입고완료</v>
          </cell>
          <cell r="G192">
            <v>118384</v>
          </cell>
          <cell r="H192" t="str">
            <v>오뚜기 카레(순한맛 1Kg/EA)</v>
          </cell>
          <cell r="I192" t="str">
            <v>EA</v>
          </cell>
          <cell r="J192">
            <v>10</v>
          </cell>
          <cell r="K192">
            <v>10</v>
          </cell>
          <cell r="L192">
            <v>4540</v>
          </cell>
          <cell r="M192">
            <v>45400</v>
          </cell>
          <cell r="N192">
            <v>4540</v>
          </cell>
          <cell r="O192">
            <v>49940</v>
          </cell>
          <cell r="P192">
            <v>0</v>
          </cell>
          <cell r="Q192" t="str">
            <v/>
          </cell>
          <cell r="R192" t="str">
            <v>실온</v>
          </cell>
          <cell r="S192" t="str">
            <v>EA(10)</v>
          </cell>
          <cell r="T192" t="str">
            <v/>
          </cell>
          <cell r="U192" t="str">
            <v/>
          </cell>
          <cell r="V192" t="str">
            <v>2019-03-19</v>
          </cell>
          <cell r="W192" t="str">
            <v>2019-03-19 15:03:04</v>
          </cell>
          <cell r="X192" t="str">
            <v>더바른푸드</v>
          </cell>
        </row>
        <row r="193">
          <cell r="A193">
            <v>189</v>
          </cell>
          <cell r="B193" t="str">
            <v>2019-03-22</v>
          </cell>
          <cell r="C193" t="str">
            <v>더바른푸드</v>
          </cell>
          <cell r="D193" t="str">
            <v>더바른푸드</v>
          </cell>
          <cell r="E193" t="str">
            <v>일반</v>
          </cell>
          <cell r="F193" t="str">
            <v>입고완료</v>
          </cell>
          <cell r="G193">
            <v>249240</v>
          </cell>
          <cell r="H193" t="str">
            <v>파스타빌라 스파게티(500g/EA)</v>
          </cell>
          <cell r="I193" t="str">
            <v>EA</v>
          </cell>
          <cell r="J193">
            <v>7</v>
          </cell>
          <cell r="K193">
            <v>7</v>
          </cell>
          <cell r="L193">
            <v>690</v>
          </cell>
          <cell r="M193">
            <v>4830</v>
          </cell>
          <cell r="N193">
            <v>483</v>
          </cell>
          <cell r="O193">
            <v>5313</v>
          </cell>
          <cell r="P193">
            <v>0</v>
          </cell>
          <cell r="Q193" t="str">
            <v>터키</v>
          </cell>
          <cell r="R193" t="str">
            <v>실온</v>
          </cell>
          <cell r="S193" t="str">
            <v>EA(20)</v>
          </cell>
          <cell r="T193" t="str">
            <v/>
          </cell>
          <cell r="U193" t="str">
            <v/>
          </cell>
          <cell r="V193" t="str">
            <v>2019-03-19</v>
          </cell>
          <cell r="W193" t="str">
            <v>2019-03-19 15:03:04</v>
          </cell>
          <cell r="X193" t="str">
            <v>더바른푸드</v>
          </cell>
        </row>
        <row r="194">
          <cell r="A194">
            <v>190</v>
          </cell>
          <cell r="B194" t="str">
            <v>2019-03-22</v>
          </cell>
          <cell r="C194" t="str">
            <v>더바른푸드</v>
          </cell>
          <cell r="D194" t="str">
            <v>더바른푸드</v>
          </cell>
          <cell r="E194" t="str">
            <v>일반</v>
          </cell>
          <cell r="F194" t="str">
            <v>입고완료</v>
          </cell>
          <cell r="G194">
            <v>137759</v>
          </cell>
          <cell r="H194" t="str">
            <v>이츠웰 토마토스파게티소스(NEW 2Kg/EA)</v>
          </cell>
          <cell r="I194" t="str">
            <v>EA</v>
          </cell>
          <cell r="J194">
            <v>1</v>
          </cell>
          <cell r="K194">
            <v>1</v>
          </cell>
          <cell r="L194">
            <v>7890</v>
          </cell>
          <cell r="M194">
            <v>7890</v>
          </cell>
          <cell r="N194">
            <v>789</v>
          </cell>
          <cell r="O194">
            <v>8679</v>
          </cell>
          <cell r="P194">
            <v>0</v>
          </cell>
          <cell r="Q194" t="str">
            <v/>
          </cell>
          <cell r="R194" t="str">
            <v>냉장</v>
          </cell>
          <cell r="S194" t="str">
            <v>EA(6)</v>
          </cell>
          <cell r="T194" t="str">
            <v/>
          </cell>
          <cell r="U194" t="str">
            <v/>
          </cell>
          <cell r="V194" t="str">
            <v>2019-03-19</v>
          </cell>
          <cell r="W194" t="str">
            <v>2019-03-19 15:03:04</v>
          </cell>
          <cell r="X194" t="str">
            <v>더바른푸드</v>
          </cell>
        </row>
        <row r="195">
          <cell r="A195">
            <v>191</v>
          </cell>
          <cell r="B195" t="str">
            <v>2019-03-22</v>
          </cell>
          <cell r="C195" t="str">
            <v>더바른푸드</v>
          </cell>
          <cell r="D195" t="str">
            <v>더바른푸드</v>
          </cell>
          <cell r="E195" t="str">
            <v>일반</v>
          </cell>
          <cell r="F195" t="str">
            <v>입고완료</v>
          </cell>
          <cell r="G195">
            <v>173174</v>
          </cell>
          <cell r="H195" t="str">
            <v>이츠웰 치킨너겟(골든 55±3개입 1Kg/EA)</v>
          </cell>
          <cell r="I195" t="str">
            <v>EA</v>
          </cell>
          <cell r="J195">
            <v>3</v>
          </cell>
          <cell r="K195">
            <v>3</v>
          </cell>
          <cell r="L195">
            <v>4700</v>
          </cell>
          <cell r="M195">
            <v>14100</v>
          </cell>
          <cell r="N195">
            <v>1410</v>
          </cell>
          <cell r="O195">
            <v>15510</v>
          </cell>
          <cell r="P195">
            <v>0</v>
          </cell>
          <cell r="Q195" t="str">
            <v>한국</v>
          </cell>
          <cell r="R195" t="str">
            <v>냉동</v>
          </cell>
          <cell r="S195" t="str">
            <v>EA(10)</v>
          </cell>
          <cell r="T195" t="str">
            <v/>
          </cell>
          <cell r="U195" t="str">
            <v/>
          </cell>
          <cell r="V195" t="str">
            <v>2019-03-19</v>
          </cell>
          <cell r="W195" t="str">
            <v>2019-03-19 15:03:04</v>
          </cell>
          <cell r="X195" t="str">
            <v>더바른푸드</v>
          </cell>
        </row>
        <row r="196">
          <cell r="A196">
            <v>192</v>
          </cell>
          <cell r="B196" t="str">
            <v>2019-03-22</v>
          </cell>
          <cell r="C196" t="str">
            <v>더바른푸드</v>
          </cell>
          <cell r="D196" t="str">
            <v>더바른푸드</v>
          </cell>
          <cell r="E196" t="str">
            <v>일반</v>
          </cell>
          <cell r="F196" t="str">
            <v>입고완료</v>
          </cell>
          <cell r="G196">
            <v>143285</v>
          </cell>
          <cell r="H196" t="str">
            <v>이츠웰 오이피클(캔_슬라이스 3Kg/EA)</v>
          </cell>
          <cell r="I196" t="str">
            <v>EA</v>
          </cell>
          <cell r="J196">
            <v>1</v>
          </cell>
          <cell r="K196">
            <v>1</v>
          </cell>
          <cell r="L196">
            <v>4880</v>
          </cell>
          <cell r="M196">
            <v>4880</v>
          </cell>
          <cell r="N196">
            <v>488</v>
          </cell>
          <cell r="O196">
            <v>5368</v>
          </cell>
          <cell r="P196">
            <v>0</v>
          </cell>
          <cell r="Q196" t="str">
            <v/>
          </cell>
          <cell r="R196" t="str">
            <v>실온</v>
          </cell>
          <cell r="S196" t="str">
            <v>EA(6)</v>
          </cell>
          <cell r="T196" t="str">
            <v/>
          </cell>
          <cell r="U196" t="str">
            <v/>
          </cell>
          <cell r="V196" t="str">
            <v>2019-03-19</v>
          </cell>
          <cell r="W196" t="str">
            <v>2019-03-19 15:03:04</v>
          </cell>
          <cell r="X196" t="str">
            <v>더바른푸드</v>
          </cell>
        </row>
        <row r="197">
          <cell r="A197">
            <v>193</v>
          </cell>
          <cell r="B197" t="str">
            <v>2019-03-22</v>
          </cell>
          <cell r="C197" t="str">
            <v>더바른푸드</v>
          </cell>
          <cell r="D197" t="str">
            <v>더바른푸드</v>
          </cell>
          <cell r="E197" t="str">
            <v>일반</v>
          </cell>
          <cell r="F197" t="str">
            <v>입고완료</v>
          </cell>
          <cell r="G197">
            <v>136708</v>
          </cell>
          <cell r="H197" t="str">
            <v>마더구스 케익(치즈케익_80조각 700g/EA)</v>
          </cell>
          <cell r="I197" t="str">
            <v>EA</v>
          </cell>
          <cell r="J197">
            <v>2</v>
          </cell>
          <cell r="K197">
            <v>2</v>
          </cell>
          <cell r="L197">
            <v>11100</v>
          </cell>
          <cell r="M197">
            <v>22200</v>
          </cell>
          <cell r="N197">
            <v>2220</v>
          </cell>
          <cell r="O197">
            <v>24420</v>
          </cell>
          <cell r="P197">
            <v>0</v>
          </cell>
          <cell r="Q197" t="str">
            <v/>
          </cell>
          <cell r="R197" t="str">
            <v>냉동</v>
          </cell>
          <cell r="S197" t="str">
            <v>EA(10)</v>
          </cell>
          <cell r="T197" t="str">
            <v/>
          </cell>
          <cell r="U197" t="str">
            <v/>
          </cell>
          <cell r="V197" t="str">
            <v>2019-03-19</v>
          </cell>
          <cell r="W197" t="str">
            <v>2019-03-19 15:03:04</v>
          </cell>
          <cell r="X197" t="str">
            <v>더바른푸드</v>
          </cell>
        </row>
        <row r="198">
          <cell r="A198">
            <v>194</v>
          </cell>
          <cell r="B198" t="str">
            <v>2019-03-22</v>
          </cell>
          <cell r="C198" t="str">
            <v>더바른푸드</v>
          </cell>
          <cell r="D198" t="str">
            <v>더바른푸드</v>
          </cell>
          <cell r="E198" t="str">
            <v>일반</v>
          </cell>
          <cell r="F198" t="str">
            <v>입고완료</v>
          </cell>
          <cell r="G198">
            <v>206875</v>
          </cell>
          <cell r="H198" t="str">
            <v>바나나(1송이_13~15개입 1.5Kg/PAC)</v>
          </cell>
          <cell r="I198" t="str">
            <v>PAC</v>
          </cell>
          <cell r="J198">
            <v>3</v>
          </cell>
          <cell r="K198">
            <v>3</v>
          </cell>
          <cell r="L198">
            <v>5750</v>
          </cell>
          <cell r="M198">
            <v>17250</v>
          </cell>
          <cell r="N198">
            <v>0</v>
          </cell>
          <cell r="O198">
            <v>17250</v>
          </cell>
          <cell r="P198">
            <v>0</v>
          </cell>
          <cell r="Q198" t="str">
            <v>필리핀</v>
          </cell>
          <cell r="R198" t="str">
            <v>실온</v>
          </cell>
          <cell r="S198" t="str">
            <v>PAC(1)</v>
          </cell>
          <cell r="T198" t="str">
            <v/>
          </cell>
          <cell r="U198" t="str">
            <v/>
          </cell>
          <cell r="V198" t="str">
            <v>2019-03-19</v>
          </cell>
          <cell r="W198" t="str">
            <v>2019-03-19 15:05:35</v>
          </cell>
          <cell r="X198" t="str">
            <v>더바른푸드</v>
          </cell>
        </row>
        <row r="199">
          <cell r="A199">
            <v>195</v>
          </cell>
          <cell r="B199" t="str">
            <v>2019-03-22</v>
          </cell>
          <cell r="C199" t="str">
            <v>더바른푸드</v>
          </cell>
          <cell r="D199" t="str">
            <v>더바른푸드</v>
          </cell>
          <cell r="E199" t="str">
            <v>일반</v>
          </cell>
          <cell r="F199" t="str">
            <v>입고완료</v>
          </cell>
          <cell r="G199">
            <v>143910</v>
          </cell>
          <cell r="H199" t="str">
            <v>종로복떡방 인절미(50개입 1Kg/EA)</v>
          </cell>
          <cell r="I199" t="str">
            <v>EA</v>
          </cell>
          <cell r="J199">
            <v>1</v>
          </cell>
          <cell r="K199">
            <v>1</v>
          </cell>
          <cell r="L199">
            <v>9740</v>
          </cell>
          <cell r="M199">
            <v>9740</v>
          </cell>
          <cell r="N199">
            <v>974</v>
          </cell>
          <cell r="O199">
            <v>10714</v>
          </cell>
          <cell r="P199">
            <v>0</v>
          </cell>
          <cell r="Q199" t="str">
            <v/>
          </cell>
          <cell r="R199" t="str">
            <v>냉동</v>
          </cell>
          <cell r="S199" t="str">
            <v>EA(1)</v>
          </cell>
          <cell r="T199" t="str">
            <v/>
          </cell>
          <cell r="U199" t="str">
            <v/>
          </cell>
          <cell r="V199" t="str">
            <v>2019-03-19</v>
          </cell>
          <cell r="W199" t="str">
            <v>2019-03-19 15:08:31</v>
          </cell>
          <cell r="X199" t="str">
            <v>더바른푸드</v>
          </cell>
        </row>
        <row r="200">
          <cell r="A200">
            <v>196</v>
          </cell>
          <cell r="B200" t="str">
            <v>2019-03-22</v>
          </cell>
          <cell r="C200" t="str">
            <v>더바른푸드</v>
          </cell>
          <cell r="D200" t="str">
            <v>더바른푸드</v>
          </cell>
          <cell r="E200" t="str">
            <v>일반</v>
          </cell>
          <cell r="F200" t="str">
            <v>입고완료</v>
          </cell>
          <cell r="G200">
            <v>319698</v>
          </cell>
          <cell r="H200" t="str">
            <v>전장김(25g/EA)</v>
          </cell>
          <cell r="I200" t="str">
            <v>EA</v>
          </cell>
          <cell r="J200">
            <v>29</v>
          </cell>
          <cell r="K200">
            <v>29</v>
          </cell>
          <cell r="L200">
            <v>760</v>
          </cell>
          <cell r="M200">
            <v>22040</v>
          </cell>
          <cell r="N200">
            <v>2204</v>
          </cell>
          <cell r="O200">
            <v>24244</v>
          </cell>
          <cell r="P200">
            <v>0</v>
          </cell>
          <cell r="Q200" t="str">
            <v>한국</v>
          </cell>
          <cell r="R200" t="str">
            <v>실온</v>
          </cell>
          <cell r="S200" t="str">
            <v>EA(40)</v>
          </cell>
          <cell r="T200" t="str">
            <v/>
          </cell>
          <cell r="U200" t="str">
            <v/>
          </cell>
          <cell r="V200" t="str">
            <v>2019-03-19</v>
          </cell>
          <cell r="W200" t="str">
            <v>2019-03-19 15:15:52</v>
          </cell>
          <cell r="X200" t="str">
            <v>더바른푸드</v>
          </cell>
        </row>
        <row r="201">
          <cell r="A201">
            <v>197</v>
          </cell>
          <cell r="B201" t="str">
            <v>2019-03-22</v>
          </cell>
          <cell r="C201" t="str">
            <v>더바른푸드</v>
          </cell>
          <cell r="D201" t="str">
            <v>더바른푸드</v>
          </cell>
          <cell r="E201" t="str">
            <v>일반</v>
          </cell>
          <cell r="F201" t="str">
            <v>입고완료</v>
          </cell>
          <cell r="G201">
            <v>114264</v>
          </cell>
          <cell r="H201" t="str">
            <v>동성식품 한입쌀떡볶이떡(1Kg/EA)</v>
          </cell>
          <cell r="I201" t="str">
            <v>EA</v>
          </cell>
          <cell r="J201">
            <v>13</v>
          </cell>
          <cell r="K201">
            <v>13</v>
          </cell>
          <cell r="L201">
            <v>1340</v>
          </cell>
          <cell r="M201">
            <v>17420</v>
          </cell>
          <cell r="N201">
            <v>1742</v>
          </cell>
          <cell r="O201">
            <v>19162</v>
          </cell>
          <cell r="P201">
            <v>0</v>
          </cell>
          <cell r="Q201" t="str">
            <v>수입산</v>
          </cell>
          <cell r="R201" t="str">
            <v>냉장</v>
          </cell>
          <cell r="S201" t="str">
            <v>EA(1)</v>
          </cell>
          <cell r="T201" t="str">
            <v/>
          </cell>
          <cell r="U201" t="str">
            <v/>
          </cell>
          <cell r="V201" t="str">
            <v>2019-03-20</v>
          </cell>
          <cell r="W201" t="str">
            <v>2019-03-20 15:08:26</v>
          </cell>
          <cell r="X201" t="str">
            <v>더바른푸드</v>
          </cell>
        </row>
        <row r="202">
          <cell r="A202">
            <v>198</v>
          </cell>
          <cell r="B202" t="str">
            <v>2019-03-22</v>
          </cell>
          <cell r="C202" t="str">
            <v>더바른푸드</v>
          </cell>
          <cell r="D202" t="str">
            <v>더바른푸드</v>
          </cell>
          <cell r="E202" t="str">
            <v>일반</v>
          </cell>
          <cell r="F202" t="str">
            <v>입고완료</v>
          </cell>
          <cell r="G202">
            <v>178343</v>
          </cell>
          <cell r="H202" t="str">
            <v>딤섬 표고버섯튀김(65±5개입 1Kg/EA)</v>
          </cell>
          <cell r="I202" t="str">
            <v>EA</v>
          </cell>
          <cell r="J202">
            <v>16</v>
          </cell>
          <cell r="K202">
            <v>16</v>
          </cell>
          <cell r="L202">
            <v>5160</v>
          </cell>
          <cell r="M202">
            <v>82560</v>
          </cell>
          <cell r="N202">
            <v>8256</v>
          </cell>
          <cell r="O202">
            <v>90816</v>
          </cell>
          <cell r="P202">
            <v>0</v>
          </cell>
          <cell r="Q202" t="str">
            <v/>
          </cell>
          <cell r="R202" t="str">
            <v>냉동</v>
          </cell>
          <cell r="S202" t="str">
            <v>EA(10)</v>
          </cell>
          <cell r="T202" t="str">
            <v/>
          </cell>
          <cell r="U202" t="str">
            <v/>
          </cell>
          <cell r="V202" t="str">
            <v>2019-03-20</v>
          </cell>
          <cell r="W202" t="str">
            <v>2019-03-20 15:09:18</v>
          </cell>
          <cell r="X202" t="str">
            <v>더바른푸드</v>
          </cell>
        </row>
        <row r="203">
          <cell r="A203">
            <v>199</v>
          </cell>
          <cell r="B203" t="str">
            <v>2019-03-22</v>
          </cell>
          <cell r="C203" t="str">
            <v>더바른푸드</v>
          </cell>
          <cell r="D203" t="str">
            <v>더바른푸드</v>
          </cell>
          <cell r="E203" t="str">
            <v>일반</v>
          </cell>
          <cell r="F203" t="str">
            <v>입고완료</v>
          </cell>
          <cell r="G203">
            <v>221093</v>
          </cell>
          <cell r="H203" t="str">
            <v>건흑목이버섯(1Kg/EA)</v>
          </cell>
          <cell r="I203" t="str">
            <v>EA</v>
          </cell>
          <cell r="J203">
            <v>1</v>
          </cell>
          <cell r="K203">
            <v>1</v>
          </cell>
          <cell r="L203">
            <v>15860</v>
          </cell>
          <cell r="M203">
            <v>15860</v>
          </cell>
          <cell r="N203">
            <v>0</v>
          </cell>
          <cell r="O203">
            <v>15860</v>
          </cell>
          <cell r="P203">
            <v>0</v>
          </cell>
          <cell r="Q203" t="str">
            <v>중국</v>
          </cell>
          <cell r="R203" t="str">
            <v>실온</v>
          </cell>
          <cell r="S203" t="str">
            <v>EA(1)</v>
          </cell>
          <cell r="T203" t="str">
            <v/>
          </cell>
          <cell r="U203" t="str">
            <v/>
          </cell>
          <cell r="V203" t="str">
            <v>2019-03-20</v>
          </cell>
          <cell r="W203" t="str">
            <v>2019-03-20 15:11:21</v>
          </cell>
          <cell r="X203" t="str">
            <v>더바른푸드</v>
          </cell>
        </row>
        <row r="204">
          <cell r="A204">
            <v>200</v>
          </cell>
          <cell r="B204" t="str">
            <v>2019-03-22</v>
          </cell>
          <cell r="C204" t="str">
            <v>더바른푸드</v>
          </cell>
          <cell r="D204" t="str">
            <v>더바른푸드</v>
          </cell>
          <cell r="E204" t="str">
            <v>일반</v>
          </cell>
          <cell r="F204" t="str">
            <v>입고완료</v>
          </cell>
          <cell r="G204">
            <v>228824</v>
          </cell>
          <cell r="H204" t="str">
            <v>고등어(내장제거_90~110g/토막_평균100g 구이용 100g/EA)</v>
          </cell>
          <cell r="I204" t="str">
            <v>EA</v>
          </cell>
          <cell r="J204">
            <v>100</v>
          </cell>
          <cell r="K204">
            <v>100</v>
          </cell>
          <cell r="L204">
            <v>460</v>
          </cell>
          <cell r="M204">
            <v>46000</v>
          </cell>
          <cell r="N204">
            <v>0</v>
          </cell>
          <cell r="O204">
            <v>46000</v>
          </cell>
          <cell r="P204">
            <v>0</v>
          </cell>
          <cell r="Q204" t="str">
            <v>한국</v>
          </cell>
          <cell r="R204" t="str">
            <v>냉동</v>
          </cell>
          <cell r="S204" t="str">
            <v>EA(1)</v>
          </cell>
          <cell r="T204" t="str">
            <v/>
          </cell>
          <cell r="U204" t="str">
            <v/>
          </cell>
          <cell r="V204" t="str">
            <v>2019-03-20</v>
          </cell>
          <cell r="W204" t="str">
            <v>2019-03-20 15:11:21</v>
          </cell>
          <cell r="X204" t="str">
            <v>더바른푸드</v>
          </cell>
        </row>
        <row r="205">
          <cell r="A205">
            <v>201</v>
          </cell>
          <cell r="B205" t="str">
            <v>2019-03-22</v>
          </cell>
          <cell r="C205" t="str">
            <v>더바른푸드</v>
          </cell>
          <cell r="D205" t="str">
            <v>더바른푸드</v>
          </cell>
          <cell r="E205" t="str">
            <v>일반</v>
          </cell>
          <cell r="F205" t="str">
            <v>입고완료</v>
          </cell>
          <cell r="G205">
            <v>201152</v>
          </cell>
          <cell r="H205" t="str">
            <v>깐도라지채(KG)</v>
          </cell>
          <cell r="I205" t="str">
            <v>KG</v>
          </cell>
          <cell r="J205">
            <v>5</v>
          </cell>
          <cell r="K205">
            <v>5</v>
          </cell>
          <cell r="L205">
            <v>5380</v>
          </cell>
          <cell r="M205">
            <v>26900</v>
          </cell>
          <cell r="N205">
            <v>0</v>
          </cell>
          <cell r="O205">
            <v>26900</v>
          </cell>
          <cell r="P205">
            <v>0</v>
          </cell>
          <cell r="Q205" t="str">
            <v>중국</v>
          </cell>
          <cell r="R205" t="str">
            <v>냉장</v>
          </cell>
          <cell r="S205" t="str">
            <v>KG(1)</v>
          </cell>
          <cell r="T205" t="str">
            <v/>
          </cell>
          <cell r="U205" t="str">
            <v/>
          </cell>
          <cell r="V205" t="str">
            <v>2019-03-20</v>
          </cell>
          <cell r="W205" t="str">
            <v>2019-03-20 15:11:21</v>
          </cell>
          <cell r="X205" t="str">
            <v>더바른푸드</v>
          </cell>
        </row>
        <row r="206">
          <cell r="A206">
            <v>202</v>
          </cell>
          <cell r="B206" t="str">
            <v>2019-03-22</v>
          </cell>
          <cell r="C206" t="str">
            <v>더바른푸드</v>
          </cell>
          <cell r="D206" t="str">
            <v>더바른푸드</v>
          </cell>
          <cell r="E206" t="str">
            <v>일반</v>
          </cell>
          <cell r="F206" t="str">
            <v>입고완료</v>
          </cell>
          <cell r="G206">
            <v>256983</v>
          </cell>
          <cell r="H206" t="str">
            <v>늘만나 맛김치(약숙_일반 10Kg/BOX)</v>
          </cell>
          <cell r="I206" t="str">
            <v>BOX</v>
          </cell>
          <cell r="J206">
            <v>1</v>
          </cell>
          <cell r="K206">
            <v>1</v>
          </cell>
          <cell r="L206">
            <v>32900</v>
          </cell>
          <cell r="M206">
            <v>32900</v>
          </cell>
          <cell r="N206">
            <v>0</v>
          </cell>
          <cell r="O206">
            <v>32900</v>
          </cell>
          <cell r="P206">
            <v>0</v>
          </cell>
          <cell r="Q206" t="str">
            <v/>
          </cell>
          <cell r="R206" t="str">
            <v>냉장</v>
          </cell>
          <cell r="S206" t="str">
            <v>BOX(1)</v>
          </cell>
          <cell r="T206" t="str">
            <v/>
          </cell>
          <cell r="U206" t="str">
            <v/>
          </cell>
          <cell r="V206" t="str">
            <v>2019-03-20</v>
          </cell>
          <cell r="W206" t="str">
            <v>2019-03-20 15:11:21</v>
          </cell>
          <cell r="X206" t="str">
            <v>더바른푸드</v>
          </cell>
        </row>
        <row r="207">
          <cell r="A207">
            <v>203</v>
          </cell>
          <cell r="B207" t="str">
            <v>2019-03-22</v>
          </cell>
          <cell r="C207" t="str">
            <v>더바른푸드</v>
          </cell>
          <cell r="D207" t="str">
            <v>더바른푸드</v>
          </cell>
          <cell r="E207" t="str">
            <v>일반</v>
          </cell>
          <cell r="F207" t="str">
            <v>입고완료</v>
          </cell>
          <cell r="G207">
            <v>248028</v>
          </cell>
          <cell r="H207" t="str">
            <v>이츠웰 오징어채(1Kg/EA)</v>
          </cell>
          <cell r="I207" t="str">
            <v>EA</v>
          </cell>
          <cell r="J207">
            <v>5</v>
          </cell>
          <cell r="K207">
            <v>5</v>
          </cell>
          <cell r="L207">
            <v>11630</v>
          </cell>
          <cell r="M207">
            <v>58150</v>
          </cell>
          <cell r="N207">
            <v>0</v>
          </cell>
          <cell r="O207">
            <v>58150</v>
          </cell>
          <cell r="P207">
            <v>0</v>
          </cell>
          <cell r="Q207" t="str">
            <v>한국</v>
          </cell>
          <cell r="R207" t="str">
            <v>냉동</v>
          </cell>
          <cell r="S207" t="str">
            <v>EA(10)</v>
          </cell>
          <cell r="T207" t="str">
            <v/>
          </cell>
          <cell r="U207" t="str">
            <v/>
          </cell>
          <cell r="V207" t="str">
            <v>2019-03-20</v>
          </cell>
          <cell r="W207" t="str">
            <v>2019-03-20 15:11:21</v>
          </cell>
          <cell r="X207" t="str">
            <v>더바른푸드</v>
          </cell>
        </row>
        <row r="208">
          <cell r="A208">
            <v>204</v>
          </cell>
          <cell r="B208" t="str">
            <v>2019-03-22</v>
          </cell>
          <cell r="C208" t="str">
            <v>더바른푸드</v>
          </cell>
          <cell r="D208" t="str">
            <v>더바른푸드</v>
          </cell>
          <cell r="E208" t="str">
            <v>일반</v>
          </cell>
          <cell r="F208" t="str">
            <v>입고완료</v>
          </cell>
          <cell r="G208">
            <v>108420</v>
          </cell>
          <cell r="H208" t="str">
            <v>사조 참치캔(살코기 1.88Kg/EA)</v>
          </cell>
          <cell r="I208" t="str">
            <v>EA</v>
          </cell>
          <cell r="J208">
            <v>2</v>
          </cell>
          <cell r="K208">
            <v>2</v>
          </cell>
          <cell r="L208">
            <v>13730</v>
          </cell>
          <cell r="M208">
            <v>27460</v>
          </cell>
          <cell r="N208">
            <v>2746</v>
          </cell>
          <cell r="O208">
            <v>30206</v>
          </cell>
          <cell r="P208">
            <v>0</v>
          </cell>
          <cell r="Q208" t="str">
            <v/>
          </cell>
          <cell r="R208" t="str">
            <v>실온</v>
          </cell>
          <cell r="S208" t="str">
            <v>EA(6)</v>
          </cell>
          <cell r="T208" t="str">
            <v/>
          </cell>
          <cell r="U208" t="str">
            <v/>
          </cell>
          <cell r="V208" t="str">
            <v>2019-03-20</v>
          </cell>
          <cell r="W208" t="str">
            <v>2019-03-20 15:12:21</v>
          </cell>
          <cell r="X208" t="str">
            <v>더바른푸드</v>
          </cell>
        </row>
        <row r="209">
          <cell r="A209">
            <v>205</v>
          </cell>
          <cell r="B209" t="str">
            <v>2019-03-22</v>
          </cell>
          <cell r="C209" t="str">
            <v>더바른푸드</v>
          </cell>
          <cell r="D209" t="str">
            <v>더바른푸드</v>
          </cell>
          <cell r="E209" t="str">
            <v>일반</v>
          </cell>
          <cell r="F209" t="str">
            <v>입고완료</v>
          </cell>
          <cell r="G209">
            <v>406596</v>
          </cell>
          <cell r="H209" t="str">
            <v>체리부로 닭윙(1등급 30±5g/개_껍질있음 KG)</v>
          </cell>
          <cell r="I209" t="str">
            <v>KG</v>
          </cell>
          <cell r="J209">
            <v>99</v>
          </cell>
          <cell r="K209">
            <v>99</v>
          </cell>
          <cell r="L209">
            <v>6410</v>
          </cell>
          <cell r="M209">
            <v>634590</v>
          </cell>
          <cell r="N209">
            <v>0</v>
          </cell>
          <cell r="O209">
            <v>634590</v>
          </cell>
          <cell r="P209">
            <v>0</v>
          </cell>
          <cell r="Q209" t="str">
            <v>한국</v>
          </cell>
          <cell r="R209" t="str">
            <v>냉장</v>
          </cell>
          <cell r="S209" t="str">
            <v>KG(1)</v>
          </cell>
          <cell r="T209" t="str">
            <v/>
          </cell>
          <cell r="U209" t="str">
            <v/>
          </cell>
          <cell r="V209" t="str">
            <v>2019-03-20</v>
          </cell>
          <cell r="W209" t="str">
            <v>2019-03-20 15:29:52</v>
          </cell>
          <cell r="X209" t="str">
            <v>더바른푸드</v>
          </cell>
        </row>
        <row r="210">
          <cell r="A210">
            <v>206</v>
          </cell>
          <cell r="B210" t="str">
            <v>2019-03-22</v>
          </cell>
          <cell r="C210" t="str">
            <v>더바른푸드</v>
          </cell>
          <cell r="D210" t="str">
            <v>더바른푸드</v>
          </cell>
          <cell r="E210" t="str">
            <v>일반</v>
          </cell>
          <cell r="F210" t="str">
            <v>입고완료</v>
          </cell>
          <cell r="G210">
            <v>144979</v>
          </cell>
          <cell r="H210" t="str">
            <v>이츠웰 스테이크소스(PET 2Kg/EA)</v>
          </cell>
          <cell r="I210" t="str">
            <v>EA</v>
          </cell>
          <cell r="J210">
            <v>6</v>
          </cell>
          <cell r="K210">
            <v>6</v>
          </cell>
          <cell r="L210">
            <v>4070</v>
          </cell>
          <cell r="M210">
            <v>24420</v>
          </cell>
          <cell r="N210">
            <v>2442</v>
          </cell>
          <cell r="O210">
            <v>26862</v>
          </cell>
          <cell r="P210">
            <v>0</v>
          </cell>
          <cell r="Q210" t="str">
            <v/>
          </cell>
          <cell r="R210" t="str">
            <v>실온</v>
          </cell>
          <cell r="S210" t="str">
            <v>EA(6)</v>
          </cell>
          <cell r="T210" t="str">
            <v/>
          </cell>
          <cell r="U210" t="str">
            <v/>
          </cell>
          <cell r="V210" t="str">
            <v>2019-03-20</v>
          </cell>
          <cell r="W210" t="str">
            <v>2019-03-20 15:42:26</v>
          </cell>
          <cell r="X210" t="str">
            <v>더바른푸드</v>
          </cell>
        </row>
        <row r="211">
          <cell r="A211">
            <v>207</v>
          </cell>
          <cell r="B211" t="str">
            <v>2019-03-22</v>
          </cell>
          <cell r="C211" t="str">
            <v>더바른푸드</v>
          </cell>
          <cell r="D211" t="str">
            <v>더바른푸드</v>
          </cell>
          <cell r="E211" t="str">
            <v>일반</v>
          </cell>
          <cell r="F211" t="str">
            <v>입고완료</v>
          </cell>
          <cell r="G211">
            <v>225867</v>
          </cell>
          <cell r="H211" t="str">
            <v>이츠웰 절단낙지(M 500g/EA)</v>
          </cell>
          <cell r="I211" t="str">
            <v>EA</v>
          </cell>
          <cell r="J211">
            <v>6</v>
          </cell>
          <cell r="K211">
            <v>6</v>
          </cell>
          <cell r="L211">
            <v>5520</v>
          </cell>
          <cell r="M211">
            <v>33120</v>
          </cell>
          <cell r="N211">
            <v>0</v>
          </cell>
          <cell r="O211">
            <v>33120</v>
          </cell>
          <cell r="P211">
            <v>0</v>
          </cell>
          <cell r="Q211" t="str">
            <v>베트남</v>
          </cell>
          <cell r="R211" t="str">
            <v>냉동</v>
          </cell>
          <cell r="S211" t="str">
            <v>EA(6)</v>
          </cell>
          <cell r="T211" t="str">
            <v/>
          </cell>
          <cell r="U211" t="str">
            <v/>
          </cell>
          <cell r="V211" t="str">
            <v>2019-03-21</v>
          </cell>
          <cell r="W211" t="str">
            <v>2019-03-21 12:22:25</v>
          </cell>
          <cell r="X211" t="str">
            <v>더바른푸드</v>
          </cell>
        </row>
        <row r="212">
          <cell r="A212">
            <v>208</v>
          </cell>
          <cell r="B212" t="str">
            <v>2019-03-22</v>
          </cell>
          <cell r="C212" t="str">
            <v>더바른푸드</v>
          </cell>
          <cell r="D212" t="str">
            <v>더바른푸드</v>
          </cell>
          <cell r="E212" t="str">
            <v>일반</v>
          </cell>
          <cell r="F212" t="str">
            <v>입고완료</v>
          </cell>
          <cell r="G212">
            <v>208502</v>
          </cell>
          <cell r="H212" t="str">
            <v>세척당근(3L 10Kg/EA)</v>
          </cell>
          <cell r="I212" t="str">
            <v>EA</v>
          </cell>
          <cell r="J212">
            <v>1</v>
          </cell>
          <cell r="K212">
            <v>1</v>
          </cell>
          <cell r="L212">
            <v>12370</v>
          </cell>
          <cell r="M212">
            <v>12370</v>
          </cell>
          <cell r="N212">
            <v>0</v>
          </cell>
          <cell r="O212">
            <v>12370</v>
          </cell>
          <cell r="P212">
            <v>0</v>
          </cell>
          <cell r="Q212" t="str">
            <v>중국</v>
          </cell>
          <cell r="R212" t="str">
            <v>실온</v>
          </cell>
          <cell r="S212" t="str">
            <v>EA(1)</v>
          </cell>
          <cell r="T212" t="str">
            <v/>
          </cell>
          <cell r="U212" t="str">
            <v/>
          </cell>
          <cell r="V212" t="str">
            <v>2019-03-21</v>
          </cell>
          <cell r="W212" t="str">
            <v>2019-03-21 14:19:07</v>
          </cell>
          <cell r="X212" t="str">
            <v>더바른푸드</v>
          </cell>
        </row>
        <row r="213">
          <cell r="A213">
            <v>209</v>
          </cell>
          <cell r="B213" t="str">
            <v>2019-03-22</v>
          </cell>
          <cell r="C213" t="str">
            <v>더바른푸드</v>
          </cell>
          <cell r="D213" t="str">
            <v>더바른푸드</v>
          </cell>
          <cell r="E213" t="str">
            <v>일반</v>
          </cell>
          <cell r="F213" t="str">
            <v>입고완료</v>
          </cell>
          <cell r="G213">
            <v>105902</v>
          </cell>
          <cell r="H213" t="str">
            <v>아와세 아까미소(일식용 1Kg/EA)</v>
          </cell>
          <cell r="I213" t="str">
            <v>EA</v>
          </cell>
          <cell r="J213">
            <v>2</v>
          </cell>
          <cell r="K213">
            <v>2</v>
          </cell>
          <cell r="L213">
            <v>4070</v>
          </cell>
          <cell r="M213">
            <v>8140</v>
          </cell>
          <cell r="N213">
            <v>814</v>
          </cell>
          <cell r="O213">
            <v>8954</v>
          </cell>
          <cell r="P213">
            <v>0</v>
          </cell>
          <cell r="Q213" t="str">
            <v>일본</v>
          </cell>
          <cell r="R213" t="str">
            <v>실온</v>
          </cell>
          <cell r="S213" t="str">
            <v>EA(10)</v>
          </cell>
          <cell r="T213" t="str">
            <v/>
          </cell>
          <cell r="U213" t="str">
            <v/>
          </cell>
          <cell r="V213" t="str">
            <v>2019-03-21</v>
          </cell>
          <cell r="W213" t="str">
            <v>2019-03-21 14:19:56</v>
          </cell>
          <cell r="X213" t="str">
            <v>더바른푸드</v>
          </cell>
        </row>
        <row r="214">
          <cell r="A214">
            <v>210</v>
          </cell>
          <cell r="B214" t="str">
            <v>2019-03-22</v>
          </cell>
          <cell r="C214" t="str">
            <v>더바른푸드</v>
          </cell>
          <cell r="D214" t="str">
            <v>더바른푸드</v>
          </cell>
          <cell r="E214" t="str">
            <v>일반</v>
          </cell>
          <cell r="F214" t="str">
            <v>입고완료</v>
          </cell>
          <cell r="G214">
            <v>205745</v>
          </cell>
          <cell r="H214" t="str">
            <v>총알새송이버섯(실속 2Kg/BOX)</v>
          </cell>
          <cell r="I214" t="str">
            <v>BOX</v>
          </cell>
          <cell r="J214">
            <v>32</v>
          </cell>
          <cell r="K214">
            <v>32</v>
          </cell>
          <cell r="L214">
            <v>4720</v>
          </cell>
          <cell r="M214">
            <v>151040</v>
          </cell>
          <cell r="N214">
            <v>0</v>
          </cell>
          <cell r="O214">
            <v>151040</v>
          </cell>
          <cell r="P214">
            <v>0</v>
          </cell>
          <cell r="Q214" t="str">
            <v>한국</v>
          </cell>
          <cell r="R214" t="str">
            <v>냉장</v>
          </cell>
          <cell r="S214" t="str">
            <v>BOX(1)</v>
          </cell>
          <cell r="T214" t="str">
            <v/>
          </cell>
          <cell r="U214" t="str">
            <v>1차비닐포장,작은버섯으로 부탁드립니다.</v>
          </cell>
          <cell r="V214" t="str">
            <v>2019-03-21</v>
          </cell>
          <cell r="W214" t="str">
            <v>2019-03-21 14:23:44</v>
          </cell>
          <cell r="X214" t="str">
            <v>더바른푸드</v>
          </cell>
        </row>
        <row r="215">
          <cell r="A215">
            <v>211</v>
          </cell>
          <cell r="B215" t="str">
            <v>2019-03-22</v>
          </cell>
          <cell r="C215" t="str">
            <v>더바른푸드</v>
          </cell>
          <cell r="D215" t="str">
            <v>더바른푸드</v>
          </cell>
          <cell r="E215" t="str">
            <v>일반</v>
          </cell>
          <cell r="F215" t="str">
            <v>입고완료</v>
          </cell>
          <cell r="G215">
            <v>154930</v>
          </cell>
          <cell r="H215" t="str">
            <v>사조대림 곤약(LOW칼로리생활 2Kg/EA)</v>
          </cell>
          <cell r="I215" t="str">
            <v>EA</v>
          </cell>
          <cell r="J215">
            <v>4</v>
          </cell>
          <cell r="K215">
            <v>4</v>
          </cell>
          <cell r="L215">
            <v>3920</v>
          </cell>
          <cell r="M215">
            <v>15680</v>
          </cell>
          <cell r="N215">
            <v>1568</v>
          </cell>
          <cell r="O215">
            <v>17248</v>
          </cell>
          <cell r="P215">
            <v>0</v>
          </cell>
          <cell r="Q215" t="str">
            <v/>
          </cell>
          <cell r="R215" t="str">
            <v>실온</v>
          </cell>
          <cell r="S215" t="str">
            <v>EA(6)</v>
          </cell>
          <cell r="T215" t="str">
            <v/>
          </cell>
          <cell r="U215" t="str">
            <v/>
          </cell>
          <cell r="V215" t="str">
            <v>2019-03-21</v>
          </cell>
          <cell r="W215" t="str">
            <v>2019-03-21 14:24:14</v>
          </cell>
          <cell r="X215" t="str">
            <v>더바른푸드</v>
          </cell>
        </row>
        <row r="216">
          <cell r="A216">
            <v>212</v>
          </cell>
          <cell r="B216" t="str">
            <v>2019-03-22</v>
          </cell>
          <cell r="C216" t="str">
            <v>더바른푸드</v>
          </cell>
          <cell r="D216" t="str">
            <v>더바른푸드</v>
          </cell>
          <cell r="E216" t="str">
            <v>일반</v>
          </cell>
          <cell r="F216" t="str">
            <v>입고완료</v>
          </cell>
          <cell r="G216">
            <v>210244</v>
          </cell>
          <cell r="H216" t="str">
            <v>방울토마토(15~20g/개 500g/EA)</v>
          </cell>
          <cell r="I216" t="str">
            <v>EA</v>
          </cell>
          <cell r="J216">
            <v>3</v>
          </cell>
          <cell r="K216">
            <v>3</v>
          </cell>
          <cell r="L216">
            <v>3010</v>
          </cell>
          <cell r="M216">
            <v>9030</v>
          </cell>
          <cell r="N216">
            <v>0</v>
          </cell>
          <cell r="O216">
            <v>9030</v>
          </cell>
          <cell r="P216">
            <v>0</v>
          </cell>
          <cell r="Q216" t="str">
            <v>한국</v>
          </cell>
          <cell r="R216" t="str">
            <v>냉장</v>
          </cell>
          <cell r="S216" t="str">
            <v>EA(1)</v>
          </cell>
          <cell r="T216" t="str">
            <v/>
          </cell>
          <cell r="U216" t="str">
            <v/>
          </cell>
          <cell r="V216" t="str">
            <v>2019-03-21</v>
          </cell>
          <cell r="W216" t="str">
            <v>2019-03-21 16:09:40</v>
          </cell>
          <cell r="X216" t="str">
            <v>더바른푸드</v>
          </cell>
        </row>
        <row r="217">
          <cell r="A217">
            <v>213</v>
          </cell>
          <cell r="B217" t="str">
            <v>2019-03-21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A218">
            <v>214</v>
          </cell>
          <cell r="B218" t="str">
            <v>2019-03-21</v>
          </cell>
          <cell r="C218" t="str">
            <v>더바른푸드</v>
          </cell>
          <cell r="D218" t="str">
            <v>더바른푸드</v>
          </cell>
          <cell r="E218" t="str">
            <v>일반</v>
          </cell>
          <cell r="F218" t="str">
            <v>입고완료</v>
          </cell>
          <cell r="G218">
            <v>264369</v>
          </cell>
          <cell r="H218" t="str">
            <v>롯데제과증평 미니딸기샌드(65g/EA)</v>
          </cell>
          <cell r="I218" t="str">
            <v>EA</v>
          </cell>
          <cell r="J218">
            <v>8</v>
          </cell>
          <cell r="K218">
            <v>8</v>
          </cell>
          <cell r="L218">
            <v>560</v>
          </cell>
          <cell r="M218">
            <v>4480</v>
          </cell>
          <cell r="N218">
            <v>448</v>
          </cell>
          <cell r="O218">
            <v>4928</v>
          </cell>
          <cell r="P218">
            <v>0</v>
          </cell>
          <cell r="Q218" t="str">
            <v/>
          </cell>
          <cell r="R218" t="str">
            <v>실온</v>
          </cell>
          <cell r="S218" t="str">
            <v>EA(1)</v>
          </cell>
          <cell r="T218" t="str">
            <v/>
          </cell>
          <cell r="U218" t="str">
            <v/>
          </cell>
          <cell r="V218" t="str">
            <v>2019-03-15</v>
          </cell>
          <cell r="W218" t="str">
            <v>2019-03-15 15:11:10</v>
          </cell>
          <cell r="X218" t="str">
            <v>더바른푸드</v>
          </cell>
        </row>
        <row r="219">
          <cell r="A219">
            <v>215</v>
          </cell>
          <cell r="B219" t="str">
            <v>2019-03-21</v>
          </cell>
          <cell r="C219" t="str">
            <v>더바른푸드</v>
          </cell>
          <cell r="D219" t="str">
            <v>더바른푸드</v>
          </cell>
          <cell r="E219" t="str">
            <v>일반</v>
          </cell>
          <cell r="F219" t="str">
            <v>입고완료</v>
          </cell>
          <cell r="G219">
            <v>122082</v>
          </cell>
          <cell r="H219" t="str">
            <v>빙그레 흰우유(참맛좋은 200g/EA)</v>
          </cell>
          <cell r="I219" t="str">
            <v>EA</v>
          </cell>
          <cell r="J219">
            <v>183</v>
          </cell>
          <cell r="K219">
            <v>183</v>
          </cell>
          <cell r="L219">
            <v>430</v>
          </cell>
          <cell r="M219">
            <v>78690</v>
          </cell>
          <cell r="N219">
            <v>0</v>
          </cell>
          <cell r="O219">
            <v>78690</v>
          </cell>
          <cell r="P219">
            <v>0</v>
          </cell>
          <cell r="Q219" t="str">
            <v>한국</v>
          </cell>
          <cell r="R219" t="str">
            <v>냉장</v>
          </cell>
          <cell r="S219" t="str">
            <v>EA(1)</v>
          </cell>
          <cell r="T219" t="str">
            <v/>
          </cell>
          <cell r="U219" t="str">
            <v/>
          </cell>
          <cell r="V219" t="str">
            <v>2019-03-15</v>
          </cell>
          <cell r="W219" t="str">
            <v>2019-03-15 15:11:34</v>
          </cell>
          <cell r="X219" t="str">
            <v>더바른푸드</v>
          </cell>
        </row>
        <row r="220">
          <cell r="A220">
            <v>216</v>
          </cell>
          <cell r="B220" t="str">
            <v>2019-03-21</v>
          </cell>
          <cell r="C220" t="str">
            <v>더바른푸드</v>
          </cell>
          <cell r="D220" t="str">
            <v>더바른푸드</v>
          </cell>
          <cell r="E220" t="str">
            <v>일반</v>
          </cell>
          <cell r="F220" t="str">
            <v>입고완료</v>
          </cell>
          <cell r="G220">
            <v>200400</v>
          </cell>
          <cell r="H220" t="str">
            <v>방울토마토(15~20g/개 5Kg/BOX)</v>
          </cell>
          <cell r="I220" t="str">
            <v>BOX</v>
          </cell>
          <cell r="J220">
            <v>1</v>
          </cell>
          <cell r="K220">
            <v>1</v>
          </cell>
          <cell r="L220">
            <v>27990</v>
          </cell>
          <cell r="M220">
            <v>27990</v>
          </cell>
          <cell r="N220">
            <v>0</v>
          </cell>
          <cell r="O220">
            <v>27990</v>
          </cell>
          <cell r="P220">
            <v>0</v>
          </cell>
          <cell r="Q220" t="str">
            <v>한국</v>
          </cell>
          <cell r="R220" t="str">
            <v>냉장</v>
          </cell>
          <cell r="S220" t="str">
            <v>BOX(1)</v>
          </cell>
          <cell r="T220" t="str">
            <v/>
          </cell>
          <cell r="U220" t="str">
            <v/>
          </cell>
          <cell r="V220" t="str">
            <v>2019-03-15</v>
          </cell>
          <cell r="W220" t="str">
            <v>2019-03-15 15:20:24</v>
          </cell>
          <cell r="X220" t="str">
            <v>더바른푸드</v>
          </cell>
        </row>
        <row r="221">
          <cell r="A221">
            <v>217</v>
          </cell>
          <cell r="B221" t="str">
            <v>2019-03-21</v>
          </cell>
          <cell r="C221" t="str">
            <v>더바른푸드</v>
          </cell>
          <cell r="D221" t="str">
            <v>더바른푸드</v>
          </cell>
          <cell r="E221" t="str">
            <v>일반</v>
          </cell>
          <cell r="F221" t="str">
            <v>입고완료</v>
          </cell>
          <cell r="G221">
            <v>271769</v>
          </cell>
          <cell r="H221" t="str">
            <v>삼립식품 꼬마호빵(야채_40g*6입_봉단위 240g/EA)</v>
          </cell>
          <cell r="I221" t="str">
            <v>EA</v>
          </cell>
          <cell r="J221">
            <v>52</v>
          </cell>
          <cell r="K221">
            <v>52</v>
          </cell>
          <cell r="L221">
            <v>2120</v>
          </cell>
          <cell r="M221">
            <v>110240</v>
          </cell>
          <cell r="N221">
            <v>11024</v>
          </cell>
          <cell r="O221">
            <v>121264</v>
          </cell>
          <cell r="P221">
            <v>0</v>
          </cell>
          <cell r="Q221" t="str">
            <v/>
          </cell>
          <cell r="R221" t="str">
            <v>냉동</v>
          </cell>
          <cell r="S221" t="str">
            <v>EA(16)</v>
          </cell>
          <cell r="T221" t="str">
            <v/>
          </cell>
          <cell r="U221" t="str">
            <v/>
          </cell>
          <cell r="V221" t="str">
            <v>2019-03-15</v>
          </cell>
          <cell r="W221" t="str">
            <v>2019-03-15 15:35:13</v>
          </cell>
          <cell r="X221" t="str">
            <v>더바른푸드</v>
          </cell>
        </row>
        <row r="222">
          <cell r="A222">
            <v>218</v>
          </cell>
          <cell r="B222" t="str">
            <v>2019-03-21</v>
          </cell>
          <cell r="C222" t="str">
            <v>더바른푸드</v>
          </cell>
          <cell r="D222" t="str">
            <v>더바른푸드</v>
          </cell>
          <cell r="E222" t="str">
            <v>일반</v>
          </cell>
          <cell r="F222" t="str">
            <v>입고완료</v>
          </cell>
          <cell r="G222">
            <v>271137</v>
          </cell>
          <cell r="H222" t="str">
            <v>그린푸드 팝콘피쉬볼(74±5개입 1Kg/EA)</v>
          </cell>
          <cell r="I222" t="str">
            <v>EA</v>
          </cell>
          <cell r="J222">
            <v>51</v>
          </cell>
          <cell r="K222">
            <v>51</v>
          </cell>
          <cell r="L222">
            <v>8430</v>
          </cell>
          <cell r="M222">
            <v>429930</v>
          </cell>
          <cell r="N222">
            <v>42993</v>
          </cell>
          <cell r="O222">
            <v>472923</v>
          </cell>
          <cell r="P222">
            <v>0</v>
          </cell>
          <cell r="Q222" t="str">
            <v/>
          </cell>
          <cell r="R222" t="str">
            <v>냉동</v>
          </cell>
          <cell r="S222" t="str">
            <v>EA(5)</v>
          </cell>
          <cell r="T222" t="str">
            <v/>
          </cell>
          <cell r="U222" t="str">
            <v/>
          </cell>
          <cell r="V222" t="str">
            <v>2019-03-19</v>
          </cell>
          <cell r="W222" t="str">
            <v>2019-03-19 13:51:08</v>
          </cell>
          <cell r="X222" t="str">
            <v>더바른푸드</v>
          </cell>
        </row>
        <row r="223">
          <cell r="A223">
            <v>219</v>
          </cell>
          <cell r="B223" t="str">
            <v>2019-03-21</v>
          </cell>
          <cell r="C223" t="str">
            <v>더바른푸드</v>
          </cell>
          <cell r="D223" t="str">
            <v>더바른푸드</v>
          </cell>
          <cell r="E223" t="str">
            <v>일반</v>
          </cell>
          <cell r="F223" t="str">
            <v>입고완료</v>
          </cell>
          <cell r="G223">
            <v>130633</v>
          </cell>
          <cell r="H223" t="str">
            <v>쉐프솔루션 미트볼(NEW_100±5개입 1Kg/EA)</v>
          </cell>
          <cell r="I223" t="str">
            <v>EA</v>
          </cell>
          <cell r="J223">
            <v>9</v>
          </cell>
          <cell r="K223">
            <v>9</v>
          </cell>
          <cell r="L223">
            <v>4340</v>
          </cell>
          <cell r="M223">
            <v>39060</v>
          </cell>
          <cell r="N223">
            <v>3906</v>
          </cell>
          <cell r="O223">
            <v>42966</v>
          </cell>
          <cell r="P223">
            <v>0</v>
          </cell>
          <cell r="Q223" t="str">
            <v/>
          </cell>
          <cell r="R223" t="str">
            <v>냉동</v>
          </cell>
          <cell r="S223" t="str">
            <v>EA(5)</v>
          </cell>
          <cell r="T223" t="str">
            <v/>
          </cell>
          <cell r="U223" t="str">
            <v/>
          </cell>
          <cell r="V223" t="str">
            <v>2019-03-19</v>
          </cell>
          <cell r="W223" t="str">
            <v>2019-03-19 13:55:48</v>
          </cell>
          <cell r="X223" t="str">
            <v>더바른푸드</v>
          </cell>
        </row>
        <row r="224">
          <cell r="A224">
            <v>220</v>
          </cell>
          <cell r="B224" t="str">
            <v>2019-03-21</v>
          </cell>
          <cell r="C224" t="str">
            <v>더바른푸드</v>
          </cell>
          <cell r="D224" t="str">
            <v>더바른푸드</v>
          </cell>
          <cell r="E224" t="str">
            <v>일반</v>
          </cell>
          <cell r="F224" t="str">
            <v>입고완료</v>
          </cell>
          <cell r="G224">
            <v>252815</v>
          </cell>
          <cell r="H224" t="str">
            <v>맑은해오름 도토리묵(슬라이스_12±1g*161조각 2Kg/EA)</v>
          </cell>
          <cell r="I224" t="str">
            <v>EA</v>
          </cell>
          <cell r="J224">
            <v>18</v>
          </cell>
          <cell r="K224">
            <v>18</v>
          </cell>
          <cell r="L224">
            <v>3430</v>
          </cell>
          <cell r="M224">
            <v>61740</v>
          </cell>
          <cell r="N224">
            <v>6174</v>
          </cell>
          <cell r="O224">
            <v>67914</v>
          </cell>
          <cell r="P224">
            <v>0</v>
          </cell>
          <cell r="Q224" t="str">
            <v/>
          </cell>
          <cell r="R224" t="str">
            <v>냉장</v>
          </cell>
          <cell r="S224" t="str">
            <v>EA(1)</v>
          </cell>
          <cell r="T224" t="str">
            <v/>
          </cell>
          <cell r="U224" t="str">
            <v/>
          </cell>
          <cell r="V224" t="str">
            <v>2019-03-19</v>
          </cell>
          <cell r="W224" t="str">
            <v>2019-03-19 13:56:39</v>
          </cell>
          <cell r="X224" t="str">
            <v>더바른푸드</v>
          </cell>
        </row>
        <row r="225">
          <cell r="A225">
            <v>221</v>
          </cell>
          <cell r="B225" t="str">
            <v>2019-03-21</v>
          </cell>
          <cell r="C225" t="str">
            <v>더바른푸드</v>
          </cell>
          <cell r="D225" t="str">
            <v>더바른푸드</v>
          </cell>
          <cell r="E225" t="str">
            <v>일반</v>
          </cell>
          <cell r="F225" t="str">
            <v>입고완료</v>
          </cell>
          <cell r="G225">
            <v>400546</v>
          </cell>
          <cell r="H225" t="str">
            <v>통닭(1.2kg±50g/마리_껍질있음 1.2Kg/EA)</v>
          </cell>
          <cell r="I225" t="str">
            <v>EA</v>
          </cell>
          <cell r="J225">
            <v>7</v>
          </cell>
          <cell r="K225">
            <v>7</v>
          </cell>
          <cell r="L225">
            <v>4720</v>
          </cell>
          <cell r="M225">
            <v>33040</v>
          </cell>
          <cell r="N225">
            <v>0</v>
          </cell>
          <cell r="O225">
            <v>33040</v>
          </cell>
          <cell r="P225">
            <v>0</v>
          </cell>
          <cell r="Q225" t="str">
            <v>한국</v>
          </cell>
          <cell r="R225" t="str">
            <v>냉장</v>
          </cell>
          <cell r="S225" t="str">
            <v>EA(1)</v>
          </cell>
          <cell r="T225" t="str">
            <v/>
          </cell>
          <cell r="U225" t="str">
            <v/>
          </cell>
          <cell r="V225" t="str">
            <v>2019-03-19</v>
          </cell>
          <cell r="W225" t="str">
            <v>2019-03-19 14:19:39</v>
          </cell>
          <cell r="X225" t="str">
            <v>더바른푸드</v>
          </cell>
        </row>
        <row r="226">
          <cell r="A226">
            <v>222</v>
          </cell>
          <cell r="B226" t="str">
            <v>2019-03-21</v>
          </cell>
          <cell r="C226" t="str">
            <v>더바른푸드</v>
          </cell>
          <cell r="D226" t="str">
            <v>더바른푸드</v>
          </cell>
          <cell r="E226" t="str">
            <v>일반</v>
          </cell>
          <cell r="F226" t="str">
            <v>입고완료</v>
          </cell>
          <cell r="G226">
            <v>312189</v>
          </cell>
          <cell r="H226" t="str">
            <v>명엽채(1Kg/EA)</v>
          </cell>
          <cell r="I226" t="str">
            <v>EA</v>
          </cell>
          <cell r="J226">
            <v>15</v>
          </cell>
          <cell r="K226">
            <v>15</v>
          </cell>
          <cell r="L226">
            <v>7750</v>
          </cell>
          <cell r="M226">
            <v>116250</v>
          </cell>
          <cell r="N226">
            <v>11625</v>
          </cell>
          <cell r="O226">
            <v>127875</v>
          </cell>
          <cell r="P226">
            <v>0</v>
          </cell>
          <cell r="Q226" t="str">
            <v>베트남</v>
          </cell>
          <cell r="R226" t="str">
            <v>냉장</v>
          </cell>
          <cell r="S226" t="str">
            <v>EA(10)</v>
          </cell>
          <cell r="T226" t="str">
            <v/>
          </cell>
          <cell r="U226" t="str">
            <v/>
          </cell>
          <cell r="V226" t="str">
            <v>2019-03-19</v>
          </cell>
          <cell r="W226" t="str">
            <v>2019-03-19 14:58:13</v>
          </cell>
          <cell r="X226" t="str">
            <v>더바른푸드</v>
          </cell>
        </row>
        <row r="227">
          <cell r="A227">
            <v>223</v>
          </cell>
          <cell r="B227" t="str">
            <v>2019-03-21</v>
          </cell>
          <cell r="C227" t="str">
            <v>더바른푸드</v>
          </cell>
          <cell r="D227" t="str">
            <v>더바른푸드</v>
          </cell>
          <cell r="E227" t="str">
            <v>일반</v>
          </cell>
          <cell r="F227" t="str">
            <v>입고완료</v>
          </cell>
          <cell r="G227">
            <v>190732</v>
          </cell>
          <cell r="H227" t="str">
            <v>이츠웰 볶음참깨(1Kg/EA)</v>
          </cell>
          <cell r="I227" t="str">
            <v>EA</v>
          </cell>
          <cell r="J227">
            <v>5</v>
          </cell>
          <cell r="K227">
            <v>5</v>
          </cell>
          <cell r="L227">
            <v>6990</v>
          </cell>
          <cell r="M227">
            <v>34950</v>
          </cell>
          <cell r="N227">
            <v>3495</v>
          </cell>
          <cell r="O227">
            <v>38445</v>
          </cell>
          <cell r="P227">
            <v>0</v>
          </cell>
          <cell r="Q227" t="str">
            <v/>
          </cell>
          <cell r="R227" t="str">
            <v>실온</v>
          </cell>
          <cell r="S227" t="str">
            <v>EA(10)</v>
          </cell>
          <cell r="T227" t="str">
            <v/>
          </cell>
          <cell r="U227" t="str">
            <v/>
          </cell>
          <cell r="V227" t="str">
            <v>2019-03-20</v>
          </cell>
          <cell r="W227" t="str">
            <v>2019-03-20 15:17:31</v>
          </cell>
          <cell r="X227" t="str">
            <v>더바른푸드</v>
          </cell>
        </row>
        <row r="228">
          <cell r="A228">
            <v>224</v>
          </cell>
          <cell r="B228" t="str">
            <v>2019-03-21</v>
          </cell>
          <cell r="C228" t="str">
            <v>더바른푸드</v>
          </cell>
          <cell r="D228" t="str">
            <v>더바른푸드</v>
          </cell>
          <cell r="E228" t="str">
            <v>일반</v>
          </cell>
          <cell r="F228" t="str">
            <v>입고완료</v>
          </cell>
          <cell r="G228">
            <v>199844</v>
          </cell>
          <cell r="H228" t="str">
            <v>냉동곤드레(1Kg/EA)</v>
          </cell>
          <cell r="I228" t="str">
            <v>EA</v>
          </cell>
          <cell r="J228">
            <v>3</v>
          </cell>
          <cell r="K228">
            <v>3</v>
          </cell>
          <cell r="L228">
            <v>3330</v>
          </cell>
          <cell r="M228">
            <v>9990</v>
          </cell>
          <cell r="N228">
            <v>0</v>
          </cell>
          <cell r="O228">
            <v>9990</v>
          </cell>
          <cell r="P228">
            <v>0</v>
          </cell>
          <cell r="Q228" t="str">
            <v>한국</v>
          </cell>
          <cell r="R228" t="str">
            <v>냉동</v>
          </cell>
          <cell r="S228" t="str">
            <v>EA(1)</v>
          </cell>
          <cell r="T228" t="str">
            <v/>
          </cell>
          <cell r="U228" t="str">
            <v/>
          </cell>
          <cell r="V228" t="str">
            <v>2019-03-20</v>
          </cell>
          <cell r="W228" t="str">
            <v>2019-03-20 15:17:31</v>
          </cell>
          <cell r="X228" t="str">
            <v>더바른푸드</v>
          </cell>
        </row>
        <row r="229">
          <cell r="A229">
            <v>225</v>
          </cell>
          <cell r="B229" t="str">
            <v>2019-03-20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A230">
            <v>226</v>
          </cell>
          <cell r="B230" t="str">
            <v>2019-03-20</v>
          </cell>
          <cell r="C230" t="str">
            <v>더바른푸드</v>
          </cell>
          <cell r="D230" t="str">
            <v>더바른푸드</v>
          </cell>
          <cell r="E230" t="str">
            <v>일반</v>
          </cell>
          <cell r="F230" t="str">
            <v>입고완료</v>
          </cell>
          <cell r="G230">
            <v>160243</v>
          </cell>
          <cell r="H230" t="str">
            <v>비피더스 떠먹는요구르트(딸기 83g/EA)</v>
          </cell>
          <cell r="I230" t="str">
            <v>EA</v>
          </cell>
          <cell r="J230">
            <v>183</v>
          </cell>
          <cell r="K230">
            <v>182</v>
          </cell>
          <cell r="L230">
            <v>290</v>
          </cell>
          <cell r="M230">
            <v>53070</v>
          </cell>
          <cell r="N230">
            <v>5307</v>
          </cell>
          <cell r="O230">
            <v>58377</v>
          </cell>
          <cell r="P230">
            <v>0</v>
          </cell>
          <cell r="Q230" t="str">
            <v>한국</v>
          </cell>
          <cell r="R230" t="str">
            <v>냉장</v>
          </cell>
          <cell r="S230" t="str">
            <v>EA(1)</v>
          </cell>
          <cell r="T230" t="str">
            <v/>
          </cell>
          <cell r="U230" t="str">
            <v>스푼부탁드립니다</v>
          </cell>
          <cell r="V230" t="str">
            <v>2019-03-15</v>
          </cell>
          <cell r="W230" t="str">
            <v>2019-03-15 15:09:05</v>
          </cell>
          <cell r="X230" t="str">
            <v>더바른푸드</v>
          </cell>
        </row>
        <row r="231">
          <cell r="A231">
            <v>227</v>
          </cell>
          <cell r="B231" t="str">
            <v>2019-03-20</v>
          </cell>
          <cell r="C231" t="str">
            <v>더바른푸드</v>
          </cell>
          <cell r="D231" t="str">
            <v>더바른푸드</v>
          </cell>
          <cell r="E231" t="str">
            <v>일반</v>
          </cell>
          <cell r="F231" t="str">
            <v>입고완료</v>
          </cell>
          <cell r="G231">
            <v>136633</v>
          </cell>
          <cell r="H231" t="str">
            <v>이오 요구르트(80ml_유기농 80g/EA)</v>
          </cell>
          <cell r="I231" t="str">
            <v>EA</v>
          </cell>
          <cell r="J231">
            <v>24</v>
          </cell>
          <cell r="K231">
            <v>24</v>
          </cell>
          <cell r="L231">
            <v>300</v>
          </cell>
          <cell r="M231">
            <v>7200</v>
          </cell>
          <cell r="N231">
            <v>720</v>
          </cell>
          <cell r="O231">
            <v>7920</v>
          </cell>
          <cell r="P231">
            <v>0</v>
          </cell>
          <cell r="Q231" t="str">
            <v>한국</v>
          </cell>
          <cell r="R231" t="str">
            <v>냉장</v>
          </cell>
          <cell r="S231" t="str">
            <v>EA(50)</v>
          </cell>
          <cell r="T231" t="str">
            <v/>
          </cell>
          <cell r="U231" t="str">
            <v>빨대 부탁드립니다.</v>
          </cell>
          <cell r="V231" t="str">
            <v>2019-03-15</v>
          </cell>
          <cell r="W231" t="str">
            <v>2019-03-15 15:10:23</v>
          </cell>
          <cell r="X231" t="str">
            <v>더바른푸드</v>
          </cell>
        </row>
        <row r="232">
          <cell r="A232">
            <v>228</v>
          </cell>
          <cell r="B232" t="str">
            <v>2019-03-20</v>
          </cell>
          <cell r="C232" t="str">
            <v>더바른푸드</v>
          </cell>
          <cell r="D232" t="str">
            <v>더바른푸드</v>
          </cell>
          <cell r="E232" t="str">
            <v>일반</v>
          </cell>
          <cell r="F232" t="str">
            <v>입고완료</v>
          </cell>
          <cell r="G232">
            <v>108319</v>
          </cell>
          <cell r="H232" t="str">
            <v>연세우유 고칼슘두유(팩_200ml 200g/EA)</v>
          </cell>
          <cell r="I232" t="str">
            <v>EA</v>
          </cell>
          <cell r="J232">
            <v>144</v>
          </cell>
          <cell r="K232">
            <v>144</v>
          </cell>
          <cell r="L232">
            <v>280</v>
          </cell>
          <cell r="M232">
            <v>40320</v>
          </cell>
          <cell r="N232">
            <v>4032</v>
          </cell>
          <cell r="O232">
            <v>44352</v>
          </cell>
          <cell r="P232">
            <v>0</v>
          </cell>
          <cell r="Q232" t="str">
            <v>한국</v>
          </cell>
          <cell r="R232" t="str">
            <v>실온</v>
          </cell>
          <cell r="S232" t="str">
            <v>EA(1)</v>
          </cell>
          <cell r="T232" t="str">
            <v/>
          </cell>
          <cell r="U232" t="str">
            <v/>
          </cell>
          <cell r="V232" t="str">
            <v>2019-03-15</v>
          </cell>
          <cell r="W232" t="str">
            <v>2019-03-15 15:10:23</v>
          </cell>
          <cell r="X232" t="str">
            <v>더바른푸드</v>
          </cell>
        </row>
        <row r="233">
          <cell r="A233">
            <v>229</v>
          </cell>
          <cell r="B233" t="str">
            <v>2019-03-20</v>
          </cell>
          <cell r="C233" t="str">
            <v>더바른푸드</v>
          </cell>
          <cell r="D233" t="str">
            <v>더바른푸드</v>
          </cell>
          <cell r="E233" t="str">
            <v>일반</v>
          </cell>
          <cell r="F233" t="str">
            <v>입고완료</v>
          </cell>
          <cell r="G233">
            <v>128182</v>
          </cell>
          <cell r="H233" t="str">
            <v>담양한과 찹쌀약과(사각_30g*10입 300g/EA)</v>
          </cell>
          <cell r="I233" t="str">
            <v>EA</v>
          </cell>
          <cell r="J233">
            <v>32</v>
          </cell>
          <cell r="K233">
            <v>32</v>
          </cell>
          <cell r="L233">
            <v>2720</v>
          </cell>
          <cell r="M233">
            <v>87040</v>
          </cell>
          <cell r="N233">
            <v>8704</v>
          </cell>
          <cell r="O233">
            <v>95744</v>
          </cell>
          <cell r="P233">
            <v>0</v>
          </cell>
          <cell r="Q233" t="str">
            <v/>
          </cell>
          <cell r="R233" t="str">
            <v>실온</v>
          </cell>
          <cell r="S233" t="str">
            <v>EA(10)</v>
          </cell>
          <cell r="T233" t="str">
            <v/>
          </cell>
          <cell r="U233" t="str">
            <v/>
          </cell>
          <cell r="V233" t="str">
            <v>2019-03-15</v>
          </cell>
          <cell r="W233" t="str">
            <v>2019-03-15 15:33:32</v>
          </cell>
          <cell r="X233" t="str">
            <v>더바른푸드</v>
          </cell>
        </row>
        <row r="234">
          <cell r="A234">
            <v>230</v>
          </cell>
          <cell r="B234" t="str">
            <v>2019-03-20</v>
          </cell>
          <cell r="C234" t="str">
            <v>더바른푸드</v>
          </cell>
          <cell r="D234" t="str">
            <v>더바른푸드</v>
          </cell>
          <cell r="E234" t="str">
            <v>일반</v>
          </cell>
          <cell r="F234" t="str">
            <v>입고완료</v>
          </cell>
          <cell r="G234">
            <v>166334</v>
          </cell>
          <cell r="H234" t="str">
            <v>종로복떡방 흰꿀떡(멥쌀_20G*50입 1Kg/EA)</v>
          </cell>
          <cell r="I234" t="str">
            <v>EA</v>
          </cell>
          <cell r="J234">
            <v>1</v>
          </cell>
          <cell r="K234">
            <v>1</v>
          </cell>
          <cell r="L234">
            <v>6750</v>
          </cell>
          <cell r="M234">
            <v>6750</v>
          </cell>
          <cell r="N234">
            <v>675</v>
          </cell>
          <cell r="O234">
            <v>7425</v>
          </cell>
          <cell r="P234">
            <v>0</v>
          </cell>
          <cell r="Q234" t="str">
            <v/>
          </cell>
          <cell r="R234" t="str">
            <v>냉동</v>
          </cell>
          <cell r="S234" t="str">
            <v>EA(1)</v>
          </cell>
          <cell r="T234" t="str">
            <v/>
          </cell>
          <cell r="U234" t="str">
            <v/>
          </cell>
          <cell r="V234" t="str">
            <v>2019-03-15</v>
          </cell>
          <cell r="W234" t="str">
            <v>2019-03-15 15:34:00</v>
          </cell>
          <cell r="X234" t="str">
            <v>더바른푸드</v>
          </cell>
        </row>
        <row r="235">
          <cell r="A235">
            <v>231</v>
          </cell>
          <cell r="B235" t="str">
            <v>2019-03-20</v>
          </cell>
          <cell r="C235" t="str">
            <v>더바른푸드</v>
          </cell>
          <cell r="D235" t="str">
            <v>더바른푸드</v>
          </cell>
          <cell r="E235" t="str">
            <v>일반</v>
          </cell>
          <cell r="F235" t="str">
            <v>입고완료</v>
          </cell>
          <cell r="G235">
            <v>502650</v>
          </cell>
          <cell r="H235" t="str">
            <v>유니 랩(30cm*50m 가정용 EA)</v>
          </cell>
          <cell r="I235" t="str">
            <v>EA</v>
          </cell>
          <cell r="J235">
            <v>20</v>
          </cell>
          <cell r="K235">
            <v>20</v>
          </cell>
          <cell r="L235">
            <v>2150</v>
          </cell>
          <cell r="M235">
            <v>43000</v>
          </cell>
          <cell r="N235">
            <v>4300</v>
          </cell>
          <cell r="O235">
            <v>47300</v>
          </cell>
          <cell r="P235">
            <v>0</v>
          </cell>
          <cell r="Q235" t="str">
            <v/>
          </cell>
          <cell r="R235" t="str">
            <v>실온</v>
          </cell>
          <cell r="S235" t="str">
            <v>EA(50)</v>
          </cell>
          <cell r="T235" t="str">
            <v/>
          </cell>
          <cell r="U235" t="str">
            <v/>
          </cell>
          <cell r="V235" t="str">
            <v>2019-03-18</v>
          </cell>
          <cell r="W235" t="str">
            <v>2019-03-18 14:27:24</v>
          </cell>
          <cell r="X235" t="str">
            <v>더바른푸드</v>
          </cell>
        </row>
        <row r="236">
          <cell r="A236">
            <v>232</v>
          </cell>
          <cell r="B236" t="str">
            <v>2019-03-20</v>
          </cell>
          <cell r="C236" t="str">
            <v>더바른푸드</v>
          </cell>
          <cell r="D236" t="str">
            <v>더바른푸드</v>
          </cell>
          <cell r="E236" t="str">
            <v>일반</v>
          </cell>
          <cell r="F236" t="str">
            <v>입고완료</v>
          </cell>
          <cell r="G236">
            <v>526201</v>
          </cell>
          <cell r="H236" t="str">
            <v>마미손 고무장갑(빨간색_대L EA)</v>
          </cell>
          <cell r="I236" t="str">
            <v>EA</v>
          </cell>
          <cell r="J236">
            <v>20</v>
          </cell>
          <cell r="K236">
            <v>20</v>
          </cell>
          <cell r="L236">
            <v>1340</v>
          </cell>
          <cell r="M236">
            <v>26800</v>
          </cell>
          <cell r="N236">
            <v>2680</v>
          </cell>
          <cell r="O236">
            <v>29480</v>
          </cell>
          <cell r="P236">
            <v>0</v>
          </cell>
          <cell r="Q236" t="str">
            <v/>
          </cell>
          <cell r="R236" t="str">
            <v>실온</v>
          </cell>
          <cell r="S236" t="str">
            <v>EA(100)</v>
          </cell>
          <cell r="T236" t="str">
            <v/>
          </cell>
          <cell r="U236" t="str">
            <v/>
          </cell>
          <cell r="V236" t="str">
            <v>2019-03-18</v>
          </cell>
          <cell r="W236" t="str">
            <v>2019-03-18 14:27:43</v>
          </cell>
          <cell r="X236" t="str">
            <v>더바른푸드</v>
          </cell>
        </row>
        <row r="237">
          <cell r="A237">
            <v>233</v>
          </cell>
          <cell r="B237" t="str">
            <v>2019-03-20</v>
          </cell>
          <cell r="C237" t="str">
            <v>더바른푸드</v>
          </cell>
          <cell r="D237" t="str">
            <v>더바른푸드</v>
          </cell>
          <cell r="E237" t="str">
            <v>일반</v>
          </cell>
          <cell r="F237" t="str">
            <v>입고완료</v>
          </cell>
          <cell r="G237">
            <v>256983</v>
          </cell>
          <cell r="H237" t="str">
            <v>늘만나 맛김치(약숙_일반 10Kg/BOX)</v>
          </cell>
          <cell r="I237" t="str">
            <v>BOX</v>
          </cell>
          <cell r="J237">
            <v>6</v>
          </cell>
          <cell r="K237">
            <v>6</v>
          </cell>
          <cell r="L237">
            <v>32900</v>
          </cell>
          <cell r="M237">
            <v>197400</v>
          </cell>
          <cell r="N237">
            <v>0</v>
          </cell>
          <cell r="O237">
            <v>197400</v>
          </cell>
          <cell r="P237">
            <v>0</v>
          </cell>
          <cell r="Q237" t="str">
            <v/>
          </cell>
          <cell r="R237" t="str">
            <v>냉장</v>
          </cell>
          <cell r="S237" t="str">
            <v>BOX(1)</v>
          </cell>
          <cell r="T237" t="str">
            <v/>
          </cell>
          <cell r="U237" t="str">
            <v/>
          </cell>
          <cell r="V237" t="str">
            <v>2019-03-19</v>
          </cell>
          <cell r="W237" t="str">
            <v>2019-03-19 13:54:53</v>
          </cell>
          <cell r="X237" t="str">
            <v>더바른푸드</v>
          </cell>
        </row>
        <row r="238">
          <cell r="A238">
            <v>234</v>
          </cell>
          <cell r="B238" t="str">
            <v>2019-03-20</v>
          </cell>
          <cell r="C238" t="str">
            <v>더바른푸드</v>
          </cell>
          <cell r="D238" t="str">
            <v>더바른푸드</v>
          </cell>
          <cell r="E238" t="str">
            <v>일반</v>
          </cell>
          <cell r="F238" t="str">
            <v>입고완료</v>
          </cell>
          <cell r="G238">
            <v>199844</v>
          </cell>
          <cell r="H238" t="str">
            <v>냉동곤드레(1Kg/EA)</v>
          </cell>
          <cell r="I238" t="str">
            <v>EA</v>
          </cell>
          <cell r="J238">
            <v>6</v>
          </cell>
          <cell r="K238">
            <v>6</v>
          </cell>
          <cell r="L238">
            <v>3330</v>
          </cell>
          <cell r="M238">
            <v>19980</v>
          </cell>
          <cell r="N238">
            <v>0</v>
          </cell>
          <cell r="O238">
            <v>19980</v>
          </cell>
          <cell r="P238">
            <v>0</v>
          </cell>
          <cell r="Q238" t="str">
            <v>한국</v>
          </cell>
          <cell r="R238" t="str">
            <v>냉동</v>
          </cell>
          <cell r="S238" t="str">
            <v>EA(1)</v>
          </cell>
          <cell r="T238" t="str">
            <v/>
          </cell>
          <cell r="U238" t="str">
            <v/>
          </cell>
          <cell r="V238" t="str">
            <v>2019-03-19</v>
          </cell>
          <cell r="W238" t="str">
            <v>2019-03-19 13:59:25</v>
          </cell>
          <cell r="X238" t="str">
            <v>더바른푸드</v>
          </cell>
        </row>
        <row r="239">
          <cell r="A239">
            <v>235</v>
          </cell>
          <cell r="B239" t="str">
            <v>2019-03-20</v>
          </cell>
          <cell r="C239" t="str">
            <v>더바른푸드</v>
          </cell>
          <cell r="D239" t="str">
            <v>더바른푸드</v>
          </cell>
          <cell r="E239" t="str">
            <v>일반</v>
          </cell>
          <cell r="F239" t="str">
            <v>입고완료</v>
          </cell>
          <cell r="G239">
            <v>205125</v>
          </cell>
          <cell r="H239" t="str">
            <v>백태(일반 1Kg/PAC)</v>
          </cell>
          <cell r="I239" t="str">
            <v>PAC</v>
          </cell>
          <cell r="J239">
            <v>1</v>
          </cell>
          <cell r="K239">
            <v>1</v>
          </cell>
          <cell r="L239">
            <v>7640</v>
          </cell>
          <cell r="M239">
            <v>7640</v>
          </cell>
          <cell r="N239">
            <v>0</v>
          </cell>
          <cell r="O239">
            <v>7640</v>
          </cell>
          <cell r="P239">
            <v>0</v>
          </cell>
          <cell r="Q239" t="str">
            <v>한국</v>
          </cell>
          <cell r="R239" t="str">
            <v>실온</v>
          </cell>
          <cell r="S239" t="str">
            <v>PAC(1)</v>
          </cell>
          <cell r="T239" t="str">
            <v/>
          </cell>
          <cell r="U239" t="str">
            <v/>
          </cell>
          <cell r="V239" t="str">
            <v>2019-03-19</v>
          </cell>
          <cell r="W239" t="str">
            <v>2019-03-19 14:10:36</v>
          </cell>
          <cell r="X239" t="str">
            <v>더바른푸드</v>
          </cell>
        </row>
        <row r="240">
          <cell r="A240">
            <v>236</v>
          </cell>
          <cell r="B240" t="str">
            <v>2019-03-20</v>
          </cell>
          <cell r="C240" t="str">
            <v>더바른푸드</v>
          </cell>
          <cell r="D240" t="str">
            <v>더바른푸드</v>
          </cell>
          <cell r="E240" t="str">
            <v>일반</v>
          </cell>
          <cell r="F240" t="str">
            <v>입고완료</v>
          </cell>
          <cell r="G240">
            <v>140438</v>
          </cell>
          <cell r="H240" t="str">
            <v>이츠웰 이온물엿(NEW 10Kg/EA)</v>
          </cell>
          <cell r="I240" t="str">
            <v>EA</v>
          </cell>
          <cell r="J240">
            <v>6</v>
          </cell>
          <cell r="K240">
            <v>6</v>
          </cell>
          <cell r="L240">
            <v>8890</v>
          </cell>
          <cell r="M240">
            <v>53340</v>
          </cell>
          <cell r="N240">
            <v>5334</v>
          </cell>
          <cell r="O240">
            <v>58674</v>
          </cell>
          <cell r="P240">
            <v>0</v>
          </cell>
          <cell r="Q240" t="str">
            <v/>
          </cell>
          <cell r="R240" t="str">
            <v>실온</v>
          </cell>
          <cell r="S240" t="str">
            <v>EA(2)</v>
          </cell>
          <cell r="T240" t="str">
            <v/>
          </cell>
          <cell r="U240" t="str">
            <v/>
          </cell>
          <cell r="V240" t="str">
            <v>2019-03-19</v>
          </cell>
          <cell r="W240" t="str">
            <v>2019-03-19 14:10:36</v>
          </cell>
          <cell r="X240" t="str">
            <v>더바른푸드</v>
          </cell>
        </row>
        <row r="241">
          <cell r="A241">
            <v>237</v>
          </cell>
          <cell r="B241" t="str">
            <v>2019-03-20</v>
          </cell>
          <cell r="C241" t="str">
            <v>더바른푸드</v>
          </cell>
          <cell r="D241" t="str">
            <v>더바른푸드</v>
          </cell>
          <cell r="E241" t="str">
            <v>일반</v>
          </cell>
          <cell r="F241" t="str">
            <v>입고완료</v>
          </cell>
          <cell r="G241">
            <v>219387</v>
          </cell>
          <cell r="H241" t="str">
            <v>냉동배추우거지(1Kg/EA)</v>
          </cell>
          <cell r="I241" t="str">
            <v>EA</v>
          </cell>
          <cell r="J241">
            <v>10</v>
          </cell>
          <cell r="K241">
            <v>10</v>
          </cell>
          <cell r="L241">
            <v>1460</v>
          </cell>
          <cell r="M241">
            <v>14600</v>
          </cell>
          <cell r="N241">
            <v>1460</v>
          </cell>
          <cell r="O241">
            <v>16060</v>
          </cell>
          <cell r="P241">
            <v>0</v>
          </cell>
          <cell r="Q241" t="str">
            <v>중국</v>
          </cell>
          <cell r="R241" t="str">
            <v>냉동</v>
          </cell>
          <cell r="S241" t="str">
            <v>EA(1)</v>
          </cell>
          <cell r="T241" t="str">
            <v/>
          </cell>
          <cell r="U241" t="str">
            <v/>
          </cell>
          <cell r="V241" t="str">
            <v>2019-03-19</v>
          </cell>
          <cell r="W241" t="str">
            <v>2019-03-19 14:42:02</v>
          </cell>
          <cell r="X241" t="str">
            <v>더바른푸드</v>
          </cell>
        </row>
        <row r="242">
          <cell r="A242">
            <v>238</v>
          </cell>
          <cell r="B242" t="str">
            <v>2019-03-19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A243">
            <v>239</v>
          </cell>
          <cell r="B243" t="str">
            <v>2019-03-19</v>
          </cell>
          <cell r="C243" t="str">
            <v>더바른푸드</v>
          </cell>
          <cell r="D243" t="str">
            <v>더바른푸드</v>
          </cell>
          <cell r="E243" t="str">
            <v>일반</v>
          </cell>
          <cell r="F243" t="str">
            <v>입고완료</v>
          </cell>
          <cell r="G243">
            <v>160072</v>
          </cell>
          <cell r="H243" t="str">
            <v>하림 멘치까스(80g*10입 800g/EA)</v>
          </cell>
          <cell r="I243" t="str">
            <v>EA</v>
          </cell>
          <cell r="J243">
            <v>92</v>
          </cell>
          <cell r="K243">
            <v>92</v>
          </cell>
          <cell r="L243">
            <v>5340</v>
          </cell>
          <cell r="M243">
            <v>491280</v>
          </cell>
          <cell r="N243">
            <v>49128</v>
          </cell>
          <cell r="O243">
            <v>540408</v>
          </cell>
          <cell r="P243">
            <v>0</v>
          </cell>
          <cell r="Q243" t="str">
            <v/>
          </cell>
          <cell r="R243" t="str">
            <v>냉동</v>
          </cell>
          <cell r="S243" t="str">
            <v>EA(10)</v>
          </cell>
          <cell r="T243" t="str">
            <v/>
          </cell>
          <cell r="U243" t="str">
            <v/>
          </cell>
          <cell r="V243" t="str">
            <v>2019-03-15</v>
          </cell>
          <cell r="W243" t="str">
            <v>2019-03-15 14:08:53</v>
          </cell>
          <cell r="X243" t="str">
            <v>더바른푸드</v>
          </cell>
        </row>
        <row r="244">
          <cell r="A244">
            <v>240</v>
          </cell>
          <cell r="B244" t="str">
            <v>2019-03-19</v>
          </cell>
          <cell r="C244" t="str">
            <v>더바른푸드</v>
          </cell>
          <cell r="D244" t="str">
            <v>더바른푸드</v>
          </cell>
          <cell r="E244" t="str">
            <v>일반</v>
          </cell>
          <cell r="F244" t="str">
            <v>입고완료</v>
          </cell>
          <cell r="G244">
            <v>310704</v>
          </cell>
          <cell r="H244" t="str">
            <v>프레시웨이 세멸치(상품 볶음용 1Kg/EA)</v>
          </cell>
          <cell r="I244" t="str">
            <v>EA</v>
          </cell>
          <cell r="J244">
            <v>3</v>
          </cell>
          <cell r="K244">
            <v>3</v>
          </cell>
          <cell r="L244">
            <v>18880</v>
          </cell>
          <cell r="M244">
            <v>56640</v>
          </cell>
          <cell r="N244">
            <v>0</v>
          </cell>
          <cell r="O244">
            <v>56640</v>
          </cell>
          <cell r="P244">
            <v>0</v>
          </cell>
          <cell r="Q244" t="str">
            <v>한국</v>
          </cell>
          <cell r="R244" t="str">
            <v>냉장</v>
          </cell>
          <cell r="S244" t="str">
            <v>EA(10)</v>
          </cell>
          <cell r="T244" t="str">
            <v/>
          </cell>
          <cell r="U244" t="str">
            <v/>
          </cell>
          <cell r="V244" t="str">
            <v>2019-03-15</v>
          </cell>
          <cell r="W244" t="str">
            <v>2019-03-15 14:15:43</v>
          </cell>
          <cell r="X244" t="str">
            <v>더바른푸드</v>
          </cell>
        </row>
        <row r="245">
          <cell r="A245">
            <v>241</v>
          </cell>
          <cell r="B245" t="str">
            <v>2019-03-19</v>
          </cell>
          <cell r="C245" t="str">
            <v>더바른푸드</v>
          </cell>
          <cell r="D245" t="str">
            <v>더바른푸드</v>
          </cell>
          <cell r="E245" t="str">
            <v>일반</v>
          </cell>
          <cell r="F245" t="str">
            <v>입고완료</v>
          </cell>
          <cell r="G245">
            <v>310707</v>
          </cell>
          <cell r="H245" t="str">
            <v>프레시웨이 소멸치(상품 조림용 1Kg/EA)</v>
          </cell>
          <cell r="I245" t="str">
            <v>EA</v>
          </cell>
          <cell r="J245">
            <v>1</v>
          </cell>
          <cell r="K245">
            <v>1</v>
          </cell>
          <cell r="L245">
            <v>23770</v>
          </cell>
          <cell r="M245">
            <v>23770</v>
          </cell>
          <cell r="N245">
            <v>0</v>
          </cell>
          <cell r="O245">
            <v>23770</v>
          </cell>
          <cell r="P245">
            <v>0</v>
          </cell>
          <cell r="Q245" t="str">
            <v>한국</v>
          </cell>
          <cell r="R245" t="str">
            <v>냉장</v>
          </cell>
          <cell r="S245" t="str">
            <v>EA(10)</v>
          </cell>
          <cell r="T245" t="str">
            <v/>
          </cell>
          <cell r="U245" t="str">
            <v/>
          </cell>
          <cell r="V245" t="str">
            <v>2019-03-15</v>
          </cell>
          <cell r="W245" t="str">
            <v>2019-03-15 14:16:30</v>
          </cell>
          <cell r="X245" t="str">
            <v>더바른푸드</v>
          </cell>
        </row>
        <row r="246">
          <cell r="A246">
            <v>242</v>
          </cell>
          <cell r="B246" t="str">
            <v>2019-03-19</v>
          </cell>
          <cell r="C246" t="str">
            <v>더바른푸드</v>
          </cell>
          <cell r="D246" t="str">
            <v>더바른푸드</v>
          </cell>
          <cell r="E246" t="str">
            <v>일반</v>
          </cell>
          <cell r="F246" t="str">
            <v>입고완료</v>
          </cell>
          <cell r="G246">
            <v>201152</v>
          </cell>
          <cell r="H246" t="str">
            <v>깐도라지채(KG)</v>
          </cell>
          <cell r="I246" t="str">
            <v>KG</v>
          </cell>
          <cell r="J246">
            <v>2</v>
          </cell>
          <cell r="K246">
            <v>2</v>
          </cell>
          <cell r="L246">
            <v>5380</v>
          </cell>
          <cell r="M246">
            <v>10760</v>
          </cell>
          <cell r="N246">
            <v>0</v>
          </cell>
          <cell r="O246">
            <v>10760</v>
          </cell>
          <cell r="P246">
            <v>0</v>
          </cell>
          <cell r="Q246" t="str">
            <v>중국</v>
          </cell>
          <cell r="R246" t="str">
            <v>냉장</v>
          </cell>
          <cell r="S246" t="str">
            <v>KG(1)</v>
          </cell>
          <cell r="T246" t="str">
            <v/>
          </cell>
          <cell r="U246" t="str">
            <v/>
          </cell>
          <cell r="V246" t="str">
            <v>2019-03-15</v>
          </cell>
          <cell r="W246" t="str">
            <v>2019-03-15 14:27:59</v>
          </cell>
          <cell r="X246" t="str">
            <v>더바른푸드</v>
          </cell>
        </row>
        <row r="247">
          <cell r="A247">
            <v>243</v>
          </cell>
          <cell r="B247" t="str">
            <v>2019-03-19</v>
          </cell>
          <cell r="C247" t="str">
            <v>더바른푸드</v>
          </cell>
          <cell r="D247" t="str">
            <v>더바른푸드</v>
          </cell>
          <cell r="E247" t="str">
            <v>일반</v>
          </cell>
          <cell r="F247" t="str">
            <v>입고완료</v>
          </cell>
          <cell r="G247">
            <v>219387</v>
          </cell>
          <cell r="H247" t="str">
            <v>냉동배추우거지(1Kg/EA)</v>
          </cell>
          <cell r="I247" t="str">
            <v>EA</v>
          </cell>
          <cell r="J247">
            <v>20</v>
          </cell>
          <cell r="K247">
            <v>20</v>
          </cell>
          <cell r="L247">
            <v>1460</v>
          </cell>
          <cell r="M247">
            <v>29200</v>
          </cell>
          <cell r="N247">
            <v>2920</v>
          </cell>
          <cell r="O247">
            <v>32120</v>
          </cell>
          <cell r="P247">
            <v>0</v>
          </cell>
          <cell r="Q247" t="str">
            <v>중국</v>
          </cell>
          <cell r="R247" t="str">
            <v>냉동</v>
          </cell>
          <cell r="S247" t="str">
            <v>EA(1)</v>
          </cell>
          <cell r="T247" t="str">
            <v/>
          </cell>
          <cell r="U247" t="str">
            <v/>
          </cell>
          <cell r="V247" t="str">
            <v>2019-03-15</v>
          </cell>
          <cell r="W247" t="str">
            <v>2019-03-15 14:30:15</v>
          </cell>
          <cell r="X247" t="str">
            <v>더바른푸드</v>
          </cell>
        </row>
        <row r="248">
          <cell r="A248">
            <v>244</v>
          </cell>
          <cell r="B248" t="str">
            <v>2019-03-19</v>
          </cell>
          <cell r="C248" t="str">
            <v>더바른푸드</v>
          </cell>
          <cell r="D248" t="str">
            <v>더바른푸드</v>
          </cell>
          <cell r="E248" t="str">
            <v>일반</v>
          </cell>
          <cell r="F248" t="str">
            <v>입고완료</v>
          </cell>
          <cell r="G248">
            <v>168257</v>
          </cell>
          <cell r="H248" t="str">
            <v>명품 판두부(찌개용 3Kg/EA)</v>
          </cell>
          <cell r="I248" t="str">
            <v>EA</v>
          </cell>
          <cell r="J248">
            <v>3</v>
          </cell>
          <cell r="K248">
            <v>3</v>
          </cell>
          <cell r="L248">
            <v>4000</v>
          </cell>
          <cell r="M248">
            <v>12000</v>
          </cell>
          <cell r="N248">
            <v>0</v>
          </cell>
          <cell r="O248">
            <v>12000</v>
          </cell>
          <cell r="P248">
            <v>0</v>
          </cell>
          <cell r="Q248" t="str">
            <v>수입산</v>
          </cell>
          <cell r="R248" t="str">
            <v>냉장</v>
          </cell>
          <cell r="S248" t="str">
            <v>EA(1)</v>
          </cell>
          <cell r="T248" t="str">
            <v/>
          </cell>
          <cell r="U248" t="str">
            <v/>
          </cell>
          <cell r="V248" t="str">
            <v>2019-03-15</v>
          </cell>
          <cell r="W248" t="str">
            <v>2019-03-15 14:30:38</v>
          </cell>
          <cell r="X248" t="str">
            <v>더바른푸드</v>
          </cell>
        </row>
        <row r="249">
          <cell r="A249">
            <v>245</v>
          </cell>
          <cell r="B249" t="str">
            <v>2019-03-19</v>
          </cell>
          <cell r="C249" t="str">
            <v>더바른푸드</v>
          </cell>
          <cell r="D249" t="str">
            <v>더바른푸드</v>
          </cell>
          <cell r="E249" t="str">
            <v>일반</v>
          </cell>
          <cell r="F249" t="str">
            <v>입고완료</v>
          </cell>
          <cell r="G249">
            <v>122082</v>
          </cell>
          <cell r="H249" t="str">
            <v>빙그레 흰우유(참맛좋은 200g/EA)</v>
          </cell>
          <cell r="I249" t="str">
            <v>EA</v>
          </cell>
          <cell r="J249">
            <v>205</v>
          </cell>
          <cell r="K249">
            <v>205</v>
          </cell>
          <cell r="L249">
            <v>430</v>
          </cell>
          <cell r="M249">
            <v>88150</v>
          </cell>
          <cell r="N249">
            <v>0</v>
          </cell>
          <cell r="O249">
            <v>88150</v>
          </cell>
          <cell r="P249">
            <v>0</v>
          </cell>
          <cell r="Q249" t="str">
            <v>한국</v>
          </cell>
          <cell r="R249" t="str">
            <v>냉장</v>
          </cell>
          <cell r="S249" t="str">
            <v>EA(1)</v>
          </cell>
          <cell r="T249" t="str">
            <v/>
          </cell>
          <cell r="U249" t="str">
            <v/>
          </cell>
          <cell r="V249" t="str">
            <v>2019-03-15</v>
          </cell>
          <cell r="W249" t="str">
            <v>2019-03-15 14:59:09</v>
          </cell>
          <cell r="X249" t="str">
            <v>더바른푸드</v>
          </cell>
        </row>
        <row r="250">
          <cell r="A250">
            <v>246</v>
          </cell>
          <cell r="B250" t="str">
            <v>2019-03-19</v>
          </cell>
          <cell r="C250" t="str">
            <v>더바른푸드</v>
          </cell>
          <cell r="D250" t="str">
            <v>더바른푸드</v>
          </cell>
          <cell r="E250" t="str">
            <v>일반</v>
          </cell>
          <cell r="F250" t="str">
            <v>입고완료</v>
          </cell>
          <cell r="G250">
            <v>145344</v>
          </cell>
          <cell r="H250" t="str">
            <v>이츠웰 우리밀에그타르트(35g*16입 560g/EA)</v>
          </cell>
          <cell r="I250" t="str">
            <v>EA</v>
          </cell>
          <cell r="J250">
            <v>20</v>
          </cell>
          <cell r="K250">
            <v>20</v>
          </cell>
          <cell r="L250">
            <v>8560</v>
          </cell>
          <cell r="M250">
            <v>171200</v>
          </cell>
          <cell r="N250">
            <v>17120</v>
          </cell>
          <cell r="O250">
            <v>188320</v>
          </cell>
          <cell r="P250">
            <v>0</v>
          </cell>
          <cell r="Q250" t="str">
            <v>한국</v>
          </cell>
          <cell r="R250" t="str">
            <v>냉동</v>
          </cell>
          <cell r="S250" t="str">
            <v>EA(10)</v>
          </cell>
          <cell r="T250" t="str">
            <v/>
          </cell>
          <cell r="U250" t="str">
            <v/>
          </cell>
          <cell r="V250" t="str">
            <v>2019-03-15</v>
          </cell>
          <cell r="W250" t="str">
            <v>2019-03-15 15:01:58</v>
          </cell>
          <cell r="X250" t="str">
            <v>더바른푸드</v>
          </cell>
        </row>
        <row r="251">
          <cell r="A251">
            <v>247</v>
          </cell>
          <cell r="B251" t="str">
            <v>2019-03-19</v>
          </cell>
          <cell r="C251" t="str">
            <v>더바른푸드</v>
          </cell>
          <cell r="D251" t="str">
            <v>더바른푸드</v>
          </cell>
          <cell r="E251" t="str">
            <v>일반</v>
          </cell>
          <cell r="F251" t="str">
            <v>입고완료</v>
          </cell>
          <cell r="G251">
            <v>271769</v>
          </cell>
          <cell r="H251" t="str">
            <v>삼립식품 꼬마호빵(야채_40g*6입_봉단위 240g/EA)</v>
          </cell>
          <cell r="I251" t="str">
            <v>EA</v>
          </cell>
          <cell r="J251">
            <v>4</v>
          </cell>
          <cell r="K251">
            <v>4</v>
          </cell>
          <cell r="L251">
            <v>2120</v>
          </cell>
          <cell r="M251">
            <v>8480</v>
          </cell>
          <cell r="N251">
            <v>848</v>
          </cell>
          <cell r="O251">
            <v>9328</v>
          </cell>
          <cell r="P251">
            <v>0</v>
          </cell>
          <cell r="Q251" t="str">
            <v/>
          </cell>
          <cell r="R251" t="str">
            <v>냉동</v>
          </cell>
          <cell r="S251" t="str">
            <v>EA(16)</v>
          </cell>
          <cell r="T251" t="str">
            <v/>
          </cell>
          <cell r="U251" t="str">
            <v/>
          </cell>
          <cell r="V251" t="str">
            <v>2019-03-15</v>
          </cell>
          <cell r="W251" t="str">
            <v>2019-03-15 15:32:45</v>
          </cell>
          <cell r="X251" t="str">
            <v>더바른푸드</v>
          </cell>
        </row>
        <row r="252">
          <cell r="A252">
            <v>248</v>
          </cell>
          <cell r="B252" t="str">
            <v>2019-03-19</v>
          </cell>
          <cell r="C252" t="str">
            <v>더바른푸드</v>
          </cell>
          <cell r="D252" t="str">
            <v>더바른푸드</v>
          </cell>
          <cell r="E252" t="str">
            <v>일반</v>
          </cell>
          <cell r="F252" t="str">
            <v>입고완료</v>
          </cell>
          <cell r="G252">
            <v>211037</v>
          </cell>
          <cell r="H252" t="str">
            <v>느타리버섯(실속 균상 2Kg/EA)</v>
          </cell>
          <cell r="I252" t="str">
            <v>BOX</v>
          </cell>
          <cell r="J252">
            <v>4</v>
          </cell>
          <cell r="K252">
            <v>4</v>
          </cell>
          <cell r="L252">
            <v>12330</v>
          </cell>
          <cell r="M252">
            <v>49320</v>
          </cell>
          <cell r="N252">
            <v>0</v>
          </cell>
          <cell r="O252">
            <v>49320</v>
          </cell>
          <cell r="P252">
            <v>0</v>
          </cell>
          <cell r="Q252" t="str">
            <v>한국</v>
          </cell>
          <cell r="R252" t="str">
            <v>냉장</v>
          </cell>
          <cell r="S252" t="str">
            <v>EA(1)</v>
          </cell>
          <cell r="T252" t="str">
            <v/>
          </cell>
          <cell r="U252" t="str">
            <v/>
          </cell>
          <cell r="V252" t="str">
            <v>2019-03-18</v>
          </cell>
          <cell r="W252" t="str">
            <v>2019-03-18 13:37:11</v>
          </cell>
          <cell r="X252" t="str">
            <v>더바른푸드</v>
          </cell>
        </row>
        <row r="253">
          <cell r="A253">
            <v>249</v>
          </cell>
          <cell r="B253" t="str">
            <v>2019-03-19</v>
          </cell>
          <cell r="C253" t="str">
            <v>더바른푸드</v>
          </cell>
          <cell r="D253" t="str">
            <v>더바른푸드</v>
          </cell>
          <cell r="E253" t="str">
            <v>일반</v>
          </cell>
          <cell r="F253" t="str">
            <v>입고완료</v>
          </cell>
          <cell r="G253">
            <v>198257</v>
          </cell>
          <cell r="H253" t="str">
            <v>팽이버섯(상품 34개입 15일단가주기용 5Kg/BOX)</v>
          </cell>
          <cell r="I253" t="str">
            <v>BOX</v>
          </cell>
          <cell r="J253">
            <v>1</v>
          </cell>
          <cell r="K253">
            <v>1</v>
          </cell>
          <cell r="L253">
            <v>10770</v>
          </cell>
          <cell r="M253">
            <v>10770</v>
          </cell>
          <cell r="N253">
            <v>0</v>
          </cell>
          <cell r="O253">
            <v>10770</v>
          </cell>
          <cell r="P253">
            <v>0</v>
          </cell>
          <cell r="Q253" t="str">
            <v>한국</v>
          </cell>
          <cell r="R253" t="str">
            <v>냉장</v>
          </cell>
          <cell r="S253" t="str">
            <v>BOX(1)</v>
          </cell>
          <cell r="T253" t="str">
            <v/>
          </cell>
          <cell r="U253" t="str">
            <v/>
          </cell>
          <cell r="V253" t="str">
            <v>2019-03-18</v>
          </cell>
          <cell r="W253" t="str">
            <v>2019-03-18 13:39:11</v>
          </cell>
          <cell r="X253" t="str">
            <v>더바른푸드</v>
          </cell>
        </row>
        <row r="254">
          <cell r="A254">
            <v>250</v>
          </cell>
          <cell r="B254" t="str">
            <v>2019-03-19</v>
          </cell>
          <cell r="C254" t="str">
            <v>더바른푸드</v>
          </cell>
          <cell r="D254" t="str">
            <v>더바른푸드</v>
          </cell>
          <cell r="E254" t="str">
            <v>일반</v>
          </cell>
          <cell r="F254" t="str">
            <v>입고완료</v>
          </cell>
          <cell r="G254">
            <v>159357</v>
          </cell>
          <cell r="H254" t="str">
            <v>이츠웰 칼집쏙쏙비엔나소시지(1Kg/EA)</v>
          </cell>
          <cell r="I254" t="str">
            <v>EA</v>
          </cell>
          <cell r="J254">
            <v>19</v>
          </cell>
          <cell r="K254">
            <v>19</v>
          </cell>
          <cell r="L254">
            <v>5690</v>
          </cell>
          <cell r="M254">
            <v>108110</v>
          </cell>
          <cell r="N254">
            <v>10811</v>
          </cell>
          <cell r="O254">
            <v>118921</v>
          </cell>
          <cell r="P254">
            <v>0</v>
          </cell>
          <cell r="Q254" t="str">
            <v/>
          </cell>
          <cell r="R254" t="str">
            <v>냉장</v>
          </cell>
          <cell r="S254" t="str">
            <v>EA(10)</v>
          </cell>
          <cell r="T254" t="str">
            <v/>
          </cell>
          <cell r="U254" t="str">
            <v/>
          </cell>
          <cell r="V254" t="str">
            <v>2019-03-18</v>
          </cell>
          <cell r="W254" t="str">
            <v>2019-03-18 13:42:54</v>
          </cell>
          <cell r="X254" t="str">
            <v>더바른푸드</v>
          </cell>
        </row>
        <row r="255">
          <cell r="A255">
            <v>251</v>
          </cell>
          <cell r="B255" t="str">
            <v>2019-03-19</v>
          </cell>
          <cell r="C255" t="str">
            <v>더바른푸드</v>
          </cell>
          <cell r="D255" t="str">
            <v>더바른푸드</v>
          </cell>
          <cell r="E255" t="str">
            <v>일반</v>
          </cell>
          <cell r="F255" t="str">
            <v>입고완료</v>
          </cell>
          <cell r="G255">
            <v>114264</v>
          </cell>
          <cell r="H255" t="str">
            <v>동성식품 한입쌀떡볶이떡(1Kg/EA)</v>
          </cell>
          <cell r="I255" t="str">
            <v>EA</v>
          </cell>
          <cell r="J255">
            <v>7</v>
          </cell>
          <cell r="K255">
            <v>7</v>
          </cell>
          <cell r="L255">
            <v>1340</v>
          </cell>
          <cell r="M255">
            <v>9380</v>
          </cell>
          <cell r="N255">
            <v>938</v>
          </cell>
          <cell r="O255">
            <v>10318</v>
          </cell>
          <cell r="P255">
            <v>0</v>
          </cell>
          <cell r="Q255" t="str">
            <v>수입산</v>
          </cell>
          <cell r="R255" t="str">
            <v>냉장</v>
          </cell>
          <cell r="S255" t="str">
            <v>EA(1)</v>
          </cell>
          <cell r="T255" t="str">
            <v/>
          </cell>
          <cell r="U255" t="str">
            <v/>
          </cell>
          <cell r="V255" t="str">
            <v>2019-03-18</v>
          </cell>
          <cell r="W255" t="str">
            <v>2019-03-18 13:45:00</v>
          </cell>
          <cell r="X255" t="str">
            <v>더바른푸드</v>
          </cell>
        </row>
        <row r="256">
          <cell r="A256">
            <v>252</v>
          </cell>
          <cell r="B256" t="str">
            <v>2019-03-19</v>
          </cell>
          <cell r="C256" t="str">
            <v>더바른푸드</v>
          </cell>
          <cell r="D256" t="str">
            <v>더바른푸드</v>
          </cell>
          <cell r="E256" t="str">
            <v>일반</v>
          </cell>
          <cell r="F256" t="str">
            <v>입고완료</v>
          </cell>
          <cell r="G256">
            <v>239198</v>
          </cell>
          <cell r="H256" t="str">
            <v>이츠웰 스위트칠리소스(NEW_파우치_2017년리뉴얼 2Kg/EA)</v>
          </cell>
          <cell r="I256" t="str">
            <v>EA</v>
          </cell>
          <cell r="J256">
            <v>2</v>
          </cell>
          <cell r="K256">
            <v>2</v>
          </cell>
          <cell r="L256">
            <v>5850</v>
          </cell>
          <cell r="M256">
            <v>11700</v>
          </cell>
          <cell r="N256">
            <v>1170</v>
          </cell>
          <cell r="O256">
            <v>12870</v>
          </cell>
          <cell r="P256">
            <v>0</v>
          </cell>
          <cell r="Q256" t="str">
            <v/>
          </cell>
          <cell r="R256" t="str">
            <v>냉장</v>
          </cell>
          <cell r="S256" t="str">
            <v>EA(5)</v>
          </cell>
          <cell r="T256" t="str">
            <v/>
          </cell>
          <cell r="U256" t="str">
            <v/>
          </cell>
          <cell r="V256" t="str">
            <v>2019-03-18</v>
          </cell>
          <cell r="W256" t="str">
            <v>2019-03-18 14:08:32</v>
          </cell>
          <cell r="X256" t="str">
            <v>더바른푸드</v>
          </cell>
        </row>
        <row r="257">
          <cell r="A257">
            <v>253</v>
          </cell>
          <cell r="B257" t="str">
            <v>2019-03-19</v>
          </cell>
          <cell r="C257" t="str">
            <v>더바른푸드</v>
          </cell>
          <cell r="D257" t="str">
            <v>더바른푸드</v>
          </cell>
          <cell r="E257" t="str">
            <v>일반</v>
          </cell>
          <cell r="F257" t="str">
            <v>입고완료</v>
          </cell>
          <cell r="G257">
            <v>411038</v>
          </cell>
          <cell r="H257" t="str">
            <v>누리웰 깐메추리알(1Kg/EA)</v>
          </cell>
          <cell r="I257" t="str">
            <v>EA</v>
          </cell>
          <cell r="J257">
            <v>16</v>
          </cell>
          <cell r="K257">
            <v>16</v>
          </cell>
          <cell r="L257">
            <v>4480</v>
          </cell>
          <cell r="M257">
            <v>71680</v>
          </cell>
          <cell r="N257">
            <v>7168</v>
          </cell>
          <cell r="O257">
            <v>78848</v>
          </cell>
          <cell r="P257">
            <v>0</v>
          </cell>
          <cell r="Q257" t="str">
            <v>한국</v>
          </cell>
          <cell r="R257" t="str">
            <v>냉장</v>
          </cell>
          <cell r="S257" t="str">
            <v>EA(10)</v>
          </cell>
          <cell r="T257" t="str">
            <v/>
          </cell>
          <cell r="U257" t="str">
            <v/>
          </cell>
          <cell r="V257" t="str">
            <v>2019-03-18</v>
          </cell>
          <cell r="W257" t="str">
            <v>2019-03-18 14:10:13</v>
          </cell>
          <cell r="X257" t="str">
            <v>더바른푸드</v>
          </cell>
        </row>
        <row r="258">
          <cell r="A258">
            <v>254</v>
          </cell>
          <cell r="B258" t="str">
            <v>2019-03-19</v>
          </cell>
          <cell r="C258" t="str">
            <v>더바른푸드</v>
          </cell>
          <cell r="D258" t="str">
            <v>더바른푸드</v>
          </cell>
          <cell r="E258" t="str">
            <v>일반</v>
          </cell>
          <cell r="F258" t="str">
            <v>입고완료</v>
          </cell>
          <cell r="G258">
            <v>154930</v>
          </cell>
          <cell r="H258" t="str">
            <v>사조대림 곤약(LOW칼로리생활 2Kg/EA)</v>
          </cell>
          <cell r="I258" t="str">
            <v>EA</v>
          </cell>
          <cell r="J258">
            <v>1</v>
          </cell>
          <cell r="K258">
            <v>1</v>
          </cell>
          <cell r="L258">
            <v>3920</v>
          </cell>
          <cell r="M258">
            <v>3920</v>
          </cell>
          <cell r="N258">
            <v>392</v>
          </cell>
          <cell r="O258">
            <v>4312</v>
          </cell>
          <cell r="P258">
            <v>0</v>
          </cell>
          <cell r="Q258" t="str">
            <v/>
          </cell>
          <cell r="R258" t="str">
            <v>실온</v>
          </cell>
          <cell r="S258" t="str">
            <v>EA(6)</v>
          </cell>
          <cell r="T258" t="str">
            <v/>
          </cell>
          <cell r="U258" t="str">
            <v/>
          </cell>
          <cell r="V258" t="str">
            <v>2019-03-18</v>
          </cell>
          <cell r="W258" t="str">
            <v>2019-03-18 14:10:13</v>
          </cell>
          <cell r="X258" t="str">
            <v>더바른푸드</v>
          </cell>
        </row>
        <row r="259">
          <cell r="A259">
            <v>255</v>
          </cell>
          <cell r="B259" t="str">
            <v>2019-03-19</v>
          </cell>
          <cell r="C259" t="str">
            <v>더바른푸드</v>
          </cell>
          <cell r="D259" t="str">
            <v>더바른푸드</v>
          </cell>
          <cell r="E259" t="str">
            <v>일반</v>
          </cell>
          <cell r="F259" t="str">
            <v>입고완료</v>
          </cell>
          <cell r="G259">
            <v>201290</v>
          </cell>
          <cell r="H259" t="str">
            <v>건무말랭이(KG)</v>
          </cell>
          <cell r="I259" t="str">
            <v>KG</v>
          </cell>
          <cell r="J259">
            <v>9</v>
          </cell>
          <cell r="K259">
            <v>9</v>
          </cell>
          <cell r="L259">
            <v>5580</v>
          </cell>
          <cell r="M259">
            <v>50220</v>
          </cell>
          <cell r="N259">
            <v>0</v>
          </cell>
          <cell r="O259">
            <v>50220</v>
          </cell>
          <cell r="P259">
            <v>0</v>
          </cell>
          <cell r="Q259" t="str">
            <v>중국</v>
          </cell>
          <cell r="R259" t="str">
            <v>실온</v>
          </cell>
          <cell r="S259" t="str">
            <v>KG(1)</v>
          </cell>
          <cell r="T259" t="str">
            <v/>
          </cell>
          <cell r="U259" t="str">
            <v/>
          </cell>
          <cell r="V259" t="str">
            <v>2019-03-18</v>
          </cell>
          <cell r="W259" t="str">
            <v>2019-03-18 14:10:13</v>
          </cell>
          <cell r="X259" t="str">
            <v>더바른푸드</v>
          </cell>
        </row>
        <row r="260">
          <cell r="A260">
            <v>256</v>
          </cell>
          <cell r="B260" t="str">
            <v>2019-03-19</v>
          </cell>
          <cell r="C260" t="str">
            <v>더바른푸드</v>
          </cell>
          <cell r="D260" t="str">
            <v>더바른푸드</v>
          </cell>
          <cell r="E260" t="str">
            <v>일반</v>
          </cell>
          <cell r="F260" t="str">
            <v>입고완료</v>
          </cell>
          <cell r="G260">
            <v>222391</v>
          </cell>
          <cell r="H260" t="str">
            <v>기장(일반 1Kg/EA)</v>
          </cell>
          <cell r="I260" t="str">
            <v>EA</v>
          </cell>
          <cell r="J260">
            <v>10</v>
          </cell>
          <cell r="K260">
            <v>10</v>
          </cell>
          <cell r="L260">
            <v>2300</v>
          </cell>
          <cell r="M260">
            <v>23000</v>
          </cell>
          <cell r="N260">
            <v>0</v>
          </cell>
          <cell r="O260">
            <v>23000</v>
          </cell>
          <cell r="P260">
            <v>0</v>
          </cell>
          <cell r="Q260" t="str">
            <v>미국</v>
          </cell>
          <cell r="R260" t="str">
            <v>실온</v>
          </cell>
          <cell r="S260" t="str">
            <v>EA(1)</v>
          </cell>
          <cell r="T260" t="str">
            <v/>
          </cell>
          <cell r="U260" t="str">
            <v/>
          </cell>
          <cell r="V260" t="str">
            <v>2019-03-18</v>
          </cell>
          <cell r="W260" t="str">
            <v>2019-03-18 14:26:50</v>
          </cell>
          <cell r="X260" t="str">
            <v>더바른푸드</v>
          </cell>
        </row>
        <row r="261">
          <cell r="A261">
            <v>257</v>
          </cell>
          <cell r="B261" t="str">
            <v>2019-03-19</v>
          </cell>
          <cell r="C261" t="str">
            <v>더바른푸드</v>
          </cell>
          <cell r="D261" t="str">
            <v>더바른푸드</v>
          </cell>
          <cell r="E261" t="str">
            <v>일반</v>
          </cell>
          <cell r="F261" t="str">
            <v>입고완료</v>
          </cell>
          <cell r="G261">
            <v>240002</v>
          </cell>
          <cell r="H261" t="str">
            <v>귀리(1Kg/EA)</v>
          </cell>
          <cell r="I261" t="str">
            <v>EA</v>
          </cell>
          <cell r="J261">
            <v>10</v>
          </cell>
          <cell r="K261">
            <v>10</v>
          </cell>
          <cell r="L261">
            <v>2000</v>
          </cell>
          <cell r="M261">
            <v>20000</v>
          </cell>
          <cell r="N261">
            <v>0</v>
          </cell>
          <cell r="O261">
            <v>20000</v>
          </cell>
          <cell r="P261">
            <v>0</v>
          </cell>
          <cell r="Q261" t="str">
            <v>호주</v>
          </cell>
          <cell r="R261" t="str">
            <v>실온</v>
          </cell>
          <cell r="S261" t="str">
            <v>EA(1)</v>
          </cell>
          <cell r="T261" t="str">
            <v/>
          </cell>
          <cell r="U261" t="str">
            <v/>
          </cell>
          <cell r="V261" t="str">
            <v>2019-03-18</v>
          </cell>
          <cell r="W261" t="str">
            <v>2019-03-18 14:26:50</v>
          </cell>
          <cell r="X261" t="str">
            <v>더바른푸드</v>
          </cell>
        </row>
        <row r="262">
          <cell r="A262">
            <v>258</v>
          </cell>
          <cell r="B262" t="str">
            <v>2019-03-19</v>
          </cell>
          <cell r="C262" t="str">
            <v>더바른푸드</v>
          </cell>
          <cell r="D262" t="str">
            <v>더바른푸드</v>
          </cell>
          <cell r="E262" t="str">
            <v>일반</v>
          </cell>
          <cell r="F262" t="str">
            <v>입고완료</v>
          </cell>
          <cell r="G262">
            <v>263883</v>
          </cell>
          <cell r="H262" t="str">
            <v>수수(일반 1Kg/EA)</v>
          </cell>
          <cell r="I262" t="str">
            <v>EA</v>
          </cell>
          <cell r="J262">
            <v>10</v>
          </cell>
          <cell r="K262">
            <v>10</v>
          </cell>
          <cell r="L262">
            <v>2010</v>
          </cell>
          <cell r="M262">
            <v>20100</v>
          </cell>
          <cell r="N262">
            <v>0</v>
          </cell>
          <cell r="O262">
            <v>20100</v>
          </cell>
          <cell r="P262">
            <v>0</v>
          </cell>
          <cell r="Q262" t="str">
            <v>미국</v>
          </cell>
          <cell r="R262" t="str">
            <v>실온</v>
          </cell>
          <cell r="S262" t="str">
            <v>EA(1)</v>
          </cell>
          <cell r="T262" t="str">
            <v/>
          </cell>
          <cell r="U262" t="str">
            <v/>
          </cell>
          <cell r="V262" t="str">
            <v>2019-03-18</v>
          </cell>
          <cell r="W262" t="str">
            <v>2019-03-18 14:26:50</v>
          </cell>
          <cell r="X262" t="str">
            <v>더바른푸드</v>
          </cell>
        </row>
        <row r="263">
          <cell r="A263">
            <v>259</v>
          </cell>
          <cell r="B263" t="str">
            <v>2019-03-19</v>
          </cell>
          <cell r="C263" t="str">
            <v>더바른푸드</v>
          </cell>
          <cell r="D263" t="str">
            <v>더바른푸드</v>
          </cell>
          <cell r="E263" t="str">
            <v>일반</v>
          </cell>
          <cell r="F263" t="str">
            <v>입고완료</v>
          </cell>
          <cell r="G263">
            <v>204598</v>
          </cell>
          <cell r="H263" t="str">
            <v>농협 흑미(1Kg/EA)</v>
          </cell>
          <cell r="I263" t="str">
            <v>EA</v>
          </cell>
          <cell r="J263">
            <v>10</v>
          </cell>
          <cell r="K263">
            <v>10</v>
          </cell>
          <cell r="L263">
            <v>4850</v>
          </cell>
          <cell r="M263">
            <v>48500</v>
          </cell>
          <cell r="N263">
            <v>0</v>
          </cell>
          <cell r="O263">
            <v>48500</v>
          </cell>
          <cell r="P263">
            <v>0</v>
          </cell>
          <cell r="Q263" t="str">
            <v>한국</v>
          </cell>
          <cell r="R263" t="str">
            <v>실온</v>
          </cell>
          <cell r="S263" t="str">
            <v>EA(1)</v>
          </cell>
          <cell r="T263" t="str">
            <v/>
          </cell>
          <cell r="U263" t="str">
            <v/>
          </cell>
          <cell r="V263" t="str">
            <v>2019-03-18</v>
          </cell>
          <cell r="W263" t="str">
            <v>2019-03-18 14:26:50</v>
          </cell>
          <cell r="X263" t="str">
            <v>더바른푸드</v>
          </cell>
        </row>
        <row r="264">
          <cell r="A264">
            <v>260</v>
          </cell>
          <cell r="B264" t="str">
            <v>2019-03-18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</row>
        <row r="265">
          <cell r="A265">
            <v>261</v>
          </cell>
          <cell r="B265" t="str">
            <v>2019-03-18</v>
          </cell>
          <cell r="C265" t="str">
            <v>더바른푸드</v>
          </cell>
          <cell r="D265" t="str">
            <v>더바른푸드</v>
          </cell>
          <cell r="E265" t="str">
            <v>일반</v>
          </cell>
          <cell r="F265" t="str">
            <v>입고완료</v>
          </cell>
          <cell r="G265">
            <v>221871</v>
          </cell>
          <cell r="H265" t="str">
            <v>냉동시금치(IQF 1Kg/EA)</v>
          </cell>
          <cell r="I265" t="str">
            <v>EA</v>
          </cell>
          <cell r="J265">
            <v>20</v>
          </cell>
          <cell r="K265">
            <v>20</v>
          </cell>
          <cell r="L265">
            <v>1720</v>
          </cell>
          <cell r="M265">
            <v>34400</v>
          </cell>
          <cell r="N265">
            <v>3440</v>
          </cell>
          <cell r="O265">
            <v>37840</v>
          </cell>
          <cell r="P265">
            <v>0</v>
          </cell>
          <cell r="Q265" t="str">
            <v>중국</v>
          </cell>
          <cell r="R265" t="str">
            <v>냉동</v>
          </cell>
          <cell r="S265" t="str">
            <v>EA(1)</v>
          </cell>
          <cell r="T265" t="str">
            <v/>
          </cell>
          <cell r="U265" t="str">
            <v/>
          </cell>
          <cell r="V265" t="str">
            <v>2019-03-15</v>
          </cell>
          <cell r="W265" t="str">
            <v>2019-03-15 14:02:28</v>
          </cell>
          <cell r="X265" t="str">
            <v>더바른푸드</v>
          </cell>
        </row>
        <row r="266">
          <cell r="A266">
            <v>262</v>
          </cell>
          <cell r="B266" t="str">
            <v>2019-03-18</v>
          </cell>
          <cell r="C266" t="str">
            <v>더바른푸드</v>
          </cell>
          <cell r="D266" t="str">
            <v>더바른푸드</v>
          </cell>
          <cell r="E266" t="str">
            <v>일반</v>
          </cell>
          <cell r="F266" t="str">
            <v>입고완료</v>
          </cell>
          <cell r="G266">
            <v>201605</v>
          </cell>
          <cell r="H266" t="str">
            <v>마늘쫑(상품 KG)</v>
          </cell>
          <cell r="I266" t="str">
            <v>KG</v>
          </cell>
          <cell r="J266">
            <v>10</v>
          </cell>
          <cell r="K266">
            <v>10</v>
          </cell>
          <cell r="L266">
            <v>4870</v>
          </cell>
          <cell r="M266">
            <v>48700</v>
          </cell>
          <cell r="N266">
            <v>0</v>
          </cell>
          <cell r="O266">
            <v>48700</v>
          </cell>
          <cell r="P266">
            <v>0</v>
          </cell>
          <cell r="Q266" t="str">
            <v>중국</v>
          </cell>
          <cell r="R266" t="str">
            <v>냉장</v>
          </cell>
          <cell r="S266" t="str">
            <v>KG(1)</v>
          </cell>
          <cell r="T266" t="str">
            <v/>
          </cell>
          <cell r="U266" t="str">
            <v/>
          </cell>
          <cell r="V266" t="str">
            <v>2019-03-15</v>
          </cell>
          <cell r="W266" t="str">
            <v>2019-03-15 14:12:20</v>
          </cell>
          <cell r="X266" t="str">
            <v>더바른푸드</v>
          </cell>
        </row>
        <row r="267">
          <cell r="A267">
            <v>263</v>
          </cell>
          <cell r="B267" t="str">
            <v>2019-03-18</v>
          </cell>
          <cell r="C267" t="str">
            <v>더바른푸드</v>
          </cell>
          <cell r="D267" t="str">
            <v>더바른푸드</v>
          </cell>
          <cell r="E267" t="str">
            <v>일반</v>
          </cell>
          <cell r="F267" t="str">
            <v>입고완료</v>
          </cell>
          <cell r="G267">
            <v>211037</v>
          </cell>
          <cell r="H267" t="str">
            <v>느타리버섯(실속 균상 2Kg/EA)</v>
          </cell>
          <cell r="I267" t="str">
            <v>BOX</v>
          </cell>
          <cell r="J267">
            <v>1</v>
          </cell>
          <cell r="K267">
            <v>1</v>
          </cell>
          <cell r="L267">
            <v>12330</v>
          </cell>
          <cell r="M267">
            <v>12330</v>
          </cell>
          <cell r="N267">
            <v>0</v>
          </cell>
          <cell r="O267">
            <v>12330</v>
          </cell>
          <cell r="P267">
            <v>0</v>
          </cell>
          <cell r="Q267" t="str">
            <v>한국</v>
          </cell>
          <cell r="R267" t="str">
            <v>냉장</v>
          </cell>
          <cell r="S267" t="str">
            <v>EA(1)</v>
          </cell>
          <cell r="T267" t="str">
            <v/>
          </cell>
          <cell r="U267" t="str">
            <v/>
          </cell>
          <cell r="V267" t="str">
            <v>2019-03-15</v>
          </cell>
          <cell r="W267" t="str">
            <v>2019-03-15 14:28:35</v>
          </cell>
          <cell r="X267" t="str">
            <v>더바른푸드</v>
          </cell>
        </row>
        <row r="268">
          <cell r="A268">
            <v>264</v>
          </cell>
          <cell r="B268" t="str">
            <v>2019-03-18</v>
          </cell>
          <cell r="C268" t="str">
            <v>더바른푸드</v>
          </cell>
          <cell r="D268" t="str">
            <v>더바른푸드</v>
          </cell>
          <cell r="E268" t="str">
            <v>일반</v>
          </cell>
          <cell r="F268" t="str">
            <v>입고완료</v>
          </cell>
          <cell r="G268">
            <v>256983</v>
          </cell>
          <cell r="H268" t="str">
            <v>늘만나 맛김치(약숙_일반 10Kg/BOX)</v>
          </cell>
          <cell r="I268" t="str">
            <v>BOX</v>
          </cell>
          <cell r="J268">
            <v>1</v>
          </cell>
          <cell r="K268">
            <v>1</v>
          </cell>
          <cell r="L268">
            <v>32900</v>
          </cell>
          <cell r="M268">
            <v>32900</v>
          </cell>
          <cell r="N268">
            <v>0</v>
          </cell>
          <cell r="O268">
            <v>32900</v>
          </cell>
          <cell r="P268">
            <v>0</v>
          </cell>
          <cell r="Q268" t="str">
            <v/>
          </cell>
          <cell r="R268" t="str">
            <v>냉장</v>
          </cell>
          <cell r="S268" t="str">
            <v>BOX(1)</v>
          </cell>
          <cell r="T268" t="str">
            <v/>
          </cell>
          <cell r="U268" t="str">
            <v/>
          </cell>
          <cell r="V268" t="str">
            <v>2019-03-15</v>
          </cell>
          <cell r="W268" t="str">
            <v>2019-03-15 14:39:17</v>
          </cell>
          <cell r="X268" t="str">
            <v>더바른푸드</v>
          </cell>
        </row>
        <row r="269">
          <cell r="A269">
            <v>265</v>
          </cell>
          <cell r="B269" t="str">
            <v>2019-03-18</v>
          </cell>
          <cell r="C269" t="str">
            <v>더바른푸드</v>
          </cell>
          <cell r="D269" t="str">
            <v>더바른푸드</v>
          </cell>
          <cell r="E269" t="str">
            <v>일반</v>
          </cell>
          <cell r="F269" t="str">
            <v>입고완료</v>
          </cell>
          <cell r="G269">
            <v>174871</v>
          </cell>
          <cell r="H269" t="str">
            <v>정남식품 콩비지(1Kg/EA)</v>
          </cell>
          <cell r="I269" t="str">
            <v>EA</v>
          </cell>
          <cell r="J269">
            <v>4</v>
          </cell>
          <cell r="K269">
            <v>4</v>
          </cell>
          <cell r="L269">
            <v>2720</v>
          </cell>
          <cell r="M269">
            <v>10880</v>
          </cell>
          <cell r="N269">
            <v>0</v>
          </cell>
          <cell r="O269">
            <v>10880</v>
          </cell>
          <cell r="P269">
            <v>0</v>
          </cell>
          <cell r="Q269" t="str">
            <v>외국산</v>
          </cell>
          <cell r="R269" t="str">
            <v>냉장</v>
          </cell>
          <cell r="S269" t="str">
            <v>EA(1)</v>
          </cell>
          <cell r="T269" t="str">
            <v/>
          </cell>
          <cell r="U269" t="str">
            <v>배송시 터지지 않게 부탁드립니다</v>
          </cell>
          <cell r="V269" t="str">
            <v>2019-03-15</v>
          </cell>
          <cell r="W269" t="str">
            <v>2019-03-15 14:39:17</v>
          </cell>
          <cell r="X269" t="str">
            <v>더바른푸드</v>
          </cell>
        </row>
        <row r="270">
          <cell r="A270">
            <v>266</v>
          </cell>
          <cell r="B270" t="str">
            <v>2019-03-18</v>
          </cell>
          <cell r="C270" t="str">
            <v>더바른푸드</v>
          </cell>
          <cell r="D270" t="str">
            <v>더바른푸드</v>
          </cell>
          <cell r="E270" t="str">
            <v>일반</v>
          </cell>
          <cell r="F270" t="str">
            <v>입고완료</v>
          </cell>
          <cell r="G270">
            <v>160243</v>
          </cell>
          <cell r="H270" t="str">
            <v>비피더스 떠먹는요구르트(딸기 83g/EA)</v>
          </cell>
          <cell r="I270" t="str">
            <v>EA</v>
          </cell>
          <cell r="J270">
            <v>24</v>
          </cell>
          <cell r="K270">
            <v>24</v>
          </cell>
          <cell r="L270">
            <v>290</v>
          </cell>
          <cell r="M270">
            <v>6960</v>
          </cell>
          <cell r="N270">
            <v>696</v>
          </cell>
          <cell r="O270">
            <v>7656</v>
          </cell>
          <cell r="P270">
            <v>0</v>
          </cell>
          <cell r="Q270" t="str">
            <v>한국</v>
          </cell>
          <cell r="R270" t="str">
            <v>냉장</v>
          </cell>
          <cell r="S270" t="str">
            <v>EA(1)</v>
          </cell>
          <cell r="T270" t="str">
            <v/>
          </cell>
          <cell r="U270" t="str">
            <v>스푼부탁드립니다</v>
          </cell>
          <cell r="V270" t="str">
            <v>2019-03-15</v>
          </cell>
          <cell r="W270" t="str">
            <v>2019-03-15 14:55:39</v>
          </cell>
          <cell r="X270" t="str">
            <v>더바른푸드</v>
          </cell>
        </row>
        <row r="271">
          <cell r="A271">
            <v>267</v>
          </cell>
          <cell r="B271" t="str">
            <v>2019-03-18</v>
          </cell>
          <cell r="C271" t="str">
            <v>더바른푸드</v>
          </cell>
          <cell r="D271" t="str">
            <v>더바른푸드</v>
          </cell>
          <cell r="E271" t="str">
            <v>일반</v>
          </cell>
          <cell r="F271" t="str">
            <v>입고완료</v>
          </cell>
          <cell r="G271">
            <v>136633</v>
          </cell>
          <cell r="H271" t="str">
            <v>이오 요구르트(80ml_유기농 80g/EA)</v>
          </cell>
          <cell r="I271" t="str">
            <v>EA</v>
          </cell>
          <cell r="J271">
            <v>142</v>
          </cell>
          <cell r="K271">
            <v>142</v>
          </cell>
          <cell r="L271">
            <v>300</v>
          </cell>
          <cell r="M271">
            <v>42600</v>
          </cell>
          <cell r="N271">
            <v>4260</v>
          </cell>
          <cell r="O271">
            <v>46860</v>
          </cell>
          <cell r="P271">
            <v>0</v>
          </cell>
          <cell r="Q271" t="str">
            <v>한국</v>
          </cell>
          <cell r="R271" t="str">
            <v>냉장</v>
          </cell>
          <cell r="S271" t="str">
            <v>EA(50)</v>
          </cell>
          <cell r="T271" t="str">
            <v/>
          </cell>
          <cell r="U271" t="str">
            <v>빨대 넉넉히 부탁드립니다</v>
          </cell>
          <cell r="V271" t="str">
            <v>2019-03-15</v>
          </cell>
          <cell r="W271" t="str">
            <v>2019-03-15 14:55:39</v>
          </cell>
          <cell r="X271" t="str">
            <v>더바른푸드</v>
          </cell>
        </row>
        <row r="272">
          <cell r="A272">
            <v>268</v>
          </cell>
          <cell r="B272" t="str">
            <v>2019-03-18</v>
          </cell>
          <cell r="C272" t="str">
            <v>더바른푸드</v>
          </cell>
          <cell r="D272" t="str">
            <v>더바른푸드</v>
          </cell>
          <cell r="E272" t="str">
            <v>일반</v>
          </cell>
          <cell r="F272" t="str">
            <v>입고완료</v>
          </cell>
          <cell r="G272">
            <v>264369</v>
          </cell>
          <cell r="H272" t="str">
            <v>롯데제과증평 미니딸기샌드(65g/EA)</v>
          </cell>
          <cell r="I272" t="str">
            <v>EA</v>
          </cell>
          <cell r="J272">
            <v>104</v>
          </cell>
          <cell r="K272">
            <v>104</v>
          </cell>
          <cell r="L272">
            <v>560</v>
          </cell>
          <cell r="M272">
            <v>58240</v>
          </cell>
          <cell r="N272">
            <v>5824</v>
          </cell>
          <cell r="O272">
            <v>64064</v>
          </cell>
          <cell r="P272">
            <v>0</v>
          </cell>
          <cell r="Q272" t="str">
            <v/>
          </cell>
          <cell r="R272" t="str">
            <v>실온</v>
          </cell>
          <cell r="S272" t="str">
            <v>EA(1)</v>
          </cell>
          <cell r="T272" t="str">
            <v/>
          </cell>
          <cell r="U272" t="str">
            <v/>
          </cell>
          <cell r="V272" t="str">
            <v>2019-03-15</v>
          </cell>
          <cell r="W272" t="str">
            <v>2019-03-15 14:56:33</v>
          </cell>
          <cell r="X272" t="str">
            <v>더바른푸드</v>
          </cell>
        </row>
        <row r="273">
          <cell r="A273">
            <v>269</v>
          </cell>
          <cell r="B273" t="str">
            <v>2019-03-18</v>
          </cell>
          <cell r="C273" t="str">
            <v>더바른푸드</v>
          </cell>
          <cell r="D273" t="str">
            <v>더바른푸드</v>
          </cell>
          <cell r="E273" t="str">
            <v>일반</v>
          </cell>
          <cell r="F273" t="str">
            <v>입고완료</v>
          </cell>
          <cell r="G273">
            <v>128182</v>
          </cell>
          <cell r="H273" t="str">
            <v>담양한과 찹쌀약과(사각_30g*10입 300g/EA)</v>
          </cell>
          <cell r="I273" t="str">
            <v>EA</v>
          </cell>
          <cell r="J273">
            <v>2</v>
          </cell>
          <cell r="K273">
            <v>2</v>
          </cell>
          <cell r="L273">
            <v>2720</v>
          </cell>
          <cell r="M273">
            <v>5440</v>
          </cell>
          <cell r="N273">
            <v>544</v>
          </cell>
          <cell r="O273">
            <v>5984</v>
          </cell>
          <cell r="P273">
            <v>0</v>
          </cell>
          <cell r="Q273" t="str">
            <v/>
          </cell>
          <cell r="R273" t="str">
            <v>실온</v>
          </cell>
          <cell r="S273" t="str">
            <v>EA(10)</v>
          </cell>
          <cell r="T273" t="str">
            <v/>
          </cell>
          <cell r="U273" t="str">
            <v/>
          </cell>
          <cell r="V273" t="str">
            <v>2019-03-15</v>
          </cell>
          <cell r="W273" t="str">
            <v>2019-03-15 15:29:42</v>
          </cell>
          <cell r="X273" t="str">
            <v>더바른푸드</v>
          </cell>
        </row>
        <row r="274">
          <cell r="A274">
            <v>270</v>
          </cell>
          <cell r="B274" t="str">
            <v>2019-03-16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</row>
        <row r="275">
          <cell r="A275">
            <v>271</v>
          </cell>
          <cell r="B275" t="str">
            <v>2019-03-16</v>
          </cell>
          <cell r="C275" t="str">
            <v>더바른푸드</v>
          </cell>
          <cell r="D275" t="str">
            <v>더바른푸드</v>
          </cell>
          <cell r="E275" t="str">
            <v>일반</v>
          </cell>
          <cell r="F275" t="str">
            <v>입고완료</v>
          </cell>
          <cell r="G275">
            <v>172963</v>
          </cell>
          <cell r="H275" t="str">
            <v>사조대림 붕어빵(단팥 1Kg/EA)</v>
          </cell>
          <cell r="I275" t="str">
            <v>EA</v>
          </cell>
          <cell r="J275">
            <v>1</v>
          </cell>
          <cell r="K275">
            <v>1</v>
          </cell>
          <cell r="L275">
            <v>7320</v>
          </cell>
          <cell r="M275">
            <v>7320</v>
          </cell>
          <cell r="N275">
            <v>732</v>
          </cell>
          <cell r="O275">
            <v>8052</v>
          </cell>
          <cell r="P275">
            <v>0</v>
          </cell>
          <cell r="Q275" t="str">
            <v/>
          </cell>
          <cell r="R275" t="str">
            <v>냉동</v>
          </cell>
          <cell r="S275" t="str">
            <v>EA(10)</v>
          </cell>
          <cell r="T275" t="str">
            <v/>
          </cell>
          <cell r="U275" t="str">
            <v/>
          </cell>
          <cell r="V275" t="str">
            <v>2019-03-15</v>
          </cell>
          <cell r="W275" t="str">
            <v>2019-03-15 11:13:37</v>
          </cell>
          <cell r="X275" t="str">
            <v>더바른푸드</v>
          </cell>
        </row>
        <row r="276">
          <cell r="A276">
            <v>272</v>
          </cell>
          <cell r="B276" t="str">
            <v>2019-03-16</v>
          </cell>
          <cell r="C276" t="str">
            <v>더바른푸드</v>
          </cell>
          <cell r="D276" t="str">
            <v>더바른푸드</v>
          </cell>
          <cell r="E276" t="str">
            <v>일반</v>
          </cell>
          <cell r="F276" t="str">
            <v>입고완료</v>
          </cell>
          <cell r="G276">
            <v>118227</v>
          </cell>
          <cell r="H276" t="str">
            <v>오뚜기 마요네즈(파우치 3Kg/EA)</v>
          </cell>
          <cell r="I276" t="str">
            <v>EA</v>
          </cell>
          <cell r="J276">
            <v>5</v>
          </cell>
          <cell r="K276">
            <v>5</v>
          </cell>
          <cell r="L276">
            <v>8840</v>
          </cell>
          <cell r="M276">
            <v>44200</v>
          </cell>
          <cell r="N276">
            <v>4420</v>
          </cell>
          <cell r="O276">
            <v>48620</v>
          </cell>
          <cell r="P276">
            <v>0</v>
          </cell>
          <cell r="Q276" t="str">
            <v/>
          </cell>
          <cell r="R276" t="str">
            <v>실온</v>
          </cell>
          <cell r="S276" t="str">
            <v>EA(4)</v>
          </cell>
          <cell r="T276" t="str">
            <v/>
          </cell>
          <cell r="U276" t="str">
            <v/>
          </cell>
          <cell r="V276" t="str">
            <v>2019-03-15</v>
          </cell>
          <cell r="W276" t="str">
            <v>2019-03-15 13:47:16</v>
          </cell>
          <cell r="X276" t="str">
            <v>더바른푸드</v>
          </cell>
        </row>
        <row r="277">
          <cell r="A277">
            <v>273</v>
          </cell>
          <cell r="B277" t="str">
            <v>2019-03-16</v>
          </cell>
          <cell r="C277" t="str">
            <v>더바른푸드</v>
          </cell>
          <cell r="D277" t="str">
            <v>더바른푸드</v>
          </cell>
          <cell r="E277" t="str">
            <v>일반</v>
          </cell>
          <cell r="F277" t="str">
            <v>입고완료</v>
          </cell>
          <cell r="G277">
            <v>107242</v>
          </cell>
          <cell r="H277" t="str">
            <v>오뚜기 허니머스타드드레싱(2Kg/EA)</v>
          </cell>
          <cell r="I277" t="str">
            <v>EA</v>
          </cell>
          <cell r="J277">
            <v>2</v>
          </cell>
          <cell r="K277">
            <v>2</v>
          </cell>
          <cell r="L277">
            <v>5880</v>
          </cell>
          <cell r="M277">
            <v>11760</v>
          </cell>
          <cell r="N277">
            <v>1176</v>
          </cell>
          <cell r="O277">
            <v>12936</v>
          </cell>
          <cell r="P277">
            <v>0</v>
          </cell>
          <cell r="Q277" t="str">
            <v/>
          </cell>
          <cell r="R277" t="str">
            <v>실온</v>
          </cell>
          <cell r="S277" t="str">
            <v>EA(6)</v>
          </cell>
          <cell r="T277" t="str">
            <v/>
          </cell>
          <cell r="U277" t="str">
            <v/>
          </cell>
          <cell r="V277" t="str">
            <v>2019-03-15</v>
          </cell>
          <cell r="W277" t="str">
            <v>2019-03-15 13:47:17</v>
          </cell>
          <cell r="X277" t="str">
            <v>더바른푸드</v>
          </cell>
        </row>
        <row r="278">
          <cell r="A278">
            <v>274</v>
          </cell>
          <cell r="B278" t="str">
            <v>2019-03-16</v>
          </cell>
          <cell r="C278" t="str">
            <v>더바른푸드</v>
          </cell>
          <cell r="D278" t="str">
            <v>더바른푸드</v>
          </cell>
          <cell r="E278" t="str">
            <v>일반</v>
          </cell>
          <cell r="F278" t="str">
            <v>입고완료</v>
          </cell>
          <cell r="G278">
            <v>159126</v>
          </cell>
          <cell r="H278" t="str">
            <v>건강마을 플리또주스(100ml_유기농_포도 100g/EA)</v>
          </cell>
          <cell r="I278" t="str">
            <v>BOX</v>
          </cell>
          <cell r="J278">
            <v>9</v>
          </cell>
          <cell r="K278">
            <v>9</v>
          </cell>
          <cell r="L278">
            <v>17600</v>
          </cell>
          <cell r="M278">
            <v>158400</v>
          </cell>
          <cell r="N278">
            <v>15840</v>
          </cell>
          <cell r="O278">
            <v>174240</v>
          </cell>
          <cell r="P278">
            <v>0</v>
          </cell>
          <cell r="Q278" t="str">
            <v/>
          </cell>
          <cell r="R278" t="str">
            <v>실온</v>
          </cell>
          <cell r="S278" t="str">
            <v>EA(40)</v>
          </cell>
          <cell r="T278" t="str">
            <v/>
          </cell>
          <cell r="U278" t="str">
            <v/>
          </cell>
          <cell r="V278" t="str">
            <v>2019-03-15</v>
          </cell>
          <cell r="W278" t="str">
            <v>2019-03-15 15:40:19</v>
          </cell>
          <cell r="X278" t="str">
            <v>더바른푸드</v>
          </cell>
        </row>
        <row r="279">
          <cell r="A279">
            <v>275</v>
          </cell>
          <cell r="B279" t="str">
            <v>2019-03-15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A280">
            <v>276</v>
          </cell>
          <cell r="B280" t="str">
            <v>2019-03-15</v>
          </cell>
          <cell r="C280" t="str">
            <v>더바른푸드</v>
          </cell>
          <cell r="D280" t="str">
            <v>더바른푸드</v>
          </cell>
          <cell r="E280" t="str">
            <v>일반</v>
          </cell>
          <cell r="F280" t="str">
            <v>입고완료</v>
          </cell>
          <cell r="G280">
            <v>136633</v>
          </cell>
          <cell r="H280" t="str">
            <v>이오 요구르트(80ml_유기농 80g/EA)</v>
          </cell>
          <cell r="I280" t="str">
            <v>EA</v>
          </cell>
          <cell r="J280">
            <v>71</v>
          </cell>
          <cell r="K280">
            <v>71</v>
          </cell>
          <cell r="L280">
            <v>300</v>
          </cell>
          <cell r="M280">
            <v>21300</v>
          </cell>
          <cell r="N280">
            <v>2130</v>
          </cell>
          <cell r="O280">
            <v>23430</v>
          </cell>
          <cell r="P280">
            <v>0</v>
          </cell>
          <cell r="Q280" t="str">
            <v>한국</v>
          </cell>
          <cell r="R280" t="str">
            <v>냉장</v>
          </cell>
          <cell r="S280" t="str">
            <v>EA(50)</v>
          </cell>
          <cell r="T280" t="str">
            <v/>
          </cell>
          <cell r="U280" t="str">
            <v>빨대 넉넉히 부탁드립니다</v>
          </cell>
          <cell r="V280" t="str">
            <v>2019-03-08</v>
          </cell>
          <cell r="W280" t="str">
            <v>2019-03-08 15:21:48</v>
          </cell>
          <cell r="X280" t="str">
            <v>더바른푸드</v>
          </cell>
        </row>
        <row r="281">
          <cell r="A281">
            <v>277</v>
          </cell>
          <cell r="B281" t="str">
            <v>2019-03-15</v>
          </cell>
          <cell r="C281" t="str">
            <v>더바른푸드</v>
          </cell>
          <cell r="D281" t="str">
            <v>더바른푸드</v>
          </cell>
          <cell r="E281" t="str">
            <v>일반</v>
          </cell>
          <cell r="F281" t="str">
            <v>입고완료</v>
          </cell>
          <cell r="G281">
            <v>166041</v>
          </cell>
          <cell r="H281" t="str">
            <v>키짱 흰우유(180ml 180g/EA)</v>
          </cell>
          <cell r="I281" t="str">
            <v>EA</v>
          </cell>
          <cell r="J281">
            <v>24</v>
          </cell>
          <cell r="K281">
            <v>24</v>
          </cell>
          <cell r="L281">
            <v>460</v>
          </cell>
          <cell r="M281">
            <v>11040</v>
          </cell>
          <cell r="N281">
            <v>0</v>
          </cell>
          <cell r="O281">
            <v>11040</v>
          </cell>
          <cell r="P281">
            <v>0</v>
          </cell>
          <cell r="Q281" t="str">
            <v/>
          </cell>
          <cell r="R281" t="str">
            <v>냉장</v>
          </cell>
          <cell r="S281" t="str">
            <v>EA(1)</v>
          </cell>
          <cell r="T281" t="str">
            <v/>
          </cell>
          <cell r="U281" t="str">
            <v>빨대 부탁드립니다</v>
          </cell>
          <cell r="V281" t="str">
            <v>2019-03-08</v>
          </cell>
          <cell r="W281" t="str">
            <v>2019-03-08 15:23:04</v>
          </cell>
          <cell r="X281" t="str">
            <v>더바른푸드</v>
          </cell>
        </row>
        <row r="282">
          <cell r="A282">
            <v>278</v>
          </cell>
          <cell r="B282" t="str">
            <v>2019-03-15</v>
          </cell>
          <cell r="C282" t="str">
            <v>더바른푸드</v>
          </cell>
          <cell r="D282" t="str">
            <v>더바른푸드</v>
          </cell>
          <cell r="E282" t="str">
            <v>일반</v>
          </cell>
          <cell r="F282" t="str">
            <v>입고완료</v>
          </cell>
          <cell r="G282">
            <v>128023</v>
          </cell>
          <cell r="H282" t="str">
            <v>빙그레 초코우유(200ml 200g/EA)</v>
          </cell>
          <cell r="I282" t="str">
            <v>EA</v>
          </cell>
          <cell r="J282">
            <v>143</v>
          </cell>
          <cell r="K282">
            <v>143</v>
          </cell>
          <cell r="L282">
            <v>380</v>
          </cell>
          <cell r="M282">
            <v>54340</v>
          </cell>
          <cell r="N282">
            <v>5434</v>
          </cell>
          <cell r="O282">
            <v>59774</v>
          </cell>
          <cell r="P282">
            <v>0</v>
          </cell>
          <cell r="Q282" t="str">
            <v>한국</v>
          </cell>
          <cell r="R282" t="str">
            <v>냉장</v>
          </cell>
          <cell r="S282" t="str">
            <v>EA(50)</v>
          </cell>
          <cell r="T282" t="str">
            <v/>
          </cell>
          <cell r="U282" t="str">
            <v>빨대부탁드립니다.</v>
          </cell>
          <cell r="V282" t="str">
            <v>2019-03-08</v>
          </cell>
          <cell r="W282" t="str">
            <v>2019-03-08 15:24:22</v>
          </cell>
          <cell r="X282" t="str">
            <v>더바른푸드</v>
          </cell>
        </row>
        <row r="283">
          <cell r="A283">
            <v>279</v>
          </cell>
          <cell r="B283" t="str">
            <v>2019-03-15</v>
          </cell>
          <cell r="C283" t="str">
            <v>더바른푸드</v>
          </cell>
          <cell r="D283" t="str">
            <v>더바른푸드</v>
          </cell>
          <cell r="E283" t="str">
            <v>일반</v>
          </cell>
          <cell r="F283" t="str">
            <v>입고완료</v>
          </cell>
          <cell r="G283">
            <v>218526</v>
          </cell>
          <cell r="H283" t="str">
            <v>오렌지(88과_200g*5개입 생과용 1Kg/EA)</v>
          </cell>
          <cell r="I283" t="str">
            <v>EA</v>
          </cell>
          <cell r="J283">
            <v>6</v>
          </cell>
          <cell r="K283">
            <v>6</v>
          </cell>
          <cell r="L283">
            <v>4090</v>
          </cell>
          <cell r="M283">
            <v>24540</v>
          </cell>
          <cell r="N283">
            <v>0</v>
          </cell>
          <cell r="O283">
            <v>24540</v>
          </cell>
          <cell r="P283">
            <v>0</v>
          </cell>
          <cell r="Q283" t="str">
            <v>미국</v>
          </cell>
          <cell r="R283" t="str">
            <v>실온</v>
          </cell>
          <cell r="S283" t="str">
            <v>EA(1)</v>
          </cell>
          <cell r="T283" t="str">
            <v/>
          </cell>
          <cell r="U283" t="str">
            <v/>
          </cell>
          <cell r="V283" t="str">
            <v>2019-03-08</v>
          </cell>
          <cell r="W283" t="str">
            <v>2019-03-08 15:31:17</v>
          </cell>
          <cell r="X283" t="str">
            <v>더바른푸드</v>
          </cell>
        </row>
        <row r="284">
          <cell r="A284">
            <v>280</v>
          </cell>
          <cell r="B284" t="str">
            <v>2019-03-15</v>
          </cell>
          <cell r="C284" t="str">
            <v>더바른푸드</v>
          </cell>
          <cell r="D284" t="str">
            <v>더바른푸드</v>
          </cell>
          <cell r="E284" t="str">
            <v>일반</v>
          </cell>
          <cell r="F284" t="str">
            <v>입고완료</v>
          </cell>
          <cell r="G284">
            <v>172963</v>
          </cell>
          <cell r="H284" t="str">
            <v>사조대림 붕어빵(단팥 1Kg/EA)</v>
          </cell>
          <cell r="I284" t="str">
            <v>EA</v>
          </cell>
          <cell r="J284">
            <v>13</v>
          </cell>
          <cell r="K284">
            <v>13</v>
          </cell>
          <cell r="L284">
            <v>7320</v>
          </cell>
          <cell r="M284">
            <v>95160</v>
          </cell>
          <cell r="N284">
            <v>9516</v>
          </cell>
          <cell r="O284">
            <v>104676</v>
          </cell>
          <cell r="P284">
            <v>0</v>
          </cell>
          <cell r="Q284" t="str">
            <v/>
          </cell>
          <cell r="R284" t="str">
            <v>냉동</v>
          </cell>
          <cell r="S284" t="str">
            <v>EA(10)</v>
          </cell>
          <cell r="T284" t="str">
            <v/>
          </cell>
          <cell r="U284" t="str">
            <v/>
          </cell>
          <cell r="V284" t="str">
            <v>2019-03-08</v>
          </cell>
          <cell r="W284" t="str">
            <v>2019-03-08 15:48:52</v>
          </cell>
          <cell r="X284" t="str">
            <v>더바른푸드</v>
          </cell>
        </row>
        <row r="285">
          <cell r="A285">
            <v>281</v>
          </cell>
          <cell r="B285" t="str">
            <v>2019-03-15</v>
          </cell>
          <cell r="C285" t="str">
            <v>더바른푸드</v>
          </cell>
          <cell r="D285" t="str">
            <v>더바른푸드</v>
          </cell>
          <cell r="E285" t="str">
            <v>일반</v>
          </cell>
          <cell r="F285" t="str">
            <v>입고완료</v>
          </cell>
          <cell r="G285">
            <v>167376</v>
          </cell>
          <cell r="H285" t="str">
            <v>비비고 남도떡갈비(78±3g/개 1.05Kg/EA)</v>
          </cell>
          <cell r="I285" t="str">
            <v>EA</v>
          </cell>
          <cell r="J285">
            <v>3</v>
          </cell>
          <cell r="K285">
            <v>3</v>
          </cell>
          <cell r="L285">
            <v>9510</v>
          </cell>
          <cell r="M285">
            <v>28530</v>
          </cell>
          <cell r="N285">
            <v>2853</v>
          </cell>
          <cell r="O285">
            <v>31383</v>
          </cell>
          <cell r="P285">
            <v>0</v>
          </cell>
          <cell r="Q285" t="str">
            <v>한국</v>
          </cell>
          <cell r="R285" t="str">
            <v>냉동</v>
          </cell>
          <cell r="S285" t="str">
            <v>EA(6)</v>
          </cell>
          <cell r="T285" t="str">
            <v/>
          </cell>
          <cell r="U285" t="str">
            <v/>
          </cell>
          <cell r="V285" t="str">
            <v>2019-03-12</v>
          </cell>
          <cell r="W285" t="str">
            <v>2019-03-12 15:02:13</v>
          </cell>
          <cell r="X285" t="str">
            <v>더바른푸드</v>
          </cell>
        </row>
        <row r="286">
          <cell r="A286">
            <v>282</v>
          </cell>
          <cell r="B286" t="str">
            <v>2019-03-15</v>
          </cell>
          <cell r="C286" t="str">
            <v>더바른푸드</v>
          </cell>
          <cell r="D286" t="str">
            <v>더바른푸드</v>
          </cell>
          <cell r="E286" t="str">
            <v>일반</v>
          </cell>
          <cell r="F286" t="str">
            <v>입고완료</v>
          </cell>
          <cell r="G286">
            <v>312189</v>
          </cell>
          <cell r="H286" t="str">
            <v>명엽채(1Kg/EA)</v>
          </cell>
          <cell r="I286" t="str">
            <v>EA</v>
          </cell>
          <cell r="J286">
            <v>4</v>
          </cell>
          <cell r="K286">
            <v>4</v>
          </cell>
          <cell r="L286">
            <v>7750</v>
          </cell>
          <cell r="M286">
            <v>31000</v>
          </cell>
          <cell r="N286">
            <v>3100</v>
          </cell>
          <cell r="O286">
            <v>34100</v>
          </cell>
          <cell r="P286">
            <v>0</v>
          </cell>
          <cell r="Q286" t="str">
            <v>베트남</v>
          </cell>
          <cell r="R286" t="str">
            <v>냉장</v>
          </cell>
          <cell r="S286" t="str">
            <v>EA(10)</v>
          </cell>
          <cell r="T286" t="str">
            <v/>
          </cell>
          <cell r="U286" t="str">
            <v/>
          </cell>
          <cell r="V286" t="str">
            <v>2019-03-13</v>
          </cell>
          <cell r="W286" t="str">
            <v>2019-03-13 14:35:34</v>
          </cell>
          <cell r="X286" t="str">
            <v>더바른푸드</v>
          </cell>
        </row>
        <row r="287">
          <cell r="A287">
            <v>283</v>
          </cell>
          <cell r="B287" t="str">
            <v>2019-03-15</v>
          </cell>
          <cell r="C287" t="str">
            <v>더바른푸드</v>
          </cell>
          <cell r="D287" t="str">
            <v>더바른푸드</v>
          </cell>
          <cell r="E287" t="str">
            <v>일반</v>
          </cell>
          <cell r="F287" t="str">
            <v>입고완료</v>
          </cell>
          <cell r="G287">
            <v>256983</v>
          </cell>
          <cell r="H287" t="str">
            <v>늘만나 맛김치(약숙_일반 10Kg/BOX)</v>
          </cell>
          <cell r="I287" t="str">
            <v>BOX</v>
          </cell>
          <cell r="J287">
            <v>2</v>
          </cell>
          <cell r="K287">
            <v>2</v>
          </cell>
          <cell r="L287">
            <v>32900</v>
          </cell>
          <cell r="M287">
            <v>65800</v>
          </cell>
          <cell r="N287">
            <v>0</v>
          </cell>
          <cell r="O287">
            <v>65800</v>
          </cell>
          <cell r="P287">
            <v>0</v>
          </cell>
          <cell r="Q287" t="str">
            <v/>
          </cell>
          <cell r="R287" t="str">
            <v>냉장</v>
          </cell>
          <cell r="S287" t="str">
            <v>BOX(1)</v>
          </cell>
          <cell r="T287" t="str">
            <v/>
          </cell>
          <cell r="U287" t="str">
            <v/>
          </cell>
          <cell r="V287" t="str">
            <v>2019-03-13</v>
          </cell>
          <cell r="W287" t="str">
            <v>2019-03-13 14:37:05</v>
          </cell>
          <cell r="X287" t="str">
            <v>더바른푸드</v>
          </cell>
        </row>
        <row r="288">
          <cell r="A288">
            <v>284</v>
          </cell>
          <cell r="B288" t="str">
            <v>2019-03-15</v>
          </cell>
          <cell r="C288" t="str">
            <v>더바른푸드</v>
          </cell>
          <cell r="D288" t="str">
            <v>더바른푸드</v>
          </cell>
          <cell r="E288" t="str">
            <v>일반</v>
          </cell>
          <cell r="F288" t="str">
            <v>입고완료</v>
          </cell>
          <cell r="G288">
            <v>406597</v>
          </cell>
          <cell r="H288" t="str">
            <v>체리부로 닭봉(1등급 45±5g/개_껍질있음 KG)</v>
          </cell>
          <cell r="I288" t="str">
            <v>KG</v>
          </cell>
          <cell r="J288">
            <v>104</v>
          </cell>
          <cell r="K288">
            <v>104</v>
          </cell>
          <cell r="L288">
            <v>6800</v>
          </cell>
          <cell r="M288">
            <v>707200</v>
          </cell>
          <cell r="N288">
            <v>0</v>
          </cell>
          <cell r="O288">
            <v>707200</v>
          </cell>
          <cell r="P288">
            <v>0</v>
          </cell>
          <cell r="Q288" t="str">
            <v>한국</v>
          </cell>
          <cell r="R288" t="str">
            <v>냉장</v>
          </cell>
          <cell r="S288" t="str">
            <v>KG(1)</v>
          </cell>
          <cell r="T288" t="str">
            <v/>
          </cell>
          <cell r="U288" t="str">
            <v/>
          </cell>
          <cell r="V288" t="str">
            <v>2019-03-13</v>
          </cell>
          <cell r="W288" t="str">
            <v>2019-03-13 15:38:14</v>
          </cell>
          <cell r="X288" t="str">
            <v>더바른푸드</v>
          </cell>
        </row>
        <row r="289">
          <cell r="A289">
            <v>285</v>
          </cell>
          <cell r="B289" t="str">
            <v>2019-03-15</v>
          </cell>
          <cell r="C289" t="str">
            <v>더바른푸드</v>
          </cell>
          <cell r="D289" t="str">
            <v>더바른푸드</v>
          </cell>
          <cell r="E289" t="str">
            <v>일반</v>
          </cell>
          <cell r="F289" t="str">
            <v>입고완료</v>
          </cell>
          <cell r="G289">
            <v>211699</v>
          </cell>
          <cell r="H289" t="str">
            <v>건취나물(데친것 KG)</v>
          </cell>
          <cell r="I289" t="str">
            <v>KG</v>
          </cell>
          <cell r="J289">
            <v>6</v>
          </cell>
          <cell r="K289">
            <v>6</v>
          </cell>
          <cell r="L289">
            <v>5380</v>
          </cell>
          <cell r="M289">
            <v>32280</v>
          </cell>
          <cell r="N289">
            <v>0</v>
          </cell>
          <cell r="O289">
            <v>32280</v>
          </cell>
          <cell r="P289">
            <v>0</v>
          </cell>
          <cell r="Q289" t="str">
            <v>한국</v>
          </cell>
          <cell r="R289" t="str">
            <v>냉장</v>
          </cell>
          <cell r="S289" t="str">
            <v>KG(1)</v>
          </cell>
          <cell r="T289" t="str">
            <v/>
          </cell>
          <cell r="U289" t="str">
            <v/>
          </cell>
          <cell r="V289" t="str">
            <v>2019-03-14</v>
          </cell>
          <cell r="W289" t="str">
            <v>2019-03-14 14:30:20</v>
          </cell>
          <cell r="X289" t="str">
            <v>더바른푸드</v>
          </cell>
        </row>
        <row r="290">
          <cell r="A290">
            <v>286</v>
          </cell>
          <cell r="B290" t="str">
            <v>2019-03-15</v>
          </cell>
          <cell r="C290" t="str">
            <v>더바른푸드</v>
          </cell>
          <cell r="D290" t="str">
            <v>더바른푸드</v>
          </cell>
          <cell r="E290" t="str">
            <v>일반</v>
          </cell>
          <cell r="F290" t="str">
            <v>입고완료</v>
          </cell>
          <cell r="G290">
            <v>204973</v>
          </cell>
          <cell r="H290" t="str">
            <v>냉동대파(1Kg/PAC)</v>
          </cell>
          <cell r="I290" t="str">
            <v>PAC</v>
          </cell>
          <cell r="J290">
            <v>15</v>
          </cell>
          <cell r="K290">
            <v>15</v>
          </cell>
          <cell r="L290">
            <v>1400</v>
          </cell>
          <cell r="M290">
            <v>21000</v>
          </cell>
          <cell r="N290">
            <v>0</v>
          </cell>
          <cell r="O290">
            <v>21000</v>
          </cell>
          <cell r="P290">
            <v>0</v>
          </cell>
          <cell r="Q290" t="str">
            <v>중국</v>
          </cell>
          <cell r="R290" t="str">
            <v>냉동</v>
          </cell>
          <cell r="S290" t="str">
            <v>PAC(1)</v>
          </cell>
          <cell r="T290" t="str">
            <v/>
          </cell>
          <cell r="U290" t="str">
            <v/>
          </cell>
          <cell r="V290" t="str">
            <v>2019-03-14</v>
          </cell>
          <cell r="W290" t="str">
            <v>2019-03-14 14:54:35</v>
          </cell>
          <cell r="X290" t="str">
            <v>더바른푸드</v>
          </cell>
        </row>
        <row r="291">
          <cell r="A291">
            <v>287</v>
          </cell>
          <cell r="B291" t="str">
            <v>2019-03-15</v>
          </cell>
          <cell r="C291" t="str">
            <v>더바른푸드</v>
          </cell>
          <cell r="D291" t="str">
            <v>더바른푸드</v>
          </cell>
          <cell r="E291" t="str">
            <v>일반</v>
          </cell>
          <cell r="F291" t="str">
            <v>입고완료</v>
          </cell>
          <cell r="G291">
            <v>247931</v>
          </cell>
          <cell r="H291" t="str">
            <v>마당발 냉동다진마늘(1Kg/EA)</v>
          </cell>
          <cell r="I291" t="str">
            <v>EA</v>
          </cell>
          <cell r="J291">
            <v>20</v>
          </cell>
          <cell r="K291">
            <v>20</v>
          </cell>
          <cell r="L291">
            <v>2410</v>
          </cell>
          <cell r="M291">
            <v>48200</v>
          </cell>
          <cell r="N291">
            <v>0</v>
          </cell>
          <cell r="O291">
            <v>48200</v>
          </cell>
          <cell r="P291">
            <v>0</v>
          </cell>
          <cell r="Q291" t="str">
            <v>중국</v>
          </cell>
          <cell r="R291" t="str">
            <v>냉동</v>
          </cell>
          <cell r="S291" t="str">
            <v>EA(10)</v>
          </cell>
          <cell r="T291" t="str">
            <v/>
          </cell>
          <cell r="U291" t="str">
            <v/>
          </cell>
          <cell r="V291" t="str">
            <v>2019-03-14</v>
          </cell>
          <cell r="W291" t="str">
            <v>2019-03-14 14:54:35</v>
          </cell>
          <cell r="X291" t="str">
            <v>더바른푸드</v>
          </cell>
        </row>
        <row r="292">
          <cell r="A292">
            <v>288</v>
          </cell>
          <cell r="B292" t="str">
            <v>2019-03-15</v>
          </cell>
          <cell r="C292" t="str">
            <v>더바른푸드</v>
          </cell>
          <cell r="D292" t="str">
            <v>더바른푸드</v>
          </cell>
          <cell r="E292" t="str">
            <v>일반</v>
          </cell>
          <cell r="F292" t="str">
            <v>입고완료</v>
          </cell>
          <cell r="G292">
            <v>153812</v>
          </cell>
          <cell r="H292" t="str">
            <v>서원 흑후추분말(450g/EA)</v>
          </cell>
          <cell r="I292" t="str">
            <v>EA</v>
          </cell>
          <cell r="J292">
            <v>2</v>
          </cell>
          <cell r="K292">
            <v>2</v>
          </cell>
          <cell r="L292">
            <v>8550</v>
          </cell>
          <cell r="M292">
            <v>17100</v>
          </cell>
          <cell r="N292">
            <v>0</v>
          </cell>
          <cell r="O292">
            <v>17100</v>
          </cell>
          <cell r="P292">
            <v>0</v>
          </cell>
          <cell r="Q292" t="str">
            <v/>
          </cell>
          <cell r="R292" t="str">
            <v>실온</v>
          </cell>
          <cell r="S292" t="str">
            <v>EA(20)</v>
          </cell>
          <cell r="T292" t="str">
            <v/>
          </cell>
          <cell r="U292" t="str">
            <v/>
          </cell>
          <cell r="V292" t="str">
            <v>2019-03-14</v>
          </cell>
          <cell r="W292" t="str">
            <v>2019-03-14 14:54:35</v>
          </cell>
          <cell r="X292" t="str">
            <v>더바른푸드</v>
          </cell>
        </row>
        <row r="293">
          <cell r="A293">
            <v>289</v>
          </cell>
          <cell r="B293" t="str">
            <v>2019-03-15</v>
          </cell>
          <cell r="C293" t="str">
            <v>더바른푸드</v>
          </cell>
          <cell r="D293" t="str">
            <v>더바른푸드</v>
          </cell>
          <cell r="E293" t="str">
            <v>일반</v>
          </cell>
          <cell r="F293" t="str">
            <v>입고완료</v>
          </cell>
          <cell r="G293">
            <v>208502</v>
          </cell>
          <cell r="H293" t="str">
            <v>세척당근(3L 10Kg/EA)</v>
          </cell>
          <cell r="I293" t="str">
            <v>EA</v>
          </cell>
          <cell r="J293">
            <v>1</v>
          </cell>
          <cell r="K293">
            <v>1</v>
          </cell>
          <cell r="L293">
            <v>12370</v>
          </cell>
          <cell r="M293">
            <v>12370</v>
          </cell>
          <cell r="N293">
            <v>0</v>
          </cell>
          <cell r="O293">
            <v>12370</v>
          </cell>
          <cell r="P293">
            <v>0</v>
          </cell>
          <cell r="Q293" t="str">
            <v>중국</v>
          </cell>
          <cell r="R293" t="str">
            <v>실온</v>
          </cell>
          <cell r="S293" t="str">
            <v>EA(1)</v>
          </cell>
          <cell r="T293" t="str">
            <v/>
          </cell>
          <cell r="U293" t="str">
            <v/>
          </cell>
          <cell r="V293" t="str">
            <v>2019-03-14</v>
          </cell>
          <cell r="W293" t="str">
            <v>2019-03-14 14:54:35</v>
          </cell>
          <cell r="X293" t="str">
            <v>더바른푸드</v>
          </cell>
        </row>
        <row r="294">
          <cell r="A294">
            <v>290</v>
          </cell>
          <cell r="B294" t="str">
            <v>2019-03-15</v>
          </cell>
          <cell r="C294" t="str">
            <v>더바른푸드</v>
          </cell>
          <cell r="D294" t="str">
            <v>더바른푸드</v>
          </cell>
          <cell r="E294" t="str">
            <v>일반</v>
          </cell>
          <cell r="F294" t="str">
            <v>입고완료</v>
          </cell>
          <cell r="G294">
            <v>135871</v>
          </cell>
          <cell r="H294" t="str">
            <v>이츠웰 대두유(18L 16.506Kg/EA)</v>
          </cell>
          <cell r="I294" t="str">
            <v>EA</v>
          </cell>
          <cell r="J294">
            <v>3</v>
          </cell>
          <cell r="K294">
            <v>3</v>
          </cell>
          <cell r="L294">
            <v>28710</v>
          </cell>
          <cell r="M294">
            <v>86130</v>
          </cell>
          <cell r="N294">
            <v>8613</v>
          </cell>
          <cell r="O294">
            <v>94743</v>
          </cell>
          <cell r="P294">
            <v>0</v>
          </cell>
          <cell r="Q294" t="str">
            <v/>
          </cell>
          <cell r="R294" t="str">
            <v>실온</v>
          </cell>
          <cell r="S294" t="str">
            <v>EA(1)</v>
          </cell>
          <cell r="T294" t="str">
            <v/>
          </cell>
          <cell r="U294" t="str">
            <v/>
          </cell>
          <cell r="V294" t="str">
            <v>2019-03-14</v>
          </cell>
          <cell r="W294" t="str">
            <v>2019-03-14 14:54:36</v>
          </cell>
          <cell r="X294" t="str">
            <v>더바른푸드</v>
          </cell>
        </row>
        <row r="295">
          <cell r="A295">
            <v>291</v>
          </cell>
          <cell r="B295" t="str">
            <v>2019-03-15</v>
          </cell>
          <cell r="C295" t="str">
            <v>더바른푸드</v>
          </cell>
          <cell r="D295" t="str">
            <v>더바른푸드</v>
          </cell>
          <cell r="E295" t="str">
            <v>일반</v>
          </cell>
          <cell r="F295" t="str">
            <v>입고완료</v>
          </cell>
          <cell r="G295">
            <v>168384</v>
          </cell>
          <cell r="H295" t="str">
            <v>사조대림 사각어묵(알뜰 1Kg/EA)</v>
          </cell>
          <cell r="I295" t="str">
            <v>EA</v>
          </cell>
          <cell r="J295">
            <v>38</v>
          </cell>
          <cell r="K295">
            <v>38</v>
          </cell>
          <cell r="L295">
            <v>2310</v>
          </cell>
          <cell r="M295">
            <v>87780</v>
          </cell>
          <cell r="N295">
            <v>8778</v>
          </cell>
          <cell r="O295">
            <v>96558</v>
          </cell>
          <cell r="P295">
            <v>0</v>
          </cell>
          <cell r="Q295" t="str">
            <v/>
          </cell>
          <cell r="R295" t="str">
            <v>냉장</v>
          </cell>
          <cell r="S295" t="str">
            <v>EA(1)</v>
          </cell>
          <cell r="T295" t="str">
            <v/>
          </cell>
          <cell r="U295" t="str">
            <v/>
          </cell>
          <cell r="V295" t="str">
            <v>2019-03-14</v>
          </cell>
          <cell r="W295" t="str">
            <v>2019-03-14 15:20:49</v>
          </cell>
          <cell r="X295" t="str">
            <v>더바른푸드</v>
          </cell>
        </row>
        <row r="296">
          <cell r="A296">
            <v>292</v>
          </cell>
          <cell r="B296" t="str">
            <v>2019-03-15</v>
          </cell>
          <cell r="C296" t="str">
            <v>더바른푸드</v>
          </cell>
          <cell r="D296" t="str">
            <v>더바른푸드</v>
          </cell>
          <cell r="E296" t="str">
            <v>일반</v>
          </cell>
          <cell r="F296" t="str">
            <v>입고완료</v>
          </cell>
          <cell r="G296">
            <v>145806</v>
          </cell>
          <cell r="H296" t="str">
            <v>진주햄 더블햄(슬라이스_26장 500g/EA)</v>
          </cell>
          <cell r="I296" t="str">
            <v>EA</v>
          </cell>
          <cell r="J296">
            <v>12</v>
          </cell>
          <cell r="K296">
            <v>12</v>
          </cell>
          <cell r="L296">
            <v>3560</v>
          </cell>
          <cell r="M296">
            <v>42720</v>
          </cell>
          <cell r="N296">
            <v>4272</v>
          </cell>
          <cell r="O296">
            <v>46992</v>
          </cell>
          <cell r="P296">
            <v>0</v>
          </cell>
          <cell r="Q296" t="str">
            <v/>
          </cell>
          <cell r="R296" t="str">
            <v>냉장</v>
          </cell>
          <cell r="S296" t="str">
            <v>EA(20)</v>
          </cell>
          <cell r="T296" t="str">
            <v/>
          </cell>
          <cell r="U296" t="str">
            <v/>
          </cell>
          <cell r="V296" t="str">
            <v>2019-03-14</v>
          </cell>
          <cell r="W296" t="str">
            <v>2019-03-14 16:17:43</v>
          </cell>
          <cell r="X296" t="str">
            <v>더바른푸드</v>
          </cell>
        </row>
        <row r="297">
          <cell r="A297">
            <v>293</v>
          </cell>
          <cell r="B297" t="str">
            <v>2019-03-15</v>
          </cell>
          <cell r="C297" t="str">
            <v>더바른푸드</v>
          </cell>
          <cell r="D297" t="str">
            <v>더바른푸드</v>
          </cell>
          <cell r="E297" t="str">
            <v>일반</v>
          </cell>
          <cell r="F297" t="str">
            <v>입고완료</v>
          </cell>
          <cell r="G297">
            <v>119483</v>
          </cell>
          <cell r="H297" t="str">
            <v>이츠웰 게맛살(1Kg/EA)</v>
          </cell>
          <cell r="I297" t="str">
            <v>EA</v>
          </cell>
          <cell r="J297">
            <v>7</v>
          </cell>
          <cell r="K297">
            <v>7</v>
          </cell>
          <cell r="L297">
            <v>3010</v>
          </cell>
          <cell r="M297">
            <v>21070</v>
          </cell>
          <cell r="N297">
            <v>2107</v>
          </cell>
          <cell r="O297">
            <v>23177</v>
          </cell>
          <cell r="P297">
            <v>0</v>
          </cell>
          <cell r="Q297" t="str">
            <v/>
          </cell>
          <cell r="R297" t="str">
            <v>냉장</v>
          </cell>
          <cell r="S297" t="str">
            <v>EA(10)</v>
          </cell>
          <cell r="T297" t="str">
            <v/>
          </cell>
          <cell r="U297" t="str">
            <v/>
          </cell>
          <cell r="V297" t="str">
            <v>2019-03-14</v>
          </cell>
          <cell r="W297" t="str">
            <v>2019-03-14 16:17:43</v>
          </cell>
          <cell r="X297" t="str">
            <v>더바른푸드</v>
          </cell>
        </row>
        <row r="298">
          <cell r="A298">
            <v>294</v>
          </cell>
          <cell r="B298" t="str">
            <v>2019-03-15</v>
          </cell>
          <cell r="C298" t="str">
            <v>더바른푸드</v>
          </cell>
          <cell r="D298" t="str">
            <v>더바른푸드</v>
          </cell>
          <cell r="E298" t="str">
            <v>일반</v>
          </cell>
          <cell r="F298" t="str">
            <v>입고완료</v>
          </cell>
          <cell r="G298">
            <v>311426</v>
          </cell>
          <cell r="H298" t="str">
            <v>고든통상 황태포(35cm이상_10마리입 500g/EA)</v>
          </cell>
          <cell r="I298" t="str">
            <v>EA</v>
          </cell>
          <cell r="J298">
            <v>12</v>
          </cell>
          <cell r="K298">
            <v>12</v>
          </cell>
          <cell r="L298">
            <v>17670</v>
          </cell>
          <cell r="M298">
            <v>212040</v>
          </cell>
          <cell r="N298">
            <v>0</v>
          </cell>
          <cell r="O298">
            <v>212040</v>
          </cell>
          <cell r="P298">
            <v>0</v>
          </cell>
          <cell r="Q298" t="str">
            <v>러시아</v>
          </cell>
          <cell r="R298" t="str">
            <v>냉장</v>
          </cell>
          <cell r="S298" t="str">
            <v>EA(20)</v>
          </cell>
          <cell r="T298" t="str">
            <v/>
          </cell>
          <cell r="U298" t="str">
            <v/>
          </cell>
          <cell r="V298" t="str">
            <v>2019-03-14</v>
          </cell>
          <cell r="W298" t="str">
            <v>2019-03-14 16:22:18</v>
          </cell>
          <cell r="X298" t="str">
            <v>더바른푸드</v>
          </cell>
        </row>
        <row r="299">
          <cell r="A299">
            <v>295</v>
          </cell>
          <cell r="B299" t="str">
            <v>2019-03-14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</row>
        <row r="300">
          <cell r="A300">
            <v>296</v>
          </cell>
          <cell r="B300" t="str">
            <v>2019-03-14</v>
          </cell>
          <cell r="C300" t="str">
            <v>더바른푸드</v>
          </cell>
          <cell r="D300" t="str">
            <v>더바른푸드</v>
          </cell>
          <cell r="E300" t="str">
            <v>일반</v>
          </cell>
          <cell r="F300" t="str">
            <v>입고완료</v>
          </cell>
          <cell r="G300">
            <v>122082</v>
          </cell>
          <cell r="H300" t="str">
            <v>빙그레 흰우유(참맛좋은 200g/EA)</v>
          </cell>
          <cell r="I300" t="str">
            <v>EA</v>
          </cell>
          <cell r="J300">
            <v>181</v>
          </cell>
          <cell r="K300">
            <v>181</v>
          </cell>
          <cell r="L300">
            <v>430</v>
          </cell>
          <cell r="M300">
            <v>77830</v>
          </cell>
          <cell r="N300">
            <v>0</v>
          </cell>
          <cell r="O300">
            <v>77830</v>
          </cell>
          <cell r="P300">
            <v>0</v>
          </cell>
          <cell r="Q300" t="str">
            <v>한국</v>
          </cell>
          <cell r="R300" t="str">
            <v>냉장</v>
          </cell>
          <cell r="S300" t="str">
            <v>EA(1)</v>
          </cell>
          <cell r="T300" t="str">
            <v/>
          </cell>
          <cell r="U300" t="str">
            <v/>
          </cell>
          <cell r="V300" t="str">
            <v>2019-03-08</v>
          </cell>
          <cell r="W300" t="str">
            <v>2019-03-08 15:20:59</v>
          </cell>
          <cell r="X300" t="str">
            <v>더바른푸드</v>
          </cell>
        </row>
        <row r="301">
          <cell r="A301">
            <v>297</v>
          </cell>
          <cell r="B301" t="str">
            <v>2019-03-14</v>
          </cell>
          <cell r="C301" t="str">
            <v>더바른푸드</v>
          </cell>
          <cell r="D301" t="str">
            <v>더바른푸드</v>
          </cell>
          <cell r="E301" t="str">
            <v>일반</v>
          </cell>
          <cell r="F301" t="str">
            <v>입고완료</v>
          </cell>
          <cell r="G301">
            <v>160016</v>
          </cell>
          <cell r="H301" t="str">
            <v>오뚜기 케찹(스파우트팩 3.3Kg/EA)</v>
          </cell>
          <cell r="I301" t="str">
            <v>EA</v>
          </cell>
          <cell r="J301">
            <v>4</v>
          </cell>
          <cell r="K301">
            <v>4</v>
          </cell>
          <cell r="L301">
            <v>3670</v>
          </cell>
          <cell r="M301">
            <v>14680</v>
          </cell>
          <cell r="N301">
            <v>1468</v>
          </cell>
          <cell r="O301">
            <v>16148</v>
          </cell>
          <cell r="P301">
            <v>0</v>
          </cell>
          <cell r="Q301" t="str">
            <v/>
          </cell>
          <cell r="R301" t="str">
            <v>실온</v>
          </cell>
          <cell r="S301" t="str">
            <v>EA(4)</v>
          </cell>
          <cell r="T301" t="str">
            <v/>
          </cell>
          <cell r="U301" t="str">
            <v/>
          </cell>
          <cell r="V301" t="str">
            <v>2019-03-12</v>
          </cell>
          <cell r="W301" t="str">
            <v>2019-03-12 14:24:17</v>
          </cell>
          <cell r="X301" t="str">
            <v>더바른푸드</v>
          </cell>
        </row>
        <row r="302">
          <cell r="A302">
            <v>298</v>
          </cell>
          <cell r="B302" t="str">
            <v>2019-03-14</v>
          </cell>
          <cell r="C302" t="str">
            <v>더바른푸드</v>
          </cell>
          <cell r="D302" t="str">
            <v>더바른푸드</v>
          </cell>
          <cell r="E302" t="str">
            <v>일반</v>
          </cell>
          <cell r="F302" t="str">
            <v>입고완료</v>
          </cell>
          <cell r="G302">
            <v>225867</v>
          </cell>
          <cell r="H302" t="str">
            <v>이츠웰 절단낙지(M 500g/EA)</v>
          </cell>
          <cell r="I302" t="str">
            <v>EA</v>
          </cell>
          <cell r="J302">
            <v>6</v>
          </cell>
          <cell r="K302">
            <v>6</v>
          </cell>
          <cell r="L302">
            <v>5520</v>
          </cell>
          <cell r="M302">
            <v>33120</v>
          </cell>
          <cell r="N302">
            <v>0</v>
          </cell>
          <cell r="O302">
            <v>33120</v>
          </cell>
          <cell r="P302">
            <v>0</v>
          </cell>
          <cell r="Q302" t="str">
            <v>베트남</v>
          </cell>
          <cell r="R302" t="str">
            <v>냉동</v>
          </cell>
          <cell r="S302" t="str">
            <v>EA(6)</v>
          </cell>
          <cell r="T302" t="str">
            <v/>
          </cell>
          <cell r="U302" t="str">
            <v/>
          </cell>
          <cell r="V302" t="str">
            <v>2019-03-12</v>
          </cell>
          <cell r="W302" t="str">
            <v>2019-03-12 14:33:36</v>
          </cell>
          <cell r="X302" t="str">
            <v>더바른푸드</v>
          </cell>
        </row>
        <row r="303">
          <cell r="A303">
            <v>299</v>
          </cell>
          <cell r="B303" t="str">
            <v>2019-03-14</v>
          </cell>
          <cell r="C303" t="str">
            <v>더바른푸드</v>
          </cell>
          <cell r="D303" t="str">
            <v>더바른푸드</v>
          </cell>
          <cell r="E303" t="str">
            <v>일반</v>
          </cell>
          <cell r="F303" t="str">
            <v>입고완료</v>
          </cell>
          <cell r="G303">
            <v>206572</v>
          </cell>
          <cell r="H303" t="str">
            <v>깐밤(상품 1Kg/PAC)</v>
          </cell>
          <cell r="I303" t="str">
            <v>PAC</v>
          </cell>
          <cell r="J303">
            <v>12</v>
          </cell>
          <cell r="K303">
            <v>12</v>
          </cell>
          <cell r="L303">
            <v>12850</v>
          </cell>
          <cell r="M303">
            <v>154200</v>
          </cell>
          <cell r="N303">
            <v>0</v>
          </cell>
          <cell r="O303">
            <v>154200</v>
          </cell>
          <cell r="P303">
            <v>0</v>
          </cell>
          <cell r="Q303" t="str">
            <v>한국</v>
          </cell>
          <cell r="R303" t="str">
            <v>냉장</v>
          </cell>
          <cell r="S303" t="str">
            <v>PAC(1)</v>
          </cell>
          <cell r="T303" t="str">
            <v/>
          </cell>
          <cell r="U303" t="str">
            <v/>
          </cell>
          <cell r="V303" t="str">
            <v>2019-03-13</v>
          </cell>
          <cell r="W303" t="str">
            <v>2019-03-13 12:43:15</v>
          </cell>
          <cell r="X303" t="str">
            <v>더바른푸드</v>
          </cell>
        </row>
        <row r="304">
          <cell r="A304">
            <v>300</v>
          </cell>
          <cell r="B304" t="str">
            <v>2019-03-14</v>
          </cell>
          <cell r="C304" t="str">
            <v>더바른푸드</v>
          </cell>
          <cell r="D304" t="str">
            <v>더바른푸드</v>
          </cell>
          <cell r="E304" t="str">
            <v>일반</v>
          </cell>
          <cell r="F304" t="str">
            <v>입고완료</v>
          </cell>
          <cell r="G304">
            <v>223307</v>
          </cell>
          <cell r="H304" t="str">
            <v>냉동얼갈이(IQF 1Kg/EA)</v>
          </cell>
          <cell r="I304" t="str">
            <v>EA</v>
          </cell>
          <cell r="J304">
            <v>60</v>
          </cell>
          <cell r="K304">
            <v>60</v>
          </cell>
          <cell r="L304">
            <v>1660</v>
          </cell>
          <cell r="M304">
            <v>99600</v>
          </cell>
          <cell r="N304">
            <v>9960</v>
          </cell>
          <cell r="O304">
            <v>109560</v>
          </cell>
          <cell r="P304">
            <v>0</v>
          </cell>
          <cell r="Q304" t="str">
            <v>중국</v>
          </cell>
          <cell r="R304" t="str">
            <v>냉동</v>
          </cell>
          <cell r="S304" t="str">
            <v>EA(1)</v>
          </cell>
          <cell r="T304" t="str">
            <v/>
          </cell>
          <cell r="U304" t="str">
            <v/>
          </cell>
          <cell r="V304" t="str">
            <v>2019-03-13</v>
          </cell>
          <cell r="W304" t="str">
            <v>2019-03-13 13:53:06</v>
          </cell>
          <cell r="X304" t="str">
            <v>더바른푸드</v>
          </cell>
        </row>
        <row r="305">
          <cell r="A305">
            <v>301</v>
          </cell>
          <cell r="B305" t="str">
            <v>2019-03-14</v>
          </cell>
          <cell r="C305" t="str">
            <v>더바른푸드</v>
          </cell>
          <cell r="D305" t="str">
            <v>더바른푸드</v>
          </cell>
          <cell r="E305" t="str">
            <v>일반</v>
          </cell>
          <cell r="F305" t="str">
            <v>입고완료</v>
          </cell>
          <cell r="G305">
            <v>210182</v>
          </cell>
          <cell r="H305" t="str">
            <v>냉동홍피망(다이스 1Kg/EA)</v>
          </cell>
          <cell r="I305" t="str">
            <v>EA</v>
          </cell>
          <cell r="J305">
            <v>10</v>
          </cell>
          <cell r="K305">
            <v>10</v>
          </cell>
          <cell r="L305">
            <v>2350</v>
          </cell>
          <cell r="M305">
            <v>23500</v>
          </cell>
          <cell r="N305">
            <v>0</v>
          </cell>
          <cell r="O305">
            <v>23500</v>
          </cell>
          <cell r="P305">
            <v>0</v>
          </cell>
          <cell r="Q305" t="str">
            <v>중국</v>
          </cell>
          <cell r="R305" t="str">
            <v>냉동</v>
          </cell>
          <cell r="S305" t="str">
            <v>EA(1)</v>
          </cell>
          <cell r="T305" t="str">
            <v/>
          </cell>
          <cell r="U305" t="str">
            <v/>
          </cell>
          <cell r="V305" t="str">
            <v>2019-03-13</v>
          </cell>
          <cell r="W305" t="str">
            <v>2019-03-13 13:55:16</v>
          </cell>
          <cell r="X305" t="str">
            <v>더바른푸드</v>
          </cell>
        </row>
        <row r="306">
          <cell r="A306">
            <v>302</v>
          </cell>
          <cell r="B306" t="str">
            <v>2019-03-14</v>
          </cell>
          <cell r="C306" t="str">
            <v>더바른푸드</v>
          </cell>
          <cell r="D306" t="str">
            <v>더바른푸드</v>
          </cell>
          <cell r="E306" t="str">
            <v>일반</v>
          </cell>
          <cell r="F306" t="str">
            <v>입고완료</v>
          </cell>
          <cell r="G306">
            <v>206705</v>
          </cell>
          <cell r="H306" t="str">
            <v>냉동청피망(1cm다이스 1Kg/PAC)</v>
          </cell>
          <cell r="I306" t="str">
            <v>PAC</v>
          </cell>
          <cell r="J306">
            <v>10</v>
          </cell>
          <cell r="K306">
            <v>10</v>
          </cell>
          <cell r="L306">
            <v>2160</v>
          </cell>
          <cell r="M306">
            <v>21600</v>
          </cell>
          <cell r="N306">
            <v>0</v>
          </cell>
          <cell r="O306">
            <v>21600</v>
          </cell>
          <cell r="P306">
            <v>0</v>
          </cell>
          <cell r="Q306" t="str">
            <v>중국</v>
          </cell>
          <cell r="R306" t="str">
            <v>냉동</v>
          </cell>
          <cell r="S306" t="str">
            <v>PAC(1)</v>
          </cell>
          <cell r="T306" t="str">
            <v/>
          </cell>
          <cell r="U306" t="str">
            <v/>
          </cell>
          <cell r="V306" t="str">
            <v>2019-03-13</v>
          </cell>
          <cell r="W306" t="str">
            <v>2019-03-13 13:55:16</v>
          </cell>
          <cell r="X306" t="str">
            <v>더바른푸드</v>
          </cell>
        </row>
        <row r="307">
          <cell r="A307">
            <v>303</v>
          </cell>
          <cell r="B307" t="str">
            <v>2019-03-14</v>
          </cell>
          <cell r="C307" t="str">
            <v>더바른푸드</v>
          </cell>
          <cell r="D307" t="str">
            <v>더바른푸드</v>
          </cell>
          <cell r="E307" t="str">
            <v>일반</v>
          </cell>
          <cell r="F307" t="str">
            <v>입고완료</v>
          </cell>
          <cell r="G307">
            <v>197120</v>
          </cell>
          <cell r="H307" t="str">
            <v>종가집 포기김치(숙성 10Kg/BOX)</v>
          </cell>
          <cell r="I307" t="str">
            <v>BOX</v>
          </cell>
          <cell r="J307">
            <v>6</v>
          </cell>
          <cell r="K307">
            <v>6</v>
          </cell>
          <cell r="L307">
            <v>31390</v>
          </cell>
          <cell r="M307">
            <v>188340</v>
          </cell>
          <cell r="N307">
            <v>0</v>
          </cell>
          <cell r="O307">
            <v>188340</v>
          </cell>
          <cell r="P307">
            <v>0</v>
          </cell>
          <cell r="Q307" t="str">
            <v>한국</v>
          </cell>
          <cell r="R307" t="str">
            <v>냉장</v>
          </cell>
          <cell r="S307" t="str">
            <v>BOX(1)</v>
          </cell>
          <cell r="T307" t="str">
            <v/>
          </cell>
          <cell r="U307" t="str">
            <v/>
          </cell>
          <cell r="V307" t="str">
            <v>2019-03-13</v>
          </cell>
          <cell r="W307" t="str">
            <v>2019-03-13 13:55:16</v>
          </cell>
          <cell r="X307" t="str">
            <v>더바른푸드</v>
          </cell>
        </row>
        <row r="308">
          <cell r="A308">
            <v>304</v>
          </cell>
          <cell r="B308" t="str">
            <v>2019-03-14</v>
          </cell>
          <cell r="C308" t="str">
            <v>더바른푸드</v>
          </cell>
          <cell r="D308" t="str">
            <v>더바른푸드</v>
          </cell>
          <cell r="E308" t="str">
            <v>일반</v>
          </cell>
          <cell r="F308" t="str">
            <v>입고완료</v>
          </cell>
          <cell r="G308">
            <v>107250</v>
          </cell>
          <cell r="H308" t="str">
            <v>이금기 굴소스(팬더 2.268Kg/EA)</v>
          </cell>
          <cell r="I308" t="str">
            <v>EA</v>
          </cell>
          <cell r="J308">
            <v>6</v>
          </cell>
          <cell r="K308">
            <v>6</v>
          </cell>
          <cell r="L308">
            <v>8030</v>
          </cell>
          <cell r="M308">
            <v>48180</v>
          </cell>
          <cell r="N308">
            <v>4818</v>
          </cell>
          <cell r="O308">
            <v>52998</v>
          </cell>
          <cell r="P308">
            <v>0</v>
          </cell>
          <cell r="Q308" t="str">
            <v>홍콩</v>
          </cell>
          <cell r="R308" t="str">
            <v>실온</v>
          </cell>
          <cell r="S308" t="str">
            <v>EA(6)</v>
          </cell>
          <cell r="T308" t="str">
            <v/>
          </cell>
          <cell r="U308" t="str">
            <v/>
          </cell>
          <cell r="V308" t="str">
            <v>2019-03-13</v>
          </cell>
          <cell r="W308" t="str">
            <v>2019-03-13 13:55:16</v>
          </cell>
          <cell r="X308" t="str">
            <v>더바른푸드</v>
          </cell>
        </row>
        <row r="309">
          <cell r="A309">
            <v>305</v>
          </cell>
          <cell r="B309" t="str">
            <v>2019-03-14</v>
          </cell>
          <cell r="C309" t="str">
            <v>더바른푸드</v>
          </cell>
          <cell r="D309" t="str">
            <v>더바른푸드</v>
          </cell>
          <cell r="E309" t="str">
            <v>일반</v>
          </cell>
          <cell r="F309" t="str">
            <v>입고완료</v>
          </cell>
          <cell r="G309">
            <v>420010</v>
          </cell>
          <cell r="H309" t="str">
            <v>알로팜 계란(왕란_무항생제_68g*30입 2.04Kg/EA)</v>
          </cell>
          <cell r="I309" t="str">
            <v>EA</v>
          </cell>
          <cell r="J309">
            <v>10</v>
          </cell>
          <cell r="K309">
            <v>10</v>
          </cell>
          <cell r="L309">
            <v>4130</v>
          </cell>
          <cell r="M309">
            <v>41300</v>
          </cell>
          <cell r="N309">
            <v>0</v>
          </cell>
          <cell r="O309">
            <v>41300</v>
          </cell>
          <cell r="P309">
            <v>41300</v>
          </cell>
          <cell r="Q309" t="str">
            <v>한국</v>
          </cell>
          <cell r="R309" t="str">
            <v>냉장</v>
          </cell>
          <cell r="S309" t="str">
            <v>EA(1)</v>
          </cell>
          <cell r="T309" t="str">
            <v/>
          </cell>
          <cell r="U309" t="str">
            <v/>
          </cell>
          <cell r="V309" t="str">
            <v>2019-03-13</v>
          </cell>
          <cell r="W309" t="str">
            <v>2019-03-13 13:55:16</v>
          </cell>
          <cell r="X309" t="str">
            <v>더바른푸드</v>
          </cell>
        </row>
        <row r="310">
          <cell r="A310">
            <v>306</v>
          </cell>
          <cell r="B310" t="str">
            <v>2019-03-14</v>
          </cell>
          <cell r="C310" t="str">
            <v>더바른푸드</v>
          </cell>
          <cell r="D310" t="str">
            <v>더바른푸드</v>
          </cell>
          <cell r="E310" t="str">
            <v>일반</v>
          </cell>
          <cell r="F310" t="str">
            <v>입고완료</v>
          </cell>
          <cell r="G310">
            <v>135245</v>
          </cell>
          <cell r="H310" t="str">
            <v>염전하늘 천일염(탈수 10Kg/EA)</v>
          </cell>
          <cell r="I310" t="str">
            <v>EA</v>
          </cell>
          <cell r="J310">
            <v>1</v>
          </cell>
          <cell r="K310">
            <v>1</v>
          </cell>
          <cell r="L310">
            <v>9240</v>
          </cell>
          <cell r="M310">
            <v>9240</v>
          </cell>
          <cell r="N310">
            <v>0</v>
          </cell>
          <cell r="O310">
            <v>9240</v>
          </cell>
          <cell r="P310">
            <v>0</v>
          </cell>
          <cell r="Q310" t="str">
            <v/>
          </cell>
          <cell r="R310" t="str">
            <v>실온</v>
          </cell>
          <cell r="S310" t="str">
            <v>EA(10)</v>
          </cell>
          <cell r="T310" t="str">
            <v/>
          </cell>
          <cell r="U310" t="str">
            <v/>
          </cell>
          <cell r="V310" t="str">
            <v>2019-03-13</v>
          </cell>
          <cell r="W310" t="str">
            <v>2019-03-13 14:25:38</v>
          </cell>
          <cell r="X310" t="str">
            <v>더바른푸드</v>
          </cell>
        </row>
        <row r="311">
          <cell r="A311">
            <v>307</v>
          </cell>
          <cell r="B311" t="str">
            <v>2019-03-14</v>
          </cell>
          <cell r="C311" t="str">
            <v>더바른푸드</v>
          </cell>
          <cell r="D311" t="str">
            <v>더바른푸드</v>
          </cell>
          <cell r="E311" t="str">
            <v>일반</v>
          </cell>
          <cell r="F311" t="str">
            <v>입고완료</v>
          </cell>
          <cell r="G311">
            <v>106212</v>
          </cell>
          <cell r="H311" t="str">
            <v>백설 하얀설탕(15Kg/EA)</v>
          </cell>
          <cell r="I311" t="str">
            <v>EA</v>
          </cell>
          <cell r="J311">
            <v>1</v>
          </cell>
          <cell r="K311">
            <v>1</v>
          </cell>
          <cell r="L311">
            <v>15680</v>
          </cell>
          <cell r="M311">
            <v>15680</v>
          </cell>
          <cell r="N311">
            <v>1568</v>
          </cell>
          <cell r="O311">
            <v>17248</v>
          </cell>
          <cell r="P311">
            <v>0</v>
          </cell>
          <cell r="Q311" t="str">
            <v/>
          </cell>
          <cell r="R311" t="str">
            <v>실온</v>
          </cell>
          <cell r="S311" t="str">
            <v>EA(1)</v>
          </cell>
          <cell r="T311" t="str">
            <v/>
          </cell>
          <cell r="U311" t="str">
            <v/>
          </cell>
          <cell r="V311" t="str">
            <v>2019-03-13</v>
          </cell>
          <cell r="W311" t="str">
            <v>2019-03-13 14:25:39</v>
          </cell>
          <cell r="X311" t="str">
            <v>더바른푸드</v>
          </cell>
        </row>
        <row r="312">
          <cell r="A312">
            <v>308</v>
          </cell>
          <cell r="B312" t="str">
            <v>2019-03-14</v>
          </cell>
          <cell r="C312" t="str">
            <v>더바른푸드</v>
          </cell>
          <cell r="D312" t="str">
            <v>더바른푸드</v>
          </cell>
          <cell r="E312" t="str">
            <v>일반</v>
          </cell>
          <cell r="F312" t="str">
            <v>입고완료</v>
          </cell>
          <cell r="G312">
            <v>118007</v>
          </cell>
          <cell r="H312" t="str">
            <v>한성 새우젓(1Kg/EA)</v>
          </cell>
          <cell r="I312" t="str">
            <v>EA</v>
          </cell>
          <cell r="J312">
            <v>3</v>
          </cell>
          <cell r="K312">
            <v>3</v>
          </cell>
          <cell r="L312">
            <v>10250</v>
          </cell>
          <cell r="M312">
            <v>30750</v>
          </cell>
          <cell r="N312">
            <v>3075</v>
          </cell>
          <cell r="O312">
            <v>33825</v>
          </cell>
          <cell r="P312">
            <v>0</v>
          </cell>
          <cell r="Q312" t="str">
            <v>한국</v>
          </cell>
          <cell r="R312" t="str">
            <v>냉장</v>
          </cell>
          <cell r="S312" t="str">
            <v>EA(1)</v>
          </cell>
          <cell r="T312" t="str">
            <v/>
          </cell>
          <cell r="U312" t="str">
            <v/>
          </cell>
          <cell r="V312" t="str">
            <v>2019-03-13</v>
          </cell>
          <cell r="W312" t="str">
            <v>2019-03-13 14:25:39</v>
          </cell>
          <cell r="X312" t="str">
            <v>더바른푸드</v>
          </cell>
        </row>
        <row r="313">
          <cell r="A313">
            <v>309</v>
          </cell>
          <cell r="B313" t="str">
            <v>2019-03-14</v>
          </cell>
          <cell r="C313" t="str">
            <v>더바른푸드</v>
          </cell>
          <cell r="D313" t="str">
            <v>더바른푸드</v>
          </cell>
          <cell r="E313" t="str">
            <v>일반</v>
          </cell>
          <cell r="F313" t="str">
            <v>입고완료</v>
          </cell>
          <cell r="G313">
            <v>304208</v>
          </cell>
          <cell r="H313" t="str">
            <v>참소라살(M_수율60% 1Kg/PAC)</v>
          </cell>
          <cell r="I313" t="str">
            <v>PAC</v>
          </cell>
          <cell r="J313">
            <v>1</v>
          </cell>
          <cell r="K313">
            <v>1</v>
          </cell>
          <cell r="L313">
            <v>15390</v>
          </cell>
          <cell r="M313">
            <v>15390</v>
          </cell>
          <cell r="N313">
            <v>1539</v>
          </cell>
          <cell r="O313">
            <v>16929</v>
          </cell>
          <cell r="P313">
            <v>0</v>
          </cell>
          <cell r="Q313" t="str">
            <v>터키</v>
          </cell>
          <cell r="R313" t="str">
            <v>냉동</v>
          </cell>
          <cell r="S313" t="str">
            <v>PAC(1)</v>
          </cell>
          <cell r="T313" t="str">
            <v/>
          </cell>
          <cell r="U313" t="str">
            <v/>
          </cell>
          <cell r="V313" t="str">
            <v>2019-03-13</v>
          </cell>
          <cell r="W313" t="str">
            <v>2019-03-13 15:35:49</v>
          </cell>
          <cell r="X313" t="str">
            <v>더바른푸드</v>
          </cell>
        </row>
        <row r="314">
          <cell r="A314">
            <v>310</v>
          </cell>
          <cell r="B314" t="str">
            <v>2019-03-13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</row>
        <row r="315">
          <cell r="A315">
            <v>311</v>
          </cell>
          <cell r="B315" t="str">
            <v>2019-03-13</v>
          </cell>
          <cell r="C315" t="str">
            <v>더바른푸드</v>
          </cell>
          <cell r="D315" t="str">
            <v>더바른푸드</v>
          </cell>
          <cell r="E315" t="str">
            <v>일반</v>
          </cell>
          <cell r="F315" t="str">
            <v>입고완료</v>
          </cell>
          <cell r="G315">
            <v>160244</v>
          </cell>
          <cell r="H315" t="str">
            <v>비피더스 떠먹는요구르트(복숭아 83g/EA)</v>
          </cell>
          <cell r="I315" t="str">
            <v>EA</v>
          </cell>
          <cell r="J315">
            <v>181</v>
          </cell>
          <cell r="K315">
            <v>181</v>
          </cell>
          <cell r="L315">
            <v>300</v>
          </cell>
          <cell r="M315">
            <v>54300</v>
          </cell>
          <cell r="N315">
            <v>5430</v>
          </cell>
          <cell r="O315">
            <v>59730</v>
          </cell>
          <cell r="P315">
            <v>0</v>
          </cell>
          <cell r="Q315" t="str">
            <v>한국</v>
          </cell>
          <cell r="R315" t="str">
            <v>냉장</v>
          </cell>
          <cell r="S315" t="str">
            <v>EA(1)</v>
          </cell>
          <cell r="T315" t="str">
            <v/>
          </cell>
          <cell r="U315" t="str">
            <v>스푼 부탁드립니다</v>
          </cell>
          <cell r="V315" t="str">
            <v>2019-03-08</v>
          </cell>
          <cell r="W315" t="str">
            <v>2019-03-08 15:16:53</v>
          </cell>
          <cell r="X315" t="str">
            <v>더바른푸드</v>
          </cell>
        </row>
        <row r="316">
          <cell r="A316">
            <v>312</v>
          </cell>
          <cell r="B316" t="str">
            <v>2019-03-13</v>
          </cell>
          <cell r="C316" t="str">
            <v>더바른푸드</v>
          </cell>
          <cell r="D316" t="str">
            <v>더바른푸드</v>
          </cell>
          <cell r="E316" t="str">
            <v>일반</v>
          </cell>
          <cell r="F316" t="str">
            <v>입고완료</v>
          </cell>
          <cell r="G316">
            <v>136633</v>
          </cell>
          <cell r="H316" t="str">
            <v>이오 요구르트(80ml_유기농 80g/EA)</v>
          </cell>
          <cell r="I316" t="str">
            <v>EA</v>
          </cell>
          <cell r="J316">
            <v>25</v>
          </cell>
          <cell r="K316">
            <v>25</v>
          </cell>
          <cell r="L316">
            <v>300</v>
          </cell>
          <cell r="M316">
            <v>7500</v>
          </cell>
          <cell r="N316">
            <v>750</v>
          </cell>
          <cell r="O316">
            <v>8250</v>
          </cell>
          <cell r="P316">
            <v>0</v>
          </cell>
          <cell r="Q316" t="str">
            <v>한국</v>
          </cell>
          <cell r="R316" t="str">
            <v>냉장</v>
          </cell>
          <cell r="S316" t="str">
            <v>EA(50)</v>
          </cell>
          <cell r="T316" t="str">
            <v/>
          </cell>
          <cell r="U316" t="str">
            <v>빨대 넉넉히 부탁드립니다.</v>
          </cell>
          <cell r="V316" t="str">
            <v>2019-03-08</v>
          </cell>
          <cell r="W316" t="str">
            <v>2019-03-08 15:19:26</v>
          </cell>
          <cell r="X316" t="str">
            <v>더바른푸드</v>
          </cell>
        </row>
        <row r="317">
          <cell r="A317">
            <v>313</v>
          </cell>
          <cell r="B317" t="str">
            <v>2019-03-13</v>
          </cell>
          <cell r="C317" t="str">
            <v>더바른푸드</v>
          </cell>
          <cell r="D317" t="str">
            <v>더바른푸드</v>
          </cell>
          <cell r="E317" t="str">
            <v>일반</v>
          </cell>
          <cell r="F317" t="str">
            <v>입고완료</v>
          </cell>
          <cell r="G317">
            <v>237791</v>
          </cell>
          <cell r="H317" t="str">
            <v>종로복떡방 백설기(찜용 1Kg/EA)</v>
          </cell>
          <cell r="I317" t="str">
            <v>EA</v>
          </cell>
          <cell r="J317">
            <v>12</v>
          </cell>
          <cell r="K317">
            <v>12</v>
          </cell>
          <cell r="L317">
            <v>8130</v>
          </cell>
          <cell r="M317">
            <v>97560</v>
          </cell>
          <cell r="N317">
            <v>9756</v>
          </cell>
          <cell r="O317">
            <v>107316</v>
          </cell>
          <cell r="P317">
            <v>0</v>
          </cell>
          <cell r="Q317" t="str">
            <v/>
          </cell>
          <cell r="R317" t="str">
            <v>냉동</v>
          </cell>
          <cell r="S317" t="str">
            <v>EA(1)</v>
          </cell>
          <cell r="T317" t="str">
            <v/>
          </cell>
          <cell r="U317" t="str">
            <v/>
          </cell>
          <cell r="V317" t="str">
            <v>2019-03-08</v>
          </cell>
          <cell r="W317" t="str">
            <v>2019-03-08 15:38:23</v>
          </cell>
          <cell r="X317" t="str">
            <v>더바른푸드</v>
          </cell>
        </row>
        <row r="318">
          <cell r="A318">
            <v>314</v>
          </cell>
          <cell r="B318" t="str">
            <v>2019-03-13</v>
          </cell>
          <cell r="C318" t="str">
            <v>더바른푸드</v>
          </cell>
          <cell r="D318" t="str">
            <v>더바른푸드</v>
          </cell>
          <cell r="E318" t="str">
            <v>일반</v>
          </cell>
          <cell r="F318" t="str">
            <v>입고완료</v>
          </cell>
          <cell r="G318">
            <v>172963</v>
          </cell>
          <cell r="H318" t="str">
            <v>사조대림 붕어빵(단팥 1Kg/EA)</v>
          </cell>
          <cell r="I318" t="str">
            <v>EA</v>
          </cell>
          <cell r="J318">
            <v>1</v>
          </cell>
          <cell r="K318">
            <v>1</v>
          </cell>
          <cell r="L318">
            <v>7320</v>
          </cell>
          <cell r="M318">
            <v>7320</v>
          </cell>
          <cell r="N318">
            <v>732</v>
          </cell>
          <cell r="O318">
            <v>8052</v>
          </cell>
          <cell r="P318">
            <v>0</v>
          </cell>
          <cell r="Q318" t="str">
            <v/>
          </cell>
          <cell r="R318" t="str">
            <v>냉동</v>
          </cell>
          <cell r="S318" t="str">
            <v>EA(10)</v>
          </cell>
          <cell r="T318" t="str">
            <v/>
          </cell>
          <cell r="U318" t="str">
            <v/>
          </cell>
          <cell r="V318" t="str">
            <v>2019-03-08</v>
          </cell>
          <cell r="W318" t="str">
            <v>2019-03-08 15:48:01</v>
          </cell>
          <cell r="X318" t="str">
            <v>더바른푸드</v>
          </cell>
        </row>
        <row r="319">
          <cell r="A319">
            <v>315</v>
          </cell>
          <cell r="B319" t="str">
            <v>2019-03-13</v>
          </cell>
          <cell r="C319" t="str">
            <v>더바른푸드</v>
          </cell>
          <cell r="D319" t="str">
            <v>더바른푸드</v>
          </cell>
          <cell r="E319" t="str">
            <v>일반</v>
          </cell>
          <cell r="F319" t="str">
            <v>입고완료</v>
          </cell>
          <cell r="G319">
            <v>259671</v>
          </cell>
          <cell r="H319" t="str">
            <v>세준푸드 맑은식혜(유기농 125g/EA)</v>
          </cell>
          <cell r="I319" t="str">
            <v>BOX</v>
          </cell>
          <cell r="J319">
            <v>6</v>
          </cell>
          <cell r="K319">
            <v>6</v>
          </cell>
          <cell r="L319">
            <v>10320</v>
          </cell>
          <cell r="M319">
            <v>61920</v>
          </cell>
          <cell r="N319">
            <v>6192</v>
          </cell>
          <cell r="O319">
            <v>68112</v>
          </cell>
          <cell r="P319">
            <v>0</v>
          </cell>
          <cell r="Q319" t="str">
            <v/>
          </cell>
          <cell r="R319" t="str">
            <v>실온</v>
          </cell>
          <cell r="S319" t="str">
            <v>EA(24)</v>
          </cell>
          <cell r="T319" t="str">
            <v/>
          </cell>
          <cell r="U319" t="str">
            <v/>
          </cell>
          <cell r="V319" t="str">
            <v>2019-03-08</v>
          </cell>
          <cell r="W319" t="str">
            <v>2019-03-08 15:53:19</v>
          </cell>
          <cell r="X319" t="str">
            <v>더바른푸드</v>
          </cell>
        </row>
        <row r="320">
          <cell r="A320">
            <v>316</v>
          </cell>
          <cell r="B320" t="str">
            <v>2019-03-13</v>
          </cell>
          <cell r="C320" t="str">
            <v>더바른푸드</v>
          </cell>
          <cell r="D320" t="str">
            <v>더바른푸드</v>
          </cell>
          <cell r="E320" t="str">
            <v>일반</v>
          </cell>
          <cell r="F320" t="str">
            <v>입고완료</v>
          </cell>
          <cell r="G320">
            <v>125921</v>
          </cell>
          <cell r="H320" t="str">
            <v>튼튼스쿨 쥬시햄벅스테이크(60g*16입 960g/EA)</v>
          </cell>
          <cell r="I320" t="str">
            <v>EA</v>
          </cell>
          <cell r="J320">
            <v>64</v>
          </cell>
          <cell r="K320">
            <v>64</v>
          </cell>
          <cell r="L320">
            <v>8850</v>
          </cell>
          <cell r="M320">
            <v>566400</v>
          </cell>
          <cell r="N320">
            <v>56640</v>
          </cell>
          <cell r="O320">
            <v>623040</v>
          </cell>
          <cell r="P320">
            <v>0</v>
          </cell>
          <cell r="Q320" t="str">
            <v/>
          </cell>
          <cell r="R320" t="str">
            <v>냉동</v>
          </cell>
          <cell r="S320" t="str">
            <v>EA(6)</v>
          </cell>
          <cell r="T320" t="str">
            <v/>
          </cell>
          <cell r="U320" t="str">
            <v/>
          </cell>
          <cell r="V320" t="str">
            <v>2019-03-11</v>
          </cell>
          <cell r="W320" t="str">
            <v>2019-03-11 14:01:40</v>
          </cell>
          <cell r="X320" t="str">
            <v>더바른푸드</v>
          </cell>
        </row>
        <row r="321">
          <cell r="A321">
            <v>317</v>
          </cell>
          <cell r="B321" t="str">
            <v>2019-03-13</v>
          </cell>
          <cell r="C321" t="str">
            <v>더바른푸드</v>
          </cell>
          <cell r="D321" t="str">
            <v>더바른푸드</v>
          </cell>
          <cell r="E321" t="str">
            <v>일반</v>
          </cell>
          <cell r="F321" t="str">
            <v>입고완료</v>
          </cell>
          <cell r="G321">
            <v>164076</v>
          </cell>
          <cell r="H321" t="str">
            <v>풍림푸드 계란구이(오믈렛골드_50g*20개입 1Kg/EA)</v>
          </cell>
          <cell r="I321" t="str">
            <v>EA</v>
          </cell>
          <cell r="J321">
            <v>55</v>
          </cell>
          <cell r="K321">
            <v>55</v>
          </cell>
          <cell r="L321">
            <v>6660</v>
          </cell>
          <cell r="M321">
            <v>366300</v>
          </cell>
          <cell r="N321">
            <v>36630</v>
          </cell>
          <cell r="O321">
            <v>402930</v>
          </cell>
          <cell r="P321">
            <v>0</v>
          </cell>
          <cell r="Q321" t="str">
            <v>한국</v>
          </cell>
          <cell r="R321" t="str">
            <v>냉동</v>
          </cell>
          <cell r="S321" t="str">
            <v>EA(1)</v>
          </cell>
          <cell r="T321" t="str">
            <v/>
          </cell>
          <cell r="U321" t="str">
            <v/>
          </cell>
          <cell r="V321" t="str">
            <v>2019-03-11</v>
          </cell>
          <cell r="W321" t="str">
            <v>2019-03-11 14:14:06</v>
          </cell>
          <cell r="X321" t="str">
            <v>더바른푸드</v>
          </cell>
        </row>
        <row r="322">
          <cell r="A322">
            <v>318</v>
          </cell>
          <cell r="B322" t="str">
            <v>2019-03-13</v>
          </cell>
          <cell r="C322" t="str">
            <v>더바른푸드</v>
          </cell>
          <cell r="D322" t="str">
            <v>더바른푸드</v>
          </cell>
          <cell r="E322" t="str">
            <v>일반</v>
          </cell>
          <cell r="F322" t="str">
            <v>입고완료</v>
          </cell>
          <cell r="G322">
            <v>118227</v>
          </cell>
          <cell r="H322" t="str">
            <v>오뚜기 마요네즈(파우치 3Kg/EA)</v>
          </cell>
          <cell r="I322" t="str">
            <v>EA</v>
          </cell>
          <cell r="J322">
            <v>3</v>
          </cell>
          <cell r="K322">
            <v>3</v>
          </cell>
          <cell r="L322">
            <v>8840</v>
          </cell>
          <cell r="M322">
            <v>26520</v>
          </cell>
          <cell r="N322">
            <v>2652</v>
          </cell>
          <cell r="O322">
            <v>29172</v>
          </cell>
          <cell r="P322">
            <v>0</v>
          </cell>
          <cell r="Q322" t="str">
            <v/>
          </cell>
          <cell r="R322" t="str">
            <v>실온</v>
          </cell>
          <cell r="S322" t="str">
            <v>EA(4)</v>
          </cell>
          <cell r="T322" t="str">
            <v/>
          </cell>
          <cell r="U322" t="str">
            <v/>
          </cell>
          <cell r="V322" t="str">
            <v>2019-03-11</v>
          </cell>
          <cell r="W322" t="str">
            <v>2019-03-11 14:16:26</v>
          </cell>
          <cell r="X322" t="str">
            <v>더바른푸드</v>
          </cell>
        </row>
        <row r="323">
          <cell r="A323">
            <v>319</v>
          </cell>
          <cell r="B323" t="str">
            <v>2019-03-13</v>
          </cell>
          <cell r="C323" t="str">
            <v>더바른푸드</v>
          </cell>
          <cell r="D323" t="str">
            <v>더바른푸드</v>
          </cell>
          <cell r="E323" t="str">
            <v>일반</v>
          </cell>
          <cell r="F323" t="str">
            <v>입고완료</v>
          </cell>
          <cell r="G323">
            <v>411038</v>
          </cell>
          <cell r="H323" t="str">
            <v>누리웰 깐메추리알(1Kg/EA)</v>
          </cell>
          <cell r="I323" t="str">
            <v>EA</v>
          </cell>
          <cell r="J323">
            <v>3</v>
          </cell>
          <cell r="K323">
            <v>3</v>
          </cell>
          <cell r="L323">
            <v>4480</v>
          </cell>
          <cell r="M323">
            <v>13440</v>
          </cell>
          <cell r="N323">
            <v>1344</v>
          </cell>
          <cell r="O323">
            <v>14784</v>
          </cell>
          <cell r="P323">
            <v>0</v>
          </cell>
          <cell r="Q323" t="str">
            <v>한국</v>
          </cell>
          <cell r="R323" t="str">
            <v>냉장</v>
          </cell>
          <cell r="S323" t="str">
            <v>EA(10)</v>
          </cell>
          <cell r="T323" t="str">
            <v/>
          </cell>
          <cell r="U323" t="str">
            <v/>
          </cell>
          <cell r="V323" t="str">
            <v>2019-03-11</v>
          </cell>
          <cell r="W323" t="str">
            <v>2019-03-11 14:25:51</v>
          </cell>
          <cell r="X323" t="str">
            <v>더바른푸드</v>
          </cell>
        </row>
        <row r="324">
          <cell r="A324">
            <v>320</v>
          </cell>
          <cell r="B324" t="str">
            <v>2019-03-13</v>
          </cell>
          <cell r="C324" t="str">
            <v>더바른푸드</v>
          </cell>
          <cell r="D324" t="str">
            <v>더바른푸드</v>
          </cell>
          <cell r="E324" t="str">
            <v>일반</v>
          </cell>
          <cell r="F324" t="str">
            <v>입고완료</v>
          </cell>
          <cell r="G324">
            <v>266412</v>
          </cell>
          <cell r="H324" t="str">
            <v>한미식품 유부(슬라이스 1Kg/EA)</v>
          </cell>
          <cell r="I324" t="str">
            <v>EA</v>
          </cell>
          <cell r="J324">
            <v>5</v>
          </cell>
          <cell r="K324">
            <v>5</v>
          </cell>
          <cell r="L324">
            <v>6550</v>
          </cell>
          <cell r="M324">
            <v>32750</v>
          </cell>
          <cell r="N324">
            <v>3275</v>
          </cell>
          <cell r="O324">
            <v>36025</v>
          </cell>
          <cell r="P324">
            <v>0</v>
          </cell>
          <cell r="Q324" t="str">
            <v>외국산</v>
          </cell>
          <cell r="R324" t="str">
            <v>냉동</v>
          </cell>
          <cell r="S324" t="str">
            <v>EA(4)</v>
          </cell>
          <cell r="T324" t="str">
            <v/>
          </cell>
          <cell r="U324" t="str">
            <v/>
          </cell>
          <cell r="V324" t="str">
            <v>2019-03-11</v>
          </cell>
          <cell r="W324" t="str">
            <v>2019-03-11 14:38:15</v>
          </cell>
          <cell r="X324" t="str">
            <v>더바른푸드</v>
          </cell>
        </row>
        <row r="325">
          <cell r="A325">
            <v>321</v>
          </cell>
          <cell r="B325" t="str">
            <v>2019-03-13</v>
          </cell>
          <cell r="C325" t="str">
            <v>더바른푸드</v>
          </cell>
          <cell r="D325" t="str">
            <v>더바른푸드</v>
          </cell>
          <cell r="E325" t="str">
            <v>일반</v>
          </cell>
          <cell r="F325" t="str">
            <v>입고완료</v>
          </cell>
          <cell r="G325">
            <v>308191</v>
          </cell>
          <cell r="H325" t="str">
            <v>조기(무염_50~70g/마리 60g/EA)</v>
          </cell>
          <cell r="I325" t="str">
            <v>EA</v>
          </cell>
          <cell r="J325">
            <v>15</v>
          </cell>
          <cell r="K325">
            <v>15</v>
          </cell>
          <cell r="L325">
            <v>430</v>
          </cell>
          <cell r="M325">
            <v>6450</v>
          </cell>
          <cell r="N325">
            <v>0</v>
          </cell>
          <cell r="O325">
            <v>6450</v>
          </cell>
          <cell r="P325">
            <v>0</v>
          </cell>
          <cell r="Q325" t="str">
            <v>중국</v>
          </cell>
          <cell r="R325" t="str">
            <v>냉동</v>
          </cell>
          <cell r="S325" t="str">
            <v>EA(1)</v>
          </cell>
          <cell r="T325" t="str">
            <v/>
          </cell>
          <cell r="U325" t="str">
            <v/>
          </cell>
          <cell r="V325" t="str">
            <v>2019-03-11</v>
          </cell>
          <cell r="W325" t="str">
            <v>2019-03-11 14:40:18</v>
          </cell>
          <cell r="X325" t="str">
            <v>더바른푸드</v>
          </cell>
        </row>
        <row r="326">
          <cell r="A326">
            <v>322</v>
          </cell>
          <cell r="B326" t="str">
            <v>2019-03-13</v>
          </cell>
          <cell r="C326" t="str">
            <v>더바른푸드</v>
          </cell>
          <cell r="D326" t="str">
            <v>더바른푸드</v>
          </cell>
          <cell r="E326" t="str">
            <v>일반</v>
          </cell>
          <cell r="F326" t="str">
            <v>입고완료</v>
          </cell>
          <cell r="G326">
            <v>160250</v>
          </cell>
          <cell r="H326" t="str">
            <v>마차촌 종합어묵(FS전용 1Kg/EA)</v>
          </cell>
          <cell r="I326" t="str">
            <v>EA</v>
          </cell>
          <cell r="J326">
            <v>3</v>
          </cell>
          <cell r="K326">
            <v>3</v>
          </cell>
          <cell r="L326">
            <v>2260</v>
          </cell>
          <cell r="M326">
            <v>6780</v>
          </cell>
          <cell r="N326">
            <v>678</v>
          </cell>
          <cell r="O326">
            <v>7458</v>
          </cell>
          <cell r="P326">
            <v>0</v>
          </cell>
          <cell r="Q326" t="str">
            <v/>
          </cell>
          <cell r="R326" t="str">
            <v>냉장</v>
          </cell>
          <cell r="S326" t="str">
            <v>EA(10)</v>
          </cell>
          <cell r="T326" t="str">
            <v/>
          </cell>
          <cell r="U326" t="str">
            <v/>
          </cell>
          <cell r="V326" t="str">
            <v>2019-03-11</v>
          </cell>
          <cell r="W326" t="str">
            <v>2019-03-11 14:58:49</v>
          </cell>
          <cell r="X326" t="str">
            <v>더바른푸드</v>
          </cell>
        </row>
        <row r="327">
          <cell r="A327">
            <v>323</v>
          </cell>
          <cell r="B327" t="str">
            <v>2019-03-13</v>
          </cell>
          <cell r="C327" t="str">
            <v>더바른푸드</v>
          </cell>
          <cell r="D327" t="str">
            <v>더바른푸드</v>
          </cell>
          <cell r="E327" t="str">
            <v>일반</v>
          </cell>
          <cell r="F327" t="str">
            <v>입고완료</v>
          </cell>
          <cell r="G327">
            <v>182021</v>
          </cell>
          <cell r="H327" t="str">
            <v>가토코 돈부리소스(2Kg/EA)</v>
          </cell>
          <cell r="I327" t="str">
            <v>EA</v>
          </cell>
          <cell r="J327">
            <v>2</v>
          </cell>
          <cell r="K327">
            <v>2</v>
          </cell>
          <cell r="L327">
            <v>13620</v>
          </cell>
          <cell r="M327">
            <v>27240</v>
          </cell>
          <cell r="N327">
            <v>2724</v>
          </cell>
          <cell r="O327">
            <v>29964</v>
          </cell>
          <cell r="P327">
            <v>0</v>
          </cell>
          <cell r="Q327" t="str">
            <v/>
          </cell>
          <cell r="R327" t="str">
            <v>실온</v>
          </cell>
          <cell r="S327" t="str">
            <v>EA(6)</v>
          </cell>
          <cell r="T327" t="str">
            <v/>
          </cell>
          <cell r="U327" t="str">
            <v/>
          </cell>
          <cell r="V327" t="str">
            <v>2019-03-11</v>
          </cell>
          <cell r="W327" t="str">
            <v>2019-03-11 15:03:11</v>
          </cell>
          <cell r="X327" t="str">
            <v>더바른푸드</v>
          </cell>
        </row>
        <row r="328">
          <cell r="A328">
            <v>324</v>
          </cell>
          <cell r="B328" t="str">
            <v>2019-03-13</v>
          </cell>
          <cell r="C328" t="str">
            <v>더바른푸드</v>
          </cell>
          <cell r="D328" t="str">
            <v>더바른푸드</v>
          </cell>
          <cell r="E328" t="str">
            <v>일반</v>
          </cell>
          <cell r="F328" t="str">
            <v>입고완료</v>
          </cell>
          <cell r="G328">
            <v>131075</v>
          </cell>
          <cell r="H328" t="str">
            <v>이엔푸드 쯔유(1.8L 1.8Kg/EA)</v>
          </cell>
          <cell r="I328" t="str">
            <v>EA</v>
          </cell>
          <cell r="J328">
            <v>1</v>
          </cell>
          <cell r="K328">
            <v>1</v>
          </cell>
          <cell r="L328">
            <v>10250</v>
          </cell>
          <cell r="M328">
            <v>10250</v>
          </cell>
          <cell r="N328">
            <v>1025</v>
          </cell>
          <cell r="O328">
            <v>11275</v>
          </cell>
          <cell r="P328">
            <v>0</v>
          </cell>
          <cell r="Q328" t="str">
            <v/>
          </cell>
          <cell r="R328" t="str">
            <v>실온</v>
          </cell>
          <cell r="S328" t="str">
            <v>EA(6)</v>
          </cell>
          <cell r="T328" t="str">
            <v/>
          </cell>
          <cell r="U328" t="str">
            <v/>
          </cell>
          <cell r="V328" t="str">
            <v>2019-03-11</v>
          </cell>
          <cell r="W328" t="str">
            <v>2019-03-11 15:03:11</v>
          </cell>
          <cell r="X328" t="str">
            <v>더바른푸드</v>
          </cell>
        </row>
        <row r="329">
          <cell r="A329">
            <v>325</v>
          </cell>
          <cell r="B329" t="str">
            <v>2019-03-13</v>
          </cell>
          <cell r="C329" t="str">
            <v>더바른푸드</v>
          </cell>
          <cell r="D329" t="str">
            <v>더바른푸드</v>
          </cell>
          <cell r="E329" t="str">
            <v>일반</v>
          </cell>
          <cell r="F329" t="str">
            <v>입고완료</v>
          </cell>
          <cell r="G329">
            <v>208502</v>
          </cell>
          <cell r="H329" t="str">
            <v>세척당근(3L 10Kg/EA)</v>
          </cell>
          <cell r="I329" t="str">
            <v>EA</v>
          </cell>
          <cell r="J329">
            <v>1</v>
          </cell>
          <cell r="K329">
            <v>1</v>
          </cell>
          <cell r="L329">
            <v>12370</v>
          </cell>
          <cell r="M329">
            <v>12370</v>
          </cell>
          <cell r="N329">
            <v>0</v>
          </cell>
          <cell r="O329">
            <v>12370</v>
          </cell>
          <cell r="P329">
            <v>0</v>
          </cell>
          <cell r="Q329" t="str">
            <v>중국</v>
          </cell>
          <cell r="R329" t="str">
            <v>실온</v>
          </cell>
          <cell r="S329" t="str">
            <v>EA(1)</v>
          </cell>
          <cell r="T329" t="str">
            <v/>
          </cell>
          <cell r="U329" t="str">
            <v/>
          </cell>
          <cell r="V329" t="str">
            <v>2019-03-12</v>
          </cell>
          <cell r="W329" t="str">
            <v>2019-03-12 13:41:14</v>
          </cell>
          <cell r="X329" t="str">
            <v>더바른푸드</v>
          </cell>
        </row>
        <row r="330">
          <cell r="A330">
            <v>326</v>
          </cell>
          <cell r="B330" t="str">
            <v>2019-03-13</v>
          </cell>
          <cell r="C330" t="str">
            <v>더바른푸드</v>
          </cell>
          <cell r="D330" t="str">
            <v>더바른푸드</v>
          </cell>
          <cell r="E330" t="str">
            <v>일반</v>
          </cell>
          <cell r="F330" t="str">
            <v>입고완료</v>
          </cell>
          <cell r="G330">
            <v>105943</v>
          </cell>
          <cell r="H330" t="str">
            <v>대상 재래된장(지함_재래식숙성 14Kg/EA)</v>
          </cell>
          <cell r="I330" t="str">
            <v>EA</v>
          </cell>
          <cell r="J330">
            <v>2</v>
          </cell>
          <cell r="K330">
            <v>2</v>
          </cell>
          <cell r="L330">
            <v>25020</v>
          </cell>
          <cell r="M330">
            <v>50040</v>
          </cell>
          <cell r="N330">
            <v>5004</v>
          </cell>
          <cell r="O330">
            <v>55044</v>
          </cell>
          <cell r="P330">
            <v>0</v>
          </cell>
          <cell r="Q330" t="str">
            <v/>
          </cell>
          <cell r="R330" t="str">
            <v>실온</v>
          </cell>
          <cell r="S330" t="str">
            <v>EA(1)</v>
          </cell>
          <cell r="T330" t="str">
            <v/>
          </cell>
          <cell r="U330" t="str">
            <v/>
          </cell>
          <cell r="V330" t="str">
            <v>2019-03-12</v>
          </cell>
          <cell r="W330" t="str">
            <v>2019-03-12 13:57:21</v>
          </cell>
          <cell r="X330" t="str">
            <v>더바른푸드</v>
          </cell>
        </row>
        <row r="331">
          <cell r="A331">
            <v>327</v>
          </cell>
          <cell r="B331" t="str">
            <v>2019-03-13</v>
          </cell>
          <cell r="C331" t="str">
            <v>더바른푸드</v>
          </cell>
          <cell r="D331" t="str">
            <v>더바른푸드</v>
          </cell>
          <cell r="E331" t="str">
            <v>일반</v>
          </cell>
          <cell r="F331" t="str">
            <v>입고완료</v>
          </cell>
          <cell r="G331">
            <v>106127</v>
          </cell>
          <cell r="H331" t="str">
            <v>신송식품 춘장(지함 14Kg/EA)</v>
          </cell>
          <cell r="I331" t="str">
            <v>EA</v>
          </cell>
          <cell r="J331">
            <v>1</v>
          </cell>
          <cell r="K331">
            <v>1</v>
          </cell>
          <cell r="L331">
            <v>15990</v>
          </cell>
          <cell r="M331">
            <v>15990</v>
          </cell>
          <cell r="N331">
            <v>1599</v>
          </cell>
          <cell r="O331">
            <v>17589</v>
          </cell>
          <cell r="P331">
            <v>0</v>
          </cell>
          <cell r="Q331" t="str">
            <v/>
          </cell>
          <cell r="R331" t="str">
            <v>실온</v>
          </cell>
          <cell r="S331" t="str">
            <v>EA(1)</v>
          </cell>
          <cell r="T331" t="str">
            <v/>
          </cell>
          <cell r="U331" t="str">
            <v/>
          </cell>
          <cell r="V331" t="str">
            <v>2019-03-12</v>
          </cell>
          <cell r="W331" t="str">
            <v>2019-03-12 13:57:21</v>
          </cell>
          <cell r="X331" t="str">
            <v>더바른푸드</v>
          </cell>
        </row>
        <row r="332">
          <cell r="A332">
            <v>328</v>
          </cell>
          <cell r="B332" t="str">
            <v>2019-03-13</v>
          </cell>
          <cell r="C332" t="str">
            <v>더바른푸드</v>
          </cell>
          <cell r="D332" t="str">
            <v>더바른푸드</v>
          </cell>
          <cell r="E332" t="str">
            <v>일반</v>
          </cell>
          <cell r="F332" t="str">
            <v>입고완료</v>
          </cell>
          <cell r="G332">
            <v>106019</v>
          </cell>
          <cell r="H332" t="str">
            <v>샘표 진간장(15L_덕용 15Kg/EA)</v>
          </cell>
          <cell r="I332" t="str">
            <v>EA</v>
          </cell>
          <cell r="J332">
            <v>2</v>
          </cell>
          <cell r="K332">
            <v>2</v>
          </cell>
          <cell r="L332">
            <v>20300</v>
          </cell>
          <cell r="M332">
            <v>40600</v>
          </cell>
          <cell r="N332">
            <v>4060</v>
          </cell>
          <cell r="O332">
            <v>44660</v>
          </cell>
          <cell r="P332">
            <v>0</v>
          </cell>
          <cell r="Q332" t="str">
            <v/>
          </cell>
          <cell r="R332" t="str">
            <v>실온</v>
          </cell>
          <cell r="S332" t="str">
            <v>EA(1)</v>
          </cell>
          <cell r="T332" t="str">
            <v/>
          </cell>
          <cell r="U332" t="str">
            <v/>
          </cell>
          <cell r="V332" t="str">
            <v>2019-03-12</v>
          </cell>
          <cell r="W332" t="str">
            <v>2019-03-12 13:57:21</v>
          </cell>
          <cell r="X332" t="str">
            <v>더바른푸드</v>
          </cell>
        </row>
        <row r="333">
          <cell r="A333">
            <v>329</v>
          </cell>
          <cell r="B333" t="str">
            <v>2019-03-13</v>
          </cell>
          <cell r="C333" t="str">
            <v>더바른푸드</v>
          </cell>
          <cell r="D333" t="str">
            <v>더바른푸드</v>
          </cell>
          <cell r="E333" t="str">
            <v>일반</v>
          </cell>
          <cell r="F333" t="str">
            <v>입고완료</v>
          </cell>
          <cell r="G333">
            <v>143791</v>
          </cell>
          <cell r="H333" t="str">
            <v>이츠웰 참기름(NEW_PET_1.8L 1.65Kg/EA)</v>
          </cell>
          <cell r="I333" t="str">
            <v>EA</v>
          </cell>
          <cell r="J333">
            <v>6</v>
          </cell>
          <cell r="K333">
            <v>6</v>
          </cell>
          <cell r="L333">
            <v>14780</v>
          </cell>
          <cell r="M333">
            <v>88680</v>
          </cell>
          <cell r="N333">
            <v>8868</v>
          </cell>
          <cell r="O333">
            <v>97548</v>
          </cell>
          <cell r="P333">
            <v>0</v>
          </cell>
          <cell r="Q333" t="str">
            <v>베트남</v>
          </cell>
          <cell r="R333" t="str">
            <v>실온</v>
          </cell>
          <cell r="S333" t="str">
            <v>EA(6)</v>
          </cell>
          <cell r="T333" t="str">
            <v/>
          </cell>
          <cell r="U333" t="str">
            <v/>
          </cell>
          <cell r="V333" t="str">
            <v>2019-03-12</v>
          </cell>
          <cell r="W333" t="str">
            <v>2019-03-12 13:57:21</v>
          </cell>
          <cell r="X333" t="str">
            <v>더바른푸드</v>
          </cell>
        </row>
        <row r="334">
          <cell r="A334">
            <v>330</v>
          </cell>
          <cell r="B334" t="str">
            <v>2019-03-13</v>
          </cell>
          <cell r="C334" t="str">
            <v>더바른푸드</v>
          </cell>
          <cell r="D334" t="str">
            <v>더바른푸드</v>
          </cell>
          <cell r="E334" t="str">
            <v>일반</v>
          </cell>
          <cell r="F334" t="str">
            <v>입고완료</v>
          </cell>
          <cell r="G334">
            <v>108471</v>
          </cell>
          <cell r="H334" t="str">
            <v>로스팜 햄캔(1.8Kg/EA)</v>
          </cell>
          <cell r="I334" t="str">
            <v>EA</v>
          </cell>
          <cell r="J334">
            <v>19</v>
          </cell>
          <cell r="K334">
            <v>19</v>
          </cell>
          <cell r="L334">
            <v>15140</v>
          </cell>
          <cell r="M334">
            <v>287660</v>
          </cell>
          <cell r="N334">
            <v>28766</v>
          </cell>
          <cell r="O334">
            <v>316426</v>
          </cell>
          <cell r="P334">
            <v>0</v>
          </cell>
          <cell r="Q334" t="str">
            <v>수입산</v>
          </cell>
          <cell r="R334" t="str">
            <v>실온</v>
          </cell>
          <cell r="S334" t="str">
            <v>EA(1)</v>
          </cell>
          <cell r="T334" t="str">
            <v/>
          </cell>
          <cell r="U334" t="str">
            <v/>
          </cell>
          <cell r="V334" t="str">
            <v>2019-03-12</v>
          </cell>
          <cell r="W334" t="str">
            <v>2019-03-12 14:18:53</v>
          </cell>
          <cell r="X334" t="str">
            <v>더바른푸드</v>
          </cell>
        </row>
        <row r="335">
          <cell r="A335">
            <v>331</v>
          </cell>
          <cell r="B335" t="str">
            <v>2019-03-13</v>
          </cell>
          <cell r="C335" t="str">
            <v>더바른푸드</v>
          </cell>
          <cell r="D335" t="str">
            <v>더바른푸드</v>
          </cell>
          <cell r="E335" t="str">
            <v>일반</v>
          </cell>
          <cell r="F335" t="str">
            <v>입고완료</v>
          </cell>
          <cell r="G335">
            <v>196981</v>
          </cell>
          <cell r="H335" t="str">
            <v>쉐프원 깍두기(일반_숙성 10Kg/BOX)</v>
          </cell>
          <cell r="I335" t="str">
            <v>BOX</v>
          </cell>
          <cell r="J335">
            <v>1</v>
          </cell>
          <cell r="K335">
            <v>1</v>
          </cell>
          <cell r="L335">
            <v>28380</v>
          </cell>
          <cell r="M335">
            <v>28380</v>
          </cell>
          <cell r="N335">
            <v>0</v>
          </cell>
          <cell r="O335">
            <v>28380</v>
          </cell>
          <cell r="P335">
            <v>0</v>
          </cell>
          <cell r="Q335" t="str">
            <v/>
          </cell>
          <cell r="R335" t="str">
            <v>냉장</v>
          </cell>
          <cell r="S335" t="str">
            <v>BOX(1)</v>
          </cell>
          <cell r="T335" t="str">
            <v/>
          </cell>
          <cell r="U335" t="str">
            <v/>
          </cell>
          <cell r="V335" t="str">
            <v>2019-03-12</v>
          </cell>
          <cell r="W335" t="str">
            <v>2019-03-12 15:07:14</v>
          </cell>
          <cell r="X335" t="str">
            <v>더바른푸드</v>
          </cell>
        </row>
        <row r="336">
          <cell r="A336">
            <v>332</v>
          </cell>
          <cell r="B336" t="str">
            <v>2019-03-12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</row>
        <row r="337">
          <cell r="A337">
            <v>333</v>
          </cell>
          <cell r="B337" t="str">
            <v>2019-03-12</v>
          </cell>
          <cell r="C337" t="str">
            <v>더바른푸드</v>
          </cell>
          <cell r="D337" t="str">
            <v>더바른푸드</v>
          </cell>
          <cell r="E337" t="str">
            <v>일반</v>
          </cell>
          <cell r="F337" t="str">
            <v>입고완료</v>
          </cell>
          <cell r="G337">
            <v>166041</v>
          </cell>
          <cell r="H337" t="str">
            <v>키짱 흰우유(180ml 180g/EA)</v>
          </cell>
          <cell r="I337" t="str">
            <v>EA</v>
          </cell>
          <cell r="J337">
            <v>205</v>
          </cell>
          <cell r="K337">
            <v>205</v>
          </cell>
          <cell r="L337">
            <v>460</v>
          </cell>
          <cell r="M337">
            <v>94300</v>
          </cell>
          <cell r="N337">
            <v>0</v>
          </cell>
          <cell r="O337">
            <v>94300</v>
          </cell>
          <cell r="P337">
            <v>0</v>
          </cell>
          <cell r="Q337" t="str">
            <v/>
          </cell>
          <cell r="R337" t="str">
            <v>냉장</v>
          </cell>
          <cell r="S337" t="str">
            <v>EA(1)</v>
          </cell>
          <cell r="T337" t="str">
            <v/>
          </cell>
          <cell r="U337" t="str">
            <v>빨대 넉넉히 부탁드립니다.</v>
          </cell>
          <cell r="V337" t="str">
            <v>2019-03-08</v>
          </cell>
          <cell r="W337" t="str">
            <v>2019-03-08 15:15:20</v>
          </cell>
          <cell r="X337" t="str">
            <v>더바른푸드</v>
          </cell>
        </row>
        <row r="338">
          <cell r="A338">
            <v>334</v>
          </cell>
          <cell r="B338" t="str">
            <v>2019-03-12</v>
          </cell>
          <cell r="C338" t="str">
            <v>더바른푸드</v>
          </cell>
          <cell r="D338" t="str">
            <v>더바른푸드</v>
          </cell>
          <cell r="E338" t="str">
            <v>일반</v>
          </cell>
          <cell r="F338" t="str">
            <v>입고완료</v>
          </cell>
          <cell r="G338">
            <v>144756</v>
          </cell>
          <cell r="H338" t="str">
            <v>삼립식품 미니와플(30g*40입 1.2Kg/BOX)</v>
          </cell>
          <cell r="I338" t="str">
            <v>BOX</v>
          </cell>
          <cell r="J338">
            <v>8</v>
          </cell>
          <cell r="K338">
            <v>8</v>
          </cell>
          <cell r="L338">
            <v>9310</v>
          </cell>
          <cell r="M338">
            <v>74480</v>
          </cell>
          <cell r="N338">
            <v>7448</v>
          </cell>
          <cell r="O338">
            <v>81928</v>
          </cell>
          <cell r="P338">
            <v>0</v>
          </cell>
          <cell r="Q338" t="str">
            <v/>
          </cell>
          <cell r="R338" t="str">
            <v>냉동</v>
          </cell>
          <cell r="S338" t="str">
            <v>BOX(1)</v>
          </cell>
          <cell r="T338" t="str">
            <v/>
          </cell>
          <cell r="U338" t="str">
            <v/>
          </cell>
          <cell r="V338" t="str">
            <v>2019-03-08</v>
          </cell>
          <cell r="W338" t="str">
            <v>2019-03-08 15:41:34</v>
          </cell>
          <cell r="X338" t="str">
            <v>더바른푸드</v>
          </cell>
        </row>
        <row r="339">
          <cell r="A339">
            <v>335</v>
          </cell>
          <cell r="B339" t="str">
            <v>2019-03-12</v>
          </cell>
          <cell r="C339" t="str">
            <v>더바른푸드</v>
          </cell>
          <cell r="D339" t="str">
            <v>더바른푸드</v>
          </cell>
          <cell r="E339" t="str">
            <v>일반</v>
          </cell>
          <cell r="F339" t="str">
            <v>입고완료</v>
          </cell>
          <cell r="G339">
            <v>155522</v>
          </cell>
          <cell r="H339" t="str">
            <v>에어로탑 휘핑크림(1L 1Kg/EA)</v>
          </cell>
          <cell r="I339" t="str">
            <v>EA</v>
          </cell>
          <cell r="J339">
            <v>2</v>
          </cell>
          <cell r="K339">
            <v>2</v>
          </cell>
          <cell r="L339">
            <v>4000</v>
          </cell>
          <cell r="M339">
            <v>8000</v>
          </cell>
          <cell r="N339">
            <v>800</v>
          </cell>
          <cell r="O339">
            <v>8800</v>
          </cell>
          <cell r="P339">
            <v>0</v>
          </cell>
          <cell r="Q339" t="str">
            <v/>
          </cell>
          <cell r="R339" t="str">
            <v>냉장</v>
          </cell>
          <cell r="S339" t="str">
            <v>EA(12)</v>
          </cell>
          <cell r="T339" t="str">
            <v/>
          </cell>
          <cell r="U339" t="str">
            <v/>
          </cell>
          <cell r="V339" t="str">
            <v>2019-03-08</v>
          </cell>
          <cell r="W339" t="str">
            <v>2019-03-08 16:21:39</v>
          </cell>
          <cell r="X339" t="str">
            <v>더바른푸드</v>
          </cell>
        </row>
        <row r="340">
          <cell r="A340">
            <v>336</v>
          </cell>
          <cell r="B340" t="str">
            <v>2019-03-12</v>
          </cell>
          <cell r="C340" t="str">
            <v>더바른푸드</v>
          </cell>
          <cell r="D340" t="str">
            <v>더바른푸드</v>
          </cell>
          <cell r="E340" t="str">
            <v>일반</v>
          </cell>
          <cell r="F340" t="str">
            <v>입고완료</v>
          </cell>
          <cell r="G340">
            <v>228629</v>
          </cell>
          <cell r="H340" t="str">
            <v>코다리(내장제거_50~70g/토막 구이용_조림용 KG)</v>
          </cell>
          <cell r="I340" t="str">
            <v>KG</v>
          </cell>
          <cell r="J340">
            <v>3</v>
          </cell>
          <cell r="K340">
            <v>3</v>
          </cell>
          <cell r="L340">
            <v>5010</v>
          </cell>
          <cell r="M340">
            <v>15030</v>
          </cell>
          <cell r="N340">
            <v>0</v>
          </cell>
          <cell r="O340">
            <v>15030</v>
          </cell>
          <cell r="P340">
            <v>0</v>
          </cell>
          <cell r="Q340" t="str">
            <v>러시아</v>
          </cell>
          <cell r="R340" t="str">
            <v>냉동</v>
          </cell>
          <cell r="S340" t="str">
            <v>KG(1)</v>
          </cell>
          <cell r="T340" t="str">
            <v/>
          </cell>
          <cell r="U340" t="str">
            <v/>
          </cell>
          <cell r="V340" t="str">
            <v>2019-03-08</v>
          </cell>
          <cell r="W340" t="str">
            <v>2019-03-08 16:23:17</v>
          </cell>
          <cell r="X340" t="str">
            <v>더바른푸드</v>
          </cell>
        </row>
        <row r="341">
          <cell r="A341">
            <v>337</v>
          </cell>
          <cell r="B341" t="str">
            <v>2019-03-12</v>
          </cell>
          <cell r="C341" t="str">
            <v>더바른푸드</v>
          </cell>
          <cell r="D341" t="str">
            <v>더바른푸드</v>
          </cell>
          <cell r="E341" t="str">
            <v>일반</v>
          </cell>
          <cell r="F341" t="str">
            <v>입고완료</v>
          </cell>
          <cell r="G341">
            <v>159989</v>
          </cell>
          <cell r="H341" t="str">
            <v>이츠웰 한입깐쇼새우(1Kg/EA)</v>
          </cell>
          <cell r="I341" t="str">
            <v>EA</v>
          </cell>
          <cell r="J341">
            <v>71</v>
          </cell>
          <cell r="K341">
            <v>71</v>
          </cell>
          <cell r="L341">
            <v>11080</v>
          </cell>
          <cell r="M341">
            <v>786680</v>
          </cell>
          <cell r="N341">
            <v>78668</v>
          </cell>
          <cell r="O341">
            <v>865348</v>
          </cell>
          <cell r="P341">
            <v>0</v>
          </cell>
          <cell r="Q341" t="str">
            <v>베트남</v>
          </cell>
          <cell r="R341" t="str">
            <v>냉동</v>
          </cell>
          <cell r="S341" t="str">
            <v>EA(10)</v>
          </cell>
          <cell r="T341" t="str">
            <v/>
          </cell>
          <cell r="U341" t="str">
            <v/>
          </cell>
          <cell r="V341" t="str">
            <v>2019-03-08</v>
          </cell>
          <cell r="W341" t="str">
            <v>2019-03-08 16:26:53</v>
          </cell>
          <cell r="X341" t="str">
            <v>더바른푸드</v>
          </cell>
        </row>
        <row r="342">
          <cell r="A342">
            <v>338</v>
          </cell>
          <cell r="B342" t="str">
            <v>2019-03-12</v>
          </cell>
          <cell r="C342" t="str">
            <v>더바른푸드</v>
          </cell>
          <cell r="D342" t="str">
            <v>더바른푸드</v>
          </cell>
          <cell r="E342" t="str">
            <v>일반</v>
          </cell>
          <cell r="F342" t="str">
            <v>입고완료</v>
          </cell>
          <cell r="G342">
            <v>197120</v>
          </cell>
          <cell r="H342" t="str">
            <v>종가집 포기김치(숙성 10Kg/BOX)</v>
          </cell>
          <cell r="I342" t="str">
            <v>BOX</v>
          </cell>
          <cell r="J342">
            <v>5</v>
          </cell>
          <cell r="K342">
            <v>5</v>
          </cell>
          <cell r="L342">
            <v>31390</v>
          </cell>
          <cell r="M342">
            <v>156950</v>
          </cell>
          <cell r="N342">
            <v>0</v>
          </cell>
          <cell r="O342">
            <v>156950</v>
          </cell>
          <cell r="P342">
            <v>0</v>
          </cell>
          <cell r="Q342" t="str">
            <v>한국</v>
          </cell>
          <cell r="R342" t="str">
            <v>냉장</v>
          </cell>
          <cell r="S342" t="str">
            <v>BOX(1)</v>
          </cell>
          <cell r="T342" t="str">
            <v/>
          </cell>
          <cell r="U342" t="str">
            <v/>
          </cell>
          <cell r="V342" t="str">
            <v>2019-03-11</v>
          </cell>
          <cell r="W342" t="str">
            <v>2019-03-11 11:54:53</v>
          </cell>
          <cell r="X342" t="str">
            <v>더바른푸드</v>
          </cell>
        </row>
        <row r="343">
          <cell r="A343">
            <v>339</v>
          </cell>
          <cell r="B343" t="str">
            <v>2019-03-12</v>
          </cell>
          <cell r="C343" t="str">
            <v>더바른푸드</v>
          </cell>
          <cell r="D343" t="str">
            <v>더바른푸드</v>
          </cell>
          <cell r="E343" t="str">
            <v>일반</v>
          </cell>
          <cell r="F343" t="str">
            <v>입고완료</v>
          </cell>
          <cell r="G343">
            <v>502808</v>
          </cell>
          <cell r="H343" t="str">
            <v>이츠웰 종이컵(6.5온스_50입 EA)</v>
          </cell>
          <cell r="I343" t="str">
            <v>BOX</v>
          </cell>
          <cell r="J343">
            <v>1</v>
          </cell>
          <cell r="K343">
            <v>1</v>
          </cell>
          <cell r="L343">
            <v>8400</v>
          </cell>
          <cell r="M343">
            <v>8400</v>
          </cell>
          <cell r="N343">
            <v>840</v>
          </cell>
          <cell r="O343">
            <v>9240</v>
          </cell>
          <cell r="P343">
            <v>0</v>
          </cell>
          <cell r="Q343" t="str">
            <v/>
          </cell>
          <cell r="R343" t="str">
            <v>실온</v>
          </cell>
          <cell r="S343" t="str">
            <v>EA(20)</v>
          </cell>
          <cell r="T343" t="str">
            <v/>
          </cell>
          <cell r="U343" t="str">
            <v/>
          </cell>
          <cell r="V343" t="str">
            <v>2019-03-11</v>
          </cell>
          <cell r="W343" t="str">
            <v>2019-03-11 11:58:36</v>
          </cell>
          <cell r="X343" t="str">
            <v>더바른푸드</v>
          </cell>
        </row>
        <row r="344">
          <cell r="A344">
            <v>340</v>
          </cell>
          <cell r="B344" t="str">
            <v>2019-03-12</v>
          </cell>
          <cell r="C344" t="str">
            <v>더바른푸드</v>
          </cell>
          <cell r="D344" t="str">
            <v>더바른푸드</v>
          </cell>
          <cell r="E344" t="str">
            <v>일반</v>
          </cell>
          <cell r="F344" t="str">
            <v>입고완료</v>
          </cell>
          <cell r="G344">
            <v>111912</v>
          </cell>
          <cell r="H344" t="str">
            <v>이츠웰 찰당면(14Kg/EA)</v>
          </cell>
          <cell r="I344" t="str">
            <v>BOX</v>
          </cell>
          <cell r="J344">
            <v>1</v>
          </cell>
          <cell r="K344">
            <v>1</v>
          </cell>
          <cell r="L344">
            <v>34750</v>
          </cell>
          <cell r="M344">
            <v>34750</v>
          </cell>
          <cell r="N344">
            <v>3475</v>
          </cell>
          <cell r="O344">
            <v>38225</v>
          </cell>
          <cell r="P344">
            <v>0</v>
          </cell>
          <cell r="Q344" t="str">
            <v>중국</v>
          </cell>
          <cell r="R344" t="str">
            <v>실온</v>
          </cell>
          <cell r="S344" t="str">
            <v>EA(1)</v>
          </cell>
          <cell r="T344" t="str">
            <v/>
          </cell>
          <cell r="U344" t="str">
            <v/>
          </cell>
          <cell r="V344" t="str">
            <v>2019-03-11</v>
          </cell>
          <cell r="W344" t="str">
            <v>2019-03-11 13:50:46</v>
          </cell>
          <cell r="X344" t="str">
            <v>더바른푸드</v>
          </cell>
        </row>
        <row r="345">
          <cell r="A345">
            <v>341</v>
          </cell>
          <cell r="B345" t="str">
            <v>2019-03-12</v>
          </cell>
          <cell r="C345" t="str">
            <v>더바른푸드</v>
          </cell>
          <cell r="D345" t="str">
            <v>더바른푸드</v>
          </cell>
          <cell r="E345" t="str">
            <v>일반</v>
          </cell>
          <cell r="F345" t="str">
            <v>입고완료</v>
          </cell>
          <cell r="G345">
            <v>161053</v>
          </cell>
          <cell r="H345" t="str">
            <v>백설 갈색설탕(리뉴얼 3Kg/EA)</v>
          </cell>
          <cell r="I345" t="str">
            <v>EA</v>
          </cell>
          <cell r="J345">
            <v>1</v>
          </cell>
          <cell r="K345">
            <v>1</v>
          </cell>
          <cell r="L345">
            <v>4650</v>
          </cell>
          <cell r="M345">
            <v>4650</v>
          </cell>
          <cell r="N345">
            <v>465</v>
          </cell>
          <cell r="O345">
            <v>5115</v>
          </cell>
          <cell r="P345">
            <v>0</v>
          </cell>
          <cell r="Q345" t="str">
            <v>호주</v>
          </cell>
          <cell r="R345" t="str">
            <v>실온</v>
          </cell>
          <cell r="S345" t="str">
            <v>EA(6)</v>
          </cell>
          <cell r="T345" t="str">
            <v/>
          </cell>
          <cell r="U345" t="str">
            <v/>
          </cell>
          <cell r="V345" t="str">
            <v>2019-03-11</v>
          </cell>
          <cell r="W345" t="str">
            <v>2019-03-11 13:52:30</v>
          </cell>
          <cell r="X345" t="str">
            <v>더바른푸드</v>
          </cell>
        </row>
        <row r="346">
          <cell r="A346">
            <v>342</v>
          </cell>
          <cell r="B346" t="str">
            <v>2019-03-12</v>
          </cell>
          <cell r="C346" t="str">
            <v>더바른푸드</v>
          </cell>
          <cell r="D346" t="str">
            <v>더바른푸드</v>
          </cell>
          <cell r="E346" t="str">
            <v>일반</v>
          </cell>
          <cell r="F346" t="str">
            <v>입고완료</v>
          </cell>
          <cell r="G346">
            <v>271173</v>
          </cell>
          <cell r="H346" t="str">
            <v>백설 흑설탕(1Kg/EA)</v>
          </cell>
          <cell r="I346" t="str">
            <v>EA</v>
          </cell>
          <cell r="J346">
            <v>3</v>
          </cell>
          <cell r="K346">
            <v>3</v>
          </cell>
          <cell r="L346">
            <v>1910</v>
          </cell>
          <cell r="M346">
            <v>5730</v>
          </cell>
          <cell r="N346">
            <v>573</v>
          </cell>
          <cell r="O346">
            <v>6303</v>
          </cell>
          <cell r="P346">
            <v>0</v>
          </cell>
          <cell r="Q346" t="str">
            <v/>
          </cell>
          <cell r="R346" t="str">
            <v>실온</v>
          </cell>
          <cell r="S346" t="str">
            <v>EA(16)</v>
          </cell>
          <cell r="T346" t="str">
            <v/>
          </cell>
          <cell r="U346" t="str">
            <v/>
          </cell>
          <cell r="V346" t="str">
            <v>2019-03-11</v>
          </cell>
          <cell r="W346" t="str">
            <v>2019-03-11 13:52:30</v>
          </cell>
          <cell r="X346" t="str">
            <v>더바른푸드</v>
          </cell>
        </row>
        <row r="347">
          <cell r="A347">
            <v>343</v>
          </cell>
          <cell r="B347" t="str">
            <v>2019-03-12</v>
          </cell>
          <cell r="C347" t="str">
            <v>더바른푸드</v>
          </cell>
          <cell r="D347" t="str">
            <v>더바른푸드</v>
          </cell>
          <cell r="E347" t="str">
            <v>일반</v>
          </cell>
          <cell r="F347" t="str">
            <v>입고완료</v>
          </cell>
          <cell r="G347">
            <v>193090</v>
          </cell>
          <cell r="H347" t="str">
            <v>냉동감자(절단_3~4cm 1Kg/EA)</v>
          </cell>
          <cell r="I347" t="str">
            <v>EA</v>
          </cell>
          <cell r="J347">
            <v>20</v>
          </cell>
          <cell r="K347">
            <v>20</v>
          </cell>
          <cell r="L347">
            <v>2030</v>
          </cell>
          <cell r="M347">
            <v>40600</v>
          </cell>
          <cell r="N347">
            <v>4060</v>
          </cell>
          <cell r="O347">
            <v>44660</v>
          </cell>
          <cell r="P347">
            <v>0</v>
          </cell>
          <cell r="Q347" t="str">
            <v>중국</v>
          </cell>
          <cell r="R347" t="str">
            <v>냉동</v>
          </cell>
          <cell r="S347" t="str">
            <v>EA(1)</v>
          </cell>
          <cell r="T347" t="str">
            <v/>
          </cell>
          <cell r="U347" t="str">
            <v/>
          </cell>
          <cell r="V347" t="str">
            <v>2019-03-11</v>
          </cell>
          <cell r="W347" t="str">
            <v>2019-03-11 13:53:54</v>
          </cell>
          <cell r="X347" t="str">
            <v>더바른푸드</v>
          </cell>
        </row>
        <row r="348">
          <cell r="A348">
            <v>344</v>
          </cell>
          <cell r="B348" t="str">
            <v>2019-03-12</v>
          </cell>
          <cell r="C348" t="str">
            <v>더바른푸드</v>
          </cell>
          <cell r="D348" t="str">
            <v>더바른푸드</v>
          </cell>
          <cell r="E348" t="str">
            <v>일반</v>
          </cell>
          <cell r="F348" t="str">
            <v>입고완료</v>
          </cell>
          <cell r="G348">
            <v>221871</v>
          </cell>
          <cell r="H348" t="str">
            <v>냉동시금치(IQF 1Kg/EA)</v>
          </cell>
          <cell r="I348" t="str">
            <v>EA</v>
          </cell>
          <cell r="J348">
            <v>95</v>
          </cell>
          <cell r="K348">
            <v>94</v>
          </cell>
          <cell r="L348">
            <v>1720</v>
          </cell>
          <cell r="M348">
            <v>163400</v>
          </cell>
          <cell r="N348">
            <v>16340</v>
          </cell>
          <cell r="O348">
            <v>179740</v>
          </cell>
          <cell r="P348">
            <v>0</v>
          </cell>
          <cell r="Q348" t="str">
            <v>중국</v>
          </cell>
          <cell r="R348" t="str">
            <v>냉동</v>
          </cell>
          <cell r="S348" t="str">
            <v>EA(1)</v>
          </cell>
          <cell r="T348" t="str">
            <v/>
          </cell>
          <cell r="U348" t="str">
            <v/>
          </cell>
          <cell r="V348" t="str">
            <v>2019-03-11</v>
          </cell>
          <cell r="W348" t="str">
            <v>2019-03-11 14:37:46</v>
          </cell>
          <cell r="X348" t="str">
            <v>더바른푸드</v>
          </cell>
        </row>
        <row r="349">
          <cell r="A349">
            <v>345</v>
          </cell>
          <cell r="B349" t="str">
            <v>2019-03-12</v>
          </cell>
          <cell r="C349" t="str">
            <v>더바른푸드</v>
          </cell>
          <cell r="D349" t="str">
            <v>더바른푸드</v>
          </cell>
          <cell r="E349" t="str">
            <v>일반</v>
          </cell>
          <cell r="F349" t="str">
            <v>입고완료</v>
          </cell>
          <cell r="G349">
            <v>205125</v>
          </cell>
          <cell r="H349" t="str">
            <v>백태(일반 1Kg/PAC)</v>
          </cell>
          <cell r="I349" t="str">
            <v>PAC</v>
          </cell>
          <cell r="J349">
            <v>1</v>
          </cell>
          <cell r="K349">
            <v>1</v>
          </cell>
          <cell r="L349">
            <v>7640</v>
          </cell>
          <cell r="M349">
            <v>7640</v>
          </cell>
          <cell r="N349">
            <v>0</v>
          </cell>
          <cell r="O349">
            <v>7640</v>
          </cell>
          <cell r="P349">
            <v>0</v>
          </cell>
          <cell r="Q349" t="str">
            <v>한국</v>
          </cell>
          <cell r="R349" t="str">
            <v>실온</v>
          </cell>
          <cell r="S349" t="str">
            <v>PAC(1)</v>
          </cell>
          <cell r="T349" t="str">
            <v/>
          </cell>
          <cell r="U349" t="str">
            <v/>
          </cell>
          <cell r="V349" t="str">
            <v>2019-03-11</v>
          </cell>
          <cell r="W349" t="str">
            <v>2019-03-11 14:44:35</v>
          </cell>
          <cell r="X349" t="str">
            <v>더바른푸드</v>
          </cell>
        </row>
        <row r="350">
          <cell r="A350">
            <v>346</v>
          </cell>
          <cell r="B350" t="str">
            <v>2019-03-11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</row>
        <row r="351">
          <cell r="A351">
            <v>347</v>
          </cell>
          <cell r="B351" t="str">
            <v>2019-03-11</v>
          </cell>
          <cell r="C351" t="str">
            <v>더바른푸드</v>
          </cell>
          <cell r="D351" t="str">
            <v>더바른푸드</v>
          </cell>
          <cell r="E351" t="str">
            <v>일반</v>
          </cell>
          <cell r="F351" t="str">
            <v>입고완료</v>
          </cell>
          <cell r="G351">
            <v>196981</v>
          </cell>
          <cell r="H351" t="str">
            <v>쉐프원 깍두기(일반_숙성 10Kg/BOX)</v>
          </cell>
          <cell r="I351" t="str">
            <v>BOX</v>
          </cell>
          <cell r="J351">
            <v>1</v>
          </cell>
          <cell r="K351">
            <v>1</v>
          </cell>
          <cell r="L351">
            <v>28380</v>
          </cell>
          <cell r="M351">
            <v>28380</v>
          </cell>
          <cell r="N351">
            <v>0</v>
          </cell>
          <cell r="O351">
            <v>28380</v>
          </cell>
          <cell r="P351">
            <v>0</v>
          </cell>
          <cell r="Q351" t="str">
            <v/>
          </cell>
          <cell r="R351" t="str">
            <v>냉장</v>
          </cell>
          <cell r="S351" t="str">
            <v>BOX(1)</v>
          </cell>
          <cell r="T351" t="str">
            <v/>
          </cell>
          <cell r="U351" t="str">
            <v/>
          </cell>
          <cell r="V351" t="str">
            <v>2019-03-06</v>
          </cell>
          <cell r="W351" t="str">
            <v>2019-03-06 15:35:23</v>
          </cell>
          <cell r="X351" t="str">
            <v>더바른푸드</v>
          </cell>
        </row>
        <row r="352">
          <cell r="A352">
            <v>348</v>
          </cell>
          <cell r="B352" t="str">
            <v>2019-03-11</v>
          </cell>
          <cell r="C352" t="str">
            <v>더바른푸드</v>
          </cell>
          <cell r="D352" t="str">
            <v>더바른푸드</v>
          </cell>
          <cell r="E352" t="str">
            <v>일반</v>
          </cell>
          <cell r="F352" t="str">
            <v>입고완료</v>
          </cell>
          <cell r="G352">
            <v>193090</v>
          </cell>
          <cell r="H352" t="str">
            <v>냉동감자(절단_3~4cm 1Kg/EA)</v>
          </cell>
          <cell r="I352" t="str">
            <v>EA</v>
          </cell>
          <cell r="J352">
            <v>40</v>
          </cell>
          <cell r="K352">
            <v>40</v>
          </cell>
          <cell r="L352">
            <v>2030</v>
          </cell>
          <cell r="M352">
            <v>81200</v>
          </cell>
          <cell r="N352">
            <v>8120</v>
          </cell>
          <cell r="O352">
            <v>89320</v>
          </cell>
          <cell r="P352">
            <v>0</v>
          </cell>
          <cell r="Q352" t="str">
            <v>중국</v>
          </cell>
          <cell r="R352" t="str">
            <v>냉동</v>
          </cell>
          <cell r="S352" t="str">
            <v>EA(1)</v>
          </cell>
          <cell r="T352" t="str">
            <v/>
          </cell>
          <cell r="U352" t="str">
            <v/>
          </cell>
          <cell r="V352" t="str">
            <v>2019-03-07</v>
          </cell>
          <cell r="W352" t="str">
            <v>2019-03-07 15:09:05</v>
          </cell>
          <cell r="X352" t="str">
            <v>더바른푸드</v>
          </cell>
        </row>
        <row r="353">
          <cell r="A353">
            <v>349</v>
          </cell>
          <cell r="B353" t="str">
            <v>2019-03-11</v>
          </cell>
          <cell r="C353" t="str">
            <v>더바른푸드</v>
          </cell>
          <cell r="D353" t="str">
            <v>더바른푸드</v>
          </cell>
          <cell r="E353" t="str">
            <v>일반</v>
          </cell>
          <cell r="F353" t="str">
            <v>입고완료</v>
          </cell>
          <cell r="G353">
            <v>113128</v>
          </cell>
          <cell r="H353" t="str">
            <v>천일식품 미니돈까스(1Kg/EA)</v>
          </cell>
          <cell r="I353" t="str">
            <v>EA</v>
          </cell>
          <cell r="J353">
            <v>45</v>
          </cell>
          <cell r="K353">
            <v>45</v>
          </cell>
          <cell r="L353">
            <v>4860</v>
          </cell>
          <cell r="M353">
            <v>218700</v>
          </cell>
          <cell r="N353">
            <v>21870</v>
          </cell>
          <cell r="O353">
            <v>240570</v>
          </cell>
          <cell r="P353">
            <v>0</v>
          </cell>
          <cell r="Q353" t="str">
            <v/>
          </cell>
          <cell r="R353" t="str">
            <v>냉동</v>
          </cell>
          <cell r="S353" t="str">
            <v>EA(10)</v>
          </cell>
          <cell r="T353" t="str">
            <v/>
          </cell>
          <cell r="U353" t="str">
            <v/>
          </cell>
          <cell r="V353" t="str">
            <v>2019-03-07</v>
          </cell>
          <cell r="W353" t="str">
            <v>2019-03-07 15:13:14</v>
          </cell>
          <cell r="X353" t="str">
            <v>더바른푸드</v>
          </cell>
        </row>
        <row r="354">
          <cell r="A354">
            <v>350</v>
          </cell>
          <cell r="B354" t="str">
            <v>2019-03-11</v>
          </cell>
          <cell r="C354" t="str">
            <v>더바른푸드</v>
          </cell>
          <cell r="D354" t="str">
            <v>더바른푸드</v>
          </cell>
          <cell r="E354" t="str">
            <v>일반</v>
          </cell>
          <cell r="F354" t="str">
            <v>입고완료</v>
          </cell>
          <cell r="G354">
            <v>223307</v>
          </cell>
          <cell r="H354" t="str">
            <v>냉동얼갈이(IQF 1Kg/EA)</v>
          </cell>
          <cell r="I354" t="str">
            <v>EA</v>
          </cell>
          <cell r="J354">
            <v>30</v>
          </cell>
          <cell r="K354">
            <v>30</v>
          </cell>
          <cell r="L354">
            <v>1660</v>
          </cell>
          <cell r="M354">
            <v>49800</v>
          </cell>
          <cell r="N354">
            <v>4980</v>
          </cell>
          <cell r="O354">
            <v>54780</v>
          </cell>
          <cell r="P354">
            <v>0</v>
          </cell>
          <cell r="Q354" t="str">
            <v>중국</v>
          </cell>
          <cell r="R354" t="str">
            <v>냉동</v>
          </cell>
          <cell r="S354" t="str">
            <v>EA(1)</v>
          </cell>
          <cell r="T354" t="str">
            <v/>
          </cell>
          <cell r="U354" t="str">
            <v/>
          </cell>
          <cell r="V354" t="str">
            <v>2019-03-07</v>
          </cell>
          <cell r="W354" t="str">
            <v>2019-03-07 15:37:18</v>
          </cell>
          <cell r="X354" t="str">
            <v>더바른푸드</v>
          </cell>
        </row>
        <row r="355">
          <cell r="A355">
            <v>351</v>
          </cell>
          <cell r="B355" t="str">
            <v>2019-03-11</v>
          </cell>
          <cell r="C355" t="str">
            <v>더바른푸드</v>
          </cell>
          <cell r="D355" t="str">
            <v>더바른푸드</v>
          </cell>
          <cell r="E355" t="str">
            <v>일반</v>
          </cell>
          <cell r="F355" t="str">
            <v>입고완료</v>
          </cell>
          <cell r="G355">
            <v>136633</v>
          </cell>
          <cell r="H355" t="str">
            <v>이오 요구르트(80ml_유기농 80g/EA)</v>
          </cell>
          <cell r="I355" t="str">
            <v>EA</v>
          </cell>
          <cell r="J355">
            <v>143</v>
          </cell>
          <cell r="K355">
            <v>143</v>
          </cell>
          <cell r="L355">
            <v>300</v>
          </cell>
          <cell r="M355">
            <v>42900</v>
          </cell>
          <cell r="N355">
            <v>4290</v>
          </cell>
          <cell r="O355">
            <v>47190</v>
          </cell>
          <cell r="P355">
            <v>0</v>
          </cell>
          <cell r="Q355" t="str">
            <v>한국</v>
          </cell>
          <cell r="R355" t="str">
            <v>냉장</v>
          </cell>
          <cell r="S355" t="str">
            <v>EA(50)</v>
          </cell>
          <cell r="T355" t="str">
            <v/>
          </cell>
          <cell r="U355" t="str">
            <v>빨대 넉넉히 부탁드립니다.</v>
          </cell>
          <cell r="V355" t="str">
            <v>2019-03-08</v>
          </cell>
          <cell r="W355" t="str">
            <v>2019-03-08 14:44:29</v>
          </cell>
          <cell r="X355" t="str">
            <v>더바른푸드</v>
          </cell>
        </row>
        <row r="356">
          <cell r="A356">
            <v>352</v>
          </cell>
          <cell r="B356" t="str">
            <v>2019-03-11</v>
          </cell>
          <cell r="C356" t="str">
            <v>더바른푸드</v>
          </cell>
          <cell r="D356" t="str">
            <v>더바른푸드</v>
          </cell>
          <cell r="E356" t="str">
            <v>일반</v>
          </cell>
          <cell r="F356" t="str">
            <v>입고완료</v>
          </cell>
          <cell r="G356">
            <v>160244</v>
          </cell>
          <cell r="H356" t="str">
            <v>비피더스 떠먹는요구르트(복숭아 83g/EA)</v>
          </cell>
          <cell r="I356" t="str">
            <v>EA</v>
          </cell>
          <cell r="J356">
            <v>24</v>
          </cell>
          <cell r="K356">
            <v>24</v>
          </cell>
          <cell r="L356">
            <v>300</v>
          </cell>
          <cell r="M356">
            <v>7200</v>
          </cell>
          <cell r="N356">
            <v>720</v>
          </cell>
          <cell r="O356">
            <v>7920</v>
          </cell>
          <cell r="P356">
            <v>0</v>
          </cell>
          <cell r="Q356" t="str">
            <v>한국</v>
          </cell>
          <cell r="R356" t="str">
            <v>냉장</v>
          </cell>
          <cell r="S356" t="str">
            <v>EA(1)</v>
          </cell>
          <cell r="T356" t="str">
            <v/>
          </cell>
          <cell r="U356" t="str">
            <v>스푼 부탁드립니다.</v>
          </cell>
          <cell r="V356" t="str">
            <v>2019-03-08</v>
          </cell>
          <cell r="W356" t="str">
            <v>2019-03-08 14:44:29</v>
          </cell>
          <cell r="X356" t="str">
            <v>더바른푸드</v>
          </cell>
        </row>
        <row r="357">
          <cell r="A357">
            <v>353</v>
          </cell>
          <cell r="B357" t="str">
            <v>2019-03-11</v>
          </cell>
          <cell r="C357" t="str">
            <v>더바른푸드</v>
          </cell>
          <cell r="D357" t="str">
            <v>더바른푸드</v>
          </cell>
          <cell r="E357" t="str">
            <v>일반</v>
          </cell>
          <cell r="F357" t="str">
            <v>입고완료</v>
          </cell>
          <cell r="G357">
            <v>237791</v>
          </cell>
          <cell r="H357" t="str">
            <v>종로복떡방 백설기(찜용 1Kg/EA)</v>
          </cell>
          <cell r="I357" t="str">
            <v>EA</v>
          </cell>
          <cell r="J357">
            <v>1</v>
          </cell>
          <cell r="K357">
            <v>1</v>
          </cell>
          <cell r="L357">
            <v>8130</v>
          </cell>
          <cell r="M357">
            <v>8130</v>
          </cell>
          <cell r="N357">
            <v>813</v>
          </cell>
          <cell r="O357">
            <v>8943</v>
          </cell>
          <cell r="P357">
            <v>0</v>
          </cell>
          <cell r="Q357" t="str">
            <v/>
          </cell>
          <cell r="R357" t="str">
            <v>냉동</v>
          </cell>
          <cell r="S357" t="str">
            <v>EA(1)</v>
          </cell>
          <cell r="T357" t="str">
            <v/>
          </cell>
          <cell r="U357" t="str">
            <v/>
          </cell>
          <cell r="V357" t="str">
            <v>2019-03-08</v>
          </cell>
          <cell r="W357" t="str">
            <v>2019-03-08 15:37:05</v>
          </cell>
          <cell r="X357" t="str">
            <v>더바른푸드</v>
          </cell>
        </row>
        <row r="358">
          <cell r="A358">
            <v>354</v>
          </cell>
          <cell r="B358" t="str">
            <v>2019-03-11</v>
          </cell>
          <cell r="C358" t="str">
            <v>더바른푸드</v>
          </cell>
          <cell r="D358" t="str">
            <v>더바른푸드</v>
          </cell>
          <cell r="E358" t="str">
            <v>일반</v>
          </cell>
          <cell r="F358" t="str">
            <v>입고완료</v>
          </cell>
          <cell r="G358">
            <v>159125</v>
          </cell>
          <cell r="H358" t="str">
            <v>건강마을 플리또주스(100ml_유기농_오렌지 100g/EA)</v>
          </cell>
          <cell r="I358" t="str">
            <v>BOX</v>
          </cell>
          <cell r="J358">
            <v>5</v>
          </cell>
          <cell r="K358">
            <v>5</v>
          </cell>
          <cell r="L358">
            <v>17600</v>
          </cell>
          <cell r="M358">
            <v>88000</v>
          </cell>
          <cell r="N358">
            <v>8800</v>
          </cell>
          <cell r="O358">
            <v>96800</v>
          </cell>
          <cell r="P358">
            <v>0</v>
          </cell>
          <cell r="Q358" t="str">
            <v/>
          </cell>
          <cell r="R358" t="str">
            <v>실온</v>
          </cell>
          <cell r="S358" t="str">
            <v>EA(40)</v>
          </cell>
          <cell r="T358" t="str">
            <v/>
          </cell>
          <cell r="U358" t="str">
            <v/>
          </cell>
          <cell r="V358" t="str">
            <v>2019-03-08</v>
          </cell>
          <cell r="W358" t="str">
            <v>2019-03-08 15:50:37</v>
          </cell>
          <cell r="X358" t="str">
            <v>더바른푸드</v>
          </cell>
        </row>
        <row r="359">
          <cell r="A359">
            <v>355</v>
          </cell>
          <cell r="B359" t="str">
            <v>2019-03-11</v>
          </cell>
          <cell r="C359" t="str">
            <v>더바른푸드</v>
          </cell>
          <cell r="D359" t="str">
            <v>더바른푸드</v>
          </cell>
          <cell r="E359" t="str">
            <v>일반</v>
          </cell>
          <cell r="F359" t="str">
            <v>입고완료</v>
          </cell>
          <cell r="G359">
            <v>168257</v>
          </cell>
          <cell r="H359" t="str">
            <v>명품 판두부(찌개용 3Kg/EA)</v>
          </cell>
          <cell r="I359" t="str">
            <v>EA</v>
          </cell>
          <cell r="J359">
            <v>2</v>
          </cell>
          <cell r="K359">
            <v>2</v>
          </cell>
          <cell r="L359">
            <v>4000</v>
          </cell>
          <cell r="M359">
            <v>8000</v>
          </cell>
          <cell r="N359">
            <v>0</v>
          </cell>
          <cell r="O359">
            <v>8000</v>
          </cell>
          <cell r="P359">
            <v>0</v>
          </cell>
          <cell r="Q359" t="str">
            <v>수입산</v>
          </cell>
          <cell r="R359" t="str">
            <v>냉장</v>
          </cell>
          <cell r="S359" t="str">
            <v>EA(1)</v>
          </cell>
          <cell r="T359" t="str">
            <v/>
          </cell>
          <cell r="U359" t="str">
            <v/>
          </cell>
          <cell r="V359" t="str">
            <v>2019-03-08</v>
          </cell>
          <cell r="W359" t="str">
            <v>2019-03-08 16:16:21</v>
          </cell>
          <cell r="X359" t="str">
            <v>더바른푸드</v>
          </cell>
        </row>
        <row r="360">
          <cell r="A360">
            <v>356</v>
          </cell>
          <cell r="B360" t="str">
            <v>2019-03-11</v>
          </cell>
          <cell r="C360" t="str">
            <v>더바른푸드</v>
          </cell>
          <cell r="D360" t="str">
            <v>더바른푸드</v>
          </cell>
          <cell r="E360" t="str">
            <v>일반</v>
          </cell>
          <cell r="F360" t="str">
            <v>입고완료</v>
          </cell>
          <cell r="G360">
            <v>198029</v>
          </cell>
          <cell r="H360" t="str">
            <v>농촌 맛김치(일배용 10Kg/BOX)</v>
          </cell>
          <cell r="I360" t="str">
            <v>BOX</v>
          </cell>
          <cell r="J360">
            <v>2</v>
          </cell>
          <cell r="K360">
            <v>2</v>
          </cell>
          <cell r="L360">
            <v>10510</v>
          </cell>
          <cell r="M360">
            <v>21020</v>
          </cell>
          <cell r="N360">
            <v>0</v>
          </cell>
          <cell r="O360">
            <v>21020</v>
          </cell>
          <cell r="P360">
            <v>0</v>
          </cell>
          <cell r="Q360" t="str">
            <v>중국</v>
          </cell>
          <cell r="R360" t="str">
            <v>냉장</v>
          </cell>
          <cell r="S360" t="str">
            <v>BOX(1)</v>
          </cell>
          <cell r="T360" t="str">
            <v/>
          </cell>
          <cell r="U360" t="str">
            <v/>
          </cell>
          <cell r="V360" t="str">
            <v>2019-03-08</v>
          </cell>
          <cell r="W360" t="str">
            <v>2019-03-08 16:16:59</v>
          </cell>
          <cell r="X360" t="str">
            <v>더바른푸드</v>
          </cell>
        </row>
        <row r="361">
          <cell r="A361">
            <v>357</v>
          </cell>
          <cell r="B361" t="str">
            <v>2019-03-11</v>
          </cell>
          <cell r="C361" t="str">
            <v>더바른푸드</v>
          </cell>
          <cell r="D361" t="str">
            <v>더바른푸드</v>
          </cell>
          <cell r="E361" t="str">
            <v>일반</v>
          </cell>
          <cell r="F361" t="str">
            <v>입고완료</v>
          </cell>
          <cell r="G361">
            <v>204973</v>
          </cell>
          <cell r="H361" t="str">
            <v>냉동대파(1Kg/PAC)</v>
          </cell>
          <cell r="I361" t="str">
            <v>PAC</v>
          </cell>
          <cell r="J361">
            <v>15</v>
          </cell>
          <cell r="K361">
            <v>15</v>
          </cell>
          <cell r="L361">
            <v>1400</v>
          </cell>
          <cell r="M361">
            <v>21000</v>
          </cell>
          <cell r="N361">
            <v>0</v>
          </cell>
          <cell r="O361">
            <v>21000</v>
          </cell>
          <cell r="P361">
            <v>0</v>
          </cell>
          <cell r="Q361" t="str">
            <v>중국</v>
          </cell>
          <cell r="R361" t="str">
            <v>냉동</v>
          </cell>
          <cell r="S361" t="str">
            <v>PAC(1)</v>
          </cell>
          <cell r="T361" t="str">
            <v/>
          </cell>
          <cell r="U361" t="str">
            <v/>
          </cell>
          <cell r="V361" t="str">
            <v>2019-03-08</v>
          </cell>
          <cell r="W361" t="str">
            <v>2019-03-08 16:17:26</v>
          </cell>
          <cell r="X361" t="str">
            <v>더바른푸드</v>
          </cell>
        </row>
        <row r="362">
          <cell r="A362">
            <v>358</v>
          </cell>
          <cell r="B362" t="str">
            <v>2019-03-11</v>
          </cell>
          <cell r="C362" t="str">
            <v>더바른푸드</v>
          </cell>
          <cell r="D362" t="str">
            <v>더바른푸드</v>
          </cell>
          <cell r="E362" t="str">
            <v>일반</v>
          </cell>
          <cell r="F362" t="str">
            <v>입고완료</v>
          </cell>
          <cell r="G362">
            <v>247931</v>
          </cell>
          <cell r="H362" t="str">
            <v>마당발 냉동다진마늘(1Kg/EA)</v>
          </cell>
          <cell r="I362" t="str">
            <v>EA</v>
          </cell>
          <cell r="J362">
            <v>10</v>
          </cell>
          <cell r="K362">
            <v>10</v>
          </cell>
          <cell r="L362">
            <v>2410</v>
          </cell>
          <cell r="M362">
            <v>24100</v>
          </cell>
          <cell r="N362">
            <v>0</v>
          </cell>
          <cell r="O362">
            <v>24100</v>
          </cell>
          <cell r="P362">
            <v>0</v>
          </cell>
          <cell r="Q362" t="str">
            <v>중국</v>
          </cell>
          <cell r="R362" t="str">
            <v>냉동</v>
          </cell>
          <cell r="S362" t="str">
            <v>EA(10)</v>
          </cell>
          <cell r="T362" t="str">
            <v/>
          </cell>
          <cell r="U362" t="str">
            <v/>
          </cell>
          <cell r="V362" t="str">
            <v>2019-03-08</v>
          </cell>
          <cell r="W362" t="str">
            <v>2019-03-08 16:17:26</v>
          </cell>
          <cell r="X362" t="str">
            <v>더바른푸드</v>
          </cell>
        </row>
        <row r="363">
          <cell r="A363">
            <v>359</v>
          </cell>
          <cell r="B363" t="str">
            <v>2019-03-09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A364">
            <v>360</v>
          </cell>
          <cell r="B364" t="str">
            <v>2019-03-09</v>
          </cell>
          <cell r="C364" t="str">
            <v>더바른푸드</v>
          </cell>
          <cell r="D364" t="str">
            <v>더바른푸드</v>
          </cell>
          <cell r="E364" t="str">
            <v>일반</v>
          </cell>
          <cell r="F364" t="str">
            <v>입고완료</v>
          </cell>
          <cell r="G364">
            <v>414923</v>
          </cell>
          <cell r="H364" t="str">
            <v>체리부로 닭다리살(1등급 깍둑썰기_껍질있음 KG)</v>
          </cell>
          <cell r="I364" t="str">
            <v>KG</v>
          </cell>
          <cell r="J364">
            <v>10</v>
          </cell>
          <cell r="K364">
            <v>10</v>
          </cell>
          <cell r="L364">
            <v>9080</v>
          </cell>
          <cell r="M364">
            <v>90800</v>
          </cell>
          <cell r="N364">
            <v>0</v>
          </cell>
          <cell r="O364">
            <v>90800</v>
          </cell>
          <cell r="P364">
            <v>0</v>
          </cell>
          <cell r="Q364" t="str">
            <v>한국</v>
          </cell>
          <cell r="R364" t="str">
            <v>냉장</v>
          </cell>
          <cell r="S364" t="str">
            <v>KG(1)</v>
          </cell>
          <cell r="T364" t="str">
            <v/>
          </cell>
          <cell r="U364" t="str">
            <v/>
          </cell>
          <cell r="V364" t="str">
            <v>2019-03-07</v>
          </cell>
          <cell r="W364" t="str">
            <v>2019-03-07 14:59:38</v>
          </cell>
          <cell r="X364" t="str">
            <v>더바른푸드</v>
          </cell>
        </row>
        <row r="365">
          <cell r="A365">
            <v>361</v>
          </cell>
          <cell r="B365" t="str">
            <v>2019-03-09</v>
          </cell>
          <cell r="C365" t="str">
            <v>더바른푸드</v>
          </cell>
          <cell r="D365" t="str">
            <v>더바른푸드</v>
          </cell>
          <cell r="E365" t="str">
            <v>일반</v>
          </cell>
          <cell r="F365" t="str">
            <v>입고완료</v>
          </cell>
          <cell r="G365">
            <v>175339</v>
          </cell>
          <cell r="H365" t="str">
            <v>이츠웰 프리미엄건강한닭가슴살(1등급 무항생_깍둑썰기_껍질있음 1Kg/EA)</v>
          </cell>
          <cell r="I365" t="str">
            <v>EA</v>
          </cell>
          <cell r="J365">
            <v>25</v>
          </cell>
          <cell r="K365">
            <v>25</v>
          </cell>
          <cell r="L365">
            <v>6000</v>
          </cell>
          <cell r="M365">
            <v>150000</v>
          </cell>
          <cell r="N365">
            <v>0</v>
          </cell>
          <cell r="O365">
            <v>150000</v>
          </cell>
          <cell r="P365">
            <v>150000</v>
          </cell>
          <cell r="Q365" t="str">
            <v>한국</v>
          </cell>
          <cell r="R365" t="str">
            <v>냉장</v>
          </cell>
          <cell r="S365" t="str">
            <v>EA(1)</v>
          </cell>
          <cell r="T365" t="str">
            <v/>
          </cell>
          <cell r="U365" t="str">
            <v/>
          </cell>
          <cell r="V365" t="str">
            <v>2019-03-07</v>
          </cell>
          <cell r="W365" t="str">
            <v>2019-03-07 14:59:38</v>
          </cell>
          <cell r="X365" t="str">
            <v>더바른푸드</v>
          </cell>
        </row>
        <row r="366">
          <cell r="A366">
            <v>362</v>
          </cell>
          <cell r="B366" t="str">
            <v>2019-03-09</v>
          </cell>
          <cell r="C366" t="str">
            <v>더바른푸드</v>
          </cell>
          <cell r="D366" t="str">
            <v>더바른푸드</v>
          </cell>
          <cell r="E366" t="str">
            <v>일반</v>
          </cell>
          <cell r="F366" t="str">
            <v>입고완료</v>
          </cell>
          <cell r="G366">
            <v>410393</v>
          </cell>
          <cell r="H366" t="str">
            <v>체리부로 닭안심(무항생_깍둑썰기 KG)</v>
          </cell>
          <cell r="I366" t="str">
            <v>KG</v>
          </cell>
          <cell r="J366">
            <v>25</v>
          </cell>
          <cell r="K366">
            <v>25</v>
          </cell>
          <cell r="L366">
            <v>6610</v>
          </cell>
          <cell r="M366">
            <v>165250</v>
          </cell>
          <cell r="N366">
            <v>0</v>
          </cell>
          <cell r="O366">
            <v>165250</v>
          </cell>
          <cell r="P366">
            <v>165250</v>
          </cell>
          <cell r="Q366" t="str">
            <v>한국</v>
          </cell>
          <cell r="R366" t="str">
            <v>냉장</v>
          </cell>
          <cell r="S366" t="str">
            <v>KG(1)</v>
          </cell>
          <cell r="T366" t="str">
            <v/>
          </cell>
          <cell r="U366" t="str">
            <v/>
          </cell>
          <cell r="V366" t="str">
            <v>2019-03-07</v>
          </cell>
          <cell r="W366" t="str">
            <v>2019-03-07 14:59:38</v>
          </cell>
          <cell r="X366" t="str">
            <v>더바른푸드</v>
          </cell>
        </row>
        <row r="367">
          <cell r="A367">
            <v>363</v>
          </cell>
          <cell r="B367" t="str">
            <v>2019-03-09</v>
          </cell>
          <cell r="C367" t="str">
            <v>더바른푸드</v>
          </cell>
          <cell r="D367" t="str">
            <v>더바른푸드</v>
          </cell>
          <cell r="E367" t="str">
            <v>일반</v>
          </cell>
          <cell r="F367" t="str">
            <v>입고완료</v>
          </cell>
          <cell r="G367">
            <v>201195</v>
          </cell>
          <cell r="H367" t="str">
            <v>깐연근(통 KG)</v>
          </cell>
          <cell r="I367" t="str">
            <v>KG</v>
          </cell>
          <cell r="J367">
            <v>2</v>
          </cell>
          <cell r="K367">
            <v>2</v>
          </cell>
          <cell r="L367">
            <v>7120</v>
          </cell>
          <cell r="M367">
            <v>14240</v>
          </cell>
          <cell r="N367">
            <v>0</v>
          </cell>
          <cell r="O367">
            <v>14240</v>
          </cell>
          <cell r="P367">
            <v>0</v>
          </cell>
          <cell r="Q367" t="str">
            <v>한국</v>
          </cell>
          <cell r="R367" t="str">
            <v>냉장</v>
          </cell>
          <cell r="S367" t="str">
            <v>KG(1)</v>
          </cell>
          <cell r="T367" t="str">
            <v/>
          </cell>
          <cell r="U367" t="str">
            <v/>
          </cell>
          <cell r="V367" t="str">
            <v>2019-03-07</v>
          </cell>
          <cell r="W367" t="str">
            <v>2019-03-07 15:25:12</v>
          </cell>
          <cell r="X367" t="str">
            <v>더바른푸드</v>
          </cell>
        </row>
        <row r="368">
          <cell r="A368">
            <v>364</v>
          </cell>
          <cell r="B368" t="str">
            <v>2019-03-08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A369">
            <v>365</v>
          </cell>
          <cell r="B369" t="str">
            <v>2019-03-08</v>
          </cell>
          <cell r="C369" t="str">
            <v>더바른푸드</v>
          </cell>
          <cell r="D369" t="str">
            <v>더바른푸드</v>
          </cell>
          <cell r="E369" t="str">
            <v>일반</v>
          </cell>
          <cell r="F369" t="str">
            <v>입고완료</v>
          </cell>
          <cell r="G369">
            <v>269671</v>
          </cell>
          <cell r="H369" t="str">
            <v>이츠웰 우리밀허니버터카스테라(개별포장_35g*30입 1.05Kg/BOX)</v>
          </cell>
          <cell r="I369" t="str">
            <v>BOX</v>
          </cell>
          <cell r="J369">
            <v>11</v>
          </cell>
          <cell r="K369">
            <v>11</v>
          </cell>
          <cell r="L369">
            <v>12810</v>
          </cell>
          <cell r="M369">
            <v>140910</v>
          </cell>
          <cell r="N369">
            <v>14091</v>
          </cell>
          <cell r="O369">
            <v>155001</v>
          </cell>
          <cell r="P369">
            <v>0</v>
          </cell>
          <cell r="Q369" t="str">
            <v/>
          </cell>
          <cell r="R369" t="str">
            <v>냉동</v>
          </cell>
          <cell r="S369" t="str">
            <v>BOX(1)</v>
          </cell>
          <cell r="T369" t="str">
            <v/>
          </cell>
          <cell r="U369" t="str">
            <v/>
          </cell>
          <cell r="V369" t="str">
            <v>2019-03-05</v>
          </cell>
          <cell r="W369" t="str">
            <v>2019-03-05 13:35:37</v>
          </cell>
          <cell r="X369" t="str">
            <v>더바른푸드</v>
          </cell>
        </row>
        <row r="370">
          <cell r="A370">
            <v>366</v>
          </cell>
          <cell r="B370" t="str">
            <v>2019-03-08</v>
          </cell>
          <cell r="C370" t="str">
            <v>더바른푸드</v>
          </cell>
          <cell r="D370" t="str">
            <v>더바른푸드</v>
          </cell>
          <cell r="E370" t="str">
            <v>일반</v>
          </cell>
          <cell r="F370" t="str">
            <v>입고완료</v>
          </cell>
          <cell r="G370">
            <v>166111</v>
          </cell>
          <cell r="H370" t="str">
            <v>종로복떡방 방울증편(40개입 찜용 1Kg/EA)</v>
          </cell>
          <cell r="I370" t="str">
            <v>EA</v>
          </cell>
          <cell r="J370">
            <v>1</v>
          </cell>
          <cell r="K370">
            <v>1</v>
          </cell>
          <cell r="L370">
            <v>10800</v>
          </cell>
          <cell r="M370">
            <v>10800</v>
          </cell>
          <cell r="N370">
            <v>1080</v>
          </cell>
          <cell r="O370">
            <v>11880</v>
          </cell>
          <cell r="P370">
            <v>0</v>
          </cell>
          <cell r="Q370" t="str">
            <v/>
          </cell>
          <cell r="R370" t="str">
            <v>냉동</v>
          </cell>
          <cell r="S370" t="str">
            <v>EA(1)</v>
          </cell>
          <cell r="T370" t="str">
            <v/>
          </cell>
          <cell r="U370" t="str">
            <v/>
          </cell>
          <cell r="V370" t="str">
            <v>2019-03-05</v>
          </cell>
          <cell r="W370" t="str">
            <v>2019-03-05 13:37:27</v>
          </cell>
          <cell r="X370" t="str">
            <v>더바른푸드</v>
          </cell>
        </row>
        <row r="371">
          <cell r="A371">
            <v>367</v>
          </cell>
          <cell r="B371" t="str">
            <v>2019-03-08</v>
          </cell>
          <cell r="C371" t="str">
            <v>더바른푸드</v>
          </cell>
          <cell r="D371" t="str">
            <v>더바른푸드</v>
          </cell>
          <cell r="E371" t="str">
            <v>일반</v>
          </cell>
          <cell r="F371" t="str">
            <v>입고완료</v>
          </cell>
          <cell r="G371">
            <v>108319</v>
          </cell>
          <cell r="H371" t="str">
            <v>연세우유 고칼슘두유(팩_200ml 200g/EA)</v>
          </cell>
          <cell r="I371" t="str">
            <v>EA</v>
          </cell>
          <cell r="J371">
            <v>24</v>
          </cell>
          <cell r="K371">
            <v>24</v>
          </cell>
          <cell r="L371">
            <v>280</v>
          </cell>
          <cell r="M371">
            <v>6720</v>
          </cell>
          <cell r="N371">
            <v>672</v>
          </cell>
          <cell r="O371">
            <v>7392</v>
          </cell>
          <cell r="P371">
            <v>0</v>
          </cell>
          <cell r="Q371" t="str">
            <v>한국</v>
          </cell>
          <cell r="R371" t="str">
            <v>실온</v>
          </cell>
          <cell r="S371" t="str">
            <v>EA(1)</v>
          </cell>
          <cell r="T371" t="str">
            <v/>
          </cell>
          <cell r="U371" t="str">
            <v/>
          </cell>
          <cell r="V371" t="str">
            <v>2019-03-06</v>
          </cell>
          <cell r="W371" t="str">
            <v>2019-03-06 00:04:14</v>
          </cell>
          <cell r="X371" t="str">
            <v>더바른푸드</v>
          </cell>
        </row>
        <row r="372">
          <cell r="A372">
            <v>368</v>
          </cell>
          <cell r="B372" t="str">
            <v>2019-03-08</v>
          </cell>
          <cell r="C372" t="str">
            <v>더바른푸드</v>
          </cell>
          <cell r="D372" t="str">
            <v>더바른푸드</v>
          </cell>
          <cell r="E372" t="str">
            <v>일반</v>
          </cell>
          <cell r="F372" t="str">
            <v>입고완료</v>
          </cell>
          <cell r="G372">
            <v>114835</v>
          </cell>
          <cell r="H372" t="str">
            <v>오뚜기 짜장분말(1Kg/EA)</v>
          </cell>
          <cell r="I372" t="str">
            <v>EA</v>
          </cell>
          <cell r="J372">
            <v>10</v>
          </cell>
          <cell r="K372">
            <v>10</v>
          </cell>
          <cell r="L372">
            <v>6430</v>
          </cell>
          <cell r="M372">
            <v>64300</v>
          </cell>
          <cell r="N372">
            <v>6430</v>
          </cell>
          <cell r="O372">
            <v>70730</v>
          </cell>
          <cell r="P372">
            <v>0</v>
          </cell>
          <cell r="Q372" t="str">
            <v/>
          </cell>
          <cell r="R372" t="str">
            <v>실온</v>
          </cell>
          <cell r="S372" t="str">
            <v>EA(10)</v>
          </cell>
          <cell r="T372" t="str">
            <v/>
          </cell>
          <cell r="U372" t="str">
            <v/>
          </cell>
          <cell r="V372" t="str">
            <v>2019-03-06</v>
          </cell>
          <cell r="W372" t="str">
            <v>2019-03-06 12:46:45</v>
          </cell>
          <cell r="X372" t="str">
            <v>더바른푸드</v>
          </cell>
        </row>
        <row r="373">
          <cell r="A373">
            <v>369</v>
          </cell>
          <cell r="B373" t="str">
            <v>2019-03-08</v>
          </cell>
          <cell r="C373" t="str">
            <v>더바른푸드</v>
          </cell>
          <cell r="D373" t="str">
            <v>더바른푸드</v>
          </cell>
          <cell r="E373" t="str">
            <v>일반</v>
          </cell>
          <cell r="F373" t="str">
            <v>입고완료</v>
          </cell>
          <cell r="G373">
            <v>203768</v>
          </cell>
          <cell r="H373" t="str">
            <v>타이 락스(18kg EA)</v>
          </cell>
          <cell r="I373" t="str">
            <v>EA</v>
          </cell>
          <cell r="J373">
            <v>1</v>
          </cell>
          <cell r="K373">
            <v>1</v>
          </cell>
          <cell r="L373">
            <v>6670</v>
          </cell>
          <cell r="M373">
            <v>6670</v>
          </cell>
          <cell r="N373">
            <v>667</v>
          </cell>
          <cell r="O373">
            <v>7337</v>
          </cell>
          <cell r="P373">
            <v>0</v>
          </cell>
          <cell r="Q373" t="str">
            <v/>
          </cell>
          <cell r="R373" t="str">
            <v>실온</v>
          </cell>
          <cell r="S373" t="str">
            <v>EA(1)</v>
          </cell>
          <cell r="T373" t="str">
            <v/>
          </cell>
          <cell r="U373" t="str">
            <v/>
          </cell>
          <cell r="V373" t="str">
            <v>2019-03-06</v>
          </cell>
          <cell r="W373" t="str">
            <v>2019-03-06 15:00:04</v>
          </cell>
          <cell r="X373" t="str">
            <v>더바른푸드</v>
          </cell>
        </row>
        <row r="374">
          <cell r="A374">
            <v>370</v>
          </cell>
          <cell r="B374" t="str">
            <v>2019-03-08</v>
          </cell>
          <cell r="C374" t="str">
            <v>더바른푸드</v>
          </cell>
          <cell r="D374" t="str">
            <v>더바른푸드</v>
          </cell>
          <cell r="E374" t="str">
            <v>일반</v>
          </cell>
          <cell r="F374" t="str">
            <v>입고완료</v>
          </cell>
          <cell r="G374">
            <v>313633</v>
          </cell>
          <cell r="H374" t="str">
            <v>현대푸드 두절건새우(중 1Kg/EA)</v>
          </cell>
          <cell r="I374" t="str">
            <v>EA</v>
          </cell>
          <cell r="J374">
            <v>1</v>
          </cell>
          <cell r="K374">
            <v>1</v>
          </cell>
          <cell r="L374">
            <v>28630</v>
          </cell>
          <cell r="M374">
            <v>28630</v>
          </cell>
          <cell r="N374">
            <v>0</v>
          </cell>
          <cell r="O374">
            <v>28630</v>
          </cell>
          <cell r="P374">
            <v>0</v>
          </cell>
          <cell r="Q374" t="str">
            <v>중국</v>
          </cell>
          <cell r="R374" t="str">
            <v>냉장</v>
          </cell>
          <cell r="S374" t="str">
            <v>EA(1)</v>
          </cell>
          <cell r="T374" t="str">
            <v/>
          </cell>
          <cell r="U374" t="str">
            <v/>
          </cell>
          <cell r="V374" t="str">
            <v>2019-03-06</v>
          </cell>
          <cell r="W374" t="str">
            <v>2019-03-06 15:29:57</v>
          </cell>
          <cell r="X374" t="str">
            <v>더바른푸드</v>
          </cell>
        </row>
        <row r="375">
          <cell r="A375">
            <v>371</v>
          </cell>
          <cell r="B375" t="str">
            <v>2019-03-08</v>
          </cell>
          <cell r="C375" t="str">
            <v>더바른푸드</v>
          </cell>
          <cell r="D375" t="str">
            <v>더바른푸드</v>
          </cell>
          <cell r="E375" t="str">
            <v>일반</v>
          </cell>
          <cell r="F375" t="str">
            <v>입고완료</v>
          </cell>
          <cell r="G375">
            <v>201605</v>
          </cell>
          <cell r="H375" t="str">
            <v>마늘쫑(상품 KG)</v>
          </cell>
          <cell r="I375" t="str">
            <v>KG</v>
          </cell>
          <cell r="J375">
            <v>4</v>
          </cell>
          <cell r="K375">
            <v>4</v>
          </cell>
          <cell r="L375">
            <v>4490</v>
          </cell>
          <cell r="M375">
            <v>17960</v>
          </cell>
          <cell r="N375">
            <v>0</v>
          </cell>
          <cell r="O375">
            <v>17960</v>
          </cell>
          <cell r="P375">
            <v>0</v>
          </cell>
          <cell r="Q375" t="str">
            <v>중국</v>
          </cell>
          <cell r="R375" t="str">
            <v>냉장</v>
          </cell>
          <cell r="S375" t="str">
            <v>KG(1)</v>
          </cell>
          <cell r="T375" t="str">
            <v/>
          </cell>
          <cell r="U375" t="str">
            <v/>
          </cell>
          <cell r="V375" t="str">
            <v>2019-03-06</v>
          </cell>
          <cell r="W375" t="str">
            <v>2019-03-06 15:29:57</v>
          </cell>
          <cell r="X375" t="str">
            <v>더바른푸드</v>
          </cell>
        </row>
        <row r="376">
          <cell r="A376">
            <v>372</v>
          </cell>
          <cell r="B376" t="str">
            <v>2019-03-08</v>
          </cell>
          <cell r="C376" t="str">
            <v>더바른푸드</v>
          </cell>
          <cell r="D376" t="str">
            <v>더바른푸드</v>
          </cell>
          <cell r="E376" t="str">
            <v>일반</v>
          </cell>
          <cell r="F376" t="str">
            <v>입고완료</v>
          </cell>
          <cell r="G376">
            <v>239717</v>
          </cell>
          <cell r="H376" t="str">
            <v>녹선 참오징어젓(1Kg/EA)</v>
          </cell>
          <cell r="I376" t="str">
            <v>EA</v>
          </cell>
          <cell r="J376">
            <v>4</v>
          </cell>
          <cell r="K376">
            <v>4</v>
          </cell>
          <cell r="L376">
            <v>6630</v>
          </cell>
          <cell r="M376">
            <v>26520</v>
          </cell>
          <cell r="N376">
            <v>2652</v>
          </cell>
          <cell r="O376">
            <v>29172</v>
          </cell>
          <cell r="P376">
            <v>0</v>
          </cell>
          <cell r="Q376" t="str">
            <v>중국</v>
          </cell>
          <cell r="R376" t="str">
            <v>냉장</v>
          </cell>
          <cell r="S376" t="str">
            <v>EA(1)</v>
          </cell>
          <cell r="T376" t="str">
            <v/>
          </cell>
          <cell r="U376" t="str">
            <v/>
          </cell>
          <cell r="V376" t="str">
            <v>2019-03-06</v>
          </cell>
          <cell r="W376" t="str">
            <v>2019-03-06 15:29:57</v>
          </cell>
          <cell r="X376" t="str">
            <v>더바른푸드</v>
          </cell>
        </row>
        <row r="377">
          <cell r="A377">
            <v>373</v>
          </cell>
          <cell r="B377" t="str">
            <v>2019-03-08</v>
          </cell>
          <cell r="C377" t="str">
            <v>더바른푸드</v>
          </cell>
          <cell r="D377" t="str">
            <v>더바른푸드</v>
          </cell>
          <cell r="E377" t="str">
            <v>일반</v>
          </cell>
          <cell r="F377" t="str">
            <v>입고완료</v>
          </cell>
          <cell r="G377">
            <v>206875</v>
          </cell>
          <cell r="H377" t="str">
            <v>바나나(1송이_13~15개입 1.5Kg/PAC)</v>
          </cell>
          <cell r="I377" t="str">
            <v>PAC</v>
          </cell>
          <cell r="J377">
            <v>4</v>
          </cell>
          <cell r="K377">
            <v>4</v>
          </cell>
          <cell r="L377">
            <v>5550</v>
          </cell>
          <cell r="M377">
            <v>22200</v>
          </cell>
          <cell r="N377">
            <v>0</v>
          </cell>
          <cell r="O377">
            <v>22200</v>
          </cell>
          <cell r="P377">
            <v>0</v>
          </cell>
          <cell r="Q377" t="str">
            <v>필리핀</v>
          </cell>
          <cell r="R377" t="str">
            <v>실온</v>
          </cell>
          <cell r="S377" t="str">
            <v>PAC(1)</v>
          </cell>
          <cell r="T377" t="str">
            <v/>
          </cell>
          <cell r="U377" t="str">
            <v/>
          </cell>
          <cell r="V377" t="str">
            <v>2019-03-06</v>
          </cell>
          <cell r="W377" t="str">
            <v>2019-03-06 16:05:04</v>
          </cell>
          <cell r="X377" t="str">
            <v>더바른푸드</v>
          </cell>
        </row>
        <row r="378">
          <cell r="A378">
            <v>374</v>
          </cell>
          <cell r="B378" t="str">
            <v>2019-03-08</v>
          </cell>
          <cell r="C378" t="str">
            <v>더바른푸드</v>
          </cell>
          <cell r="D378" t="str">
            <v>더바른푸드</v>
          </cell>
          <cell r="E378" t="str">
            <v>일반</v>
          </cell>
          <cell r="F378" t="str">
            <v>입고완료</v>
          </cell>
          <cell r="G378">
            <v>211037</v>
          </cell>
          <cell r="H378" t="str">
            <v>느타리버섯(실속 균상 2Kg/EA)</v>
          </cell>
          <cell r="I378" t="str">
            <v>BOX</v>
          </cell>
          <cell r="J378">
            <v>10</v>
          </cell>
          <cell r="K378">
            <v>10</v>
          </cell>
          <cell r="L378">
            <v>12330</v>
          </cell>
          <cell r="M378">
            <v>123300</v>
          </cell>
          <cell r="N378">
            <v>0</v>
          </cell>
          <cell r="O378">
            <v>123300</v>
          </cell>
          <cell r="P378">
            <v>0</v>
          </cell>
          <cell r="Q378" t="str">
            <v>한국</v>
          </cell>
          <cell r="R378" t="str">
            <v>냉장</v>
          </cell>
          <cell r="S378" t="str">
            <v>EA(1)</v>
          </cell>
          <cell r="T378" t="str">
            <v/>
          </cell>
          <cell r="U378" t="str">
            <v>비닐봉투에 1차포장.작은사이즈로 부탁드립니다.</v>
          </cell>
          <cell r="V378" t="str">
            <v>2019-03-07</v>
          </cell>
          <cell r="W378" t="str">
            <v>2019-03-07 14:25:45</v>
          </cell>
          <cell r="X378" t="str">
            <v>더바른푸드</v>
          </cell>
        </row>
        <row r="379">
          <cell r="A379">
            <v>375</v>
          </cell>
          <cell r="B379" t="str">
            <v>2019-03-08</v>
          </cell>
          <cell r="C379" t="str">
            <v>더바른푸드</v>
          </cell>
          <cell r="D379" t="str">
            <v>더바른푸드</v>
          </cell>
          <cell r="E379" t="str">
            <v>일반</v>
          </cell>
          <cell r="F379" t="str">
            <v>입고완료</v>
          </cell>
          <cell r="G379">
            <v>208625</v>
          </cell>
          <cell r="H379" t="str">
            <v>새송이버섯(실속 2Kg/EA)</v>
          </cell>
          <cell r="I379" t="str">
            <v>EA</v>
          </cell>
          <cell r="J379">
            <v>15</v>
          </cell>
          <cell r="K379">
            <v>15</v>
          </cell>
          <cell r="L379">
            <v>7400</v>
          </cell>
          <cell r="M379">
            <v>111000</v>
          </cell>
          <cell r="N379">
            <v>0</v>
          </cell>
          <cell r="O379">
            <v>111000</v>
          </cell>
          <cell r="P379">
            <v>0</v>
          </cell>
          <cell r="Q379" t="str">
            <v>한국</v>
          </cell>
          <cell r="R379" t="str">
            <v>냉장</v>
          </cell>
          <cell r="S379" t="str">
            <v>EA(1)</v>
          </cell>
          <cell r="T379" t="str">
            <v/>
          </cell>
          <cell r="U379" t="str">
            <v>비닐봉투에1차포장.작은사이즈로 부탁드립니다.</v>
          </cell>
          <cell r="V379" t="str">
            <v>2019-03-07</v>
          </cell>
          <cell r="W379" t="str">
            <v>2019-03-07 14:26:31</v>
          </cell>
          <cell r="X379" t="str">
            <v>더바른푸드</v>
          </cell>
        </row>
        <row r="380">
          <cell r="A380">
            <v>376</v>
          </cell>
          <cell r="B380" t="str">
            <v>2019-03-08</v>
          </cell>
          <cell r="C380" t="str">
            <v>더바른푸드</v>
          </cell>
          <cell r="D380" t="str">
            <v>더바른푸드</v>
          </cell>
          <cell r="E380" t="str">
            <v>일반</v>
          </cell>
          <cell r="F380" t="str">
            <v>입고완료</v>
          </cell>
          <cell r="G380">
            <v>420010</v>
          </cell>
          <cell r="H380" t="str">
            <v>알로팜 계란(왕란_무항생제_68g*30입 2.04Kg/EA)</v>
          </cell>
          <cell r="I380" t="str">
            <v>EA</v>
          </cell>
          <cell r="J380">
            <v>1</v>
          </cell>
          <cell r="K380">
            <v>1</v>
          </cell>
          <cell r="L380">
            <v>4130</v>
          </cell>
          <cell r="M380">
            <v>4130</v>
          </cell>
          <cell r="N380">
            <v>0</v>
          </cell>
          <cell r="O380">
            <v>4130</v>
          </cell>
          <cell r="P380">
            <v>4130</v>
          </cell>
          <cell r="Q380" t="str">
            <v>한국</v>
          </cell>
          <cell r="R380" t="str">
            <v>냉장</v>
          </cell>
          <cell r="S380" t="str">
            <v>EA(1)</v>
          </cell>
          <cell r="T380" t="str">
            <v/>
          </cell>
          <cell r="U380" t="str">
            <v/>
          </cell>
          <cell r="V380" t="str">
            <v>2019-03-07</v>
          </cell>
          <cell r="W380" t="str">
            <v>2019-03-07 14:55:59</v>
          </cell>
          <cell r="X380" t="str">
            <v>더바른푸드</v>
          </cell>
        </row>
        <row r="381">
          <cell r="A381">
            <v>377</v>
          </cell>
          <cell r="B381" t="str">
            <v>2019-03-08</v>
          </cell>
          <cell r="C381" t="str">
            <v>더바른푸드</v>
          </cell>
          <cell r="D381" t="str">
            <v>더바른푸드</v>
          </cell>
          <cell r="E381" t="str">
            <v>일반</v>
          </cell>
          <cell r="F381" t="str">
            <v>입고완료</v>
          </cell>
          <cell r="G381">
            <v>142562</v>
          </cell>
          <cell r="H381" t="str">
            <v>반찬단지 양념깻잎지(1Kg/EA)</v>
          </cell>
          <cell r="I381" t="str">
            <v>EA</v>
          </cell>
          <cell r="J381">
            <v>1</v>
          </cell>
          <cell r="K381">
            <v>1</v>
          </cell>
          <cell r="L381">
            <v>3990</v>
          </cell>
          <cell r="M381">
            <v>3990</v>
          </cell>
          <cell r="N381">
            <v>399</v>
          </cell>
          <cell r="O381">
            <v>4389</v>
          </cell>
          <cell r="P381">
            <v>0</v>
          </cell>
          <cell r="Q381" t="str">
            <v>중국</v>
          </cell>
          <cell r="R381" t="str">
            <v>냉장</v>
          </cell>
          <cell r="S381" t="str">
            <v>EA(10)</v>
          </cell>
          <cell r="T381" t="str">
            <v/>
          </cell>
          <cell r="U381" t="str">
            <v/>
          </cell>
          <cell r="V381" t="str">
            <v>2019-03-07</v>
          </cell>
          <cell r="W381" t="str">
            <v>2019-03-07 14:57:07</v>
          </cell>
          <cell r="X381" t="str">
            <v>더바른푸드</v>
          </cell>
        </row>
        <row r="382">
          <cell r="A382">
            <v>378</v>
          </cell>
          <cell r="B382" t="str">
            <v>2019-03-08</v>
          </cell>
          <cell r="C382" t="str">
            <v>더바른푸드</v>
          </cell>
          <cell r="D382" t="str">
            <v>더바른푸드</v>
          </cell>
          <cell r="E382" t="str">
            <v>일반</v>
          </cell>
          <cell r="F382" t="str">
            <v>입고완료</v>
          </cell>
          <cell r="G382">
            <v>142565</v>
          </cell>
          <cell r="H382" t="str">
            <v>반찬단지 고들빼기무침(1Kg/EA)</v>
          </cell>
          <cell r="I382" t="str">
            <v>EA</v>
          </cell>
          <cell r="J382">
            <v>3</v>
          </cell>
          <cell r="K382">
            <v>3</v>
          </cell>
          <cell r="L382">
            <v>4400</v>
          </cell>
          <cell r="M382">
            <v>13200</v>
          </cell>
          <cell r="N382">
            <v>1320</v>
          </cell>
          <cell r="O382">
            <v>14520</v>
          </cell>
          <cell r="P382">
            <v>0</v>
          </cell>
          <cell r="Q382" t="str">
            <v>중국</v>
          </cell>
          <cell r="R382" t="str">
            <v>냉장</v>
          </cell>
          <cell r="S382" t="str">
            <v>EA(10)</v>
          </cell>
          <cell r="T382" t="str">
            <v/>
          </cell>
          <cell r="U382" t="str">
            <v/>
          </cell>
          <cell r="V382" t="str">
            <v>2019-03-07</v>
          </cell>
          <cell r="W382" t="str">
            <v>2019-03-07 15:24:36</v>
          </cell>
          <cell r="X382" t="str">
            <v>더바른푸드</v>
          </cell>
        </row>
        <row r="383">
          <cell r="A383">
            <v>379</v>
          </cell>
          <cell r="B383" t="str">
            <v>2019-03-08</v>
          </cell>
          <cell r="C383" t="str">
            <v>더바른푸드</v>
          </cell>
          <cell r="D383" t="str">
            <v>더바른푸드</v>
          </cell>
          <cell r="E383" t="str">
            <v>일반</v>
          </cell>
          <cell r="F383" t="str">
            <v>입고완료</v>
          </cell>
          <cell r="G383">
            <v>106931</v>
          </cell>
          <cell r="H383" t="str">
            <v>오뚜기 미향(18L 18Kg/EA)</v>
          </cell>
          <cell r="I383" t="str">
            <v>EA</v>
          </cell>
          <cell r="J383">
            <v>2</v>
          </cell>
          <cell r="K383">
            <v>2</v>
          </cell>
          <cell r="L383">
            <v>21280</v>
          </cell>
          <cell r="M383">
            <v>42560</v>
          </cell>
          <cell r="N383">
            <v>4256</v>
          </cell>
          <cell r="O383">
            <v>46816</v>
          </cell>
          <cell r="P383">
            <v>0</v>
          </cell>
          <cell r="Q383" t="str">
            <v/>
          </cell>
          <cell r="R383" t="str">
            <v>실온</v>
          </cell>
          <cell r="S383" t="str">
            <v>EA(1)</v>
          </cell>
          <cell r="T383" t="str">
            <v/>
          </cell>
          <cell r="U383" t="str">
            <v/>
          </cell>
          <cell r="V383" t="str">
            <v>2019-03-07</v>
          </cell>
          <cell r="W383" t="str">
            <v>2019-03-07 15:26:35</v>
          </cell>
          <cell r="X383" t="str">
            <v>더바른푸드</v>
          </cell>
        </row>
        <row r="384">
          <cell r="A384">
            <v>380</v>
          </cell>
          <cell r="B384" t="str">
            <v>2019-03-08</v>
          </cell>
          <cell r="C384" t="str">
            <v>더바른푸드</v>
          </cell>
          <cell r="D384" t="str">
            <v>더바른푸드</v>
          </cell>
          <cell r="E384" t="str">
            <v>일반</v>
          </cell>
          <cell r="F384" t="str">
            <v>입고완료</v>
          </cell>
          <cell r="G384">
            <v>138570</v>
          </cell>
          <cell r="H384" t="str">
            <v>면사랑 멸치육수(1.8L_보급형 1.8Kg/EA)</v>
          </cell>
          <cell r="I384" t="str">
            <v>EA</v>
          </cell>
          <cell r="J384">
            <v>12</v>
          </cell>
          <cell r="K384">
            <v>12</v>
          </cell>
          <cell r="L384">
            <v>6770</v>
          </cell>
          <cell r="M384">
            <v>81240</v>
          </cell>
          <cell r="N384">
            <v>8124</v>
          </cell>
          <cell r="O384">
            <v>89364</v>
          </cell>
          <cell r="P384">
            <v>0</v>
          </cell>
          <cell r="Q384" t="str">
            <v/>
          </cell>
          <cell r="R384" t="str">
            <v>실온</v>
          </cell>
          <cell r="S384" t="str">
            <v>EA(6)</v>
          </cell>
          <cell r="T384" t="str">
            <v/>
          </cell>
          <cell r="U384" t="str">
            <v/>
          </cell>
          <cell r="V384" t="str">
            <v>2019-03-07</v>
          </cell>
          <cell r="W384" t="str">
            <v>2019-03-07 15:28:34</v>
          </cell>
          <cell r="X384" t="str">
            <v>더바른푸드</v>
          </cell>
        </row>
        <row r="385">
          <cell r="A385">
            <v>381</v>
          </cell>
          <cell r="B385" t="str">
            <v>2019-03-08</v>
          </cell>
          <cell r="C385" t="str">
            <v>더바른푸드</v>
          </cell>
          <cell r="D385" t="str">
            <v>더바른푸드</v>
          </cell>
          <cell r="E385" t="str">
            <v>일반</v>
          </cell>
          <cell r="F385" t="str">
            <v>입고완료</v>
          </cell>
          <cell r="G385">
            <v>143791</v>
          </cell>
          <cell r="H385" t="str">
            <v>이츠웰 참기름(NEW_PET_1.8L 1.65Kg/EA)</v>
          </cell>
          <cell r="I385" t="str">
            <v>EA</v>
          </cell>
          <cell r="J385">
            <v>6</v>
          </cell>
          <cell r="K385">
            <v>6</v>
          </cell>
          <cell r="L385">
            <v>14780</v>
          </cell>
          <cell r="M385">
            <v>88680</v>
          </cell>
          <cell r="N385">
            <v>8868</v>
          </cell>
          <cell r="O385">
            <v>97548</v>
          </cell>
          <cell r="P385">
            <v>0</v>
          </cell>
          <cell r="Q385" t="str">
            <v>베트남</v>
          </cell>
          <cell r="R385" t="str">
            <v>실온</v>
          </cell>
          <cell r="S385" t="str">
            <v>EA(6)</v>
          </cell>
          <cell r="T385" t="str">
            <v/>
          </cell>
          <cell r="U385" t="str">
            <v/>
          </cell>
          <cell r="V385" t="str">
            <v>2019-03-07</v>
          </cell>
          <cell r="W385" t="str">
            <v>2019-03-07 15:28:34</v>
          </cell>
          <cell r="X385" t="str">
            <v>더바른푸드</v>
          </cell>
        </row>
        <row r="386">
          <cell r="A386">
            <v>382</v>
          </cell>
          <cell r="B386" t="str">
            <v>2019-03-08</v>
          </cell>
          <cell r="C386" t="str">
            <v>더바른푸드</v>
          </cell>
          <cell r="D386" t="str">
            <v>더바른푸드</v>
          </cell>
          <cell r="E386" t="str">
            <v>일반</v>
          </cell>
          <cell r="F386" t="str">
            <v>입고완료</v>
          </cell>
          <cell r="G386">
            <v>319720</v>
          </cell>
          <cell r="H386" t="str">
            <v>건파래(찢은것 500g/EA)</v>
          </cell>
          <cell r="I386" t="str">
            <v>EA</v>
          </cell>
          <cell r="J386">
            <v>3</v>
          </cell>
          <cell r="K386">
            <v>3</v>
          </cell>
          <cell r="L386">
            <v>15770</v>
          </cell>
          <cell r="M386">
            <v>47310</v>
          </cell>
          <cell r="N386">
            <v>0</v>
          </cell>
          <cell r="O386">
            <v>47310</v>
          </cell>
          <cell r="P386">
            <v>0</v>
          </cell>
          <cell r="Q386" t="str">
            <v>한국</v>
          </cell>
          <cell r="R386" t="str">
            <v>실온</v>
          </cell>
          <cell r="S386" t="str">
            <v>EA(14)</v>
          </cell>
          <cell r="T386" t="str">
            <v/>
          </cell>
          <cell r="U386" t="str">
            <v/>
          </cell>
          <cell r="V386" t="str">
            <v>2019-03-07</v>
          </cell>
          <cell r="W386" t="str">
            <v>2019-03-07 15:33:44</v>
          </cell>
          <cell r="X386" t="str">
            <v>더바른푸드</v>
          </cell>
        </row>
        <row r="387">
          <cell r="A387">
            <v>383</v>
          </cell>
          <cell r="B387" t="str">
            <v>2019-03-08</v>
          </cell>
          <cell r="C387" t="str">
            <v>더바른푸드</v>
          </cell>
          <cell r="D387" t="str">
            <v>더바른푸드</v>
          </cell>
          <cell r="E387" t="str">
            <v>일반</v>
          </cell>
          <cell r="F387" t="str">
            <v>입고완료</v>
          </cell>
          <cell r="G387">
            <v>109654</v>
          </cell>
          <cell r="H387" t="str">
            <v>백설 부침가루(2Kg/EA)</v>
          </cell>
          <cell r="I387" t="str">
            <v>EA</v>
          </cell>
          <cell r="J387">
            <v>6</v>
          </cell>
          <cell r="K387">
            <v>6</v>
          </cell>
          <cell r="L387">
            <v>2760</v>
          </cell>
          <cell r="M387">
            <v>16560</v>
          </cell>
          <cell r="N387">
            <v>1656</v>
          </cell>
          <cell r="O387">
            <v>18216</v>
          </cell>
          <cell r="P387">
            <v>0</v>
          </cell>
          <cell r="Q387" t="str">
            <v/>
          </cell>
          <cell r="R387" t="str">
            <v>실온</v>
          </cell>
          <cell r="S387" t="str">
            <v>EA(6)</v>
          </cell>
          <cell r="T387" t="str">
            <v/>
          </cell>
          <cell r="U387" t="str">
            <v/>
          </cell>
          <cell r="V387" t="str">
            <v>2019-03-07</v>
          </cell>
          <cell r="W387" t="str">
            <v>2019-03-07 15:34:30</v>
          </cell>
          <cell r="X387" t="str">
            <v>더바른푸드</v>
          </cell>
        </row>
        <row r="388">
          <cell r="A388">
            <v>384</v>
          </cell>
          <cell r="B388" t="str">
            <v>2019-03-07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</row>
        <row r="389">
          <cell r="A389">
            <v>385</v>
          </cell>
          <cell r="B389" t="str">
            <v>2019-03-07</v>
          </cell>
          <cell r="C389" t="str">
            <v>더바른푸드</v>
          </cell>
          <cell r="D389" t="str">
            <v>더바른푸드</v>
          </cell>
          <cell r="E389" t="str">
            <v>일반</v>
          </cell>
          <cell r="F389" t="str">
            <v>입고완료</v>
          </cell>
          <cell r="G389">
            <v>193090</v>
          </cell>
          <cell r="H389" t="str">
            <v>냉동감자(절단_3~4cm 1Kg/EA)</v>
          </cell>
          <cell r="I389" t="str">
            <v>EA</v>
          </cell>
          <cell r="J389">
            <v>10</v>
          </cell>
          <cell r="K389">
            <v>10</v>
          </cell>
          <cell r="L389">
            <v>2030</v>
          </cell>
          <cell r="M389">
            <v>20300</v>
          </cell>
          <cell r="N389">
            <v>2030</v>
          </cell>
          <cell r="O389">
            <v>22330</v>
          </cell>
          <cell r="P389">
            <v>0</v>
          </cell>
          <cell r="Q389" t="str">
            <v>중국</v>
          </cell>
          <cell r="R389" t="str">
            <v>냉동</v>
          </cell>
          <cell r="S389" t="str">
            <v>EA(1)</v>
          </cell>
          <cell r="T389" t="str">
            <v/>
          </cell>
          <cell r="U389" t="str">
            <v/>
          </cell>
          <cell r="V389" t="str">
            <v>2019-03-04</v>
          </cell>
          <cell r="W389" t="str">
            <v>2019-03-04 15:49:09</v>
          </cell>
          <cell r="X389" t="str">
            <v>더바른푸드</v>
          </cell>
        </row>
        <row r="390">
          <cell r="A390">
            <v>386</v>
          </cell>
          <cell r="B390" t="str">
            <v>2019-03-07</v>
          </cell>
          <cell r="C390" t="str">
            <v>더바른푸드</v>
          </cell>
          <cell r="D390" t="str">
            <v>더바른푸드</v>
          </cell>
          <cell r="E390" t="str">
            <v>일반</v>
          </cell>
          <cell r="F390" t="str">
            <v>입고완료</v>
          </cell>
          <cell r="G390">
            <v>173374</v>
          </cell>
          <cell r="H390" t="str">
            <v>쉐프솔루션 진짜통등심돈까스(130g*20입 2.6Kg/EA)</v>
          </cell>
          <cell r="I390" t="str">
            <v>EA</v>
          </cell>
          <cell r="J390">
            <v>23</v>
          </cell>
          <cell r="K390">
            <v>23</v>
          </cell>
          <cell r="L390">
            <v>20600</v>
          </cell>
          <cell r="M390">
            <v>473800</v>
          </cell>
          <cell r="N390">
            <v>47380</v>
          </cell>
          <cell r="O390">
            <v>521180</v>
          </cell>
          <cell r="P390">
            <v>0</v>
          </cell>
          <cell r="Q390" t="str">
            <v>한국</v>
          </cell>
          <cell r="R390" t="str">
            <v>냉동</v>
          </cell>
          <cell r="S390" t="str">
            <v>EA(4)</v>
          </cell>
          <cell r="T390" t="str">
            <v/>
          </cell>
          <cell r="U390" t="str">
            <v/>
          </cell>
          <cell r="V390" t="str">
            <v>2019-03-04</v>
          </cell>
          <cell r="W390" t="str">
            <v>2019-03-04 15:52:14</v>
          </cell>
          <cell r="X390" t="str">
            <v>더바른푸드</v>
          </cell>
        </row>
        <row r="391">
          <cell r="A391">
            <v>387</v>
          </cell>
          <cell r="B391" t="str">
            <v>2019-03-07</v>
          </cell>
          <cell r="C391" t="str">
            <v>더바른푸드</v>
          </cell>
          <cell r="D391" t="str">
            <v>더바른푸드</v>
          </cell>
          <cell r="E391" t="str">
            <v>일반</v>
          </cell>
          <cell r="F391" t="str">
            <v>입고완료</v>
          </cell>
          <cell r="G391">
            <v>107255</v>
          </cell>
          <cell r="H391" t="str">
            <v>오뚜기 돈까스소스(PET 2.1Kg/EA)</v>
          </cell>
          <cell r="I391" t="str">
            <v>EA</v>
          </cell>
          <cell r="J391">
            <v>6</v>
          </cell>
          <cell r="K391">
            <v>6</v>
          </cell>
          <cell r="L391">
            <v>4360</v>
          </cell>
          <cell r="M391">
            <v>26160</v>
          </cell>
          <cell r="N391">
            <v>2616</v>
          </cell>
          <cell r="O391">
            <v>28776</v>
          </cell>
          <cell r="P391">
            <v>0</v>
          </cell>
          <cell r="Q391" t="str">
            <v/>
          </cell>
          <cell r="R391" t="str">
            <v>실온</v>
          </cell>
          <cell r="S391" t="str">
            <v>EA(6)</v>
          </cell>
          <cell r="T391" t="str">
            <v/>
          </cell>
          <cell r="U391" t="str">
            <v/>
          </cell>
          <cell r="V391" t="str">
            <v>2019-03-04</v>
          </cell>
          <cell r="W391" t="str">
            <v>2019-03-04 15:54:51</v>
          </cell>
          <cell r="X391" t="str">
            <v>더바른푸드</v>
          </cell>
        </row>
        <row r="392">
          <cell r="A392">
            <v>388</v>
          </cell>
          <cell r="B392" t="str">
            <v>2019-03-07</v>
          </cell>
          <cell r="C392" t="str">
            <v>더바른푸드</v>
          </cell>
          <cell r="D392" t="str">
            <v>더바른푸드</v>
          </cell>
          <cell r="E392" t="str">
            <v>일반</v>
          </cell>
          <cell r="F392" t="str">
            <v>입고완료</v>
          </cell>
          <cell r="G392">
            <v>408633</v>
          </cell>
          <cell r="H392" t="str">
            <v>자연애찬 구운계란(35g*30입 1.05Kg/PAC)</v>
          </cell>
          <cell r="I392" t="str">
            <v>PAC</v>
          </cell>
          <cell r="J392">
            <v>10</v>
          </cell>
          <cell r="K392">
            <v>10</v>
          </cell>
          <cell r="L392">
            <v>5230</v>
          </cell>
          <cell r="M392">
            <v>52300</v>
          </cell>
          <cell r="N392">
            <v>5230</v>
          </cell>
          <cell r="O392">
            <v>57530</v>
          </cell>
          <cell r="P392">
            <v>0</v>
          </cell>
          <cell r="Q392" t="str">
            <v>한국</v>
          </cell>
          <cell r="R392" t="str">
            <v>실온</v>
          </cell>
          <cell r="S392" t="str">
            <v>PAC(1)</v>
          </cell>
          <cell r="T392" t="str">
            <v/>
          </cell>
          <cell r="U392" t="str">
            <v/>
          </cell>
          <cell r="V392" t="str">
            <v>2019-03-05</v>
          </cell>
          <cell r="W392" t="str">
            <v>2019-03-05 13:27:32</v>
          </cell>
          <cell r="X392" t="str">
            <v>더바른푸드</v>
          </cell>
        </row>
        <row r="393">
          <cell r="A393">
            <v>389</v>
          </cell>
          <cell r="B393" t="str">
            <v>2019-03-07</v>
          </cell>
          <cell r="C393" t="str">
            <v>더바른푸드</v>
          </cell>
          <cell r="D393" t="str">
            <v>더바른푸드</v>
          </cell>
          <cell r="E393" t="str">
            <v>일반</v>
          </cell>
          <cell r="F393" t="str">
            <v>입고완료</v>
          </cell>
          <cell r="G393">
            <v>176382</v>
          </cell>
          <cell r="H393" t="str">
            <v>서울식품공업 미니크로와상(완제품_19g*50입 950g/EA)</v>
          </cell>
          <cell r="I393" t="str">
            <v>EA</v>
          </cell>
          <cell r="J393">
            <v>1</v>
          </cell>
          <cell r="K393">
            <v>1</v>
          </cell>
          <cell r="L393">
            <v>12700</v>
          </cell>
          <cell r="M393">
            <v>12700</v>
          </cell>
          <cell r="N393">
            <v>1270</v>
          </cell>
          <cell r="O393">
            <v>13970</v>
          </cell>
          <cell r="P393">
            <v>0</v>
          </cell>
          <cell r="Q393" t="str">
            <v/>
          </cell>
          <cell r="R393" t="str">
            <v>냉동</v>
          </cell>
          <cell r="S393" t="str">
            <v>EA(2)</v>
          </cell>
          <cell r="T393" t="str">
            <v/>
          </cell>
          <cell r="U393" t="str">
            <v/>
          </cell>
          <cell r="V393" t="str">
            <v>2019-03-05</v>
          </cell>
          <cell r="W393" t="str">
            <v>2019-03-05 13:28:09</v>
          </cell>
          <cell r="X393" t="str">
            <v>더바른푸드</v>
          </cell>
        </row>
        <row r="394">
          <cell r="A394">
            <v>390</v>
          </cell>
          <cell r="B394" t="str">
            <v>2019-03-07</v>
          </cell>
          <cell r="C394" t="str">
            <v>더바른푸드</v>
          </cell>
          <cell r="D394" t="str">
            <v>더바른푸드</v>
          </cell>
          <cell r="E394" t="str">
            <v>일반</v>
          </cell>
          <cell r="F394" t="str">
            <v>입고완료</v>
          </cell>
          <cell r="G394">
            <v>122082</v>
          </cell>
          <cell r="H394" t="str">
            <v>빙그레 흰우유(참맛좋은 200g/EA)</v>
          </cell>
          <cell r="I394" t="str">
            <v>EA</v>
          </cell>
          <cell r="J394">
            <v>190</v>
          </cell>
          <cell r="K394">
            <v>190</v>
          </cell>
          <cell r="L394">
            <v>430</v>
          </cell>
          <cell r="M394">
            <v>81700</v>
          </cell>
          <cell r="N394">
            <v>0</v>
          </cell>
          <cell r="O394">
            <v>81700</v>
          </cell>
          <cell r="P394">
            <v>0</v>
          </cell>
          <cell r="Q394" t="str">
            <v>한국</v>
          </cell>
          <cell r="R394" t="str">
            <v>냉장</v>
          </cell>
          <cell r="S394" t="str">
            <v>EA(1)</v>
          </cell>
          <cell r="T394" t="str">
            <v/>
          </cell>
          <cell r="U394" t="str">
            <v>빨대 넉넉히 부탁드립니다.</v>
          </cell>
          <cell r="V394" t="str">
            <v>2019-03-05</v>
          </cell>
          <cell r="W394" t="str">
            <v>2019-03-05 13:30:41</v>
          </cell>
          <cell r="X394" t="str">
            <v>더바른푸드</v>
          </cell>
        </row>
        <row r="395">
          <cell r="A395">
            <v>391</v>
          </cell>
          <cell r="B395" t="str">
            <v>2019-03-07</v>
          </cell>
          <cell r="C395" t="str">
            <v>더바른푸드</v>
          </cell>
          <cell r="D395" t="str">
            <v>더바른푸드</v>
          </cell>
          <cell r="E395" t="str">
            <v>일반</v>
          </cell>
          <cell r="F395" t="str">
            <v>입고완료</v>
          </cell>
          <cell r="G395">
            <v>108319</v>
          </cell>
          <cell r="H395" t="str">
            <v>연세우유 고칼슘두유(팩_200ml 200g/EA)</v>
          </cell>
          <cell r="I395" t="str">
            <v>EA</v>
          </cell>
          <cell r="J395">
            <v>240</v>
          </cell>
          <cell r="K395">
            <v>240</v>
          </cell>
          <cell r="L395">
            <v>280</v>
          </cell>
          <cell r="M395">
            <v>67200</v>
          </cell>
          <cell r="N395">
            <v>6720</v>
          </cell>
          <cell r="O395">
            <v>73920</v>
          </cell>
          <cell r="P395">
            <v>0</v>
          </cell>
          <cell r="Q395" t="str">
            <v>한국</v>
          </cell>
          <cell r="R395" t="str">
            <v>실온</v>
          </cell>
          <cell r="S395" t="str">
            <v>EA(1)</v>
          </cell>
          <cell r="T395" t="str">
            <v/>
          </cell>
          <cell r="U395" t="str">
            <v/>
          </cell>
          <cell r="V395" t="str">
            <v>2019-03-05</v>
          </cell>
          <cell r="W395" t="str">
            <v>2019-03-05 13:31:43</v>
          </cell>
          <cell r="X395" t="str">
            <v>더바른푸드</v>
          </cell>
        </row>
        <row r="396">
          <cell r="A396">
            <v>392</v>
          </cell>
          <cell r="B396" t="str">
            <v>2019-03-07</v>
          </cell>
          <cell r="C396" t="str">
            <v>더바른푸드</v>
          </cell>
          <cell r="D396" t="str">
            <v>더바른푸드</v>
          </cell>
          <cell r="E396" t="str">
            <v>일반</v>
          </cell>
          <cell r="F396" t="str">
            <v>입고완료</v>
          </cell>
          <cell r="G396">
            <v>136633</v>
          </cell>
          <cell r="H396" t="str">
            <v>이오 요구르트(80ml_유기농 80g/EA)</v>
          </cell>
          <cell r="I396" t="str">
            <v>EA</v>
          </cell>
          <cell r="J396">
            <v>50</v>
          </cell>
          <cell r="K396">
            <v>50</v>
          </cell>
          <cell r="L396">
            <v>300</v>
          </cell>
          <cell r="M396">
            <v>15000</v>
          </cell>
          <cell r="N396">
            <v>1500</v>
          </cell>
          <cell r="O396">
            <v>16500</v>
          </cell>
          <cell r="P396">
            <v>0</v>
          </cell>
          <cell r="Q396" t="str">
            <v>한국</v>
          </cell>
          <cell r="R396" t="str">
            <v>냉장</v>
          </cell>
          <cell r="S396" t="str">
            <v>EA(50)</v>
          </cell>
          <cell r="T396" t="str">
            <v/>
          </cell>
          <cell r="U396" t="str">
            <v>빨대 넉넉히 부탁드립니다.</v>
          </cell>
          <cell r="V396" t="str">
            <v>2019-03-05</v>
          </cell>
          <cell r="W396" t="str">
            <v>2019-03-05 13:32:40</v>
          </cell>
          <cell r="X396" t="str">
            <v>더바른푸드</v>
          </cell>
        </row>
        <row r="397">
          <cell r="A397">
            <v>393</v>
          </cell>
          <cell r="B397" t="str">
            <v>2019-03-07</v>
          </cell>
          <cell r="C397" t="str">
            <v>더바른푸드</v>
          </cell>
          <cell r="D397" t="str">
            <v>더바른푸드</v>
          </cell>
          <cell r="E397" t="str">
            <v>일반</v>
          </cell>
          <cell r="F397" t="str">
            <v>입고완료</v>
          </cell>
          <cell r="G397">
            <v>130452</v>
          </cell>
          <cell r="H397" t="str">
            <v>사조오양 스모크햄(즉석 1Kg/EA)</v>
          </cell>
          <cell r="I397" t="str">
            <v>EA</v>
          </cell>
          <cell r="J397">
            <v>14</v>
          </cell>
          <cell r="K397">
            <v>14</v>
          </cell>
          <cell r="L397">
            <v>3650</v>
          </cell>
          <cell r="M397">
            <v>51100</v>
          </cell>
          <cell r="N397">
            <v>5110</v>
          </cell>
          <cell r="O397">
            <v>56210</v>
          </cell>
          <cell r="P397">
            <v>0</v>
          </cell>
          <cell r="Q397" t="str">
            <v/>
          </cell>
          <cell r="R397" t="str">
            <v>냉장</v>
          </cell>
          <cell r="S397" t="str">
            <v>EA(10)</v>
          </cell>
          <cell r="T397" t="str">
            <v/>
          </cell>
          <cell r="U397" t="str">
            <v/>
          </cell>
          <cell r="V397" t="str">
            <v>2019-03-06</v>
          </cell>
          <cell r="W397" t="str">
            <v>2019-03-06 14:41:50</v>
          </cell>
          <cell r="X397" t="str">
            <v>더바른푸드</v>
          </cell>
        </row>
        <row r="398">
          <cell r="A398">
            <v>394</v>
          </cell>
          <cell r="B398" t="str">
            <v>2019-03-07</v>
          </cell>
          <cell r="C398" t="str">
            <v>더바른푸드</v>
          </cell>
          <cell r="D398" t="str">
            <v>더바른푸드</v>
          </cell>
          <cell r="E398" t="str">
            <v>일반</v>
          </cell>
          <cell r="F398" t="str">
            <v>입고완료</v>
          </cell>
          <cell r="G398">
            <v>256563</v>
          </cell>
          <cell r="H398" t="str">
            <v>냉동열무(IQF_절단4~5cm 1Kg/EA)</v>
          </cell>
          <cell r="I398" t="str">
            <v>EA</v>
          </cell>
          <cell r="J398">
            <v>45</v>
          </cell>
          <cell r="K398">
            <v>45</v>
          </cell>
          <cell r="L398">
            <v>1700</v>
          </cell>
          <cell r="M398">
            <v>76500</v>
          </cell>
          <cell r="N398">
            <v>7650</v>
          </cell>
          <cell r="O398">
            <v>84150</v>
          </cell>
          <cell r="P398">
            <v>0</v>
          </cell>
          <cell r="Q398" t="str">
            <v>중국</v>
          </cell>
          <cell r="R398" t="str">
            <v>냉동</v>
          </cell>
          <cell r="S398" t="str">
            <v>EA(1)</v>
          </cell>
          <cell r="T398" t="str">
            <v/>
          </cell>
          <cell r="U398" t="str">
            <v/>
          </cell>
          <cell r="V398" t="str">
            <v>2019-03-06</v>
          </cell>
          <cell r="W398" t="str">
            <v>2019-03-06 14:55:09</v>
          </cell>
          <cell r="X398" t="str">
            <v>더바른푸드</v>
          </cell>
        </row>
        <row r="399">
          <cell r="A399">
            <v>395</v>
          </cell>
          <cell r="B399" t="str">
            <v>2019-03-07</v>
          </cell>
          <cell r="C399" t="str">
            <v>더바른푸드</v>
          </cell>
          <cell r="D399" t="str">
            <v>더바른푸드</v>
          </cell>
          <cell r="E399" t="str">
            <v>일반</v>
          </cell>
          <cell r="F399" t="str">
            <v>입고완료</v>
          </cell>
          <cell r="G399">
            <v>247824</v>
          </cell>
          <cell r="H399" t="str">
            <v>주일 건다시마(실속 1Kg/EA)</v>
          </cell>
          <cell r="I399" t="str">
            <v>EA</v>
          </cell>
          <cell r="J399">
            <v>5</v>
          </cell>
          <cell r="K399">
            <v>5</v>
          </cell>
          <cell r="L399">
            <v>9300</v>
          </cell>
          <cell r="M399">
            <v>46500</v>
          </cell>
          <cell r="N399">
            <v>0</v>
          </cell>
          <cell r="O399">
            <v>46500</v>
          </cell>
          <cell r="P399">
            <v>0</v>
          </cell>
          <cell r="Q399" t="str">
            <v>한국</v>
          </cell>
          <cell r="R399" t="str">
            <v>실온</v>
          </cell>
          <cell r="S399" t="str">
            <v>EA(20)</v>
          </cell>
          <cell r="T399" t="str">
            <v/>
          </cell>
          <cell r="U399" t="str">
            <v/>
          </cell>
          <cell r="V399" t="str">
            <v>2019-03-06</v>
          </cell>
          <cell r="W399" t="str">
            <v>2019-03-06 14:58:51</v>
          </cell>
          <cell r="X399" t="str">
            <v>더바른푸드</v>
          </cell>
        </row>
        <row r="400">
          <cell r="A400">
            <v>396</v>
          </cell>
          <cell r="B400" t="str">
            <v>2019-03-07</v>
          </cell>
          <cell r="C400" t="str">
            <v>더바른푸드</v>
          </cell>
          <cell r="D400" t="str">
            <v>더바른푸드</v>
          </cell>
          <cell r="E400" t="str">
            <v>일반</v>
          </cell>
          <cell r="F400" t="str">
            <v>입고완료</v>
          </cell>
          <cell r="G400">
            <v>206572</v>
          </cell>
          <cell r="H400" t="str">
            <v>깐밤(상품 1Kg/PAC)</v>
          </cell>
          <cell r="I400" t="str">
            <v>PAC</v>
          </cell>
          <cell r="J400">
            <v>5</v>
          </cell>
          <cell r="K400">
            <v>5</v>
          </cell>
          <cell r="L400">
            <v>12850</v>
          </cell>
          <cell r="M400">
            <v>64250</v>
          </cell>
          <cell r="N400">
            <v>0</v>
          </cell>
          <cell r="O400">
            <v>64250</v>
          </cell>
          <cell r="P400">
            <v>0</v>
          </cell>
          <cell r="Q400" t="str">
            <v>한국</v>
          </cell>
          <cell r="R400" t="str">
            <v>냉장</v>
          </cell>
          <cell r="S400" t="str">
            <v>PAC(1)</v>
          </cell>
          <cell r="T400" t="str">
            <v/>
          </cell>
          <cell r="U400" t="str">
            <v/>
          </cell>
          <cell r="V400" t="str">
            <v>2019-03-06</v>
          </cell>
          <cell r="W400" t="str">
            <v>2019-03-06 15:16:25</v>
          </cell>
          <cell r="X400" t="str">
            <v>더바른푸드</v>
          </cell>
        </row>
        <row r="401">
          <cell r="A401">
            <v>397</v>
          </cell>
          <cell r="B401" t="str">
            <v>2019-03-07</v>
          </cell>
          <cell r="C401" t="str">
            <v>더바른푸드</v>
          </cell>
          <cell r="D401" t="str">
            <v>더바른푸드</v>
          </cell>
          <cell r="E401" t="str">
            <v>일반</v>
          </cell>
          <cell r="F401" t="str">
            <v>입고완료</v>
          </cell>
          <cell r="G401">
            <v>108471</v>
          </cell>
          <cell r="H401" t="str">
            <v>로스팜 햄캔(1.8Kg/EA)</v>
          </cell>
          <cell r="I401" t="str">
            <v>EA</v>
          </cell>
          <cell r="J401">
            <v>1</v>
          </cell>
          <cell r="K401">
            <v>1</v>
          </cell>
          <cell r="L401">
            <v>15140</v>
          </cell>
          <cell r="M401">
            <v>15140</v>
          </cell>
          <cell r="N401">
            <v>1514</v>
          </cell>
          <cell r="O401">
            <v>16654</v>
          </cell>
          <cell r="P401">
            <v>0</v>
          </cell>
          <cell r="Q401" t="str">
            <v>수입산</v>
          </cell>
          <cell r="R401" t="str">
            <v>실온</v>
          </cell>
          <cell r="S401" t="str">
            <v>EA(1)</v>
          </cell>
          <cell r="T401" t="str">
            <v/>
          </cell>
          <cell r="U401" t="str">
            <v/>
          </cell>
          <cell r="V401" t="str">
            <v>2019-03-06</v>
          </cell>
          <cell r="W401" t="str">
            <v>2019-03-06 15:31:24</v>
          </cell>
          <cell r="X401" t="str">
            <v>더바른푸드</v>
          </cell>
        </row>
        <row r="402">
          <cell r="A402">
            <v>398</v>
          </cell>
          <cell r="B402" t="str">
            <v>2019-03-07</v>
          </cell>
          <cell r="C402" t="str">
            <v>더바른푸드</v>
          </cell>
          <cell r="D402" t="str">
            <v>더바른푸드</v>
          </cell>
          <cell r="E402" t="str">
            <v>일반</v>
          </cell>
          <cell r="F402" t="str">
            <v>입고완료</v>
          </cell>
          <cell r="G402">
            <v>141229</v>
          </cell>
          <cell r="H402" t="str">
            <v>더건강한 후랑크소시지(500g/EA)</v>
          </cell>
          <cell r="I402" t="str">
            <v>EA</v>
          </cell>
          <cell r="J402">
            <v>4</v>
          </cell>
          <cell r="K402">
            <v>4</v>
          </cell>
          <cell r="L402">
            <v>4120</v>
          </cell>
          <cell r="M402">
            <v>16480</v>
          </cell>
          <cell r="N402">
            <v>1648</v>
          </cell>
          <cell r="O402">
            <v>18128</v>
          </cell>
          <cell r="P402">
            <v>0</v>
          </cell>
          <cell r="Q402" t="str">
            <v/>
          </cell>
          <cell r="R402" t="str">
            <v>냉장</v>
          </cell>
          <cell r="S402" t="str">
            <v>EA(8)</v>
          </cell>
          <cell r="T402" t="str">
            <v/>
          </cell>
          <cell r="U402" t="str">
            <v/>
          </cell>
          <cell r="V402" t="str">
            <v>2019-03-06</v>
          </cell>
          <cell r="W402" t="str">
            <v>2019-03-06 15:32:07</v>
          </cell>
          <cell r="X402" t="str">
            <v>더바른푸드</v>
          </cell>
        </row>
        <row r="403">
          <cell r="A403">
            <v>399</v>
          </cell>
          <cell r="B403" t="str">
            <v>2019-03-06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A404">
            <v>400</v>
          </cell>
          <cell r="B404" t="str">
            <v>2019-03-06</v>
          </cell>
          <cell r="C404" t="str">
            <v>더바른푸드</v>
          </cell>
          <cell r="D404" t="str">
            <v>더바른푸드</v>
          </cell>
          <cell r="E404" t="str">
            <v>일반</v>
          </cell>
          <cell r="F404" t="str">
            <v>입고완료</v>
          </cell>
          <cell r="G404">
            <v>114264</v>
          </cell>
          <cell r="H404" t="str">
            <v>동성식품 한입쌀떡볶이떡(1Kg/EA)</v>
          </cell>
          <cell r="I404" t="str">
            <v>EA</v>
          </cell>
          <cell r="J404">
            <v>40</v>
          </cell>
          <cell r="K404">
            <v>40</v>
          </cell>
          <cell r="L404">
            <v>1340</v>
          </cell>
          <cell r="M404">
            <v>53600</v>
          </cell>
          <cell r="N404">
            <v>5360</v>
          </cell>
          <cell r="O404">
            <v>58960</v>
          </cell>
          <cell r="P404">
            <v>0</v>
          </cell>
          <cell r="Q404" t="str">
            <v>수입산</v>
          </cell>
          <cell r="R404" t="str">
            <v>냉장</v>
          </cell>
          <cell r="S404" t="str">
            <v>EA(1)</v>
          </cell>
          <cell r="T404" t="str">
            <v/>
          </cell>
          <cell r="U404" t="str">
            <v/>
          </cell>
          <cell r="V404" t="str">
            <v>2019-03-04</v>
          </cell>
          <cell r="W404" t="str">
            <v>2019-03-04 15:59:49</v>
          </cell>
          <cell r="X404" t="str">
            <v>더바른푸드</v>
          </cell>
        </row>
        <row r="405">
          <cell r="A405">
            <v>401</v>
          </cell>
          <cell r="B405" t="str">
            <v>2019-03-06</v>
          </cell>
          <cell r="C405" t="str">
            <v>더바른푸드</v>
          </cell>
          <cell r="D405" t="str">
            <v>더바른푸드</v>
          </cell>
          <cell r="E405" t="str">
            <v>일반</v>
          </cell>
          <cell r="F405" t="str">
            <v>입고완료</v>
          </cell>
          <cell r="G405">
            <v>236048</v>
          </cell>
          <cell r="H405" t="str">
            <v>종가집 묵은지(10Kg/BOX)</v>
          </cell>
          <cell r="I405" t="str">
            <v>BOX</v>
          </cell>
          <cell r="J405">
            <v>2</v>
          </cell>
          <cell r="K405">
            <v>2</v>
          </cell>
          <cell r="L405">
            <v>33860</v>
          </cell>
          <cell r="M405">
            <v>67720</v>
          </cell>
          <cell r="N405">
            <v>0</v>
          </cell>
          <cell r="O405">
            <v>67720</v>
          </cell>
          <cell r="P405">
            <v>0</v>
          </cell>
          <cell r="Q405" t="str">
            <v>한국</v>
          </cell>
          <cell r="R405" t="str">
            <v>냉장</v>
          </cell>
          <cell r="S405" t="str">
            <v>BOX(1)</v>
          </cell>
          <cell r="T405" t="str">
            <v/>
          </cell>
          <cell r="U405" t="str">
            <v/>
          </cell>
          <cell r="V405" t="str">
            <v>2019-03-04</v>
          </cell>
          <cell r="W405" t="str">
            <v>2019-03-04 16:10:03</v>
          </cell>
          <cell r="X405" t="str">
            <v>더바른푸드</v>
          </cell>
        </row>
        <row r="406">
          <cell r="A406">
            <v>402</v>
          </cell>
          <cell r="B406" t="str">
            <v>2019-03-06</v>
          </cell>
          <cell r="C406" t="str">
            <v>더바른푸드</v>
          </cell>
          <cell r="D406" t="str">
            <v>더바른푸드</v>
          </cell>
          <cell r="E406" t="str">
            <v>일반</v>
          </cell>
          <cell r="F406" t="str">
            <v>입고완료</v>
          </cell>
          <cell r="G406">
            <v>228609</v>
          </cell>
          <cell r="H406" t="str">
            <v>고등어(내장제거_50~70g/토막_평균60g 조림용 60g/EA)</v>
          </cell>
          <cell r="I406" t="str">
            <v>EA</v>
          </cell>
          <cell r="J406">
            <v>30</v>
          </cell>
          <cell r="K406">
            <v>30</v>
          </cell>
          <cell r="L406">
            <v>360</v>
          </cell>
          <cell r="M406">
            <v>10800</v>
          </cell>
          <cell r="N406">
            <v>0</v>
          </cell>
          <cell r="O406">
            <v>10800</v>
          </cell>
          <cell r="P406">
            <v>0</v>
          </cell>
          <cell r="Q406" t="str">
            <v>노르웨이</v>
          </cell>
          <cell r="R406" t="str">
            <v>냉동</v>
          </cell>
          <cell r="S406" t="str">
            <v>EA(1)</v>
          </cell>
          <cell r="T406" t="str">
            <v/>
          </cell>
          <cell r="U406" t="str">
            <v/>
          </cell>
          <cell r="V406" t="str">
            <v>2019-03-04</v>
          </cell>
          <cell r="W406" t="str">
            <v>2019-03-04 16:10:52</v>
          </cell>
          <cell r="X406" t="str">
            <v>더바른푸드</v>
          </cell>
        </row>
        <row r="407">
          <cell r="A407">
            <v>403</v>
          </cell>
          <cell r="B407" t="str">
            <v>2019-03-06</v>
          </cell>
          <cell r="C407" t="str">
            <v>더바른푸드</v>
          </cell>
          <cell r="D407" t="str">
            <v>더바른푸드</v>
          </cell>
          <cell r="E407" t="str">
            <v>일반</v>
          </cell>
          <cell r="F407" t="str">
            <v>입고완료</v>
          </cell>
          <cell r="G407">
            <v>306349</v>
          </cell>
          <cell r="H407" t="str">
            <v>해파리채(염장_수율95% KG)</v>
          </cell>
          <cell r="I407" t="str">
            <v>KG</v>
          </cell>
          <cell r="J407">
            <v>2</v>
          </cell>
          <cell r="K407">
            <v>2</v>
          </cell>
          <cell r="L407">
            <v>6720</v>
          </cell>
          <cell r="M407">
            <v>13440</v>
          </cell>
          <cell r="N407">
            <v>0</v>
          </cell>
          <cell r="O407">
            <v>13440</v>
          </cell>
          <cell r="P407">
            <v>0</v>
          </cell>
          <cell r="Q407" t="str">
            <v>태국</v>
          </cell>
          <cell r="R407" t="str">
            <v>냉장</v>
          </cell>
          <cell r="S407" t="str">
            <v>KG(1)</v>
          </cell>
          <cell r="T407" t="str">
            <v/>
          </cell>
          <cell r="U407" t="str">
            <v/>
          </cell>
          <cell r="V407" t="str">
            <v>2019-03-04</v>
          </cell>
          <cell r="W407" t="str">
            <v>2019-03-04 16:12:09</v>
          </cell>
          <cell r="X407" t="str">
            <v>더바른푸드</v>
          </cell>
        </row>
        <row r="408">
          <cell r="A408">
            <v>404</v>
          </cell>
          <cell r="B408" t="str">
            <v>2019-03-06</v>
          </cell>
          <cell r="C408" t="str">
            <v>더바른푸드</v>
          </cell>
          <cell r="D408" t="str">
            <v>더바른푸드</v>
          </cell>
          <cell r="E408" t="str">
            <v>일반</v>
          </cell>
          <cell r="F408" t="str">
            <v>입고완료</v>
          </cell>
          <cell r="G408">
            <v>119483</v>
          </cell>
          <cell r="H408" t="str">
            <v>이츠웰 게맛살(1Kg/EA)</v>
          </cell>
          <cell r="I408" t="str">
            <v>EA</v>
          </cell>
          <cell r="J408">
            <v>1</v>
          </cell>
          <cell r="K408">
            <v>1</v>
          </cell>
          <cell r="L408">
            <v>3010</v>
          </cell>
          <cell r="M408">
            <v>3010</v>
          </cell>
          <cell r="N408">
            <v>301</v>
          </cell>
          <cell r="O408">
            <v>3311</v>
          </cell>
          <cell r="P408">
            <v>0</v>
          </cell>
          <cell r="Q408" t="str">
            <v/>
          </cell>
          <cell r="R408" t="str">
            <v>냉장</v>
          </cell>
          <cell r="S408" t="str">
            <v>EA(10)</v>
          </cell>
          <cell r="T408" t="str">
            <v/>
          </cell>
          <cell r="U408" t="str">
            <v/>
          </cell>
          <cell r="V408" t="str">
            <v>2019-03-04</v>
          </cell>
          <cell r="W408" t="str">
            <v>2019-03-04 16:14:17</v>
          </cell>
          <cell r="X408" t="str">
            <v>더바른푸드</v>
          </cell>
        </row>
        <row r="409">
          <cell r="A409">
            <v>405</v>
          </cell>
          <cell r="B409" t="str">
            <v>2019-03-06</v>
          </cell>
          <cell r="C409" t="str">
            <v>더바른푸드</v>
          </cell>
          <cell r="D409" t="str">
            <v>더바른푸드</v>
          </cell>
          <cell r="E409" t="str">
            <v>일반</v>
          </cell>
          <cell r="F409" t="str">
            <v>입고완료</v>
          </cell>
          <cell r="G409">
            <v>136633</v>
          </cell>
          <cell r="H409" t="str">
            <v>이오 요구르트(80ml_유기농 80g/EA)</v>
          </cell>
          <cell r="I409" t="str">
            <v>EA</v>
          </cell>
          <cell r="J409">
            <v>96</v>
          </cell>
          <cell r="K409">
            <v>96</v>
          </cell>
          <cell r="L409">
            <v>300</v>
          </cell>
          <cell r="M409">
            <v>28800</v>
          </cell>
          <cell r="N409">
            <v>2880</v>
          </cell>
          <cell r="O409">
            <v>31680</v>
          </cell>
          <cell r="P409">
            <v>0</v>
          </cell>
          <cell r="Q409" t="str">
            <v>한국</v>
          </cell>
          <cell r="R409" t="str">
            <v>냉장</v>
          </cell>
          <cell r="S409" t="str">
            <v>EA(50)</v>
          </cell>
          <cell r="T409" t="str">
            <v/>
          </cell>
          <cell r="U409" t="str">
            <v/>
          </cell>
          <cell r="V409" t="str">
            <v>2019-03-04</v>
          </cell>
          <cell r="W409" t="str">
            <v>2019-03-04 16:41:21</v>
          </cell>
          <cell r="X409" t="str">
            <v>더바른푸드</v>
          </cell>
        </row>
        <row r="410">
          <cell r="A410">
            <v>406</v>
          </cell>
          <cell r="B410" t="str">
            <v>2019-03-06</v>
          </cell>
          <cell r="C410" t="str">
            <v>더바른푸드</v>
          </cell>
          <cell r="D410" t="str">
            <v>더바른푸드</v>
          </cell>
          <cell r="E410" t="str">
            <v>일반</v>
          </cell>
          <cell r="F410" t="str">
            <v>입고완료</v>
          </cell>
          <cell r="G410">
            <v>160243</v>
          </cell>
          <cell r="H410" t="str">
            <v>비피더스 떠먹는요구르트(딸기 83g/EA)</v>
          </cell>
          <cell r="I410" t="str">
            <v>EA</v>
          </cell>
          <cell r="J410">
            <v>165</v>
          </cell>
          <cell r="K410">
            <v>165</v>
          </cell>
          <cell r="L410">
            <v>290</v>
          </cell>
          <cell r="M410">
            <v>47850</v>
          </cell>
          <cell r="N410">
            <v>4785</v>
          </cell>
          <cell r="O410">
            <v>52635</v>
          </cell>
          <cell r="P410">
            <v>0</v>
          </cell>
          <cell r="Q410" t="str">
            <v>한국</v>
          </cell>
          <cell r="R410" t="str">
            <v>냉장</v>
          </cell>
          <cell r="S410" t="str">
            <v>EA(1)</v>
          </cell>
          <cell r="T410" t="str">
            <v/>
          </cell>
          <cell r="U410" t="str">
            <v/>
          </cell>
          <cell r="V410" t="str">
            <v>2019-03-04</v>
          </cell>
          <cell r="W410" t="str">
            <v>2019-03-04 16:59:14</v>
          </cell>
          <cell r="X410" t="str">
            <v>더바른푸드</v>
          </cell>
        </row>
        <row r="411">
          <cell r="A411">
            <v>407</v>
          </cell>
          <cell r="B411" t="str">
            <v>2019-03-06</v>
          </cell>
          <cell r="C411" t="str">
            <v>더바른푸드</v>
          </cell>
          <cell r="D411" t="str">
            <v>더바른푸드</v>
          </cell>
          <cell r="E411" t="str">
            <v>일반</v>
          </cell>
          <cell r="F411" t="str">
            <v>입고완료</v>
          </cell>
          <cell r="G411">
            <v>241204</v>
          </cell>
          <cell r="H411" t="str">
            <v>이츠웰 콘시리얼함께해바(견과바_15g*12개 180g/EA)</v>
          </cell>
          <cell r="I411" t="str">
            <v>EA</v>
          </cell>
          <cell r="J411">
            <v>25</v>
          </cell>
          <cell r="K411">
            <v>25</v>
          </cell>
          <cell r="L411">
            <v>4510</v>
          </cell>
          <cell r="M411">
            <v>112750</v>
          </cell>
          <cell r="N411">
            <v>11275</v>
          </cell>
          <cell r="O411">
            <v>124025</v>
          </cell>
          <cell r="P411">
            <v>0</v>
          </cell>
          <cell r="Q411" t="str">
            <v>외국산</v>
          </cell>
          <cell r="R411" t="str">
            <v>실온</v>
          </cell>
          <cell r="S411" t="str">
            <v>EA(8)</v>
          </cell>
          <cell r="T411" t="str">
            <v/>
          </cell>
          <cell r="U411" t="str">
            <v/>
          </cell>
          <cell r="V411" t="str">
            <v>2019-03-05</v>
          </cell>
          <cell r="W411" t="str">
            <v>2019-03-05 13:23:48</v>
          </cell>
          <cell r="X411" t="str">
            <v>더바른푸드</v>
          </cell>
        </row>
        <row r="412">
          <cell r="A412">
            <v>408</v>
          </cell>
          <cell r="B412" t="str">
            <v>2019-03-06</v>
          </cell>
          <cell r="C412" t="str">
            <v>더바른푸드</v>
          </cell>
          <cell r="D412" t="str">
            <v>더바른푸드</v>
          </cell>
          <cell r="E412" t="str">
            <v>일반</v>
          </cell>
          <cell r="F412" t="str">
            <v>입고완료</v>
          </cell>
          <cell r="G412">
            <v>159126</v>
          </cell>
          <cell r="H412" t="str">
            <v>건강마을 플리또주스(100ml_유기농_포도 100g/EA)</v>
          </cell>
          <cell r="I412" t="str">
            <v>BOX</v>
          </cell>
          <cell r="J412">
            <v>5</v>
          </cell>
          <cell r="K412">
            <v>5</v>
          </cell>
          <cell r="L412">
            <v>17600</v>
          </cell>
          <cell r="M412">
            <v>88000</v>
          </cell>
          <cell r="N412">
            <v>8800</v>
          </cell>
          <cell r="O412">
            <v>96800</v>
          </cell>
          <cell r="P412">
            <v>0</v>
          </cell>
          <cell r="Q412" t="str">
            <v/>
          </cell>
          <cell r="R412" t="str">
            <v>실온</v>
          </cell>
          <cell r="S412" t="str">
            <v>EA(40)</v>
          </cell>
          <cell r="T412" t="str">
            <v/>
          </cell>
          <cell r="U412" t="str">
            <v/>
          </cell>
          <cell r="V412" t="str">
            <v>2019-03-05</v>
          </cell>
          <cell r="W412" t="str">
            <v>2019-03-05 13:25:51</v>
          </cell>
          <cell r="X412" t="str">
            <v>더바른푸드</v>
          </cell>
        </row>
        <row r="413">
          <cell r="A413">
            <v>409</v>
          </cell>
          <cell r="B413" t="str">
            <v>2019-03-06</v>
          </cell>
          <cell r="C413" t="str">
            <v>더바른푸드</v>
          </cell>
          <cell r="D413" t="str">
            <v>더바른푸드</v>
          </cell>
          <cell r="E413" t="str">
            <v>일반</v>
          </cell>
          <cell r="F413" t="str">
            <v>입고완료</v>
          </cell>
          <cell r="G413">
            <v>198029</v>
          </cell>
          <cell r="H413" t="str">
            <v>농촌 맛김치(일배용 10Kg/BOX)</v>
          </cell>
          <cell r="I413" t="str">
            <v>BOX</v>
          </cell>
          <cell r="J413">
            <v>1</v>
          </cell>
          <cell r="K413">
            <v>1</v>
          </cell>
          <cell r="L413">
            <v>10510</v>
          </cell>
          <cell r="M413">
            <v>10510</v>
          </cell>
          <cell r="N413">
            <v>0</v>
          </cell>
          <cell r="O413">
            <v>10510</v>
          </cell>
          <cell r="P413">
            <v>0</v>
          </cell>
          <cell r="Q413" t="str">
            <v>중국</v>
          </cell>
          <cell r="R413" t="str">
            <v>냉장</v>
          </cell>
          <cell r="S413" t="str">
            <v>BOX(1)</v>
          </cell>
          <cell r="T413" t="str">
            <v/>
          </cell>
          <cell r="U413" t="str">
            <v/>
          </cell>
          <cell r="V413" t="str">
            <v>2019-03-05</v>
          </cell>
          <cell r="W413" t="str">
            <v>2019-03-05 15:33:17</v>
          </cell>
          <cell r="X413" t="str">
            <v>더바른푸드</v>
          </cell>
        </row>
        <row r="414">
          <cell r="A414">
            <v>410</v>
          </cell>
          <cell r="B414" t="str">
            <v>2019-03-05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</row>
        <row r="415">
          <cell r="A415">
            <v>411</v>
          </cell>
          <cell r="B415" t="str">
            <v>2019-03-05</v>
          </cell>
          <cell r="C415" t="str">
            <v>더바른푸드</v>
          </cell>
          <cell r="D415" t="str">
            <v>더바른푸드</v>
          </cell>
          <cell r="E415" t="str">
            <v>일반</v>
          </cell>
          <cell r="F415" t="str">
            <v>입고완료</v>
          </cell>
          <cell r="G415">
            <v>134238</v>
          </cell>
          <cell r="H415" t="str">
            <v>사옹원 궁중녹두전(900g/EA)</v>
          </cell>
          <cell r="I415" t="str">
            <v>EA</v>
          </cell>
          <cell r="J415">
            <v>36</v>
          </cell>
          <cell r="K415">
            <v>36</v>
          </cell>
          <cell r="L415">
            <v>8320</v>
          </cell>
          <cell r="M415">
            <v>299520</v>
          </cell>
          <cell r="N415">
            <v>29952</v>
          </cell>
          <cell r="O415">
            <v>329472</v>
          </cell>
          <cell r="P415">
            <v>0</v>
          </cell>
          <cell r="Q415" t="str">
            <v/>
          </cell>
          <cell r="R415" t="str">
            <v>냉동</v>
          </cell>
          <cell r="S415" t="str">
            <v>EA(12)</v>
          </cell>
          <cell r="T415" t="str">
            <v/>
          </cell>
          <cell r="U415" t="str">
            <v/>
          </cell>
          <cell r="V415" t="str">
            <v>2019-02-28</v>
          </cell>
          <cell r="W415" t="str">
            <v>2019-02-28 13:21:24</v>
          </cell>
          <cell r="X415" t="str">
            <v>더바른푸드</v>
          </cell>
        </row>
        <row r="416">
          <cell r="A416">
            <v>412</v>
          </cell>
          <cell r="B416" t="str">
            <v>2019-03-05</v>
          </cell>
          <cell r="C416" t="str">
            <v>더바른푸드</v>
          </cell>
          <cell r="D416" t="str">
            <v>더바른푸드</v>
          </cell>
          <cell r="E416" t="str">
            <v>일반</v>
          </cell>
          <cell r="F416" t="str">
            <v>입고완료</v>
          </cell>
          <cell r="G416">
            <v>105597</v>
          </cell>
          <cell r="H416" t="str">
            <v>웰가 홈버터(홈랜드 4.5Kg/EA)</v>
          </cell>
          <cell r="I416" t="str">
            <v>EA</v>
          </cell>
          <cell r="J416">
            <v>1</v>
          </cell>
          <cell r="K416">
            <v>1</v>
          </cell>
          <cell r="L416">
            <v>18000</v>
          </cell>
          <cell r="M416">
            <v>18000</v>
          </cell>
          <cell r="N416">
            <v>1800</v>
          </cell>
          <cell r="O416">
            <v>19800</v>
          </cell>
          <cell r="P416">
            <v>0</v>
          </cell>
          <cell r="Q416" t="str">
            <v/>
          </cell>
          <cell r="R416" t="str">
            <v>실온</v>
          </cell>
          <cell r="S416" t="str">
            <v>EA(1)</v>
          </cell>
          <cell r="T416" t="str">
            <v/>
          </cell>
          <cell r="U416" t="str">
            <v/>
          </cell>
          <cell r="V416" t="str">
            <v>2019-02-28</v>
          </cell>
          <cell r="W416" t="str">
            <v>2019-02-28 13:22:40</v>
          </cell>
          <cell r="X416" t="str">
            <v>더바른푸드</v>
          </cell>
        </row>
        <row r="417">
          <cell r="A417">
            <v>413</v>
          </cell>
          <cell r="B417" t="str">
            <v>2019-03-05</v>
          </cell>
          <cell r="C417" t="str">
            <v>더바른푸드</v>
          </cell>
          <cell r="D417" t="str">
            <v>더바른푸드</v>
          </cell>
          <cell r="E417" t="str">
            <v>일반</v>
          </cell>
          <cell r="F417" t="str">
            <v>입고완료</v>
          </cell>
          <cell r="G417">
            <v>257634</v>
          </cell>
          <cell r="H417" t="str">
            <v>이음푸드 오복지(1Kg/EA)</v>
          </cell>
          <cell r="I417" t="str">
            <v>EA</v>
          </cell>
          <cell r="J417">
            <v>29</v>
          </cell>
          <cell r="K417">
            <v>29</v>
          </cell>
          <cell r="L417">
            <v>2500</v>
          </cell>
          <cell r="M417">
            <v>72500</v>
          </cell>
          <cell r="N417">
            <v>7250</v>
          </cell>
          <cell r="O417">
            <v>79750</v>
          </cell>
          <cell r="P417">
            <v>0</v>
          </cell>
          <cell r="Q417" t="str">
            <v/>
          </cell>
          <cell r="R417" t="str">
            <v>냉장</v>
          </cell>
          <cell r="S417" t="str">
            <v>EA(12)</v>
          </cell>
          <cell r="T417" t="str">
            <v/>
          </cell>
          <cell r="U417" t="str">
            <v/>
          </cell>
          <cell r="V417" t="str">
            <v>2019-02-28</v>
          </cell>
          <cell r="W417" t="str">
            <v>2019-02-28 13:30:57</v>
          </cell>
          <cell r="X417" t="str">
            <v>더바른푸드</v>
          </cell>
        </row>
        <row r="418">
          <cell r="A418">
            <v>414</v>
          </cell>
          <cell r="B418" t="str">
            <v>2019-03-05</v>
          </cell>
          <cell r="C418" t="str">
            <v>더바른푸드</v>
          </cell>
          <cell r="D418" t="str">
            <v>더바른푸드</v>
          </cell>
          <cell r="E418" t="str">
            <v>일반</v>
          </cell>
          <cell r="F418" t="str">
            <v>입고완료</v>
          </cell>
          <cell r="G418">
            <v>248028</v>
          </cell>
          <cell r="H418" t="str">
            <v>이츠웰 오징어채(1Kg/EA)</v>
          </cell>
          <cell r="I418" t="str">
            <v>EA</v>
          </cell>
          <cell r="J418">
            <v>1</v>
          </cell>
          <cell r="K418">
            <v>1</v>
          </cell>
          <cell r="L418">
            <v>11630</v>
          </cell>
          <cell r="M418">
            <v>11630</v>
          </cell>
          <cell r="N418">
            <v>0</v>
          </cell>
          <cell r="O418">
            <v>11630</v>
          </cell>
          <cell r="P418">
            <v>0</v>
          </cell>
          <cell r="Q418" t="str">
            <v>한국</v>
          </cell>
          <cell r="R418" t="str">
            <v>냉동</v>
          </cell>
          <cell r="S418" t="str">
            <v>EA(10)</v>
          </cell>
          <cell r="T418" t="str">
            <v/>
          </cell>
          <cell r="U418" t="str">
            <v/>
          </cell>
          <cell r="V418" t="str">
            <v>2019-02-28</v>
          </cell>
          <cell r="W418" t="str">
            <v>2019-02-28 13:36:59</v>
          </cell>
          <cell r="X418" t="str">
            <v>더바른푸드</v>
          </cell>
        </row>
        <row r="419">
          <cell r="A419">
            <v>415</v>
          </cell>
          <cell r="B419" t="str">
            <v>2019-03-05</v>
          </cell>
          <cell r="C419" t="str">
            <v>더바른푸드</v>
          </cell>
          <cell r="D419" t="str">
            <v>더바른푸드</v>
          </cell>
          <cell r="E419" t="str">
            <v>일반</v>
          </cell>
          <cell r="F419" t="str">
            <v>입고완료</v>
          </cell>
          <cell r="G419">
            <v>144979</v>
          </cell>
          <cell r="H419" t="str">
            <v>이츠웰 스테이크소스(PET 2Kg/EA)</v>
          </cell>
          <cell r="I419" t="str">
            <v>EA</v>
          </cell>
          <cell r="J419">
            <v>6</v>
          </cell>
          <cell r="K419">
            <v>6</v>
          </cell>
          <cell r="L419">
            <v>4070</v>
          </cell>
          <cell r="M419">
            <v>24420</v>
          </cell>
          <cell r="N419">
            <v>2442</v>
          </cell>
          <cell r="O419">
            <v>26862</v>
          </cell>
          <cell r="P419">
            <v>0</v>
          </cell>
          <cell r="Q419" t="str">
            <v/>
          </cell>
          <cell r="R419" t="str">
            <v>실온</v>
          </cell>
          <cell r="S419" t="str">
            <v>EA(6)</v>
          </cell>
          <cell r="T419" t="str">
            <v/>
          </cell>
          <cell r="U419" t="str">
            <v/>
          </cell>
          <cell r="V419" t="str">
            <v>2019-02-28</v>
          </cell>
          <cell r="W419" t="str">
            <v>2019-02-28 14:33:35</v>
          </cell>
          <cell r="X419" t="str">
            <v>더바른푸드</v>
          </cell>
        </row>
        <row r="420">
          <cell r="A420">
            <v>416</v>
          </cell>
          <cell r="B420" t="str">
            <v>2019-03-05</v>
          </cell>
          <cell r="C420" t="str">
            <v>더바른푸드</v>
          </cell>
          <cell r="D420" t="str">
            <v>더바른푸드</v>
          </cell>
          <cell r="E420" t="str">
            <v>일반</v>
          </cell>
          <cell r="F420" t="str">
            <v>입고완료</v>
          </cell>
          <cell r="G420">
            <v>235416</v>
          </cell>
          <cell r="H420" t="str">
            <v>삼승 프리미엄삼계닭(500±50g/마리 500g/EA)</v>
          </cell>
          <cell r="I420" t="str">
            <v>EA</v>
          </cell>
          <cell r="J420">
            <v>5</v>
          </cell>
          <cell r="K420">
            <v>5</v>
          </cell>
          <cell r="L420">
            <v>2870</v>
          </cell>
          <cell r="M420">
            <v>14350</v>
          </cell>
          <cell r="N420">
            <v>0</v>
          </cell>
          <cell r="O420">
            <v>14350</v>
          </cell>
          <cell r="P420">
            <v>0</v>
          </cell>
          <cell r="Q420" t="str">
            <v>한국</v>
          </cell>
          <cell r="R420" t="str">
            <v>냉장</v>
          </cell>
          <cell r="S420" t="str">
            <v>EA(1)</v>
          </cell>
          <cell r="T420" t="str">
            <v/>
          </cell>
          <cell r="U420" t="str">
            <v/>
          </cell>
          <cell r="V420" t="str">
            <v>2019-02-28</v>
          </cell>
          <cell r="W420" t="str">
            <v>2019-02-28 14:44:59</v>
          </cell>
          <cell r="X420" t="str">
            <v>더바른푸드</v>
          </cell>
        </row>
        <row r="421">
          <cell r="A421">
            <v>417</v>
          </cell>
          <cell r="B421" t="str">
            <v>2019-03-05</v>
          </cell>
          <cell r="C421" t="str">
            <v>더바른푸드</v>
          </cell>
          <cell r="D421" t="str">
            <v>더바른푸드</v>
          </cell>
          <cell r="E421" t="str">
            <v>일반</v>
          </cell>
          <cell r="F421" t="str">
            <v>입고완료</v>
          </cell>
          <cell r="G421">
            <v>199437</v>
          </cell>
          <cell r="H421" t="str">
            <v>삼계탕재료세트(황기+대추+당귀+헛개나무+엄나무+오가피 80g/EA)</v>
          </cell>
          <cell r="I421" t="str">
            <v>EA</v>
          </cell>
          <cell r="J421">
            <v>2</v>
          </cell>
          <cell r="K421">
            <v>2</v>
          </cell>
          <cell r="L421">
            <v>2020</v>
          </cell>
          <cell r="M421">
            <v>4040</v>
          </cell>
          <cell r="N421">
            <v>0</v>
          </cell>
          <cell r="O421">
            <v>4040</v>
          </cell>
          <cell r="P421">
            <v>0</v>
          </cell>
          <cell r="Q421" t="str">
            <v>한국</v>
          </cell>
          <cell r="R421" t="str">
            <v>냉장</v>
          </cell>
          <cell r="S421" t="str">
            <v>EA(1)</v>
          </cell>
          <cell r="T421" t="str">
            <v/>
          </cell>
          <cell r="U421" t="str">
            <v/>
          </cell>
          <cell r="V421" t="str">
            <v>2019-02-28</v>
          </cell>
          <cell r="W421" t="str">
            <v>2019-02-28 14:44:59</v>
          </cell>
          <cell r="X421" t="str">
            <v>더바른푸드</v>
          </cell>
        </row>
        <row r="422">
          <cell r="A422">
            <v>418</v>
          </cell>
          <cell r="B422" t="str">
            <v>2019-03-05</v>
          </cell>
          <cell r="C422" t="str">
            <v>더바른푸드</v>
          </cell>
          <cell r="D422" t="str">
            <v>더바른푸드</v>
          </cell>
          <cell r="E422" t="str">
            <v>일반</v>
          </cell>
          <cell r="F422" t="str">
            <v>입고완료</v>
          </cell>
          <cell r="G422">
            <v>205184</v>
          </cell>
          <cell r="H422" t="str">
            <v>단호박(상품 2등분_속제거 KG)</v>
          </cell>
          <cell r="I422" t="str">
            <v>KG</v>
          </cell>
          <cell r="J422">
            <v>2</v>
          </cell>
          <cell r="K422">
            <v>2</v>
          </cell>
          <cell r="L422">
            <v>5440</v>
          </cell>
          <cell r="M422">
            <v>10880</v>
          </cell>
          <cell r="N422">
            <v>0</v>
          </cell>
          <cell r="O422">
            <v>10880</v>
          </cell>
          <cell r="P422">
            <v>0</v>
          </cell>
          <cell r="Q422" t="str">
            <v>뉴질랜드</v>
          </cell>
          <cell r="R422" t="str">
            <v>냉장</v>
          </cell>
          <cell r="S422" t="str">
            <v>KG(1)</v>
          </cell>
          <cell r="T422" t="str">
            <v/>
          </cell>
          <cell r="U422" t="str">
            <v/>
          </cell>
          <cell r="V422" t="str">
            <v>2019-03-04</v>
          </cell>
          <cell r="W422" t="str">
            <v>2019-03-04 09:14:43</v>
          </cell>
          <cell r="X422" t="str">
            <v>더바른푸드</v>
          </cell>
        </row>
        <row r="423">
          <cell r="A423">
            <v>419</v>
          </cell>
          <cell r="B423" t="str">
            <v>2019-03-05</v>
          </cell>
          <cell r="C423" t="str">
            <v>더바른푸드</v>
          </cell>
          <cell r="D423" t="str">
            <v>더바른푸드</v>
          </cell>
          <cell r="E423" t="str">
            <v>일반</v>
          </cell>
          <cell r="F423" t="str">
            <v>입고완료</v>
          </cell>
          <cell r="G423">
            <v>204973</v>
          </cell>
          <cell r="H423" t="str">
            <v>냉동대파(1Kg/PAC)</v>
          </cell>
          <cell r="I423" t="str">
            <v>PAC</v>
          </cell>
          <cell r="J423">
            <v>30</v>
          </cell>
          <cell r="K423">
            <v>30</v>
          </cell>
          <cell r="L423">
            <v>1400</v>
          </cell>
          <cell r="M423">
            <v>42000</v>
          </cell>
          <cell r="N423">
            <v>0</v>
          </cell>
          <cell r="O423">
            <v>42000</v>
          </cell>
          <cell r="P423">
            <v>0</v>
          </cell>
          <cell r="Q423" t="str">
            <v>중국</v>
          </cell>
          <cell r="R423" t="str">
            <v>냉동</v>
          </cell>
          <cell r="S423" t="str">
            <v>PAC(1)</v>
          </cell>
          <cell r="T423" t="str">
            <v/>
          </cell>
          <cell r="U423" t="str">
            <v/>
          </cell>
          <cell r="V423" t="str">
            <v>2019-03-04</v>
          </cell>
          <cell r="W423" t="str">
            <v>2019-03-04 11:31:30</v>
          </cell>
          <cell r="X423" t="str">
            <v>더바른푸드</v>
          </cell>
        </row>
        <row r="424">
          <cell r="A424">
            <v>420</v>
          </cell>
          <cell r="B424" t="str">
            <v>2019-03-05</v>
          </cell>
          <cell r="C424" t="str">
            <v>더바른푸드</v>
          </cell>
          <cell r="D424" t="str">
            <v>더바른푸드</v>
          </cell>
          <cell r="E424" t="str">
            <v>일반</v>
          </cell>
          <cell r="F424" t="str">
            <v>입고완료</v>
          </cell>
          <cell r="G424">
            <v>247931</v>
          </cell>
          <cell r="H424" t="str">
            <v>마당발 냉동다진마늘(1Kg/EA)</v>
          </cell>
          <cell r="I424" t="str">
            <v>EA</v>
          </cell>
          <cell r="J424">
            <v>20</v>
          </cell>
          <cell r="K424">
            <v>20</v>
          </cell>
          <cell r="L424">
            <v>2410</v>
          </cell>
          <cell r="M424">
            <v>48200</v>
          </cell>
          <cell r="N424">
            <v>0</v>
          </cell>
          <cell r="O424">
            <v>48200</v>
          </cell>
          <cell r="P424">
            <v>0</v>
          </cell>
          <cell r="Q424" t="str">
            <v>중국</v>
          </cell>
          <cell r="R424" t="str">
            <v>냉동</v>
          </cell>
          <cell r="S424" t="str">
            <v>EA(10)</v>
          </cell>
          <cell r="T424" t="str">
            <v/>
          </cell>
          <cell r="U424" t="str">
            <v/>
          </cell>
          <cell r="V424" t="str">
            <v>2019-03-04</v>
          </cell>
          <cell r="W424" t="str">
            <v>2019-03-04 11:31:30</v>
          </cell>
          <cell r="X424" t="str">
            <v>더바른푸드</v>
          </cell>
        </row>
        <row r="425">
          <cell r="A425">
            <v>421</v>
          </cell>
          <cell r="B425" t="str">
            <v>2019-03-05</v>
          </cell>
          <cell r="C425" t="str">
            <v>더바른푸드</v>
          </cell>
          <cell r="D425" t="str">
            <v>더바른푸드</v>
          </cell>
          <cell r="E425" t="str">
            <v>일반</v>
          </cell>
          <cell r="F425" t="str">
            <v>입고완료</v>
          </cell>
          <cell r="G425">
            <v>267889</v>
          </cell>
          <cell r="H425" t="str">
            <v>코주부B&amp;F 베이컨(파지 1Kg/EA)</v>
          </cell>
          <cell r="I425" t="str">
            <v>EA</v>
          </cell>
          <cell r="J425">
            <v>5</v>
          </cell>
          <cell r="K425">
            <v>5</v>
          </cell>
          <cell r="L425">
            <v>8360</v>
          </cell>
          <cell r="M425">
            <v>41800</v>
          </cell>
          <cell r="N425">
            <v>4180</v>
          </cell>
          <cell r="O425">
            <v>45980</v>
          </cell>
          <cell r="P425">
            <v>0</v>
          </cell>
          <cell r="Q425" t="str">
            <v/>
          </cell>
          <cell r="R425" t="str">
            <v>냉동</v>
          </cell>
          <cell r="S425" t="str">
            <v>EA(10)</v>
          </cell>
          <cell r="T425" t="str">
            <v/>
          </cell>
          <cell r="U425" t="str">
            <v/>
          </cell>
          <cell r="V425" t="str">
            <v>2019-03-04</v>
          </cell>
          <cell r="W425" t="str">
            <v>2019-03-04 15:19:25</v>
          </cell>
          <cell r="X425" t="str">
            <v>더바른푸드</v>
          </cell>
        </row>
        <row r="426">
          <cell r="A426">
            <v>422</v>
          </cell>
          <cell r="B426" t="str">
            <v>2019-03-05</v>
          </cell>
          <cell r="C426" t="str">
            <v>더바른푸드</v>
          </cell>
          <cell r="D426" t="str">
            <v>더바른푸드</v>
          </cell>
          <cell r="E426" t="str">
            <v>일반</v>
          </cell>
          <cell r="F426" t="str">
            <v>입고완료</v>
          </cell>
          <cell r="G426">
            <v>420010</v>
          </cell>
          <cell r="H426" t="str">
            <v>알로팜 계란(왕란_무항생제_68g*30입 2.04Kg/EA)</v>
          </cell>
          <cell r="I426" t="str">
            <v>EA</v>
          </cell>
          <cell r="J426">
            <v>35</v>
          </cell>
          <cell r="K426">
            <v>35</v>
          </cell>
          <cell r="L426">
            <v>4130</v>
          </cell>
          <cell r="M426">
            <v>144550</v>
          </cell>
          <cell r="N426">
            <v>0</v>
          </cell>
          <cell r="O426">
            <v>144550</v>
          </cell>
          <cell r="P426">
            <v>144550</v>
          </cell>
          <cell r="Q426" t="str">
            <v>한국</v>
          </cell>
          <cell r="R426" t="str">
            <v>냉장</v>
          </cell>
          <cell r="S426" t="str">
            <v>EA(1)</v>
          </cell>
          <cell r="T426" t="str">
            <v/>
          </cell>
          <cell r="U426" t="str">
            <v/>
          </cell>
          <cell r="V426" t="str">
            <v>2019-03-04</v>
          </cell>
          <cell r="W426" t="str">
            <v>2019-03-04 15:23:04</v>
          </cell>
          <cell r="X426" t="str">
            <v>더바른푸드</v>
          </cell>
        </row>
        <row r="427">
          <cell r="A427">
            <v>423</v>
          </cell>
          <cell r="B427" t="str">
            <v>2019-03-05</v>
          </cell>
          <cell r="C427" t="str">
            <v>더바른푸드</v>
          </cell>
          <cell r="D427" t="str">
            <v>더바른푸드</v>
          </cell>
          <cell r="E427" t="str">
            <v>일반</v>
          </cell>
          <cell r="F427" t="str">
            <v>입고완료</v>
          </cell>
          <cell r="G427">
            <v>208502</v>
          </cell>
          <cell r="H427" t="str">
            <v>세척당근(3L 10Kg/EA)</v>
          </cell>
          <cell r="I427" t="str">
            <v>EA</v>
          </cell>
          <cell r="J427">
            <v>1</v>
          </cell>
          <cell r="K427">
            <v>1</v>
          </cell>
          <cell r="L427">
            <v>12370</v>
          </cell>
          <cell r="M427">
            <v>12370</v>
          </cell>
          <cell r="N427">
            <v>0</v>
          </cell>
          <cell r="O427">
            <v>12370</v>
          </cell>
          <cell r="P427">
            <v>0</v>
          </cell>
          <cell r="Q427" t="str">
            <v>중국</v>
          </cell>
          <cell r="R427" t="str">
            <v>실온</v>
          </cell>
          <cell r="S427" t="str">
            <v>EA(1)</v>
          </cell>
          <cell r="T427" t="str">
            <v/>
          </cell>
          <cell r="U427" t="str">
            <v/>
          </cell>
          <cell r="V427" t="str">
            <v>2019-03-04</v>
          </cell>
          <cell r="W427" t="str">
            <v>2019-03-04 15:23:36</v>
          </cell>
          <cell r="X427" t="str">
            <v>더바른푸드</v>
          </cell>
        </row>
        <row r="428">
          <cell r="A428">
            <v>424</v>
          </cell>
          <cell r="B428" t="str">
            <v>2019-03-05</v>
          </cell>
          <cell r="C428" t="str">
            <v>더바른푸드</v>
          </cell>
          <cell r="D428" t="str">
            <v>더바른푸드</v>
          </cell>
          <cell r="E428" t="str">
            <v>일반</v>
          </cell>
          <cell r="F428" t="str">
            <v>입고완료</v>
          </cell>
          <cell r="G428">
            <v>200840</v>
          </cell>
          <cell r="H428" t="str">
            <v>깐우엉채(KG)</v>
          </cell>
          <cell r="I428" t="str">
            <v>KG</v>
          </cell>
          <cell r="J428">
            <v>3</v>
          </cell>
          <cell r="K428">
            <v>3</v>
          </cell>
          <cell r="L428">
            <v>3260</v>
          </cell>
          <cell r="M428">
            <v>9780</v>
          </cell>
          <cell r="N428">
            <v>0</v>
          </cell>
          <cell r="O428">
            <v>9780</v>
          </cell>
          <cell r="P428">
            <v>0</v>
          </cell>
          <cell r="Q428" t="str">
            <v>중국</v>
          </cell>
          <cell r="R428" t="str">
            <v>냉장</v>
          </cell>
          <cell r="S428" t="str">
            <v>KG(1)</v>
          </cell>
          <cell r="T428" t="str">
            <v/>
          </cell>
          <cell r="U428" t="str">
            <v/>
          </cell>
          <cell r="V428" t="str">
            <v>2019-03-04</v>
          </cell>
          <cell r="W428" t="str">
            <v>2019-03-04 15:27:02</v>
          </cell>
          <cell r="X428" t="str">
            <v>더바른푸드</v>
          </cell>
        </row>
        <row r="429">
          <cell r="A429">
            <v>425</v>
          </cell>
          <cell r="B429" t="str">
            <v>2019-03-05</v>
          </cell>
          <cell r="C429" t="str">
            <v>더바른푸드</v>
          </cell>
          <cell r="D429" t="str">
            <v>더바른푸드</v>
          </cell>
          <cell r="E429" t="str">
            <v>일반</v>
          </cell>
          <cell r="F429" t="str">
            <v>입고완료</v>
          </cell>
          <cell r="G429">
            <v>228745</v>
          </cell>
          <cell r="H429" t="str">
            <v>임연수(내장제거_90~110g/토막 구이용 KG)</v>
          </cell>
          <cell r="I429" t="str">
            <v>KG</v>
          </cell>
          <cell r="J429">
            <v>7</v>
          </cell>
          <cell r="K429">
            <v>7</v>
          </cell>
          <cell r="L429">
            <v>8780</v>
          </cell>
          <cell r="M429">
            <v>61460</v>
          </cell>
          <cell r="N429">
            <v>0</v>
          </cell>
          <cell r="O429">
            <v>61460</v>
          </cell>
          <cell r="P429">
            <v>0</v>
          </cell>
          <cell r="Q429" t="str">
            <v>미국</v>
          </cell>
          <cell r="R429" t="str">
            <v>냉동</v>
          </cell>
          <cell r="S429" t="str">
            <v>KG(1)</v>
          </cell>
          <cell r="T429" t="str">
            <v/>
          </cell>
          <cell r="U429" t="str">
            <v/>
          </cell>
          <cell r="V429" t="str">
            <v>2019-03-04</v>
          </cell>
          <cell r="W429" t="str">
            <v>2019-03-04 15:33:07</v>
          </cell>
          <cell r="X429" t="str">
            <v>더바른푸드</v>
          </cell>
        </row>
        <row r="430">
          <cell r="A430">
            <v>426</v>
          </cell>
          <cell r="B430" t="str">
            <v>2019-03-05</v>
          </cell>
          <cell r="C430" t="str">
            <v>더바른푸드</v>
          </cell>
          <cell r="D430" t="str">
            <v>더바른푸드</v>
          </cell>
          <cell r="E430" t="str">
            <v>일반</v>
          </cell>
          <cell r="F430" t="str">
            <v>입고완료</v>
          </cell>
          <cell r="G430">
            <v>252267</v>
          </cell>
          <cell r="H430" t="str">
            <v>이츠웰 주방세제(리뉴얼_그린알로_13kg EA)</v>
          </cell>
          <cell r="I430" t="str">
            <v>EA</v>
          </cell>
          <cell r="J430">
            <v>2</v>
          </cell>
          <cell r="K430">
            <v>2</v>
          </cell>
          <cell r="L430">
            <v>11190</v>
          </cell>
          <cell r="M430">
            <v>22380</v>
          </cell>
          <cell r="N430">
            <v>2238</v>
          </cell>
          <cell r="O430">
            <v>24618</v>
          </cell>
          <cell r="P430">
            <v>0</v>
          </cell>
          <cell r="Q430" t="str">
            <v/>
          </cell>
          <cell r="R430" t="str">
            <v>실온</v>
          </cell>
          <cell r="S430" t="str">
            <v>EA(1)</v>
          </cell>
          <cell r="T430" t="str">
            <v/>
          </cell>
          <cell r="U430" t="str">
            <v/>
          </cell>
          <cell r="V430" t="str">
            <v>2019-03-04</v>
          </cell>
          <cell r="W430" t="str">
            <v>2019-03-04 16:17:20</v>
          </cell>
          <cell r="X430" t="str">
            <v>더바른푸드</v>
          </cell>
        </row>
        <row r="431">
          <cell r="A431">
            <v>427</v>
          </cell>
          <cell r="B431" t="str">
            <v>2019-03-05</v>
          </cell>
          <cell r="C431" t="str">
            <v>더바른푸드</v>
          </cell>
          <cell r="D431" t="str">
            <v>더바른푸드</v>
          </cell>
          <cell r="E431" t="str">
            <v>일반</v>
          </cell>
          <cell r="F431" t="str">
            <v>입고완료</v>
          </cell>
          <cell r="G431">
            <v>211037</v>
          </cell>
          <cell r="H431" t="str">
            <v>느타리버섯(실속 균상 2Kg/EA)</v>
          </cell>
          <cell r="I431" t="str">
            <v>BOX</v>
          </cell>
          <cell r="J431">
            <v>2</v>
          </cell>
          <cell r="K431">
            <v>2</v>
          </cell>
          <cell r="L431">
            <v>12330</v>
          </cell>
          <cell r="M431">
            <v>24660</v>
          </cell>
          <cell r="N431">
            <v>0</v>
          </cell>
          <cell r="O431">
            <v>24660</v>
          </cell>
          <cell r="P431">
            <v>0</v>
          </cell>
          <cell r="Q431" t="str">
            <v>한국</v>
          </cell>
          <cell r="R431" t="str">
            <v>냉장</v>
          </cell>
          <cell r="S431" t="str">
            <v>EA(1)</v>
          </cell>
          <cell r="T431" t="str">
            <v/>
          </cell>
          <cell r="U431" t="str">
            <v>전일 반품건</v>
          </cell>
          <cell r="V431" t="str">
            <v>2019-03-04</v>
          </cell>
          <cell r="W431" t="str">
            <v>2019-03-04 12:47:18</v>
          </cell>
          <cell r="X431" t="str">
            <v>hees1005</v>
          </cell>
        </row>
        <row r="432">
          <cell r="A432">
            <v>428</v>
          </cell>
          <cell r="B432" t="str">
            <v>2019-03-04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</row>
        <row r="433">
          <cell r="A433">
            <v>429</v>
          </cell>
          <cell r="B433" t="str">
            <v>2019-03-04</v>
          </cell>
          <cell r="C433" t="str">
            <v>더바른푸드</v>
          </cell>
          <cell r="D433" t="str">
            <v>더바른푸드</v>
          </cell>
          <cell r="E433" t="str">
            <v>일반</v>
          </cell>
          <cell r="F433" t="str">
            <v>입고완료</v>
          </cell>
          <cell r="G433">
            <v>192872</v>
          </cell>
          <cell r="H433" t="str">
            <v>소이원 콩나물(곱슬이_단채 4Kg/BOX)</v>
          </cell>
          <cell r="I433" t="str">
            <v>BOX</v>
          </cell>
          <cell r="J433">
            <v>7</v>
          </cell>
          <cell r="K433">
            <v>7</v>
          </cell>
          <cell r="L433">
            <v>4240</v>
          </cell>
          <cell r="M433">
            <v>29680</v>
          </cell>
          <cell r="N433">
            <v>0</v>
          </cell>
          <cell r="O433">
            <v>29680</v>
          </cell>
          <cell r="P433">
            <v>0</v>
          </cell>
          <cell r="Q433" t="str">
            <v>외국산</v>
          </cell>
          <cell r="R433" t="str">
            <v>냉장</v>
          </cell>
          <cell r="S433" t="str">
            <v>BOX(1)</v>
          </cell>
          <cell r="T433" t="str">
            <v/>
          </cell>
          <cell r="U433" t="str">
            <v/>
          </cell>
          <cell r="V433" t="str">
            <v>2019-02-28</v>
          </cell>
          <cell r="W433" t="str">
            <v>2019-02-28 11:55:41</v>
          </cell>
          <cell r="X433" t="str">
            <v>더바른푸드</v>
          </cell>
        </row>
        <row r="434">
          <cell r="A434">
            <v>430</v>
          </cell>
          <cell r="B434" t="str">
            <v>2019-03-04</v>
          </cell>
          <cell r="C434" t="str">
            <v>더바른푸드</v>
          </cell>
          <cell r="D434" t="str">
            <v>더바른푸드</v>
          </cell>
          <cell r="E434" t="str">
            <v>일반</v>
          </cell>
          <cell r="F434" t="str">
            <v>입고완료</v>
          </cell>
          <cell r="G434">
            <v>130603</v>
          </cell>
          <cell r="H434" t="str">
            <v>이츠웰 탱글탱글새우까스(60g*10입 600g/EA)</v>
          </cell>
          <cell r="I434" t="str">
            <v>EA</v>
          </cell>
          <cell r="J434">
            <v>94</v>
          </cell>
          <cell r="K434">
            <v>94</v>
          </cell>
          <cell r="L434">
            <v>6310</v>
          </cell>
          <cell r="M434">
            <v>593140</v>
          </cell>
          <cell r="N434">
            <v>59314</v>
          </cell>
          <cell r="O434">
            <v>652454</v>
          </cell>
          <cell r="P434">
            <v>0</v>
          </cell>
          <cell r="Q434" t="str">
            <v/>
          </cell>
          <cell r="R434" t="str">
            <v>냉동</v>
          </cell>
          <cell r="S434" t="str">
            <v>EA(10)</v>
          </cell>
          <cell r="T434" t="str">
            <v/>
          </cell>
          <cell r="U434" t="str">
            <v/>
          </cell>
          <cell r="V434" t="str">
            <v>2019-02-28</v>
          </cell>
          <cell r="W434" t="str">
            <v>2019-02-28 12:05:44</v>
          </cell>
          <cell r="X434" t="str">
            <v>더바른푸드</v>
          </cell>
        </row>
        <row r="435">
          <cell r="A435">
            <v>431</v>
          </cell>
          <cell r="B435" t="str">
            <v>2019-03-04</v>
          </cell>
          <cell r="C435" t="str">
            <v>더바른푸드</v>
          </cell>
          <cell r="D435" t="str">
            <v>더바른푸드</v>
          </cell>
          <cell r="E435" t="str">
            <v>일반</v>
          </cell>
          <cell r="F435" t="str">
            <v>입고완료</v>
          </cell>
          <cell r="G435">
            <v>175493</v>
          </cell>
          <cell r="H435" t="str">
            <v>덴마크 흰우유(1L_클래식 1Kg/EA)</v>
          </cell>
          <cell r="I435" t="str">
            <v>EA</v>
          </cell>
          <cell r="J435">
            <v>3</v>
          </cell>
          <cell r="K435">
            <v>3</v>
          </cell>
          <cell r="L435">
            <v>1940</v>
          </cell>
          <cell r="M435">
            <v>5820</v>
          </cell>
          <cell r="N435">
            <v>0</v>
          </cell>
          <cell r="O435">
            <v>5820</v>
          </cell>
          <cell r="P435">
            <v>0</v>
          </cell>
          <cell r="Q435" t="str">
            <v>한국</v>
          </cell>
          <cell r="R435" t="str">
            <v>냉장</v>
          </cell>
          <cell r="S435" t="str">
            <v>EA(1)</v>
          </cell>
          <cell r="T435" t="str">
            <v/>
          </cell>
          <cell r="U435" t="str">
            <v/>
          </cell>
          <cell r="V435" t="str">
            <v>2019-02-28</v>
          </cell>
          <cell r="W435" t="str">
            <v>2019-02-28 12:12:42</v>
          </cell>
          <cell r="X435" t="str">
            <v>더바른푸드</v>
          </cell>
        </row>
        <row r="436">
          <cell r="A436">
            <v>432</v>
          </cell>
          <cell r="B436" t="str">
            <v>2019-03-04</v>
          </cell>
          <cell r="C436" t="str">
            <v>더바른푸드</v>
          </cell>
          <cell r="D436" t="str">
            <v>더바른푸드</v>
          </cell>
          <cell r="E436" t="str">
            <v>일반</v>
          </cell>
          <cell r="F436" t="str">
            <v>입고완료</v>
          </cell>
          <cell r="G436">
            <v>219387</v>
          </cell>
          <cell r="H436" t="str">
            <v>냉동배추우거지(1Kg/EA)</v>
          </cell>
          <cell r="I436" t="str">
            <v>EA</v>
          </cell>
          <cell r="J436">
            <v>80</v>
          </cell>
          <cell r="K436">
            <v>80</v>
          </cell>
          <cell r="L436">
            <v>1460</v>
          </cell>
          <cell r="M436">
            <v>116800</v>
          </cell>
          <cell r="N436">
            <v>11680</v>
          </cell>
          <cell r="O436">
            <v>128480</v>
          </cell>
          <cell r="P436">
            <v>0</v>
          </cell>
          <cell r="Q436" t="str">
            <v>중국</v>
          </cell>
          <cell r="R436" t="str">
            <v>냉동</v>
          </cell>
          <cell r="S436" t="str">
            <v>EA(1)</v>
          </cell>
          <cell r="T436" t="str">
            <v/>
          </cell>
          <cell r="U436" t="str">
            <v/>
          </cell>
          <cell r="V436" t="str">
            <v>2019-02-28</v>
          </cell>
          <cell r="W436" t="str">
            <v>2019-02-28 12:37:56</v>
          </cell>
          <cell r="X436" t="str">
            <v>더바른푸드</v>
          </cell>
        </row>
        <row r="437">
          <cell r="A437">
            <v>433</v>
          </cell>
          <cell r="B437" t="str">
            <v>2019-03-04</v>
          </cell>
          <cell r="C437" t="str">
            <v>더바른푸드</v>
          </cell>
          <cell r="D437" t="str">
            <v>더바른푸드</v>
          </cell>
          <cell r="E437" t="str">
            <v>일반</v>
          </cell>
          <cell r="F437" t="str">
            <v>입고완료</v>
          </cell>
          <cell r="G437">
            <v>410401</v>
          </cell>
          <cell r="H437" t="str">
            <v>체리부로 닭다리살(무항생_100±10g/덩어리_껍질있음 KG)</v>
          </cell>
          <cell r="I437" t="str">
            <v>KG</v>
          </cell>
          <cell r="J437">
            <v>102</v>
          </cell>
          <cell r="K437">
            <v>102</v>
          </cell>
          <cell r="L437">
            <v>9450</v>
          </cell>
          <cell r="M437">
            <v>963900</v>
          </cell>
          <cell r="N437">
            <v>0</v>
          </cell>
          <cell r="O437">
            <v>963900</v>
          </cell>
          <cell r="P437">
            <v>963900</v>
          </cell>
          <cell r="Q437" t="str">
            <v>한국</v>
          </cell>
          <cell r="R437" t="str">
            <v>냉장</v>
          </cell>
          <cell r="S437" t="str">
            <v>KG(1)</v>
          </cell>
          <cell r="T437" t="str">
            <v/>
          </cell>
          <cell r="U437" t="str">
            <v/>
          </cell>
          <cell r="V437" t="str">
            <v>2019-02-28</v>
          </cell>
          <cell r="W437" t="str">
            <v>2019-02-28 13:16:11</v>
          </cell>
          <cell r="X437" t="str">
            <v>더바른푸드</v>
          </cell>
        </row>
        <row r="438">
          <cell r="A438">
            <v>434</v>
          </cell>
          <cell r="B438" t="str">
            <v>2019-03-04</v>
          </cell>
          <cell r="C438" t="str">
            <v>더바른푸드</v>
          </cell>
          <cell r="D438" t="str">
            <v>더바른푸드</v>
          </cell>
          <cell r="E438" t="str">
            <v>일반</v>
          </cell>
          <cell r="F438" t="str">
            <v>입고완료</v>
          </cell>
          <cell r="G438">
            <v>205184</v>
          </cell>
          <cell r="H438" t="str">
            <v>단호박(상품 2등분_속제거 KG)</v>
          </cell>
          <cell r="I438" t="str">
            <v>KG</v>
          </cell>
          <cell r="J438">
            <v>2</v>
          </cell>
          <cell r="K438">
            <v>2</v>
          </cell>
          <cell r="L438">
            <v>5440</v>
          </cell>
          <cell r="M438">
            <v>10880</v>
          </cell>
          <cell r="N438">
            <v>0</v>
          </cell>
          <cell r="O438">
            <v>10880</v>
          </cell>
          <cell r="P438">
            <v>0</v>
          </cell>
          <cell r="Q438" t="str">
            <v>뉴질랜드</v>
          </cell>
          <cell r="R438" t="str">
            <v>냉장</v>
          </cell>
          <cell r="S438" t="str">
            <v>KG(1)</v>
          </cell>
          <cell r="T438" t="str">
            <v/>
          </cell>
          <cell r="U438" t="str">
            <v/>
          </cell>
          <cell r="V438" t="str">
            <v>2019-02-28</v>
          </cell>
          <cell r="W438" t="str">
            <v>2019-02-28 13:36:24</v>
          </cell>
          <cell r="X438" t="str">
            <v>더바른푸드</v>
          </cell>
        </row>
        <row r="439">
          <cell r="A439">
            <v>435</v>
          </cell>
          <cell r="B439" t="str">
            <v>2019-03-04</v>
          </cell>
          <cell r="C439" t="str">
            <v>더바른푸드</v>
          </cell>
          <cell r="D439" t="str">
            <v>더바른푸드</v>
          </cell>
          <cell r="E439" t="str">
            <v>일반</v>
          </cell>
          <cell r="F439" t="str">
            <v>입고완료</v>
          </cell>
          <cell r="G439">
            <v>202724</v>
          </cell>
          <cell r="H439" t="str">
            <v>적두(1Kg/EA)</v>
          </cell>
          <cell r="I439" t="str">
            <v>EA</v>
          </cell>
          <cell r="J439">
            <v>1</v>
          </cell>
          <cell r="K439">
            <v>1</v>
          </cell>
          <cell r="L439">
            <v>17370</v>
          </cell>
          <cell r="M439">
            <v>17370</v>
          </cell>
          <cell r="N439">
            <v>0</v>
          </cell>
          <cell r="O439">
            <v>17370</v>
          </cell>
          <cell r="P439">
            <v>0</v>
          </cell>
          <cell r="Q439" t="str">
            <v>한국</v>
          </cell>
          <cell r="R439" t="str">
            <v>실온</v>
          </cell>
          <cell r="S439" t="str">
            <v>EA(1)</v>
          </cell>
          <cell r="T439" t="str">
            <v/>
          </cell>
          <cell r="U439" t="str">
            <v/>
          </cell>
          <cell r="V439" t="str">
            <v>2019-02-28</v>
          </cell>
          <cell r="W439" t="str">
            <v>2019-02-28 13:36:24</v>
          </cell>
          <cell r="X439" t="str">
            <v>더바른푸드</v>
          </cell>
        </row>
        <row r="440">
          <cell r="A440">
            <v>436</v>
          </cell>
          <cell r="B440" t="str">
            <v>2019-03-04</v>
          </cell>
          <cell r="C440" t="str">
            <v>더바른푸드</v>
          </cell>
          <cell r="D440" t="str">
            <v>더바른푸드</v>
          </cell>
          <cell r="E440" t="str">
            <v>일반</v>
          </cell>
          <cell r="F440" t="str">
            <v>입고완료</v>
          </cell>
          <cell r="G440">
            <v>201052</v>
          </cell>
          <cell r="H440" t="str">
            <v>소이원 숙주나물(상품 상 KG)</v>
          </cell>
          <cell r="I440" t="str">
            <v>KG</v>
          </cell>
          <cell r="J440">
            <v>2</v>
          </cell>
          <cell r="K440">
            <v>2</v>
          </cell>
          <cell r="L440">
            <v>1420</v>
          </cell>
          <cell r="M440">
            <v>2840</v>
          </cell>
          <cell r="N440">
            <v>0</v>
          </cell>
          <cell r="O440">
            <v>2840</v>
          </cell>
          <cell r="P440">
            <v>0</v>
          </cell>
          <cell r="Q440" t="str">
            <v>외국산</v>
          </cell>
          <cell r="R440" t="str">
            <v>냉장</v>
          </cell>
          <cell r="S440" t="str">
            <v>KG(1)</v>
          </cell>
          <cell r="T440" t="str">
            <v/>
          </cell>
          <cell r="U440" t="str">
            <v/>
          </cell>
          <cell r="V440" t="str">
            <v>2019-02-28</v>
          </cell>
          <cell r="W440" t="str">
            <v>2019-02-28 13:37:45</v>
          </cell>
          <cell r="X440" t="str">
            <v>더바른푸드</v>
          </cell>
        </row>
        <row r="441">
          <cell r="A441">
            <v>437</v>
          </cell>
          <cell r="B441" t="str">
            <v>2019-03-04</v>
          </cell>
          <cell r="C441" t="str">
            <v>더바른푸드</v>
          </cell>
          <cell r="D441" t="str">
            <v>더바른푸드</v>
          </cell>
          <cell r="E441" t="str">
            <v>일반</v>
          </cell>
          <cell r="F441" t="str">
            <v>입고완료</v>
          </cell>
          <cell r="G441">
            <v>114170</v>
          </cell>
          <cell r="H441" t="str">
            <v>냉동브로컬리(1Kg/EA)</v>
          </cell>
          <cell r="I441" t="str">
            <v>EA</v>
          </cell>
          <cell r="J441">
            <v>3</v>
          </cell>
          <cell r="K441">
            <v>3</v>
          </cell>
          <cell r="L441">
            <v>2370</v>
          </cell>
          <cell r="M441">
            <v>7110</v>
          </cell>
          <cell r="N441">
            <v>711</v>
          </cell>
          <cell r="O441">
            <v>7821</v>
          </cell>
          <cell r="P441">
            <v>0</v>
          </cell>
          <cell r="Q441" t="str">
            <v>중국</v>
          </cell>
          <cell r="R441" t="str">
            <v>냉동</v>
          </cell>
          <cell r="S441" t="str">
            <v>EA(10)</v>
          </cell>
          <cell r="T441" t="str">
            <v/>
          </cell>
          <cell r="U441" t="str">
            <v/>
          </cell>
          <cell r="V441" t="str">
            <v>2019-02-28</v>
          </cell>
          <cell r="W441" t="str">
            <v>2019-02-28 14:12:25</v>
          </cell>
          <cell r="X441" t="str">
            <v>더바른푸드</v>
          </cell>
        </row>
        <row r="442">
          <cell r="A442">
            <v>438</v>
          </cell>
          <cell r="B442" t="str">
            <v>2019-03-04</v>
          </cell>
          <cell r="C442" t="str">
            <v>더바른푸드</v>
          </cell>
          <cell r="D442" t="str">
            <v>더바른푸드</v>
          </cell>
          <cell r="E442" t="str">
            <v>일반</v>
          </cell>
          <cell r="F442" t="str">
            <v>입고완료</v>
          </cell>
          <cell r="G442">
            <v>211037</v>
          </cell>
          <cell r="H442" t="str">
            <v>느타리버섯(실속 균상 2Kg/EA)</v>
          </cell>
          <cell r="I442" t="str">
            <v>BOX</v>
          </cell>
          <cell r="J442">
            <v>11</v>
          </cell>
          <cell r="K442">
            <v>11</v>
          </cell>
          <cell r="L442">
            <v>12330</v>
          </cell>
          <cell r="M442">
            <v>135630</v>
          </cell>
          <cell r="N442">
            <v>0</v>
          </cell>
          <cell r="O442">
            <v>135630</v>
          </cell>
          <cell r="P442">
            <v>0</v>
          </cell>
          <cell r="Q442" t="str">
            <v>한국</v>
          </cell>
          <cell r="R442" t="str">
            <v>냉장</v>
          </cell>
          <cell r="S442" t="str">
            <v>EA(1)</v>
          </cell>
          <cell r="T442" t="str">
            <v/>
          </cell>
          <cell r="U442" t="str">
            <v>파란비닐에1차 포장 부탁드립니다.크기는 작은것으로 부탁드립니다. 감사합니다.</v>
          </cell>
          <cell r="V442" t="str">
            <v>2019-02-28</v>
          </cell>
          <cell r="W442" t="str">
            <v>2019-02-28 14:55:50</v>
          </cell>
          <cell r="X442" t="str">
            <v>더바른푸드</v>
          </cell>
        </row>
        <row r="443">
          <cell r="A443">
            <v>439</v>
          </cell>
          <cell r="B443" t="str">
            <v>2019-03-04</v>
          </cell>
          <cell r="C443" t="str">
            <v>더바른푸드</v>
          </cell>
          <cell r="D443" t="str">
            <v>더바른푸드</v>
          </cell>
          <cell r="E443" t="str">
            <v>일반</v>
          </cell>
          <cell r="F443" t="str">
            <v>입고완료</v>
          </cell>
          <cell r="G443">
            <v>260308</v>
          </cell>
          <cell r="H443" t="str">
            <v>청아띠 자연담은고춧가루(양념용 1Kg/EA)</v>
          </cell>
          <cell r="I443" t="str">
            <v>EA</v>
          </cell>
          <cell r="J443">
            <v>5</v>
          </cell>
          <cell r="K443">
            <v>5</v>
          </cell>
          <cell r="L443">
            <v>26690</v>
          </cell>
          <cell r="M443">
            <v>133450</v>
          </cell>
          <cell r="N443">
            <v>0</v>
          </cell>
          <cell r="O443">
            <v>133450</v>
          </cell>
          <cell r="P443">
            <v>0</v>
          </cell>
          <cell r="Q443" t="str">
            <v>한국</v>
          </cell>
          <cell r="R443" t="str">
            <v>실온</v>
          </cell>
          <cell r="S443" t="str">
            <v>EA(10)</v>
          </cell>
          <cell r="T443" t="str">
            <v/>
          </cell>
          <cell r="U443" t="str">
            <v/>
          </cell>
          <cell r="V443" t="str">
            <v>2019-02-28</v>
          </cell>
          <cell r="W443" t="str">
            <v>2019-02-28 14:57:25</v>
          </cell>
          <cell r="X443" t="str">
            <v>더바른푸드</v>
          </cell>
        </row>
        <row r="444">
          <cell r="A444">
            <v>440</v>
          </cell>
          <cell r="B444" t="str">
            <v>2019-03-04</v>
          </cell>
          <cell r="C444" t="str">
            <v>더바른푸드</v>
          </cell>
          <cell r="D444" t="str">
            <v>더바른푸드</v>
          </cell>
          <cell r="E444" t="str">
            <v>일반</v>
          </cell>
          <cell r="F444" t="str">
            <v>입고완료</v>
          </cell>
          <cell r="G444">
            <v>190732</v>
          </cell>
          <cell r="H444" t="str">
            <v>이츠웰 볶음참깨(1Kg/EA)</v>
          </cell>
          <cell r="I444" t="str">
            <v>EA</v>
          </cell>
          <cell r="J444">
            <v>5</v>
          </cell>
          <cell r="K444">
            <v>5</v>
          </cell>
          <cell r="L444">
            <v>6990</v>
          </cell>
          <cell r="M444">
            <v>34950</v>
          </cell>
          <cell r="N444">
            <v>3495</v>
          </cell>
          <cell r="O444">
            <v>38445</v>
          </cell>
          <cell r="P444">
            <v>0</v>
          </cell>
          <cell r="Q444" t="str">
            <v/>
          </cell>
          <cell r="R444" t="str">
            <v>실온</v>
          </cell>
          <cell r="S444" t="str">
            <v>EA(10)</v>
          </cell>
          <cell r="T444" t="str">
            <v/>
          </cell>
          <cell r="U444" t="str">
            <v/>
          </cell>
          <cell r="V444" t="str">
            <v>2019-02-28</v>
          </cell>
          <cell r="W444" t="str">
            <v>2019-02-28 14:57:25</v>
          </cell>
          <cell r="X444" t="str">
            <v>더바른푸드</v>
          </cell>
        </row>
        <row r="445">
          <cell r="A445">
            <v>441</v>
          </cell>
          <cell r="B445" t="str">
            <v>2019-03-04</v>
          </cell>
          <cell r="C445" t="str">
            <v>더바른푸드</v>
          </cell>
          <cell r="D445" t="str">
            <v>더바른푸드</v>
          </cell>
          <cell r="E445" t="str">
            <v>일반</v>
          </cell>
          <cell r="F445" t="str">
            <v>입고완료</v>
          </cell>
          <cell r="G445">
            <v>200141</v>
          </cell>
          <cell r="H445" t="str">
            <v>차조(일반 1Kg/EA)</v>
          </cell>
          <cell r="I445" t="str">
            <v>EA</v>
          </cell>
          <cell r="J445">
            <v>10</v>
          </cell>
          <cell r="K445">
            <v>10</v>
          </cell>
          <cell r="L445">
            <v>2850</v>
          </cell>
          <cell r="M445">
            <v>28500</v>
          </cell>
          <cell r="N445">
            <v>0</v>
          </cell>
          <cell r="O445">
            <v>28500</v>
          </cell>
          <cell r="P445">
            <v>0</v>
          </cell>
          <cell r="Q445" t="str">
            <v>중국</v>
          </cell>
          <cell r="R445" t="str">
            <v>실온</v>
          </cell>
          <cell r="S445" t="str">
            <v>EA(1)</v>
          </cell>
          <cell r="T445" t="str">
            <v/>
          </cell>
          <cell r="U445" t="str">
            <v/>
          </cell>
          <cell r="V445" t="str">
            <v>2019-02-28</v>
          </cell>
          <cell r="W445" t="str">
            <v>2019-02-28 14:57:25</v>
          </cell>
          <cell r="X445" t="str">
            <v>더바른푸드</v>
          </cell>
        </row>
        <row r="446">
          <cell r="A446">
            <v>442</v>
          </cell>
          <cell r="B446" t="str">
            <v>2019-03-04</v>
          </cell>
          <cell r="C446" t="str">
            <v>더바른푸드</v>
          </cell>
          <cell r="D446" t="str">
            <v>더바른푸드</v>
          </cell>
          <cell r="E446" t="str">
            <v>일반</v>
          </cell>
          <cell r="F446" t="str">
            <v>입고완료</v>
          </cell>
          <cell r="G446">
            <v>201906</v>
          </cell>
          <cell r="H446" t="str">
            <v>쌀보리(일반 1Kg/EA)</v>
          </cell>
          <cell r="I446" t="str">
            <v>EA</v>
          </cell>
          <cell r="J446">
            <v>10</v>
          </cell>
          <cell r="K446">
            <v>10</v>
          </cell>
          <cell r="L446">
            <v>2640</v>
          </cell>
          <cell r="M446">
            <v>26400</v>
          </cell>
          <cell r="N446">
            <v>0</v>
          </cell>
          <cell r="O446">
            <v>26400</v>
          </cell>
          <cell r="P446">
            <v>0</v>
          </cell>
          <cell r="Q446" t="str">
            <v>한국</v>
          </cell>
          <cell r="R446" t="str">
            <v>실온</v>
          </cell>
          <cell r="S446" t="str">
            <v>EA(1)</v>
          </cell>
          <cell r="T446" t="str">
            <v/>
          </cell>
          <cell r="U446" t="str">
            <v/>
          </cell>
          <cell r="V446" t="str">
            <v>2019-02-28</v>
          </cell>
          <cell r="W446" t="str">
            <v>2019-02-28 14:57:25</v>
          </cell>
          <cell r="X446" t="str">
            <v>더바른푸드</v>
          </cell>
        </row>
        <row r="447">
          <cell r="A447">
            <v>443</v>
          </cell>
          <cell r="B447" t="str">
            <v>2019-03-04</v>
          </cell>
          <cell r="C447" t="str">
            <v>더바른푸드</v>
          </cell>
          <cell r="D447" t="str">
            <v>더바른푸드</v>
          </cell>
          <cell r="E447" t="str">
            <v>일반</v>
          </cell>
          <cell r="F447" t="str">
            <v>입고완료</v>
          </cell>
          <cell r="G447">
            <v>135871</v>
          </cell>
          <cell r="H447" t="str">
            <v>이츠웰 대두유(18L 16.506Kg/EA)</v>
          </cell>
          <cell r="I447" t="str">
            <v>EA</v>
          </cell>
          <cell r="J447">
            <v>3</v>
          </cell>
          <cell r="K447">
            <v>3</v>
          </cell>
          <cell r="L447">
            <v>28710</v>
          </cell>
          <cell r="M447">
            <v>86130</v>
          </cell>
          <cell r="N447">
            <v>8613</v>
          </cell>
          <cell r="O447">
            <v>94743</v>
          </cell>
          <cell r="P447">
            <v>0</v>
          </cell>
          <cell r="Q447" t="str">
            <v/>
          </cell>
          <cell r="R447" t="str">
            <v>실온</v>
          </cell>
          <cell r="S447" t="str">
            <v>EA(1)</v>
          </cell>
          <cell r="T447" t="str">
            <v/>
          </cell>
          <cell r="U447" t="str">
            <v/>
          </cell>
          <cell r="V447" t="str">
            <v>2019-02-28</v>
          </cell>
          <cell r="W447" t="str">
            <v>2019-02-28 14:57:26</v>
          </cell>
          <cell r="X447" t="str">
            <v>더바른푸드</v>
          </cell>
        </row>
        <row r="448">
          <cell r="A448">
            <v>444</v>
          </cell>
          <cell r="B448" t="str">
            <v>2019-03-04</v>
          </cell>
          <cell r="C448" t="str">
            <v>더바른푸드</v>
          </cell>
          <cell r="D448" t="str">
            <v>더바른푸드</v>
          </cell>
          <cell r="E448" t="str">
            <v>일반</v>
          </cell>
          <cell r="F448" t="str">
            <v>입고완료</v>
          </cell>
          <cell r="G448">
            <v>128746</v>
          </cell>
          <cell r="H448" t="str">
            <v>이츠웰 들기름(PET_1.8L 1.65Kg/EA)</v>
          </cell>
          <cell r="I448" t="str">
            <v>EA</v>
          </cell>
          <cell r="J448">
            <v>6</v>
          </cell>
          <cell r="K448">
            <v>6</v>
          </cell>
          <cell r="L448">
            <v>23590</v>
          </cell>
          <cell r="M448">
            <v>141540</v>
          </cell>
          <cell r="N448">
            <v>14154</v>
          </cell>
          <cell r="O448">
            <v>155694</v>
          </cell>
          <cell r="P448">
            <v>0</v>
          </cell>
          <cell r="Q448" t="str">
            <v>중국</v>
          </cell>
          <cell r="R448" t="str">
            <v>실온</v>
          </cell>
          <cell r="S448" t="str">
            <v>EA(6)</v>
          </cell>
          <cell r="T448" t="str">
            <v/>
          </cell>
          <cell r="U448" t="str">
            <v/>
          </cell>
          <cell r="V448" t="str">
            <v>2019-02-28</v>
          </cell>
          <cell r="W448" t="str">
            <v>2019-02-28 14:57:26</v>
          </cell>
          <cell r="X448" t="str">
            <v>더바른푸드</v>
          </cell>
        </row>
        <row r="449">
          <cell r="A449">
            <v>445</v>
          </cell>
          <cell r="B449" t="str">
            <v>2019-03-04</v>
          </cell>
          <cell r="C449" t="str">
            <v>더바른푸드</v>
          </cell>
          <cell r="D449" t="str">
            <v>더바른푸드</v>
          </cell>
          <cell r="E449" t="str">
            <v>일반</v>
          </cell>
          <cell r="F449" t="str">
            <v>입고완료</v>
          </cell>
          <cell r="G449">
            <v>100111</v>
          </cell>
          <cell r="H449" t="str">
            <v>백설 밀가루(중력_2등 20Kg/EA)</v>
          </cell>
          <cell r="I449" t="str">
            <v>EA</v>
          </cell>
          <cell r="J449">
            <v>1</v>
          </cell>
          <cell r="K449">
            <v>1</v>
          </cell>
          <cell r="L449">
            <v>9890</v>
          </cell>
          <cell r="M449">
            <v>9890</v>
          </cell>
          <cell r="N449">
            <v>0</v>
          </cell>
          <cell r="O449">
            <v>9890</v>
          </cell>
          <cell r="P449">
            <v>0</v>
          </cell>
          <cell r="Q449" t="str">
            <v/>
          </cell>
          <cell r="R449" t="str">
            <v>실온</v>
          </cell>
          <cell r="S449" t="str">
            <v>EA(1)</v>
          </cell>
          <cell r="T449" t="str">
            <v/>
          </cell>
          <cell r="U449" t="str">
            <v/>
          </cell>
          <cell r="V449" t="str">
            <v>2019-02-28</v>
          </cell>
          <cell r="W449" t="str">
            <v>2019-02-28 14:58:09</v>
          </cell>
          <cell r="X449" t="str">
            <v>더바른푸드</v>
          </cell>
        </row>
        <row r="450">
          <cell r="A450">
            <v>446</v>
          </cell>
          <cell r="B450" t="str">
            <v>2019-03-04</v>
          </cell>
          <cell r="C450" t="str">
            <v>더바른푸드</v>
          </cell>
          <cell r="D450" t="str">
            <v>더바른푸드</v>
          </cell>
          <cell r="E450" t="str">
            <v>일반</v>
          </cell>
          <cell r="F450" t="str">
            <v>입고완료</v>
          </cell>
          <cell r="G450">
            <v>120702</v>
          </cell>
          <cell r="H450" t="str">
            <v>풍전식품 뉴슈가(60g*10입 600g/EA)</v>
          </cell>
          <cell r="I450" t="str">
            <v>EA</v>
          </cell>
          <cell r="J450">
            <v>10</v>
          </cell>
          <cell r="K450">
            <v>10</v>
          </cell>
          <cell r="L450">
            <v>2900</v>
          </cell>
          <cell r="M450">
            <v>29000</v>
          </cell>
          <cell r="N450">
            <v>2900</v>
          </cell>
          <cell r="O450">
            <v>31900</v>
          </cell>
          <cell r="P450">
            <v>0</v>
          </cell>
          <cell r="Q450" t="str">
            <v/>
          </cell>
          <cell r="R450" t="str">
            <v>실온</v>
          </cell>
          <cell r="S450" t="str">
            <v>EA(20)</v>
          </cell>
          <cell r="T450" t="str">
            <v/>
          </cell>
          <cell r="U450" t="str">
            <v/>
          </cell>
          <cell r="V450" t="str">
            <v>2019-02-28</v>
          </cell>
          <cell r="W450" t="str">
            <v>2019-02-28 14:58:53</v>
          </cell>
          <cell r="X450" t="str">
            <v>더바른푸드</v>
          </cell>
        </row>
        <row r="451">
          <cell r="A451">
            <v>447</v>
          </cell>
          <cell r="B451" t="str">
            <v>2019-03-04</v>
          </cell>
          <cell r="C451" t="str">
            <v>더바른푸드</v>
          </cell>
          <cell r="D451" t="str">
            <v>더바른푸드</v>
          </cell>
          <cell r="E451" t="str">
            <v>일반</v>
          </cell>
          <cell r="F451" t="str">
            <v>입고완료</v>
          </cell>
          <cell r="G451">
            <v>504812</v>
          </cell>
          <cell r="H451" t="str">
            <v>아사히 위생모자(100입 일회용 PAC)</v>
          </cell>
          <cell r="I451" t="str">
            <v>PAC</v>
          </cell>
          <cell r="J451">
            <v>2</v>
          </cell>
          <cell r="K451">
            <v>2</v>
          </cell>
          <cell r="L451">
            <v>15430</v>
          </cell>
          <cell r="M451">
            <v>30860</v>
          </cell>
          <cell r="N451">
            <v>3086</v>
          </cell>
          <cell r="O451">
            <v>33946</v>
          </cell>
          <cell r="P451">
            <v>0</v>
          </cell>
          <cell r="Q451" t="str">
            <v/>
          </cell>
          <cell r="R451" t="str">
            <v>실온</v>
          </cell>
          <cell r="S451" t="str">
            <v>PAC(10)</v>
          </cell>
          <cell r="T451" t="str">
            <v/>
          </cell>
          <cell r="U451" t="str">
            <v/>
          </cell>
          <cell r="V451" t="str">
            <v>2019-02-28</v>
          </cell>
          <cell r="W451" t="str">
            <v>2019-02-28 15:01:10</v>
          </cell>
          <cell r="X451" t="str">
            <v>더바른푸드</v>
          </cell>
        </row>
        <row r="452">
          <cell r="A452">
            <v>448</v>
          </cell>
          <cell r="B452" t="str">
            <v>2019-03-04</v>
          </cell>
          <cell r="C452" t="str">
            <v>더바른푸드</v>
          </cell>
          <cell r="D452" t="str">
            <v>더바른푸드</v>
          </cell>
          <cell r="E452" t="str">
            <v>일반</v>
          </cell>
          <cell r="F452" t="str">
            <v>입고완료</v>
          </cell>
          <cell r="G452">
            <v>211037</v>
          </cell>
          <cell r="H452" t="str">
            <v>느타리버섯(실속 균상 2Kg/EA)</v>
          </cell>
          <cell r="I452" t="str">
            <v>BOX</v>
          </cell>
          <cell r="J452">
            <v>2</v>
          </cell>
          <cell r="K452">
            <v>-2</v>
          </cell>
          <cell r="L452">
            <v>12330</v>
          </cell>
          <cell r="M452">
            <v>24660</v>
          </cell>
          <cell r="N452">
            <v>0</v>
          </cell>
          <cell r="O452">
            <v>24660</v>
          </cell>
          <cell r="P452">
            <v>0</v>
          </cell>
          <cell r="Q452" t="str">
            <v>한국</v>
          </cell>
          <cell r="R452" t="str">
            <v>냉장</v>
          </cell>
          <cell r="S452" t="str">
            <v>EA(1)</v>
          </cell>
          <cell r="T452" t="str">
            <v/>
          </cell>
          <cell r="U452" t="str">
            <v/>
          </cell>
          <cell r="V452" t="str">
            <v>2019-03-04</v>
          </cell>
          <cell r="W452" t="str">
            <v>2019-03-04 12:46:57</v>
          </cell>
          <cell r="X452" t="str">
            <v>hees1005</v>
          </cell>
        </row>
        <row r="453">
          <cell r="A453">
            <v>449</v>
          </cell>
          <cell r="B453" t="str">
            <v>2019-03-02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</row>
        <row r="454">
          <cell r="A454">
            <v>450</v>
          </cell>
          <cell r="B454" t="str">
            <v>2019-03-02</v>
          </cell>
          <cell r="C454" t="str">
            <v>더바른푸드</v>
          </cell>
          <cell r="D454" t="str">
            <v>더바른푸드</v>
          </cell>
          <cell r="E454" t="str">
            <v>일반</v>
          </cell>
          <cell r="F454" t="str">
            <v>입고완료</v>
          </cell>
          <cell r="G454">
            <v>165821</v>
          </cell>
          <cell r="H454" t="str">
            <v>녹선 더덕무침(1Kg/EA)</v>
          </cell>
          <cell r="I454" t="str">
            <v>EA</v>
          </cell>
          <cell r="J454">
            <v>1</v>
          </cell>
          <cell r="K454">
            <v>1</v>
          </cell>
          <cell r="L454">
            <v>8150</v>
          </cell>
          <cell r="M454">
            <v>8150</v>
          </cell>
          <cell r="N454">
            <v>815</v>
          </cell>
          <cell r="O454">
            <v>8965</v>
          </cell>
          <cell r="P454">
            <v>0</v>
          </cell>
          <cell r="Q454" t="str">
            <v>중국</v>
          </cell>
          <cell r="R454" t="str">
            <v>냉장</v>
          </cell>
          <cell r="S454" t="str">
            <v>EA(1)</v>
          </cell>
          <cell r="T454" t="str">
            <v/>
          </cell>
          <cell r="U454" t="str">
            <v/>
          </cell>
          <cell r="V454" t="str">
            <v>2019-02-28</v>
          </cell>
          <cell r="W454" t="str">
            <v>2019-02-28 12:52:52</v>
          </cell>
          <cell r="X454" t="str">
            <v>더바른푸드</v>
          </cell>
        </row>
        <row r="455">
          <cell r="A455">
            <v>451</v>
          </cell>
          <cell r="B455" t="str">
            <v>2019-03-02</v>
          </cell>
          <cell r="C455" t="str">
            <v>더바른푸드</v>
          </cell>
          <cell r="D455" t="str">
            <v>더바른푸드</v>
          </cell>
          <cell r="E455" t="str">
            <v>일반</v>
          </cell>
          <cell r="F455" t="str">
            <v>입고완료</v>
          </cell>
          <cell r="G455">
            <v>420010</v>
          </cell>
          <cell r="H455" t="str">
            <v>알로팜 계란(왕란_무항생제_68g*30입 2.04Kg/EA)</v>
          </cell>
          <cell r="I455" t="str">
            <v>EA</v>
          </cell>
          <cell r="J455">
            <v>35</v>
          </cell>
          <cell r="K455">
            <v>35</v>
          </cell>
          <cell r="L455">
            <v>4130</v>
          </cell>
          <cell r="M455">
            <v>144550</v>
          </cell>
          <cell r="N455">
            <v>0</v>
          </cell>
          <cell r="O455">
            <v>144550</v>
          </cell>
          <cell r="P455">
            <v>144550</v>
          </cell>
          <cell r="Q455" t="str">
            <v>한국</v>
          </cell>
          <cell r="R455" t="str">
            <v>냉장</v>
          </cell>
          <cell r="S455" t="str">
            <v>EA(1)</v>
          </cell>
          <cell r="T455" t="str">
            <v/>
          </cell>
          <cell r="U455" t="str">
            <v/>
          </cell>
          <cell r="V455" t="str">
            <v>2019-02-28</v>
          </cell>
          <cell r="W455" t="str">
            <v>2019-02-28 14:11:23</v>
          </cell>
          <cell r="X455" t="str">
            <v>더바른푸드</v>
          </cell>
        </row>
        <row r="456">
          <cell r="A456">
            <v>452</v>
          </cell>
          <cell r="B456" t="str">
            <v>2019-03-02</v>
          </cell>
          <cell r="C456" t="str">
            <v>더바른푸드</v>
          </cell>
          <cell r="D456" t="str">
            <v>더바른푸드</v>
          </cell>
          <cell r="E456" t="str">
            <v>일반</v>
          </cell>
          <cell r="F456" t="str">
            <v>입고완료</v>
          </cell>
          <cell r="G456">
            <v>410401</v>
          </cell>
          <cell r="H456" t="str">
            <v>체리부로 닭다리살(무항생_100±10g/덩어리_껍질있음 KG)</v>
          </cell>
          <cell r="I456" t="str">
            <v>KG</v>
          </cell>
          <cell r="J456">
            <v>5</v>
          </cell>
          <cell r="K456">
            <v>5</v>
          </cell>
          <cell r="L456">
            <v>9450</v>
          </cell>
          <cell r="M456">
            <v>47250</v>
          </cell>
          <cell r="N456">
            <v>0</v>
          </cell>
          <cell r="O456">
            <v>47250</v>
          </cell>
          <cell r="P456">
            <v>47250</v>
          </cell>
          <cell r="Q456" t="str">
            <v>한국</v>
          </cell>
          <cell r="R456" t="str">
            <v>냉장</v>
          </cell>
          <cell r="S456" t="str">
            <v>KG(1)</v>
          </cell>
          <cell r="T456" t="str">
            <v/>
          </cell>
          <cell r="U456" t="str">
            <v/>
          </cell>
          <cell r="V456" t="str">
            <v>2019-02-28</v>
          </cell>
          <cell r="W456" t="str">
            <v>2019-02-28 14:14:29</v>
          </cell>
          <cell r="X456" t="str">
            <v>더바른푸드</v>
          </cell>
        </row>
        <row r="457">
          <cell r="A457">
            <v>453</v>
          </cell>
          <cell r="B457" t="str">
            <v>2019-03-02</v>
          </cell>
          <cell r="C457" t="str">
            <v>더바른푸드</v>
          </cell>
          <cell r="D457" t="str">
            <v>더바른푸드</v>
          </cell>
          <cell r="E457" t="str">
            <v>일반</v>
          </cell>
          <cell r="F457" t="str">
            <v>입고완료</v>
          </cell>
          <cell r="G457">
            <v>136633</v>
          </cell>
          <cell r="H457" t="str">
            <v>이오 요구르트(80ml_유기농 80g/EA)</v>
          </cell>
          <cell r="I457" t="str">
            <v>EA</v>
          </cell>
          <cell r="J457">
            <v>85</v>
          </cell>
          <cell r="K457">
            <v>85</v>
          </cell>
          <cell r="L457">
            <v>300</v>
          </cell>
          <cell r="M457">
            <v>25500</v>
          </cell>
          <cell r="N457">
            <v>2550</v>
          </cell>
          <cell r="O457">
            <v>28050</v>
          </cell>
          <cell r="P457">
            <v>0</v>
          </cell>
          <cell r="Q457" t="str">
            <v>한국</v>
          </cell>
          <cell r="R457" t="str">
            <v>냉장</v>
          </cell>
          <cell r="S457" t="str">
            <v>EA(50)</v>
          </cell>
          <cell r="T457" t="str">
            <v/>
          </cell>
          <cell r="U457" t="str">
            <v/>
          </cell>
          <cell r="V457" t="str">
            <v>2019-02-28</v>
          </cell>
          <cell r="W457" t="str">
            <v>2019-02-28 15:37:59</v>
          </cell>
          <cell r="X457" t="str">
            <v>더바른푸드</v>
          </cell>
        </row>
        <row r="458">
          <cell r="A458">
            <v>454</v>
          </cell>
          <cell r="B458" t="str">
            <v>2019-02-28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</row>
        <row r="459">
          <cell r="A459">
            <v>455</v>
          </cell>
          <cell r="B459" t="str">
            <v>2019-02-28</v>
          </cell>
          <cell r="C459" t="str">
            <v>더바른푸드</v>
          </cell>
          <cell r="D459" t="str">
            <v>더바른푸드</v>
          </cell>
          <cell r="E459" t="str">
            <v>일반</v>
          </cell>
          <cell r="F459" t="str">
            <v>입고완료</v>
          </cell>
          <cell r="G459">
            <v>130549</v>
          </cell>
          <cell r="H459" t="str">
            <v>이츠웰 흰살생선까스(60g*100입 6Kg/EA)</v>
          </cell>
          <cell r="I459" t="str">
            <v>BOX</v>
          </cell>
          <cell r="J459">
            <v>15</v>
          </cell>
          <cell r="K459">
            <v>15</v>
          </cell>
          <cell r="L459">
            <v>36910</v>
          </cell>
          <cell r="M459">
            <v>553650</v>
          </cell>
          <cell r="N459">
            <v>55365</v>
          </cell>
          <cell r="O459">
            <v>609015</v>
          </cell>
          <cell r="P459">
            <v>0</v>
          </cell>
          <cell r="Q459" t="str">
            <v/>
          </cell>
          <cell r="R459" t="str">
            <v>냉동</v>
          </cell>
          <cell r="S459" t="str">
            <v>EA(1)</v>
          </cell>
          <cell r="T459" t="str">
            <v/>
          </cell>
          <cell r="U459" t="str">
            <v/>
          </cell>
          <cell r="V459" t="str">
            <v>2019-02-26</v>
          </cell>
          <cell r="W459" t="str">
            <v>2019-02-26 15:46:15</v>
          </cell>
          <cell r="X459" t="str">
            <v>더바른푸드</v>
          </cell>
        </row>
        <row r="460">
          <cell r="A460">
            <v>456</v>
          </cell>
          <cell r="B460" t="str">
            <v>2019-02-28</v>
          </cell>
          <cell r="C460" t="str">
            <v>더바른푸드</v>
          </cell>
          <cell r="D460" t="str">
            <v>더바른푸드</v>
          </cell>
          <cell r="E460" t="str">
            <v>일반</v>
          </cell>
          <cell r="F460" t="str">
            <v>입고완료</v>
          </cell>
          <cell r="G460">
            <v>123913</v>
          </cell>
          <cell r="H460" t="str">
            <v>쉐프솔루션 타르타르드레싱(2Kg/EA)</v>
          </cell>
          <cell r="I460" t="str">
            <v>EA</v>
          </cell>
          <cell r="J460">
            <v>11</v>
          </cell>
          <cell r="K460">
            <v>11</v>
          </cell>
          <cell r="L460">
            <v>5910</v>
          </cell>
          <cell r="M460">
            <v>65010</v>
          </cell>
          <cell r="N460">
            <v>6501</v>
          </cell>
          <cell r="O460">
            <v>71511</v>
          </cell>
          <cell r="P460">
            <v>0</v>
          </cell>
          <cell r="Q460" t="str">
            <v/>
          </cell>
          <cell r="R460" t="str">
            <v>냉장</v>
          </cell>
          <cell r="S460" t="str">
            <v>EA(6)</v>
          </cell>
          <cell r="T460" t="str">
            <v/>
          </cell>
          <cell r="U460" t="str">
            <v/>
          </cell>
          <cell r="V460" t="str">
            <v>2019-02-26</v>
          </cell>
          <cell r="W460" t="str">
            <v>2019-02-26 15:46:38</v>
          </cell>
          <cell r="X460" t="str">
            <v>더바른푸드</v>
          </cell>
        </row>
        <row r="461">
          <cell r="A461">
            <v>457</v>
          </cell>
          <cell r="B461" t="str">
            <v>2019-02-28</v>
          </cell>
          <cell r="C461" t="str">
            <v>더바른푸드</v>
          </cell>
          <cell r="D461" t="str">
            <v>더바른푸드</v>
          </cell>
          <cell r="E461" t="str">
            <v>일반</v>
          </cell>
          <cell r="F461" t="str">
            <v>입고완료</v>
          </cell>
          <cell r="G461">
            <v>130633</v>
          </cell>
          <cell r="H461" t="str">
            <v>쉐프솔루션 미트볼(NEW_100±5개입 1Kg/EA)</v>
          </cell>
          <cell r="I461" t="str">
            <v>EA</v>
          </cell>
          <cell r="J461">
            <v>60</v>
          </cell>
          <cell r="K461">
            <v>60</v>
          </cell>
          <cell r="L461">
            <v>4340</v>
          </cell>
          <cell r="M461">
            <v>260400</v>
          </cell>
          <cell r="N461">
            <v>26040</v>
          </cell>
          <cell r="O461">
            <v>286440</v>
          </cell>
          <cell r="P461">
            <v>0</v>
          </cell>
          <cell r="Q461" t="str">
            <v/>
          </cell>
          <cell r="R461" t="str">
            <v>냉동</v>
          </cell>
          <cell r="S461" t="str">
            <v>EA(5)</v>
          </cell>
          <cell r="T461" t="str">
            <v/>
          </cell>
          <cell r="U461" t="str">
            <v/>
          </cell>
          <cell r="V461" t="str">
            <v>2019-02-27</v>
          </cell>
          <cell r="W461" t="str">
            <v>2019-02-27 14:21:30</v>
          </cell>
          <cell r="X461" t="str">
            <v>더바른푸드</v>
          </cell>
        </row>
        <row r="462">
          <cell r="A462">
            <v>458</v>
          </cell>
          <cell r="B462" t="str">
            <v>2019-02-28</v>
          </cell>
          <cell r="C462" t="str">
            <v>더바른푸드</v>
          </cell>
          <cell r="D462" t="str">
            <v>더바른푸드</v>
          </cell>
          <cell r="E462" t="str">
            <v>일반</v>
          </cell>
          <cell r="F462" t="str">
            <v>입고완료</v>
          </cell>
          <cell r="G462">
            <v>137759</v>
          </cell>
          <cell r="H462" t="str">
            <v>이츠웰 토마토스파게티소스(NEW 2Kg/EA)</v>
          </cell>
          <cell r="I462" t="str">
            <v>EA</v>
          </cell>
          <cell r="J462">
            <v>12</v>
          </cell>
          <cell r="K462">
            <v>12</v>
          </cell>
          <cell r="L462">
            <v>7890</v>
          </cell>
          <cell r="M462">
            <v>94680</v>
          </cell>
          <cell r="N462">
            <v>9468</v>
          </cell>
          <cell r="O462">
            <v>104148</v>
          </cell>
          <cell r="P462">
            <v>0</v>
          </cell>
          <cell r="Q462" t="str">
            <v/>
          </cell>
          <cell r="R462" t="str">
            <v>냉장</v>
          </cell>
          <cell r="S462" t="str">
            <v>EA(6)</v>
          </cell>
          <cell r="T462" t="str">
            <v/>
          </cell>
          <cell r="U462" t="str">
            <v/>
          </cell>
          <cell r="V462" t="str">
            <v>2019-02-27</v>
          </cell>
          <cell r="W462" t="str">
            <v>2019-02-27 14:24:16</v>
          </cell>
          <cell r="X462" t="str">
            <v>더바른푸드</v>
          </cell>
        </row>
        <row r="463">
          <cell r="A463">
            <v>459</v>
          </cell>
          <cell r="B463" t="str">
            <v>2019-02-28</v>
          </cell>
          <cell r="C463" t="str">
            <v>더바른푸드</v>
          </cell>
          <cell r="D463" t="str">
            <v>더바른푸드</v>
          </cell>
          <cell r="E463" t="str">
            <v>일반</v>
          </cell>
          <cell r="F463" t="str">
            <v>입고완료</v>
          </cell>
          <cell r="G463">
            <v>103604</v>
          </cell>
          <cell r="H463" t="str">
            <v>이츠웰 깐계란(1Kg/EA)</v>
          </cell>
          <cell r="I463" t="str">
            <v>EA</v>
          </cell>
          <cell r="J463">
            <v>12</v>
          </cell>
          <cell r="K463">
            <v>12</v>
          </cell>
          <cell r="L463">
            <v>4600</v>
          </cell>
          <cell r="M463">
            <v>55200</v>
          </cell>
          <cell r="N463">
            <v>5520</v>
          </cell>
          <cell r="O463">
            <v>60720</v>
          </cell>
          <cell r="P463">
            <v>0</v>
          </cell>
          <cell r="Q463" t="str">
            <v>한국</v>
          </cell>
          <cell r="R463" t="str">
            <v>냉장</v>
          </cell>
          <cell r="S463" t="str">
            <v>EA(6)</v>
          </cell>
          <cell r="T463" t="str">
            <v/>
          </cell>
          <cell r="U463" t="str">
            <v/>
          </cell>
          <cell r="V463" t="str">
            <v>2019-02-27</v>
          </cell>
          <cell r="W463" t="str">
            <v>2019-02-27 14:25:38</v>
          </cell>
          <cell r="X463" t="str">
            <v>더바른푸드</v>
          </cell>
        </row>
        <row r="464">
          <cell r="A464">
            <v>460</v>
          </cell>
          <cell r="B464" t="str">
            <v>2019-02-28</v>
          </cell>
          <cell r="C464" t="str">
            <v>더바른푸드</v>
          </cell>
          <cell r="D464" t="str">
            <v>더바른푸드</v>
          </cell>
          <cell r="E464" t="str">
            <v>일반</v>
          </cell>
          <cell r="F464" t="str">
            <v>입고완료</v>
          </cell>
          <cell r="G464">
            <v>256563</v>
          </cell>
          <cell r="H464" t="str">
            <v>냉동열무(IQF_절단4~5cm 1Kg/EA)</v>
          </cell>
          <cell r="I464" t="str">
            <v>EA</v>
          </cell>
          <cell r="J464">
            <v>25</v>
          </cell>
          <cell r="K464">
            <v>25</v>
          </cell>
          <cell r="L464">
            <v>1670</v>
          </cell>
          <cell r="M464">
            <v>41750</v>
          </cell>
          <cell r="N464">
            <v>4175</v>
          </cell>
          <cell r="O464">
            <v>45925</v>
          </cell>
          <cell r="P464">
            <v>0</v>
          </cell>
          <cell r="Q464" t="str">
            <v>중국</v>
          </cell>
          <cell r="R464" t="str">
            <v>냉동</v>
          </cell>
          <cell r="S464" t="str">
            <v>EA(1)</v>
          </cell>
          <cell r="T464" t="str">
            <v/>
          </cell>
          <cell r="U464" t="str">
            <v/>
          </cell>
          <cell r="V464" t="str">
            <v>2019-02-27</v>
          </cell>
          <cell r="W464" t="str">
            <v>2019-02-27 14:26:19</v>
          </cell>
          <cell r="X464" t="str">
            <v>더바른푸드</v>
          </cell>
        </row>
        <row r="465">
          <cell r="A465">
            <v>461</v>
          </cell>
          <cell r="B465" t="str">
            <v>2019-02-28</v>
          </cell>
          <cell r="C465" t="str">
            <v>더바른푸드</v>
          </cell>
          <cell r="D465" t="str">
            <v>더바른푸드</v>
          </cell>
          <cell r="E465" t="str">
            <v>일반</v>
          </cell>
          <cell r="F465" t="str">
            <v>입고완료</v>
          </cell>
          <cell r="G465">
            <v>165821</v>
          </cell>
          <cell r="H465" t="str">
            <v>녹선 더덕무침(1Kg/EA)</v>
          </cell>
          <cell r="I465" t="str">
            <v>EA</v>
          </cell>
          <cell r="J465">
            <v>3</v>
          </cell>
          <cell r="K465">
            <v>3</v>
          </cell>
          <cell r="L465">
            <v>8070</v>
          </cell>
          <cell r="M465">
            <v>24210</v>
          </cell>
          <cell r="N465">
            <v>2421</v>
          </cell>
          <cell r="O465">
            <v>26631</v>
          </cell>
          <cell r="P465">
            <v>0</v>
          </cell>
          <cell r="Q465" t="str">
            <v>중국</v>
          </cell>
          <cell r="R465" t="str">
            <v>냉장</v>
          </cell>
          <cell r="S465" t="str">
            <v>EA(1)</v>
          </cell>
          <cell r="T465" t="str">
            <v/>
          </cell>
          <cell r="U465" t="str">
            <v/>
          </cell>
          <cell r="V465" t="str">
            <v>2019-02-27</v>
          </cell>
          <cell r="W465" t="str">
            <v>2019-02-27 14:27:28</v>
          </cell>
          <cell r="X465" t="str">
            <v>더바른푸드</v>
          </cell>
        </row>
        <row r="466">
          <cell r="A466">
            <v>462</v>
          </cell>
          <cell r="B466" t="str">
            <v>2019-02-28</v>
          </cell>
          <cell r="C466" t="str">
            <v>더바른푸드</v>
          </cell>
          <cell r="D466" t="str">
            <v>더바른푸드</v>
          </cell>
          <cell r="E466" t="str">
            <v>일반</v>
          </cell>
          <cell r="F466" t="str">
            <v>입고완료</v>
          </cell>
          <cell r="G466">
            <v>198579</v>
          </cell>
          <cell r="H466" t="str">
            <v>PRIDE 통새우(바나메이_41~50미 500g/EA)</v>
          </cell>
          <cell r="I466" t="str">
            <v>EA</v>
          </cell>
          <cell r="J466">
            <v>4</v>
          </cell>
          <cell r="K466">
            <v>4</v>
          </cell>
          <cell r="L466">
            <v>5670</v>
          </cell>
          <cell r="M466">
            <v>22680</v>
          </cell>
          <cell r="N466">
            <v>0</v>
          </cell>
          <cell r="O466">
            <v>22680</v>
          </cell>
          <cell r="P466">
            <v>0</v>
          </cell>
          <cell r="Q466" t="str">
            <v>태국</v>
          </cell>
          <cell r="R466" t="str">
            <v>냉동</v>
          </cell>
          <cell r="S466" t="str">
            <v>EA(10)</v>
          </cell>
          <cell r="T466" t="str">
            <v/>
          </cell>
          <cell r="U466" t="str">
            <v/>
          </cell>
          <cell r="V466" t="str">
            <v>2019-02-27</v>
          </cell>
          <cell r="W466" t="str">
            <v>2019-02-27 14:30:58</v>
          </cell>
          <cell r="X466" t="str">
            <v>더바른푸드</v>
          </cell>
        </row>
        <row r="467">
          <cell r="A467">
            <v>463</v>
          </cell>
          <cell r="B467" t="str">
            <v>2019-02-28</v>
          </cell>
          <cell r="C467" t="str">
            <v>더바른푸드</v>
          </cell>
          <cell r="D467" t="str">
            <v>더바른푸드</v>
          </cell>
          <cell r="E467" t="str">
            <v>일반</v>
          </cell>
          <cell r="F467" t="str">
            <v>입고완료</v>
          </cell>
          <cell r="G467">
            <v>192872</v>
          </cell>
          <cell r="H467" t="str">
            <v>소이원 콩나물(곱슬이_단채 4Kg/BOX)</v>
          </cell>
          <cell r="I467" t="str">
            <v>BOX</v>
          </cell>
          <cell r="J467">
            <v>2</v>
          </cell>
          <cell r="K467">
            <v>2</v>
          </cell>
          <cell r="L467">
            <v>4240</v>
          </cell>
          <cell r="M467">
            <v>8480</v>
          </cell>
          <cell r="N467">
            <v>0</v>
          </cell>
          <cell r="O467">
            <v>8480</v>
          </cell>
          <cell r="P467">
            <v>0</v>
          </cell>
          <cell r="Q467" t="str">
            <v>외국산</v>
          </cell>
          <cell r="R467" t="str">
            <v>냉장</v>
          </cell>
          <cell r="S467" t="str">
            <v>BOX(1)</v>
          </cell>
          <cell r="T467" t="str">
            <v/>
          </cell>
          <cell r="U467" t="str">
            <v/>
          </cell>
          <cell r="V467" t="str">
            <v>2019-02-27</v>
          </cell>
          <cell r="W467" t="str">
            <v>2019-02-27 14:51:42</v>
          </cell>
          <cell r="X467" t="str">
            <v>더바른푸드</v>
          </cell>
        </row>
        <row r="468">
          <cell r="A468">
            <v>464</v>
          </cell>
          <cell r="B468" t="str">
            <v>2019-02-28</v>
          </cell>
          <cell r="C468" t="str">
            <v>더바른푸드</v>
          </cell>
          <cell r="D468" t="str">
            <v>더바른푸드</v>
          </cell>
          <cell r="E468" t="str">
            <v>일반</v>
          </cell>
          <cell r="F468" t="str">
            <v>입고완료</v>
          </cell>
          <cell r="G468">
            <v>317997</v>
          </cell>
          <cell r="H468" t="str">
            <v>바지락살(자숙_100/200 250g/EA)</v>
          </cell>
          <cell r="I468" t="str">
            <v>EA</v>
          </cell>
          <cell r="J468">
            <v>3</v>
          </cell>
          <cell r="K468">
            <v>3</v>
          </cell>
          <cell r="L468">
            <v>1200</v>
          </cell>
          <cell r="M468">
            <v>3600</v>
          </cell>
          <cell r="N468">
            <v>360</v>
          </cell>
          <cell r="O468">
            <v>3960</v>
          </cell>
          <cell r="P468">
            <v>0</v>
          </cell>
          <cell r="Q468" t="str">
            <v>중국</v>
          </cell>
          <cell r="R468" t="str">
            <v>냉동</v>
          </cell>
          <cell r="S468" t="str">
            <v>EA(10)</v>
          </cell>
          <cell r="T468" t="str">
            <v/>
          </cell>
          <cell r="U468" t="str">
            <v/>
          </cell>
          <cell r="V468" t="str">
            <v>2019-02-27</v>
          </cell>
          <cell r="W468" t="str">
            <v>2019-02-27 14:52:27</v>
          </cell>
          <cell r="X468" t="str">
            <v>더바른푸드</v>
          </cell>
        </row>
        <row r="469">
          <cell r="A469">
            <v>465</v>
          </cell>
          <cell r="B469" t="str">
            <v>2019-02-27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</row>
        <row r="470">
          <cell r="A470">
            <v>466</v>
          </cell>
          <cell r="B470" t="str">
            <v>2019-02-27</v>
          </cell>
          <cell r="C470" t="str">
            <v>더바른푸드</v>
          </cell>
          <cell r="D470" t="str">
            <v>더바른푸드</v>
          </cell>
          <cell r="E470" t="str">
            <v>일반</v>
          </cell>
          <cell r="F470" t="str">
            <v>입고완료</v>
          </cell>
          <cell r="G470">
            <v>108319</v>
          </cell>
          <cell r="H470" t="str">
            <v>연세우유 고칼슘두유(팩_200ml 200g/EA)</v>
          </cell>
          <cell r="I470" t="str">
            <v>EA</v>
          </cell>
          <cell r="J470">
            <v>4</v>
          </cell>
          <cell r="K470">
            <v>4</v>
          </cell>
          <cell r="L470">
            <v>280</v>
          </cell>
          <cell r="M470">
            <v>1120</v>
          </cell>
          <cell r="N470">
            <v>112</v>
          </cell>
          <cell r="O470">
            <v>1232</v>
          </cell>
          <cell r="P470">
            <v>0</v>
          </cell>
          <cell r="Q470" t="str">
            <v>한국</v>
          </cell>
          <cell r="R470" t="str">
            <v>실온</v>
          </cell>
          <cell r="S470" t="str">
            <v>EA(1)</v>
          </cell>
          <cell r="T470" t="str">
            <v/>
          </cell>
          <cell r="U470" t="str">
            <v/>
          </cell>
          <cell r="V470" t="str">
            <v>2019-02-22</v>
          </cell>
          <cell r="W470" t="str">
            <v>2019-02-22 14:48:40</v>
          </cell>
          <cell r="X470" t="str">
            <v>더바른푸드</v>
          </cell>
        </row>
        <row r="471">
          <cell r="A471">
            <v>467</v>
          </cell>
          <cell r="B471" t="str">
            <v>2019-02-27</v>
          </cell>
          <cell r="C471" t="str">
            <v>더바른푸드</v>
          </cell>
          <cell r="D471" t="str">
            <v>더바른푸드</v>
          </cell>
          <cell r="E471" t="str">
            <v>일반</v>
          </cell>
          <cell r="F471" t="str">
            <v>입고완료</v>
          </cell>
          <cell r="G471">
            <v>136633</v>
          </cell>
          <cell r="H471" t="str">
            <v>이오 요구르트(80ml_유기농 80g/EA)</v>
          </cell>
          <cell r="I471" t="str">
            <v>EA</v>
          </cell>
          <cell r="J471">
            <v>40</v>
          </cell>
          <cell r="K471">
            <v>40</v>
          </cell>
          <cell r="L471">
            <v>300</v>
          </cell>
          <cell r="M471">
            <v>12000</v>
          </cell>
          <cell r="N471">
            <v>1200</v>
          </cell>
          <cell r="O471">
            <v>13200</v>
          </cell>
          <cell r="P471">
            <v>0</v>
          </cell>
          <cell r="Q471" t="str">
            <v>한국</v>
          </cell>
          <cell r="R471" t="str">
            <v>냉장</v>
          </cell>
          <cell r="S471" t="str">
            <v>EA(50)</v>
          </cell>
          <cell r="T471" t="str">
            <v/>
          </cell>
          <cell r="U471" t="str">
            <v/>
          </cell>
          <cell r="V471" t="str">
            <v>2019-02-22</v>
          </cell>
          <cell r="W471" t="str">
            <v>2019-02-22 14:49:06</v>
          </cell>
          <cell r="X471" t="str">
            <v>더바른푸드</v>
          </cell>
        </row>
        <row r="472">
          <cell r="A472">
            <v>468</v>
          </cell>
          <cell r="B472" t="str">
            <v>2019-02-27</v>
          </cell>
          <cell r="C472" t="str">
            <v>더바른푸드</v>
          </cell>
          <cell r="D472" t="str">
            <v>더바른푸드</v>
          </cell>
          <cell r="E472" t="str">
            <v>일반</v>
          </cell>
          <cell r="F472" t="str">
            <v>입고완료</v>
          </cell>
          <cell r="G472">
            <v>522895</v>
          </cell>
          <cell r="H472" t="str">
            <v>노리딕페이퍼 종이호일(노르딕페이퍼_30cm*20m EA)</v>
          </cell>
          <cell r="I472" t="str">
            <v>EA</v>
          </cell>
          <cell r="J472">
            <v>5</v>
          </cell>
          <cell r="K472">
            <v>5</v>
          </cell>
          <cell r="L472">
            <v>2690</v>
          </cell>
          <cell r="M472">
            <v>13450</v>
          </cell>
          <cell r="N472">
            <v>1345</v>
          </cell>
          <cell r="O472">
            <v>14795</v>
          </cell>
          <cell r="P472">
            <v>0</v>
          </cell>
          <cell r="Q472" t="str">
            <v/>
          </cell>
          <cell r="R472" t="str">
            <v>실온</v>
          </cell>
          <cell r="S472" t="str">
            <v>EA(50)</v>
          </cell>
          <cell r="T472" t="str">
            <v/>
          </cell>
          <cell r="U472" t="str">
            <v/>
          </cell>
          <cell r="V472" t="str">
            <v>2019-02-25</v>
          </cell>
          <cell r="W472" t="str">
            <v>2019-02-25 14:03:35</v>
          </cell>
          <cell r="X472" t="str">
            <v>더바른푸드</v>
          </cell>
        </row>
        <row r="473">
          <cell r="A473">
            <v>469</v>
          </cell>
          <cell r="B473" t="str">
            <v>2019-02-27</v>
          </cell>
          <cell r="C473" t="str">
            <v>더바른푸드</v>
          </cell>
          <cell r="D473" t="str">
            <v>더바른푸드</v>
          </cell>
          <cell r="E473" t="str">
            <v>일반</v>
          </cell>
          <cell r="F473" t="str">
            <v>입고완료</v>
          </cell>
          <cell r="G473">
            <v>170336</v>
          </cell>
          <cell r="H473" t="str">
            <v>이츠웰 탕수육(1Kg/EA)</v>
          </cell>
          <cell r="I473" t="str">
            <v>EA</v>
          </cell>
          <cell r="J473">
            <v>125</v>
          </cell>
          <cell r="K473">
            <v>125</v>
          </cell>
          <cell r="L473">
            <v>5210</v>
          </cell>
          <cell r="M473">
            <v>651250</v>
          </cell>
          <cell r="N473">
            <v>65125</v>
          </cell>
          <cell r="O473">
            <v>716375</v>
          </cell>
          <cell r="P473">
            <v>0</v>
          </cell>
          <cell r="Q473" t="str">
            <v/>
          </cell>
          <cell r="R473" t="str">
            <v>냉동</v>
          </cell>
          <cell r="S473" t="str">
            <v>EA(10)</v>
          </cell>
          <cell r="T473" t="str">
            <v/>
          </cell>
          <cell r="U473" t="str">
            <v/>
          </cell>
          <cell r="V473" t="str">
            <v>2019-02-25</v>
          </cell>
          <cell r="W473" t="str">
            <v>2019-02-25 14:11:38</v>
          </cell>
          <cell r="X473" t="str">
            <v>더바른푸드</v>
          </cell>
        </row>
        <row r="474">
          <cell r="A474">
            <v>470</v>
          </cell>
          <cell r="B474" t="str">
            <v>2019-02-27</v>
          </cell>
          <cell r="C474" t="str">
            <v>더바른푸드</v>
          </cell>
          <cell r="D474" t="str">
            <v>더바른푸드</v>
          </cell>
          <cell r="E474" t="str">
            <v>일반</v>
          </cell>
          <cell r="F474" t="str">
            <v>입고완료</v>
          </cell>
          <cell r="G474">
            <v>108210</v>
          </cell>
          <cell r="H474" t="str">
            <v>이츠웰 파인애플캔(프리미엄 청크 3.062Kg/EA)</v>
          </cell>
          <cell r="I474" t="str">
            <v>EA</v>
          </cell>
          <cell r="J474">
            <v>12</v>
          </cell>
          <cell r="K474">
            <v>12</v>
          </cell>
          <cell r="L474">
            <v>8140</v>
          </cell>
          <cell r="M474">
            <v>97680</v>
          </cell>
          <cell r="N474">
            <v>9768</v>
          </cell>
          <cell r="O474">
            <v>107448</v>
          </cell>
          <cell r="P474">
            <v>0</v>
          </cell>
          <cell r="Q474" t="str">
            <v>필리핀</v>
          </cell>
          <cell r="R474" t="str">
            <v>실온</v>
          </cell>
          <cell r="S474" t="str">
            <v>EA(6)</v>
          </cell>
          <cell r="T474" t="str">
            <v/>
          </cell>
          <cell r="U474" t="str">
            <v/>
          </cell>
          <cell r="V474" t="str">
            <v>2019-02-25</v>
          </cell>
          <cell r="W474" t="str">
            <v>2019-02-25 14:23:30</v>
          </cell>
          <cell r="X474" t="str">
            <v>더바른푸드</v>
          </cell>
        </row>
        <row r="475">
          <cell r="A475">
            <v>471</v>
          </cell>
          <cell r="B475" t="str">
            <v>2019-02-27</v>
          </cell>
          <cell r="C475" t="str">
            <v>더바른푸드</v>
          </cell>
          <cell r="D475" t="str">
            <v>더바른푸드</v>
          </cell>
          <cell r="E475" t="str">
            <v>일반</v>
          </cell>
          <cell r="F475" t="str">
            <v>입고완료</v>
          </cell>
          <cell r="G475">
            <v>206705</v>
          </cell>
          <cell r="H475" t="str">
            <v>냉동청피망(1cm다이스 1Kg/PAC)</v>
          </cell>
          <cell r="I475" t="str">
            <v>PAC</v>
          </cell>
          <cell r="J475">
            <v>10</v>
          </cell>
          <cell r="K475">
            <v>10</v>
          </cell>
          <cell r="L475">
            <v>2110</v>
          </cell>
          <cell r="M475">
            <v>21100</v>
          </cell>
          <cell r="N475">
            <v>0</v>
          </cell>
          <cell r="O475">
            <v>21100</v>
          </cell>
          <cell r="P475">
            <v>0</v>
          </cell>
          <cell r="Q475" t="str">
            <v>중국</v>
          </cell>
          <cell r="R475" t="str">
            <v>냉동</v>
          </cell>
          <cell r="S475" t="str">
            <v>PAC(1)</v>
          </cell>
          <cell r="T475" t="str">
            <v/>
          </cell>
          <cell r="U475" t="str">
            <v/>
          </cell>
          <cell r="V475" t="str">
            <v>2019-02-25</v>
          </cell>
          <cell r="W475" t="str">
            <v>2019-02-25 14:35:55</v>
          </cell>
          <cell r="X475" t="str">
            <v>더바른푸드</v>
          </cell>
        </row>
        <row r="476">
          <cell r="A476">
            <v>472</v>
          </cell>
          <cell r="B476" t="str">
            <v>2019-02-27</v>
          </cell>
          <cell r="C476" t="str">
            <v>더바른푸드</v>
          </cell>
          <cell r="D476" t="str">
            <v>더바른푸드</v>
          </cell>
          <cell r="E476" t="str">
            <v>일반</v>
          </cell>
          <cell r="F476" t="str">
            <v>입고완료</v>
          </cell>
          <cell r="G476">
            <v>210182</v>
          </cell>
          <cell r="H476" t="str">
            <v>냉동홍피망(다이스 1Kg/EA)</v>
          </cell>
          <cell r="I476" t="str">
            <v>EA</v>
          </cell>
          <cell r="J476">
            <v>10</v>
          </cell>
          <cell r="K476">
            <v>10</v>
          </cell>
          <cell r="L476">
            <v>2300</v>
          </cell>
          <cell r="M476">
            <v>23000</v>
          </cell>
          <cell r="N476">
            <v>0</v>
          </cell>
          <cell r="O476">
            <v>23000</v>
          </cell>
          <cell r="P476">
            <v>0</v>
          </cell>
          <cell r="Q476" t="str">
            <v>중국</v>
          </cell>
          <cell r="R476" t="str">
            <v>냉동</v>
          </cell>
          <cell r="S476" t="str">
            <v>EA(1)</v>
          </cell>
          <cell r="T476" t="str">
            <v/>
          </cell>
          <cell r="U476" t="str">
            <v/>
          </cell>
          <cell r="V476" t="str">
            <v>2019-02-25</v>
          </cell>
          <cell r="W476" t="str">
            <v>2019-02-25 14:35:55</v>
          </cell>
          <cell r="X476" t="str">
            <v>더바른푸드</v>
          </cell>
        </row>
        <row r="477">
          <cell r="A477">
            <v>473</v>
          </cell>
          <cell r="B477" t="str">
            <v>2019-02-27</v>
          </cell>
          <cell r="C477" t="str">
            <v>더바른푸드</v>
          </cell>
          <cell r="D477" t="str">
            <v>더바른푸드</v>
          </cell>
          <cell r="E477" t="str">
            <v>일반</v>
          </cell>
          <cell r="F477" t="str">
            <v>입고완료</v>
          </cell>
          <cell r="G477">
            <v>304208</v>
          </cell>
          <cell r="H477" t="str">
            <v>참소라살(M_수율60% 1Kg/PAC)</v>
          </cell>
          <cell r="I477" t="str">
            <v>PAC</v>
          </cell>
          <cell r="J477">
            <v>3</v>
          </cell>
          <cell r="K477">
            <v>3</v>
          </cell>
          <cell r="L477">
            <v>14210</v>
          </cell>
          <cell r="M477">
            <v>42630</v>
          </cell>
          <cell r="N477">
            <v>4263</v>
          </cell>
          <cell r="O477">
            <v>46893</v>
          </cell>
          <cell r="P477">
            <v>0</v>
          </cell>
          <cell r="Q477" t="str">
            <v>터키</v>
          </cell>
          <cell r="R477" t="str">
            <v>냉동</v>
          </cell>
          <cell r="S477" t="str">
            <v>PAC(1)</v>
          </cell>
          <cell r="T477" t="str">
            <v/>
          </cell>
          <cell r="U477" t="str">
            <v/>
          </cell>
          <cell r="V477" t="str">
            <v>2019-02-25</v>
          </cell>
          <cell r="W477" t="str">
            <v>2019-02-25 15:01:28</v>
          </cell>
          <cell r="X477" t="str">
            <v>더바른푸드</v>
          </cell>
        </row>
        <row r="478">
          <cell r="A478">
            <v>474</v>
          </cell>
          <cell r="B478" t="str">
            <v>2019-02-27</v>
          </cell>
          <cell r="C478" t="str">
            <v>더바른푸드</v>
          </cell>
          <cell r="D478" t="str">
            <v>더바른푸드</v>
          </cell>
          <cell r="E478" t="str">
            <v>일반</v>
          </cell>
          <cell r="F478" t="str">
            <v>입고완료</v>
          </cell>
          <cell r="G478">
            <v>197120</v>
          </cell>
          <cell r="H478" t="str">
            <v>종가집 포기김치(숙성 10Kg/BOX)</v>
          </cell>
          <cell r="I478" t="str">
            <v>BOX</v>
          </cell>
          <cell r="J478">
            <v>10</v>
          </cell>
          <cell r="K478">
            <v>10</v>
          </cell>
          <cell r="L478">
            <v>31390</v>
          </cell>
          <cell r="M478">
            <v>313900</v>
          </cell>
          <cell r="N478">
            <v>0</v>
          </cell>
          <cell r="O478">
            <v>313900</v>
          </cell>
          <cell r="P478">
            <v>0</v>
          </cell>
          <cell r="Q478" t="str">
            <v>한국</v>
          </cell>
          <cell r="R478" t="str">
            <v>냉장</v>
          </cell>
          <cell r="S478" t="str">
            <v>BOX(1)</v>
          </cell>
          <cell r="T478" t="str">
            <v/>
          </cell>
          <cell r="U478" t="str">
            <v/>
          </cell>
          <cell r="V478" t="str">
            <v>2019-02-26</v>
          </cell>
          <cell r="W478" t="str">
            <v>2019-02-26 11:05:22</v>
          </cell>
          <cell r="X478" t="str">
            <v>더바른푸드</v>
          </cell>
        </row>
        <row r="479">
          <cell r="A479">
            <v>475</v>
          </cell>
          <cell r="B479" t="str">
            <v>2019-02-27</v>
          </cell>
          <cell r="C479" t="str">
            <v>더바른푸드</v>
          </cell>
          <cell r="D479" t="str">
            <v>더바른푸드</v>
          </cell>
          <cell r="E479" t="str">
            <v>일반</v>
          </cell>
          <cell r="F479" t="str">
            <v>입고완료</v>
          </cell>
          <cell r="G479">
            <v>206631</v>
          </cell>
          <cell r="H479" t="str">
            <v>냉동아욱(상품 1Kg/PAC)</v>
          </cell>
          <cell r="I479" t="str">
            <v>PAC</v>
          </cell>
          <cell r="J479">
            <v>15</v>
          </cell>
          <cell r="K479">
            <v>15</v>
          </cell>
          <cell r="L479">
            <v>2450</v>
          </cell>
          <cell r="M479">
            <v>36750</v>
          </cell>
          <cell r="N479">
            <v>3675</v>
          </cell>
          <cell r="O479">
            <v>40425</v>
          </cell>
          <cell r="P479">
            <v>0</v>
          </cell>
          <cell r="Q479" t="str">
            <v>중국</v>
          </cell>
          <cell r="R479" t="str">
            <v>냉동</v>
          </cell>
          <cell r="S479" t="str">
            <v>PAC(1)</v>
          </cell>
          <cell r="T479" t="str">
            <v/>
          </cell>
          <cell r="U479" t="str">
            <v/>
          </cell>
          <cell r="V479" t="str">
            <v>2019-02-26</v>
          </cell>
          <cell r="W479" t="str">
            <v>2019-02-26 13:56:33</v>
          </cell>
          <cell r="X479" t="str">
            <v>더바른푸드</v>
          </cell>
        </row>
        <row r="480">
          <cell r="A480">
            <v>476</v>
          </cell>
          <cell r="B480" t="str">
            <v>2019-02-27</v>
          </cell>
          <cell r="C480" t="str">
            <v>더바른푸드</v>
          </cell>
          <cell r="D480" t="str">
            <v>더바른푸드</v>
          </cell>
          <cell r="E480" t="str">
            <v>일반</v>
          </cell>
          <cell r="F480" t="str">
            <v>입고완료</v>
          </cell>
          <cell r="G480">
            <v>211037</v>
          </cell>
          <cell r="H480" t="str">
            <v>느타리버섯(실속 균상 2Kg/EA)</v>
          </cell>
          <cell r="I480" t="str">
            <v>BOX</v>
          </cell>
          <cell r="J480">
            <v>14</v>
          </cell>
          <cell r="K480">
            <v>14</v>
          </cell>
          <cell r="L480">
            <v>11200</v>
          </cell>
          <cell r="M480">
            <v>156800</v>
          </cell>
          <cell r="N480">
            <v>0</v>
          </cell>
          <cell r="O480">
            <v>156800</v>
          </cell>
          <cell r="P480">
            <v>0</v>
          </cell>
          <cell r="Q480" t="str">
            <v>한국</v>
          </cell>
          <cell r="R480" t="str">
            <v>냉장</v>
          </cell>
          <cell r="S480" t="str">
            <v>EA(1)</v>
          </cell>
          <cell r="T480" t="str">
            <v/>
          </cell>
          <cell r="U480" t="str">
            <v/>
          </cell>
          <cell r="V480" t="str">
            <v>2019-02-26</v>
          </cell>
          <cell r="W480" t="str">
            <v>2019-02-26 14:44:43</v>
          </cell>
          <cell r="X480" t="str">
            <v>더바른푸드</v>
          </cell>
        </row>
        <row r="481">
          <cell r="A481">
            <v>477</v>
          </cell>
          <cell r="B481" t="str">
            <v>2019-02-27</v>
          </cell>
          <cell r="C481" t="str">
            <v>더바른푸드</v>
          </cell>
          <cell r="D481" t="str">
            <v>더바른푸드</v>
          </cell>
          <cell r="E481" t="str">
            <v>일반</v>
          </cell>
          <cell r="F481" t="str">
            <v>입고완료</v>
          </cell>
          <cell r="G481">
            <v>138570</v>
          </cell>
          <cell r="H481" t="str">
            <v>면사랑 멸치육수(1.8L_보급형 1.8Kg/EA)</v>
          </cell>
          <cell r="I481" t="str">
            <v>EA</v>
          </cell>
          <cell r="J481">
            <v>6</v>
          </cell>
          <cell r="K481">
            <v>6</v>
          </cell>
          <cell r="L481">
            <v>5560</v>
          </cell>
          <cell r="M481">
            <v>33360</v>
          </cell>
          <cell r="N481">
            <v>3336</v>
          </cell>
          <cell r="O481">
            <v>36696</v>
          </cell>
          <cell r="P481">
            <v>0</v>
          </cell>
          <cell r="Q481" t="str">
            <v/>
          </cell>
          <cell r="R481" t="str">
            <v>실온</v>
          </cell>
          <cell r="S481" t="str">
            <v>EA(6)</v>
          </cell>
          <cell r="T481" t="str">
            <v/>
          </cell>
          <cell r="U481" t="str">
            <v/>
          </cell>
          <cell r="V481" t="str">
            <v>2019-02-26</v>
          </cell>
          <cell r="W481" t="str">
            <v>2019-02-26 15:39:06</v>
          </cell>
          <cell r="X481" t="str">
            <v>더바른푸드</v>
          </cell>
        </row>
        <row r="482">
          <cell r="A482">
            <v>478</v>
          </cell>
          <cell r="B482" t="str">
            <v>2019-02-27</v>
          </cell>
          <cell r="C482" t="str">
            <v>더바른푸드</v>
          </cell>
          <cell r="D482" t="str">
            <v>더바른푸드</v>
          </cell>
          <cell r="E482" t="str">
            <v>일반</v>
          </cell>
          <cell r="F482" t="str">
            <v>입고완료</v>
          </cell>
          <cell r="G482">
            <v>106212</v>
          </cell>
          <cell r="H482" t="str">
            <v>백설 하얀설탕(15Kg/EA)</v>
          </cell>
          <cell r="I482" t="str">
            <v>EA</v>
          </cell>
          <cell r="J482">
            <v>1</v>
          </cell>
          <cell r="K482">
            <v>1</v>
          </cell>
          <cell r="L482">
            <v>15680</v>
          </cell>
          <cell r="M482">
            <v>15680</v>
          </cell>
          <cell r="N482">
            <v>1568</v>
          </cell>
          <cell r="O482">
            <v>17248</v>
          </cell>
          <cell r="P482">
            <v>0</v>
          </cell>
          <cell r="Q482" t="str">
            <v/>
          </cell>
          <cell r="R482" t="str">
            <v>실온</v>
          </cell>
          <cell r="S482" t="str">
            <v>EA(1)</v>
          </cell>
          <cell r="T482" t="str">
            <v/>
          </cell>
          <cell r="U482" t="str">
            <v/>
          </cell>
          <cell r="V482" t="str">
            <v>2019-02-26</v>
          </cell>
          <cell r="W482" t="str">
            <v>2019-02-26 15:39:32</v>
          </cell>
          <cell r="X482" t="str">
            <v>더바른푸드</v>
          </cell>
        </row>
        <row r="483">
          <cell r="A483">
            <v>479</v>
          </cell>
          <cell r="B483" t="str">
            <v>2019-02-27</v>
          </cell>
          <cell r="C483" t="str">
            <v>더바른푸드</v>
          </cell>
          <cell r="D483" t="str">
            <v>더바른푸드</v>
          </cell>
          <cell r="E483" t="str">
            <v>일반</v>
          </cell>
          <cell r="F483" t="str">
            <v>입고완료</v>
          </cell>
          <cell r="G483">
            <v>190327</v>
          </cell>
          <cell r="H483" t="str">
            <v>이츠웰 감자전분(1Kg/EA)</v>
          </cell>
          <cell r="I483" t="str">
            <v>EA</v>
          </cell>
          <cell r="J483">
            <v>10</v>
          </cell>
          <cell r="K483">
            <v>10</v>
          </cell>
          <cell r="L483">
            <v>2500</v>
          </cell>
          <cell r="M483">
            <v>25000</v>
          </cell>
          <cell r="N483">
            <v>2500</v>
          </cell>
          <cell r="O483">
            <v>27500</v>
          </cell>
          <cell r="P483">
            <v>0</v>
          </cell>
          <cell r="Q483" t="str">
            <v>폴란드</v>
          </cell>
          <cell r="R483" t="str">
            <v>실온</v>
          </cell>
          <cell r="S483" t="str">
            <v>EA(10)</v>
          </cell>
          <cell r="T483" t="str">
            <v/>
          </cell>
          <cell r="U483" t="str">
            <v/>
          </cell>
          <cell r="V483" t="str">
            <v>2019-02-26</v>
          </cell>
          <cell r="W483" t="str">
            <v>2019-02-26 15:40:04</v>
          </cell>
          <cell r="X483" t="str">
            <v>더바른푸드</v>
          </cell>
        </row>
        <row r="484">
          <cell r="A484">
            <v>480</v>
          </cell>
          <cell r="B484" t="str">
            <v>2019-02-26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</row>
        <row r="485">
          <cell r="A485">
            <v>481</v>
          </cell>
          <cell r="B485" t="str">
            <v>2019-02-26</v>
          </cell>
          <cell r="C485" t="str">
            <v>더바른푸드</v>
          </cell>
          <cell r="D485" t="str">
            <v>더바른푸드</v>
          </cell>
          <cell r="E485" t="str">
            <v>일반</v>
          </cell>
          <cell r="F485" t="str">
            <v>입고완료</v>
          </cell>
          <cell r="G485">
            <v>145349</v>
          </cell>
          <cell r="H485" t="str">
            <v>이츠웰 사골엑기스(1Kg/EA)</v>
          </cell>
          <cell r="I485" t="str">
            <v>EA</v>
          </cell>
          <cell r="J485">
            <v>10</v>
          </cell>
          <cell r="K485">
            <v>10</v>
          </cell>
          <cell r="L485">
            <v>6080</v>
          </cell>
          <cell r="M485">
            <v>60800</v>
          </cell>
          <cell r="N485">
            <v>6080</v>
          </cell>
          <cell r="O485">
            <v>66880</v>
          </cell>
          <cell r="P485">
            <v>0</v>
          </cell>
          <cell r="Q485" t="str">
            <v>호주</v>
          </cell>
          <cell r="R485" t="str">
            <v>실온</v>
          </cell>
          <cell r="S485" t="str">
            <v>EA(10)</v>
          </cell>
          <cell r="T485" t="str">
            <v/>
          </cell>
          <cell r="U485" t="str">
            <v/>
          </cell>
          <cell r="V485" t="str">
            <v>2019-02-22</v>
          </cell>
          <cell r="W485" t="str">
            <v>2019-02-22 13:30:57</v>
          </cell>
          <cell r="X485" t="str">
            <v>더바른푸드</v>
          </cell>
        </row>
        <row r="486">
          <cell r="A486">
            <v>482</v>
          </cell>
          <cell r="B486" t="str">
            <v>2019-02-26</v>
          </cell>
          <cell r="C486" t="str">
            <v>더바른푸드</v>
          </cell>
          <cell r="D486" t="str">
            <v>더바른푸드</v>
          </cell>
          <cell r="E486" t="str">
            <v>일반</v>
          </cell>
          <cell r="F486" t="str">
            <v>입고완료</v>
          </cell>
          <cell r="G486">
            <v>145806</v>
          </cell>
          <cell r="H486" t="str">
            <v>진주햄 더블햄(슬라이스_26장 500g/EA)</v>
          </cell>
          <cell r="I486" t="str">
            <v>EA</v>
          </cell>
          <cell r="J486">
            <v>33</v>
          </cell>
          <cell r="K486">
            <v>33</v>
          </cell>
          <cell r="L486">
            <v>3560</v>
          </cell>
          <cell r="M486">
            <v>117480</v>
          </cell>
          <cell r="N486">
            <v>11748</v>
          </cell>
          <cell r="O486">
            <v>129228</v>
          </cell>
          <cell r="P486">
            <v>0</v>
          </cell>
          <cell r="Q486" t="str">
            <v/>
          </cell>
          <cell r="R486" t="str">
            <v>냉장</v>
          </cell>
          <cell r="S486" t="str">
            <v>EA(20)</v>
          </cell>
          <cell r="T486" t="str">
            <v/>
          </cell>
          <cell r="U486" t="str">
            <v/>
          </cell>
          <cell r="V486" t="str">
            <v>2019-02-22</v>
          </cell>
          <cell r="W486" t="str">
            <v>2019-02-22 14:06:43</v>
          </cell>
          <cell r="X486" t="str">
            <v>더바른푸드</v>
          </cell>
        </row>
        <row r="487">
          <cell r="A487">
            <v>483</v>
          </cell>
          <cell r="B487" t="str">
            <v>2019-02-26</v>
          </cell>
          <cell r="C487" t="str">
            <v>더바른푸드</v>
          </cell>
          <cell r="D487" t="str">
            <v>더바른푸드</v>
          </cell>
          <cell r="E487" t="str">
            <v>일반</v>
          </cell>
          <cell r="F487" t="str">
            <v>입고완료</v>
          </cell>
          <cell r="G487">
            <v>127359</v>
          </cell>
          <cell r="H487" t="str">
            <v>사조대림 사각잡채군만두(32±1개입 800g/EA)</v>
          </cell>
          <cell r="I487" t="str">
            <v>EA</v>
          </cell>
          <cell r="J487">
            <v>70</v>
          </cell>
          <cell r="K487">
            <v>70</v>
          </cell>
          <cell r="L487">
            <v>3380</v>
          </cell>
          <cell r="M487">
            <v>236600</v>
          </cell>
          <cell r="N487">
            <v>23660</v>
          </cell>
          <cell r="O487">
            <v>260260</v>
          </cell>
          <cell r="P487">
            <v>0</v>
          </cell>
          <cell r="Q487" t="str">
            <v/>
          </cell>
          <cell r="R487" t="str">
            <v>냉동</v>
          </cell>
          <cell r="S487" t="str">
            <v>EA(6)</v>
          </cell>
          <cell r="T487" t="str">
            <v/>
          </cell>
          <cell r="U487" t="str">
            <v/>
          </cell>
          <cell r="V487" t="str">
            <v>2019-02-22</v>
          </cell>
          <cell r="W487" t="str">
            <v>2019-02-22 14:10:26</v>
          </cell>
          <cell r="X487" t="str">
            <v>더바른푸드</v>
          </cell>
        </row>
        <row r="488">
          <cell r="A488">
            <v>484</v>
          </cell>
          <cell r="B488" t="str">
            <v>2019-02-26</v>
          </cell>
          <cell r="C488" t="str">
            <v>더바른푸드</v>
          </cell>
          <cell r="D488" t="str">
            <v>더바른푸드</v>
          </cell>
          <cell r="E488" t="str">
            <v>일반</v>
          </cell>
          <cell r="F488" t="str">
            <v>입고완료</v>
          </cell>
          <cell r="G488">
            <v>242743</v>
          </cell>
          <cell r="H488" t="str">
            <v>이츠웰 메밀전병(곤드레나물_60g*20입 1.2Kg/EA)</v>
          </cell>
          <cell r="I488" t="str">
            <v>EA</v>
          </cell>
          <cell r="J488">
            <v>1</v>
          </cell>
          <cell r="K488">
            <v>1</v>
          </cell>
          <cell r="L488">
            <v>7690</v>
          </cell>
          <cell r="M488">
            <v>7690</v>
          </cell>
          <cell r="N488">
            <v>769</v>
          </cell>
          <cell r="O488">
            <v>8459</v>
          </cell>
          <cell r="P488">
            <v>0</v>
          </cell>
          <cell r="Q488" t="str">
            <v/>
          </cell>
          <cell r="R488" t="str">
            <v>냉동</v>
          </cell>
          <cell r="S488" t="str">
            <v>EA(6)</v>
          </cell>
          <cell r="T488" t="str">
            <v/>
          </cell>
          <cell r="U488" t="str">
            <v/>
          </cell>
          <cell r="V488" t="str">
            <v>2019-02-22</v>
          </cell>
          <cell r="W488" t="str">
            <v>2019-02-22 14:10:56</v>
          </cell>
          <cell r="X488" t="str">
            <v>더바른푸드</v>
          </cell>
        </row>
        <row r="489">
          <cell r="A489">
            <v>485</v>
          </cell>
          <cell r="B489" t="str">
            <v>2019-02-26</v>
          </cell>
          <cell r="C489" t="str">
            <v>더바른푸드</v>
          </cell>
          <cell r="D489" t="str">
            <v>더바른푸드</v>
          </cell>
          <cell r="E489" t="str">
            <v>일반</v>
          </cell>
          <cell r="F489" t="str">
            <v>입고완료</v>
          </cell>
          <cell r="G489">
            <v>143422</v>
          </cell>
          <cell r="H489" t="str">
            <v>이츠웰 순두부(1Kg/EA)</v>
          </cell>
          <cell r="I489" t="str">
            <v>EA</v>
          </cell>
          <cell r="J489">
            <v>10</v>
          </cell>
          <cell r="K489">
            <v>10</v>
          </cell>
          <cell r="L489">
            <v>800</v>
          </cell>
          <cell r="M489">
            <v>8000</v>
          </cell>
          <cell r="N489">
            <v>0</v>
          </cell>
          <cell r="O489">
            <v>8000</v>
          </cell>
          <cell r="P489">
            <v>0</v>
          </cell>
          <cell r="Q489" t="str">
            <v>외국산</v>
          </cell>
          <cell r="R489" t="str">
            <v>냉장</v>
          </cell>
          <cell r="S489" t="str">
            <v>EA(1)</v>
          </cell>
          <cell r="T489" t="str">
            <v/>
          </cell>
          <cell r="U489" t="str">
            <v/>
          </cell>
          <cell r="V489" t="str">
            <v>2019-02-22</v>
          </cell>
          <cell r="W489" t="str">
            <v>2019-02-22 14:21:39</v>
          </cell>
          <cell r="X489" t="str">
            <v>더바른푸드</v>
          </cell>
        </row>
        <row r="490">
          <cell r="A490">
            <v>486</v>
          </cell>
          <cell r="B490" t="str">
            <v>2019-02-26</v>
          </cell>
          <cell r="C490" t="str">
            <v>더바른푸드</v>
          </cell>
          <cell r="D490" t="str">
            <v>더바른푸드</v>
          </cell>
          <cell r="E490" t="str">
            <v>일반</v>
          </cell>
          <cell r="F490" t="str">
            <v>입고완료</v>
          </cell>
          <cell r="G490">
            <v>158488</v>
          </cell>
          <cell r="H490" t="str">
            <v>마더구스 아몬드파운드(개별포장_30g*30입 900g/EA)</v>
          </cell>
          <cell r="I490" t="str">
            <v>EA</v>
          </cell>
          <cell r="J490">
            <v>5</v>
          </cell>
          <cell r="K490">
            <v>5</v>
          </cell>
          <cell r="L490">
            <v>10540</v>
          </cell>
          <cell r="M490">
            <v>52700</v>
          </cell>
          <cell r="N490">
            <v>5270</v>
          </cell>
          <cell r="O490">
            <v>57970</v>
          </cell>
          <cell r="P490">
            <v>0</v>
          </cell>
          <cell r="Q490" t="str">
            <v/>
          </cell>
          <cell r="R490" t="str">
            <v>냉동</v>
          </cell>
          <cell r="S490" t="str">
            <v>EA(8)</v>
          </cell>
          <cell r="T490" t="str">
            <v/>
          </cell>
          <cell r="U490" t="str">
            <v/>
          </cell>
          <cell r="V490" t="str">
            <v>2019-02-22</v>
          </cell>
          <cell r="W490" t="str">
            <v>2019-02-22 14:44:31</v>
          </cell>
          <cell r="X490" t="str">
            <v>더바른푸드</v>
          </cell>
        </row>
        <row r="491">
          <cell r="A491">
            <v>487</v>
          </cell>
          <cell r="B491" t="str">
            <v>2019-02-26</v>
          </cell>
          <cell r="C491" t="str">
            <v>더바른푸드</v>
          </cell>
          <cell r="D491" t="str">
            <v>더바른푸드</v>
          </cell>
          <cell r="E491" t="str">
            <v>일반</v>
          </cell>
          <cell r="F491" t="str">
            <v>입고완료</v>
          </cell>
          <cell r="G491">
            <v>159125</v>
          </cell>
          <cell r="H491" t="str">
            <v>건강마을 플리또주스(100ml_유기농_오렌지 100g/EA)</v>
          </cell>
          <cell r="I491" t="str">
            <v>BOX</v>
          </cell>
          <cell r="J491">
            <v>3</v>
          </cell>
          <cell r="K491">
            <v>3</v>
          </cell>
          <cell r="L491">
            <v>17600</v>
          </cell>
          <cell r="M491">
            <v>52800</v>
          </cell>
          <cell r="N491">
            <v>5280</v>
          </cell>
          <cell r="O491">
            <v>58080</v>
          </cell>
          <cell r="P491">
            <v>0</v>
          </cell>
          <cell r="Q491" t="str">
            <v/>
          </cell>
          <cell r="R491" t="str">
            <v>실온</v>
          </cell>
          <cell r="S491" t="str">
            <v>EA(40)</v>
          </cell>
          <cell r="T491" t="str">
            <v/>
          </cell>
          <cell r="U491" t="str">
            <v/>
          </cell>
          <cell r="V491" t="str">
            <v>2019-02-22</v>
          </cell>
          <cell r="W491" t="str">
            <v>2019-02-22 14:46:51</v>
          </cell>
          <cell r="X491" t="str">
            <v>더바른푸드</v>
          </cell>
        </row>
        <row r="492">
          <cell r="A492">
            <v>488</v>
          </cell>
          <cell r="B492" t="str">
            <v>2019-02-26</v>
          </cell>
          <cell r="C492" t="str">
            <v>더바른푸드</v>
          </cell>
          <cell r="D492" t="str">
            <v>더바른푸드</v>
          </cell>
          <cell r="E492" t="str">
            <v>일반</v>
          </cell>
          <cell r="F492" t="str">
            <v>입고완료</v>
          </cell>
          <cell r="G492">
            <v>208502</v>
          </cell>
          <cell r="H492" t="str">
            <v>세척당근(3L 10Kg/EA)</v>
          </cell>
          <cell r="I492" t="str">
            <v>EA</v>
          </cell>
          <cell r="J492">
            <v>3</v>
          </cell>
          <cell r="K492">
            <v>3</v>
          </cell>
          <cell r="L492">
            <v>11980</v>
          </cell>
          <cell r="M492">
            <v>35940</v>
          </cell>
          <cell r="N492">
            <v>0</v>
          </cell>
          <cell r="O492">
            <v>35940</v>
          </cell>
          <cell r="P492">
            <v>0</v>
          </cell>
          <cell r="Q492" t="str">
            <v>중국</v>
          </cell>
          <cell r="R492" t="str">
            <v>실온</v>
          </cell>
          <cell r="S492" t="str">
            <v>EA(1)</v>
          </cell>
          <cell r="T492" t="str">
            <v/>
          </cell>
          <cell r="U492" t="str">
            <v/>
          </cell>
          <cell r="V492" t="str">
            <v>2019-02-25</v>
          </cell>
          <cell r="W492" t="str">
            <v>2019-02-25 13:28:25</v>
          </cell>
          <cell r="X492" t="str">
            <v>더바른푸드</v>
          </cell>
        </row>
        <row r="493">
          <cell r="A493">
            <v>489</v>
          </cell>
          <cell r="B493" t="str">
            <v>2019-02-26</v>
          </cell>
          <cell r="C493" t="str">
            <v>더바른푸드</v>
          </cell>
          <cell r="D493" t="str">
            <v>더바른푸드</v>
          </cell>
          <cell r="E493" t="str">
            <v>일반</v>
          </cell>
          <cell r="F493" t="str">
            <v>입고완료</v>
          </cell>
          <cell r="G493">
            <v>105943</v>
          </cell>
          <cell r="H493" t="str">
            <v>대상 재래된장(지함_재래식숙성 14Kg/EA)</v>
          </cell>
          <cell r="I493" t="str">
            <v>EA</v>
          </cell>
          <cell r="J493">
            <v>2</v>
          </cell>
          <cell r="K493">
            <v>2</v>
          </cell>
          <cell r="L493">
            <v>25020</v>
          </cell>
          <cell r="M493">
            <v>50040</v>
          </cell>
          <cell r="N493">
            <v>5004</v>
          </cell>
          <cell r="O493">
            <v>55044</v>
          </cell>
          <cell r="P493">
            <v>0</v>
          </cell>
          <cell r="Q493" t="str">
            <v/>
          </cell>
          <cell r="R493" t="str">
            <v>실온</v>
          </cell>
          <cell r="S493" t="str">
            <v>EA(1)</v>
          </cell>
          <cell r="T493" t="str">
            <v/>
          </cell>
          <cell r="U493" t="str">
            <v/>
          </cell>
          <cell r="V493" t="str">
            <v>2019-02-25</v>
          </cell>
          <cell r="W493" t="str">
            <v>2019-02-25 13:50:48</v>
          </cell>
          <cell r="X493" t="str">
            <v>더바른푸드</v>
          </cell>
        </row>
        <row r="494">
          <cell r="A494">
            <v>490</v>
          </cell>
          <cell r="B494" t="str">
            <v>2019-02-26</v>
          </cell>
          <cell r="C494" t="str">
            <v>더바른푸드</v>
          </cell>
          <cell r="D494" t="str">
            <v>더바른푸드</v>
          </cell>
          <cell r="E494" t="str">
            <v>일반</v>
          </cell>
          <cell r="F494" t="str">
            <v>입고완료</v>
          </cell>
          <cell r="G494">
            <v>146442</v>
          </cell>
          <cell r="H494" t="str">
            <v>삼양식품 국간장(14L 14Kg/EA)</v>
          </cell>
          <cell r="I494" t="str">
            <v>EA</v>
          </cell>
          <cell r="J494">
            <v>2</v>
          </cell>
          <cell r="K494">
            <v>2</v>
          </cell>
          <cell r="L494">
            <v>11010</v>
          </cell>
          <cell r="M494">
            <v>22020</v>
          </cell>
          <cell r="N494">
            <v>2202</v>
          </cell>
          <cell r="O494">
            <v>24222</v>
          </cell>
          <cell r="P494">
            <v>0</v>
          </cell>
          <cell r="Q494" t="str">
            <v/>
          </cell>
          <cell r="R494" t="str">
            <v>실온</v>
          </cell>
          <cell r="S494" t="str">
            <v>EA(1)</v>
          </cell>
          <cell r="T494" t="str">
            <v/>
          </cell>
          <cell r="U494" t="str">
            <v/>
          </cell>
          <cell r="V494" t="str">
            <v>2019-02-25</v>
          </cell>
          <cell r="W494" t="str">
            <v>2019-02-25 13:50:48</v>
          </cell>
          <cell r="X494" t="str">
            <v>더바른푸드</v>
          </cell>
        </row>
        <row r="495">
          <cell r="A495">
            <v>491</v>
          </cell>
          <cell r="B495" t="str">
            <v>2019-02-26</v>
          </cell>
          <cell r="C495" t="str">
            <v>더바른푸드</v>
          </cell>
          <cell r="D495" t="str">
            <v>더바른푸드</v>
          </cell>
          <cell r="E495" t="str">
            <v>일반</v>
          </cell>
          <cell r="F495" t="str">
            <v>입고완료</v>
          </cell>
          <cell r="G495">
            <v>106019</v>
          </cell>
          <cell r="H495" t="str">
            <v>샘표 진간장(15L_덕용 15Kg/EA)</v>
          </cell>
          <cell r="I495" t="str">
            <v>EA</v>
          </cell>
          <cell r="J495">
            <v>2</v>
          </cell>
          <cell r="K495">
            <v>2</v>
          </cell>
          <cell r="L495">
            <v>20300</v>
          </cell>
          <cell r="M495">
            <v>40600</v>
          </cell>
          <cell r="N495">
            <v>4060</v>
          </cell>
          <cell r="O495">
            <v>44660</v>
          </cell>
          <cell r="P495">
            <v>0</v>
          </cell>
          <cell r="Q495" t="str">
            <v/>
          </cell>
          <cell r="R495" t="str">
            <v>실온</v>
          </cell>
          <cell r="S495" t="str">
            <v>EA(1)</v>
          </cell>
          <cell r="T495" t="str">
            <v/>
          </cell>
          <cell r="U495" t="str">
            <v/>
          </cell>
          <cell r="V495" t="str">
            <v>2019-02-25</v>
          </cell>
          <cell r="W495" t="str">
            <v>2019-02-25 13:50:48</v>
          </cell>
          <cell r="X495" t="str">
            <v>더바른푸드</v>
          </cell>
        </row>
        <row r="496">
          <cell r="A496">
            <v>492</v>
          </cell>
          <cell r="B496" t="str">
            <v>2019-02-26</v>
          </cell>
          <cell r="C496" t="str">
            <v>더바른푸드</v>
          </cell>
          <cell r="D496" t="str">
            <v>더바른푸드</v>
          </cell>
          <cell r="E496" t="str">
            <v>일반</v>
          </cell>
          <cell r="F496" t="str">
            <v>입고완료</v>
          </cell>
          <cell r="G496">
            <v>153812</v>
          </cell>
          <cell r="H496" t="str">
            <v>서원 흑후추분말(450g/EA)</v>
          </cell>
          <cell r="I496" t="str">
            <v>EA</v>
          </cell>
          <cell r="J496">
            <v>2</v>
          </cell>
          <cell r="K496">
            <v>2</v>
          </cell>
          <cell r="L496">
            <v>8550</v>
          </cell>
          <cell r="M496">
            <v>17100</v>
          </cell>
          <cell r="N496">
            <v>0</v>
          </cell>
          <cell r="O496">
            <v>17100</v>
          </cell>
          <cell r="P496">
            <v>0</v>
          </cell>
          <cell r="Q496" t="str">
            <v/>
          </cell>
          <cell r="R496" t="str">
            <v>실온</v>
          </cell>
          <cell r="S496" t="str">
            <v>EA(20)</v>
          </cell>
          <cell r="T496" t="str">
            <v/>
          </cell>
          <cell r="U496" t="str">
            <v/>
          </cell>
          <cell r="V496" t="str">
            <v>2019-02-25</v>
          </cell>
          <cell r="W496" t="str">
            <v>2019-02-25 13:50:48</v>
          </cell>
          <cell r="X496" t="str">
            <v>더바른푸드</v>
          </cell>
        </row>
        <row r="497">
          <cell r="A497">
            <v>493</v>
          </cell>
          <cell r="B497" t="str">
            <v>2019-02-26</v>
          </cell>
          <cell r="C497" t="str">
            <v>더바른푸드</v>
          </cell>
          <cell r="D497" t="str">
            <v>더바른푸드</v>
          </cell>
          <cell r="E497" t="str">
            <v>일반</v>
          </cell>
          <cell r="F497" t="str">
            <v>입고완료</v>
          </cell>
          <cell r="G497">
            <v>164100</v>
          </cell>
          <cell r="H497" t="str">
            <v>화미 흑후추(알_100% 400g/EA)</v>
          </cell>
          <cell r="I497" t="str">
            <v>EA</v>
          </cell>
          <cell r="J497">
            <v>1</v>
          </cell>
          <cell r="K497">
            <v>1</v>
          </cell>
          <cell r="L497">
            <v>9370</v>
          </cell>
          <cell r="M497">
            <v>9370</v>
          </cell>
          <cell r="N497">
            <v>0</v>
          </cell>
          <cell r="O497">
            <v>9370</v>
          </cell>
          <cell r="P497">
            <v>0</v>
          </cell>
          <cell r="Q497" t="str">
            <v/>
          </cell>
          <cell r="R497" t="str">
            <v>실온</v>
          </cell>
          <cell r="S497" t="str">
            <v>EA(20)</v>
          </cell>
          <cell r="T497" t="str">
            <v/>
          </cell>
          <cell r="U497" t="str">
            <v/>
          </cell>
          <cell r="V497" t="str">
            <v>2019-02-25</v>
          </cell>
          <cell r="W497" t="str">
            <v>2019-02-25 13:50:48</v>
          </cell>
          <cell r="X497" t="str">
            <v>더바른푸드</v>
          </cell>
        </row>
        <row r="498">
          <cell r="A498">
            <v>494</v>
          </cell>
          <cell r="B498" t="str">
            <v>2019-02-26</v>
          </cell>
          <cell r="C498" t="str">
            <v>더바른푸드</v>
          </cell>
          <cell r="D498" t="str">
            <v>더바른푸드</v>
          </cell>
          <cell r="E498" t="str">
            <v>일반</v>
          </cell>
          <cell r="F498" t="str">
            <v>입고완료</v>
          </cell>
          <cell r="G498">
            <v>512178</v>
          </cell>
          <cell r="H498" t="str">
            <v>이츠웰 페이퍼타올(실속 핸드타올_4500매 BOX)</v>
          </cell>
          <cell r="I498" t="str">
            <v>BOX</v>
          </cell>
          <cell r="J498">
            <v>1</v>
          </cell>
          <cell r="K498">
            <v>1</v>
          </cell>
          <cell r="L498">
            <v>19720</v>
          </cell>
          <cell r="M498">
            <v>19720</v>
          </cell>
          <cell r="N498">
            <v>1972</v>
          </cell>
          <cell r="O498">
            <v>21692</v>
          </cell>
          <cell r="P498">
            <v>0</v>
          </cell>
          <cell r="Q498" t="str">
            <v/>
          </cell>
          <cell r="R498" t="str">
            <v>실온</v>
          </cell>
          <cell r="S498" t="str">
            <v>BOX(1)</v>
          </cell>
          <cell r="T498" t="str">
            <v/>
          </cell>
          <cell r="U498" t="str">
            <v/>
          </cell>
          <cell r="V498" t="str">
            <v>2019-02-25</v>
          </cell>
          <cell r="W498" t="str">
            <v>2019-02-25 14:00:26</v>
          </cell>
          <cell r="X498" t="str">
            <v>더바른푸드</v>
          </cell>
        </row>
        <row r="499">
          <cell r="A499">
            <v>495</v>
          </cell>
          <cell r="B499" t="str">
            <v>2019-02-26</v>
          </cell>
          <cell r="C499" t="str">
            <v>더바른푸드</v>
          </cell>
          <cell r="D499" t="str">
            <v>더바른푸드</v>
          </cell>
          <cell r="E499" t="str">
            <v>일반</v>
          </cell>
          <cell r="F499" t="str">
            <v>입고완료</v>
          </cell>
          <cell r="G499">
            <v>198029</v>
          </cell>
          <cell r="H499" t="str">
            <v>농촌 맛김치(일배용 10Kg/BOX)</v>
          </cell>
          <cell r="I499" t="str">
            <v>BOX</v>
          </cell>
          <cell r="J499">
            <v>2</v>
          </cell>
          <cell r="K499">
            <v>2</v>
          </cell>
          <cell r="L499">
            <v>10510</v>
          </cell>
          <cell r="M499">
            <v>21020</v>
          </cell>
          <cell r="N499">
            <v>0</v>
          </cell>
          <cell r="O499">
            <v>21020</v>
          </cell>
          <cell r="P499">
            <v>0</v>
          </cell>
          <cell r="Q499" t="str">
            <v>중국</v>
          </cell>
          <cell r="R499" t="str">
            <v>냉장</v>
          </cell>
          <cell r="S499" t="str">
            <v>BOX(1)</v>
          </cell>
          <cell r="T499" t="str">
            <v/>
          </cell>
          <cell r="U499" t="str">
            <v/>
          </cell>
          <cell r="V499" t="str">
            <v>2019-02-25</v>
          </cell>
          <cell r="W499" t="str">
            <v>2019-02-25 14:21:12</v>
          </cell>
          <cell r="X499" t="str">
            <v>더바른푸드</v>
          </cell>
        </row>
        <row r="500">
          <cell r="A500">
            <v>496</v>
          </cell>
          <cell r="B500" t="str">
            <v>2019-02-26</v>
          </cell>
          <cell r="C500" t="str">
            <v>더바른푸드</v>
          </cell>
          <cell r="D500" t="str">
            <v>더바른푸드</v>
          </cell>
          <cell r="E500" t="str">
            <v>일반</v>
          </cell>
          <cell r="F500" t="str">
            <v>입고완료</v>
          </cell>
          <cell r="G500">
            <v>196981</v>
          </cell>
          <cell r="H500" t="str">
            <v>쉐프원 깍두기(일반_숙성 10Kg/BOX)</v>
          </cell>
          <cell r="I500" t="str">
            <v>BOX</v>
          </cell>
          <cell r="J500">
            <v>2</v>
          </cell>
          <cell r="K500">
            <v>2</v>
          </cell>
          <cell r="L500">
            <v>28380</v>
          </cell>
          <cell r="M500">
            <v>56760</v>
          </cell>
          <cell r="N500">
            <v>0</v>
          </cell>
          <cell r="O500">
            <v>56760</v>
          </cell>
          <cell r="P500">
            <v>0</v>
          </cell>
          <cell r="Q500" t="str">
            <v/>
          </cell>
          <cell r="R500" t="str">
            <v>냉장</v>
          </cell>
          <cell r="S500" t="str">
            <v>BOX(1)</v>
          </cell>
          <cell r="T500" t="str">
            <v/>
          </cell>
          <cell r="U500" t="str">
            <v/>
          </cell>
          <cell r="V500" t="str">
            <v>2019-02-25</v>
          </cell>
          <cell r="W500" t="str">
            <v>2019-02-25 14:21:12</v>
          </cell>
          <cell r="X500" t="str">
            <v>더바른푸드</v>
          </cell>
        </row>
        <row r="501">
          <cell r="A501">
            <v>497</v>
          </cell>
          <cell r="B501" t="str">
            <v>2019-02-26</v>
          </cell>
          <cell r="C501" t="str">
            <v>더바른푸드</v>
          </cell>
          <cell r="D501" t="str">
            <v>더바른푸드</v>
          </cell>
          <cell r="E501" t="str">
            <v>일반</v>
          </cell>
          <cell r="F501" t="str">
            <v>입고완료</v>
          </cell>
          <cell r="G501">
            <v>133911</v>
          </cell>
          <cell r="H501" t="str">
            <v>세미원푸드 피쉬볼샌드위치(15±1g/개 500g/EA)</v>
          </cell>
          <cell r="I501" t="str">
            <v>EA</v>
          </cell>
          <cell r="J501">
            <v>114</v>
          </cell>
          <cell r="K501">
            <v>114</v>
          </cell>
          <cell r="L501">
            <v>5590</v>
          </cell>
          <cell r="M501">
            <v>637260</v>
          </cell>
          <cell r="N501">
            <v>63726</v>
          </cell>
          <cell r="O501">
            <v>700986</v>
          </cell>
          <cell r="P501">
            <v>0</v>
          </cell>
          <cell r="Q501" t="str">
            <v/>
          </cell>
          <cell r="R501" t="str">
            <v>냉동</v>
          </cell>
          <cell r="S501" t="str">
            <v>EA(12)</v>
          </cell>
          <cell r="T501" t="str">
            <v/>
          </cell>
          <cell r="U501" t="str">
            <v/>
          </cell>
          <cell r="V501" t="str">
            <v>2019-02-25</v>
          </cell>
          <cell r="W501" t="str">
            <v>2019-02-25 14:34:35</v>
          </cell>
          <cell r="X501" t="str">
            <v>더바른푸드</v>
          </cell>
        </row>
        <row r="502">
          <cell r="A502">
            <v>498</v>
          </cell>
          <cell r="B502" t="str">
            <v>2019-02-26</v>
          </cell>
          <cell r="C502" t="str">
            <v>더바른푸드</v>
          </cell>
          <cell r="D502" t="str">
            <v>더바른푸드</v>
          </cell>
          <cell r="E502" t="str">
            <v>일반</v>
          </cell>
          <cell r="F502" t="str">
            <v>입고완료</v>
          </cell>
          <cell r="G502">
            <v>201296</v>
          </cell>
          <cell r="H502" t="str">
            <v>건고사리(데친것 KG)</v>
          </cell>
          <cell r="I502" t="str">
            <v>KG</v>
          </cell>
          <cell r="J502">
            <v>57</v>
          </cell>
          <cell r="K502">
            <v>57</v>
          </cell>
          <cell r="L502">
            <v>3910</v>
          </cell>
          <cell r="M502">
            <v>222870</v>
          </cell>
          <cell r="N502">
            <v>0</v>
          </cell>
          <cell r="O502">
            <v>222870</v>
          </cell>
          <cell r="P502">
            <v>0</v>
          </cell>
          <cell r="Q502" t="str">
            <v>중국</v>
          </cell>
          <cell r="R502" t="str">
            <v>냉장</v>
          </cell>
          <cell r="S502" t="str">
            <v>KG(1)</v>
          </cell>
          <cell r="T502" t="str">
            <v/>
          </cell>
          <cell r="U502" t="str">
            <v/>
          </cell>
          <cell r="V502" t="str">
            <v>2019-02-25</v>
          </cell>
          <cell r="W502" t="str">
            <v>2019-02-25 14:48:25</v>
          </cell>
          <cell r="X502" t="str">
            <v>더바른푸드</v>
          </cell>
        </row>
        <row r="503">
          <cell r="A503">
            <v>499</v>
          </cell>
          <cell r="B503" t="str">
            <v>2019-02-25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</row>
        <row r="504">
          <cell r="A504">
            <v>500</v>
          </cell>
          <cell r="B504" t="str">
            <v>2019-02-25</v>
          </cell>
          <cell r="C504" t="str">
            <v>더바른푸드</v>
          </cell>
          <cell r="D504" t="str">
            <v>더바른푸드</v>
          </cell>
          <cell r="E504" t="str">
            <v>일반</v>
          </cell>
          <cell r="F504" t="str">
            <v>입고완료</v>
          </cell>
          <cell r="G504">
            <v>212132</v>
          </cell>
          <cell r="H504" t="str">
            <v>냉동고구마(맛탕용 1Kg/EA)</v>
          </cell>
          <cell r="I504" t="str">
            <v>EA</v>
          </cell>
          <cell r="J504">
            <v>30</v>
          </cell>
          <cell r="K504">
            <v>30</v>
          </cell>
          <cell r="L504">
            <v>2750</v>
          </cell>
          <cell r="M504">
            <v>82500</v>
          </cell>
          <cell r="N504">
            <v>8250</v>
          </cell>
          <cell r="O504">
            <v>90750</v>
          </cell>
          <cell r="P504">
            <v>0</v>
          </cell>
          <cell r="Q504" t="str">
            <v/>
          </cell>
          <cell r="R504" t="str">
            <v>냉동</v>
          </cell>
          <cell r="S504" t="str">
            <v>EA(1)</v>
          </cell>
          <cell r="T504" t="str">
            <v/>
          </cell>
          <cell r="U504" t="str">
            <v/>
          </cell>
          <cell r="V504" t="str">
            <v>2019-02-20</v>
          </cell>
          <cell r="W504" t="str">
            <v>2019-02-20 16:33:51</v>
          </cell>
          <cell r="X504" t="str">
            <v>더바른푸드</v>
          </cell>
        </row>
        <row r="505">
          <cell r="A505">
            <v>501</v>
          </cell>
          <cell r="B505" t="str">
            <v>2019-02-25</v>
          </cell>
          <cell r="C505" t="str">
            <v>더바른푸드</v>
          </cell>
          <cell r="D505" t="str">
            <v>더바른푸드</v>
          </cell>
          <cell r="E505" t="str">
            <v>일반</v>
          </cell>
          <cell r="F505" t="str">
            <v>입고완료</v>
          </cell>
          <cell r="G505">
            <v>319720</v>
          </cell>
          <cell r="H505" t="str">
            <v>건파래(찢은것 500g/EA)</v>
          </cell>
          <cell r="I505" t="str">
            <v>EA</v>
          </cell>
          <cell r="J505">
            <v>3</v>
          </cell>
          <cell r="K505">
            <v>3</v>
          </cell>
          <cell r="L505">
            <v>15770</v>
          </cell>
          <cell r="M505">
            <v>47310</v>
          </cell>
          <cell r="N505">
            <v>0</v>
          </cell>
          <cell r="O505">
            <v>47310</v>
          </cell>
          <cell r="P505">
            <v>0</v>
          </cell>
          <cell r="Q505" t="str">
            <v>한국</v>
          </cell>
          <cell r="R505" t="str">
            <v>실온</v>
          </cell>
          <cell r="S505" t="str">
            <v>EA(14)</v>
          </cell>
          <cell r="T505" t="str">
            <v/>
          </cell>
          <cell r="U505" t="str">
            <v/>
          </cell>
          <cell r="V505" t="str">
            <v>2019-02-20</v>
          </cell>
          <cell r="W505" t="str">
            <v>2019-02-20 16:34:24</v>
          </cell>
          <cell r="X505" t="str">
            <v>더바른푸드</v>
          </cell>
        </row>
        <row r="506">
          <cell r="A506">
            <v>502</v>
          </cell>
          <cell r="B506" t="str">
            <v>2019-02-25</v>
          </cell>
          <cell r="C506" t="str">
            <v>더바른푸드</v>
          </cell>
          <cell r="D506" t="str">
            <v>더바른푸드</v>
          </cell>
          <cell r="E506" t="str">
            <v>일반</v>
          </cell>
          <cell r="F506" t="str">
            <v>입고완료</v>
          </cell>
          <cell r="G506">
            <v>119587</v>
          </cell>
          <cell r="H506" t="str">
            <v>이츠웰 찰순대(통 1Kg/EA)</v>
          </cell>
          <cell r="I506" t="str">
            <v>EA</v>
          </cell>
          <cell r="J506">
            <v>2</v>
          </cell>
          <cell r="K506">
            <v>2</v>
          </cell>
          <cell r="L506">
            <v>3470</v>
          </cell>
          <cell r="M506">
            <v>6940</v>
          </cell>
          <cell r="N506">
            <v>694</v>
          </cell>
          <cell r="O506">
            <v>7634</v>
          </cell>
          <cell r="P506">
            <v>0</v>
          </cell>
          <cell r="Q506" t="str">
            <v/>
          </cell>
          <cell r="R506" t="str">
            <v>냉장</v>
          </cell>
          <cell r="S506" t="str">
            <v>EA(10)</v>
          </cell>
          <cell r="T506" t="str">
            <v/>
          </cell>
          <cell r="U506" t="str">
            <v/>
          </cell>
          <cell r="V506" t="str">
            <v>2019-02-20</v>
          </cell>
          <cell r="W506" t="str">
            <v>2019-02-20 16:40:20</v>
          </cell>
          <cell r="X506" t="str">
            <v>더바른푸드</v>
          </cell>
        </row>
        <row r="507">
          <cell r="A507">
            <v>503</v>
          </cell>
          <cell r="B507" t="str">
            <v>2019-02-25</v>
          </cell>
          <cell r="C507" t="str">
            <v>더바른푸드</v>
          </cell>
          <cell r="D507" t="str">
            <v>더바른푸드</v>
          </cell>
          <cell r="E507" t="str">
            <v>일반</v>
          </cell>
          <cell r="F507" t="str">
            <v>입고완료</v>
          </cell>
          <cell r="G507">
            <v>248028</v>
          </cell>
          <cell r="H507" t="str">
            <v>이츠웰 오징어채(1Kg/EA)</v>
          </cell>
          <cell r="I507" t="str">
            <v>EA</v>
          </cell>
          <cell r="J507">
            <v>30</v>
          </cell>
          <cell r="K507">
            <v>30</v>
          </cell>
          <cell r="L507">
            <v>11630</v>
          </cell>
          <cell r="M507">
            <v>348900</v>
          </cell>
          <cell r="N507">
            <v>0</v>
          </cell>
          <cell r="O507">
            <v>348900</v>
          </cell>
          <cell r="P507">
            <v>0</v>
          </cell>
          <cell r="Q507" t="str">
            <v>한국</v>
          </cell>
          <cell r="R507" t="str">
            <v>냉동</v>
          </cell>
          <cell r="S507" t="str">
            <v>EA(10)</v>
          </cell>
          <cell r="T507" t="str">
            <v/>
          </cell>
          <cell r="U507" t="str">
            <v/>
          </cell>
          <cell r="V507" t="str">
            <v>2019-02-21</v>
          </cell>
          <cell r="W507" t="str">
            <v>2019-02-21 14:51:49</v>
          </cell>
          <cell r="X507" t="str">
            <v>더바른푸드</v>
          </cell>
        </row>
        <row r="508">
          <cell r="A508">
            <v>504</v>
          </cell>
          <cell r="B508" t="str">
            <v>2019-02-25</v>
          </cell>
          <cell r="C508" t="str">
            <v>더바른푸드</v>
          </cell>
          <cell r="D508" t="str">
            <v>더바른푸드</v>
          </cell>
          <cell r="E508" t="str">
            <v>일반</v>
          </cell>
          <cell r="F508" t="str">
            <v>입고완료</v>
          </cell>
          <cell r="G508">
            <v>420010</v>
          </cell>
          <cell r="H508" t="str">
            <v>알로팜 계란(왕란_무항생제_68g*30입 2.04Kg/EA)</v>
          </cell>
          <cell r="I508" t="str">
            <v>EA</v>
          </cell>
          <cell r="J508">
            <v>28</v>
          </cell>
          <cell r="K508">
            <v>28</v>
          </cell>
          <cell r="L508">
            <v>4130</v>
          </cell>
          <cell r="M508">
            <v>115640</v>
          </cell>
          <cell r="N508">
            <v>0</v>
          </cell>
          <cell r="O508">
            <v>115640</v>
          </cell>
          <cell r="P508">
            <v>115640</v>
          </cell>
          <cell r="Q508" t="str">
            <v>한국</v>
          </cell>
          <cell r="R508" t="str">
            <v>냉장</v>
          </cell>
          <cell r="S508" t="str">
            <v>EA(1)</v>
          </cell>
          <cell r="T508" t="str">
            <v/>
          </cell>
          <cell r="U508" t="str">
            <v/>
          </cell>
          <cell r="V508" t="str">
            <v>2019-02-22</v>
          </cell>
          <cell r="W508" t="str">
            <v>2019-02-22 14:02:05</v>
          </cell>
          <cell r="X508" t="str">
            <v>더바른푸드</v>
          </cell>
        </row>
        <row r="509">
          <cell r="A509">
            <v>505</v>
          </cell>
          <cell r="B509" t="str">
            <v>2019-02-25</v>
          </cell>
          <cell r="C509" t="str">
            <v>더바른푸드</v>
          </cell>
          <cell r="D509" t="str">
            <v>더바른푸드</v>
          </cell>
          <cell r="E509" t="str">
            <v>일반</v>
          </cell>
          <cell r="F509" t="str">
            <v>입고완료</v>
          </cell>
          <cell r="G509">
            <v>235445</v>
          </cell>
          <cell r="H509" t="str">
            <v>삼승 프리미엄닭안심(1등급 30±5g/개_껍질제거 KG)</v>
          </cell>
          <cell r="I509" t="str">
            <v>KG</v>
          </cell>
          <cell r="J509">
            <v>3</v>
          </cell>
          <cell r="K509">
            <v>3</v>
          </cell>
          <cell r="L509">
            <v>6990</v>
          </cell>
          <cell r="M509">
            <v>20970</v>
          </cell>
          <cell r="N509">
            <v>0</v>
          </cell>
          <cell r="O509">
            <v>20970</v>
          </cell>
          <cell r="P509">
            <v>0</v>
          </cell>
          <cell r="Q509" t="str">
            <v>한국</v>
          </cell>
          <cell r="R509" t="str">
            <v>냉장</v>
          </cell>
          <cell r="S509" t="str">
            <v>KG(1)</v>
          </cell>
          <cell r="T509" t="str">
            <v/>
          </cell>
          <cell r="U509" t="str">
            <v/>
          </cell>
          <cell r="V509" t="str">
            <v>2019-02-22</v>
          </cell>
          <cell r="W509" t="str">
            <v>2019-02-22 14:15:13</v>
          </cell>
          <cell r="X509" t="str">
            <v>더바른푸드</v>
          </cell>
        </row>
        <row r="510">
          <cell r="A510">
            <v>506</v>
          </cell>
          <cell r="B510" t="str">
            <v>2019-02-25</v>
          </cell>
          <cell r="C510" t="str">
            <v>더바른푸드</v>
          </cell>
          <cell r="D510" t="str">
            <v>더바른푸드</v>
          </cell>
          <cell r="E510" t="str">
            <v>일반</v>
          </cell>
          <cell r="F510" t="str">
            <v>입고완료</v>
          </cell>
          <cell r="G510">
            <v>138696</v>
          </cell>
          <cell r="H510" t="str">
            <v>이츠웰 레귤러핫도그(NEW_50g*20입 1Kg/EA)</v>
          </cell>
          <cell r="I510" t="str">
            <v>EA</v>
          </cell>
          <cell r="J510">
            <v>8</v>
          </cell>
          <cell r="K510">
            <v>8</v>
          </cell>
          <cell r="L510">
            <v>6130</v>
          </cell>
          <cell r="M510">
            <v>49040</v>
          </cell>
          <cell r="N510">
            <v>4904</v>
          </cell>
          <cell r="O510">
            <v>53944</v>
          </cell>
          <cell r="P510">
            <v>0</v>
          </cell>
          <cell r="Q510" t="str">
            <v>한국</v>
          </cell>
          <cell r="R510" t="str">
            <v>냉동</v>
          </cell>
          <cell r="S510" t="str">
            <v>EA(6)</v>
          </cell>
          <cell r="T510" t="str">
            <v/>
          </cell>
          <cell r="U510" t="str">
            <v/>
          </cell>
          <cell r="V510" t="str">
            <v>2019-02-22</v>
          </cell>
          <cell r="W510" t="str">
            <v>2019-02-22 14:41:06</v>
          </cell>
          <cell r="X510" t="str">
            <v>더바른푸드</v>
          </cell>
        </row>
        <row r="511">
          <cell r="A511">
            <v>507</v>
          </cell>
          <cell r="B511" t="str">
            <v>2019-02-25</v>
          </cell>
          <cell r="C511" t="str">
            <v>더바른푸드</v>
          </cell>
          <cell r="D511" t="str">
            <v>더바른푸드</v>
          </cell>
          <cell r="E511" t="str">
            <v>일반</v>
          </cell>
          <cell r="F511" t="str">
            <v>입고완료</v>
          </cell>
          <cell r="G511">
            <v>136633</v>
          </cell>
          <cell r="H511" t="str">
            <v>이오 요구르트(80ml_유기농 80g/EA)</v>
          </cell>
          <cell r="I511" t="str">
            <v>EA</v>
          </cell>
          <cell r="J511">
            <v>97</v>
          </cell>
          <cell r="K511">
            <v>97</v>
          </cell>
          <cell r="L511">
            <v>300</v>
          </cell>
          <cell r="M511">
            <v>29100</v>
          </cell>
          <cell r="N511">
            <v>2910</v>
          </cell>
          <cell r="O511">
            <v>32010</v>
          </cell>
          <cell r="P511">
            <v>0</v>
          </cell>
          <cell r="Q511" t="str">
            <v>한국</v>
          </cell>
          <cell r="R511" t="str">
            <v>냉장</v>
          </cell>
          <cell r="S511" t="str">
            <v>EA(50)</v>
          </cell>
          <cell r="T511" t="str">
            <v/>
          </cell>
          <cell r="U511" t="str">
            <v>빨대 넉넉히 부탁드립니다</v>
          </cell>
          <cell r="V511" t="str">
            <v>2019-02-22</v>
          </cell>
          <cell r="W511" t="str">
            <v>2019-02-22 14:41:41</v>
          </cell>
          <cell r="X511" t="str">
            <v>더바른푸드</v>
          </cell>
        </row>
        <row r="512">
          <cell r="A512">
            <v>508</v>
          </cell>
          <cell r="B512" t="str">
            <v>2019-02-25</v>
          </cell>
          <cell r="C512" t="str">
            <v>더바른푸드</v>
          </cell>
          <cell r="D512" t="str">
            <v>더바른푸드</v>
          </cell>
          <cell r="E512" t="str">
            <v>일반</v>
          </cell>
          <cell r="F512" t="str">
            <v>입고완료</v>
          </cell>
          <cell r="G512">
            <v>108319</v>
          </cell>
          <cell r="H512" t="str">
            <v>연세우유 고칼슘두유(팩_200ml 200g/EA)</v>
          </cell>
          <cell r="I512" t="str">
            <v>EA</v>
          </cell>
          <cell r="J512">
            <v>48</v>
          </cell>
          <cell r="K512">
            <v>48</v>
          </cell>
          <cell r="L512">
            <v>280</v>
          </cell>
          <cell r="M512">
            <v>13440</v>
          </cell>
          <cell r="N512">
            <v>1344</v>
          </cell>
          <cell r="O512">
            <v>14784</v>
          </cell>
          <cell r="P512">
            <v>0</v>
          </cell>
          <cell r="Q512" t="str">
            <v>한국</v>
          </cell>
          <cell r="R512" t="str">
            <v>실온</v>
          </cell>
          <cell r="S512" t="str">
            <v>EA(1)</v>
          </cell>
          <cell r="T512" t="str">
            <v/>
          </cell>
          <cell r="U512" t="str">
            <v/>
          </cell>
          <cell r="V512" t="str">
            <v>2019-02-22</v>
          </cell>
          <cell r="W512" t="str">
            <v>2019-02-22 14:42:40</v>
          </cell>
          <cell r="X512" t="str">
            <v>더바른푸드</v>
          </cell>
        </row>
        <row r="513">
          <cell r="A513">
            <v>509</v>
          </cell>
          <cell r="B513" t="str">
            <v>2019-02-25</v>
          </cell>
          <cell r="C513" t="str">
            <v>더바른푸드</v>
          </cell>
          <cell r="D513" t="str">
            <v>더바른푸드</v>
          </cell>
          <cell r="E513" t="str">
            <v>일반</v>
          </cell>
          <cell r="F513" t="str">
            <v>입고완료</v>
          </cell>
          <cell r="G513">
            <v>502650</v>
          </cell>
          <cell r="H513" t="str">
            <v>유니 랩(30cm*50m 가정용 EA)</v>
          </cell>
          <cell r="I513" t="str">
            <v>EA</v>
          </cell>
          <cell r="J513">
            <v>10</v>
          </cell>
          <cell r="K513">
            <v>10</v>
          </cell>
          <cell r="L513">
            <v>2150</v>
          </cell>
          <cell r="M513">
            <v>21500</v>
          </cell>
          <cell r="N513">
            <v>2150</v>
          </cell>
          <cell r="O513">
            <v>23650</v>
          </cell>
          <cell r="P513">
            <v>0</v>
          </cell>
          <cell r="Q513" t="str">
            <v/>
          </cell>
          <cell r="R513" t="str">
            <v>실온</v>
          </cell>
          <cell r="S513" t="str">
            <v>EA(50)</v>
          </cell>
          <cell r="T513" t="str">
            <v/>
          </cell>
          <cell r="U513" t="str">
            <v/>
          </cell>
          <cell r="V513" t="str">
            <v>2019-02-22</v>
          </cell>
          <cell r="W513" t="str">
            <v>2019-02-22 14:53:12</v>
          </cell>
          <cell r="X513" t="str">
            <v>더바른푸드</v>
          </cell>
        </row>
        <row r="514">
          <cell r="A514">
            <v>510</v>
          </cell>
          <cell r="B514" t="str">
            <v>2019-02-25</v>
          </cell>
          <cell r="C514" t="str">
            <v>더바른푸드</v>
          </cell>
          <cell r="D514" t="str">
            <v>더바른푸드</v>
          </cell>
          <cell r="E514" t="str">
            <v>일반</v>
          </cell>
          <cell r="F514" t="str">
            <v>입고완료</v>
          </cell>
          <cell r="G514">
            <v>526201</v>
          </cell>
          <cell r="H514" t="str">
            <v>마미손 고무장갑(빨간색_대L EA)</v>
          </cell>
          <cell r="I514" t="str">
            <v>EA</v>
          </cell>
          <cell r="J514">
            <v>20</v>
          </cell>
          <cell r="K514">
            <v>20</v>
          </cell>
          <cell r="L514">
            <v>1340</v>
          </cell>
          <cell r="M514">
            <v>26800</v>
          </cell>
          <cell r="N514">
            <v>2680</v>
          </cell>
          <cell r="O514">
            <v>29480</v>
          </cell>
          <cell r="P514">
            <v>0</v>
          </cell>
          <cell r="Q514" t="str">
            <v/>
          </cell>
          <cell r="R514" t="str">
            <v>실온</v>
          </cell>
          <cell r="S514" t="str">
            <v>EA(100)</v>
          </cell>
          <cell r="T514" t="str">
            <v/>
          </cell>
          <cell r="U514" t="str">
            <v/>
          </cell>
          <cell r="V514" t="str">
            <v>2019-02-22</v>
          </cell>
          <cell r="W514" t="str">
            <v>2019-02-22 14:53:41</v>
          </cell>
          <cell r="X514" t="str">
            <v>더바른푸드</v>
          </cell>
        </row>
        <row r="515">
          <cell r="A515">
            <v>511</v>
          </cell>
          <cell r="B515" t="str">
            <v>2019-02-25</v>
          </cell>
          <cell r="C515" t="str">
            <v>더바른푸드</v>
          </cell>
          <cell r="D515" t="str">
            <v>더바른푸드</v>
          </cell>
          <cell r="E515" t="str">
            <v>일반</v>
          </cell>
          <cell r="F515" t="str">
            <v>입고완료</v>
          </cell>
          <cell r="G515">
            <v>526203</v>
          </cell>
          <cell r="H515" t="str">
            <v>마미손 고무장갑(화이트(아이보리)_대L EA)</v>
          </cell>
          <cell r="I515" t="str">
            <v>EA</v>
          </cell>
          <cell r="J515">
            <v>20</v>
          </cell>
          <cell r="K515">
            <v>20</v>
          </cell>
          <cell r="L515">
            <v>1340</v>
          </cell>
          <cell r="M515">
            <v>26800</v>
          </cell>
          <cell r="N515">
            <v>2680</v>
          </cell>
          <cell r="O515">
            <v>29480</v>
          </cell>
          <cell r="P515">
            <v>0</v>
          </cell>
          <cell r="Q515" t="str">
            <v/>
          </cell>
          <cell r="R515" t="str">
            <v>실온</v>
          </cell>
          <cell r="S515" t="str">
            <v>EA(100)</v>
          </cell>
          <cell r="T515" t="str">
            <v/>
          </cell>
          <cell r="U515" t="str">
            <v/>
          </cell>
          <cell r="V515" t="str">
            <v>2019-02-22</v>
          </cell>
          <cell r="W515" t="str">
            <v>2019-02-22 14:53:41</v>
          </cell>
          <cell r="X515" t="str">
            <v>더바른푸드</v>
          </cell>
        </row>
        <row r="516">
          <cell r="A516">
            <v>512</v>
          </cell>
          <cell r="B516" t="str">
            <v>2019-02-25</v>
          </cell>
          <cell r="C516" t="str">
            <v>더바른푸드</v>
          </cell>
          <cell r="D516" t="str">
            <v>더바른푸드</v>
          </cell>
          <cell r="E516" t="str">
            <v>일반</v>
          </cell>
          <cell r="F516" t="str">
            <v>입고완료</v>
          </cell>
          <cell r="G516">
            <v>227935</v>
          </cell>
          <cell r="H516" t="str">
            <v>크린업 은사수세미(18*14cm_2입 EA)</v>
          </cell>
          <cell r="I516" t="str">
            <v>EA</v>
          </cell>
          <cell r="J516">
            <v>20</v>
          </cell>
          <cell r="K516">
            <v>20</v>
          </cell>
          <cell r="L516">
            <v>710</v>
          </cell>
          <cell r="M516">
            <v>14200</v>
          </cell>
          <cell r="N516">
            <v>1420</v>
          </cell>
          <cell r="O516">
            <v>15620</v>
          </cell>
          <cell r="P516">
            <v>0</v>
          </cell>
          <cell r="Q516" t="str">
            <v/>
          </cell>
          <cell r="R516" t="str">
            <v>실온</v>
          </cell>
          <cell r="S516" t="str">
            <v>EA(200)</v>
          </cell>
          <cell r="T516" t="str">
            <v/>
          </cell>
          <cell r="U516" t="str">
            <v/>
          </cell>
          <cell r="V516" t="str">
            <v>2019-02-22</v>
          </cell>
          <cell r="W516" t="str">
            <v>2019-02-22 14:54:25</v>
          </cell>
          <cell r="X516" t="str">
            <v>더바른푸드</v>
          </cell>
        </row>
        <row r="517">
          <cell r="A517">
            <v>513</v>
          </cell>
          <cell r="B517" t="str">
            <v>2019-02-25</v>
          </cell>
          <cell r="C517" t="str">
            <v>더바른푸드</v>
          </cell>
          <cell r="D517" t="str">
            <v>더바른푸드</v>
          </cell>
          <cell r="E517" t="str">
            <v>일반</v>
          </cell>
          <cell r="F517" t="str">
            <v>입고완료</v>
          </cell>
          <cell r="G517">
            <v>242385</v>
          </cell>
          <cell r="H517" t="str">
            <v>크린업 부직포행주(삼색_38*38cm_3입 EA)</v>
          </cell>
          <cell r="I517" t="str">
            <v>EA</v>
          </cell>
          <cell r="J517">
            <v>10</v>
          </cell>
          <cell r="K517">
            <v>10</v>
          </cell>
          <cell r="L517">
            <v>760</v>
          </cell>
          <cell r="M517">
            <v>7600</v>
          </cell>
          <cell r="N517">
            <v>760</v>
          </cell>
          <cell r="O517">
            <v>8360</v>
          </cell>
          <cell r="P517">
            <v>0</v>
          </cell>
          <cell r="Q517" t="str">
            <v/>
          </cell>
          <cell r="R517" t="str">
            <v>실온</v>
          </cell>
          <cell r="S517" t="str">
            <v>EA(160)</v>
          </cell>
          <cell r="T517" t="str">
            <v/>
          </cell>
          <cell r="U517" t="str">
            <v/>
          </cell>
          <cell r="V517" t="str">
            <v>2019-02-22</v>
          </cell>
          <cell r="W517" t="str">
            <v>2019-02-22 14:55:05</v>
          </cell>
          <cell r="X517" t="str">
            <v>더바른푸드</v>
          </cell>
        </row>
        <row r="518">
          <cell r="A518">
            <v>514</v>
          </cell>
          <cell r="B518" t="str">
            <v>2019-02-23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</row>
        <row r="519">
          <cell r="A519">
            <v>515</v>
          </cell>
          <cell r="B519" t="str">
            <v>2019-02-23</v>
          </cell>
          <cell r="C519" t="str">
            <v>더바른푸드</v>
          </cell>
          <cell r="D519" t="str">
            <v>더바른푸드</v>
          </cell>
          <cell r="E519" t="str">
            <v>일반</v>
          </cell>
          <cell r="F519" t="str">
            <v>입고완료</v>
          </cell>
          <cell r="G519">
            <v>197120</v>
          </cell>
          <cell r="H519" t="str">
            <v>종가집 포기김치(숙성 10Kg/BOX)</v>
          </cell>
          <cell r="I519" t="str">
            <v>BOX</v>
          </cell>
          <cell r="J519">
            <v>10</v>
          </cell>
          <cell r="K519">
            <v>10</v>
          </cell>
          <cell r="L519">
            <v>31390</v>
          </cell>
          <cell r="M519">
            <v>313900</v>
          </cell>
          <cell r="N519">
            <v>0</v>
          </cell>
          <cell r="O519">
            <v>313900</v>
          </cell>
          <cell r="P519">
            <v>0</v>
          </cell>
          <cell r="Q519" t="str">
            <v>한국</v>
          </cell>
          <cell r="R519" t="str">
            <v>냉장</v>
          </cell>
          <cell r="S519" t="str">
            <v>BOX(1)</v>
          </cell>
          <cell r="T519" t="str">
            <v/>
          </cell>
          <cell r="U519" t="str">
            <v/>
          </cell>
          <cell r="V519" t="str">
            <v>2019-02-22</v>
          </cell>
          <cell r="W519" t="str">
            <v>2019-02-22 10:29:29</v>
          </cell>
          <cell r="X519" t="str">
            <v>더바른푸드</v>
          </cell>
        </row>
        <row r="520">
          <cell r="A520">
            <v>516</v>
          </cell>
          <cell r="B520" t="str">
            <v>2019-02-23</v>
          </cell>
          <cell r="C520" t="str">
            <v>더바른푸드</v>
          </cell>
          <cell r="D520" t="str">
            <v>더바른푸드</v>
          </cell>
          <cell r="E520" t="str">
            <v>일반</v>
          </cell>
          <cell r="F520" t="str">
            <v>입고완료</v>
          </cell>
          <cell r="G520">
            <v>125549</v>
          </cell>
          <cell r="H520" t="str">
            <v>사옹원 계란옷오미산적(45g*45개입 2.025Kg/PAC)</v>
          </cell>
          <cell r="I520" t="str">
            <v>PAC</v>
          </cell>
          <cell r="J520">
            <v>1</v>
          </cell>
          <cell r="K520">
            <v>1</v>
          </cell>
          <cell r="L520">
            <v>22210</v>
          </cell>
          <cell r="M520">
            <v>22210</v>
          </cell>
          <cell r="N520">
            <v>2221</v>
          </cell>
          <cell r="O520">
            <v>24431</v>
          </cell>
          <cell r="P520">
            <v>0</v>
          </cell>
          <cell r="Q520" t="str">
            <v/>
          </cell>
          <cell r="R520" t="str">
            <v>냉동</v>
          </cell>
          <cell r="S520" t="str">
            <v>PAC(4)</v>
          </cell>
          <cell r="T520" t="str">
            <v/>
          </cell>
          <cell r="U520" t="str">
            <v/>
          </cell>
          <cell r="V520" t="str">
            <v>2019-02-22</v>
          </cell>
          <cell r="W520" t="str">
            <v>2019-02-22 13:47:02</v>
          </cell>
          <cell r="X520" t="str">
            <v>더바른푸드</v>
          </cell>
        </row>
        <row r="521">
          <cell r="A521">
            <v>517</v>
          </cell>
          <cell r="B521" t="str">
            <v>2019-02-23</v>
          </cell>
          <cell r="C521" t="str">
            <v>더바른푸드</v>
          </cell>
          <cell r="D521" t="str">
            <v>더바른푸드</v>
          </cell>
          <cell r="E521" t="str">
            <v>일반</v>
          </cell>
          <cell r="F521" t="str">
            <v>입고완료</v>
          </cell>
          <cell r="G521">
            <v>204973</v>
          </cell>
          <cell r="H521" t="str">
            <v>냉동대파(1Kg/PAC)</v>
          </cell>
          <cell r="I521" t="str">
            <v>PAC</v>
          </cell>
          <cell r="J521">
            <v>30</v>
          </cell>
          <cell r="K521">
            <v>30</v>
          </cell>
          <cell r="L521">
            <v>1400</v>
          </cell>
          <cell r="M521">
            <v>42000</v>
          </cell>
          <cell r="N521">
            <v>0</v>
          </cell>
          <cell r="O521">
            <v>42000</v>
          </cell>
          <cell r="P521">
            <v>0</v>
          </cell>
          <cell r="Q521" t="str">
            <v>중국</v>
          </cell>
          <cell r="R521" t="str">
            <v>냉동</v>
          </cell>
          <cell r="S521" t="str">
            <v>PAC(1)</v>
          </cell>
          <cell r="T521" t="str">
            <v/>
          </cell>
          <cell r="U521" t="str">
            <v/>
          </cell>
          <cell r="V521" t="str">
            <v>2019-02-22</v>
          </cell>
          <cell r="W521" t="str">
            <v>2019-02-22 14:52:07</v>
          </cell>
          <cell r="X521" t="str">
            <v>더바른푸드</v>
          </cell>
        </row>
        <row r="522">
          <cell r="A522">
            <v>518</v>
          </cell>
          <cell r="B522" t="str">
            <v>2019-02-23</v>
          </cell>
          <cell r="C522" t="str">
            <v>더바른푸드</v>
          </cell>
          <cell r="D522" t="str">
            <v>더바른푸드</v>
          </cell>
          <cell r="E522" t="str">
            <v>일반</v>
          </cell>
          <cell r="F522" t="str">
            <v>입고완료</v>
          </cell>
          <cell r="G522">
            <v>247931</v>
          </cell>
          <cell r="H522" t="str">
            <v>마당발 냉동다진마늘(1Kg/EA)</v>
          </cell>
          <cell r="I522" t="str">
            <v>EA</v>
          </cell>
          <cell r="J522">
            <v>20</v>
          </cell>
          <cell r="K522">
            <v>20</v>
          </cell>
          <cell r="L522">
            <v>2710</v>
          </cell>
          <cell r="M522">
            <v>54200</v>
          </cell>
          <cell r="N522">
            <v>0</v>
          </cell>
          <cell r="O522">
            <v>54200</v>
          </cell>
          <cell r="P522">
            <v>0</v>
          </cell>
          <cell r="Q522" t="str">
            <v>중국</v>
          </cell>
          <cell r="R522" t="str">
            <v>냉동</v>
          </cell>
          <cell r="S522" t="str">
            <v>EA(10)</v>
          </cell>
          <cell r="T522" t="str">
            <v/>
          </cell>
          <cell r="U522" t="str">
            <v/>
          </cell>
          <cell r="V522" t="str">
            <v>2019-02-22</v>
          </cell>
          <cell r="W522" t="str">
            <v>2019-02-22 14:52:07</v>
          </cell>
          <cell r="X522" t="str">
            <v>더바른푸드</v>
          </cell>
        </row>
        <row r="523">
          <cell r="A523">
            <v>519</v>
          </cell>
          <cell r="B523" t="str">
            <v>2019-02-23</v>
          </cell>
          <cell r="C523" t="str">
            <v>더바른푸드</v>
          </cell>
          <cell r="D523" t="str">
            <v>더바른푸드</v>
          </cell>
          <cell r="E523" t="str">
            <v>일반</v>
          </cell>
          <cell r="F523" t="str">
            <v>입고완료</v>
          </cell>
          <cell r="G523">
            <v>172567</v>
          </cell>
          <cell r="H523" t="str">
            <v>쉐프솔루션 치킨가라아게(1Kg/EA)</v>
          </cell>
          <cell r="I523" t="str">
            <v>EA</v>
          </cell>
          <cell r="J523">
            <v>15</v>
          </cell>
          <cell r="K523">
            <v>15</v>
          </cell>
          <cell r="L523">
            <v>7900</v>
          </cell>
          <cell r="M523">
            <v>118500</v>
          </cell>
          <cell r="N523">
            <v>11850</v>
          </cell>
          <cell r="O523">
            <v>130350</v>
          </cell>
          <cell r="P523">
            <v>0</v>
          </cell>
          <cell r="Q523" t="str">
            <v>브라질</v>
          </cell>
          <cell r="R523" t="str">
            <v>냉동</v>
          </cell>
          <cell r="S523" t="str">
            <v>EA(8)</v>
          </cell>
          <cell r="T523" t="str">
            <v/>
          </cell>
          <cell r="U523" t="str">
            <v/>
          </cell>
          <cell r="V523" t="str">
            <v>2019-02-22</v>
          </cell>
          <cell r="W523" t="str">
            <v>2019-02-22 15:18:09</v>
          </cell>
          <cell r="X523" t="str">
            <v>더바른푸드</v>
          </cell>
        </row>
        <row r="524">
          <cell r="A524">
            <v>520</v>
          </cell>
          <cell r="B524" t="str">
            <v>2019-02-22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</row>
        <row r="525">
          <cell r="A525">
            <v>521</v>
          </cell>
          <cell r="B525" t="str">
            <v>2019-02-22</v>
          </cell>
          <cell r="C525" t="str">
            <v>더바른푸드</v>
          </cell>
          <cell r="D525" t="str">
            <v>더바른푸드</v>
          </cell>
          <cell r="E525" t="str">
            <v>일반</v>
          </cell>
          <cell r="F525" t="str">
            <v>입고완료</v>
          </cell>
          <cell r="G525">
            <v>139406</v>
          </cell>
          <cell r="H525" t="str">
            <v>빠니니 치즈케익(사각_25g*40입 1Kg/EA)</v>
          </cell>
          <cell r="I525" t="str">
            <v>EA</v>
          </cell>
          <cell r="J525">
            <v>4</v>
          </cell>
          <cell r="K525">
            <v>4</v>
          </cell>
          <cell r="L525">
            <v>16250</v>
          </cell>
          <cell r="M525">
            <v>65000</v>
          </cell>
          <cell r="N525">
            <v>6500</v>
          </cell>
          <cell r="O525">
            <v>71500</v>
          </cell>
          <cell r="P525">
            <v>0</v>
          </cell>
          <cell r="Q525" t="str">
            <v/>
          </cell>
          <cell r="R525" t="str">
            <v>냉동</v>
          </cell>
          <cell r="S525" t="str">
            <v>EA(1)</v>
          </cell>
          <cell r="T525" t="str">
            <v/>
          </cell>
          <cell r="U525" t="str">
            <v/>
          </cell>
          <cell r="V525" t="str">
            <v>2019-02-13</v>
          </cell>
          <cell r="W525" t="str">
            <v>2019-02-13 12:14:41</v>
          </cell>
          <cell r="X525" t="str">
            <v>더바른푸드</v>
          </cell>
        </row>
        <row r="526">
          <cell r="A526">
            <v>522</v>
          </cell>
          <cell r="B526" t="str">
            <v>2019-02-22</v>
          </cell>
          <cell r="C526" t="str">
            <v>더바른푸드</v>
          </cell>
          <cell r="D526" t="str">
            <v>더바른푸드</v>
          </cell>
          <cell r="E526" t="str">
            <v>일반</v>
          </cell>
          <cell r="F526" t="str">
            <v>입고완료</v>
          </cell>
          <cell r="G526">
            <v>136633</v>
          </cell>
          <cell r="H526" t="str">
            <v>이오 요구르트(80ml_유기농 80g/EA)</v>
          </cell>
          <cell r="I526" t="str">
            <v>EA</v>
          </cell>
          <cell r="J526">
            <v>40</v>
          </cell>
          <cell r="K526">
            <v>40</v>
          </cell>
          <cell r="L526">
            <v>300</v>
          </cell>
          <cell r="M526">
            <v>12000</v>
          </cell>
          <cell r="N526">
            <v>1200</v>
          </cell>
          <cell r="O526">
            <v>13200</v>
          </cell>
          <cell r="P526">
            <v>0</v>
          </cell>
          <cell r="Q526" t="str">
            <v>한국</v>
          </cell>
          <cell r="R526" t="str">
            <v>냉장</v>
          </cell>
          <cell r="S526" t="str">
            <v>EA(50)</v>
          </cell>
          <cell r="T526" t="str">
            <v/>
          </cell>
          <cell r="U526" t="str">
            <v>빨대 부탁드립니다</v>
          </cell>
          <cell r="V526" t="str">
            <v>2019-02-13</v>
          </cell>
          <cell r="W526" t="str">
            <v>2019-02-13 12:30:27</v>
          </cell>
          <cell r="X526" t="str">
            <v>더바른푸드</v>
          </cell>
        </row>
        <row r="527">
          <cell r="A527">
            <v>523</v>
          </cell>
          <cell r="B527" t="str">
            <v>2019-02-22</v>
          </cell>
          <cell r="C527" t="str">
            <v>더바른푸드</v>
          </cell>
          <cell r="D527" t="str">
            <v>더바른푸드</v>
          </cell>
          <cell r="E527" t="str">
            <v>일반</v>
          </cell>
          <cell r="F527" t="str">
            <v>입고완료</v>
          </cell>
          <cell r="G527">
            <v>143426</v>
          </cell>
          <cell r="H527" t="str">
            <v>이츠웰 연두부(80g/EA)</v>
          </cell>
          <cell r="I527" t="str">
            <v>EA</v>
          </cell>
          <cell r="J527">
            <v>1762</v>
          </cell>
          <cell r="K527">
            <v>1762</v>
          </cell>
          <cell r="L527">
            <v>180</v>
          </cell>
          <cell r="M527">
            <v>317160</v>
          </cell>
          <cell r="N527">
            <v>0</v>
          </cell>
          <cell r="O527">
            <v>317160</v>
          </cell>
          <cell r="P527">
            <v>0</v>
          </cell>
          <cell r="Q527" t="str">
            <v>외국산</v>
          </cell>
          <cell r="R527" t="str">
            <v>냉장</v>
          </cell>
          <cell r="S527" t="str">
            <v>EA(1)</v>
          </cell>
          <cell r="T527" t="str">
            <v/>
          </cell>
          <cell r="U527" t="str">
            <v/>
          </cell>
          <cell r="V527" t="str">
            <v>2019-02-19</v>
          </cell>
          <cell r="W527" t="str">
            <v>2019-02-19 15:09:52</v>
          </cell>
          <cell r="X527" t="str">
            <v>더바른푸드</v>
          </cell>
        </row>
        <row r="528">
          <cell r="A528">
            <v>524</v>
          </cell>
          <cell r="B528" t="str">
            <v>2019-02-22</v>
          </cell>
          <cell r="C528" t="str">
            <v>더바른푸드</v>
          </cell>
          <cell r="D528" t="str">
            <v>더바른푸드</v>
          </cell>
          <cell r="E528" t="str">
            <v>일반</v>
          </cell>
          <cell r="F528" t="str">
            <v>입고완료</v>
          </cell>
          <cell r="G528">
            <v>146370</v>
          </cell>
          <cell r="H528" t="str">
            <v>뚜레쥬르 식빵(사각_겉장포함24쪽 토스트용 750g/EA)</v>
          </cell>
          <cell r="I528" t="str">
            <v>EA</v>
          </cell>
          <cell r="J528">
            <v>7</v>
          </cell>
          <cell r="K528">
            <v>7</v>
          </cell>
          <cell r="L528">
            <v>1420</v>
          </cell>
          <cell r="M528">
            <v>9940</v>
          </cell>
          <cell r="N528">
            <v>994</v>
          </cell>
          <cell r="O528">
            <v>10934</v>
          </cell>
          <cell r="P528">
            <v>0</v>
          </cell>
          <cell r="Q528" t="str">
            <v/>
          </cell>
          <cell r="R528" t="str">
            <v>실온</v>
          </cell>
          <cell r="S528" t="str">
            <v>EA(1)</v>
          </cell>
          <cell r="T528" t="str">
            <v/>
          </cell>
          <cell r="U528" t="str">
            <v/>
          </cell>
          <cell r="V528" t="str">
            <v>2019-02-20</v>
          </cell>
          <cell r="W528" t="str">
            <v>2019-02-20 14:18:30</v>
          </cell>
          <cell r="X528" t="str">
            <v>더바른푸드</v>
          </cell>
        </row>
        <row r="529">
          <cell r="A529">
            <v>525</v>
          </cell>
          <cell r="B529" t="str">
            <v>2019-02-22</v>
          </cell>
          <cell r="C529" t="str">
            <v>더바른푸드</v>
          </cell>
          <cell r="D529" t="str">
            <v>더바른푸드</v>
          </cell>
          <cell r="E529" t="str">
            <v>일반</v>
          </cell>
          <cell r="F529" t="str">
            <v>입고완료</v>
          </cell>
          <cell r="G529">
            <v>267889</v>
          </cell>
          <cell r="H529" t="str">
            <v>코주부B&amp;F 베이컨(파지 1Kg/EA)</v>
          </cell>
          <cell r="I529" t="str">
            <v>EA</v>
          </cell>
          <cell r="J529">
            <v>2</v>
          </cell>
          <cell r="K529">
            <v>2</v>
          </cell>
          <cell r="L529">
            <v>8360</v>
          </cell>
          <cell r="M529">
            <v>16720</v>
          </cell>
          <cell r="N529">
            <v>1672</v>
          </cell>
          <cell r="O529">
            <v>18392</v>
          </cell>
          <cell r="P529">
            <v>0</v>
          </cell>
          <cell r="Q529" t="str">
            <v/>
          </cell>
          <cell r="R529" t="str">
            <v>냉동</v>
          </cell>
          <cell r="S529" t="str">
            <v>EA(10)</v>
          </cell>
          <cell r="T529" t="str">
            <v/>
          </cell>
          <cell r="U529" t="str">
            <v/>
          </cell>
          <cell r="V529" t="str">
            <v>2019-02-20</v>
          </cell>
          <cell r="W529" t="str">
            <v>2019-02-20 14:26:08</v>
          </cell>
          <cell r="X529" t="str">
            <v>더바른푸드</v>
          </cell>
        </row>
        <row r="530">
          <cell r="A530">
            <v>526</v>
          </cell>
          <cell r="B530" t="str">
            <v>2019-02-22</v>
          </cell>
          <cell r="C530" t="str">
            <v>더바른푸드</v>
          </cell>
          <cell r="D530" t="str">
            <v>더바른푸드</v>
          </cell>
          <cell r="E530" t="str">
            <v>일반</v>
          </cell>
          <cell r="F530" t="str">
            <v>입고완료</v>
          </cell>
          <cell r="G530">
            <v>312193</v>
          </cell>
          <cell r="H530" t="str">
            <v>염장미역줄기(수율70%이상 1Kg/EA)</v>
          </cell>
          <cell r="I530" t="str">
            <v>EA</v>
          </cell>
          <cell r="J530">
            <v>14</v>
          </cell>
          <cell r="K530">
            <v>14</v>
          </cell>
          <cell r="L530">
            <v>2330</v>
          </cell>
          <cell r="M530">
            <v>32620</v>
          </cell>
          <cell r="N530">
            <v>0</v>
          </cell>
          <cell r="O530">
            <v>32620</v>
          </cell>
          <cell r="P530">
            <v>0</v>
          </cell>
          <cell r="Q530" t="str">
            <v>한국</v>
          </cell>
          <cell r="R530" t="str">
            <v>냉장</v>
          </cell>
          <cell r="S530" t="str">
            <v>EA(10)</v>
          </cell>
          <cell r="T530" t="str">
            <v/>
          </cell>
          <cell r="U530" t="str">
            <v/>
          </cell>
          <cell r="V530" t="str">
            <v>2019-02-20</v>
          </cell>
          <cell r="W530" t="str">
            <v>2019-02-20 14:37:52</v>
          </cell>
          <cell r="X530" t="str">
            <v>더바른푸드</v>
          </cell>
        </row>
        <row r="531">
          <cell r="A531">
            <v>527</v>
          </cell>
          <cell r="B531" t="str">
            <v>2019-02-22</v>
          </cell>
          <cell r="C531" t="str">
            <v>더바른푸드</v>
          </cell>
          <cell r="D531" t="str">
            <v>더바른푸드</v>
          </cell>
          <cell r="E531" t="str">
            <v>일반</v>
          </cell>
          <cell r="F531" t="str">
            <v>입고완료</v>
          </cell>
          <cell r="G531">
            <v>172560</v>
          </cell>
          <cell r="H531" t="str">
            <v>사조오양 모둠전(오색_20g/개 1Kg/EA)</v>
          </cell>
          <cell r="I531" t="str">
            <v>EA</v>
          </cell>
          <cell r="J531">
            <v>2</v>
          </cell>
          <cell r="K531">
            <v>2</v>
          </cell>
          <cell r="L531">
            <v>6880</v>
          </cell>
          <cell r="M531">
            <v>13760</v>
          </cell>
          <cell r="N531">
            <v>1376</v>
          </cell>
          <cell r="O531">
            <v>15136</v>
          </cell>
          <cell r="P531">
            <v>0</v>
          </cell>
          <cell r="Q531" t="str">
            <v/>
          </cell>
          <cell r="R531" t="str">
            <v>냉동</v>
          </cell>
          <cell r="S531" t="str">
            <v>EA(10)</v>
          </cell>
          <cell r="T531" t="str">
            <v/>
          </cell>
          <cell r="U531" t="str">
            <v/>
          </cell>
          <cell r="V531" t="str">
            <v>2019-02-20</v>
          </cell>
          <cell r="W531" t="str">
            <v>2019-02-20 14:41:38</v>
          </cell>
          <cell r="X531" t="str">
            <v>더바른푸드</v>
          </cell>
        </row>
        <row r="532">
          <cell r="A532">
            <v>528</v>
          </cell>
          <cell r="B532" t="str">
            <v>2019-02-22</v>
          </cell>
          <cell r="C532" t="str">
            <v>더바른푸드</v>
          </cell>
          <cell r="D532" t="str">
            <v>더바른푸드</v>
          </cell>
          <cell r="E532" t="str">
            <v>일반</v>
          </cell>
          <cell r="F532" t="str">
            <v>입고완료</v>
          </cell>
          <cell r="G532">
            <v>219387</v>
          </cell>
          <cell r="H532" t="str">
            <v>냉동배추우거지(1Kg/EA)</v>
          </cell>
          <cell r="I532" t="str">
            <v>EA</v>
          </cell>
          <cell r="J532">
            <v>50</v>
          </cell>
          <cell r="K532">
            <v>50</v>
          </cell>
          <cell r="L532">
            <v>1430</v>
          </cell>
          <cell r="M532">
            <v>71500</v>
          </cell>
          <cell r="N532">
            <v>7150</v>
          </cell>
          <cell r="O532">
            <v>78650</v>
          </cell>
          <cell r="P532">
            <v>0</v>
          </cell>
          <cell r="Q532" t="str">
            <v>중국</v>
          </cell>
          <cell r="R532" t="str">
            <v>냉동</v>
          </cell>
          <cell r="S532" t="str">
            <v>EA(1)</v>
          </cell>
          <cell r="T532" t="str">
            <v/>
          </cell>
          <cell r="U532" t="str">
            <v/>
          </cell>
          <cell r="V532" t="str">
            <v>2019-02-20</v>
          </cell>
          <cell r="W532" t="str">
            <v>2019-02-20 15:46:14</v>
          </cell>
          <cell r="X532" t="str">
            <v>더바른푸드</v>
          </cell>
        </row>
        <row r="533">
          <cell r="A533">
            <v>529</v>
          </cell>
          <cell r="B533" t="str">
            <v>2019-02-22</v>
          </cell>
          <cell r="C533" t="str">
            <v>더바른푸드</v>
          </cell>
          <cell r="D533" t="str">
            <v>더바른푸드</v>
          </cell>
          <cell r="E533" t="str">
            <v>일반</v>
          </cell>
          <cell r="F533" t="str">
            <v>입고완료</v>
          </cell>
          <cell r="G533">
            <v>205184</v>
          </cell>
          <cell r="H533" t="str">
            <v>단호박(상품 2등분_속제거 KG)</v>
          </cell>
          <cell r="I533" t="str">
            <v>KG</v>
          </cell>
          <cell r="J533">
            <v>42</v>
          </cell>
          <cell r="K533">
            <v>42</v>
          </cell>
          <cell r="L533">
            <v>6770</v>
          </cell>
          <cell r="M533">
            <v>284340</v>
          </cell>
          <cell r="N533">
            <v>0</v>
          </cell>
          <cell r="O533">
            <v>284340</v>
          </cell>
          <cell r="P533">
            <v>0</v>
          </cell>
          <cell r="Q533" t="str">
            <v>뉴질랜드</v>
          </cell>
          <cell r="R533" t="str">
            <v>냉장</v>
          </cell>
          <cell r="S533" t="str">
            <v>KG(1)</v>
          </cell>
          <cell r="T533" t="str">
            <v/>
          </cell>
          <cell r="U533" t="str">
            <v/>
          </cell>
          <cell r="V533" t="str">
            <v>2019-02-20</v>
          </cell>
          <cell r="W533" t="str">
            <v>2019-02-20 16:28:26</v>
          </cell>
          <cell r="X533" t="str">
            <v>더바른푸드</v>
          </cell>
        </row>
        <row r="534">
          <cell r="A534">
            <v>530</v>
          </cell>
          <cell r="B534" t="str">
            <v>2019-02-22</v>
          </cell>
          <cell r="C534" t="str">
            <v>더바른푸드</v>
          </cell>
          <cell r="D534" t="str">
            <v>더바른푸드</v>
          </cell>
          <cell r="E534" t="str">
            <v>일반</v>
          </cell>
          <cell r="F534" t="str">
            <v>입고완료</v>
          </cell>
          <cell r="G534">
            <v>302889</v>
          </cell>
          <cell r="H534" t="str">
            <v>명태곤이(1Kg/PAC)</v>
          </cell>
          <cell r="I534" t="str">
            <v>PAC</v>
          </cell>
          <cell r="J534">
            <v>1</v>
          </cell>
          <cell r="K534">
            <v>1</v>
          </cell>
          <cell r="L534">
            <v>11000</v>
          </cell>
          <cell r="M534">
            <v>11000</v>
          </cell>
          <cell r="N534">
            <v>0</v>
          </cell>
          <cell r="O534">
            <v>11000</v>
          </cell>
          <cell r="P534">
            <v>0</v>
          </cell>
          <cell r="Q534" t="str">
            <v>러시아</v>
          </cell>
          <cell r="R534" t="str">
            <v>냉동</v>
          </cell>
          <cell r="S534" t="str">
            <v>PAC(1)</v>
          </cell>
          <cell r="T534" t="str">
            <v/>
          </cell>
          <cell r="U534" t="str">
            <v/>
          </cell>
          <cell r="V534" t="str">
            <v>2019-02-20</v>
          </cell>
          <cell r="W534" t="str">
            <v>2019-02-20 16:41:25</v>
          </cell>
          <cell r="X534" t="str">
            <v>더바른푸드</v>
          </cell>
        </row>
        <row r="535">
          <cell r="A535">
            <v>531</v>
          </cell>
          <cell r="B535" t="str">
            <v>2019-02-22</v>
          </cell>
          <cell r="C535" t="str">
            <v>더바른푸드</v>
          </cell>
          <cell r="D535" t="str">
            <v>더바른푸드</v>
          </cell>
          <cell r="E535" t="str">
            <v>일반</v>
          </cell>
          <cell r="F535" t="str">
            <v>입고완료</v>
          </cell>
          <cell r="G535">
            <v>310639</v>
          </cell>
          <cell r="H535" t="str">
            <v>명란(1Kg/EA)</v>
          </cell>
          <cell r="I535" t="str">
            <v>EA</v>
          </cell>
          <cell r="J535">
            <v>1</v>
          </cell>
          <cell r="K535">
            <v>1</v>
          </cell>
          <cell r="L535">
            <v>8890</v>
          </cell>
          <cell r="M535">
            <v>8890</v>
          </cell>
          <cell r="N535">
            <v>0</v>
          </cell>
          <cell r="O535">
            <v>8890</v>
          </cell>
          <cell r="P535">
            <v>0</v>
          </cell>
          <cell r="Q535" t="str">
            <v>미국</v>
          </cell>
          <cell r="R535" t="str">
            <v>냉동</v>
          </cell>
          <cell r="S535" t="str">
            <v>EA(1)</v>
          </cell>
          <cell r="T535" t="str">
            <v/>
          </cell>
          <cell r="U535" t="str">
            <v/>
          </cell>
          <cell r="V535" t="str">
            <v>2019-02-20</v>
          </cell>
          <cell r="W535" t="str">
            <v>2019-02-20 16:41:25</v>
          </cell>
          <cell r="X535" t="str">
            <v>더바른푸드</v>
          </cell>
        </row>
        <row r="536">
          <cell r="A536">
            <v>532</v>
          </cell>
          <cell r="B536" t="str">
            <v>2019-02-22</v>
          </cell>
          <cell r="C536" t="str">
            <v>더바른푸드</v>
          </cell>
          <cell r="D536" t="str">
            <v>더바른푸드</v>
          </cell>
          <cell r="E536" t="str">
            <v>일반</v>
          </cell>
          <cell r="F536" t="str">
            <v>입고완료</v>
          </cell>
          <cell r="G536">
            <v>205273</v>
          </cell>
          <cell r="H536" t="str">
            <v>건고구마순(데친것 KG)</v>
          </cell>
          <cell r="I536" t="str">
            <v>KG</v>
          </cell>
          <cell r="J536">
            <v>57</v>
          </cell>
          <cell r="K536">
            <v>57</v>
          </cell>
          <cell r="L536">
            <v>2990</v>
          </cell>
          <cell r="M536">
            <v>170430</v>
          </cell>
          <cell r="N536">
            <v>0</v>
          </cell>
          <cell r="O536">
            <v>170430</v>
          </cell>
          <cell r="P536">
            <v>0</v>
          </cell>
          <cell r="Q536" t="str">
            <v>중국</v>
          </cell>
          <cell r="R536" t="str">
            <v>냉장</v>
          </cell>
          <cell r="S536" t="str">
            <v>KG(1)</v>
          </cell>
          <cell r="T536" t="str">
            <v/>
          </cell>
          <cell r="U536" t="str">
            <v/>
          </cell>
          <cell r="V536" t="str">
            <v>2019-02-21</v>
          </cell>
          <cell r="W536" t="str">
            <v>2019-02-21 13:25:33</v>
          </cell>
          <cell r="X536" t="str">
            <v>더바른푸드</v>
          </cell>
        </row>
        <row r="537">
          <cell r="A537">
            <v>533</v>
          </cell>
          <cell r="B537" t="str">
            <v>2019-02-21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</row>
        <row r="538">
          <cell r="A538">
            <v>534</v>
          </cell>
          <cell r="B538" t="str">
            <v>2019-02-21</v>
          </cell>
          <cell r="C538" t="str">
            <v>더바른푸드</v>
          </cell>
          <cell r="D538" t="str">
            <v>더바른푸드</v>
          </cell>
          <cell r="E538" t="str">
            <v>일반</v>
          </cell>
          <cell r="F538" t="str">
            <v>입고완료</v>
          </cell>
          <cell r="G538">
            <v>270329</v>
          </cell>
          <cell r="H538" t="str">
            <v>안흥식품 할매쌀찐빵(60g내외*16입 960g/EA)</v>
          </cell>
          <cell r="I538" t="str">
            <v>EA</v>
          </cell>
          <cell r="J538">
            <v>12</v>
          </cell>
          <cell r="K538">
            <v>12</v>
          </cell>
          <cell r="L538">
            <v>4480</v>
          </cell>
          <cell r="M538">
            <v>53760</v>
          </cell>
          <cell r="N538">
            <v>5376</v>
          </cell>
          <cell r="O538">
            <v>59136</v>
          </cell>
          <cell r="P538">
            <v>0</v>
          </cell>
          <cell r="Q538" t="str">
            <v/>
          </cell>
          <cell r="R538" t="str">
            <v>냉동</v>
          </cell>
          <cell r="S538" t="str">
            <v>EA(8)</v>
          </cell>
          <cell r="T538" t="str">
            <v/>
          </cell>
          <cell r="U538" t="str">
            <v/>
          </cell>
          <cell r="V538" t="str">
            <v>2019-02-13</v>
          </cell>
          <cell r="W538" t="str">
            <v>2019-02-13 12:09:04</v>
          </cell>
          <cell r="X538" t="str">
            <v>더바른푸드</v>
          </cell>
        </row>
        <row r="539">
          <cell r="A539">
            <v>535</v>
          </cell>
          <cell r="B539" t="str">
            <v>2019-02-21</v>
          </cell>
          <cell r="C539" t="str">
            <v>더바른푸드</v>
          </cell>
          <cell r="D539" t="str">
            <v>더바른푸드</v>
          </cell>
          <cell r="E539" t="str">
            <v>일반</v>
          </cell>
          <cell r="F539" t="str">
            <v>입고완료</v>
          </cell>
          <cell r="G539">
            <v>105336</v>
          </cell>
          <cell r="H539" t="str">
            <v>서울우유 흰우유(카톤_200ml 200g/EA)</v>
          </cell>
          <cell r="I539" t="str">
            <v>EA</v>
          </cell>
          <cell r="J539">
            <v>60</v>
          </cell>
          <cell r="K539">
            <v>60</v>
          </cell>
          <cell r="L539">
            <v>560</v>
          </cell>
          <cell r="M539">
            <v>33600</v>
          </cell>
          <cell r="N539">
            <v>0</v>
          </cell>
          <cell r="O539">
            <v>33600</v>
          </cell>
          <cell r="P539">
            <v>0</v>
          </cell>
          <cell r="Q539" t="str">
            <v/>
          </cell>
          <cell r="R539" t="str">
            <v>냉장</v>
          </cell>
          <cell r="S539" t="str">
            <v>EA(1)</v>
          </cell>
          <cell r="T539" t="str">
            <v/>
          </cell>
          <cell r="U539" t="str">
            <v/>
          </cell>
          <cell r="V539" t="str">
            <v>2019-02-13</v>
          </cell>
          <cell r="W539" t="str">
            <v>2019-02-13 12:29:46</v>
          </cell>
          <cell r="X539" t="str">
            <v>더바른푸드</v>
          </cell>
        </row>
        <row r="540">
          <cell r="A540">
            <v>536</v>
          </cell>
          <cell r="B540" t="str">
            <v>2019-02-21</v>
          </cell>
          <cell r="C540" t="str">
            <v>더바른푸드</v>
          </cell>
          <cell r="D540" t="str">
            <v>더바른푸드</v>
          </cell>
          <cell r="E540" t="str">
            <v>일반</v>
          </cell>
          <cell r="F540" t="str">
            <v>입고완료</v>
          </cell>
          <cell r="G540">
            <v>160746</v>
          </cell>
          <cell r="H540" t="str">
            <v>서울우유 바나나우유(200ml 200g/EA)</v>
          </cell>
          <cell r="I540" t="str">
            <v>EA</v>
          </cell>
          <cell r="J540">
            <v>50</v>
          </cell>
          <cell r="K540">
            <v>50</v>
          </cell>
          <cell r="L540">
            <v>490</v>
          </cell>
          <cell r="M540">
            <v>24500</v>
          </cell>
          <cell r="N540">
            <v>2450</v>
          </cell>
          <cell r="O540">
            <v>26950</v>
          </cell>
          <cell r="P540">
            <v>0</v>
          </cell>
          <cell r="Q540" t="str">
            <v/>
          </cell>
          <cell r="R540" t="str">
            <v>냉장</v>
          </cell>
          <cell r="S540" t="str">
            <v>EA(1)</v>
          </cell>
          <cell r="T540" t="str">
            <v/>
          </cell>
          <cell r="U540" t="str">
            <v/>
          </cell>
          <cell r="V540" t="str">
            <v>2019-02-13</v>
          </cell>
          <cell r="W540" t="str">
            <v>2019-02-13 12:29:46</v>
          </cell>
          <cell r="X540" t="str">
            <v>더바른푸드</v>
          </cell>
        </row>
        <row r="541">
          <cell r="A541">
            <v>537</v>
          </cell>
          <cell r="B541" t="str">
            <v>2019-02-21</v>
          </cell>
          <cell r="C541" t="str">
            <v>더바른푸드</v>
          </cell>
          <cell r="D541" t="str">
            <v>더바른푸드</v>
          </cell>
          <cell r="E541" t="str">
            <v>일반</v>
          </cell>
          <cell r="F541" t="str">
            <v>입고완료</v>
          </cell>
          <cell r="G541">
            <v>259671</v>
          </cell>
          <cell r="H541" t="str">
            <v>세준푸드 맑은식혜(유기농 125g/EA)</v>
          </cell>
          <cell r="I541" t="str">
            <v>BOX</v>
          </cell>
          <cell r="J541">
            <v>2</v>
          </cell>
          <cell r="K541">
            <v>2</v>
          </cell>
          <cell r="L541">
            <v>10320</v>
          </cell>
          <cell r="M541">
            <v>20640</v>
          </cell>
          <cell r="N541">
            <v>2064</v>
          </cell>
          <cell r="O541">
            <v>22704</v>
          </cell>
          <cell r="P541">
            <v>0</v>
          </cell>
          <cell r="Q541" t="str">
            <v/>
          </cell>
          <cell r="R541" t="str">
            <v>실온</v>
          </cell>
          <cell r="S541" t="str">
            <v>EA(24)</v>
          </cell>
          <cell r="T541" t="str">
            <v/>
          </cell>
          <cell r="U541" t="str">
            <v/>
          </cell>
          <cell r="V541" t="str">
            <v>2019-02-13</v>
          </cell>
          <cell r="W541" t="str">
            <v>2019-02-13 12:29:46</v>
          </cell>
          <cell r="X541" t="str">
            <v>더바른푸드</v>
          </cell>
        </row>
        <row r="542">
          <cell r="A542">
            <v>538</v>
          </cell>
          <cell r="B542" t="str">
            <v>2019-02-21</v>
          </cell>
          <cell r="C542" t="str">
            <v>더바른푸드</v>
          </cell>
          <cell r="D542" t="str">
            <v>더바른푸드</v>
          </cell>
          <cell r="E542" t="str">
            <v>일반</v>
          </cell>
          <cell r="F542" t="str">
            <v>입고완료</v>
          </cell>
          <cell r="G542">
            <v>172567</v>
          </cell>
          <cell r="H542" t="str">
            <v>쉐프솔루션 치킨가라아게(1Kg/EA)</v>
          </cell>
          <cell r="I542" t="str">
            <v>EA</v>
          </cell>
          <cell r="J542">
            <v>122</v>
          </cell>
          <cell r="K542">
            <v>122</v>
          </cell>
          <cell r="L542">
            <v>7900</v>
          </cell>
          <cell r="M542">
            <v>963800</v>
          </cell>
          <cell r="N542">
            <v>96380</v>
          </cell>
          <cell r="O542">
            <v>1060180</v>
          </cell>
          <cell r="P542">
            <v>0</v>
          </cell>
          <cell r="Q542" t="str">
            <v>브라질</v>
          </cell>
          <cell r="R542" t="str">
            <v>냉동</v>
          </cell>
          <cell r="S542" t="str">
            <v>EA(8)</v>
          </cell>
          <cell r="T542" t="str">
            <v/>
          </cell>
          <cell r="U542" t="str">
            <v/>
          </cell>
          <cell r="V542" t="str">
            <v>2019-02-19</v>
          </cell>
          <cell r="W542" t="str">
            <v>2019-02-19 13:22:34</v>
          </cell>
          <cell r="X542" t="str">
            <v>더바른푸드</v>
          </cell>
        </row>
        <row r="543">
          <cell r="A543">
            <v>539</v>
          </cell>
          <cell r="B543" t="str">
            <v>2019-02-21</v>
          </cell>
          <cell r="C543" t="str">
            <v>더바른푸드</v>
          </cell>
          <cell r="D543" t="str">
            <v>더바른푸드</v>
          </cell>
          <cell r="E543" t="str">
            <v>일반</v>
          </cell>
          <cell r="F543" t="str">
            <v>입고완료</v>
          </cell>
          <cell r="G543">
            <v>204964</v>
          </cell>
          <cell r="H543" t="str">
            <v>냉동표고버섯(슬라이스 1Kg/PAC)</v>
          </cell>
          <cell r="I543" t="str">
            <v>PAC</v>
          </cell>
          <cell r="J543">
            <v>10</v>
          </cell>
          <cell r="K543">
            <v>10</v>
          </cell>
          <cell r="L543">
            <v>2730</v>
          </cell>
          <cell r="M543">
            <v>27300</v>
          </cell>
          <cell r="N543">
            <v>0</v>
          </cell>
          <cell r="O543">
            <v>27300</v>
          </cell>
          <cell r="P543">
            <v>0</v>
          </cell>
          <cell r="Q543" t="str">
            <v>중국</v>
          </cell>
          <cell r="R543" t="str">
            <v>냉동</v>
          </cell>
          <cell r="S543" t="str">
            <v>PAC(1)</v>
          </cell>
          <cell r="T543" t="str">
            <v/>
          </cell>
          <cell r="U543" t="str">
            <v/>
          </cell>
          <cell r="V543" t="str">
            <v>2019-02-19</v>
          </cell>
          <cell r="W543" t="str">
            <v>2019-02-19 13:30:48</v>
          </cell>
          <cell r="X543" t="str">
            <v>더바른푸드</v>
          </cell>
        </row>
        <row r="544">
          <cell r="A544">
            <v>540</v>
          </cell>
          <cell r="B544" t="str">
            <v>2019-02-21</v>
          </cell>
          <cell r="C544" t="str">
            <v>더바른푸드</v>
          </cell>
          <cell r="D544" t="str">
            <v>더바른푸드</v>
          </cell>
          <cell r="E544" t="str">
            <v>일반</v>
          </cell>
          <cell r="F544" t="str">
            <v>입고완료</v>
          </cell>
          <cell r="G544">
            <v>134239</v>
          </cell>
          <cell r="H544" t="str">
            <v>사옹원 동태전(1Kg/EA)</v>
          </cell>
          <cell r="I544" t="str">
            <v>EA</v>
          </cell>
          <cell r="J544">
            <v>4</v>
          </cell>
          <cell r="K544">
            <v>4</v>
          </cell>
          <cell r="L544">
            <v>14140</v>
          </cell>
          <cell r="M544">
            <v>56560</v>
          </cell>
          <cell r="N544">
            <v>5656</v>
          </cell>
          <cell r="O544">
            <v>62216</v>
          </cell>
          <cell r="P544">
            <v>0</v>
          </cell>
          <cell r="Q544" t="str">
            <v/>
          </cell>
          <cell r="R544" t="str">
            <v>냉동</v>
          </cell>
          <cell r="S544" t="str">
            <v>EA(5)</v>
          </cell>
          <cell r="T544" t="str">
            <v/>
          </cell>
          <cell r="U544" t="str">
            <v/>
          </cell>
          <cell r="V544" t="str">
            <v>2019-02-19</v>
          </cell>
          <cell r="W544" t="str">
            <v>2019-02-19 13:48:44</v>
          </cell>
          <cell r="X544" t="str">
            <v>더바른푸드</v>
          </cell>
        </row>
        <row r="545">
          <cell r="A545">
            <v>541</v>
          </cell>
          <cell r="B545" t="str">
            <v>2019-02-21</v>
          </cell>
          <cell r="C545" t="str">
            <v>더바른푸드</v>
          </cell>
          <cell r="D545" t="str">
            <v>더바른푸드</v>
          </cell>
          <cell r="E545" t="str">
            <v>일반</v>
          </cell>
          <cell r="F545" t="str">
            <v>입고완료</v>
          </cell>
          <cell r="G545">
            <v>223306</v>
          </cell>
          <cell r="H545" t="str">
            <v>냉동근대(IQF 1Kg/EA)</v>
          </cell>
          <cell r="I545" t="str">
            <v>EA</v>
          </cell>
          <cell r="J545">
            <v>45</v>
          </cell>
          <cell r="K545">
            <v>45</v>
          </cell>
          <cell r="L545">
            <v>1670</v>
          </cell>
          <cell r="M545">
            <v>75150</v>
          </cell>
          <cell r="N545">
            <v>7515</v>
          </cell>
          <cell r="O545">
            <v>82665</v>
          </cell>
          <cell r="P545">
            <v>0</v>
          </cell>
          <cell r="Q545" t="str">
            <v>중국</v>
          </cell>
          <cell r="R545" t="str">
            <v>냉동</v>
          </cell>
          <cell r="S545" t="str">
            <v>EA(1)</v>
          </cell>
          <cell r="T545" t="str">
            <v/>
          </cell>
          <cell r="U545" t="str">
            <v/>
          </cell>
          <cell r="V545" t="str">
            <v>2019-02-20</v>
          </cell>
          <cell r="W545" t="str">
            <v>2019-02-20 14:00:50</v>
          </cell>
          <cell r="X545" t="str">
            <v>더바른푸드</v>
          </cell>
        </row>
        <row r="546">
          <cell r="A546">
            <v>542</v>
          </cell>
          <cell r="B546" t="str">
            <v>2019-02-21</v>
          </cell>
          <cell r="C546" t="str">
            <v>더바른푸드</v>
          </cell>
          <cell r="D546" t="str">
            <v>더바른푸드</v>
          </cell>
          <cell r="E546" t="str">
            <v>일반</v>
          </cell>
          <cell r="F546" t="str">
            <v>입고완료</v>
          </cell>
          <cell r="G546">
            <v>204973</v>
          </cell>
          <cell r="H546" t="str">
            <v>냉동대파(1Kg/PAC)</v>
          </cell>
          <cell r="I546" t="str">
            <v>PAC</v>
          </cell>
          <cell r="J546">
            <v>15</v>
          </cell>
          <cell r="K546">
            <v>15</v>
          </cell>
          <cell r="L546">
            <v>1400</v>
          </cell>
          <cell r="M546">
            <v>21000</v>
          </cell>
          <cell r="N546">
            <v>0</v>
          </cell>
          <cell r="O546">
            <v>21000</v>
          </cell>
          <cell r="P546">
            <v>0</v>
          </cell>
          <cell r="Q546" t="str">
            <v>중국</v>
          </cell>
          <cell r="R546" t="str">
            <v>냉동</v>
          </cell>
          <cell r="S546" t="str">
            <v>PAC(1)</v>
          </cell>
          <cell r="T546" t="str">
            <v/>
          </cell>
          <cell r="U546" t="str">
            <v/>
          </cell>
          <cell r="V546" t="str">
            <v>2019-02-20</v>
          </cell>
          <cell r="W546" t="str">
            <v>2019-02-20 14:03:50</v>
          </cell>
          <cell r="X546" t="str">
            <v>더바른푸드</v>
          </cell>
        </row>
        <row r="547">
          <cell r="A547">
            <v>543</v>
          </cell>
          <cell r="B547" t="str">
            <v>2019-02-21</v>
          </cell>
          <cell r="C547" t="str">
            <v>더바른푸드</v>
          </cell>
          <cell r="D547" t="str">
            <v>더바른푸드</v>
          </cell>
          <cell r="E547" t="str">
            <v>일반</v>
          </cell>
          <cell r="F547" t="str">
            <v>입고완료</v>
          </cell>
          <cell r="G547">
            <v>247931</v>
          </cell>
          <cell r="H547" t="str">
            <v>마당발 냉동다진마늘(1Kg/EA)</v>
          </cell>
          <cell r="I547" t="str">
            <v>EA</v>
          </cell>
          <cell r="J547">
            <v>20</v>
          </cell>
          <cell r="K547">
            <v>20</v>
          </cell>
          <cell r="L547">
            <v>2710</v>
          </cell>
          <cell r="M547">
            <v>54200</v>
          </cell>
          <cell r="N547">
            <v>0</v>
          </cell>
          <cell r="O547">
            <v>54200</v>
          </cell>
          <cell r="P547">
            <v>0</v>
          </cell>
          <cell r="Q547" t="str">
            <v>중국</v>
          </cell>
          <cell r="R547" t="str">
            <v>냉동</v>
          </cell>
          <cell r="S547" t="str">
            <v>EA(10)</v>
          </cell>
          <cell r="T547" t="str">
            <v/>
          </cell>
          <cell r="U547" t="str">
            <v/>
          </cell>
          <cell r="V547" t="str">
            <v>2019-02-20</v>
          </cell>
          <cell r="W547" t="str">
            <v>2019-02-20 14:03:50</v>
          </cell>
          <cell r="X547" t="str">
            <v>더바른푸드</v>
          </cell>
        </row>
        <row r="548">
          <cell r="A548">
            <v>544</v>
          </cell>
          <cell r="B548" t="str">
            <v>2019-02-21</v>
          </cell>
          <cell r="C548" t="str">
            <v>더바른푸드</v>
          </cell>
          <cell r="D548" t="str">
            <v>더바른푸드</v>
          </cell>
          <cell r="E548" t="str">
            <v>일반</v>
          </cell>
          <cell r="F548" t="str">
            <v>입고완료</v>
          </cell>
          <cell r="G548">
            <v>138570</v>
          </cell>
          <cell r="H548" t="str">
            <v>면사랑 멸치육수(1.8L_보급형 1.8Kg/EA)</v>
          </cell>
          <cell r="I548" t="str">
            <v>EA</v>
          </cell>
          <cell r="J548">
            <v>6</v>
          </cell>
          <cell r="K548">
            <v>6</v>
          </cell>
          <cell r="L548">
            <v>5560</v>
          </cell>
          <cell r="M548">
            <v>33360</v>
          </cell>
          <cell r="N548">
            <v>3336</v>
          </cell>
          <cell r="O548">
            <v>36696</v>
          </cell>
          <cell r="P548">
            <v>0</v>
          </cell>
          <cell r="Q548" t="str">
            <v/>
          </cell>
          <cell r="R548" t="str">
            <v>실온</v>
          </cell>
          <cell r="S548" t="str">
            <v>EA(6)</v>
          </cell>
          <cell r="T548" t="str">
            <v/>
          </cell>
          <cell r="U548" t="str">
            <v/>
          </cell>
          <cell r="V548" t="str">
            <v>2019-02-20</v>
          </cell>
          <cell r="W548" t="str">
            <v>2019-02-20 14:07:34</v>
          </cell>
          <cell r="X548" t="str">
            <v>더바른푸드</v>
          </cell>
        </row>
        <row r="549">
          <cell r="A549">
            <v>545</v>
          </cell>
          <cell r="B549" t="str">
            <v>2019-02-21</v>
          </cell>
          <cell r="C549" t="str">
            <v>더바른푸드</v>
          </cell>
          <cell r="D549" t="str">
            <v>더바른푸드</v>
          </cell>
          <cell r="E549" t="str">
            <v>일반</v>
          </cell>
          <cell r="F549" t="str">
            <v>입고완료</v>
          </cell>
          <cell r="G549">
            <v>314295</v>
          </cell>
          <cell r="H549" t="str">
            <v>디포리(밴댕이 1.5Kg/BOX)</v>
          </cell>
          <cell r="I549" t="str">
            <v>BOX</v>
          </cell>
          <cell r="J549">
            <v>5</v>
          </cell>
          <cell r="K549">
            <v>5</v>
          </cell>
          <cell r="L549">
            <v>10930</v>
          </cell>
          <cell r="M549">
            <v>54650</v>
          </cell>
          <cell r="N549">
            <v>0</v>
          </cell>
          <cell r="O549">
            <v>54650</v>
          </cell>
          <cell r="P549">
            <v>0</v>
          </cell>
          <cell r="Q549" t="str">
            <v>베트남</v>
          </cell>
          <cell r="R549" t="str">
            <v>냉동</v>
          </cell>
          <cell r="S549" t="str">
            <v>BOX(1)</v>
          </cell>
          <cell r="T549" t="str">
            <v/>
          </cell>
          <cell r="U549" t="str">
            <v/>
          </cell>
          <cell r="V549" t="str">
            <v>2019-02-20</v>
          </cell>
          <cell r="W549" t="str">
            <v>2019-02-20 14:07:34</v>
          </cell>
          <cell r="X549" t="str">
            <v>더바른푸드</v>
          </cell>
        </row>
        <row r="550">
          <cell r="A550">
            <v>546</v>
          </cell>
          <cell r="B550" t="str">
            <v>2019-02-21</v>
          </cell>
          <cell r="C550" t="str">
            <v>더바른푸드</v>
          </cell>
          <cell r="D550" t="str">
            <v>더바른푸드</v>
          </cell>
          <cell r="E550" t="str">
            <v>일반</v>
          </cell>
          <cell r="F550" t="str">
            <v>입고완료</v>
          </cell>
          <cell r="G550">
            <v>140438</v>
          </cell>
          <cell r="H550" t="str">
            <v>이츠웰 이온물엿(NEW 10Kg/EA)</v>
          </cell>
          <cell r="I550" t="str">
            <v>EA</v>
          </cell>
          <cell r="J550">
            <v>4</v>
          </cell>
          <cell r="K550">
            <v>4</v>
          </cell>
          <cell r="L550">
            <v>8890</v>
          </cell>
          <cell r="M550">
            <v>35560</v>
          </cell>
          <cell r="N550">
            <v>3556</v>
          </cell>
          <cell r="O550">
            <v>39116</v>
          </cell>
          <cell r="P550">
            <v>0</v>
          </cell>
          <cell r="Q550" t="str">
            <v/>
          </cell>
          <cell r="R550" t="str">
            <v>실온</v>
          </cell>
          <cell r="S550" t="str">
            <v>EA(2)</v>
          </cell>
          <cell r="T550" t="str">
            <v/>
          </cell>
          <cell r="U550" t="str">
            <v/>
          </cell>
          <cell r="V550" t="str">
            <v>2019-02-20</v>
          </cell>
          <cell r="W550" t="str">
            <v>2019-02-20 14:07:34</v>
          </cell>
          <cell r="X550" t="str">
            <v>더바른푸드</v>
          </cell>
        </row>
        <row r="551">
          <cell r="A551">
            <v>547</v>
          </cell>
          <cell r="B551" t="str">
            <v>2019-02-21</v>
          </cell>
          <cell r="C551" t="str">
            <v>더바른푸드</v>
          </cell>
          <cell r="D551" t="str">
            <v>더바른푸드</v>
          </cell>
          <cell r="E551" t="str">
            <v>일반</v>
          </cell>
          <cell r="F551" t="str">
            <v>입고완료</v>
          </cell>
          <cell r="G551">
            <v>106212</v>
          </cell>
          <cell r="H551" t="str">
            <v>백설 하얀설탕(15Kg/EA)</v>
          </cell>
          <cell r="I551" t="str">
            <v>EA</v>
          </cell>
          <cell r="J551">
            <v>1</v>
          </cell>
          <cell r="K551">
            <v>1</v>
          </cell>
          <cell r="L551">
            <v>15680</v>
          </cell>
          <cell r="M551">
            <v>15680</v>
          </cell>
          <cell r="N551">
            <v>1568</v>
          </cell>
          <cell r="O551">
            <v>17248</v>
          </cell>
          <cell r="P551">
            <v>0</v>
          </cell>
          <cell r="Q551" t="str">
            <v/>
          </cell>
          <cell r="R551" t="str">
            <v>실온</v>
          </cell>
          <cell r="S551" t="str">
            <v>EA(1)</v>
          </cell>
          <cell r="T551" t="str">
            <v/>
          </cell>
          <cell r="U551" t="str">
            <v/>
          </cell>
          <cell r="V551" t="str">
            <v>2019-02-20</v>
          </cell>
          <cell r="W551" t="str">
            <v>2019-02-20 14:07:34</v>
          </cell>
          <cell r="X551" t="str">
            <v>더바른푸드</v>
          </cell>
        </row>
        <row r="552">
          <cell r="A552">
            <v>548</v>
          </cell>
          <cell r="B552" t="str">
            <v>2019-02-21</v>
          </cell>
          <cell r="C552" t="str">
            <v>더바른푸드</v>
          </cell>
          <cell r="D552" t="str">
            <v>더바른푸드</v>
          </cell>
          <cell r="E552" t="str">
            <v>일반</v>
          </cell>
          <cell r="F552" t="str">
            <v>입고완료</v>
          </cell>
          <cell r="G552">
            <v>190732</v>
          </cell>
          <cell r="H552" t="str">
            <v>이츠웰 볶음참깨(1Kg/EA)</v>
          </cell>
          <cell r="I552" t="str">
            <v>EA</v>
          </cell>
          <cell r="J552">
            <v>5</v>
          </cell>
          <cell r="K552">
            <v>5</v>
          </cell>
          <cell r="L552">
            <v>6850</v>
          </cell>
          <cell r="M552">
            <v>34250</v>
          </cell>
          <cell r="N552">
            <v>3425</v>
          </cell>
          <cell r="O552">
            <v>37675</v>
          </cell>
          <cell r="P552">
            <v>0</v>
          </cell>
          <cell r="Q552" t="str">
            <v/>
          </cell>
          <cell r="R552" t="str">
            <v>실온</v>
          </cell>
          <cell r="S552" t="str">
            <v>EA(10)</v>
          </cell>
          <cell r="T552" t="str">
            <v/>
          </cell>
          <cell r="U552" t="str">
            <v/>
          </cell>
          <cell r="V552" t="str">
            <v>2019-02-20</v>
          </cell>
          <cell r="W552" t="str">
            <v>2019-02-20 14:07:34</v>
          </cell>
          <cell r="X552" t="str">
            <v>더바른푸드</v>
          </cell>
        </row>
        <row r="553">
          <cell r="A553">
            <v>549</v>
          </cell>
          <cell r="B553" t="str">
            <v>2019-02-21</v>
          </cell>
          <cell r="C553" t="str">
            <v>더바른푸드</v>
          </cell>
          <cell r="D553" t="str">
            <v>더바른푸드</v>
          </cell>
          <cell r="E553" t="str">
            <v>일반</v>
          </cell>
          <cell r="F553" t="str">
            <v>입고완료</v>
          </cell>
          <cell r="G553">
            <v>140314</v>
          </cell>
          <cell r="H553" t="str">
            <v>맷돌표 생강가루(350g/EA)</v>
          </cell>
          <cell r="I553" t="str">
            <v>EA</v>
          </cell>
          <cell r="J553">
            <v>2</v>
          </cell>
          <cell r="K553">
            <v>2</v>
          </cell>
          <cell r="L553">
            <v>10110</v>
          </cell>
          <cell r="M553">
            <v>20220</v>
          </cell>
          <cell r="N553">
            <v>2022</v>
          </cell>
          <cell r="O553">
            <v>22242</v>
          </cell>
          <cell r="P553">
            <v>0</v>
          </cell>
          <cell r="Q553" t="str">
            <v/>
          </cell>
          <cell r="R553" t="str">
            <v>실온</v>
          </cell>
          <cell r="S553" t="str">
            <v>EA(12)</v>
          </cell>
          <cell r="T553" t="str">
            <v/>
          </cell>
          <cell r="U553" t="str">
            <v/>
          </cell>
          <cell r="V553" t="str">
            <v>2019-02-20</v>
          </cell>
          <cell r="W553" t="str">
            <v>2019-02-20 14:07:34</v>
          </cell>
          <cell r="X553" t="str">
            <v>더바른푸드</v>
          </cell>
        </row>
        <row r="554">
          <cell r="A554">
            <v>550</v>
          </cell>
          <cell r="B554" t="str">
            <v>2019-02-20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5">
          <cell r="A555">
            <v>551</v>
          </cell>
          <cell r="B555" t="str">
            <v>2019-02-20</v>
          </cell>
          <cell r="C555" t="str">
            <v>더바른푸드</v>
          </cell>
          <cell r="D555" t="str">
            <v>더바른푸드</v>
          </cell>
          <cell r="E555" t="str">
            <v>일반</v>
          </cell>
          <cell r="F555" t="str">
            <v>입고완료</v>
          </cell>
          <cell r="G555">
            <v>266478</v>
          </cell>
          <cell r="H555" t="str">
            <v>전주제과 수제초코파이(오리지널미니 40g/EA)</v>
          </cell>
          <cell r="I555" t="str">
            <v>BOX</v>
          </cell>
          <cell r="J555">
            <v>5</v>
          </cell>
          <cell r="K555">
            <v>5</v>
          </cell>
          <cell r="L555">
            <v>18800</v>
          </cell>
          <cell r="M555">
            <v>94000</v>
          </cell>
          <cell r="N555">
            <v>9400</v>
          </cell>
          <cell r="O555">
            <v>103400</v>
          </cell>
          <cell r="P555">
            <v>0</v>
          </cell>
          <cell r="Q555" t="str">
            <v/>
          </cell>
          <cell r="R555" t="str">
            <v>냉동</v>
          </cell>
          <cell r="S555" t="str">
            <v>EA(40)</v>
          </cell>
          <cell r="T555" t="str">
            <v/>
          </cell>
          <cell r="U555" t="str">
            <v/>
          </cell>
          <cell r="V555" t="str">
            <v>2019-02-13</v>
          </cell>
          <cell r="W555" t="str">
            <v>2019-02-13 11:37:22</v>
          </cell>
          <cell r="X555" t="str">
            <v>더바른푸드</v>
          </cell>
        </row>
        <row r="556">
          <cell r="A556">
            <v>552</v>
          </cell>
          <cell r="B556" t="str">
            <v>2019-02-20</v>
          </cell>
          <cell r="C556" t="str">
            <v>더바른푸드</v>
          </cell>
          <cell r="D556" t="str">
            <v>더바른푸드</v>
          </cell>
          <cell r="E556" t="str">
            <v>일반</v>
          </cell>
          <cell r="F556" t="str">
            <v>입고완료</v>
          </cell>
          <cell r="G556">
            <v>105336</v>
          </cell>
          <cell r="H556" t="str">
            <v>서울우유 흰우유(카톤_200ml 200g/EA)</v>
          </cell>
          <cell r="I556" t="str">
            <v>EA</v>
          </cell>
          <cell r="J556">
            <v>40</v>
          </cell>
          <cell r="K556">
            <v>40</v>
          </cell>
          <cell r="L556">
            <v>560</v>
          </cell>
          <cell r="M556">
            <v>22400</v>
          </cell>
          <cell r="N556">
            <v>0</v>
          </cell>
          <cell r="O556">
            <v>22400</v>
          </cell>
          <cell r="P556">
            <v>0</v>
          </cell>
          <cell r="Q556" t="str">
            <v/>
          </cell>
          <cell r="R556" t="str">
            <v>냉장</v>
          </cell>
          <cell r="S556" t="str">
            <v>EA(1)</v>
          </cell>
          <cell r="T556" t="str">
            <v/>
          </cell>
          <cell r="U556" t="str">
            <v/>
          </cell>
          <cell r="V556" t="str">
            <v>2019-02-13</v>
          </cell>
          <cell r="W556" t="str">
            <v>2019-02-13 12:25:33</v>
          </cell>
          <cell r="X556" t="str">
            <v>더바른푸드</v>
          </cell>
        </row>
        <row r="557">
          <cell r="A557">
            <v>553</v>
          </cell>
          <cell r="B557" t="str">
            <v>2019-02-20</v>
          </cell>
          <cell r="C557" t="str">
            <v>더바른푸드</v>
          </cell>
          <cell r="D557" t="str">
            <v>더바른푸드</v>
          </cell>
          <cell r="E557" t="str">
            <v>일반</v>
          </cell>
          <cell r="F557" t="str">
            <v>입고완료</v>
          </cell>
          <cell r="G557">
            <v>173374</v>
          </cell>
          <cell r="H557" t="str">
            <v>쉐프솔루션 진짜통등심돈까스(130g*20입 2.6Kg/EA)</v>
          </cell>
          <cell r="I557" t="str">
            <v>EA</v>
          </cell>
          <cell r="J557">
            <v>54</v>
          </cell>
          <cell r="K557">
            <v>54</v>
          </cell>
          <cell r="L557">
            <v>20600</v>
          </cell>
          <cell r="M557">
            <v>1112400</v>
          </cell>
          <cell r="N557">
            <v>111240</v>
          </cell>
          <cell r="O557">
            <v>1223640</v>
          </cell>
          <cell r="P557">
            <v>0</v>
          </cell>
          <cell r="Q557" t="str">
            <v>한국</v>
          </cell>
          <cell r="R557" t="str">
            <v>냉동</v>
          </cell>
          <cell r="S557" t="str">
            <v>EA(4)</v>
          </cell>
          <cell r="T557" t="str">
            <v/>
          </cell>
          <cell r="U557" t="str">
            <v/>
          </cell>
          <cell r="V557" t="str">
            <v>2019-02-18</v>
          </cell>
          <cell r="W557" t="str">
            <v>2019-02-18 12:56:44</v>
          </cell>
          <cell r="X557" t="str">
            <v>더바른푸드</v>
          </cell>
        </row>
        <row r="558">
          <cell r="A558">
            <v>554</v>
          </cell>
          <cell r="B558" t="str">
            <v>2019-02-20</v>
          </cell>
          <cell r="C558" t="str">
            <v>더바른푸드</v>
          </cell>
          <cell r="D558" t="str">
            <v>더바른푸드</v>
          </cell>
          <cell r="E558" t="str">
            <v>일반</v>
          </cell>
          <cell r="F558" t="str">
            <v>입고완료</v>
          </cell>
          <cell r="G558">
            <v>212132</v>
          </cell>
          <cell r="H558" t="str">
            <v>냉동고구마(맛탕용 1Kg/EA)</v>
          </cell>
          <cell r="I558" t="str">
            <v>EA</v>
          </cell>
          <cell r="J558">
            <v>103</v>
          </cell>
          <cell r="K558">
            <v>103</v>
          </cell>
          <cell r="L558">
            <v>2750</v>
          </cell>
          <cell r="M558">
            <v>283250</v>
          </cell>
          <cell r="N558">
            <v>28325</v>
          </cell>
          <cell r="O558">
            <v>311575</v>
          </cell>
          <cell r="P558">
            <v>0</v>
          </cell>
          <cell r="Q558" t="str">
            <v/>
          </cell>
          <cell r="R558" t="str">
            <v>냉동</v>
          </cell>
          <cell r="S558" t="str">
            <v>EA(1)</v>
          </cell>
          <cell r="T558" t="str">
            <v/>
          </cell>
          <cell r="U558" t="str">
            <v/>
          </cell>
          <cell r="V558" t="str">
            <v>2019-02-18</v>
          </cell>
          <cell r="W558" t="str">
            <v>2019-02-18 13:10:15</v>
          </cell>
          <cell r="X558" t="str">
            <v>더바른푸드</v>
          </cell>
        </row>
        <row r="559">
          <cell r="A559">
            <v>555</v>
          </cell>
          <cell r="B559" t="str">
            <v>2019-02-20</v>
          </cell>
          <cell r="C559" t="str">
            <v>더바른푸드</v>
          </cell>
          <cell r="D559" t="str">
            <v>더바른푸드</v>
          </cell>
          <cell r="E559" t="str">
            <v>일반</v>
          </cell>
          <cell r="F559" t="str">
            <v>입고완료</v>
          </cell>
          <cell r="G559">
            <v>107255</v>
          </cell>
          <cell r="H559" t="str">
            <v>오뚜기 돈까스소스(PET 2.1Kg/EA)</v>
          </cell>
          <cell r="I559" t="str">
            <v>EA</v>
          </cell>
          <cell r="J559">
            <v>24</v>
          </cell>
          <cell r="K559">
            <v>24</v>
          </cell>
          <cell r="L559">
            <v>4360</v>
          </cell>
          <cell r="M559">
            <v>104640</v>
          </cell>
          <cell r="N559">
            <v>10464</v>
          </cell>
          <cell r="O559">
            <v>115104</v>
          </cell>
          <cell r="P559">
            <v>0</v>
          </cell>
          <cell r="Q559" t="str">
            <v/>
          </cell>
          <cell r="R559" t="str">
            <v>실온</v>
          </cell>
          <cell r="S559" t="str">
            <v>EA(6)</v>
          </cell>
          <cell r="T559" t="str">
            <v/>
          </cell>
          <cell r="U559" t="str">
            <v/>
          </cell>
          <cell r="V559" t="str">
            <v>2019-02-18</v>
          </cell>
          <cell r="W559" t="str">
            <v>2019-02-18 13:41:06</v>
          </cell>
          <cell r="X559" t="str">
            <v>더바른푸드</v>
          </cell>
        </row>
        <row r="560">
          <cell r="A560">
            <v>556</v>
          </cell>
          <cell r="B560" t="str">
            <v>2019-02-20</v>
          </cell>
          <cell r="C560" t="str">
            <v>더바른푸드</v>
          </cell>
          <cell r="D560" t="str">
            <v>더바른푸드</v>
          </cell>
          <cell r="E560" t="str">
            <v>일반</v>
          </cell>
          <cell r="F560" t="str">
            <v>입고완료</v>
          </cell>
          <cell r="G560">
            <v>211696</v>
          </cell>
          <cell r="H560" t="str">
            <v>건시래기(데친것 KG)</v>
          </cell>
          <cell r="I560" t="str">
            <v>KG</v>
          </cell>
          <cell r="J560">
            <v>40</v>
          </cell>
          <cell r="K560">
            <v>40</v>
          </cell>
          <cell r="L560">
            <v>2740</v>
          </cell>
          <cell r="M560">
            <v>109600</v>
          </cell>
          <cell r="N560">
            <v>0</v>
          </cell>
          <cell r="O560">
            <v>109600</v>
          </cell>
          <cell r="P560">
            <v>0</v>
          </cell>
          <cell r="Q560" t="str">
            <v>한국</v>
          </cell>
          <cell r="R560" t="str">
            <v>냉장</v>
          </cell>
          <cell r="S560" t="str">
            <v>KG(1)</v>
          </cell>
          <cell r="T560" t="str">
            <v/>
          </cell>
          <cell r="U560" t="str">
            <v/>
          </cell>
          <cell r="V560" t="str">
            <v>2019-02-19</v>
          </cell>
          <cell r="W560" t="str">
            <v>2019-02-19 13:12:35</v>
          </cell>
          <cell r="X560" t="str">
            <v>더바른푸드</v>
          </cell>
        </row>
        <row r="561">
          <cell r="A561">
            <v>557</v>
          </cell>
          <cell r="B561" t="str">
            <v>2019-02-20</v>
          </cell>
          <cell r="C561" t="str">
            <v>더바른푸드</v>
          </cell>
          <cell r="D561" t="str">
            <v>더바른푸드</v>
          </cell>
          <cell r="E561" t="str">
            <v>일반</v>
          </cell>
          <cell r="F561" t="str">
            <v>입고완료</v>
          </cell>
          <cell r="G561">
            <v>168384</v>
          </cell>
          <cell r="H561" t="str">
            <v>사조대림 사각어묵(알뜰 1Kg/EA)</v>
          </cell>
          <cell r="I561" t="str">
            <v>EA</v>
          </cell>
          <cell r="J561">
            <v>60</v>
          </cell>
          <cell r="K561">
            <v>60</v>
          </cell>
          <cell r="L561">
            <v>2220</v>
          </cell>
          <cell r="M561">
            <v>133200</v>
          </cell>
          <cell r="N561">
            <v>13320</v>
          </cell>
          <cell r="O561">
            <v>146520</v>
          </cell>
          <cell r="P561">
            <v>0</v>
          </cell>
          <cell r="Q561" t="str">
            <v/>
          </cell>
          <cell r="R561" t="str">
            <v>냉장</v>
          </cell>
          <cell r="S561" t="str">
            <v>EA(1)</v>
          </cell>
          <cell r="T561" t="str">
            <v/>
          </cell>
          <cell r="U561" t="str">
            <v/>
          </cell>
          <cell r="V561" t="str">
            <v>2019-02-19</v>
          </cell>
          <cell r="W561" t="str">
            <v>2019-02-19 13:28:19</v>
          </cell>
          <cell r="X561" t="str">
            <v>더바른푸드</v>
          </cell>
        </row>
        <row r="562">
          <cell r="A562">
            <v>558</v>
          </cell>
          <cell r="B562" t="str">
            <v>2019-02-20</v>
          </cell>
          <cell r="C562" t="str">
            <v>더바른푸드</v>
          </cell>
          <cell r="D562" t="str">
            <v>더바른푸드</v>
          </cell>
          <cell r="E562" t="str">
            <v>일반</v>
          </cell>
          <cell r="F562" t="str">
            <v>입고완료</v>
          </cell>
          <cell r="G562">
            <v>208502</v>
          </cell>
          <cell r="H562" t="str">
            <v>세척당근(3L 10Kg/EA)</v>
          </cell>
          <cell r="I562" t="str">
            <v>EA</v>
          </cell>
          <cell r="J562">
            <v>2</v>
          </cell>
          <cell r="K562">
            <v>2</v>
          </cell>
          <cell r="L562">
            <v>11980</v>
          </cell>
          <cell r="M562">
            <v>23960</v>
          </cell>
          <cell r="N562">
            <v>0</v>
          </cell>
          <cell r="O562">
            <v>23960</v>
          </cell>
          <cell r="P562">
            <v>0</v>
          </cell>
          <cell r="Q562" t="str">
            <v>중국</v>
          </cell>
          <cell r="R562" t="str">
            <v>실온</v>
          </cell>
          <cell r="S562" t="str">
            <v>EA(1)</v>
          </cell>
          <cell r="T562" t="str">
            <v/>
          </cell>
          <cell r="U562" t="str">
            <v/>
          </cell>
          <cell r="V562" t="str">
            <v>2019-02-19</v>
          </cell>
          <cell r="W562" t="str">
            <v>2019-02-19 13:47:00</v>
          </cell>
          <cell r="X562" t="str">
            <v>더바른푸드</v>
          </cell>
        </row>
        <row r="563">
          <cell r="A563">
            <v>559</v>
          </cell>
          <cell r="B563" t="str">
            <v>2019-02-20</v>
          </cell>
          <cell r="C563" t="str">
            <v>더바른푸드</v>
          </cell>
          <cell r="D563" t="str">
            <v>더바른푸드</v>
          </cell>
          <cell r="E563" t="str">
            <v>일반</v>
          </cell>
          <cell r="F563" t="str">
            <v>입고완료</v>
          </cell>
          <cell r="G563">
            <v>219387</v>
          </cell>
          <cell r="H563" t="str">
            <v>냉동배추우거지(1Kg/EA)</v>
          </cell>
          <cell r="I563" t="str">
            <v>EA</v>
          </cell>
          <cell r="J563">
            <v>10</v>
          </cell>
          <cell r="K563">
            <v>10</v>
          </cell>
          <cell r="L563">
            <v>1430</v>
          </cell>
          <cell r="M563">
            <v>14300</v>
          </cell>
          <cell r="N563">
            <v>1430</v>
          </cell>
          <cell r="O563">
            <v>15730</v>
          </cell>
          <cell r="P563">
            <v>0</v>
          </cell>
          <cell r="Q563" t="str">
            <v>중국</v>
          </cell>
          <cell r="R563" t="str">
            <v>냉동</v>
          </cell>
          <cell r="S563" t="str">
            <v>EA(1)</v>
          </cell>
          <cell r="T563" t="str">
            <v/>
          </cell>
          <cell r="U563" t="str">
            <v/>
          </cell>
          <cell r="V563" t="str">
            <v>2019-02-19</v>
          </cell>
          <cell r="W563" t="str">
            <v>2019-02-19 13:54:02</v>
          </cell>
          <cell r="X563" t="str">
            <v>더바른푸드</v>
          </cell>
        </row>
        <row r="564">
          <cell r="A564">
            <v>560</v>
          </cell>
          <cell r="B564" t="str">
            <v>2019-02-19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</row>
        <row r="565">
          <cell r="A565">
            <v>561</v>
          </cell>
          <cell r="B565" t="str">
            <v>2019-02-19</v>
          </cell>
          <cell r="C565" t="str">
            <v>더바른푸드</v>
          </cell>
          <cell r="D565" t="str">
            <v>더바른푸드</v>
          </cell>
          <cell r="E565" t="str">
            <v>일반</v>
          </cell>
          <cell r="F565" t="str">
            <v>입고완료</v>
          </cell>
          <cell r="G565">
            <v>166336</v>
          </cell>
          <cell r="H565" t="str">
            <v>종로복떡방 흰바람떡(멥쌀_34입 1Kg/EA)</v>
          </cell>
          <cell r="I565" t="str">
            <v>EA</v>
          </cell>
          <cell r="J565">
            <v>7</v>
          </cell>
          <cell r="K565">
            <v>7</v>
          </cell>
          <cell r="L565">
            <v>7320</v>
          </cell>
          <cell r="M565">
            <v>51240</v>
          </cell>
          <cell r="N565">
            <v>5124</v>
          </cell>
          <cell r="O565">
            <v>56364</v>
          </cell>
          <cell r="P565">
            <v>0</v>
          </cell>
          <cell r="Q565" t="str">
            <v/>
          </cell>
          <cell r="R565" t="str">
            <v>냉동</v>
          </cell>
          <cell r="S565" t="str">
            <v>EA(1)</v>
          </cell>
          <cell r="T565" t="str">
            <v/>
          </cell>
          <cell r="U565" t="str">
            <v/>
          </cell>
          <cell r="V565" t="str">
            <v>2019-02-13</v>
          </cell>
          <cell r="W565" t="str">
            <v>2019-02-13 11:58:26</v>
          </cell>
          <cell r="X565" t="str">
            <v>더바른푸드</v>
          </cell>
        </row>
        <row r="566">
          <cell r="A566">
            <v>562</v>
          </cell>
          <cell r="B566" t="str">
            <v>2019-02-19</v>
          </cell>
          <cell r="C566" t="str">
            <v>더바른푸드</v>
          </cell>
          <cell r="D566" t="str">
            <v>더바른푸드</v>
          </cell>
          <cell r="E566" t="str">
            <v>일반</v>
          </cell>
          <cell r="F566" t="str">
            <v>입고완료</v>
          </cell>
          <cell r="G566">
            <v>270329</v>
          </cell>
          <cell r="H566" t="str">
            <v>안흥식품 할매쌀찐빵(60g내외*16입 960g/EA)</v>
          </cell>
          <cell r="I566" t="str">
            <v>EA</v>
          </cell>
          <cell r="J566">
            <v>5</v>
          </cell>
          <cell r="K566">
            <v>5</v>
          </cell>
          <cell r="L566">
            <v>4480</v>
          </cell>
          <cell r="M566">
            <v>22400</v>
          </cell>
          <cell r="N566">
            <v>2240</v>
          </cell>
          <cell r="O566">
            <v>24640</v>
          </cell>
          <cell r="P566">
            <v>0</v>
          </cell>
          <cell r="Q566" t="str">
            <v/>
          </cell>
          <cell r="R566" t="str">
            <v>냉동</v>
          </cell>
          <cell r="S566" t="str">
            <v>EA(8)</v>
          </cell>
          <cell r="T566" t="str">
            <v/>
          </cell>
          <cell r="U566" t="str">
            <v/>
          </cell>
          <cell r="V566" t="str">
            <v>2019-02-13</v>
          </cell>
          <cell r="W566" t="str">
            <v>2019-02-13 12:08:35</v>
          </cell>
          <cell r="X566" t="str">
            <v>더바른푸드</v>
          </cell>
        </row>
        <row r="567">
          <cell r="A567">
            <v>563</v>
          </cell>
          <cell r="B567" t="str">
            <v>2019-02-19</v>
          </cell>
          <cell r="C567" t="str">
            <v>더바른푸드</v>
          </cell>
          <cell r="D567" t="str">
            <v>더바른푸드</v>
          </cell>
          <cell r="E567" t="str">
            <v>일반</v>
          </cell>
          <cell r="F567" t="str">
            <v>입고완료</v>
          </cell>
          <cell r="G567">
            <v>136633</v>
          </cell>
          <cell r="H567" t="str">
            <v>이오 요구르트(80ml_유기농 80g/EA)</v>
          </cell>
          <cell r="I567" t="str">
            <v>EA</v>
          </cell>
          <cell r="J567">
            <v>148</v>
          </cell>
          <cell r="K567">
            <v>148</v>
          </cell>
          <cell r="L567">
            <v>300</v>
          </cell>
          <cell r="M567">
            <v>44400</v>
          </cell>
          <cell r="N567">
            <v>4440</v>
          </cell>
          <cell r="O567">
            <v>48840</v>
          </cell>
          <cell r="P567">
            <v>0</v>
          </cell>
          <cell r="Q567" t="str">
            <v>한국</v>
          </cell>
          <cell r="R567" t="str">
            <v>냉장</v>
          </cell>
          <cell r="S567" t="str">
            <v>EA(50)</v>
          </cell>
          <cell r="T567" t="str">
            <v/>
          </cell>
          <cell r="U567" t="str">
            <v>빨대 부탁드립니다</v>
          </cell>
          <cell r="V567" t="str">
            <v>2019-02-13</v>
          </cell>
          <cell r="W567" t="str">
            <v>2019-02-13 12:21:26</v>
          </cell>
          <cell r="X567" t="str">
            <v>더바른푸드</v>
          </cell>
        </row>
        <row r="568">
          <cell r="A568">
            <v>564</v>
          </cell>
          <cell r="B568" t="str">
            <v>2019-02-19</v>
          </cell>
          <cell r="C568" t="str">
            <v>더바른푸드</v>
          </cell>
          <cell r="D568" t="str">
            <v>더바른푸드</v>
          </cell>
          <cell r="E568" t="str">
            <v>일반</v>
          </cell>
          <cell r="F568" t="str">
            <v>입고완료</v>
          </cell>
          <cell r="G568">
            <v>259671</v>
          </cell>
          <cell r="H568" t="str">
            <v>세준푸드 맑은식혜(유기농 125g/EA)</v>
          </cell>
          <cell r="I568" t="str">
            <v>BOX</v>
          </cell>
          <cell r="J568">
            <v>3</v>
          </cell>
          <cell r="K568">
            <v>3</v>
          </cell>
          <cell r="L568">
            <v>10320</v>
          </cell>
          <cell r="M568">
            <v>30960</v>
          </cell>
          <cell r="N568">
            <v>3096</v>
          </cell>
          <cell r="O568">
            <v>34056</v>
          </cell>
          <cell r="P568">
            <v>0</v>
          </cell>
          <cell r="Q568" t="str">
            <v/>
          </cell>
          <cell r="R568" t="str">
            <v>실온</v>
          </cell>
          <cell r="S568" t="str">
            <v>EA(24)</v>
          </cell>
          <cell r="T568" t="str">
            <v/>
          </cell>
          <cell r="U568" t="str">
            <v/>
          </cell>
          <cell r="V568" t="str">
            <v>2019-02-13</v>
          </cell>
          <cell r="W568" t="str">
            <v>2019-02-13 12:25:06</v>
          </cell>
          <cell r="X568" t="str">
            <v>더바른푸드</v>
          </cell>
        </row>
        <row r="569">
          <cell r="A569">
            <v>565</v>
          </cell>
          <cell r="B569" t="str">
            <v>2019-02-19</v>
          </cell>
          <cell r="C569" t="str">
            <v>더바른푸드</v>
          </cell>
          <cell r="D569" t="str">
            <v>더바른푸드</v>
          </cell>
          <cell r="E569" t="str">
            <v>일반</v>
          </cell>
          <cell r="F569" t="str">
            <v>입고완료</v>
          </cell>
          <cell r="G569">
            <v>115364</v>
          </cell>
          <cell r="H569" t="str">
            <v>삼진 살사소스(2Kg/EA)</v>
          </cell>
          <cell r="I569" t="str">
            <v>EA</v>
          </cell>
          <cell r="J569">
            <v>1</v>
          </cell>
          <cell r="K569">
            <v>1</v>
          </cell>
          <cell r="L569">
            <v>7730</v>
          </cell>
          <cell r="M569">
            <v>7730</v>
          </cell>
          <cell r="N569">
            <v>773</v>
          </cell>
          <cell r="O569">
            <v>8503</v>
          </cell>
          <cell r="P569">
            <v>0</v>
          </cell>
          <cell r="Q569" t="str">
            <v/>
          </cell>
          <cell r="R569" t="str">
            <v>냉장</v>
          </cell>
          <cell r="S569" t="str">
            <v>EA(5)</v>
          </cell>
          <cell r="T569" t="str">
            <v/>
          </cell>
          <cell r="U569" t="str">
            <v/>
          </cell>
          <cell r="V569" t="str">
            <v>2019-02-14</v>
          </cell>
          <cell r="W569" t="str">
            <v>2019-02-14 15:54:24</v>
          </cell>
          <cell r="X569" t="str">
            <v>더바른푸드</v>
          </cell>
        </row>
        <row r="570">
          <cell r="A570">
            <v>566</v>
          </cell>
          <cell r="B570" t="str">
            <v>2019-02-19</v>
          </cell>
          <cell r="C570" t="str">
            <v>더바른푸드</v>
          </cell>
          <cell r="D570" t="str">
            <v>더바른푸드</v>
          </cell>
          <cell r="E570" t="str">
            <v>일반</v>
          </cell>
          <cell r="F570" t="str">
            <v>입고완료</v>
          </cell>
          <cell r="G570">
            <v>251973</v>
          </cell>
          <cell r="H570" t="str">
            <v>냉동혼합채소2종(감자+당근 짜장용 1Kg/EA)</v>
          </cell>
          <cell r="I570" t="str">
            <v>EA</v>
          </cell>
          <cell r="J570">
            <v>50</v>
          </cell>
          <cell r="K570">
            <v>50</v>
          </cell>
          <cell r="L570">
            <v>2190</v>
          </cell>
          <cell r="M570">
            <v>109500</v>
          </cell>
          <cell r="N570">
            <v>10950</v>
          </cell>
          <cell r="O570">
            <v>120450</v>
          </cell>
          <cell r="P570">
            <v>0</v>
          </cell>
          <cell r="Q570" t="str">
            <v>스페인</v>
          </cell>
          <cell r="R570" t="str">
            <v>냉동</v>
          </cell>
          <cell r="S570" t="str">
            <v>EA(1)</v>
          </cell>
          <cell r="T570" t="str">
            <v/>
          </cell>
          <cell r="U570" t="str">
            <v/>
          </cell>
          <cell r="V570" t="str">
            <v>2019-02-15</v>
          </cell>
          <cell r="W570" t="str">
            <v>2019-02-15 13:12:41</v>
          </cell>
          <cell r="X570" t="str">
            <v>더바른푸드</v>
          </cell>
        </row>
        <row r="571">
          <cell r="A571">
            <v>567</v>
          </cell>
          <cell r="B571" t="str">
            <v>2019-02-19</v>
          </cell>
          <cell r="C571" t="str">
            <v>더바른푸드</v>
          </cell>
          <cell r="D571" t="str">
            <v>더바른푸드</v>
          </cell>
          <cell r="E571" t="str">
            <v>일반</v>
          </cell>
          <cell r="F571" t="str">
            <v>입고완료</v>
          </cell>
          <cell r="G571">
            <v>122935</v>
          </cell>
          <cell r="H571" t="str">
            <v>리치스 스위트콘(2.95Kg/EA)</v>
          </cell>
          <cell r="I571" t="str">
            <v>EA</v>
          </cell>
          <cell r="J571">
            <v>40</v>
          </cell>
          <cell r="K571">
            <v>40</v>
          </cell>
          <cell r="L571">
            <v>2860</v>
          </cell>
          <cell r="M571">
            <v>114400</v>
          </cell>
          <cell r="N571">
            <v>11440</v>
          </cell>
          <cell r="O571">
            <v>125840</v>
          </cell>
          <cell r="P571">
            <v>0</v>
          </cell>
          <cell r="Q571" t="str">
            <v>태국</v>
          </cell>
          <cell r="R571" t="str">
            <v>실온</v>
          </cell>
          <cell r="S571" t="str">
            <v>EA(6)</v>
          </cell>
          <cell r="T571" t="str">
            <v/>
          </cell>
          <cell r="U571" t="str">
            <v/>
          </cell>
          <cell r="V571" t="str">
            <v>2019-02-15</v>
          </cell>
          <cell r="W571" t="str">
            <v>2019-02-15 14:26:05</v>
          </cell>
          <cell r="X571" t="str">
            <v>더바른푸드</v>
          </cell>
        </row>
        <row r="572">
          <cell r="A572">
            <v>568</v>
          </cell>
          <cell r="B572" t="str">
            <v>2019-02-19</v>
          </cell>
          <cell r="C572" t="str">
            <v>더바른푸드</v>
          </cell>
          <cell r="D572" t="str">
            <v>더바른푸드</v>
          </cell>
          <cell r="E572" t="str">
            <v>일반</v>
          </cell>
          <cell r="F572" t="str">
            <v>입고완료</v>
          </cell>
          <cell r="G572">
            <v>107826</v>
          </cell>
          <cell r="H572" t="str">
            <v>오뚜기 하이라이스(1Kg/EA)</v>
          </cell>
          <cell r="I572" t="str">
            <v>EA</v>
          </cell>
          <cell r="J572">
            <v>24</v>
          </cell>
          <cell r="K572">
            <v>24</v>
          </cell>
          <cell r="L572">
            <v>4380</v>
          </cell>
          <cell r="M572">
            <v>105120</v>
          </cell>
          <cell r="N572">
            <v>10512</v>
          </cell>
          <cell r="O572">
            <v>115632</v>
          </cell>
          <cell r="P572">
            <v>0</v>
          </cell>
          <cell r="Q572" t="str">
            <v/>
          </cell>
          <cell r="R572" t="str">
            <v>실온</v>
          </cell>
          <cell r="S572" t="str">
            <v>EA(10)</v>
          </cell>
          <cell r="T572" t="str">
            <v/>
          </cell>
          <cell r="U572" t="str">
            <v/>
          </cell>
          <cell r="V572" t="str">
            <v>2019-02-15</v>
          </cell>
          <cell r="W572" t="str">
            <v>2019-02-15 14:30:44</v>
          </cell>
          <cell r="X572" t="str">
            <v>더바른푸드</v>
          </cell>
        </row>
        <row r="573">
          <cell r="A573">
            <v>569</v>
          </cell>
          <cell r="B573" t="str">
            <v>2019-02-19</v>
          </cell>
          <cell r="C573" t="str">
            <v>더바른푸드</v>
          </cell>
          <cell r="D573" t="str">
            <v>더바른푸드</v>
          </cell>
          <cell r="E573" t="str">
            <v>일반</v>
          </cell>
          <cell r="F573" t="str">
            <v>입고완료</v>
          </cell>
          <cell r="G573">
            <v>206705</v>
          </cell>
          <cell r="H573" t="str">
            <v>냉동청피망(1cm다이스 1Kg/PAC)</v>
          </cell>
          <cell r="I573" t="str">
            <v>PAC</v>
          </cell>
          <cell r="J573">
            <v>10</v>
          </cell>
          <cell r="K573">
            <v>10</v>
          </cell>
          <cell r="L573">
            <v>2110</v>
          </cell>
          <cell r="M573">
            <v>21100</v>
          </cell>
          <cell r="N573">
            <v>0</v>
          </cell>
          <cell r="O573">
            <v>21100</v>
          </cell>
          <cell r="P573">
            <v>0</v>
          </cell>
          <cell r="Q573" t="str">
            <v>중국</v>
          </cell>
          <cell r="R573" t="str">
            <v>냉동</v>
          </cell>
          <cell r="S573" t="str">
            <v>PAC(1)</v>
          </cell>
          <cell r="T573" t="str">
            <v/>
          </cell>
          <cell r="U573" t="str">
            <v/>
          </cell>
          <cell r="V573" t="str">
            <v>2019-02-15</v>
          </cell>
          <cell r="W573" t="str">
            <v>2019-02-15 14:34:18</v>
          </cell>
          <cell r="X573" t="str">
            <v>더바른푸드</v>
          </cell>
        </row>
        <row r="574">
          <cell r="A574">
            <v>570</v>
          </cell>
          <cell r="B574" t="str">
            <v>2019-02-19</v>
          </cell>
          <cell r="C574" t="str">
            <v>더바른푸드</v>
          </cell>
          <cell r="D574" t="str">
            <v>더바른푸드</v>
          </cell>
          <cell r="E574" t="str">
            <v>일반</v>
          </cell>
          <cell r="F574" t="str">
            <v>입고완료</v>
          </cell>
          <cell r="G574">
            <v>228878</v>
          </cell>
          <cell r="H574" t="str">
            <v>동태(내장제거_50~70g/토막 KG)</v>
          </cell>
          <cell r="I574" t="str">
            <v>KG</v>
          </cell>
          <cell r="J574">
            <v>2</v>
          </cell>
          <cell r="K574">
            <v>2</v>
          </cell>
          <cell r="L574">
            <v>4090</v>
          </cell>
          <cell r="M574">
            <v>8180</v>
          </cell>
          <cell r="N574">
            <v>0</v>
          </cell>
          <cell r="O574">
            <v>8180</v>
          </cell>
          <cell r="P574">
            <v>0</v>
          </cell>
          <cell r="Q574" t="str">
            <v>러시아</v>
          </cell>
          <cell r="R574" t="str">
            <v>냉동</v>
          </cell>
          <cell r="S574" t="str">
            <v>KG(1)</v>
          </cell>
          <cell r="T574" t="str">
            <v/>
          </cell>
          <cell r="U574" t="str">
            <v/>
          </cell>
          <cell r="V574" t="str">
            <v>2019-02-15</v>
          </cell>
          <cell r="W574" t="str">
            <v>2019-02-15 14:53:57</v>
          </cell>
          <cell r="X574" t="str">
            <v>더바른푸드</v>
          </cell>
        </row>
        <row r="575">
          <cell r="A575">
            <v>571</v>
          </cell>
          <cell r="B575" t="str">
            <v>2019-02-19</v>
          </cell>
          <cell r="C575" t="str">
            <v>더바른푸드</v>
          </cell>
          <cell r="D575" t="str">
            <v>더바른푸드</v>
          </cell>
          <cell r="E575" t="str">
            <v>일반</v>
          </cell>
          <cell r="F575" t="str">
            <v>입고완료</v>
          </cell>
          <cell r="G575">
            <v>410401</v>
          </cell>
          <cell r="H575" t="str">
            <v>체리부로 닭다리살(무항생_100±10g/덩어리_껍질있음 KG)</v>
          </cell>
          <cell r="I575" t="str">
            <v>KG</v>
          </cell>
          <cell r="J575">
            <v>4</v>
          </cell>
          <cell r="K575">
            <v>4</v>
          </cell>
          <cell r="L575">
            <v>8510</v>
          </cell>
          <cell r="M575">
            <v>34040</v>
          </cell>
          <cell r="N575">
            <v>0</v>
          </cell>
          <cell r="O575">
            <v>34040</v>
          </cell>
          <cell r="P575">
            <v>34040</v>
          </cell>
          <cell r="Q575" t="str">
            <v>한국</v>
          </cell>
          <cell r="R575" t="str">
            <v>냉장</v>
          </cell>
          <cell r="S575" t="str">
            <v>KG(1)</v>
          </cell>
          <cell r="T575" t="str">
            <v/>
          </cell>
          <cell r="U575" t="str">
            <v/>
          </cell>
          <cell r="V575" t="str">
            <v>2019-02-15</v>
          </cell>
          <cell r="W575" t="str">
            <v>2019-02-15 15:07:21</v>
          </cell>
          <cell r="X575" t="str">
            <v>더바른푸드</v>
          </cell>
        </row>
        <row r="576">
          <cell r="A576">
            <v>572</v>
          </cell>
          <cell r="B576" t="str">
            <v>2019-02-19</v>
          </cell>
          <cell r="C576" t="str">
            <v>더바른푸드</v>
          </cell>
          <cell r="D576" t="str">
            <v>더바른푸드</v>
          </cell>
          <cell r="E576" t="str">
            <v>일반</v>
          </cell>
          <cell r="F576" t="str">
            <v>입고완료</v>
          </cell>
          <cell r="G576">
            <v>197120</v>
          </cell>
          <cell r="H576" t="str">
            <v>종가집 포기김치(숙성 10Kg/BOX)</v>
          </cell>
          <cell r="I576" t="str">
            <v>BOX</v>
          </cell>
          <cell r="J576">
            <v>10</v>
          </cell>
          <cell r="K576">
            <v>10</v>
          </cell>
          <cell r="L576">
            <v>31390</v>
          </cell>
          <cell r="M576">
            <v>313900</v>
          </cell>
          <cell r="N576">
            <v>0</v>
          </cell>
          <cell r="O576">
            <v>313900</v>
          </cell>
          <cell r="P576">
            <v>0</v>
          </cell>
          <cell r="Q576" t="str">
            <v>한국</v>
          </cell>
          <cell r="R576" t="str">
            <v>냉장</v>
          </cell>
          <cell r="S576" t="str">
            <v>BOX(1)</v>
          </cell>
          <cell r="T576" t="str">
            <v/>
          </cell>
          <cell r="U576" t="str">
            <v/>
          </cell>
          <cell r="V576" t="str">
            <v>2019-02-15</v>
          </cell>
          <cell r="W576" t="str">
            <v>2019-02-15 15:26:49</v>
          </cell>
          <cell r="X576" t="str">
            <v>더바른푸드</v>
          </cell>
        </row>
        <row r="577">
          <cell r="A577">
            <v>573</v>
          </cell>
          <cell r="B577" t="str">
            <v>2019-02-19</v>
          </cell>
          <cell r="C577" t="str">
            <v>더바른푸드</v>
          </cell>
          <cell r="D577" t="str">
            <v>더바른푸드</v>
          </cell>
          <cell r="E577" t="str">
            <v>일반</v>
          </cell>
          <cell r="F577" t="str">
            <v>입고완료</v>
          </cell>
          <cell r="G577">
            <v>196981</v>
          </cell>
          <cell r="H577" t="str">
            <v>쉐프원 깍두기(일반_숙성 10Kg/BOX)</v>
          </cell>
          <cell r="I577" t="str">
            <v>BOX</v>
          </cell>
          <cell r="J577">
            <v>1</v>
          </cell>
          <cell r="K577">
            <v>1</v>
          </cell>
          <cell r="L577">
            <v>28380</v>
          </cell>
          <cell r="M577">
            <v>28380</v>
          </cell>
          <cell r="N577">
            <v>0</v>
          </cell>
          <cell r="O577">
            <v>28380</v>
          </cell>
          <cell r="P577">
            <v>0</v>
          </cell>
          <cell r="Q577" t="str">
            <v/>
          </cell>
          <cell r="R577" t="str">
            <v>냉장</v>
          </cell>
          <cell r="S577" t="str">
            <v>BOX(1)</v>
          </cell>
          <cell r="T577" t="str">
            <v/>
          </cell>
          <cell r="U577" t="str">
            <v/>
          </cell>
          <cell r="V577" t="str">
            <v>2019-02-18</v>
          </cell>
          <cell r="W577" t="str">
            <v>2019-02-18 12:42:32</v>
          </cell>
          <cell r="X577" t="str">
            <v>더바른푸드</v>
          </cell>
        </row>
        <row r="578">
          <cell r="A578">
            <v>574</v>
          </cell>
          <cell r="B578" t="str">
            <v>2019-02-18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</row>
        <row r="579">
          <cell r="A579">
            <v>575</v>
          </cell>
          <cell r="B579" t="str">
            <v>2019-02-18</v>
          </cell>
          <cell r="C579" t="str">
            <v>더바른푸드</v>
          </cell>
          <cell r="D579" t="str">
            <v>더바른푸드</v>
          </cell>
          <cell r="E579" t="str">
            <v>일반</v>
          </cell>
          <cell r="F579" t="str">
            <v>입고완료</v>
          </cell>
          <cell r="G579">
            <v>135205</v>
          </cell>
          <cell r="H579" t="str">
            <v>마더구스 베이비슈(카스타드미니_13g*36입 468g/EA)</v>
          </cell>
          <cell r="I579" t="str">
            <v>EA</v>
          </cell>
          <cell r="J579">
            <v>15</v>
          </cell>
          <cell r="K579">
            <v>15</v>
          </cell>
          <cell r="L579">
            <v>4880</v>
          </cell>
          <cell r="M579">
            <v>73200</v>
          </cell>
          <cell r="N579">
            <v>7320</v>
          </cell>
          <cell r="O579">
            <v>80520</v>
          </cell>
          <cell r="P579">
            <v>0</v>
          </cell>
          <cell r="Q579" t="str">
            <v/>
          </cell>
          <cell r="R579" t="str">
            <v>냉동</v>
          </cell>
          <cell r="S579" t="str">
            <v>EA(10)</v>
          </cell>
          <cell r="T579" t="str">
            <v/>
          </cell>
          <cell r="U579" t="str">
            <v/>
          </cell>
          <cell r="V579" t="str">
            <v>2019-02-13</v>
          </cell>
          <cell r="W579" t="str">
            <v>2019-02-13 11:36:58</v>
          </cell>
          <cell r="X579" t="str">
            <v>더바른푸드</v>
          </cell>
        </row>
        <row r="580">
          <cell r="A580">
            <v>576</v>
          </cell>
          <cell r="B580" t="str">
            <v>2019-02-18</v>
          </cell>
          <cell r="C580" t="str">
            <v>더바른푸드</v>
          </cell>
          <cell r="D580" t="str">
            <v>더바른푸드</v>
          </cell>
          <cell r="E580" t="str">
            <v>일반</v>
          </cell>
          <cell r="F580" t="str">
            <v>입고완료</v>
          </cell>
          <cell r="G580">
            <v>266478</v>
          </cell>
          <cell r="H580" t="str">
            <v>전주제과 수제초코파이(오리지널미니 40g/EA)</v>
          </cell>
          <cell r="I580" t="str">
            <v>BOX</v>
          </cell>
          <cell r="J580">
            <v>2</v>
          </cell>
          <cell r="K580">
            <v>2</v>
          </cell>
          <cell r="L580">
            <v>18800</v>
          </cell>
          <cell r="M580">
            <v>37600</v>
          </cell>
          <cell r="N580">
            <v>3760</v>
          </cell>
          <cell r="O580">
            <v>41360</v>
          </cell>
          <cell r="P580">
            <v>0</v>
          </cell>
          <cell r="Q580" t="str">
            <v/>
          </cell>
          <cell r="R580" t="str">
            <v>냉동</v>
          </cell>
          <cell r="S580" t="str">
            <v>EA(40)</v>
          </cell>
          <cell r="T580" t="str">
            <v/>
          </cell>
          <cell r="U580" t="str">
            <v/>
          </cell>
          <cell r="V580" t="str">
            <v>2019-02-13</v>
          </cell>
          <cell r="W580" t="str">
            <v>2019-02-13 11:36:58</v>
          </cell>
          <cell r="X580" t="str">
            <v>더바른푸드</v>
          </cell>
        </row>
        <row r="581">
          <cell r="A581">
            <v>577</v>
          </cell>
          <cell r="B581" t="str">
            <v>2019-02-18</v>
          </cell>
          <cell r="C581" t="str">
            <v>더바른푸드</v>
          </cell>
          <cell r="D581" t="str">
            <v>더바른푸드</v>
          </cell>
          <cell r="E581" t="str">
            <v>일반</v>
          </cell>
          <cell r="F581" t="str">
            <v>입고완료</v>
          </cell>
          <cell r="G581">
            <v>160746</v>
          </cell>
          <cell r="H581" t="str">
            <v>서울우유 바나나우유(200ml 200g/EA)</v>
          </cell>
          <cell r="I581" t="str">
            <v>EA</v>
          </cell>
          <cell r="J581">
            <v>129</v>
          </cell>
          <cell r="K581">
            <v>129</v>
          </cell>
          <cell r="L581">
            <v>490</v>
          </cell>
          <cell r="M581">
            <v>63210</v>
          </cell>
          <cell r="N581">
            <v>6321</v>
          </cell>
          <cell r="O581">
            <v>69531</v>
          </cell>
          <cell r="P581">
            <v>0</v>
          </cell>
          <cell r="Q581" t="str">
            <v/>
          </cell>
          <cell r="R581" t="str">
            <v>냉장</v>
          </cell>
          <cell r="S581" t="str">
            <v>EA(1)</v>
          </cell>
          <cell r="T581" t="str">
            <v/>
          </cell>
          <cell r="U581" t="str">
            <v/>
          </cell>
          <cell r="V581" t="str">
            <v>2019-02-13</v>
          </cell>
          <cell r="W581" t="str">
            <v>2019-02-13 12:18:15</v>
          </cell>
          <cell r="X581" t="str">
            <v>더바른푸드</v>
          </cell>
        </row>
        <row r="582">
          <cell r="A582">
            <v>578</v>
          </cell>
          <cell r="B582" t="str">
            <v>2019-02-18</v>
          </cell>
          <cell r="C582" t="str">
            <v>더바른푸드</v>
          </cell>
          <cell r="D582" t="str">
            <v>더바른푸드</v>
          </cell>
          <cell r="E582" t="str">
            <v>일반</v>
          </cell>
          <cell r="F582" t="str">
            <v>입고완료</v>
          </cell>
          <cell r="G582">
            <v>264369</v>
          </cell>
          <cell r="H582" t="str">
            <v>롯데제과증평 미니딸기샌드(65g/EA)</v>
          </cell>
          <cell r="I582" t="str">
            <v>EA</v>
          </cell>
          <cell r="J582">
            <v>1</v>
          </cell>
          <cell r="K582">
            <v>1</v>
          </cell>
          <cell r="L582">
            <v>560</v>
          </cell>
          <cell r="M582">
            <v>560</v>
          </cell>
          <cell r="N582">
            <v>56</v>
          </cell>
          <cell r="O582">
            <v>616</v>
          </cell>
          <cell r="P582">
            <v>0</v>
          </cell>
          <cell r="Q582" t="str">
            <v/>
          </cell>
          <cell r="R582" t="str">
            <v>실온</v>
          </cell>
          <cell r="S582" t="str">
            <v>EA(1)</v>
          </cell>
          <cell r="T582" t="str">
            <v/>
          </cell>
          <cell r="U582" t="str">
            <v/>
          </cell>
          <cell r="V582" t="str">
            <v>2019-02-14</v>
          </cell>
          <cell r="W582" t="str">
            <v>2019-02-14 12:27:45</v>
          </cell>
          <cell r="X582" t="str">
            <v>더바른푸드</v>
          </cell>
        </row>
        <row r="583">
          <cell r="A583">
            <v>579</v>
          </cell>
          <cell r="B583" t="str">
            <v>2019-02-18</v>
          </cell>
          <cell r="C583" t="str">
            <v>더바른푸드</v>
          </cell>
          <cell r="D583" t="str">
            <v>더바른푸드</v>
          </cell>
          <cell r="E583" t="str">
            <v>일반</v>
          </cell>
          <cell r="F583" t="str">
            <v>입고완료</v>
          </cell>
          <cell r="G583">
            <v>205745</v>
          </cell>
          <cell r="H583" t="str">
            <v>총알새송이버섯(실속 2Kg/BOX)</v>
          </cell>
          <cell r="I583" t="str">
            <v>BOX</v>
          </cell>
          <cell r="J583">
            <v>81</v>
          </cell>
          <cell r="K583">
            <v>81</v>
          </cell>
          <cell r="L583">
            <v>4910</v>
          </cell>
          <cell r="M583">
            <v>397710</v>
          </cell>
          <cell r="N583">
            <v>0</v>
          </cell>
          <cell r="O583">
            <v>397710</v>
          </cell>
          <cell r="P583">
            <v>0</v>
          </cell>
          <cell r="Q583" t="str">
            <v>한국</v>
          </cell>
          <cell r="R583" t="str">
            <v>냉장</v>
          </cell>
          <cell r="S583" t="str">
            <v>BOX(1)</v>
          </cell>
          <cell r="T583" t="str">
            <v/>
          </cell>
          <cell r="U583" t="str">
            <v/>
          </cell>
          <cell r="V583" t="str">
            <v>2019-02-14</v>
          </cell>
          <cell r="W583" t="str">
            <v>2019-02-14 15:00:11</v>
          </cell>
          <cell r="X583" t="str">
            <v>더바른푸드</v>
          </cell>
        </row>
        <row r="584">
          <cell r="A584">
            <v>580</v>
          </cell>
          <cell r="B584" t="str">
            <v>2019-02-18</v>
          </cell>
          <cell r="C584" t="str">
            <v>더바른푸드</v>
          </cell>
          <cell r="D584" t="str">
            <v>더바른푸드</v>
          </cell>
          <cell r="E584" t="str">
            <v>일반</v>
          </cell>
          <cell r="F584" t="str">
            <v>입고완료</v>
          </cell>
          <cell r="G584">
            <v>177623</v>
          </cell>
          <cell r="H584" t="str">
            <v>이츠웰 꽁치캔(1.88Kg/EA)</v>
          </cell>
          <cell r="I584" t="str">
            <v>EA</v>
          </cell>
          <cell r="J584">
            <v>2</v>
          </cell>
          <cell r="K584">
            <v>2</v>
          </cell>
          <cell r="L584">
            <v>8820</v>
          </cell>
          <cell r="M584">
            <v>17640</v>
          </cell>
          <cell r="N584">
            <v>1764</v>
          </cell>
          <cell r="O584">
            <v>19404</v>
          </cell>
          <cell r="P584">
            <v>0</v>
          </cell>
          <cell r="Q584" t="str">
            <v/>
          </cell>
          <cell r="R584" t="str">
            <v>실온</v>
          </cell>
          <cell r="S584" t="str">
            <v>EA(6)</v>
          </cell>
          <cell r="T584" t="str">
            <v/>
          </cell>
          <cell r="U584" t="str">
            <v/>
          </cell>
          <cell r="V584" t="str">
            <v>2019-02-14</v>
          </cell>
          <cell r="W584" t="str">
            <v>2019-02-14 15:08:17</v>
          </cell>
          <cell r="X584" t="str">
            <v>더바른푸드</v>
          </cell>
        </row>
        <row r="585">
          <cell r="A585">
            <v>581</v>
          </cell>
          <cell r="B585" t="str">
            <v>2019-02-18</v>
          </cell>
          <cell r="C585" t="str">
            <v>더바른푸드</v>
          </cell>
          <cell r="D585" t="str">
            <v>더바른푸드</v>
          </cell>
          <cell r="E585" t="str">
            <v>일반</v>
          </cell>
          <cell r="F585" t="str">
            <v>입고완료</v>
          </cell>
          <cell r="G585">
            <v>201605</v>
          </cell>
          <cell r="H585" t="str">
            <v>마늘쫑(상품 KG)</v>
          </cell>
          <cell r="I585" t="str">
            <v>KG</v>
          </cell>
          <cell r="J585">
            <v>4</v>
          </cell>
          <cell r="K585">
            <v>4</v>
          </cell>
          <cell r="L585">
            <v>4490</v>
          </cell>
          <cell r="M585">
            <v>17960</v>
          </cell>
          <cell r="N585">
            <v>0</v>
          </cell>
          <cell r="O585">
            <v>17960</v>
          </cell>
          <cell r="P585">
            <v>0</v>
          </cell>
          <cell r="Q585" t="str">
            <v>중국</v>
          </cell>
          <cell r="R585" t="str">
            <v>냉장</v>
          </cell>
          <cell r="S585" t="str">
            <v>KG(1)</v>
          </cell>
          <cell r="T585" t="str">
            <v/>
          </cell>
          <cell r="U585" t="str">
            <v/>
          </cell>
          <cell r="V585" t="str">
            <v>2019-02-14</v>
          </cell>
          <cell r="W585" t="str">
            <v>2019-02-14 15:10:52</v>
          </cell>
          <cell r="X585" t="str">
            <v>더바른푸드</v>
          </cell>
        </row>
        <row r="586">
          <cell r="A586">
            <v>582</v>
          </cell>
          <cell r="B586" t="str">
            <v>2019-02-18</v>
          </cell>
          <cell r="C586" t="str">
            <v>더바른푸드</v>
          </cell>
          <cell r="D586" t="str">
            <v>더바른푸드</v>
          </cell>
          <cell r="E586" t="str">
            <v>일반</v>
          </cell>
          <cell r="F586" t="str">
            <v>입고완료</v>
          </cell>
          <cell r="G586">
            <v>159357</v>
          </cell>
          <cell r="H586" t="str">
            <v>이츠웰 칼집쏙쏙비엔나소시지(1Kg/EA)</v>
          </cell>
          <cell r="I586" t="str">
            <v>EA</v>
          </cell>
          <cell r="J586">
            <v>71</v>
          </cell>
          <cell r="K586">
            <v>71</v>
          </cell>
          <cell r="L586">
            <v>5690</v>
          </cell>
          <cell r="M586">
            <v>403990</v>
          </cell>
          <cell r="N586">
            <v>40399</v>
          </cell>
          <cell r="O586">
            <v>444389</v>
          </cell>
          <cell r="P586">
            <v>0</v>
          </cell>
          <cell r="Q586" t="str">
            <v/>
          </cell>
          <cell r="R586" t="str">
            <v>냉장</v>
          </cell>
          <cell r="S586" t="str">
            <v>EA(10)</v>
          </cell>
          <cell r="T586" t="str">
            <v/>
          </cell>
          <cell r="U586" t="str">
            <v/>
          </cell>
          <cell r="V586" t="str">
            <v>2019-02-14</v>
          </cell>
          <cell r="W586" t="str">
            <v>2019-02-14 15:40:51</v>
          </cell>
          <cell r="X586" t="str">
            <v>더바른푸드</v>
          </cell>
        </row>
        <row r="587">
          <cell r="A587">
            <v>583</v>
          </cell>
          <cell r="B587" t="str">
            <v>2019-02-18</v>
          </cell>
          <cell r="C587" t="str">
            <v>더바른푸드</v>
          </cell>
          <cell r="D587" t="str">
            <v>더바른푸드</v>
          </cell>
          <cell r="E587" t="str">
            <v>일반</v>
          </cell>
          <cell r="F587" t="str">
            <v>입고완료</v>
          </cell>
          <cell r="G587">
            <v>312342</v>
          </cell>
          <cell r="H587" t="str">
            <v>냉동굴(깐것_수율90% 1Kg/EA)</v>
          </cell>
          <cell r="I587" t="str">
            <v>EA</v>
          </cell>
          <cell r="J587">
            <v>30</v>
          </cell>
          <cell r="K587">
            <v>30</v>
          </cell>
          <cell r="L587">
            <v>11120</v>
          </cell>
          <cell r="M587">
            <v>333600</v>
          </cell>
          <cell r="N587">
            <v>0</v>
          </cell>
          <cell r="O587">
            <v>333600</v>
          </cell>
          <cell r="P587">
            <v>0</v>
          </cell>
          <cell r="Q587" t="str">
            <v>한국</v>
          </cell>
          <cell r="R587" t="str">
            <v>냉동</v>
          </cell>
          <cell r="S587" t="str">
            <v>EA(10)</v>
          </cell>
          <cell r="T587" t="str">
            <v/>
          </cell>
          <cell r="U587" t="str">
            <v/>
          </cell>
          <cell r="V587" t="str">
            <v>2019-02-14</v>
          </cell>
          <cell r="W587" t="str">
            <v>2019-02-14 15:57:04</v>
          </cell>
          <cell r="X587" t="str">
            <v>더바른푸드</v>
          </cell>
        </row>
        <row r="588">
          <cell r="A588">
            <v>584</v>
          </cell>
          <cell r="B588" t="str">
            <v>2019-02-18</v>
          </cell>
          <cell r="C588" t="str">
            <v>더바른푸드</v>
          </cell>
          <cell r="D588" t="str">
            <v>더바른푸드</v>
          </cell>
          <cell r="E588" t="str">
            <v>일반</v>
          </cell>
          <cell r="F588" t="str">
            <v>입고완료</v>
          </cell>
          <cell r="G588">
            <v>168384</v>
          </cell>
          <cell r="H588" t="str">
            <v>사조대림 사각어묵(알뜰 1Kg/EA)</v>
          </cell>
          <cell r="I588" t="str">
            <v>EA</v>
          </cell>
          <cell r="J588">
            <v>7</v>
          </cell>
          <cell r="K588">
            <v>7</v>
          </cell>
          <cell r="L588">
            <v>2220</v>
          </cell>
          <cell r="M588">
            <v>15540</v>
          </cell>
          <cell r="N588">
            <v>1554</v>
          </cell>
          <cell r="O588">
            <v>17094</v>
          </cell>
          <cell r="P588">
            <v>0</v>
          </cell>
          <cell r="Q588" t="str">
            <v/>
          </cell>
          <cell r="R588" t="str">
            <v>냉장</v>
          </cell>
          <cell r="S588" t="str">
            <v>EA(1)</v>
          </cell>
          <cell r="T588" t="str">
            <v/>
          </cell>
          <cell r="U588" t="str">
            <v/>
          </cell>
          <cell r="V588" t="str">
            <v>2019-02-15</v>
          </cell>
          <cell r="W588" t="str">
            <v>2019-02-15 12:50:00</v>
          </cell>
          <cell r="X588" t="str">
            <v>더바른푸드</v>
          </cell>
        </row>
        <row r="589">
          <cell r="A589">
            <v>585</v>
          </cell>
          <cell r="B589" t="str">
            <v>2019-02-18</v>
          </cell>
          <cell r="C589" t="str">
            <v>더바른푸드</v>
          </cell>
          <cell r="D589" t="str">
            <v>더바른푸드</v>
          </cell>
          <cell r="E589" t="str">
            <v>일반</v>
          </cell>
          <cell r="F589" t="str">
            <v>입고완료</v>
          </cell>
          <cell r="G589">
            <v>266412</v>
          </cell>
          <cell r="H589" t="str">
            <v>한미식품 유부(슬라이스 1Kg/EA)</v>
          </cell>
          <cell r="I589" t="str">
            <v>EA</v>
          </cell>
          <cell r="J589">
            <v>1</v>
          </cell>
          <cell r="K589">
            <v>1</v>
          </cell>
          <cell r="L589">
            <v>6550</v>
          </cell>
          <cell r="M589">
            <v>6550</v>
          </cell>
          <cell r="N589">
            <v>655</v>
          </cell>
          <cell r="O589">
            <v>7205</v>
          </cell>
          <cell r="P589">
            <v>0</v>
          </cell>
          <cell r="Q589" t="str">
            <v>외국산</v>
          </cell>
          <cell r="R589" t="str">
            <v>냉동</v>
          </cell>
          <cell r="S589" t="str">
            <v>EA(4)</v>
          </cell>
          <cell r="T589" t="str">
            <v/>
          </cell>
          <cell r="U589" t="str">
            <v/>
          </cell>
          <cell r="V589" t="str">
            <v>2019-02-15</v>
          </cell>
          <cell r="W589" t="str">
            <v>2019-02-15 12:52:10</v>
          </cell>
          <cell r="X589" t="str">
            <v>더바른푸드</v>
          </cell>
        </row>
        <row r="590">
          <cell r="A590">
            <v>586</v>
          </cell>
          <cell r="B590" t="str">
            <v>2019-02-18</v>
          </cell>
          <cell r="C590" t="str">
            <v>더바른푸드</v>
          </cell>
          <cell r="D590" t="str">
            <v>더바른푸드</v>
          </cell>
          <cell r="E590" t="str">
            <v>일반</v>
          </cell>
          <cell r="F590" t="str">
            <v>입고완료</v>
          </cell>
          <cell r="G590">
            <v>137737</v>
          </cell>
          <cell r="H590" t="str">
            <v>이츠웰 손만두(실속 28g*50입 1.4Kg/EA)</v>
          </cell>
          <cell r="I590" t="str">
            <v>EA</v>
          </cell>
          <cell r="J590">
            <v>2</v>
          </cell>
          <cell r="K590">
            <v>2</v>
          </cell>
          <cell r="L590">
            <v>4790</v>
          </cell>
          <cell r="M590">
            <v>9580</v>
          </cell>
          <cell r="N590">
            <v>958</v>
          </cell>
          <cell r="O590">
            <v>10538</v>
          </cell>
          <cell r="P590">
            <v>0</v>
          </cell>
          <cell r="Q590" t="str">
            <v/>
          </cell>
          <cell r="R590" t="str">
            <v>냉동</v>
          </cell>
          <cell r="S590" t="str">
            <v>EA(6)</v>
          </cell>
          <cell r="T590" t="str">
            <v/>
          </cell>
          <cell r="U590" t="str">
            <v/>
          </cell>
          <cell r="V590" t="str">
            <v>2019-02-15</v>
          </cell>
          <cell r="W590" t="str">
            <v>2019-02-15 12:54:01</v>
          </cell>
          <cell r="X590" t="str">
            <v>더바른푸드</v>
          </cell>
        </row>
        <row r="591">
          <cell r="A591">
            <v>587</v>
          </cell>
          <cell r="B591" t="str">
            <v>2019-02-18</v>
          </cell>
          <cell r="C591" t="str">
            <v>더바른푸드</v>
          </cell>
          <cell r="D591" t="str">
            <v>더바른푸드</v>
          </cell>
          <cell r="E591" t="str">
            <v>일반</v>
          </cell>
          <cell r="F591" t="str">
            <v>입고완료</v>
          </cell>
          <cell r="G591">
            <v>236048</v>
          </cell>
          <cell r="H591" t="str">
            <v>종가집 묵은지(10Kg/BOX)</v>
          </cell>
          <cell r="I591" t="str">
            <v>BOX</v>
          </cell>
          <cell r="J591">
            <v>2</v>
          </cell>
          <cell r="K591">
            <v>2</v>
          </cell>
          <cell r="L591">
            <v>32520</v>
          </cell>
          <cell r="M591">
            <v>65040</v>
          </cell>
          <cell r="N591">
            <v>0</v>
          </cell>
          <cell r="O591">
            <v>65040</v>
          </cell>
          <cell r="P591">
            <v>0</v>
          </cell>
          <cell r="Q591" t="str">
            <v>한국</v>
          </cell>
          <cell r="R591" t="str">
            <v>냉장</v>
          </cell>
          <cell r="S591" t="str">
            <v>BOX(1)</v>
          </cell>
          <cell r="T591" t="str">
            <v/>
          </cell>
          <cell r="U591" t="str">
            <v/>
          </cell>
          <cell r="V591" t="str">
            <v>2019-02-15</v>
          </cell>
          <cell r="W591" t="str">
            <v>2019-02-15 13:16:11</v>
          </cell>
          <cell r="X591" t="str">
            <v>더바른푸드</v>
          </cell>
        </row>
        <row r="592">
          <cell r="A592">
            <v>588</v>
          </cell>
          <cell r="B592" t="str">
            <v>2019-02-18</v>
          </cell>
          <cell r="C592" t="str">
            <v>더바른푸드</v>
          </cell>
          <cell r="D592" t="str">
            <v>더바른푸드</v>
          </cell>
          <cell r="E592" t="str">
            <v>일반</v>
          </cell>
          <cell r="F592" t="str">
            <v>입고완료</v>
          </cell>
          <cell r="G592">
            <v>146442</v>
          </cell>
          <cell r="H592" t="str">
            <v>삼양식품 국간장(14L 14Kg/EA)</v>
          </cell>
          <cell r="I592" t="str">
            <v>EA</v>
          </cell>
          <cell r="J592">
            <v>1</v>
          </cell>
          <cell r="K592">
            <v>1</v>
          </cell>
          <cell r="L592">
            <v>11010</v>
          </cell>
          <cell r="M592">
            <v>11010</v>
          </cell>
          <cell r="N592">
            <v>1101</v>
          </cell>
          <cell r="O592">
            <v>12111</v>
          </cell>
          <cell r="P592">
            <v>0</v>
          </cell>
          <cell r="Q592" t="str">
            <v/>
          </cell>
          <cell r="R592" t="str">
            <v>실온</v>
          </cell>
          <cell r="S592" t="str">
            <v>EA(1)</v>
          </cell>
          <cell r="T592" t="str">
            <v/>
          </cell>
          <cell r="U592" t="str">
            <v/>
          </cell>
          <cell r="V592" t="str">
            <v>2019-02-15</v>
          </cell>
          <cell r="W592" t="str">
            <v>2019-02-15 13:16:12</v>
          </cell>
          <cell r="X592" t="str">
            <v>더바른푸드</v>
          </cell>
        </row>
        <row r="593">
          <cell r="A593">
            <v>589</v>
          </cell>
          <cell r="B593" t="str">
            <v>2019-02-18</v>
          </cell>
          <cell r="C593" t="str">
            <v>더바른푸드</v>
          </cell>
          <cell r="D593" t="str">
            <v>더바른푸드</v>
          </cell>
          <cell r="E593" t="str">
            <v>일반</v>
          </cell>
          <cell r="F593" t="str">
            <v>입고완료</v>
          </cell>
          <cell r="G593">
            <v>135245</v>
          </cell>
          <cell r="H593" t="str">
            <v>염전하늘 천일염(탈수 10Kg/EA)</v>
          </cell>
          <cell r="I593" t="str">
            <v>EA</v>
          </cell>
          <cell r="J593">
            <v>1</v>
          </cell>
          <cell r="K593">
            <v>1</v>
          </cell>
          <cell r="L593">
            <v>9240</v>
          </cell>
          <cell r="M593">
            <v>9240</v>
          </cell>
          <cell r="N593">
            <v>0</v>
          </cell>
          <cell r="O593">
            <v>9240</v>
          </cell>
          <cell r="P593">
            <v>0</v>
          </cell>
          <cell r="Q593" t="str">
            <v/>
          </cell>
          <cell r="R593" t="str">
            <v>실온</v>
          </cell>
          <cell r="S593" t="str">
            <v>EA(10)</v>
          </cell>
          <cell r="T593" t="str">
            <v/>
          </cell>
          <cell r="U593" t="str">
            <v/>
          </cell>
          <cell r="V593" t="str">
            <v>2019-02-15</v>
          </cell>
          <cell r="W593" t="str">
            <v>2019-02-15 13:16:12</v>
          </cell>
          <cell r="X593" t="str">
            <v>더바른푸드</v>
          </cell>
        </row>
        <row r="594">
          <cell r="A594">
            <v>590</v>
          </cell>
          <cell r="B594" t="str">
            <v>2019-02-18</v>
          </cell>
          <cell r="C594" t="str">
            <v>더바른푸드</v>
          </cell>
          <cell r="D594" t="str">
            <v>더바른푸드</v>
          </cell>
          <cell r="E594" t="str">
            <v>일반</v>
          </cell>
          <cell r="F594" t="str">
            <v>입고완료</v>
          </cell>
          <cell r="G594">
            <v>198029</v>
          </cell>
          <cell r="H594" t="str">
            <v>농촌 맛김치(일배용 10Kg/BOX)</v>
          </cell>
          <cell r="I594" t="str">
            <v>BOX</v>
          </cell>
          <cell r="J594">
            <v>2</v>
          </cell>
          <cell r="K594">
            <v>2</v>
          </cell>
          <cell r="L594">
            <v>10510</v>
          </cell>
          <cell r="M594">
            <v>21020</v>
          </cell>
          <cell r="N594">
            <v>0</v>
          </cell>
          <cell r="O594">
            <v>21020</v>
          </cell>
          <cell r="P594">
            <v>0</v>
          </cell>
          <cell r="Q594" t="str">
            <v>중국</v>
          </cell>
          <cell r="R594" t="str">
            <v>냉장</v>
          </cell>
          <cell r="S594" t="str">
            <v>BOX(1)</v>
          </cell>
          <cell r="T594" t="str">
            <v/>
          </cell>
          <cell r="U594" t="str">
            <v/>
          </cell>
          <cell r="V594" t="str">
            <v>2019-02-15</v>
          </cell>
          <cell r="W594" t="str">
            <v>2019-02-15 15:26:12</v>
          </cell>
          <cell r="X594" t="str">
            <v>더바른푸드</v>
          </cell>
        </row>
        <row r="595">
          <cell r="A595">
            <v>591</v>
          </cell>
          <cell r="B595" t="str">
            <v>2019-02-18</v>
          </cell>
          <cell r="C595" t="str">
            <v>더바른푸드</v>
          </cell>
          <cell r="D595" t="str">
            <v>더바른푸드</v>
          </cell>
          <cell r="E595" t="str">
            <v>일반</v>
          </cell>
          <cell r="F595" t="str">
            <v>입고완료</v>
          </cell>
          <cell r="G595">
            <v>107250</v>
          </cell>
          <cell r="H595" t="str">
            <v>이금기 굴소스(팬더 2.268Kg/EA)</v>
          </cell>
          <cell r="I595" t="str">
            <v>EA</v>
          </cell>
          <cell r="J595">
            <v>6</v>
          </cell>
          <cell r="K595">
            <v>6</v>
          </cell>
          <cell r="L595">
            <v>8030</v>
          </cell>
          <cell r="M595">
            <v>48180</v>
          </cell>
          <cell r="N595">
            <v>4818</v>
          </cell>
          <cell r="O595">
            <v>52998</v>
          </cell>
          <cell r="P595">
            <v>0</v>
          </cell>
          <cell r="Q595" t="str">
            <v>홍콩</v>
          </cell>
          <cell r="R595" t="str">
            <v>실온</v>
          </cell>
          <cell r="S595" t="str">
            <v>EA(6)</v>
          </cell>
          <cell r="T595" t="str">
            <v/>
          </cell>
          <cell r="U595" t="str">
            <v/>
          </cell>
          <cell r="V595" t="str">
            <v>2019-02-15</v>
          </cell>
          <cell r="W595" t="str">
            <v>2019-02-15 15:28:28</v>
          </cell>
          <cell r="X595" t="str">
            <v>더바른푸드</v>
          </cell>
        </row>
        <row r="596">
          <cell r="A596">
            <v>592</v>
          </cell>
          <cell r="B596" t="str">
            <v>2019-02-18</v>
          </cell>
          <cell r="C596" t="str">
            <v>더바른푸드</v>
          </cell>
          <cell r="D596" t="str">
            <v>더바른푸드</v>
          </cell>
          <cell r="E596" t="str">
            <v>일반</v>
          </cell>
          <cell r="F596" t="str">
            <v>입고완료</v>
          </cell>
          <cell r="G596">
            <v>263884</v>
          </cell>
          <cell r="H596" t="str">
            <v>렌틸콩(일반 1Kg/EA)</v>
          </cell>
          <cell r="I596" t="str">
            <v>EA</v>
          </cell>
          <cell r="J596">
            <v>10</v>
          </cell>
          <cell r="K596">
            <v>10</v>
          </cell>
          <cell r="L596">
            <v>2530</v>
          </cell>
          <cell r="M596">
            <v>25300</v>
          </cell>
          <cell r="N596">
            <v>0</v>
          </cell>
          <cell r="O596">
            <v>25300</v>
          </cell>
          <cell r="P596">
            <v>0</v>
          </cell>
          <cell r="Q596" t="str">
            <v>캐나다</v>
          </cell>
          <cell r="R596" t="str">
            <v>실온</v>
          </cell>
          <cell r="S596" t="str">
            <v>EA(1)</v>
          </cell>
          <cell r="T596" t="str">
            <v/>
          </cell>
          <cell r="U596" t="str">
            <v/>
          </cell>
          <cell r="V596" t="str">
            <v>2019-02-15</v>
          </cell>
          <cell r="W596" t="str">
            <v>2019-02-15 15:29:09</v>
          </cell>
          <cell r="X596" t="str">
            <v>더바른푸드</v>
          </cell>
        </row>
        <row r="597">
          <cell r="A597">
            <v>593</v>
          </cell>
          <cell r="B597" t="str">
            <v>2019-02-18</v>
          </cell>
          <cell r="C597" t="str">
            <v>더바른푸드</v>
          </cell>
          <cell r="D597" t="str">
            <v>더바른푸드</v>
          </cell>
          <cell r="E597" t="str">
            <v>일반</v>
          </cell>
          <cell r="F597" t="str">
            <v>입고완료</v>
          </cell>
          <cell r="G597">
            <v>118007</v>
          </cell>
          <cell r="H597" t="str">
            <v>한성 새우젓(1Kg/EA)</v>
          </cell>
          <cell r="I597" t="str">
            <v>EA</v>
          </cell>
          <cell r="J597">
            <v>3</v>
          </cell>
          <cell r="K597">
            <v>3</v>
          </cell>
          <cell r="L597">
            <v>10250</v>
          </cell>
          <cell r="M597">
            <v>30750</v>
          </cell>
          <cell r="N597">
            <v>3075</v>
          </cell>
          <cell r="O597">
            <v>33825</v>
          </cell>
          <cell r="P597">
            <v>0</v>
          </cell>
          <cell r="Q597" t="str">
            <v>한국</v>
          </cell>
          <cell r="R597" t="str">
            <v>냉장</v>
          </cell>
          <cell r="S597" t="str">
            <v>EA(1)</v>
          </cell>
          <cell r="T597" t="str">
            <v/>
          </cell>
          <cell r="U597" t="str">
            <v/>
          </cell>
          <cell r="V597" t="str">
            <v>2019-02-15</v>
          </cell>
          <cell r="W597" t="str">
            <v>2019-02-15 15:30:38</v>
          </cell>
          <cell r="X597" t="str">
            <v>더바른푸드</v>
          </cell>
        </row>
        <row r="598">
          <cell r="A598">
            <v>594</v>
          </cell>
          <cell r="B598" t="str">
            <v>2019-02-15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</row>
        <row r="599">
          <cell r="A599">
            <v>595</v>
          </cell>
          <cell r="B599" t="str">
            <v>2019-02-15</v>
          </cell>
          <cell r="C599" t="str">
            <v>더바른푸드</v>
          </cell>
          <cell r="D599" t="str">
            <v>더바른푸드</v>
          </cell>
          <cell r="E599" t="str">
            <v>일반</v>
          </cell>
          <cell r="F599" t="str">
            <v>입고완료</v>
          </cell>
          <cell r="G599">
            <v>264369</v>
          </cell>
          <cell r="H599" t="str">
            <v>롯데제과증평 미니딸기샌드(65g/EA)</v>
          </cell>
          <cell r="I599" t="str">
            <v>EA</v>
          </cell>
          <cell r="J599">
            <v>18</v>
          </cell>
          <cell r="K599">
            <v>18</v>
          </cell>
          <cell r="L599">
            <v>560</v>
          </cell>
          <cell r="M599">
            <v>10080</v>
          </cell>
          <cell r="N599">
            <v>1008</v>
          </cell>
          <cell r="O599">
            <v>11088</v>
          </cell>
          <cell r="P599">
            <v>0</v>
          </cell>
          <cell r="Q599" t="str">
            <v/>
          </cell>
          <cell r="R599" t="str">
            <v>실온</v>
          </cell>
          <cell r="S599" t="str">
            <v>EA(1)</v>
          </cell>
          <cell r="T599" t="str">
            <v/>
          </cell>
          <cell r="U599" t="str">
            <v/>
          </cell>
          <cell r="V599" t="str">
            <v>2019-01-31</v>
          </cell>
          <cell r="W599" t="str">
            <v>2019-01-31 13:23:37</v>
          </cell>
          <cell r="X599" t="str">
            <v>더바른푸드</v>
          </cell>
        </row>
        <row r="600">
          <cell r="A600">
            <v>596</v>
          </cell>
          <cell r="B600" t="str">
            <v>2019-02-15</v>
          </cell>
          <cell r="C600" t="str">
            <v>더바른푸드</v>
          </cell>
          <cell r="D600" t="str">
            <v>더바른푸드</v>
          </cell>
          <cell r="E600" t="str">
            <v>일반</v>
          </cell>
          <cell r="F600" t="str">
            <v>입고완료</v>
          </cell>
          <cell r="G600">
            <v>271769</v>
          </cell>
          <cell r="H600" t="str">
            <v>삼립식품 꼬마호빵(야채_40g*6입_봉단위 240g/EA)</v>
          </cell>
          <cell r="I600" t="str">
            <v>EA</v>
          </cell>
          <cell r="J600">
            <v>35</v>
          </cell>
          <cell r="K600">
            <v>35</v>
          </cell>
          <cell r="L600">
            <v>2120</v>
          </cell>
          <cell r="M600">
            <v>74200</v>
          </cell>
          <cell r="N600">
            <v>7420</v>
          </cell>
          <cell r="O600">
            <v>81620</v>
          </cell>
          <cell r="P600">
            <v>0</v>
          </cell>
          <cell r="Q600" t="str">
            <v/>
          </cell>
          <cell r="R600" t="str">
            <v>냉동</v>
          </cell>
          <cell r="S600" t="str">
            <v>EA(16)</v>
          </cell>
          <cell r="T600" t="str">
            <v/>
          </cell>
          <cell r="U600" t="str">
            <v/>
          </cell>
          <cell r="V600" t="str">
            <v>2019-01-31</v>
          </cell>
          <cell r="W600" t="str">
            <v>2019-01-31 13:37:54</v>
          </cell>
          <cell r="X600" t="str">
            <v>더바른푸드</v>
          </cell>
        </row>
        <row r="601">
          <cell r="A601">
            <v>597</v>
          </cell>
          <cell r="B601" t="str">
            <v>2019-02-15</v>
          </cell>
          <cell r="C601" t="str">
            <v>더바른푸드</v>
          </cell>
          <cell r="D601" t="str">
            <v>더바른푸드</v>
          </cell>
          <cell r="E601" t="str">
            <v>일반</v>
          </cell>
          <cell r="F601" t="str">
            <v>입고완료</v>
          </cell>
          <cell r="G601">
            <v>136633</v>
          </cell>
          <cell r="H601" t="str">
            <v>이오 요구르트(80ml_유기농 80g/EA)</v>
          </cell>
          <cell r="I601" t="str">
            <v>EA</v>
          </cell>
          <cell r="J601">
            <v>40</v>
          </cell>
          <cell r="K601">
            <v>40</v>
          </cell>
          <cell r="L601">
            <v>300</v>
          </cell>
          <cell r="M601">
            <v>12000</v>
          </cell>
          <cell r="N601">
            <v>1200</v>
          </cell>
          <cell r="O601">
            <v>13200</v>
          </cell>
          <cell r="P601">
            <v>0</v>
          </cell>
          <cell r="Q601" t="str">
            <v>한국</v>
          </cell>
          <cell r="R601" t="str">
            <v>냉장</v>
          </cell>
          <cell r="S601" t="str">
            <v>EA(50)</v>
          </cell>
          <cell r="T601" t="str">
            <v/>
          </cell>
          <cell r="U601" t="str">
            <v>빨대부탁드립니다</v>
          </cell>
          <cell r="V601" t="str">
            <v>2019-01-31</v>
          </cell>
          <cell r="W601" t="str">
            <v>2019-01-31 13:47:54</v>
          </cell>
          <cell r="X601" t="str">
            <v>더바른푸드</v>
          </cell>
        </row>
        <row r="602">
          <cell r="A602">
            <v>598</v>
          </cell>
          <cell r="B602" t="str">
            <v>2019-02-15</v>
          </cell>
          <cell r="C602" t="str">
            <v>더바른푸드</v>
          </cell>
          <cell r="D602" t="str">
            <v>더바른푸드</v>
          </cell>
          <cell r="E602" t="str">
            <v>일반</v>
          </cell>
          <cell r="F602" t="str">
            <v>입고완료</v>
          </cell>
          <cell r="G602">
            <v>165129</v>
          </cell>
          <cell r="H602" t="str">
            <v>쉐프솔루션 비비고도톰동그랑땡(1Kg/EA)</v>
          </cell>
          <cell r="I602" t="str">
            <v>EA</v>
          </cell>
          <cell r="J602">
            <v>80</v>
          </cell>
          <cell r="K602">
            <v>80</v>
          </cell>
          <cell r="L602">
            <v>7100</v>
          </cell>
          <cell r="M602">
            <v>568000</v>
          </cell>
          <cell r="N602">
            <v>56800</v>
          </cell>
          <cell r="O602">
            <v>624800</v>
          </cell>
          <cell r="P602">
            <v>0</v>
          </cell>
          <cell r="Q602" t="str">
            <v/>
          </cell>
          <cell r="R602" t="str">
            <v>냉동</v>
          </cell>
          <cell r="S602" t="str">
            <v>EA(6)</v>
          </cell>
          <cell r="T602" t="str">
            <v/>
          </cell>
          <cell r="U602" t="str">
            <v/>
          </cell>
          <cell r="V602" t="str">
            <v>2019-02-12</v>
          </cell>
          <cell r="W602" t="str">
            <v>2019-02-12 13:51:36</v>
          </cell>
          <cell r="X602" t="str">
            <v>더바른푸드</v>
          </cell>
        </row>
        <row r="603">
          <cell r="A603">
            <v>599</v>
          </cell>
          <cell r="B603" t="str">
            <v>2019-02-15</v>
          </cell>
          <cell r="C603" t="str">
            <v>더바른푸드</v>
          </cell>
          <cell r="D603" t="str">
            <v>더바른푸드</v>
          </cell>
          <cell r="E603" t="str">
            <v>일반</v>
          </cell>
          <cell r="F603" t="str">
            <v>입고완료</v>
          </cell>
          <cell r="G603">
            <v>101925</v>
          </cell>
          <cell r="H603" t="str">
            <v>사조대림 조미유부(10g*60개입 600g/EA)</v>
          </cell>
          <cell r="I603" t="str">
            <v>EA</v>
          </cell>
          <cell r="J603">
            <v>3</v>
          </cell>
          <cell r="K603">
            <v>3</v>
          </cell>
          <cell r="L603">
            <v>4390</v>
          </cell>
          <cell r="M603">
            <v>13170</v>
          </cell>
          <cell r="N603">
            <v>1317</v>
          </cell>
          <cell r="O603">
            <v>14487</v>
          </cell>
          <cell r="P603">
            <v>0</v>
          </cell>
          <cell r="Q603" t="str">
            <v>외국산</v>
          </cell>
          <cell r="R603" t="str">
            <v>냉장</v>
          </cell>
          <cell r="S603" t="str">
            <v>EA(1)</v>
          </cell>
          <cell r="T603" t="str">
            <v/>
          </cell>
          <cell r="U603" t="str">
            <v/>
          </cell>
          <cell r="V603" t="str">
            <v>2019-02-12</v>
          </cell>
          <cell r="W603" t="str">
            <v>2019-02-12 14:13:16</v>
          </cell>
          <cell r="X603" t="str">
            <v>더바른푸드</v>
          </cell>
        </row>
        <row r="604">
          <cell r="A604">
            <v>600</v>
          </cell>
          <cell r="B604" t="str">
            <v>2019-02-15</v>
          </cell>
          <cell r="C604" t="str">
            <v>더바른푸드</v>
          </cell>
          <cell r="D604" t="str">
            <v>더바른푸드</v>
          </cell>
          <cell r="E604" t="str">
            <v>일반</v>
          </cell>
          <cell r="F604" t="str">
            <v>입고완료</v>
          </cell>
          <cell r="G604">
            <v>249240</v>
          </cell>
          <cell r="H604" t="str">
            <v>파스타빌라 스파게티(500g/EA)</v>
          </cell>
          <cell r="I604" t="str">
            <v>EA</v>
          </cell>
          <cell r="J604">
            <v>8</v>
          </cell>
          <cell r="K604">
            <v>8</v>
          </cell>
          <cell r="L604">
            <v>690</v>
          </cell>
          <cell r="M604">
            <v>5520</v>
          </cell>
          <cell r="N604">
            <v>552</v>
          </cell>
          <cell r="O604">
            <v>6072</v>
          </cell>
          <cell r="P604">
            <v>0</v>
          </cell>
          <cell r="Q604" t="str">
            <v>터키</v>
          </cell>
          <cell r="R604" t="str">
            <v>실온</v>
          </cell>
          <cell r="S604" t="str">
            <v>EA(20)</v>
          </cell>
          <cell r="T604" t="str">
            <v/>
          </cell>
          <cell r="U604" t="str">
            <v/>
          </cell>
          <cell r="V604" t="str">
            <v>2019-02-12</v>
          </cell>
          <cell r="W604" t="str">
            <v>2019-02-12 14:13:16</v>
          </cell>
          <cell r="X604" t="str">
            <v>더바른푸드</v>
          </cell>
        </row>
        <row r="605">
          <cell r="A605">
            <v>601</v>
          </cell>
          <cell r="B605" t="str">
            <v>2019-02-15</v>
          </cell>
          <cell r="C605" t="str">
            <v>더바른푸드</v>
          </cell>
          <cell r="D605" t="str">
            <v>더바른푸드</v>
          </cell>
          <cell r="E605" t="str">
            <v>일반</v>
          </cell>
          <cell r="F605" t="str">
            <v>입고완료</v>
          </cell>
          <cell r="G605">
            <v>173174</v>
          </cell>
          <cell r="H605" t="str">
            <v>이츠웰 치킨너겟(골든 55±3개입 1Kg/EA)</v>
          </cell>
          <cell r="I605" t="str">
            <v>EA</v>
          </cell>
          <cell r="J605">
            <v>3</v>
          </cell>
          <cell r="K605">
            <v>3</v>
          </cell>
          <cell r="L605">
            <v>4700</v>
          </cell>
          <cell r="M605">
            <v>14100</v>
          </cell>
          <cell r="N605">
            <v>1410</v>
          </cell>
          <cell r="O605">
            <v>15510</v>
          </cell>
          <cell r="P605">
            <v>0</v>
          </cell>
          <cell r="Q605" t="str">
            <v>한국</v>
          </cell>
          <cell r="R605" t="str">
            <v>냉동</v>
          </cell>
          <cell r="S605" t="str">
            <v>EA(10)</v>
          </cell>
          <cell r="T605" t="str">
            <v/>
          </cell>
          <cell r="U605" t="str">
            <v/>
          </cell>
          <cell r="V605" t="str">
            <v>2019-02-12</v>
          </cell>
          <cell r="W605" t="str">
            <v>2019-02-12 14:13:16</v>
          </cell>
          <cell r="X605" t="str">
            <v>더바른푸드</v>
          </cell>
        </row>
        <row r="606">
          <cell r="A606">
            <v>602</v>
          </cell>
          <cell r="B606" t="str">
            <v>2019-02-15</v>
          </cell>
          <cell r="C606" t="str">
            <v>더바른푸드</v>
          </cell>
          <cell r="D606" t="str">
            <v>더바른푸드</v>
          </cell>
          <cell r="E606" t="str">
            <v>일반</v>
          </cell>
          <cell r="F606" t="str">
            <v>입고완료</v>
          </cell>
          <cell r="G606">
            <v>143285</v>
          </cell>
          <cell r="H606" t="str">
            <v>이츠웰 오이피클(캔_슬라이스 3Kg/EA)</v>
          </cell>
          <cell r="I606" t="str">
            <v>EA</v>
          </cell>
          <cell r="J606">
            <v>1</v>
          </cell>
          <cell r="K606">
            <v>1</v>
          </cell>
          <cell r="L606">
            <v>4880</v>
          </cell>
          <cell r="M606">
            <v>4880</v>
          </cell>
          <cell r="N606">
            <v>488</v>
          </cell>
          <cell r="O606">
            <v>5368</v>
          </cell>
          <cell r="P606">
            <v>0</v>
          </cell>
          <cell r="Q606" t="str">
            <v/>
          </cell>
          <cell r="R606" t="str">
            <v>실온</v>
          </cell>
          <cell r="S606" t="str">
            <v>EA(6)</v>
          </cell>
          <cell r="T606" t="str">
            <v/>
          </cell>
          <cell r="U606" t="str">
            <v/>
          </cell>
          <cell r="V606" t="str">
            <v>2019-02-12</v>
          </cell>
          <cell r="W606" t="str">
            <v>2019-02-12 14:13:16</v>
          </cell>
          <cell r="X606" t="str">
            <v>더바른푸드</v>
          </cell>
        </row>
        <row r="607">
          <cell r="A607">
            <v>603</v>
          </cell>
          <cell r="B607" t="str">
            <v>2019-02-15</v>
          </cell>
          <cell r="C607" t="str">
            <v>더바른푸드</v>
          </cell>
          <cell r="D607" t="str">
            <v>더바른푸드</v>
          </cell>
          <cell r="E607" t="str">
            <v>일반</v>
          </cell>
          <cell r="F607" t="str">
            <v>입고완료</v>
          </cell>
          <cell r="G607">
            <v>206875</v>
          </cell>
          <cell r="H607" t="str">
            <v>바나나(1송이_13~15개입 1.5Kg/PAC)</v>
          </cell>
          <cell r="I607" t="str">
            <v>PAC</v>
          </cell>
          <cell r="J607">
            <v>3</v>
          </cell>
          <cell r="K607">
            <v>3</v>
          </cell>
          <cell r="L607">
            <v>3840</v>
          </cell>
          <cell r="M607">
            <v>11520</v>
          </cell>
          <cell r="N607">
            <v>0</v>
          </cell>
          <cell r="O607">
            <v>11520</v>
          </cell>
          <cell r="P607">
            <v>0</v>
          </cell>
          <cell r="Q607" t="str">
            <v>필리핀</v>
          </cell>
          <cell r="R607" t="str">
            <v>실온</v>
          </cell>
          <cell r="S607" t="str">
            <v>PAC(1)</v>
          </cell>
          <cell r="T607" t="str">
            <v/>
          </cell>
          <cell r="U607" t="str">
            <v/>
          </cell>
          <cell r="V607" t="str">
            <v>2019-02-12</v>
          </cell>
          <cell r="W607" t="str">
            <v>2019-02-12 14:13:16</v>
          </cell>
          <cell r="X607" t="str">
            <v>더바른푸드</v>
          </cell>
        </row>
        <row r="608">
          <cell r="A608">
            <v>604</v>
          </cell>
          <cell r="B608" t="str">
            <v>2019-02-15</v>
          </cell>
          <cell r="C608" t="str">
            <v>더바른푸드</v>
          </cell>
          <cell r="D608" t="str">
            <v>더바른푸드</v>
          </cell>
          <cell r="E608" t="str">
            <v>일반</v>
          </cell>
          <cell r="F608" t="str">
            <v>입고완료</v>
          </cell>
          <cell r="G608">
            <v>166334</v>
          </cell>
          <cell r="H608" t="str">
            <v>종로복떡방 흰꿀떡(멥쌀_20G*50입 1Kg/EA)</v>
          </cell>
          <cell r="I608" t="str">
            <v>EA</v>
          </cell>
          <cell r="J608">
            <v>3</v>
          </cell>
          <cell r="K608">
            <v>3</v>
          </cell>
          <cell r="L608">
            <v>6750</v>
          </cell>
          <cell r="M608">
            <v>20250</v>
          </cell>
          <cell r="N608">
            <v>2025</v>
          </cell>
          <cell r="O608">
            <v>22275</v>
          </cell>
          <cell r="P608">
            <v>0</v>
          </cell>
          <cell r="Q608" t="str">
            <v/>
          </cell>
          <cell r="R608" t="str">
            <v>냉동</v>
          </cell>
          <cell r="S608" t="str">
            <v>EA(1)</v>
          </cell>
          <cell r="T608" t="str">
            <v/>
          </cell>
          <cell r="U608" t="str">
            <v/>
          </cell>
          <cell r="V608" t="str">
            <v>2019-02-12</v>
          </cell>
          <cell r="W608" t="str">
            <v>2019-02-12 14:13:16</v>
          </cell>
          <cell r="X608" t="str">
            <v>더바른푸드</v>
          </cell>
        </row>
        <row r="609">
          <cell r="A609">
            <v>605</v>
          </cell>
          <cell r="B609" t="str">
            <v>2019-02-15</v>
          </cell>
          <cell r="C609" t="str">
            <v>더바른푸드</v>
          </cell>
          <cell r="D609" t="str">
            <v>더바른푸드</v>
          </cell>
          <cell r="E609" t="str">
            <v>일반</v>
          </cell>
          <cell r="F609" t="str">
            <v>입고완료</v>
          </cell>
          <cell r="G609">
            <v>204973</v>
          </cell>
          <cell r="H609" t="str">
            <v>냉동대파(1Kg/PAC)</v>
          </cell>
          <cell r="I609" t="str">
            <v>PAC</v>
          </cell>
          <cell r="J609">
            <v>30</v>
          </cell>
          <cell r="K609">
            <v>30</v>
          </cell>
          <cell r="L609">
            <v>1400</v>
          </cell>
          <cell r="M609">
            <v>42000</v>
          </cell>
          <cell r="N609">
            <v>0</v>
          </cell>
          <cell r="O609">
            <v>42000</v>
          </cell>
          <cell r="P609">
            <v>0</v>
          </cell>
          <cell r="Q609" t="str">
            <v>중국</v>
          </cell>
          <cell r="R609" t="str">
            <v>냉동</v>
          </cell>
          <cell r="S609" t="str">
            <v>PAC(1)</v>
          </cell>
          <cell r="T609" t="str">
            <v/>
          </cell>
          <cell r="U609" t="str">
            <v/>
          </cell>
          <cell r="V609" t="str">
            <v>2019-02-13</v>
          </cell>
          <cell r="W609" t="str">
            <v>2019-02-13 11:20:35</v>
          </cell>
          <cell r="X609" t="str">
            <v>더바른푸드</v>
          </cell>
        </row>
        <row r="610">
          <cell r="A610">
            <v>606</v>
          </cell>
          <cell r="B610" t="str">
            <v>2019-02-15</v>
          </cell>
          <cell r="C610" t="str">
            <v>더바른푸드</v>
          </cell>
          <cell r="D610" t="str">
            <v>더바른푸드</v>
          </cell>
          <cell r="E610" t="str">
            <v>일반</v>
          </cell>
          <cell r="F610" t="str">
            <v>입고완료</v>
          </cell>
          <cell r="G610">
            <v>247931</v>
          </cell>
          <cell r="H610" t="str">
            <v>마당발 냉동다진마늘(1Kg/EA)</v>
          </cell>
          <cell r="I610" t="str">
            <v>EA</v>
          </cell>
          <cell r="J610">
            <v>20</v>
          </cell>
          <cell r="K610">
            <v>20</v>
          </cell>
          <cell r="L610">
            <v>2710</v>
          </cell>
          <cell r="M610">
            <v>54200</v>
          </cell>
          <cell r="N610">
            <v>0</v>
          </cell>
          <cell r="O610">
            <v>54200</v>
          </cell>
          <cell r="P610">
            <v>0</v>
          </cell>
          <cell r="Q610" t="str">
            <v>중국</v>
          </cell>
          <cell r="R610" t="str">
            <v>냉동</v>
          </cell>
          <cell r="S610" t="str">
            <v>EA(10)</v>
          </cell>
          <cell r="T610" t="str">
            <v/>
          </cell>
          <cell r="U610" t="str">
            <v/>
          </cell>
          <cell r="V610" t="str">
            <v>2019-02-13</v>
          </cell>
          <cell r="W610" t="str">
            <v>2019-02-13 11:20:35</v>
          </cell>
          <cell r="X610" t="str">
            <v>더바른푸드</v>
          </cell>
        </row>
        <row r="611">
          <cell r="A611">
            <v>607</v>
          </cell>
          <cell r="B611" t="str">
            <v>2019-02-15</v>
          </cell>
          <cell r="C611" t="str">
            <v>더바른푸드</v>
          </cell>
          <cell r="D611" t="str">
            <v>더바른푸드</v>
          </cell>
          <cell r="E611" t="str">
            <v>일반</v>
          </cell>
          <cell r="F611" t="str">
            <v>입고완료</v>
          </cell>
          <cell r="G611">
            <v>159994</v>
          </cell>
          <cell r="H611" t="str">
            <v>반찬단지 콩자반(NEW 1Kg/EA)</v>
          </cell>
          <cell r="I611" t="str">
            <v>EA</v>
          </cell>
          <cell r="J611">
            <v>31</v>
          </cell>
          <cell r="K611">
            <v>31</v>
          </cell>
          <cell r="L611">
            <v>3360</v>
          </cell>
          <cell r="M611">
            <v>104160</v>
          </cell>
          <cell r="N611">
            <v>10416</v>
          </cell>
          <cell r="O611">
            <v>114576</v>
          </cell>
          <cell r="P611">
            <v>0</v>
          </cell>
          <cell r="Q611" t="str">
            <v>중국</v>
          </cell>
          <cell r="R611" t="str">
            <v>냉장</v>
          </cell>
          <cell r="S611" t="str">
            <v>EA(10)</v>
          </cell>
          <cell r="T611" t="str">
            <v/>
          </cell>
          <cell r="U611" t="str">
            <v/>
          </cell>
          <cell r="V611" t="str">
            <v>2019-02-13</v>
          </cell>
          <cell r="W611" t="str">
            <v>2019-02-13 14:36:43</v>
          </cell>
          <cell r="X611" t="str">
            <v>더바른푸드</v>
          </cell>
        </row>
        <row r="612">
          <cell r="A612">
            <v>608</v>
          </cell>
          <cell r="B612" t="str">
            <v>2019-02-15</v>
          </cell>
          <cell r="C612" t="str">
            <v>더바른푸드</v>
          </cell>
          <cell r="D612" t="str">
            <v>더바른푸드</v>
          </cell>
          <cell r="E612" t="str">
            <v>일반</v>
          </cell>
          <cell r="F612" t="str">
            <v>입고완료</v>
          </cell>
          <cell r="G612">
            <v>312522</v>
          </cell>
          <cell r="H612" t="str">
            <v>뱅어포(10장 120g/EA)</v>
          </cell>
          <cell r="I612" t="str">
            <v>EA</v>
          </cell>
          <cell r="J612">
            <v>11</v>
          </cell>
          <cell r="K612">
            <v>11</v>
          </cell>
          <cell r="L612">
            <v>6540</v>
          </cell>
          <cell r="M612">
            <v>71940</v>
          </cell>
          <cell r="N612">
            <v>0</v>
          </cell>
          <cell r="O612">
            <v>71940</v>
          </cell>
          <cell r="P612">
            <v>0</v>
          </cell>
          <cell r="Q612" t="str">
            <v>한국</v>
          </cell>
          <cell r="R612" t="str">
            <v>실온</v>
          </cell>
          <cell r="S612" t="str">
            <v>EA(1)</v>
          </cell>
          <cell r="T612" t="str">
            <v/>
          </cell>
          <cell r="U612" t="str">
            <v/>
          </cell>
          <cell r="V612" t="str">
            <v>2019-02-13</v>
          </cell>
          <cell r="W612" t="str">
            <v>2019-02-13 15:08:34</v>
          </cell>
          <cell r="X612" t="str">
            <v>더바른푸드</v>
          </cell>
        </row>
        <row r="613">
          <cell r="A613">
            <v>609</v>
          </cell>
          <cell r="B613" t="str">
            <v>2019-02-15</v>
          </cell>
          <cell r="C613" t="str">
            <v>더바른푸드</v>
          </cell>
          <cell r="D613" t="str">
            <v>더바른푸드</v>
          </cell>
          <cell r="E613" t="str">
            <v>일반</v>
          </cell>
          <cell r="F613" t="str">
            <v>입고완료</v>
          </cell>
          <cell r="G613">
            <v>143426</v>
          </cell>
          <cell r="H613" t="str">
            <v>이츠웰 연두부(80g/EA)</v>
          </cell>
          <cell r="I613" t="str">
            <v>EA</v>
          </cell>
          <cell r="J613">
            <v>460</v>
          </cell>
          <cell r="K613">
            <v>460</v>
          </cell>
          <cell r="L613">
            <v>180</v>
          </cell>
          <cell r="M613">
            <v>82800</v>
          </cell>
          <cell r="N613">
            <v>0</v>
          </cell>
          <cell r="O613">
            <v>82800</v>
          </cell>
          <cell r="P613">
            <v>0</v>
          </cell>
          <cell r="Q613" t="str">
            <v>외국산</v>
          </cell>
          <cell r="R613" t="str">
            <v>냉장</v>
          </cell>
          <cell r="S613" t="str">
            <v>EA(1)</v>
          </cell>
          <cell r="T613" t="str">
            <v/>
          </cell>
          <cell r="U613" t="str">
            <v/>
          </cell>
          <cell r="V613" t="str">
            <v>2019-02-13</v>
          </cell>
          <cell r="W613" t="str">
            <v>2019-02-13 15:16:02</v>
          </cell>
          <cell r="X613" t="str">
            <v>더바른푸드</v>
          </cell>
        </row>
        <row r="614">
          <cell r="A614">
            <v>610</v>
          </cell>
          <cell r="B614" t="str">
            <v>2019-02-15</v>
          </cell>
          <cell r="C614" t="str">
            <v>더바른푸드</v>
          </cell>
          <cell r="D614" t="str">
            <v>더바른푸드</v>
          </cell>
          <cell r="E614" t="str">
            <v>일반</v>
          </cell>
          <cell r="F614" t="str">
            <v>입고완료</v>
          </cell>
          <cell r="G614">
            <v>126873</v>
          </cell>
          <cell r="H614" t="str">
            <v>해찬들 사계절쌈장(6.5Kg/EA)</v>
          </cell>
          <cell r="I614" t="str">
            <v>EA</v>
          </cell>
          <cell r="J614">
            <v>1</v>
          </cell>
          <cell r="K614">
            <v>1</v>
          </cell>
          <cell r="L614">
            <v>13130</v>
          </cell>
          <cell r="M614">
            <v>13130</v>
          </cell>
          <cell r="N614">
            <v>1313</v>
          </cell>
          <cell r="O614">
            <v>14443</v>
          </cell>
          <cell r="P614">
            <v>0</v>
          </cell>
          <cell r="Q614" t="str">
            <v/>
          </cell>
          <cell r="R614" t="str">
            <v>실온</v>
          </cell>
          <cell r="S614" t="str">
            <v>EA(2)</v>
          </cell>
          <cell r="T614" t="str">
            <v/>
          </cell>
          <cell r="U614" t="str">
            <v/>
          </cell>
          <cell r="V614" t="str">
            <v>2019-02-14</v>
          </cell>
          <cell r="W614" t="str">
            <v>2019-02-14 13:51:47</v>
          </cell>
          <cell r="X614" t="str">
            <v>더바른푸드</v>
          </cell>
        </row>
        <row r="615">
          <cell r="A615">
            <v>611</v>
          </cell>
          <cell r="B615" t="str">
            <v>2019-02-15</v>
          </cell>
          <cell r="C615" t="str">
            <v>더바른푸드</v>
          </cell>
          <cell r="D615" t="str">
            <v>더바른푸드</v>
          </cell>
          <cell r="E615" t="str">
            <v>일반</v>
          </cell>
          <cell r="F615" t="str">
            <v>입고완료</v>
          </cell>
          <cell r="G615">
            <v>106212</v>
          </cell>
          <cell r="H615" t="str">
            <v>백설 하얀설탕(15Kg/EA)</v>
          </cell>
          <cell r="I615" t="str">
            <v>EA</v>
          </cell>
          <cell r="J615">
            <v>1</v>
          </cell>
          <cell r="K615">
            <v>1</v>
          </cell>
          <cell r="L615">
            <v>15680</v>
          </cell>
          <cell r="M615">
            <v>15680</v>
          </cell>
          <cell r="N615">
            <v>1568</v>
          </cell>
          <cell r="O615">
            <v>17248</v>
          </cell>
          <cell r="P615">
            <v>0</v>
          </cell>
          <cell r="Q615" t="str">
            <v/>
          </cell>
          <cell r="R615" t="str">
            <v>실온</v>
          </cell>
          <cell r="S615" t="str">
            <v>EA(1)</v>
          </cell>
          <cell r="T615" t="str">
            <v/>
          </cell>
          <cell r="U615" t="str">
            <v/>
          </cell>
          <cell r="V615" t="str">
            <v>2019-02-14</v>
          </cell>
          <cell r="W615" t="str">
            <v>2019-02-14 13:56:03</v>
          </cell>
          <cell r="X615" t="str">
            <v>더바른푸드</v>
          </cell>
        </row>
        <row r="616">
          <cell r="A616">
            <v>612</v>
          </cell>
          <cell r="B616" t="str">
            <v>2019-02-15</v>
          </cell>
          <cell r="C616" t="str">
            <v>더바른푸드</v>
          </cell>
          <cell r="D616" t="str">
            <v>더바른푸드</v>
          </cell>
          <cell r="E616" t="str">
            <v>일반</v>
          </cell>
          <cell r="F616" t="str">
            <v>입고완료</v>
          </cell>
          <cell r="G616">
            <v>211696</v>
          </cell>
          <cell r="H616" t="str">
            <v>건시래기(데친것 KG)</v>
          </cell>
          <cell r="I616" t="str">
            <v>KG</v>
          </cell>
          <cell r="J616">
            <v>65</v>
          </cell>
          <cell r="K616">
            <v>65</v>
          </cell>
          <cell r="L616">
            <v>2740</v>
          </cell>
          <cell r="M616">
            <v>178100</v>
          </cell>
          <cell r="N616">
            <v>0</v>
          </cell>
          <cell r="O616">
            <v>178100</v>
          </cell>
          <cell r="P616">
            <v>0</v>
          </cell>
          <cell r="Q616" t="str">
            <v>한국</v>
          </cell>
          <cell r="R616" t="str">
            <v>냉장</v>
          </cell>
          <cell r="S616" t="str">
            <v>KG(1)</v>
          </cell>
          <cell r="T616" t="str">
            <v/>
          </cell>
          <cell r="U616" t="str">
            <v/>
          </cell>
          <cell r="V616" t="str">
            <v>2019-02-14</v>
          </cell>
          <cell r="W616" t="str">
            <v>2019-02-14 15:05:48</v>
          </cell>
          <cell r="X616" t="str">
            <v>더바른푸드</v>
          </cell>
        </row>
        <row r="617">
          <cell r="A617">
            <v>613</v>
          </cell>
          <cell r="B617" t="str">
            <v>2019-02-15</v>
          </cell>
          <cell r="C617" t="str">
            <v>더바른푸드</v>
          </cell>
          <cell r="D617" t="str">
            <v>더바른푸드</v>
          </cell>
          <cell r="E617" t="str">
            <v>일반</v>
          </cell>
          <cell r="F617" t="str">
            <v>입고완료</v>
          </cell>
          <cell r="G617">
            <v>228649</v>
          </cell>
          <cell r="H617" t="str">
            <v>가자미(내장제거_50~70g/토막 절단 KG)</v>
          </cell>
          <cell r="I617" t="str">
            <v>KG</v>
          </cell>
          <cell r="J617">
            <v>3</v>
          </cell>
          <cell r="K617">
            <v>3</v>
          </cell>
          <cell r="L617">
            <v>6230</v>
          </cell>
          <cell r="M617">
            <v>18690</v>
          </cell>
          <cell r="N617">
            <v>0</v>
          </cell>
          <cell r="O617">
            <v>18690</v>
          </cell>
          <cell r="P617">
            <v>0</v>
          </cell>
          <cell r="Q617" t="str">
            <v>러시아</v>
          </cell>
          <cell r="R617" t="str">
            <v>냉동</v>
          </cell>
          <cell r="S617" t="str">
            <v>KG(1)</v>
          </cell>
          <cell r="T617" t="str">
            <v/>
          </cell>
          <cell r="U617" t="str">
            <v/>
          </cell>
          <cell r="V617" t="str">
            <v>2019-02-14</v>
          </cell>
          <cell r="W617" t="str">
            <v>2019-02-14 15:14:16</v>
          </cell>
          <cell r="X617" t="str">
            <v>더바른푸드</v>
          </cell>
        </row>
        <row r="618">
          <cell r="A618">
            <v>614</v>
          </cell>
          <cell r="B618" t="str">
            <v>2019-02-15</v>
          </cell>
          <cell r="C618" t="str">
            <v>더바른푸드</v>
          </cell>
          <cell r="D618" t="str">
            <v>더바른푸드</v>
          </cell>
          <cell r="E618" t="str">
            <v>일반</v>
          </cell>
          <cell r="F618" t="str">
            <v>입고완료</v>
          </cell>
          <cell r="G618">
            <v>130452</v>
          </cell>
          <cell r="H618" t="str">
            <v>사조오양 스모크햄(즉석 1Kg/EA)</v>
          </cell>
          <cell r="I618" t="str">
            <v>EA</v>
          </cell>
          <cell r="J618">
            <v>9</v>
          </cell>
          <cell r="K618">
            <v>9</v>
          </cell>
          <cell r="L618">
            <v>3650</v>
          </cell>
          <cell r="M618">
            <v>32850</v>
          </cell>
          <cell r="N618">
            <v>3285</v>
          </cell>
          <cell r="O618">
            <v>36135</v>
          </cell>
          <cell r="P618">
            <v>0</v>
          </cell>
          <cell r="Q618" t="str">
            <v/>
          </cell>
          <cell r="R618" t="str">
            <v>냉장</v>
          </cell>
          <cell r="S618" t="str">
            <v>EA(10)</v>
          </cell>
          <cell r="T618" t="str">
            <v/>
          </cell>
          <cell r="U618" t="str">
            <v/>
          </cell>
          <cell r="V618" t="str">
            <v>2019-02-14</v>
          </cell>
          <cell r="W618" t="str">
            <v>2019-02-14 16:08:58</v>
          </cell>
          <cell r="X618" t="str">
            <v>더바른푸드</v>
          </cell>
        </row>
        <row r="619">
          <cell r="A619">
            <v>615</v>
          </cell>
          <cell r="B619" t="str">
            <v>2019-02-14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</row>
        <row r="620">
          <cell r="A620">
            <v>616</v>
          </cell>
          <cell r="B620" t="str">
            <v>2019-02-14</v>
          </cell>
          <cell r="C620" t="str">
            <v>더바른푸드</v>
          </cell>
          <cell r="D620" t="str">
            <v>더바른푸드</v>
          </cell>
          <cell r="E620" t="str">
            <v>일반</v>
          </cell>
          <cell r="F620" t="str">
            <v>입고완료</v>
          </cell>
          <cell r="G620">
            <v>128182</v>
          </cell>
          <cell r="H620" t="str">
            <v>담양한과 찹쌀약과(사각_30g*10입 300g/EA)</v>
          </cell>
          <cell r="I620" t="str">
            <v>EA</v>
          </cell>
          <cell r="J620">
            <v>20</v>
          </cell>
          <cell r="K620">
            <v>20</v>
          </cell>
          <cell r="L620">
            <v>2720</v>
          </cell>
          <cell r="M620">
            <v>54400</v>
          </cell>
          <cell r="N620">
            <v>5440</v>
          </cell>
          <cell r="O620">
            <v>59840</v>
          </cell>
          <cell r="P620">
            <v>0</v>
          </cell>
          <cell r="Q620" t="str">
            <v/>
          </cell>
          <cell r="R620" t="str">
            <v>실온</v>
          </cell>
          <cell r="S620" t="str">
            <v>EA(10)</v>
          </cell>
          <cell r="T620" t="str">
            <v/>
          </cell>
          <cell r="U620" t="str">
            <v/>
          </cell>
          <cell r="V620" t="str">
            <v>2019-01-31</v>
          </cell>
          <cell r="W620" t="str">
            <v>2019-01-31 13:29:20</v>
          </cell>
          <cell r="X620" t="str">
            <v>더바른푸드</v>
          </cell>
        </row>
        <row r="621">
          <cell r="A621">
            <v>617</v>
          </cell>
          <cell r="B621" t="str">
            <v>2019-02-14</v>
          </cell>
          <cell r="C621" t="str">
            <v>더바른푸드</v>
          </cell>
          <cell r="D621" t="str">
            <v>더바른푸드</v>
          </cell>
          <cell r="E621" t="str">
            <v>일반</v>
          </cell>
          <cell r="F621" t="str">
            <v>입고완료</v>
          </cell>
          <cell r="G621">
            <v>160244</v>
          </cell>
          <cell r="H621" t="str">
            <v>비피더스 떠먹는요구르트(복숭아 83g/EA)</v>
          </cell>
          <cell r="I621" t="str">
            <v>EA</v>
          </cell>
          <cell r="J621">
            <v>52</v>
          </cell>
          <cell r="K621">
            <v>52</v>
          </cell>
          <cell r="L621">
            <v>300</v>
          </cell>
          <cell r="M621">
            <v>15600</v>
          </cell>
          <cell r="N621">
            <v>1560</v>
          </cell>
          <cell r="O621">
            <v>17160</v>
          </cell>
          <cell r="P621">
            <v>0</v>
          </cell>
          <cell r="Q621" t="str">
            <v>한국</v>
          </cell>
          <cell r="R621" t="str">
            <v>냉장</v>
          </cell>
          <cell r="S621" t="str">
            <v>EA(1)</v>
          </cell>
          <cell r="T621" t="str">
            <v/>
          </cell>
          <cell r="U621" t="str">
            <v>스푼부탁드립니다</v>
          </cell>
          <cell r="V621" t="str">
            <v>2019-01-31</v>
          </cell>
          <cell r="W621" t="str">
            <v>2019-01-31 13:42:19</v>
          </cell>
          <cell r="X621" t="str">
            <v>더바른푸드</v>
          </cell>
        </row>
        <row r="622">
          <cell r="A622">
            <v>618</v>
          </cell>
          <cell r="B622" t="str">
            <v>2019-02-14</v>
          </cell>
          <cell r="C622" t="str">
            <v>더바른푸드</v>
          </cell>
          <cell r="D622" t="str">
            <v>더바른푸드</v>
          </cell>
          <cell r="E622" t="str">
            <v>일반</v>
          </cell>
          <cell r="F622" t="str">
            <v>입고완료</v>
          </cell>
          <cell r="G622">
            <v>108319</v>
          </cell>
          <cell r="H622" t="str">
            <v>연세우유 고칼슘두유(팩_200ml 200g/EA)</v>
          </cell>
          <cell r="I622" t="str">
            <v>EA</v>
          </cell>
          <cell r="J622">
            <v>120</v>
          </cell>
          <cell r="K622">
            <v>120</v>
          </cell>
          <cell r="L622">
            <v>280</v>
          </cell>
          <cell r="M622">
            <v>33600</v>
          </cell>
          <cell r="N622">
            <v>3360</v>
          </cell>
          <cell r="O622">
            <v>36960</v>
          </cell>
          <cell r="P622">
            <v>0</v>
          </cell>
          <cell r="Q622" t="str">
            <v>한국</v>
          </cell>
          <cell r="R622" t="str">
            <v>실온</v>
          </cell>
          <cell r="S622" t="str">
            <v>EA(1)</v>
          </cell>
          <cell r="T622" t="str">
            <v/>
          </cell>
          <cell r="U622" t="str">
            <v/>
          </cell>
          <cell r="V622" t="str">
            <v>2019-01-31</v>
          </cell>
          <cell r="W622" t="str">
            <v>2019-01-31 13:45:47</v>
          </cell>
          <cell r="X622" t="str">
            <v>더바른푸드</v>
          </cell>
        </row>
        <row r="623">
          <cell r="A623">
            <v>619</v>
          </cell>
          <cell r="B623" t="str">
            <v>2019-02-14</v>
          </cell>
          <cell r="C623" t="str">
            <v>더바른푸드</v>
          </cell>
          <cell r="D623" t="str">
            <v>더바른푸드</v>
          </cell>
          <cell r="E623" t="str">
            <v>일반</v>
          </cell>
          <cell r="F623" t="str">
            <v>입고완료</v>
          </cell>
          <cell r="G623">
            <v>193090</v>
          </cell>
          <cell r="H623" t="str">
            <v>냉동감자(절단_3~4cm 1Kg/EA)</v>
          </cell>
          <cell r="I623" t="str">
            <v>EA</v>
          </cell>
          <cell r="J623">
            <v>20</v>
          </cell>
          <cell r="K623">
            <v>20</v>
          </cell>
          <cell r="L623">
            <v>1980</v>
          </cell>
          <cell r="M623">
            <v>39600</v>
          </cell>
          <cell r="N623">
            <v>3960</v>
          </cell>
          <cell r="O623">
            <v>43560</v>
          </cell>
          <cell r="P623">
            <v>0</v>
          </cell>
          <cell r="Q623" t="str">
            <v>중국</v>
          </cell>
          <cell r="R623" t="str">
            <v>냉동</v>
          </cell>
          <cell r="S623" t="str">
            <v>EA(1)</v>
          </cell>
          <cell r="T623" t="str">
            <v/>
          </cell>
          <cell r="U623" t="str">
            <v/>
          </cell>
          <cell r="V623" t="str">
            <v>2019-02-11</v>
          </cell>
          <cell r="W623" t="str">
            <v>2019-02-11 14:10:58</v>
          </cell>
          <cell r="X623" t="str">
            <v>더바른푸드</v>
          </cell>
        </row>
        <row r="624">
          <cell r="A624">
            <v>620</v>
          </cell>
          <cell r="B624" t="str">
            <v>2019-02-14</v>
          </cell>
          <cell r="C624" t="str">
            <v>더바른푸드</v>
          </cell>
          <cell r="D624" t="str">
            <v>더바른푸드</v>
          </cell>
          <cell r="E624" t="str">
            <v>일반</v>
          </cell>
          <cell r="F624" t="str">
            <v>입고완료</v>
          </cell>
          <cell r="G624">
            <v>223306</v>
          </cell>
          <cell r="H624" t="str">
            <v>냉동근대(IQF 1Kg/EA)</v>
          </cell>
          <cell r="I624" t="str">
            <v>EA</v>
          </cell>
          <cell r="J624">
            <v>20</v>
          </cell>
          <cell r="K624">
            <v>20</v>
          </cell>
          <cell r="L624">
            <v>1670</v>
          </cell>
          <cell r="M624">
            <v>33400</v>
          </cell>
          <cell r="N624">
            <v>3340</v>
          </cell>
          <cell r="O624">
            <v>36740</v>
          </cell>
          <cell r="P624">
            <v>0</v>
          </cell>
          <cell r="Q624" t="str">
            <v>중국</v>
          </cell>
          <cell r="R624" t="str">
            <v>냉동</v>
          </cell>
          <cell r="S624" t="str">
            <v>EA(1)</v>
          </cell>
          <cell r="T624" t="str">
            <v/>
          </cell>
          <cell r="U624" t="str">
            <v/>
          </cell>
          <cell r="V624" t="str">
            <v>2019-02-13</v>
          </cell>
          <cell r="W624" t="str">
            <v>2019-02-13 14:48:53</v>
          </cell>
          <cell r="X624" t="str">
            <v>더바른푸드</v>
          </cell>
        </row>
        <row r="625">
          <cell r="A625">
            <v>621</v>
          </cell>
          <cell r="B625" t="str">
            <v>2019-02-14</v>
          </cell>
          <cell r="C625" t="str">
            <v>더바른푸드</v>
          </cell>
          <cell r="D625" t="str">
            <v>더바른푸드</v>
          </cell>
          <cell r="E625" t="str">
            <v>일반</v>
          </cell>
          <cell r="F625" t="str">
            <v>입고완료</v>
          </cell>
          <cell r="G625">
            <v>128746</v>
          </cell>
          <cell r="H625" t="str">
            <v>이츠웰 들기름(PET_1.8L 1.65Kg/EA)</v>
          </cell>
          <cell r="I625" t="str">
            <v>EA</v>
          </cell>
          <cell r="J625">
            <v>6</v>
          </cell>
          <cell r="K625">
            <v>6</v>
          </cell>
          <cell r="L625">
            <v>23590</v>
          </cell>
          <cell r="M625">
            <v>141540</v>
          </cell>
          <cell r="N625">
            <v>14154</v>
          </cell>
          <cell r="O625">
            <v>155694</v>
          </cell>
          <cell r="P625">
            <v>0</v>
          </cell>
          <cell r="Q625" t="str">
            <v>중국</v>
          </cell>
          <cell r="R625" t="str">
            <v>실온</v>
          </cell>
          <cell r="S625" t="str">
            <v>EA(6)</v>
          </cell>
          <cell r="T625" t="str">
            <v/>
          </cell>
          <cell r="U625" t="str">
            <v/>
          </cell>
          <cell r="V625" t="str">
            <v>2019-02-13</v>
          </cell>
          <cell r="W625" t="str">
            <v>2019-02-13 14:50:50</v>
          </cell>
          <cell r="X625" t="str">
            <v>더바른푸드</v>
          </cell>
        </row>
        <row r="626">
          <cell r="A626">
            <v>622</v>
          </cell>
          <cell r="B626" t="str">
            <v>2019-02-14</v>
          </cell>
          <cell r="C626" t="str">
            <v>더바른푸드</v>
          </cell>
          <cell r="D626" t="str">
            <v>더바른푸드</v>
          </cell>
          <cell r="E626" t="str">
            <v>일반</v>
          </cell>
          <cell r="F626" t="str">
            <v>입고완료</v>
          </cell>
          <cell r="G626">
            <v>138570</v>
          </cell>
          <cell r="H626" t="str">
            <v>면사랑 멸치육수(1.8L_보급형 1.8Kg/EA)</v>
          </cell>
          <cell r="I626" t="str">
            <v>EA</v>
          </cell>
          <cell r="J626">
            <v>6</v>
          </cell>
          <cell r="K626">
            <v>6</v>
          </cell>
          <cell r="L626">
            <v>5560</v>
          </cell>
          <cell r="M626">
            <v>33360</v>
          </cell>
          <cell r="N626">
            <v>3336</v>
          </cell>
          <cell r="O626">
            <v>36696</v>
          </cell>
          <cell r="P626">
            <v>0</v>
          </cell>
          <cell r="Q626" t="str">
            <v/>
          </cell>
          <cell r="R626" t="str">
            <v>실온</v>
          </cell>
          <cell r="S626" t="str">
            <v>EA(6)</v>
          </cell>
          <cell r="T626" t="str">
            <v/>
          </cell>
          <cell r="U626" t="str">
            <v/>
          </cell>
          <cell r="V626" t="str">
            <v>2019-02-13</v>
          </cell>
          <cell r="W626" t="str">
            <v>2019-02-13 14:50:50</v>
          </cell>
          <cell r="X626" t="str">
            <v>더바른푸드</v>
          </cell>
        </row>
        <row r="627">
          <cell r="A627">
            <v>623</v>
          </cell>
          <cell r="B627" t="str">
            <v>2019-02-14</v>
          </cell>
          <cell r="C627" t="str">
            <v>더바른푸드</v>
          </cell>
          <cell r="D627" t="str">
            <v>더바른푸드</v>
          </cell>
          <cell r="E627" t="str">
            <v>일반</v>
          </cell>
          <cell r="F627" t="str">
            <v>입고완료</v>
          </cell>
          <cell r="G627">
            <v>105943</v>
          </cell>
          <cell r="H627" t="str">
            <v>대상 재래된장(지함_재래식숙성 14Kg/EA)</v>
          </cell>
          <cell r="I627" t="str">
            <v>EA</v>
          </cell>
          <cell r="J627">
            <v>2</v>
          </cell>
          <cell r="K627">
            <v>2</v>
          </cell>
          <cell r="L627">
            <v>25020</v>
          </cell>
          <cell r="M627">
            <v>50040</v>
          </cell>
          <cell r="N627">
            <v>5004</v>
          </cell>
          <cell r="O627">
            <v>55044</v>
          </cell>
          <cell r="P627">
            <v>0</v>
          </cell>
          <cell r="Q627" t="str">
            <v/>
          </cell>
          <cell r="R627" t="str">
            <v>실온</v>
          </cell>
          <cell r="S627" t="str">
            <v>EA(1)</v>
          </cell>
          <cell r="T627" t="str">
            <v/>
          </cell>
          <cell r="U627" t="str">
            <v/>
          </cell>
          <cell r="V627" t="str">
            <v>2019-02-13</v>
          </cell>
          <cell r="W627" t="str">
            <v>2019-02-13 14:50:50</v>
          </cell>
          <cell r="X627" t="str">
            <v>더바른푸드</v>
          </cell>
        </row>
        <row r="628">
          <cell r="A628">
            <v>624</v>
          </cell>
          <cell r="B628" t="str">
            <v>2019-02-14</v>
          </cell>
          <cell r="C628" t="str">
            <v>더바른푸드</v>
          </cell>
          <cell r="D628" t="str">
            <v>더바른푸드</v>
          </cell>
          <cell r="E628" t="str">
            <v>일반</v>
          </cell>
          <cell r="F628" t="str">
            <v>입고완료</v>
          </cell>
          <cell r="G628">
            <v>247824</v>
          </cell>
          <cell r="H628" t="str">
            <v>주일 건다시마(실속 1Kg/EA)</v>
          </cell>
          <cell r="I628" t="str">
            <v>EA</v>
          </cell>
          <cell r="J628">
            <v>5</v>
          </cell>
          <cell r="K628">
            <v>5</v>
          </cell>
          <cell r="L628">
            <v>11100</v>
          </cell>
          <cell r="M628">
            <v>55500</v>
          </cell>
          <cell r="N628">
            <v>0</v>
          </cell>
          <cell r="O628">
            <v>55500</v>
          </cell>
          <cell r="P628">
            <v>0</v>
          </cell>
          <cell r="Q628" t="str">
            <v>한국</v>
          </cell>
          <cell r="R628" t="str">
            <v>실온</v>
          </cell>
          <cell r="S628" t="str">
            <v>EA(20)</v>
          </cell>
          <cell r="T628" t="str">
            <v/>
          </cell>
          <cell r="U628" t="str">
            <v/>
          </cell>
          <cell r="V628" t="str">
            <v>2019-02-13</v>
          </cell>
          <cell r="W628" t="str">
            <v>2019-02-13 14:50:50</v>
          </cell>
          <cell r="X628" t="str">
            <v>더바른푸드</v>
          </cell>
        </row>
        <row r="629">
          <cell r="A629">
            <v>625</v>
          </cell>
          <cell r="B629" t="str">
            <v>2019-02-13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A630">
            <v>626</v>
          </cell>
          <cell r="B630" t="str">
            <v>2019-02-13</v>
          </cell>
          <cell r="C630" t="str">
            <v>더바른푸드</v>
          </cell>
          <cell r="D630" t="str">
            <v>더바른푸드</v>
          </cell>
          <cell r="E630" t="str">
            <v>일반</v>
          </cell>
          <cell r="F630" t="str">
            <v>입고완료</v>
          </cell>
          <cell r="G630">
            <v>271769</v>
          </cell>
          <cell r="H630" t="str">
            <v>삼립식품 꼬마호빵(야채_40g*6입_봉단위 240g/EA)</v>
          </cell>
          <cell r="I630" t="str">
            <v>EA</v>
          </cell>
          <cell r="J630">
            <v>11</v>
          </cell>
          <cell r="K630">
            <v>11</v>
          </cell>
          <cell r="L630">
            <v>2120</v>
          </cell>
          <cell r="M630">
            <v>23320</v>
          </cell>
          <cell r="N630">
            <v>2332</v>
          </cell>
          <cell r="O630">
            <v>25652</v>
          </cell>
          <cell r="P630">
            <v>0</v>
          </cell>
          <cell r="Q630" t="str">
            <v/>
          </cell>
          <cell r="R630" t="str">
            <v>냉동</v>
          </cell>
          <cell r="S630" t="str">
            <v>EA(16)</v>
          </cell>
          <cell r="T630" t="str">
            <v/>
          </cell>
          <cell r="U630" t="str">
            <v/>
          </cell>
          <cell r="V630" t="str">
            <v>2019-01-31</v>
          </cell>
          <cell r="W630" t="str">
            <v>2019-01-31 13:37:08</v>
          </cell>
          <cell r="X630" t="str">
            <v>더바른푸드</v>
          </cell>
        </row>
        <row r="631">
          <cell r="A631">
            <v>627</v>
          </cell>
          <cell r="B631" t="str">
            <v>2019-02-13</v>
          </cell>
          <cell r="C631" t="str">
            <v>더바른푸드</v>
          </cell>
          <cell r="D631" t="str">
            <v>더바른푸드</v>
          </cell>
          <cell r="E631" t="str">
            <v>일반</v>
          </cell>
          <cell r="F631" t="str">
            <v>입고완료</v>
          </cell>
          <cell r="G631">
            <v>105336</v>
          </cell>
          <cell r="H631" t="str">
            <v>서울우유 흰우유(카톤_200ml 200g/EA)</v>
          </cell>
          <cell r="I631" t="str">
            <v>EA</v>
          </cell>
          <cell r="J631">
            <v>42</v>
          </cell>
          <cell r="K631">
            <v>42</v>
          </cell>
          <cell r="L631">
            <v>560</v>
          </cell>
          <cell r="M631">
            <v>23520</v>
          </cell>
          <cell r="N631">
            <v>0</v>
          </cell>
          <cell r="O631">
            <v>23520</v>
          </cell>
          <cell r="P631">
            <v>0</v>
          </cell>
          <cell r="Q631" t="str">
            <v/>
          </cell>
          <cell r="R631" t="str">
            <v>냉장</v>
          </cell>
          <cell r="S631" t="str">
            <v>EA(1)</v>
          </cell>
          <cell r="T631" t="str">
            <v/>
          </cell>
          <cell r="U631" t="str">
            <v/>
          </cell>
          <cell r="V631" t="str">
            <v>2019-01-31</v>
          </cell>
          <cell r="W631" t="str">
            <v>2019-01-31 13:47:02</v>
          </cell>
          <cell r="X631" t="str">
            <v>더바른푸드</v>
          </cell>
        </row>
        <row r="632">
          <cell r="A632">
            <v>628</v>
          </cell>
          <cell r="B632" t="str">
            <v>2019-02-13</v>
          </cell>
          <cell r="C632" t="str">
            <v>더바른푸드</v>
          </cell>
          <cell r="D632" t="str">
            <v>더바른푸드</v>
          </cell>
          <cell r="E632" t="str">
            <v>일반</v>
          </cell>
          <cell r="F632" t="str">
            <v>입고완료</v>
          </cell>
          <cell r="G632">
            <v>252892</v>
          </cell>
          <cell r="H632" t="str">
            <v>사옹원 통통고구마튀김(45g*23입 1Kg/EA)</v>
          </cell>
          <cell r="I632" t="str">
            <v>EA</v>
          </cell>
          <cell r="J632">
            <v>52</v>
          </cell>
          <cell r="K632">
            <v>52</v>
          </cell>
          <cell r="L632">
            <v>10960</v>
          </cell>
          <cell r="M632">
            <v>569920</v>
          </cell>
          <cell r="N632">
            <v>56992</v>
          </cell>
          <cell r="O632">
            <v>626912</v>
          </cell>
          <cell r="P632">
            <v>0</v>
          </cell>
          <cell r="Q632" t="str">
            <v/>
          </cell>
          <cell r="R632" t="str">
            <v>냉동</v>
          </cell>
          <cell r="S632" t="str">
            <v>EA(5)</v>
          </cell>
          <cell r="T632" t="str">
            <v/>
          </cell>
          <cell r="U632" t="str">
            <v/>
          </cell>
          <cell r="V632" t="str">
            <v>2019-02-08</v>
          </cell>
          <cell r="W632" t="str">
            <v>2019-02-08 14:54:04</v>
          </cell>
          <cell r="X632" t="str">
            <v>더바른푸드</v>
          </cell>
        </row>
        <row r="633">
          <cell r="A633">
            <v>629</v>
          </cell>
          <cell r="B633" t="str">
            <v>2019-02-13</v>
          </cell>
          <cell r="C633" t="str">
            <v>더바른푸드</v>
          </cell>
          <cell r="D633" t="str">
            <v>더바른푸드</v>
          </cell>
          <cell r="E633" t="str">
            <v>일반</v>
          </cell>
          <cell r="F633" t="str">
            <v>입고완료</v>
          </cell>
          <cell r="G633">
            <v>126925</v>
          </cell>
          <cell r="H633" t="str">
            <v>한성 전통떡갈비(16.5g*61±3개입 1Kg/EA)</v>
          </cell>
          <cell r="I633" t="str">
            <v>EA</v>
          </cell>
          <cell r="J633">
            <v>13</v>
          </cell>
          <cell r="K633">
            <v>13</v>
          </cell>
          <cell r="L633">
            <v>5460</v>
          </cell>
          <cell r="M633">
            <v>70980</v>
          </cell>
          <cell r="N633">
            <v>7098</v>
          </cell>
          <cell r="O633">
            <v>78078</v>
          </cell>
          <cell r="P633">
            <v>0</v>
          </cell>
          <cell r="Q633" t="str">
            <v/>
          </cell>
          <cell r="R633" t="str">
            <v>냉동</v>
          </cell>
          <cell r="S633" t="str">
            <v>EA(10)</v>
          </cell>
          <cell r="T633" t="str">
            <v/>
          </cell>
          <cell r="U633" t="str">
            <v/>
          </cell>
          <cell r="V633" t="str">
            <v>2019-02-08</v>
          </cell>
          <cell r="W633" t="str">
            <v>2019-02-08 15:07:54</v>
          </cell>
          <cell r="X633" t="str">
            <v>더바른푸드</v>
          </cell>
        </row>
        <row r="634">
          <cell r="A634">
            <v>630</v>
          </cell>
          <cell r="B634" t="str">
            <v>2019-02-13</v>
          </cell>
          <cell r="C634" t="str">
            <v>더바른푸드</v>
          </cell>
          <cell r="D634" t="str">
            <v>더바른푸드</v>
          </cell>
          <cell r="E634" t="str">
            <v>일반</v>
          </cell>
          <cell r="F634" t="str">
            <v>입고완료</v>
          </cell>
          <cell r="G634">
            <v>219387</v>
          </cell>
          <cell r="H634" t="str">
            <v>냉동배추우거지(1Kg/EA)</v>
          </cell>
          <cell r="I634" t="str">
            <v>EA</v>
          </cell>
          <cell r="J634">
            <v>30</v>
          </cell>
          <cell r="K634">
            <v>30</v>
          </cell>
          <cell r="L634">
            <v>1430</v>
          </cell>
          <cell r="M634">
            <v>42900</v>
          </cell>
          <cell r="N634">
            <v>4290</v>
          </cell>
          <cell r="O634">
            <v>47190</v>
          </cell>
          <cell r="P634">
            <v>0</v>
          </cell>
          <cell r="Q634" t="str">
            <v>중국</v>
          </cell>
          <cell r="R634" t="str">
            <v>냉동</v>
          </cell>
          <cell r="S634" t="str">
            <v>EA(1)</v>
          </cell>
          <cell r="T634" t="str">
            <v/>
          </cell>
          <cell r="U634" t="str">
            <v/>
          </cell>
          <cell r="V634" t="str">
            <v>2019-02-11</v>
          </cell>
          <cell r="W634" t="str">
            <v>2019-02-11 13:01:22</v>
          </cell>
          <cell r="X634" t="str">
            <v>더바른푸드</v>
          </cell>
        </row>
        <row r="635">
          <cell r="A635">
            <v>631</v>
          </cell>
          <cell r="B635" t="str">
            <v>2019-02-13</v>
          </cell>
          <cell r="C635" t="str">
            <v>더바른푸드</v>
          </cell>
          <cell r="D635" t="str">
            <v>더바른푸드</v>
          </cell>
          <cell r="E635" t="str">
            <v>일반</v>
          </cell>
          <cell r="F635" t="str">
            <v>입고완료</v>
          </cell>
          <cell r="G635">
            <v>408799</v>
          </cell>
          <cell r="H635" t="str">
            <v>이츠웰 오리훈제(슬라이스_무항생제오리로만든 1Kg/PAC)</v>
          </cell>
          <cell r="I635" t="str">
            <v>PAC</v>
          </cell>
          <cell r="J635">
            <v>46</v>
          </cell>
          <cell r="K635">
            <v>46</v>
          </cell>
          <cell r="L635">
            <v>11890</v>
          </cell>
          <cell r="M635">
            <v>546940</v>
          </cell>
          <cell r="N635">
            <v>54694</v>
          </cell>
          <cell r="O635">
            <v>601634</v>
          </cell>
          <cell r="P635">
            <v>601634</v>
          </cell>
          <cell r="Q635" t="str">
            <v>한국</v>
          </cell>
          <cell r="R635" t="str">
            <v>냉장</v>
          </cell>
          <cell r="S635" t="str">
            <v>PAC(1)</v>
          </cell>
          <cell r="T635" t="str">
            <v/>
          </cell>
          <cell r="U635" t="str">
            <v/>
          </cell>
          <cell r="V635" t="str">
            <v>2019-02-11</v>
          </cell>
          <cell r="W635" t="str">
            <v>2019-02-11 13:06:55</v>
          </cell>
          <cell r="X635" t="str">
            <v>더바른푸드</v>
          </cell>
        </row>
        <row r="636">
          <cell r="A636">
            <v>632</v>
          </cell>
          <cell r="B636" t="str">
            <v>2019-02-13</v>
          </cell>
          <cell r="C636" t="str">
            <v>더바른푸드</v>
          </cell>
          <cell r="D636" t="str">
            <v>더바른푸드</v>
          </cell>
          <cell r="E636" t="str">
            <v>일반</v>
          </cell>
          <cell r="F636" t="str">
            <v>입고완료</v>
          </cell>
          <cell r="G636">
            <v>108471</v>
          </cell>
          <cell r="H636" t="str">
            <v>로스팜 햄캔(1.8Kg/EA)</v>
          </cell>
          <cell r="I636" t="str">
            <v>EA</v>
          </cell>
          <cell r="J636">
            <v>17</v>
          </cell>
          <cell r="K636">
            <v>17</v>
          </cell>
          <cell r="L636">
            <v>15140</v>
          </cell>
          <cell r="M636">
            <v>257380</v>
          </cell>
          <cell r="N636">
            <v>25738</v>
          </cell>
          <cell r="O636">
            <v>283118</v>
          </cell>
          <cell r="P636">
            <v>0</v>
          </cell>
          <cell r="Q636" t="str">
            <v>수입산</v>
          </cell>
          <cell r="R636" t="str">
            <v>실온</v>
          </cell>
          <cell r="S636" t="str">
            <v>EA(1)</v>
          </cell>
          <cell r="T636" t="str">
            <v/>
          </cell>
          <cell r="U636" t="str">
            <v/>
          </cell>
          <cell r="V636" t="str">
            <v>2019-02-11</v>
          </cell>
          <cell r="W636" t="str">
            <v>2019-02-11 13:23:22</v>
          </cell>
          <cell r="X636" t="str">
            <v>더바른푸드</v>
          </cell>
        </row>
        <row r="637">
          <cell r="A637">
            <v>633</v>
          </cell>
          <cell r="B637" t="str">
            <v>2019-02-13</v>
          </cell>
          <cell r="C637" t="str">
            <v>더바른푸드</v>
          </cell>
          <cell r="D637" t="str">
            <v>더바른푸드</v>
          </cell>
          <cell r="E637" t="str">
            <v>일반</v>
          </cell>
          <cell r="F637" t="str">
            <v>입고완료</v>
          </cell>
          <cell r="G637">
            <v>256983</v>
          </cell>
          <cell r="H637" t="str">
            <v>늘만나 맛김치(약숙_일반 10Kg/BOX)</v>
          </cell>
          <cell r="I637" t="str">
            <v>BOX</v>
          </cell>
          <cell r="J637">
            <v>4</v>
          </cell>
          <cell r="K637">
            <v>4</v>
          </cell>
          <cell r="L637">
            <v>32900</v>
          </cell>
          <cell r="M637">
            <v>131600</v>
          </cell>
          <cell r="N637">
            <v>0</v>
          </cell>
          <cell r="O637">
            <v>131600</v>
          </cell>
          <cell r="P637">
            <v>0</v>
          </cell>
          <cell r="Q637" t="str">
            <v/>
          </cell>
          <cell r="R637" t="str">
            <v>냉장</v>
          </cell>
          <cell r="S637" t="str">
            <v>BOX(1)</v>
          </cell>
          <cell r="T637" t="str">
            <v/>
          </cell>
          <cell r="U637" t="str">
            <v/>
          </cell>
          <cell r="V637" t="str">
            <v>2019-02-11</v>
          </cell>
          <cell r="W637" t="str">
            <v>2019-02-11 14:12:49</v>
          </cell>
          <cell r="X637" t="str">
            <v>더바른푸드</v>
          </cell>
        </row>
        <row r="638">
          <cell r="A638">
            <v>634</v>
          </cell>
          <cell r="B638" t="str">
            <v>2019-02-13</v>
          </cell>
          <cell r="C638" t="str">
            <v>더바른푸드</v>
          </cell>
          <cell r="D638" t="str">
            <v>더바른푸드</v>
          </cell>
          <cell r="E638" t="str">
            <v>일반</v>
          </cell>
          <cell r="F638" t="str">
            <v>입고완료</v>
          </cell>
          <cell r="G638">
            <v>114170</v>
          </cell>
          <cell r="H638" t="str">
            <v>냉동브로컬리(1Kg/EA)</v>
          </cell>
          <cell r="I638" t="str">
            <v>EA</v>
          </cell>
          <cell r="J638">
            <v>3</v>
          </cell>
          <cell r="K638">
            <v>3</v>
          </cell>
          <cell r="L638">
            <v>2320</v>
          </cell>
          <cell r="M638">
            <v>6960</v>
          </cell>
          <cell r="N638">
            <v>696</v>
          </cell>
          <cell r="O638">
            <v>7656</v>
          </cell>
          <cell r="P638">
            <v>0</v>
          </cell>
          <cell r="Q638" t="str">
            <v>중국</v>
          </cell>
          <cell r="R638" t="str">
            <v>냉동</v>
          </cell>
          <cell r="S638" t="str">
            <v>EA(10)</v>
          </cell>
          <cell r="T638" t="str">
            <v/>
          </cell>
          <cell r="U638" t="str">
            <v/>
          </cell>
          <cell r="V638" t="str">
            <v>2019-02-11</v>
          </cell>
          <cell r="W638" t="str">
            <v>2019-02-11 14:36:10</v>
          </cell>
          <cell r="X638" t="str">
            <v>더바른푸드</v>
          </cell>
        </row>
        <row r="639">
          <cell r="A639">
            <v>635</v>
          </cell>
          <cell r="B639" t="str">
            <v>2019-02-13</v>
          </cell>
          <cell r="C639" t="str">
            <v>더바른푸드</v>
          </cell>
          <cell r="D639" t="str">
            <v>더바른푸드</v>
          </cell>
          <cell r="E639" t="str">
            <v>일반</v>
          </cell>
          <cell r="F639" t="str">
            <v>입고완료</v>
          </cell>
          <cell r="G639">
            <v>312196</v>
          </cell>
          <cell r="H639" t="str">
            <v>염장다시마(쌈용 1Kg/EA)</v>
          </cell>
          <cell r="I639" t="str">
            <v>EA</v>
          </cell>
          <cell r="J639">
            <v>4</v>
          </cell>
          <cell r="K639">
            <v>4</v>
          </cell>
          <cell r="L639">
            <v>2040</v>
          </cell>
          <cell r="M639">
            <v>8160</v>
          </cell>
          <cell r="N639">
            <v>0</v>
          </cell>
          <cell r="O639">
            <v>8160</v>
          </cell>
          <cell r="P639">
            <v>0</v>
          </cell>
          <cell r="Q639" t="str">
            <v>한국</v>
          </cell>
          <cell r="R639" t="str">
            <v>냉장</v>
          </cell>
          <cell r="S639" t="str">
            <v>EA(10)</v>
          </cell>
          <cell r="T639" t="str">
            <v/>
          </cell>
          <cell r="U639" t="str">
            <v/>
          </cell>
          <cell r="V639" t="str">
            <v>2019-02-11</v>
          </cell>
          <cell r="W639" t="str">
            <v>2019-02-11 14:36:10</v>
          </cell>
          <cell r="X639" t="str">
            <v>더바른푸드</v>
          </cell>
        </row>
        <row r="640">
          <cell r="A640">
            <v>636</v>
          </cell>
          <cell r="B640" t="str">
            <v>2019-02-13</v>
          </cell>
          <cell r="C640" t="str">
            <v>더바른푸드</v>
          </cell>
          <cell r="D640" t="str">
            <v>더바른푸드</v>
          </cell>
          <cell r="E640" t="str">
            <v>일반</v>
          </cell>
          <cell r="F640" t="str">
            <v>입고완료</v>
          </cell>
          <cell r="G640">
            <v>198579</v>
          </cell>
          <cell r="H640" t="str">
            <v>PRIDE 통새우(바나메이_41~50미 500g/EA)</v>
          </cell>
          <cell r="I640" t="str">
            <v>EA</v>
          </cell>
          <cell r="J640">
            <v>4</v>
          </cell>
          <cell r="K640">
            <v>4</v>
          </cell>
          <cell r="L640">
            <v>5670</v>
          </cell>
          <cell r="M640">
            <v>22680</v>
          </cell>
          <cell r="N640">
            <v>0</v>
          </cell>
          <cell r="O640">
            <v>22680</v>
          </cell>
          <cell r="P640">
            <v>0</v>
          </cell>
          <cell r="Q640" t="str">
            <v>태국</v>
          </cell>
          <cell r="R640" t="str">
            <v>냉동</v>
          </cell>
          <cell r="S640" t="str">
            <v>EA(10)</v>
          </cell>
          <cell r="T640" t="str">
            <v/>
          </cell>
          <cell r="U640" t="str">
            <v/>
          </cell>
          <cell r="V640" t="str">
            <v>2019-02-11</v>
          </cell>
          <cell r="W640" t="str">
            <v>2019-02-11 14:42:28</v>
          </cell>
          <cell r="X640" t="str">
            <v>더바른푸드</v>
          </cell>
        </row>
        <row r="641">
          <cell r="A641">
            <v>637</v>
          </cell>
          <cell r="B641" t="str">
            <v>2019-02-13</v>
          </cell>
          <cell r="C641" t="str">
            <v>더바른푸드</v>
          </cell>
          <cell r="D641" t="str">
            <v>더바른푸드</v>
          </cell>
          <cell r="E641" t="str">
            <v>일반</v>
          </cell>
          <cell r="F641" t="str">
            <v>입고완료</v>
          </cell>
          <cell r="G641">
            <v>197120</v>
          </cell>
          <cell r="H641" t="str">
            <v>종가집 포기김치(숙성 10Kg/BOX)</v>
          </cell>
          <cell r="I641" t="str">
            <v>BOX</v>
          </cell>
          <cell r="J641">
            <v>10</v>
          </cell>
          <cell r="K641">
            <v>10</v>
          </cell>
          <cell r="L641">
            <v>31390</v>
          </cell>
          <cell r="M641">
            <v>313900</v>
          </cell>
          <cell r="N641">
            <v>0</v>
          </cell>
          <cell r="O641">
            <v>313900</v>
          </cell>
          <cell r="P641">
            <v>0</v>
          </cell>
          <cell r="Q641" t="str">
            <v>한국</v>
          </cell>
          <cell r="R641" t="str">
            <v>냉장</v>
          </cell>
          <cell r="S641" t="str">
            <v>BOX(1)</v>
          </cell>
          <cell r="T641" t="str">
            <v/>
          </cell>
          <cell r="U641" t="str">
            <v/>
          </cell>
          <cell r="V641" t="str">
            <v>2019-02-12</v>
          </cell>
          <cell r="W641" t="str">
            <v>2019-02-12 13:03:54</v>
          </cell>
          <cell r="X641" t="str">
            <v>더바른푸드</v>
          </cell>
        </row>
        <row r="642">
          <cell r="A642">
            <v>638</v>
          </cell>
          <cell r="B642" t="str">
            <v>2019-02-13</v>
          </cell>
          <cell r="C642" t="str">
            <v>더바른푸드</v>
          </cell>
          <cell r="D642" t="str">
            <v>더바른푸드</v>
          </cell>
          <cell r="E642" t="str">
            <v>일반</v>
          </cell>
          <cell r="F642" t="str">
            <v>입고완료</v>
          </cell>
          <cell r="G642">
            <v>159126</v>
          </cell>
          <cell r="H642" t="str">
            <v>건강마을 플리또주스(100ml_유기농_포도 100g/EA)</v>
          </cell>
          <cell r="I642" t="str">
            <v>BOX</v>
          </cell>
          <cell r="J642">
            <v>1</v>
          </cell>
          <cell r="K642">
            <v>1</v>
          </cell>
          <cell r="L642">
            <v>17600</v>
          </cell>
          <cell r="M642">
            <v>17600</v>
          </cell>
          <cell r="N642">
            <v>1760</v>
          </cell>
          <cell r="O642">
            <v>19360</v>
          </cell>
          <cell r="P642">
            <v>0</v>
          </cell>
          <cell r="Q642" t="str">
            <v/>
          </cell>
          <cell r="R642" t="str">
            <v>실온</v>
          </cell>
          <cell r="S642" t="str">
            <v>EA(40)</v>
          </cell>
          <cell r="T642" t="str">
            <v/>
          </cell>
          <cell r="U642" t="str">
            <v/>
          </cell>
          <cell r="V642" t="str">
            <v>2019-02-12</v>
          </cell>
          <cell r="W642" t="str">
            <v>2019-02-12 13:07:13</v>
          </cell>
          <cell r="X642" t="str">
            <v>더바른푸드</v>
          </cell>
        </row>
        <row r="643">
          <cell r="A643">
            <v>639</v>
          </cell>
          <cell r="B643" t="str">
            <v>2019-02-13</v>
          </cell>
          <cell r="C643" t="str">
            <v>더바른푸드</v>
          </cell>
          <cell r="D643" t="str">
            <v>더바른푸드</v>
          </cell>
          <cell r="E643" t="str">
            <v>일반</v>
          </cell>
          <cell r="F643" t="str">
            <v>입고완료</v>
          </cell>
          <cell r="G643">
            <v>128182</v>
          </cell>
          <cell r="H643" t="str">
            <v>담양한과 찹쌀약과(사각_30g*10입 300g/EA)</v>
          </cell>
          <cell r="I643" t="str">
            <v>EA</v>
          </cell>
          <cell r="J643">
            <v>1</v>
          </cell>
          <cell r="K643">
            <v>1</v>
          </cell>
          <cell r="L643">
            <v>2720</v>
          </cell>
          <cell r="M643">
            <v>2720</v>
          </cell>
          <cell r="N643">
            <v>272</v>
          </cell>
          <cell r="O643">
            <v>2992</v>
          </cell>
          <cell r="P643">
            <v>0</v>
          </cell>
          <cell r="Q643" t="str">
            <v/>
          </cell>
          <cell r="R643" t="str">
            <v>실온</v>
          </cell>
          <cell r="S643" t="str">
            <v>EA(10)</v>
          </cell>
          <cell r="T643" t="str">
            <v/>
          </cell>
          <cell r="U643" t="str">
            <v>재납건</v>
          </cell>
          <cell r="V643" t="str">
            <v>2019-02-12</v>
          </cell>
          <cell r="W643" t="str">
            <v>2019-02-12 15:35:50</v>
          </cell>
          <cell r="X643" t="str">
            <v>hyeji0317</v>
          </cell>
        </row>
        <row r="644">
          <cell r="A644">
            <v>640</v>
          </cell>
          <cell r="B644" t="str">
            <v>2019-02-13</v>
          </cell>
          <cell r="C644" t="str">
            <v>더바른푸드</v>
          </cell>
          <cell r="D644" t="str">
            <v>더바른푸드</v>
          </cell>
          <cell r="E644" t="str">
            <v>일반</v>
          </cell>
          <cell r="F644" t="str">
            <v>입고완료</v>
          </cell>
          <cell r="G644">
            <v>192918</v>
          </cell>
          <cell r="H644" t="str">
            <v>양배추(겉잎제거 KG)</v>
          </cell>
          <cell r="I644" t="str">
            <v>KG</v>
          </cell>
          <cell r="J644">
            <v>7</v>
          </cell>
          <cell r="K644">
            <v>7</v>
          </cell>
          <cell r="L644">
            <v>1110</v>
          </cell>
          <cell r="M644">
            <v>7770</v>
          </cell>
          <cell r="N644">
            <v>0</v>
          </cell>
          <cell r="O644">
            <v>7770</v>
          </cell>
          <cell r="P644">
            <v>0</v>
          </cell>
          <cell r="Q644" t="str">
            <v>중국</v>
          </cell>
          <cell r="R644" t="str">
            <v>냉장</v>
          </cell>
          <cell r="S644" t="str">
            <v>KG(1)</v>
          </cell>
          <cell r="T644" t="str">
            <v/>
          </cell>
          <cell r="U644" t="str">
            <v/>
          </cell>
          <cell r="V644" t="str">
            <v>2019-02-12</v>
          </cell>
          <cell r="W644" t="str">
            <v>2019-02-12 16:14:39</v>
          </cell>
          <cell r="X644" t="str">
            <v>더바른푸드</v>
          </cell>
        </row>
        <row r="645">
          <cell r="A645">
            <v>641</v>
          </cell>
          <cell r="B645" t="str">
            <v>2019-02-13</v>
          </cell>
          <cell r="C645" t="str">
            <v>더바른푸드</v>
          </cell>
          <cell r="D645" t="str">
            <v>더바른푸드</v>
          </cell>
          <cell r="E645" t="str">
            <v>일반</v>
          </cell>
          <cell r="F645" t="str">
            <v>입고완료</v>
          </cell>
          <cell r="G645">
            <v>128182</v>
          </cell>
          <cell r="H645" t="str">
            <v>담양한과 찹쌀약과(사각_30g*10입 300g/EA)</v>
          </cell>
          <cell r="I645" t="str">
            <v>EA</v>
          </cell>
          <cell r="J645">
            <v>1</v>
          </cell>
          <cell r="K645">
            <v>-1</v>
          </cell>
          <cell r="L645">
            <v>2720</v>
          </cell>
          <cell r="M645">
            <v>2720</v>
          </cell>
          <cell r="N645">
            <v>272</v>
          </cell>
          <cell r="O645">
            <v>2992</v>
          </cell>
          <cell r="P645">
            <v>0</v>
          </cell>
          <cell r="Q645" t="str">
            <v/>
          </cell>
          <cell r="R645" t="str">
            <v>실온</v>
          </cell>
          <cell r="S645" t="str">
            <v>EA(10)</v>
          </cell>
          <cell r="T645" t="str">
            <v/>
          </cell>
          <cell r="U645" t="str">
            <v/>
          </cell>
          <cell r="V645" t="str">
            <v>2019-02-13</v>
          </cell>
          <cell r="W645" t="str">
            <v>2019-02-13 09:12:45</v>
          </cell>
          <cell r="X645" t="str">
            <v>hyeji0317</v>
          </cell>
        </row>
        <row r="646">
          <cell r="A646">
            <v>642</v>
          </cell>
          <cell r="B646" t="str">
            <v>2019-02-12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</row>
        <row r="647">
          <cell r="A647">
            <v>643</v>
          </cell>
          <cell r="B647" t="str">
            <v>2019-02-12</v>
          </cell>
          <cell r="C647" t="str">
            <v>더바른푸드</v>
          </cell>
          <cell r="D647" t="str">
            <v>더바른푸드</v>
          </cell>
          <cell r="E647" t="str">
            <v>일반</v>
          </cell>
          <cell r="F647" t="str">
            <v>입고완료</v>
          </cell>
          <cell r="G647">
            <v>264369</v>
          </cell>
          <cell r="H647" t="str">
            <v>롯데제과증평 미니딸기샌드(65g/EA)</v>
          </cell>
          <cell r="I647" t="str">
            <v>EA</v>
          </cell>
          <cell r="J647">
            <v>70</v>
          </cell>
          <cell r="K647">
            <v>70</v>
          </cell>
          <cell r="L647">
            <v>560</v>
          </cell>
          <cell r="M647">
            <v>39200</v>
          </cell>
          <cell r="N647">
            <v>3920</v>
          </cell>
          <cell r="O647">
            <v>43120</v>
          </cell>
          <cell r="P647">
            <v>0</v>
          </cell>
          <cell r="Q647" t="str">
            <v/>
          </cell>
          <cell r="R647" t="str">
            <v>실온</v>
          </cell>
          <cell r="S647" t="str">
            <v>EA(1)</v>
          </cell>
          <cell r="T647" t="str">
            <v/>
          </cell>
          <cell r="U647" t="str">
            <v/>
          </cell>
          <cell r="V647" t="str">
            <v>2019-01-31</v>
          </cell>
          <cell r="W647" t="str">
            <v>2019-01-31 13:23:13</v>
          </cell>
          <cell r="X647" t="str">
            <v>더바른푸드</v>
          </cell>
        </row>
        <row r="648">
          <cell r="A648">
            <v>644</v>
          </cell>
          <cell r="B648" t="str">
            <v>2019-02-12</v>
          </cell>
          <cell r="C648" t="str">
            <v>더바른푸드</v>
          </cell>
          <cell r="D648" t="str">
            <v>더바른푸드</v>
          </cell>
          <cell r="E648" t="str">
            <v>일반</v>
          </cell>
          <cell r="F648" t="str">
            <v>입고완료</v>
          </cell>
          <cell r="G648">
            <v>128182</v>
          </cell>
          <cell r="H648" t="str">
            <v>담양한과 찹쌀약과(사각_30g*10입 300g/EA)</v>
          </cell>
          <cell r="I648" t="str">
            <v>EA</v>
          </cell>
          <cell r="J648">
            <v>6</v>
          </cell>
          <cell r="K648">
            <v>6</v>
          </cell>
          <cell r="L648">
            <v>2720</v>
          </cell>
          <cell r="M648">
            <v>16320</v>
          </cell>
          <cell r="N648">
            <v>1632</v>
          </cell>
          <cell r="O648">
            <v>17952</v>
          </cell>
          <cell r="P648">
            <v>0</v>
          </cell>
          <cell r="Q648" t="str">
            <v/>
          </cell>
          <cell r="R648" t="str">
            <v>실온</v>
          </cell>
          <cell r="S648" t="str">
            <v>EA(10)</v>
          </cell>
          <cell r="T648" t="str">
            <v/>
          </cell>
          <cell r="U648" t="str">
            <v/>
          </cell>
          <cell r="V648" t="str">
            <v>2019-01-31</v>
          </cell>
          <cell r="W648" t="str">
            <v>2019-01-31 13:25:00</v>
          </cell>
          <cell r="X648" t="str">
            <v>더바른푸드</v>
          </cell>
        </row>
        <row r="649">
          <cell r="A649">
            <v>645</v>
          </cell>
          <cell r="B649" t="str">
            <v>2019-02-12</v>
          </cell>
          <cell r="C649" t="str">
            <v>더바른푸드</v>
          </cell>
          <cell r="D649" t="str">
            <v>더바른푸드</v>
          </cell>
          <cell r="E649" t="str">
            <v>일반</v>
          </cell>
          <cell r="F649" t="str">
            <v>입고완료</v>
          </cell>
          <cell r="G649">
            <v>136633</v>
          </cell>
          <cell r="H649" t="str">
            <v>이오 요구르트(80ml_유기농 80g/EA)</v>
          </cell>
          <cell r="I649" t="str">
            <v>EA</v>
          </cell>
          <cell r="J649">
            <v>130</v>
          </cell>
          <cell r="K649">
            <v>130</v>
          </cell>
          <cell r="L649">
            <v>300</v>
          </cell>
          <cell r="M649">
            <v>39000</v>
          </cell>
          <cell r="N649">
            <v>3900</v>
          </cell>
          <cell r="O649">
            <v>42900</v>
          </cell>
          <cell r="P649">
            <v>0</v>
          </cell>
          <cell r="Q649" t="str">
            <v>한국</v>
          </cell>
          <cell r="R649" t="str">
            <v>냉장</v>
          </cell>
          <cell r="S649" t="str">
            <v>EA(50)</v>
          </cell>
          <cell r="T649" t="str">
            <v/>
          </cell>
          <cell r="U649" t="str">
            <v>빨대부탁드립니다.</v>
          </cell>
          <cell r="V649" t="str">
            <v>2019-01-31</v>
          </cell>
          <cell r="W649" t="str">
            <v>2019-01-31 13:43:09</v>
          </cell>
          <cell r="X649" t="str">
            <v>더바른푸드</v>
          </cell>
        </row>
        <row r="650">
          <cell r="A650">
            <v>646</v>
          </cell>
          <cell r="B650" t="str">
            <v>2019-02-12</v>
          </cell>
          <cell r="C650" t="str">
            <v>더바른푸드</v>
          </cell>
          <cell r="D650" t="str">
            <v>더바른푸드</v>
          </cell>
          <cell r="E650" t="str">
            <v>일반</v>
          </cell>
          <cell r="F650" t="str">
            <v>입고완료</v>
          </cell>
          <cell r="G650">
            <v>108319</v>
          </cell>
          <cell r="H650" t="str">
            <v>연세우유 고칼슘두유(팩_200ml 200g/EA)</v>
          </cell>
          <cell r="I650" t="str">
            <v>EA</v>
          </cell>
          <cell r="J650">
            <v>48</v>
          </cell>
          <cell r="K650">
            <v>48</v>
          </cell>
          <cell r="L650">
            <v>280</v>
          </cell>
          <cell r="M650">
            <v>13440</v>
          </cell>
          <cell r="N650">
            <v>1344</v>
          </cell>
          <cell r="O650">
            <v>14784</v>
          </cell>
          <cell r="P650">
            <v>0</v>
          </cell>
          <cell r="Q650" t="str">
            <v>한국</v>
          </cell>
          <cell r="R650" t="str">
            <v>실온</v>
          </cell>
          <cell r="S650" t="str">
            <v>EA(1)</v>
          </cell>
          <cell r="T650" t="str">
            <v/>
          </cell>
          <cell r="U650" t="str">
            <v/>
          </cell>
          <cell r="V650" t="str">
            <v>2019-01-31</v>
          </cell>
          <cell r="W650" t="str">
            <v>2019-01-31 13:44:33</v>
          </cell>
          <cell r="X650" t="str">
            <v>더바른푸드</v>
          </cell>
        </row>
        <row r="651">
          <cell r="A651">
            <v>647</v>
          </cell>
          <cell r="B651" t="str">
            <v>2019-02-12</v>
          </cell>
          <cell r="C651" t="str">
            <v>더바른푸드</v>
          </cell>
          <cell r="D651" t="str">
            <v>더바른푸드</v>
          </cell>
          <cell r="E651" t="str">
            <v>일반</v>
          </cell>
          <cell r="F651" t="str">
            <v>입고완료</v>
          </cell>
          <cell r="G651">
            <v>177839</v>
          </cell>
          <cell r="H651" t="str">
            <v>이츠웰 단호박샐러드(16년리뉴얼 1Kg/EA)</v>
          </cell>
          <cell r="I651" t="str">
            <v>EA</v>
          </cell>
          <cell r="J651">
            <v>54</v>
          </cell>
          <cell r="K651">
            <v>54</v>
          </cell>
          <cell r="L651">
            <v>4430</v>
          </cell>
          <cell r="M651">
            <v>239220</v>
          </cell>
          <cell r="N651">
            <v>23922</v>
          </cell>
          <cell r="O651">
            <v>263142</v>
          </cell>
          <cell r="P651">
            <v>0</v>
          </cell>
          <cell r="Q651" t="str">
            <v/>
          </cell>
          <cell r="R651" t="str">
            <v>냉장</v>
          </cell>
          <cell r="S651" t="str">
            <v>EA(10)</v>
          </cell>
          <cell r="T651" t="str">
            <v/>
          </cell>
          <cell r="U651" t="str">
            <v/>
          </cell>
          <cell r="V651" t="str">
            <v>2019-02-08</v>
          </cell>
          <cell r="W651" t="str">
            <v>2019-02-08 12:17:59</v>
          </cell>
          <cell r="X651" t="str">
            <v>더바른푸드</v>
          </cell>
        </row>
        <row r="652">
          <cell r="A652">
            <v>648</v>
          </cell>
          <cell r="B652" t="str">
            <v>2019-02-12</v>
          </cell>
          <cell r="C652" t="str">
            <v>더바른푸드</v>
          </cell>
          <cell r="D652" t="str">
            <v>더바른푸드</v>
          </cell>
          <cell r="E652" t="str">
            <v>일반</v>
          </cell>
          <cell r="F652" t="str">
            <v>입고완료</v>
          </cell>
          <cell r="G652">
            <v>112116</v>
          </cell>
          <cell r="H652" t="str">
            <v>쉐프솔루션 동그랑땡(11g/개 1Kg/PAC)</v>
          </cell>
          <cell r="I652" t="str">
            <v>PAC</v>
          </cell>
          <cell r="J652">
            <v>15</v>
          </cell>
          <cell r="K652">
            <v>15</v>
          </cell>
          <cell r="L652">
            <v>4280</v>
          </cell>
          <cell r="M652">
            <v>64200</v>
          </cell>
          <cell r="N652">
            <v>6420</v>
          </cell>
          <cell r="O652">
            <v>70620</v>
          </cell>
          <cell r="P652">
            <v>0</v>
          </cell>
          <cell r="Q652" t="str">
            <v/>
          </cell>
          <cell r="R652" t="str">
            <v>냉동</v>
          </cell>
          <cell r="S652" t="str">
            <v>PAC(5)</v>
          </cell>
          <cell r="T652" t="str">
            <v/>
          </cell>
          <cell r="U652" t="str">
            <v/>
          </cell>
          <cell r="V652" t="str">
            <v>2019-02-08</v>
          </cell>
          <cell r="W652" t="str">
            <v>2019-02-08 12:31:44</v>
          </cell>
          <cell r="X652" t="str">
            <v>더바른푸드</v>
          </cell>
        </row>
        <row r="653">
          <cell r="A653">
            <v>649</v>
          </cell>
          <cell r="B653" t="str">
            <v>2019-02-12</v>
          </cell>
          <cell r="C653" t="str">
            <v>더바른푸드</v>
          </cell>
          <cell r="D653" t="str">
            <v>더바른푸드</v>
          </cell>
          <cell r="E653" t="str">
            <v>일반</v>
          </cell>
          <cell r="F653" t="str">
            <v>입고완료</v>
          </cell>
          <cell r="G653">
            <v>205745</v>
          </cell>
          <cell r="H653" t="str">
            <v>총알새송이버섯(실속 2Kg/BOX)</v>
          </cell>
          <cell r="I653" t="str">
            <v>BOX</v>
          </cell>
          <cell r="J653">
            <v>42</v>
          </cell>
          <cell r="K653">
            <v>42</v>
          </cell>
          <cell r="L653">
            <v>4820</v>
          </cell>
          <cell r="M653">
            <v>202440</v>
          </cell>
          <cell r="N653">
            <v>0</v>
          </cell>
          <cell r="O653">
            <v>202440</v>
          </cell>
          <cell r="P653">
            <v>0</v>
          </cell>
          <cell r="Q653" t="str">
            <v>한국</v>
          </cell>
          <cell r="R653" t="str">
            <v>냉장</v>
          </cell>
          <cell r="S653" t="str">
            <v>BOX(1)</v>
          </cell>
          <cell r="T653" t="str">
            <v/>
          </cell>
          <cell r="U653" t="str">
            <v/>
          </cell>
          <cell r="V653" t="str">
            <v>2019-02-08</v>
          </cell>
          <cell r="W653" t="str">
            <v>2019-02-08 12:59:29</v>
          </cell>
          <cell r="X653" t="str">
            <v>더바른푸드</v>
          </cell>
        </row>
        <row r="654">
          <cell r="A654">
            <v>650</v>
          </cell>
          <cell r="B654" t="str">
            <v>2019-02-12</v>
          </cell>
          <cell r="C654" t="str">
            <v>더바른푸드</v>
          </cell>
          <cell r="D654" t="str">
            <v>더바른푸드</v>
          </cell>
          <cell r="E654" t="str">
            <v>일반</v>
          </cell>
          <cell r="F654" t="str">
            <v>입고완료</v>
          </cell>
          <cell r="G654">
            <v>154930</v>
          </cell>
          <cell r="H654" t="str">
            <v>사조대림 곤약(LOW칼로리생활 2Kg/EA)</v>
          </cell>
          <cell r="I654" t="str">
            <v>EA</v>
          </cell>
          <cell r="J654">
            <v>3</v>
          </cell>
          <cell r="K654">
            <v>3</v>
          </cell>
          <cell r="L654">
            <v>3920</v>
          </cell>
          <cell r="M654">
            <v>11760</v>
          </cell>
          <cell r="N654">
            <v>1176</v>
          </cell>
          <cell r="O654">
            <v>12936</v>
          </cell>
          <cell r="P654">
            <v>0</v>
          </cell>
          <cell r="Q654" t="str">
            <v/>
          </cell>
          <cell r="R654" t="str">
            <v>실온</v>
          </cell>
          <cell r="S654" t="str">
            <v>EA(6)</v>
          </cell>
          <cell r="T654" t="str">
            <v/>
          </cell>
          <cell r="U654" t="str">
            <v/>
          </cell>
          <cell r="V654" t="str">
            <v>2019-02-08</v>
          </cell>
          <cell r="W654" t="str">
            <v>2019-02-08 13:04:29</v>
          </cell>
          <cell r="X654" t="str">
            <v>더바른푸드</v>
          </cell>
        </row>
        <row r="655">
          <cell r="A655">
            <v>651</v>
          </cell>
          <cell r="B655" t="str">
            <v>2019-02-12</v>
          </cell>
          <cell r="C655" t="str">
            <v>더바른푸드</v>
          </cell>
          <cell r="D655" t="str">
            <v>더바른푸드</v>
          </cell>
          <cell r="E655" t="str">
            <v>일반</v>
          </cell>
          <cell r="F655" t="str">
            <v>입고완료</v>
          </cell>
          <cell r="G655">
            <v>193090</v>
          </cell>
          <cell r="H655" t="str">
            <v>냉동감자(절단_3~4cm 1Kg/EA)</v>
          </cell>
          <cell r="I655" t="str">
            <v>EA</v>
          </cell>
          <cell r="J655">
            <v>10</v>
          </cell>
          <cell r="K655">
            <v>10</v>
          </cell>
          <cell r="L655">
            <v>1980</v>
          </cell>
          <cell r="M655">
            <v>19800</v>
          </cell>
          <cell r="N655">
            <v>1980</v>
          </cell>
          <cell r="O655">
            <v>21780</v>
          </cell>
          <cell r="P655">
            <v>0</v>
          </cell>
          <cell r="Q655" t="str">
            <v>중국</v>
          </cell>
          <cell r="R655" t="str">
            <v>냉동</v>
          </cell>
          <cell r="S655" t="str">
            <v>EA(1)</v>
          </cell>
          <cell r="T655" t="str">
            <v/>
          </cell>
          <cell r="U655" t="str">
            <v/>
          </cell>
          <cell r="V655" t="str">
            <v>2019-02-08</v>
          </cell>
          <cell r="W655" t="str">
            <v>2019-02-08 14:05:23</v>
          </cell>
          <cell r="X655" t="str">
            <v>더바른푸드</v>
          </cell>
        </row>
        <row r="656">
          <cell r="A656">
            <v>652</v>
          </cell>
          <cell r="B656" t="str">
            <v>2019-02-12</v>
          </cell>
          <cell r="C656" t="str">
            <v>더바른푸드</v>
          </cell>
          <cell r="D656" t="str">
            <v>더바른푸드</v>
          </cell>
          <cell r="E656" t="str">
            <v>일반</v>
          </cell>
          <cell r="F656" t="str">
            <v>입고완료</v>
          </cell>
          <cell r="G656">
            <v>177623</v>
          </cell>
          <cell r="H656" t="str">
            <v>이츠웰 꽁치캔(1.88Kg/EA)</v>
          </cell>
          <cell r="I656" t="str">
            <v>EA</v>
          </cell>
          <cell r="J656">
            <v>1</v>
          </cell>
          <cell r="K656">
            <v>1</v>
          </cell>
          <cell r="L656">
            <v>8820</v>
          </cell>
          <cell r="M656">
            <v>8820</v>
          </cell>
          <cell r="N656">
            <v>882</v>
          </cell>
          <cell r="O656">
            <v>9702</v>
          </cell>
          <cell r="P656">
            <v>0</v>
          </cell>
          <cell r="Q656" t="str">
            <v/>
          </cell>
          <cell r="R656" t="str">
            <v>실온</v>
          </cell>
          <cell r="S656" t="str">
            <v>EA(6)</v>
          </cell>
          <cell r="T656" t="str">
            <v/>
          </cell>
          <cell r="U656" t="str">
            <v/>
          </cell>
          <cell r="V656" t="str">
            <v>2019-02-08</v>
          </cell>
          <cell r="W656" t="str">
            <v>2019-02-08 14:22:10</v>
          </cell>
          <cell r="X656" t="str">
            <v>더바른푸드</v>
          </cell>
        </row>
        <row r="657">
          <cell r="A657">
            <v>653</v>
          </cell>
          <cell r="B657" t="str">
            <v>2019-02-12</v>
          </cell>
          <cell r="C657" t="str">
            <v>더바른푸드</v>
          </cell>
          <cell r="D657" t="str">
            <v>더바른푸드</v>
          </cell>
          <cell r="E657" t="str">
            <v>일반</v>
          </cell>
          <cell r="F657" t="str">
            <v>입고완료</v>
          </cell>
          <cell r="G657">
            <v>221871</v>
          </cell>
          <cell r="H657" t="str">
            <v>냉동시금치(IQF 1Kg/EA)</v>
          </cell>
          <cell r="I657" t="str">
            <v>EA</v>
          </cell>
          <cell r="J657">
            <v>30</v>
          </cell>
          <cell r="K657">
            <v>30</v>
          </cell>
          <cell r="L657">
            <v>1680</v>
          </cell>
          <cell r="M657">
            <v>50400</v>
          </cell>
          <cell r="N657">
            <v>5040</v>
          </cell>
          <cell r="O657">
            <v>55440</v>
          </cell>
          <cell r="P657">
            <v>0</v>
          </cell>
          <cell r="Q657" t="str">
            <v>중국</v>
          </cell>
          <cell r="R657" t="str">
            <v>냉동</v>
          </cell>
          <cell r="S657" t="str">
            <v>EA(1)</v>
          </cell>
          <cell r="T657" t="str">
            <v/>
          </cell>
          <cell r="U657" t="str">
            <v/>
          </cell>
          <cell r="V657" t="str">
            <v>2019-02-08</v>
          </cell>
          <cell r="W657" t="str">
            <v>2019-02-08 15:03:52</v>
          </cell>
          <cell r="X657" t="str">
            <v>더바른푸드</v>
          </cell>
        </row>
        <row r="658">
          <cell r="A658">
            <v>654</v>
          </cell>
          <cell r="B658" t="str">
            <v>2019-02-12</v>
          </cell>
          <cell r="C658" t="str">
            <v>더바른푸드</v>
          </cell>
          <cell r="D658" t="str">
            <v>더바른푸드</v>
          </cell>
          <cell r="E658" t="str">
            <v>일반</v>
          </cell>
          <cell r="F658" t="str">
            <v>입고완료</v>
          </cell>
          <cell r="G658">
            <v>160250</v>
          </cell>
          <cell r="H658" t="str">
            <v>마차촌 종합어묵(FS전용 1Kg/EA)</v>
          </cell>
          <cell r="I658" t="str">
            <v>EA</v>
          </cell>
          <cell r="J658">
            <v>5</v>
          </cell>
          <cell r="K658">
            <v>5</v>
          </cell>
          <cell r="L658">
            <v>2240</v>
          </cell>
          <cell r="M658">
            <v>11200</v>
          </cell>
          <cell r="N658">
            <v>1120</v>
          </cell>
          <cell r="O658">
            <v>12320</v>
          </cell>
          <cell r="P658">
            <v>0</v>
          </cell>
          <cell r="Q658" t="str">
            <v/>
          </cell>
          <cell r="R658" t="str">
            <v>냉장</v>
          </cell>
          <cell r="S658" t="str">
            <v>EA(10)</v>
          </cell>
          <cell r="T658" t="str">
            <v/>
          </cell>
          <cell r="U658" t="str">
            <v/>
          </cell>
          <cell r="V658" t="str">
            <v>2019-02-11</v>
          </cell>
          <cell r="W658" t="str">
            <v>2019-02-11 14:06:51</v>
          </cell>
          <cell r="X658" t="str">
            <v>더바른푸드</v>
          </cell>
        </row>
        <row r="659">
          <cell r="A659">
            <v>655</v>
          </cell>
          <cell r="B659" t="str">
            <v>2019-02-12</v>
          </cell>
          <cell r="C659" t="str">
            <v>더바른푸드</v>
          </cell>
          <cell r="D659" t="str">
            <v>더바른푸드</v>
          </cell>
          <cell r="E659" t="str">
            <v>일반</v>
          </cell>
          <cell r="F659" t="str">
            <v>입고완료</v>
          </cell>
          <cell r="G659">
            <v>168384</v>
          </cell>
          <cell r="H659" t="str">
            <v>사조대림 사각어묵(알뜰 1Kg/EA)</v>
          </cell>
          <cell r="I659" t="str">
            <v>EA</v>
          </cell>
          <cell r="J659">
            <v>10</v>
          </cell>
          <cell r="K659">
            <v>10</v>
          </cell>
          <cell r="L659">
            <v>2220</v>
          </cell>
          <cell r="M659">
            <v>22200</v>
          </cell>
          <cell r="N659">
            <v>2220</v>
          </cell>
          <cell r="O659">
            <v>24420</v>
          </cell>
          <cell r="P659">
            <v>0</v>
          </cell>
          <cell r="Q659" t="str">
            <v/>
          </cell>
          <cell r="R659" t="str">
            <v>냉장</v>
          </cell>
          <cell r="S659" t="str">
            <v>EA(1)</v>
          </cell>
          <cell r="T659" t="str">
            <v/>
          </cell>
          <cell r="U659" t="str">
            <v/>
          </cell>
          <cell r="V659" t="str">
            <v>2019-02-11</v>
          </cell>
          <cell r="W659" t="str">
            <v>2019-02-11 14:06:51</v>
          </cell>
          <cell r="X659" t="str">
            <v>더바른푸드</v>
          </cell>
        </row>
        <row r="660">
          <cell r="A660">
            <v>656</v>
          </cell>
          <cell r="B660" t="str">
            <v>2019-02-12</v>
          </cell>
          <cell r="C660" t="str">
            <v>더바른푸드</v>
          </cell>
          <cell r="D660" t="str">
            <v>더바른푸드</v>
          </cell>
          <cell r="E660" t="str">
            <v>일반</v>
          </cell>
          <cell r="F660" t="str">
            <v>입고완료</v>
          </cell>
          <cell r="G660">
            <v>236048</v>
          </cell>
          <cell r="H660" t="str">
            <v>종가집 묵은지(10Kg/BOX)</v>
          </cell>
          <cell r="I660" t="str">
            <v>BOX</v>
          </cell>
          <cell r="J660">
            <v>1</v>
          </cell>
          <cell r="K660">
            <v>1</v>
          </cell>
          <cell r="L660">
            <v>32520</v>
          </cell>
          <cell r="M660">
            <v>32520</v>
          </cell>
          <cell r="N660">
            <v>0</v>
          </cell>
          <cell r="O660">
            <v>32520</v>
          </cell>
          <cell r="P660">
            <v>0</v>
          </cell>
          <cell r="Q660" t="str">
            <v>한국</v>
          </cell>
          <cell r="R660" t="str">
            <v>냉장</v>
          </cell>
          <cell r="S660" t="str">
            <v>BOX(1)</v>
          </cell>
          <cell r="T660" t="str">
            <v/>
          </cell>
          <cell r="U660" t="str">
            <v/>
          </cell>
          <cell r="V660" t="str">
            <v>2019-02-11</v>
          </cell>
          <cell r="W660" t="str">
            <v>2019-02-11 14:57:55</v>
          </cell>
          <cell r="X660" t="str">
            <v>더바른푸드</v>
          </cell>
        </row>
        <row r="661">
          <cell r="A661">
            <v>657</v>
          </cell>
          <cell r="B661" t="str">
            <v>2019-02-11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</row>
        <row r="662">
          <cell r="A662">
            <v>658</v>
          </cell>
          <cell r="B662" t="str">
            <v>2019-02-11</v>
          </cell>
          <cell r="C662" t="str">
            <v>더바른푸드</v>
          </cell>
          <cell r="D662" t="str">
            <v>더바른푸드</v>
          </cell>
          <cell r="E662" t="str">
            <v>일반</v>
          </cell>
          <cell r="F662" t="str">
            <v>입고완료</v>
          </cell>
          <cell r="G662">
            <v>197123</v>
          </cell>
          <cell r="H662" t="str">
            <v>종가집 깍두기(숙성_2*2cm 10Kg/BOX)</v>
          </cell>
          <cell r="I662" t="str">
            <v>BOX</v>
          </cell>
          <cell r="J662">
            <v>2</v>
          </cell>
          <cell r="K662">
            <v>2</v>
          </cell>
          <cell r="L662">
            <v>33290</v>
          </cell>
          <cell r="M662">
            <v>66580</v>
          </cell>
          <cell r="N662">
            <v>0</v>
          </cell>
          <cell r="O662">
            <v>66580</v>
          </cell>
          <cell r="P662">
            <v>0</v>
          </cell>
          <cell r="Q662" t="str">
            <v>한국</v>
          </cell>
          <cell r="R662" t="str">
            <v>냉장</v>
          </cell>
          <cell r="S662" t="str">
            <v>BOX(1)</v>
          </cell>
          <cell r="T662" t="str">
            <v/>
          </cell>
          <cell r="U662" t="str">
            <v/>
          </cell>
          <cell r="V662" t="str">
            <v>2019-01-29</v>
          </cell>
          <cell r="W662" t="str">
            <v>2019-01-29 15:44:51</v>
          </cell>
          <cell r="X662" t="str">
            <v>더바른푸드</v>
          </cell>
        </row>
        <row r="663">
          <cell r="A663">
            <v>659</v>
          </cell>
          <cell r="B663" t="str">
            <v>2019-02-11</v>
          </cell>
          <cell r="C663" t="str">
            <v>더바른푸드</v>
          </cell>
          <cell r="D663" t="str">
            <v>더바른푸드</v>
          </cell>
          <cell r="E663" t="str">
            <v>일반</v>
          </cell>
          <cell r="F663" t="str">
            <v>입고완료</v>
          </cell>
          <cell r="G663">
            <v>166334</v>
          </cell>
          <cell r="H663" t="str">
            <v>종로복떡방 흰꿀떡(멥쌀_20G*50입 1Kg/EA)</v>
          </cell>
          <cell r="I663" t="str">
            <v>EA</v>
          </cell>
          <cell r="J663">
            <v>12</v>
          </cell>
          <cell r="K663">
            <v>12</v>
          </cell>
          <cell r="L663">
            <v>6750</v>
          </cell>
          <cell r="M663">
            <v>81000</v>
          </cell>
          <cell r="N663">
            <v>8100</v>
          </cell>
          <cell r="O663">
            <v>89100</v>
          </cell>
          <cell r="P663">
            <v>0</v>
          </cell>
          <cell r="Q663" t="str">
            <v/>
          </cell>
          <cell r="R663" t="str">
            <v>냉동</v>
          </cell>
          <cell r="S663" t="str">
            <v>EA(1)</v>
          </cell>
          <cell r="T663" t="str">
            <v/>
          </cell>
          <cell r="U663" t="str">
            <v/>
          </cell>
          <cell r="V663" t="str">
            <v>2019-01-31</v>
          </cell>
          <cell r="W663" t="str">
            <v>2019-01-31 13:19:27</v>
          </cell>
          <cell r="X663" t="str">
            <v>더바른푸드</v>
          </cell>
        </row>
        <row r="664">
          <cell r="A664">
            <v>660</v>
          </cell>
          <cell r="B664" t="str">
            <v>2019-02-11</v>
          </cell>
          <cell r="C664" t="str">
            <v>더바른푸드</v>
          </cell>
          <cell r="D664" t="str">
            <v>더바른푸드</v>
          </cell>
          <cell r="E664" t="str">
            <v>일반</v>
          </cell>
          <cell r="F664" t="str">
            <v>입고완료</v>
          </cell>
          <cell r="G664">
            <v>130283</v>
          </cell>
          <cell r="H664" t="str">
            <v>선인 통군고구마(2Kg/EA)</v>
          </cell>
          <cell r="I664" t="str">
            <v>EA</v>
          </cell>
          <cell r="J664">
            <v>13</v>
          </cell>
          <cell r="K664">
            <v>13</v>
          </cell>
          <cell r="L664">
            <v>12240</v>
          </cell>
          <cell r="M664">
            <v>159120</v>
          </cell>
          <cell r="N664">
            <v>15912</v>
          </cell>
          <cell r="O664">
            <v>175032</v>
          </cell>
          <cell r="P664">
            <v>0</v>
          </cell>
          <cell r="Q664" t="str">
            <v/>
          </cell>
          <cell r="R664" t="str">
            <v>냉동</v>
          </cell>
          <cell r="S664" t="str">
            <v>EA(10)</v>
          </cell>
          <cell r="T664" t="str">
            <v/>
          </cell>
          <cell r="U664" t="str">
            <v/>
          </cell>
          <cell r="V664" t="str">
            <v>2019-01-31</v>
          </cell>
          <cell r="W664" t="str">
            <v>2019-01-31 13:19:27</v>
          </cell>
          <cell r="X664" t="str">
            <v>더바른푸드</v>
          </cell>
        </row>
        <row r="665">
          <cell r="A665">
            <v>661</v>
          </cell>
          <cell r="B665" t="str">
            <v>2019-02-11</v>
          </cell>
          <cell r="C665" t="str">
            <v>더바른푸드</v>
          </cell>
          <cell r="D665" t="str">
            <v>더바른푸드</v>
          </cell>
          <cell r="E665" t="str">
            <v>일반</v>
          </cell>
          <cell r="F665" t="str">
            <v>입고완료</v>
          </cell>
          <cell r="G665">
            <v>160244</v>
          </cell>
          <cell r="H665" t="str">
            <v>비피더스 떠먹는요구르트(복숭아 83g/EA)</v>
          </cell>
          <cell r="I665" t="str">
            <v>EA</v>
          </cell>
          <cell r="J665">
            <v>130</v>
          </cell>
          <cell r="K665">
            <v>130</v>
          </cell>
          <cell r="L665">
            <v>300</v>
          </cell>
          <cell r="M665">
            <v>39000</v>
          </cell>
          <cell r="N665">
            <v>3900</v>
          </cell>
          <cell r="O665">
            <v>42900</v>
          </cell>
          <cell r="P665">
            <v>0</v>
          </cell>
          <cell r="Q665" t="str">
            <v>한국</v>
          </cell>
          <cell r="R665" t="str">
            <v>냉장</v>
          </cell>
          <cell r="S665" t="str">
            <v>EA(1)</v>
          </cell>
          <cell r="T665" t="str">
            <v/>
          </cell>
          <cell r="U665" t="str">
            <v>스푼 부탁드립니다</v>
          </cell>
          <cell r="V665" t="str">
            <v>2019-01-31</v>
          </cell>
          <cell r="W665" t="str">
            <v>2019-01-31 13:40:44</v>
          </cell>
          <cell r="X665" t="str">
            <v>더바른푸드</v>
          </cell>
        </row>
        <row r="666">
          <cell r="A666">
            <v>662</v>
          </cell>
          <cell r="B666" t="str">
            <v>2019-02-11</v>
          </cell>
          <cell r="C666" t="str">
            <v>더바른푸드</v>
          </cell>
          <cell r="D666" t="str">
            <v>더바른푸드</v>
          </cell>
          <cell r="E666" t="str">
            <v>일반</v>
          </cell>
          <cell r="F666" t="str">
            <v>입고완료</v>
          </cell>
          <cell r="G666">
            <v>159126</v>
          </cell>
          <cell r="H666" t="str">
            <v>건강마을 플리또주스(100ml_유기농_포도 100g/EA)</v>
          </cell>
          <cell r="I666" t="str">
            <v>BOX</v>
          </cell>
          <cell r="J666">
            <v>5</v>
          </cell>
          <cell r="K666">
            <v>5</v>
          </cell>
          <cell r="L666">
            <v>17600</v>
          </cell>
          <cell r="M666">
            <v>88000</v>
          </cell>
          <cell r="N666">
            <v>8800</v>
          </cell>
          <cell r="O666">
            <v>96800</v>
          </cell>
          <cell r="P666">
            <v>0</v>
          </cell>
          <cell r="Q666" t="str">
            <v/>
          </cell>
          <cell r="R666" t="str">
            <v>실온</v>
          </cell>
          <cell r="S666" t="str">
            <v>EA(40)</v>
          </cell>
          <cell r="T666" t="str">
            <v/>
          </cell>
          <cell r="U666" t="str">
            <v/>
          </cell>
          <cell r="V666" t="str">
            <v>2019-01-31</v>
          </cell>
          <cell r="W666" t="str">
            <v>2019-01-31 13:50:28</v>
          </cell>
          <cell r="X666" t="str">
            <v>더바른푸드</v>
          </cell>
        </row>
        <row r="667">
          <cell r="A667">
            <v>663</v>
          </cell>
          <cell r="B667" t="str">
            <v>2019-02-11</v>
          </cell>
          <cell r="C667" t="str">
            <v>더바른푸드</v>
          </cell>
          <cell r="D667" t="str">
            <v>더바른푸드</v>
          </cell>
          <cell r="E667" t="str">
            <v>일반</v>
          </cell>
          <cell r="F667" t="str">
            <v>입고완료</v>
          </cell>
          <cell r="G667">
            <v>178343</v>
          </cell>
          <cell r="H667" t="str">
            <v>딤섬 표고버섯튀김(65±5개입 1Kg/EA)</v>
          </cell>
          <cell r="I667" t="str">
            <v>EA</v>
          </cell>
          <cell r="J667">
            <v>50</v>
          </cell>
          <cell r="K667">
            <v>50</v>
          </cell>
          <cell r="L667">
            <v>5160</v>
          </cell>
          <cell r="M667">
            <v>258000</v>
          </cell>
          <cell r="N667">
            <v>25800</v>
          </cell>
          <cell r="O667">
            <v>283800</v>
          </cell>
          <cell r="P667">
            <v>0</v>
          </cell>
          <cell r="Q667" t="str">
            <v/>
          </cell>
          <cell r="R667" t="str">
            <v>냉동</v>
          </cell>
          <cell r="S667" t="str">
            <v>EA(10)</v>
          </cell>
          <cell r="T667" t="str">
            <v/>
          </cell>
          <cell r="U667" t="str">
            <v/>
          </cell>
          <cell r="V667" t="str">
            <v>2019-02-07</v>
          </cell>
          <cell r="W667" t="str">
            <v>2019-02-07 13:08:50</v>
          </cell>
          <cell r="X667" t="str">
            <v>더바른푸드</v>
          </cell>
        </row>
        <row r="668">
          <cell r="A668">
            <v>664</v>
          </cell>
          <cell r="B668" t="str">
            <v>2019-02-11</v>
          </cell>
          <cell r="C668" t="str">
            <v>더바른푸드</v>
          </cell>
          <cell r="D668" t="str">
            <v>더바른푸드</v>
          </cell>
          <cell r="E668" t="str">
            <v>일반</v>
          </cell>
          <cell r="F668" t="str">
            <v>입고완료</v>
          </cell>
          <cell r="G668">
            <v>114264</v>
          </cell>
          <cell r="H668" t="str">
            <v>동성식품 한입쌀떡볶이떡(1Kg/EA)</v>
          </cell>
          <cell r="I668" t="str">
            <v>EA</v>
          </cell>
          <cell r="J668">
            <v>10</v>
          </cell>
          <cell r="K668">
            <v>10</v>
          </cell>
          <cell r="L668">
            <v>1340</v>
          </cell>
          <cell r="M668">
            <v>13400</v>
          </cell>
          <cell r="N668">
            <v>1340</v>
          </cell>
          <cell r="O668">
            <v>14740</v>
          </cell>
          <cell r="P668">
            <v>0</v>
          </cell>
          <cell r="Q668" t="str">
            <v>수입산</v>
          </cell>
          <cell r="R668" t="str">
            <v>냉장</v>
          </cell>
          <cell r="S668" t="str">
            <v>EA(1)</v>
          </cell>
          <cell r="T668" t="str">
            <v/>
          </cell>
          <cell r="U668" t="str">
            <v/>
          </cell>
          <cell r="V668" t="str">
            <v>2019-02-07</v>
          </cell>
          <cell r="W668" t="str">
            <v>2019-02-07 13:14:27</v>
          </cell>
          <cell r="X668" t="str">
            <v>더바른푸드</v>
          </cell>
        </row>
        <row r="669">
          <cell r="A669">
            <v>665</v>
          </cell>
          <cell r="B669" t="str">
            <v>2019-02-11</v>
          </cell>
          <cell r="C669" t="str">
            <v>더바른푸드</v>
          </cell>
          <cell r="D669" t="str">
            <v>더바른푸드</v>
          </cell>
          <cell r="E669" t="str">
            <v>일반</v>
          </cell>
          <cell r="F669" t="str">
            <v>입고완료</v>
          </cell>
          <cell r="G669">
            <v>266412</v>
          </cell>
          <cell r="H669" t="str">
            <v>한미식품 유부(슬라이스 1Kg/EA)</v>
          </cell>
          <cell r="I669" t="str">
            <v>EA</v>
          </cell>
          <cell r="J669">
            <v>2</v>
          </cell>
          <cell r="K669">
            <v>2</v>
          </cell>
          <cell r="L669">
            <v>6550</v>
          </cell>
          <cell r="M669">
            <v>13100</v>
          </cell>
          <cell r="N669">
            <v>1310</v>
          </cell>
          <cell r="O669">
            <v>14410</v>
          </cell>
          <cell r="P669">
            <v>0</v>
          </cell>
          <cell r="Q669" t="str">
            <v>외국산</v>
          </cell>
          <cell r="R669" t="str">
            <v>냉동</v>
          </cell>
          <cell r="S669" t="str">
            <v>EA(4)</v>
          </cell>
          <cell r="T669" t="str">
            <v/>
          </cell>
          <cell r="U669" t="str">
            <v/>
          </cell>
          <cell r="V669" t="str">
            <v>2019-02-07</v>
          </cell>
          <cell r="W669" t="str">
            <v>2019-02-07 13:53:58</v>
          </cell>
          <cell r="X669" t="str">
            <v>더바른푸드</v>
          </cell>
        </row>
        <row r="670">
          <cell r="A670">
            <v>666</v>
          </cell>
          <cell r="B670" t="str">
            <v>2019-02-11</v>
          </cell>
          <cell r="C670" t="str">
            <v>더바른푸드</v>
          </cell>
          <cell r="D670" t="str">
            <v>더바른푸드</v>
          </cell>
          <cell r="E670" t="str">
            <v>일반</v>
          </cell>
          <cell r="F670" t="str">
            <v>입고완료</v>
          </cell>
          <cell r="G670">
            <v>105902</v>
          </cell>
          <cell r="H670" t="str">
            <v>아와세 아까미소(일식용 1Kg/EA)</v>
          </cell>
          <cell r="I670" t="str">
            <v>EA</v>
          </cell>
          <cell r="J670">
            <v>9</v>
          </cell>
          <cell r="K670">
            <v>9</v>
          </cell>
          <cell r="L670">
            <v>4070</v>
          </cell>
          <cell r="M670">
            <v>36630</v>
          </cell>
          <cell r="N670">
            <v>3663</v>
          </cell>
          <cell r="O670">
            <v>40293</v>
          </cell>
          <cell r="P670">
            <v>0</v>
          </cell>
          <cell r="Q670" t="str">
            <v>일본</v>
          </cell>
          <cell r="R670" t="str">
            <v>실온</v>
          </cell>
          <cell r="S670" t="str">
            <v>EA(10)</v>
          </cell>
          <cell r="T670" t="str">
            <v/>
          </cell>
          <cell r="U670" t="str">
            <v/>
          </cell>
          <cell r="V670" t="str">
            <v>2019-02-07</v>
          </cell>
          <cell r="W670" t="str">
            <v>2019-02-07 13:56:32</v>
          </cell>
          <cell r="X670" t="str">
            <v>더바른푸드</v>
          </cell>
        </row>
        <row r="671">
          <cell r="A671">
            <v>667</v>
          </cell>
          <cell r="B671" t="str">
            <v>2019-02-11</v>
          </cell>
          <cell r="C671" t="str">
            <v>더바른푸드</v>
          </cell>
          <cell r="D671" t="str">
            <v>더바른푸드</v>
          </cell>
          <cell r="E671" t="str">
            <v>일반</v>
          </cell>
          <cell r="F671" t="str">
            <v>입고완료</v>
          </cell>
          <cell r="G671">
            <v>144979</v>
          </cell>
          <cell r="H671" t="str">
            <v>이츠웰 스테이크소스(PET 2Kg/EA)</v>
          </cell>
          <cell r="I671" t="str">
            <v>EA</v>
          </cell>
          <cell r="J671">
            <v>6</v>
          </cell>
          <cell r="K671">
            <v>6</v>
          </cell>
          <cell r="L671">
            <v>4070</v>
          </cell>
          <cell r="M671">
            <v>24420</v>
          </cell>
          <cell r="N671">
            <v>2442</v>
          </cell>
          <cell r="O671">
            <v>26862</v>
          </cell>
          <cell r="P671">
            <v>0</v>
          </cell>
          <cell r="Q671" t="str">
            <v/>
          </cell>
          <cell r="R671" t="str">
            <v>실온</v>
          </cell>
          <cell r="S671" t="str">
            <v>EA(6)</v>
          </cell>
          <cell r="T671" t="str">
            <v/>
          </cell>
          <cell r="U671" t="str">
            <v/>
          </cell>
          <cell r="V671" t="str">
            <v>2019-02-07</v>
          </cell>
          <cell r="W671" t="str">
            <v>2019-02-07 14:04:13</v>
          </cell>
          <cell r="X671" t="str">
            <v>더바른푸드</v>
          </cell>
        </row>
        <row r="672">
          <cell r="A672">
            <v>668</v>
          </cell>
          <cell r="B672" t="str">
            <v>2019-02-11</v>
          </cell>
          <cell r="C672" t="str">
            <v>더바른푸드</v>
          </cell>
          <cell r="D672" t="str">
            <v>더바른푸드</v>
          </cell>
          <cell r="E672" t="str">
            <v>일반</v>
          </cell>
          <cell r="F672" t="str">
            <v>입고완료</v>
          </cell>
          <cell r="G672">
            <v>122935</v>
          </cell>
          <cell r="H672" t="str">
            <v>리치스 스위트콘(2.95Kg/EA)</v>
          </cell>
          <cell r="I672" t="str">
            <v>EA</v>
          </cell>
          <cell r="J672">
            <v>12</v>
          </cell>
          <cell r="K672">
            <v>12</v>
          </cell>
          <cell r="L672">
            <v>2860</v>
          </cell>
          <cell r="M672">
            <v>34320</v>
          </cell>
          <cell r="N672">
            <v>3432</v>
          </cell>
          <cell r="O672">
            <v>37752</v>
          </cell>
          <cell r="P672">
            <v>0</v>
          </cell>
          <cell r="Q672" t="str">
            <v>태국</v>
          </cell>
          <cell r="R672" t="str">
            <v>실온</v>
          </cell>
          <cell r="S672" t="str">
            <v>EA(6)</v>
          </cell>
          <cell r="T672" t="str">
            <v/>
          </cell>
          <cell r="U672" t="str">
            <v/>
          </cell>
          <cell r="V672" t="str">
            <v>2019-02-07</v>
          </cell>
          <cell r="W672" t="str">
            <v>2019-02-07 14:11:36</v>
          </cell>
          <cell r="X672" t="str">
            <v>더바른푸드</v>
          </cell>
        </row>
        <row r="673">
          <cell r="A673">
            <v>669</v>
          </cell>
          <cell r="B673" t="str">
            <v>2019-02-11</v>
          </cell>
          <cell r="C673" t="str">
            <v>더바른푸드</v>
          </cell>
          <cell r="D673" t="str">
            <v>더바른푸드</v>
          </cell>
          <cell r="E673" t="str">
            <v>일반</v>
          </cell>
          <cell r="F673" t="str">
            <v>입고완료</v>
          </cell>
          <cell r="G673">
            <v>228824</v>
          </cell>
          <cell r="H673" t="str">
            <v>고등어(내장제거_90~110g/토막_평균100g 구이용 100g/EA)</v>
          </cell>
          <cell r="I673" t="str">
            <v>EA</v>
          </cell>
          <cell r="J673">
            <v>50</v>
          </cell>
          <cell r="K673">
            <v>50</v>
          </cell>
          <cell r="L673">
            <v>460</v>
          </cell>
          <cell r="M673">
            <v>23000</v>
          </cell>
          <cell r="N673">
            <v>0</v>
          </cell>
          <cell r="O673">
            <v>23000</v>
          </cell>
          <cell r="P673">
            <v>0</v>
          </cell>
          <cell r="Q673" t="str">
            <v>한국</v>
          </cell>
          <cell r="R673" t="str">
            <v>냉동</v>
          </cell>
          <cell r="S673" t="str">
            <v>EA(1)</v>
          </cell>
          <cell r="T673" t="str">
            <v/>
          </cell>
          <cell r="U673" t="str">
            <v/>
          </cell>
          <cell r="V673" t="str">
            <v>2019-02-07</v>
          </cell>
          <cell r="W673" t="str">
            <v>2019-02-07 14:20:12</v>
          </cell>
          <cell r="X673" t="str">
            <v>더바른푸드</v>
          </cell>
        </row>
        <row r="674">
          <cell r="A674">
            <v>670</v>
          </cell>
          <cell r="B674" t="str">
            <v>2019-02-11</v>
          </cell>
          <cell r="C674" t="str">
            <v>더바른푸드</v>
          </cell>
          <cell r="D674" t="str">
            <v>더바른푸드</v>
          </cell>
          <cell r="E674" t="str">
            <v>일반</v>
          </cell>
          <cell r="F674" t="str">
            <v>입고완료</v>
          </cell>
          <cell r="G674">
            <v>201152</v>
          </cell>
          <cell r="H674" t="str">
            <v>깐도라지채(KG)</v>
          </cell>
          <cell r="I674" t="str">
            <v>KG</v>
          </cell>
          <cell r="J674">
            <v>4</v>
          </cell>
          <cell r="K674">
            <v>4</v>
          </cell>
          <cell r="L674">
            <v>5380</v>
          </cell>
          <cell r="M674">
            <v>21520</v>
          </cell>
          <cell r="N674">
            <v>0</v>
          </cell>
          <cell r="O674">
            <v>21520</v>
          </cell>
          <cell r="P674">
            <v>0</v>
          </cell>
          <cell r="Q674" t="str">
            <v>중국</v>
          </cell>
          <cell r="R674" t="str">
            <v>냉장</v>
          </cell>
          <cell r="S674" t="str">
            <v>KG(1)</v>
          </cell>
          <cell r="T674" t="str">
            <v/>
          </cell>
          <cell r="U674" t="str">
            <v/>
          </cell>
          <cell r="V674" t="str">
            <v>2019-02-07</v>
          </cell>
          <cell r="W674" t="str">
            <v>2019-02-07 14:20:12</v>
          </cell>
          <cell r="X674" t="str">
            <v>더바른푸드</v>
          </cell>
        </row>
        <row r="675">
          <cell r="A675">
            <v>671</v>
          </cell>
          <cell r="B675" t="str">
            <v>2019-02-11</v>
          </cell>
          <cell r="C675" t="str">
            <v>더바른푸드</v>
          </cell>
          <cell r="D675" t="str">
            <v>더바른푸드</v>
          </cell>
          <cell r="E675" t="str">
            <v>일반</v>
          </cell>
          <cell r="F675" t="str">
            <v>입고완료</v>
          </cell>
          <cell r="G675">
            <v>142562</v>
          </cell>
          <cell r="H675" t="str">
            <v>반찬단지 양념깻잎지(1Kg/EA)</v>
          </cell>
          <cell r="I675" t="str">
            <v>EA</v>
          </cell>
          <cell r="J675">
            <v>3</v>
          </cell>
          <cell r="K675">
            <v>3</v>
          </cell>
          <cell r="L675">
            <v>4390</v>
          </cell>
          <cell r="M675">
            <v>13170</v>
          </cell>
          <cell r="N675">
            <v>1317</v>
          </cell>
          <cell r="O675">
            <v>14487</v>
          </cell>
          <cell r="P675">
            <v>0</v>
          </cell>
          <cell r="Q675" t="str">
            <v>중국</v>
          </cell>
          <cell r="R675" t="str">
            <v>냉장</v>
          </cell>
          <cell r="S675" t="str">
            <v>EA(10)</v>
          </cell>
          <cell r="T675" t="str">
            <v/>
          </cell>
          <cell r="U675" t="str">
            <v/>
          </cell>
          <cell r="V675" t="str">
            <v>2019-02-07</v>
          </cell>
          <cell r="W675" t="str">
            <v>2019-02-07 14:20:12</v>
          </cell>
          <cell r="X675" t="str">
            <v>더바른푸드</v>
          </cell>
        </row>
        <row r="676">
          <cell r="A676">
            <v>672</v>
          </cell>
          <cell r="B676" t="str">
            <v>2019-02-11</v>
          </cell>
          <cell r="C676" t="str">
            <v>더바른푸드</v>
          </cell>
          <cell r="D676" t="str">
            <v>더바른푸드</v>
          </cell>
          <cell r="E676" t="str">
            <v>일반</v>
          </cell>
          <cell r="F676" t="str">
            <v>입고완료</v>
          </cell>
          <cell r="G676">
            <v>198029</v>
          </cell>
          <cell r="H676" t="str">
            <v>농촌 맛김치(일배용 10Kg/BOX)</v>
          </cell>
          <cell r="I676" t="str">
            <v>BOX</v>
          </cell>
          <cell r="J676">
            <v>2</v>
          </cell>
          <cell r="K676">
            <v>2</v>
          </cell>
          <cell r="L676">
            <v>10510</v>
          </cell>
          <cell r="M676">
            <v>21020</v>
          </cell>
          <cell r="N676">
            <v>0</v>
          </cell>
          <cell r="O676">
            <v>21020</v>
          </cell>
          <cell r="P676">
            <v>0</v>
          </cell>
          <cell r="Q676" t="str">
            <v>중국</v>
          </cell>
          <cell r="R676" t="str">
            <v>냉장</v>
          </cell>
          <cell r="S676" t="str">
            <v>BOX(1)</v>
          </cell>
          <cell r="T676" t="str">
            <v/>
          </cell>
          <cell r="U676" t="str">
            <v/>
          </cell>
          <cell r="V676" t="str">
            <v>2019-02-07</v>
          </cell>
          <cell r="W676" t="str">
            <v>2019-02-07 15:05:24</v>
          </cell>
          <cell r="X676" t="str">
            <v>더바른푸드</v>
          </cell>
        </row>
        <row r="677">
          <cell r="A677">
            <v>673</v>
          </cell>
          <cell r="B677" t="str">
            <v>2019-02-11</v>
          </cell>
          <cell r="C677" t="str">
            <v>더바른푸드</v>
          </cell>
          <cell r="D677" t="str">
            <v>더바른푸드</v>
          </cell>
          <cell r="E677" t="str">
            <v>일반</v>
          </cell>
          <cell r="F677" t="str">
            <v>입고완료</v>
          </cell>
          <cell r="G677">
            <v>406596</v>
          </cell>
          <cell r="H677" t="str">
            <v>체리부로 닭윙(1등급 30±5g/개_껍질있음 KG)</v>
          </cell>
          <cell r="I677" t="str">
            <v>KG</v>
          </cell>
          <cell r="J677">
            <v>110</v>
          </cell>
          <cell r="K677">
            <v>110</v>
          </cell>
          <cell r="L677">
            <v>7580</v>
          </cell>
          <cell r="M677">
            <v>833800</v>
          </cell>
          <cell r="N677">
            <v>0</v>
          </cell>
          <cell r="O677">
            <v>833800</v>
          </cell>
          <cell r="P677">
            <v>0</v>
          </cell>
          <cell r="Q677" t="str">
            <v>한국</v>
          </cell>
          <cell r="R677" t="str">
            <v>냉장</v>
          </cell>
          <cell r="S677" t="str">
            <v>KG(1)</v>
          </cell>
          <cell r="T677" t="str">
            <v/>
          </cell>
          <cell r="U677" t="str">
            <v/>
          </cell>
          <cell r="V677" t="str">
            <v>2019-02-08</v>
          </cell>
          <cell r="W677" t="str">
            <v>2019-02-08 12:08:25</v>
          </cell>
          <cell r="X677" t="str">
            <v>더바른푸드</v>
          </cell>
        </row>
        <row r="678">
          <cell r="A678">
            <v>674</v>
          </cell>
          <cell r="B678" t="str">
            <v>2019-02-09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A679">
            <v>675</v>
          </cell>
          <cell r="B679" t="str">
            <v>2019-02-09</v>
          </cell>
          <cell r="C679" t="str">
            <v>더바른푸드</v>
          </cell>
          <cell r="D679" t="str">
            <v>더바른푸드</v>
          </cell>
          <cell r="E679" t="str">
            <v>일반</v>
          </cell>
          <cell r="F679" t="str">
            <v>입고완료</v>
          </cell>
          <cell r="G679">
            <v>261098</v>
          </cell>
          <cell r="H679" t="str">
            <v>냉동비름나물(IQF 2Kg/EA)</v>
          </cell>
          <cell r="I679" t="str">
            <v>EA</v>
          </cell>
          <cell r="J679">
            <v>1</v>
          </cell>
          <cell r="K679">
            <v>1</v>
          </cell>
          <cell r="L679">
            <v>13870</v>
          </cell>
          <cell r="M679">
            <v>13870</v>
          </cell>
          <cell r="N679">
            <v>0</v>
          </cell>
          <cell r="O679">
            <v>13870</v>
          </cell>
          <cell r="P679">
            <v>0</v>
          </cell>
          <cell r="Q679" t="str">
            <v>한국</v>
          </cell>
          <cell r="R679" t="str">
            <v>냉동</v>
          </cell>
          <cell r="S679" t="str">
            <v>EA(1)</v>
          </cell>
          <cell r="T679" t="str">
            <v/>
          </cell>
          <cell r="U679" t="str">
            <v/>
          </cell>
          <cell r="V679" t="str">
            <v>2019-02-08</v>
          </cell>
          <cell r="W679" t="str">
            <v>2019-02-08 14:14:50</v>
          </cell>
          <cell r="X679" t="str">
            <v>더바른푸드</v>
          </cell>
        </row>
        <row r="680">
          <cell r="A680">
            <v>676</v>
          </cell>
          <cell r="B680" t="str">
            <v>2019-02-09</v>
          </cell>
          <cell r="C680" t="str">
            <v>더바른푸드</v>
          </cell>
          <cell r="D680" t="str">
            <v>더바른푸드</v>
          </cell>
          <cell r="E680" t="str">
            <v>일반</v>
          </cell>
          <cell r="F680" t="str">
            <v>입고완료</v>
          </cell>
          <cell r="G680">
            <v>143791</v>
          </cell>
          <cell r="H680" t="str">
            <v>이츠웰 참기름(NEW_PET_1.8L 1.65Kg/EA)</v>
          </cell>
          <cell r="I680" t="str">
            <v>EA</v>
          </cell>
          <cell r="J680">
            <v>12</v>
          </cell>
          <cell r="K680">
            <v>12</v>
          </cell>
          <cell r="L680">
            <v>14780</v>
          </cell>
          <cell r="M680">
            <v>177360</v>
          </cell>
          <cell r="N680">
            <v>17736</v>
          </cell>
          <cell r="O680">
            <v>195096</v>
          </cell>
          <cell r="P680">
            <v>0</v>
          </cell>
          <cell r="Q680" t="str">
            <v>베트남</v>
          </cell>
          <cell r="R680" t="str">
            <v>실온</v>
          </cell>
          <cell r="S680" t="str">
            <v>EA(6)</v>
          </cell>
          <cell r="T680" t="str">
            <v/>
          </cell>
          <cell r="U680" t="str">
            <v/>
          </cell>
          <cell r="V680" t="str">
            <v>2019-02-08</v>
          </cell>
          <cell r="W680" t="str">
            <v>2019-02-08 14:19:23</v>
          </cell>
          <cell r="X680" t="str">
            <v>더바른푸드</v>
          </cell>
        </row>
        <row r="681">
          <cell r="A681">
            <v>677</v>
          </cell>
          <cell r="B681" t="str">
            <v>2019-02-09</v>
          </cell>
          <cell r="C681" t="str">
            <v>더바른푸드</v>
          </cell>
          <cell r="D681" t="str">
            <v>더바른푸드</v>
          </cell>
          <cell r="E681" t="str">
            <v>일반</v>
          </cell>
          <cell r="F681" t="str">
            <v>입고완료</v>
          </cell>
          <cell r="G681">
            <v>240002</v>
          </cell>
          <cell r="H681" t="str">
            <v>귀리(1Kg/EA)</v>
          </cell>
          <cell r="I681" t="str">
            <v>EA</v>
          </cell>
          <cell r="J681">
            <v>10</v>
          </cell>
          <cell r="K681">
            <v>10</v>
          </cell>
          <cell r="L681">
            <v>2000</v>
          </cell>
          <cell r="M681">
            <v>20000</v>
          </cell>
          <cell r="N681">
            <v>0</v>
          </cell>
          <cell r="O681">
            <v>20000</v>
          </cell>
          <cell r="P681">
            <v>0</v>
          </cell>
          <cell r="Q681" t="str">
            <v>호주</v>
          </cell>
          <cell r="R681" t="str">
            <v>실온</v>
          </cell>
          <cell r="S681" t="str">
            <v>EA(1)</v>
          </cell>
          <cell r="T681" t="str">
            <v/>
          </cell>
          <cell r="U681" t="str">
            <v/>
          </cell>
          <cell r="V681" t="str">
            <v>2019-02-08</v>
          </cell>
          <cell r="W681" t="str">
            <v>2019-02-08 14:19:23</v>
          </cell>
          <cell r="X681" t="str">
            <v>더바른푸드</v>
          </cell>
        </row>
        <row r="682">
          <cell r="A682">
            <v>678</v>
          </cell>
          <cell r="B682" t="str">
            <v>2019-02-09</v>
          </cell>
          <cell r="C682" t="str">
            <v>더바른푸드</v>
          </cell>
          <cell r="D682" t="str">
            <v>더바른푸드</v>
          </cell>
          <cell r="E682" t="str">
            <v>일반</v>
          </cell>
          <cell r="F682" t="str">
            <v>입고완료</v>
          </cell>
          <cell r="G682">
            <v>163493</v>
          </cell>
          <cell r="H682" t="str">
            <v>식예원 가쓰오후리가케(500g/EA)</v>
          </cell>
          <cell r="I682" t="str">
            <v>EA</v>
          </cell>
          <cell r="J682">
            <v>1</v>
          </cell>
          <cell r="K682">
            <v>1</v>
          </cell>
          <cell r="L682">
            <v>5770</v>
          </cell>
          <cell r="M682">
            <v>5770</v>
          </cell>
          <cell r="N682">
            <v>577</v>
          </cell>
          <cell r="O682">
            <v>6347</v>
          </cell>
          <cell r="P682">
            <v>0</v>
          </cell>
          <cell r="Q682" t="str">
            <v>인도네시아</v>
          </cell>
          <cell r="R682" t="str">
            <v>실온</v>
          </cell>
          <cell r="S682" t="str">
            <v>EA(6)</v>
          </cell>
          <cell r="T682" t="str">
            <v/>
          </cell>
          <cell r="U682" t="str">
            <v/>
          </cell>
          <cell r="V682" t="str">
            <v>2019-02-08</v>
          </cell>
          <cell r="W682" t="str">
            <v>2019-02-08 14:19:23</v>
          </cell>
          <cell r="X682" t="str">
            <v>더바른푸드</v>
          </cell>
        </row>
        <row r="683">
          <cell r="A683">
            <v>679</v>
          </cell>
          <cell r="B683" t="str">
            <v>2019-02-09</v>
          </cell>
          <cell r="C683" t="str">
            <v>더바른푸드</v>
          </cell>
          <cell r="D683" t="str">
            <v>더바른푸드</v>
          </cell>
          <cell r="E683" t="str">
            <v>일반</v>
          </cell>
          <cell r="F683" t="str">
            <v>입고완료</v>
          </cell>
          <cell r="G683">
            <v>203202</v>
          </cell>
          <cell r="H683" t="str">
            <v>맑은공기 쌀(일반미 20Kg/EA)</v>
          </cell>
          <cell r="I683" t="str">
            <v>EA</v>
          </cell>
          <cell r="J683">
            <v>5</v>
          </cell>
          <cell r="K683">
            <v>5</v>
          </cell>
          <cell r="L683">
            <v>50460</v>
          </cell>
          <cell r="M683">
            <v>252300</v>
          </cell>
          <cell r="N683">
            <v>0</v>
          </cell>
          <cell r="O683">
            <v>252300</v>
          </cell>
          <cell r="P683">
            <v>0</v>
          </cell>
          <cell r="Q683" t="str">
            <v>한국</v>
          </cell>
          <cell r="R683" t="str">
            <v>실온</v>
          </cell>
          <cell r="S683" t="str">
            <v>EA(1)</v>
          </cell>
          <cell r="T683" t="str">
            <v/>
          </cell>
          <cell r="U683" t="str">
            <v/>
          </cell>
          <cell r="V683" t="str">
            <v>2019-02-08</v>
          </cell>
          <cell r="W683" t="str">
            <v>2019-02-08 14:23:13</v>
          </cell>
          <cell r="X683" t="str">
            <v>더바른푸드</v>
          </cell>
        </row>
        <row r="684">
          <cell r="A684">
            <v>680</v>
          </cell>
          <cell r="B684" t="str">
            <v>2019-02-09</v>
          </cell>
          <cell r="C684" t="str">
            <v>더바른푸드</v>
          </cell>
          <cell r="D684" t="str">
            <v>더바른푸드</v>
          </cell>
          <cell r="E684" t="str">
            <v>일반</v>
          </cell>
          <cell r="F684" t="str">
            <v>입고완료</v>
          </cell>
          <cell r="G684">
            <v>106212</v>
          </cell>
          <cell r="H684" t="str">
            <v>백설 하얀설탕(15Kg/EA)</v>
          </cell>
          <cell r="I684" t="str">
            <v>EA</v>
          </cell>
          <cell r="J684">
            <v>1</v>
          </cell>
          <cell r="K684">
            <v>1</v>
          </cell>
          <cell r="L684">
            <v>15680</v>
          </cell>
          <cell r="M684">
            <v>15680</v>
          </cell>
          <cell r="N684">
            <v>1568</v>
          </cell>
          <cell r="O684">
            <v>17248</v>
          </cell>
          <cell r="P684">
            <v>0</v>
          </cell>
          <cell r="Q684" t="str">
            <v/>
          </cell>
          <cell r="R684" t="str">
            <v>실온</v>
          </cell>
          <cell r="S684" t="str">
            <v>EA(1)</v>
          </cell>
          <cell r="T684" t="str">
            <v/>
          </cell>
          <cell r="U684" t="str">
            <v/>
          </cell>
          <cell r="V684" t="str">
            <v>2019-02-08</v>
          </cell>
          <cell r="W684" t="str">
            <v>2019-02-08 14:24:47</v>
          </cell>
          <cell r="X684" t="str">
            <v>더바른푸드</v>
          </cell>
        </row>
        <row r="685">
          <cell r="A685">
            <v>681</v>
          </cell>
          <cell r="B685" t="str">
            <v>2019-02-08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86">
          <cell r="A686">
            <v>682</v>
          </cell>
          <cell r="B686" t="str">
            <v>2019-02-08</v>
          </cell>
          <cell r="C686" t="str">
            <v>더바른푸드</v>
          </cell>
          <cell r="D686" t="str">
            <v>더바른푸드</v>
          </cell>
          <cell r="E686" t="str">
            <v>일반</v>
          </cell>
          <cell r="F686" t="str">
            <v>입고완료</v>
          </cell>
          <cell r="G686">
            <v>237791</v>
          </cell>
          <cell r="H686" t="str">
            <v>종로복떡방 백설기(찜용 1Kg/EA)</v>
          </cell>
          <cell r="I686" t="str">
            <v>EA</v>
          </cell>
          <cell r="J686">
            <v>2</v>
          </cell>
          <cell r="K686">
            <v>2</v>
          </cell>
          <cell r="L686">
            <v>8130</v>
          </cell>
          <cell r="M686">
            <v>16260</v>
          </cell>
          <cell r="N686">
            <v>1626</v>
          </cell>
          <cell r="O686">
            <v>17886</v>
          </cell>
          <cell r="P686">
            <v>0</v>
          </cell>
          <cell r="Q686" t="str">
            <v/>
          </cell>
          <cell r="R686" t="str">
            <v>냉동</v>
          </cell>
          <cell r="S686" t="str">
            <v>EA(1)</v>
          </cell>
          <cell r="T686" t="str">
            <v/>
          </cell>
          <cell r="U686" t="str">
            <v/>
          </cell>
          <cell r="V686" t="str">
            <v>2019-01-31</v>
          </cell>
          <cell r="W686" t="str">
            <v>2019-01-31 12:21:13</v>
          </cell>
          <cell r="X686" t="str">
            <v>더바른푸드</v>
          </cell>
        </row>
        <row r="687">
          <cell r="A687">
            <v>683</v>
          </cell>
          <cell r="B687" t="str">
            <v>2019-02-08</v>
          </cell>
          <cell r="C687" t="str">
            <v>더바른푸드</v>
          </cell>
          <cell r="D687" t="str">
            <v>더바른푸드</v>
          </cell>
          <cell r="E687" t="str">
            <v>일반</v>
          </cell>
          <cell r="F687" t="str">
            <v>입고완료</v>
          </cell>
          <cell r="G687">
            <v>211037</v>
          </cell>
          <cell r="H687" t="str">
            <v>느타리버섯(실속 균상 2Kg/EA)</v>
          </cell>
          <cell r="I687" t="str">
            <v>BOX</v>
          </cell>
          <cell r="J687">
            <v>6</v>
          </cell>
          <cell r="K687">
            <v>6</v>
          </cell>
          <cell r="L687">
            <v>7650</v>
          </cell>
          <cell r="M687">
            <v>45900</v>
          </cell>
          <cell r="N687">
            <v>0</v>
          </cell>
          <cell r="O687">
            <v>45900</v>
          </cell>
          <cell r="P687">
            <v>0</v>
          </cell>
          <cell r="Q687" t="str">
            <v>한국</v>
          </cell>
          <cell r="R687" t="str">
            <v>냉장</v>
          </cell>
          <cell r="S687" t="str">
            <v>EA(1)</v>
          </cell>
          <cell r="T687" t="str">
            <v/>
          </cell>
          <cell r="U687" t="str">
            <v/>
          </cell>
          <cell r="V687" t="str">
            <v>2019-01-31</v>
          </cell>
          <cell r="W687" t="str">
            <v>2019-01-31 14:06:10</v>
          </cell>
          <cell r="X687" t="str">
            <v>더바른푸드</v>
          </cell>
        </row>
        <row r="688">
          <cell r="A688">
            <v>684</v>
          </cell>
          <cell r="B688" t="str">
            <v>2019-02-08</v>
          </cell>
          <cell r="C688" t="str">
            <v>더바른푸드</v>
          </cell>
          <cell r="D688" t="str">
            <v>더바른푸드</v>
          </cell>
          <cell r="E688" t="str">
            <v>일반</v>
          </cell>
          <cell r="F688" t="str">
            <v>입고완료</v>
          </cell>
          <cell r="G688">
            <v>252815</v>
          </cell>
          <cell r="H688" t="str">
            <v>맑은해오름 도토리묵(슬라이스_12±1g*161조각 2Kg/EA)</v>
          </cell>
          <cell r="I688" t="str">
            <v>EA</v>
          </cell>
          <cell r="J688">
            <v>11</v>
          </cell>
          <cell r="K688">
            <v>11</v>
          </cell>
          <cell r="L688">
            <v>3430</v>
          </cell>
          <cell r="M688">
            <v>37730</v>
          </cell>
          <cell r="N688">
            <v>3773</v>
          </cell>
          <cell r="O688">
            <v>41503</v>
          </cell>
          <cell r="P688">
            <v>0</v>
          </cell>
          <cell r="Q688" t="str">
            <v/>
          </cell>
          <cell r="R688" t="str">
            <v>냉장</v>
          </cell>
          <cell r="S688" t="str">
            <v>EA(1)</v>
          </cell>
          <cell r="T688" t="str">
            <v/>
          </cell>
          <cell r="U688" t="str">
            <v/>
          </cell>
          <cell r="V688" t="str">
            <v>2019-01-31</v>
          </cell>
          <cell r="W688" t="str">
            <v>2019-01-31 14:55:52</v>
          </cell>
          <cell r="X688" t="str">
            <v>더바른푸드</v>
          </cell>
        </row>
        <row r="689">
          <cell r="A689">
            <v>685</v>
          </cell>
          <cell r="B689" t="str">
            <v>2019-02-08</v>
          </cell>
          <cell r="C689" t="str">
            <v>더바른푸드</v>
          </cell>
          <cell r="D689" t="str">
            <v>더바른푸드</v>
          </cell>
          <cell r="E689" t="str">
            <v>일반</v>
          </cell>
          <cell r="F689" t="str">
            <v>입고완료</v>
          </cell>
          <cell r="G689">
            <v>143227</v>
          </cell>
          <cell r="H689" t="str">
            <v>이츠웰 파인애플캔(실속 슬라이스 3.063Kg/EA)</v>
          </cell>
          <cell r="I689" t="str">
            <v>EA</v>
          </cell>
          <cell r="J689">
            <v>12</v>
          </cell>
          <cell r="K689">
            <v>12</v>
          </cell>
          <cell r="L689">
            <v>8580</v>
          </cell>
          <cell r="M689">
            <v>102960</v>
          </cell>
          <cell r="N689">
            <v>10296</v>
          </cell>
          <cell r="O689">
            <v>113256</v>
          </cell>
          <cell r="P689">
            <v>0</v>
          </cell>
          <cell r="Q689" t="str">
            <v>태국</v>
          </cell>
          <cell r="R689" t="str">
            <v>실온</v>
          </cell>
          <cell r="S689" t="str">
            <v>EA(6)</v>
          </cell>
          <cell r="T689" t="str">
            <v/>
          </cell>
          <cell r="U689" t="str">
            <v/>
          </cell>
          <cell r="V689" t="str">
            <v>2019-01-31</v>
          </cell>
          <cell r="W689" t="str">
            <v>2019-01-31 15:10:02</v>
          </cell>
          <cell r="X689" t="str">
            <v>더바른푸드</v>
          </cell>
        </row>
        <row r="690">
          <cell r="A690">
            <v>686</v>
          </cell>
          <cell r="B690" t="str">
            <v>2019-02-08</v>
          </cell>
          <cell r="C690" t="str">
            <v>더바른푸드</v>
          </cell>
          <cell r="D690" t="str">
            <v>더바른푸드</v>
          </cell>
          <cell r="E690" t="str">
            <v>일반</v>
          </cell>
          <cell r="F690" t="str">
            <v>입고완료</v>
          </cell>
          <cell r="G690">
            <v>130633</v>
          </cell>
          <cell r="H690" t="str">
            <v>쉐프솔루션 미트볼(NEW_100±5개입 1Kg/EA)</v>
          </cell>
          <cell r="I690" t="str">
            <v>EA</v>
          </cell>
          <cell r="J690">
            <v>30</v>
          </cell>
          <cell r="K690">
            <v>30</v>
          </cell>
          <cell r="L690">
            <v>4340</v>
          </cell>
          <cell r="M690">
            <v>130200</v>
          </cell>
          <cell r="N690">
            <v>13020</v>
          </cell>
          <cell r="O690">
            <v>143220</v>
          </cell>
          <cell r="P690">
            <v>0</v>
          </cell>
          <cell r="Q690" t="str">
            <v/>
          </cell>
          <cell r="R690" t="str">
            <v>냉동</v>
          </cell>
          <cell r="S690" t="str">
            <v>EA(5)</v>
          </cell>
          <cell r="T690" t="str">
            <v/>
          </cell>
          <cell r="U690" t="str">
            <v/>
          </cell>
          <cell r="V690" t="str">
            <v>2019-01-31</v>
          </cell>
          <cell r="W690" t="str">
            <v>2019-01-31 15:29:28</v>
          </cell>
          <cell r="X690" t="str">
            <v>더바른푸드</v>
          </cell>
        </row>
        <row r="691">
          <cell r="A691">
            <v>687</v>
          </cell>
          <cell r="B691" t="str">
            <v>2019-02-08</v>
          </cell>
          <cell r="C691" t="str">
            <v>더바른푸드</v>
          </cell>
          <cell r="D691" t="str">
            <v>더바른푸드</v>
          </cell>
          <cell r="E691" t="str">
            <v>일반</v>
          </cell>
          <cell r="F691" t="str">
            <v>입고완료</v>
          </cell>
          <cell r="G691">
            <v>136708</v>
          </cell>
          <cell r="H691" t="str">
            <v>마더구스 케익(치즈케익_80조각 700g/EA)</v>
          </cell>
          <cell r="I691" t="str">
            <v>EA</v>
          </cell>
          <cell r="J691">
            <v>2</v>
          </cell>
          <cell r="K691">
            <v>2</v>
          </cell>
          <cell r="L691">
            <v>11100</v>
          </cell>
          <cell r="M691">
            <v>22200</v>
          </cell>
          <cell r="N691">
            <v>2220</v>
          </cell>
          <cell r="O691">
            <v>24420</v>
          </cell>
          <cell r="P691">
            <v>0</v>
          </cell>
          <cell r="Q691" t="str">
            <v/>
          </cell>
          <cell r="R691" t="str">
            <v>냉동</v>
          </cell>
          <cell r="S691" t="str">
            <v>EA(10)</v>
          </cell>
          <cell r="T691" t="str">
            <v/>
          </cell>
          <cell r="U691" t="str">
            <v/>
          </cell>
          <cell r="V691" t="str">
            <v>2019-02-01</v>
          </cell>
          <cell r="W691" t="str">
            <v>2019-02-01 11:56:08</v>
          </cell>
          <cell r="X691" t="str">
            <v>더바른푸드</v>
          </cell>
        </row>
        <row r="692">
          <cell r="A692">
            <v>688</v>
          </cell>
          <cell r="B692" t="str">
            <v>2019-02-08</v>
          </cell>
          <cell r="C692" t="str">
            <v>더바른푸드</v>
          </cell>
          <cell r="D692" t="str">
            <v>더바른푸드</v>
          </cell>
          <cell r="E692" t="str">
            <v>일반</v>
          </cell>
          <cell r="F692" t="str">
            <v>입고완료</v>
          </cell>
          <cell r="G692">
            <v>166334</v>
          </cell>
          <cell r="H692" t="str">
            <v>종로복떡방 흰꿀떡(멥쌀_20G*50입 1Kg/EA)</v>
          </cell>
          <cell r="I692" t="str">
            <v>EA</v>
          </cell>
          <cell r="J692">
            <v>2</v>
          </cell>
          <cell r="K692">
            <v>2</v>
          </cell>
          <cell r="L692">
            <v>6750</v>
          </cell>
          <cell r="M692">
            <v>13500</v>
          </cell>
          <cell r="N692">
            <v>1350</v>
          </cell>
          <cell r="O692">
            <v>14850</v>
          </cell>
          <cell r="P692">
            <v>0</v>
          </cell>
          <cell r="Q692" t="str">
            <v/>
          </cell>
          <cell r="R692" t="str">
            <v>냉동</v>
          </cell>
          <cell r="S692" t="str">
            <v>EA(1)</v>
          </cell>
          <cell r="T692" t="str">
            <v/>
          </cell>
          <cell r="U692" t="str">
            <v/>
          </cell>
          <cell r="V692" t="str">
            <v>2019-02-01</v>
          </cell>
          <cell r="W692" t="str">
            <v>2019-02-01 11:56:08</v>
          </cell>
          <cell r="X692" t="str">
            <v>더바른푸드</v>
          </cell>
        </row>
        <row r="693">
          <cell r="A693">
            <v>689</v>
          </cell>
          <cell r="B693" t="str">
            <v>2019-02-08</v>
          </cell>
          <cell r="C693" t="str">
            <v>더바른푸드</v>
          </cell>
          <cell r="D693" t="str">
            <v>더바른푸드</v>
          </cell>
          <cell r="E693" t="str">
            <v>일반</v>
          </cell>
          <cell r="F693" t="str">
            <v>입고완료</v>
          </cell>
          <cell r="G693">
            <v>249240</v>
          </cell>
          <cell r="H693" t="str">
            <v>파스타빌라 스파게티(500g/EA)</v>
          </cell>
          <cell r="I693" t="str">
            <v>EA</v>
          </cell>
          <cell r="J693">
            <v>6</v>
          </cell>
          <cell r="K693">
            <v>6</v>
          </cell>
          <cell r="L693">
            <v>690</v>
          </cell>
          <cell r="M693">
            <v>4140</v>
          </cell>
          <cell r="N693">
            <v>414</v>
          </cell>
          <cell r="O693">
            <v>4554</v>
          </cell>
          <cell r="P693">
            <v>0</v>
          </cell>
          <cell r="Q693" t="str">
            <v>터키</v>
          </cell>
          <cell r="R693" t="str">
            <v>실온</v>
          </cell>
          <cell r="S693" t="str">
            <v>EA(20)</v>
          </cell>
          <cell r="T693" t="str">
            <v/>
          </cell>
          <cell r="U693" t="str">
            <v/>
          </cell>
          <cell r="V693" t="str">
            <v>2019-02-01</v>
          </cell>
          <cell r="W693" t="str">
            <v>2019-02-01 11:58:35</v>
          </cell>
          <cell r="X693" t="str">
            <v>더바른푸드</v>
          </cell>
        </row>
        <row r="694">
          <cell r="A694">
            <v>690</v>
          </cell>
          <cell r="B694" t="str">
            <v>2019-02-08</v>
          </cell>
          <cell r="C694" t="str">
            <v>더바른푸드</v>
          </cell>
          <cell r="D694" t="str">
            <v>더바른푸드</v>
          </cell>
          <cell r="E694" t="str">
            <v>일반</v>
          </cell>
          <cell r="F694" t="str">
            <v>입고완료</v>
          </cell>
          <cell r="G694">
            <v>271137</v>
          </cell>
          <cell r="H694" t="str">
            <v>그린푸드 팝콘피쉬볼(74±5개입 1Kg/EA)</v>
          </cell>
          <cell r="I694" t="str">
            <v>EA</v>
          </cell>
          <cell r="J694">
            <v>50</v>
          </cell>
          <cell r="K694">
            <v>50</v>
          </cell>
          <cell r="L694">
            <v>8350</v>
          </cell>
          <cell r="M694">
            <v>417500</v>
          </cell>
          <cell r="N694">
            <v>41750</v>
          </cell>
          <cell r="O694">
            <v>459250</v>
          </cell>
          <cell r="P694">
            <v>0</v>
          </cell>
          <cell r="Q694" t="str">
            <v/>
          </cell>
          <cell r="R694" t="str">
            <v>냉동</v>
          </cell>
          <cell r="S694" t="str">
            <v>EA(5)</v>
          </cell>
          <cell r="T694" t="str">
            <v/>
          </cell>
          <cell r="U694" t="str">
            <v/>
          </cell>
          <cell r="V694" t="str">
            <v>2019-02-01</v>
          </cell>
          <cell r="W694" t="str">
            <v>2019-02-01 12:07:02</v>
          </cell>
          <cell r="X694" t="str">
            <v>더바른푸드</v>
          </cell>
        </row>
        <row r="695">
          <cell r="A695">
            <v>691</v>
          </cell>
          <cell r="B695" t="str">
            <v>2019-02-08</v>
          </cell>
          <cell r="C695" t="str">
            <v>더바른푸드</v>
          </cell>
          <cell r="D695" t="str">
            <v>더바른푸드</v>
          </cell>
          <cell r="E695" t="str">
            <v>일반</v>
          </cell>
          <cell r="F695" t="str">
            <v>입고완료</v>
          </cell>
          <cell r="G695">
            <v>206876</v>
          </cell>
          <cell r="H695" t="str">
            <v>바나나(1송이_13~15개입 2Kg/PAC)</v>
          </cell>
          <cell r="I695" t="str">
            <v>PAC</v>
          </cell>
          <cell r="J695">
            <v>2</v>
          </cell>
          <cell r="K695">
            <v>2</v>
          </cell>
          <cell r="L695">
            <v>6220</v>
          </cell>
          <cell r="M695">
            <v>12440</v>
          </cell>
          <cell r="N695">
            <v>0</v>
          </cell>
          <cell r="O695">
            <v>12440</v>
          </cell>
          <cell r="P695">
            <v>0</v>
          </cell>
          <cell r="Q695" t="str">
            <v>필리핀</v>
          </cell>
          <cell r="R695" t="str">
            <v>실온</v>
          </cell>
          <cell r="S695" t="str">
            <v>PAC(1)</v>
          </cell>
          <cell r="T695" t="str">
            <v/>
          </cell>
          <cell r="U695" t="str">
            <v/>
          </cell>
          <cell r="V695" t="str">
            <v>2019-02-01</v>
          </cell>
          <cell r="W695" t="str">
            <v>2019-02-01 12:14:27</v>
          </cell>
          <cell r="X695" t="str">
            <v>더바른푸드</v>
          </cell>
        </row>
        <row r="696">
          <cell r="A696">
            <v>692</v>
          </cell>
          <cell r="B696" t="str">
            <v>2019-02-08</v>
          </cell>
          <cell r="C696" t="str">
            <v>더바른푸드</v>
          </cell>
          <cell r="D696" t="str">
            <v>더바른푸드</v>
          </cell>
          <cell r="E696" t="str">
            <v>일반</v>
          </cell>
          <cell r="F696" t="str">
            <v>입고완료</v>
          </cell>
          <cell r="G696">
            <v>173174</v>
          </cell>
          <cell r="H696" t="str">
            <v>이츠웰 치킨너겟(골든 55±3개입 1Kg/EA)</v>
          </cell>
          <cell r="I696" t="str">
            <v>EA</v>
          </cell>
          <cell r="J696">
            <v>3</v>
          </cell>
          <cell r="K696">
            <v>3</v>
          </cell>
          <cell r="L696">
            <v>4700</v>
          </cell>
          <cell r="M696">
            <v>14100</v>
          </cell>
          <cell r="N696">
            <v>1410</v>
          </cell>
          <cell r="O696">
            <v>15510</v>
          </cell>
          <cell r="P696">
            <v>0</v>
          </cell>
          <cell r="Q696" t="str">
            <v>한국</v>
          </cell>
          <cell r="R696" t="str">
            <v>냉동</v>
          </cell>
          <cell r="S696" t="str">
            <v>EA(10)</v>
          </cell>
          <cell r="T696" t="str">
            <v/>
          </cell>
          <cell r="U696" t="str">
            <v/>
          </cell>
          <cell r="V696" t="str">
            <v>2019-02-01</v>
          </cell>
          <cell r="W696" t="str">
            <v>2019-02-01 13:07:14</v>
          </cell>
          <cell r="X696" t="str">
            <v>더바른푸드</v>
          </cell>
        </row>
        <row r="697">
          <cell r="A697">
            <v>693</v>
          </cell>
          <cell r="B697" t="str">
            <v>2019-02-08</v>
          </cell>
          <cell r="C697" t="str">
            <v>더바른푸드</v>
          </cell>
          <cell r="D697" t="str">
            <v>더바른푸드</v>
          </cell>
          <cell r="E697" t="str">
            <v>일반</v>
          </cell>
          <cell r="F697" t="str">
            <v>입고완료</v>
          </cell>
          <cell r="G697">
            <v>319698</v>
          </cell>
          <cell r="H697" t="str">
            <v>전장김(25g/EA)</v>
          </cell>
          <cell r="I697" t="str">
            <v>EA</v>
          </cell>
          <cell r="J697">
            <v>5</v>
          </cell>
          <cell r="K697">
            <v>5</v>
          </cell>
          <cell r="L697">
            <v>760</v>
          </cell>
          <cell r="M697">
            <v>3800</v>
          </cell>
          <cell r="N697">
            <v>380</v>
          </cell>
          <cell r="O697">
            <v>4180</v>
          </cell>
          <cell r="P697">
            <v>0</v>
          </cell>
          <cell r="Q697" t="str">
            <v>한국</v>
          </cell>
          <cell r="R697" t="str">
            <v>실온</v>
          </cell>
          <cell r="S697" t="str">
            <v>EA(40)</v>
          </cell>
          <cell r="T697" t="str">
            <v/>
          </cell>
          <cell r="U697" t="str">
            <v/>
          </cell>
          <cell r="V697" t="str">
            <v>2019-02-01</v>
          </cell>
          <cell r="W697" t="str">
            <v>2019-02-01 13:12:54</v>
          </cell>
          <cell r="X697" t="str">
            <v>더바른푸드</v>
          </cell>
        </row>
        <row r="698">
          <cell r="A698">
            <v>694</v>
          </cell>
          <cell r="B698" t="str">
            <v>2019-02-08</v>
          </cell>
          <cell r="C698" t="str">
            <v>더바른푸드</v>
          </cell>
          <cell r="D698" t="str">
            <v>더바른푸드</v>
          </cell>
          <cell r="E698" t="str">
            <v>일반</v>
          </cell>
          <cell r="F698" t="str">
            <v>입고완료</v>
          </cell>
          <cell r="G698">
            <v>165129</v>
          </cell>
          <cell r="H698" t="str">
            <v>쉐프솔루션 비비고도톰동그랑땡(1Kg/EA)</v>
          </cell>
          <cell r="I698" t="str">
            <v>EA</v>
          </cell>
          <cell r="J698">
            <v>24</v>
          </cell>
          <cell r="K698">
            <v>24</v>
          </cell>
          <cell r="L698">
            <v>7100</v>
          </cell>
          <cell r="M698">
            <v>170400</v>
          </cell>
          <cell r="N698">
            <v>17040</v>
          </cell>
          <cell r="O698">
            <v>187440</v>
          </cell>
          <cell r="P698">
            <v>0</v>
          </cell>
          <cell r="Q698" t="str">
            <v/>
          </cell>
          <cell r="R698" t="str">
            <v>냉동</v>
          </cell>
          <cell r="S698" t="str">
            <v>EA(6)</v>
          </cell>
          <cell r="T698" t="str">
            <v/>
          </cell>
          <cell r="U698" t="str">
            <v/>
          </cell>
          <cell r="V698" t="str">
            <v>2019-02-01</v>
          </cell>
          <cell r="W698" t="str">
            <v>2019-02-01 13:46:16</v>
          </cell>
          <cell r="X698" t="str">
            <v>더바른푸드</v>
          </cell>
        </row>
        <row r="699">
          <cell r="A699">
            <v>695</v>
          </cell>
          <cell r="B699" t="str">
            <v>2019-02-08</v>
          </cell>
          <cell r="C699" t="str">
            <v>더바른푸드</v>
          </cell>
          <cell r="D699" t="str">
            <v>더바른푸드</v>
          </cell>
          <cell r="E699" t="str">
            <v>일반</v>
          </cell>
          <cell r="F699" t="str">
            <v>입고완료</v>
          </cell>
          <cell r="G699">
            <v>114898</v>
          </cell>
          <cell r="H699" t="str">
            <v>이금기 치킨파우더(1Kg/EA)</v>
          </cell>
          <cell r="I699" t="str">
            <v>EA</v>
          </cell>
          <cell r="J699">
            <v>2</v>
          </cell>
          <cell r="K699">
            <v>2</v>
          </cell>
          <cell r="L699">
            <v>13660</v>
          </cell>
          <cell r="M699">
            <v>27320</v>
          </cell>
          <cell r="N699">
            <v>2732</v>
          </cell>
          <cell r="O699">
            <v>30052</v>
          </cell>
          <cell r="P699">
            <v>0</v>
          </cell>
          <cell r="Q699" t="str">
            <v/>
          </cell>
          <cell r="R699" t="str">
            <v>실온</v>
          </cell>
          <cell r="S699" t="str">
            <v>EA(12)</v>
          </cell>
          <cell r="T699" t="str">
            <v/>
          </cell>
          <cell r="U699" t="str">
            <v/>
          </cell>
          <cell r="V699" t="str">
            <v>2019-02-01</v>
          </cell>
          <cell r="W699" t="str">
            <v>2019-02-01 13:50:39</v>
          </cell>
          <cell r="X699" t="str">
            <v>더바른푸드</v>
          </cell>
        </row>
        <row r="700">
          <cell r="A700">
            <v>696</v>
          </cell>
          <cell r="B700" t="str">
            <v>2019-02-08</v>
          </cell>
          <cell r="C700" t="str">
            <v>더바른푸드</v>
          </cell>
          <cell r="D700" t="str">
            <v>더바른푸드</v>
          </cell>
          <cell r="E700" t="str">
            <v>일반</v>
          </cell>
          <cell r="F700" t="str">
            <v>입고완료</v>
          </cell>
          <cell r="G700">
            <v>317997</v>
          </cell>
          <cell r="H700" t="str">
            <v>바지락살(자숙_100/200 250g/EA)</v>
          </cell>
          <cell r="I700" t="str">
            <v>EA</v>
          </cell>
          <cell r="J700">
            <v>16</v>
          </cell>
          <cell r="K700">
            <v>16</v>
          </cell>
          <cell r="L700">
            <v>1200</v>
          </cell>
          <cell r="M700">
            <v>19200</v>
          </cell>
          <cell r="N700">
            <v>1920</v>
          </cell>
          <cell r="O700">
            <v>21120</v>
          </cell>
          <cell r="P700">
            <v>0</v>
          </cell>
          <cell r="Q700" t="str">
            <v>중국</v>
          </cell>
          <cell r="R700" t="str">
            <v>냉동</v>
          </cell>
          <cell r="S700" t="str">
            <v>EA(10)</v>
          </cell>
          <cell r="T700" t="str">
            <v/>
          </cell>
          <cell r="U700" t="str">
            <v/>
          </cell>
          <cell r="V700" t="str">
            <v>2019-02-01</v>
          </cell>
          <cell r="W700" t="str">
            <v>2019-02-01 14:09:38</v>
          </cell>
          <cell r="X700" t="str">
            <v>더바른푸드</v>
          </cell>
        </row>
        <row r="701">
          <cell r="A701">
            <v>697</v>
          </cell>
          <cell r="B701" t="str">
            <v>2019-02-08</v>
          </cell>
          <cell r="C701" t="str">
            <v>더바른푸드</v>
          </cell>
          <cell r="D701" t="str">
            <v>더바른푸드</v>
          </cell>
          <cell r="E701" t="str">
            <v>일반</v>
          </cell>
          <cell r="F701" t="str">
            <v>입고완료</v>
          </cell>
          <cell r="G701">
            <v>159994</v>
          </cell>
          <cell r="H701" t="str">
            <v>반찬단지 콩자반(NEW 1Kg/EA)</v>
          </cell>
          <cell r="I701" t="str">
            <v>EA</v>
          </cell>
          <cell r="J701">
            <v>6</v>
          </cell>
          <cell r="K701">
            <v>6</v>
          </cell>
          <cell r="L701">
            <v>3360</v>
          </cell>
          <cell r="M701">
            <v>20160</v>
          </cell>
          <cell r="N701">
            <v>2016</v>
          </cell>
          <cell r="O701">
            <v>22176</v>
          </cell>
          <cell r="P701">
            <v>0</v>
          </cell>
          <cell r="Q701" t="str">
            <v>중국</v>
          </cell>
          <cell r="R701" t="str">
            <v>냉장</v>
          </cell>
          <cell r="S701" t="str">
            <v>EA(10)</v>
          </cell>
          <cell r="T701" t="str">
            <v/>
          </cell>
          <cell r="U701" t="str">
            <v/>
          </cell>
          <cell r="V701" t="str">
            <v>2019-02-01</v>
          </cell>
          <cell r="W701" t="str">
            <v>2019-02-01 14:11:11</v>
          </cell>
          <cell r="X701" t="str">
            <v>더바른푸드</v>
          </cell>
        </row>
        <row r="702">
          <cell r="A702">
            <v>698</v>
          </cell>
          <cell r="B702" t="str">
            <v>2019-02-08</v>
          </cell>
          <cell r="C702" t="str">
            <v>더바른푸드</v>
          </cell>
          <cell r="D702" t="str">
            <v>더바른푸드</v>
          </cell>
          <cell r="E702" t="str">
            <v>일반</v>
          </cell>
          <cell r="F702" t="str">
            <v>입고완료</v>
          </cell>
          <cell r="G702">
            <v>420010</v>
          </cell>
          <cell r="H702" t="str">
            <v>알로팜 계란(왕란_무항생제_68g*30입 2.04Kg/EA)</v>
          </cell>
          <cell r="I702" t="str">
            <v>EA</v>
          </cell>
          <cell r="J702">
            <v>10</v>
          </cell>
          <cell r="K702">
            <v>10</v>
          </cell>
          <cell r="L702">
            <v>4350</v>
          </cell>
          <cell r="M702">
            <v>43500</v>
          </cell>
          <cell r="N702">
            <v>0</v>
          </cell>
          <cell r="O702">
            <v>43500</v>
          </cell>
          <cell r="P702">
            <v>43500</v>
          </cell>
          <cell r="Q702" t="str">
            <v>한국</v>
          </cell>
          <cell r="R702" t="str">
            <v>냉장</v>
          </cell>
          <cell r="S702" t="str">
            <v>EA(1)</v>
          </cell>
          <cell r="T702" t="str">
            <v/>
          </cell>
          <cell r="U702" t="str">
            <v/>
          </cell>
          <cell r="V702" t="str">
            <v>2019-02-01</v>
          </cell>
          <cell r="W702" t="str">
            <v>2019-02-01 14:21:00</v>
          </cell>
          <cell r="X702" t="str">
            <v>더바른푸드</v>
          </cell>
        </row>
        <row r="703">
          <cell r="A703">
            <v>699</v>
          </cell>
          <cell r="B703" t="str">
            <v>2019-02-08</v>
          </cell>
          <cell r="C703" t="str">
            <v>더바른푸드</v>
          </cell>
          <cell r="D703" t="str">
            <v>더바른푸드</v>
          </cell>
          <cell r="E703" t="str">
            <v>일반</v>
          </cell>
          <cell r="F703" t="str">
            <v>입고완료</v>
          </cell>
          <cell r="G703">
            <v>261098</v>
          </cell>
          <cell r="H703" t="str">
            <v>냉동비름나물(IQF 2Kg/EA)</v>
          </cell>
          <cell r="I703" t="str">
            <v>EA</v>
          </cell>
          <cell r="J703">
            <v>1</v>
          </cell>
          <cell r="K703">
            <v>1</v>
          </cell>
          <cell r="L703">
            <v>13870</v>
          </cell>
          <cell r="M703">
            <v>13870</v>
          </cell>
          <cell r="N703">
            <v>0</v>
          </cell>
          <cell r="O703">
            <v>13870</v>
          </cell>
          <cell r="P703">
            <v>0</v>
          </cell>
          <cell r="Q703" t="str">
            <v>한국</v>
          </cell>
          <cell r="R703" t="str">
            <v>냉동</v>
          </cell>
          <cell r="S703" t="str">
            <v>EA(1)</v>
          </cell>
          <cell r="T703" t="str">
            <v/>
          </cell>
          <cell r="U703" t="str">
            <v/>
          </cell>
          <cell r="V703" t="str">
            <v>2019-02-01</v>
          </cell>
          <cell r="W703" t="str">
            <v>2019-02-01 14:25:13</v>
          </cell>
          <cell r="X703" t="str">
            <v>더바른푸드</v>
          </cell>
        </row>
        <row r="704">
          <cell r="A704">
            <v>700</v>
          </cell>
          <cell r="B704" t="str">
            <v>2019-02-08</v>
          </cell>
          <cell r="C704" t="str">
            <v>더바른푸드</v>
          </cell>
          <cell r="D704" t="str">
            <v>더바른푸드</v>
          </cell>
          <cell r="E704" t="str">
            <v>일반</v>
          </cell>
          <cell r="F704" t="str">
            <v>입고완료</v>
          </cell>
          <cell r="G704">
            <v>310704</v>
          </cell>
          <cell r="H704" t="str">
            <v>프레시웨이 세멸치(상품 볶음용 1Kg/EA)</v>
          </cell>
          <cell r="I704" t="str">
            <v>EA</v>
          </cell>
          <cell r="J704">
            <v>5</v>
          </cell>
          <cell r="K704">
            <v>5</v>
          </cell>
          <cell r="L704">
            <v>17840</v>
          </cell>
          <cell r="M704">
            <v>89200</v>
          </cell>
          <cell r="N704">
            <v>0</v>
          </cell>
          <cell r="O704">
            <v>89200</v>
          </cell>
          <cell r="P704">
            <v>0</v>
          </cell>
          <cell r="Q704" t="str">
            <v>한국</v>
          </cell>
          <cell r="R704" t="str">
            <v>냉장</v>
          </cell>
          <cell r="S704" t="str">
            <v>EA(10)</v>
          </cell>
          <cell r="T704" t="str">
            <v/>
          </cell>
          <cell r="U704" t="str">
            <v/>
          </cell>
          <cell r="V704" t="str">
            <v>2019-02-01</v>
          </cell>
          <cell r="W704" t="str">
            <v>2019-02-01 14:28:26</v>
          </cell>
          <cell r="X704" t="str">
            <v>더바른푸드</v>
          </cell>
        </row>
        <row r="705">
          <cell r="A705">
            <v>701</v>
          </cell>
          <cell r="B705" t="str">
            <v>2019-02-08</v>
          </cell>
          <cell r="C705" t="str">
            <v>더바른푸드</v>
          </cell>
          <cell r="D705" t="str">
            <v>더바른푸드</v>
          </cell>
          <cell r="E705" t="str">
            <v>일반</v>
          </cell>
          <cell r="F705" t="str">
            <v>입고완료</v>
          </cell>
          <cell r="G705">
            <v>235364</v>
          </cell>
          <cell r="H705" t="str">
            <v>삼승 프리미엄통닭(1등급 9호_900±50g/마리_껍질있음 900g/EA)</v>
          </cell>
          <cell r="I705" t="str">
            <v>EA</v>
          </cell>
          <cell r="J705">
            <v>25</v>
          </cell>
          <cell r="K705">
            <v>25</v>
          </cell>
          <cell r="L705">
            <v>4350</v>
          </cell>
          <cell r="M705">
            <v>108750</v>
          </cell>
          <cell r="N705">
            <v>0</v>
          </cell>
          <cell r="O705">
            <v>108750</v>
          </cell>
          <cell r="P705">
            <v>0</v>
          </cell>
          <cell r="Q705" t="str">
            <v>한국</v>
          </cell>
          <cell r="R705" t="str">
            <v>냉장</v>
          </cell>
          <cell r="S705" t="str">
            <v>EA(1)</v>
          </cell>
          <cell r="T705" t="str">
            <v/>
          </cell>
          <cell r="U705" t="str">
            <v/>
          </cell>
          <cell r="V705" t="str">
            <v>2019-02-01</v>
          </cell>
          <cell r="W705" t="str">
            <v>2019-02-01 14:49:58</v>
          </cell>
          <cell r="X705" t="str">
            <v>더바른푸드</v>
          </cell>
        </row>
        <row r="706">
          <cell r="A706">
            <v>702</v>
          </cell>
          <cell r="B706" t="str">
            <v>2019-02-08</v>
          </cell>
          <cell r="C706" t="str">
            <v>더바른푸드</v>
          </cell>
          <cell r="D706" t="str">
            <v>더바른푸드</v>
          </cell>
          <cell r="E706" t="str">
            <v>일반</v>
          </cell>
          <cell r="F706" t="str">
            <v>입고완료</v>
          </cell>
          <cell r="G706">
            <v>235418</v>
          </cell>
          <cell r="H706" t="str">
            <v>삼승 프리미엄닭가슴살(1등급 130±10g/덩어리_껍질제거 KG)</v>
          </cell>
          <cell r="I706" t="str">
            <v>KG</v>
          </cell>
          <cell r="J706">
            <v>10</v>
          </cell>
          <cell r="K706">
            <v>10</v>
          </cell>
          <cell r="L706">
            <v>6400</v>
          </cell>
          <cell r="M706">
            <v>64000</v>
          </cell>
          <cell r="N706">
            <v>0</v>
          </cell>
          <cell r="O706">
            <v>64000</v>
          </cell>
          <cell r="P706">
            <v>0</v>
          </cell>
          <cell r="Q706" t="str">
            <v>한국</v>
          </cell>
          <cell r="R706" t="str">
            <v>냉장</v>
          </cell>
          <cell r="S706" t="str">
            <v>KG(1)</v>
          </cell>
          <cell r="T706" t="str">
            <v/>
          </cell>
          <cell r="U706" t="str">
            <v/>
          </cell>
          <cell r="V706" t="str">
            <v>2019-02-01</v>
          </cell>
          <cell r="W706" t="str">
            <v>2019-02-01 14:49:58</v>
          </cell>
          <cell r="X706" t="str">
            <v>더바른푸드</v>
          </cell>
        </row>
        <row r="707">
          <cell r="A707">
            <v>703</v>
          </cell>
          <cell r="B707" t="str">
            <v>2019-02-08</v>
          </cell>
          <cell r="C707" t="str">
            <v>더바른푸드</v>
          </cell>
          <cell r="D707" t="str">
            <v>더바른푸드</v>
          </cell>
          <cell r="E707" t="str">
            <v>일반</v>
          </cell>
          <cell r="F707" t="str">
            <v>입고완료</v>
          </cell>
          <cell r="G707">
            <v>235445</v>
          </cell>
          <cell r="H707" t="str">
            <v>삼승 프리미엄닭안심(1등급 30±5g/개_껍질제거 KG)</v>
          </cell>
          <cell r="I707" t="str">
            <v>KG</v>
          </cell>
          <cell r="J707">
            <v>10</v>
          </cell>
          <cell r="K707">
            <v>10</v>
          </cell>
          <cell r="L707">
            <v>6990</v>
          </cell>
          <cell r="M707">
            <v>69900</v>
          </cell>
          <cell r="N707">
            <v>0</v>
          </cell>
          <cell r="O707">
            <v>69900</v>
          </cell>
          <cell r="P707">
            <v>0</v>
          </cell>
          <cell r="Q707" t="str">
            <v>한국</v>
          </cell>
          <cell r="R707" t="str">
            <v>냉장</v>
          </cell>
          <cell r="S707" t="str">
            <v>KG(1)</v>
          </cell>
          <cell r="T707" t="str">
            <v/>
          </cell>
          <cell r="U707" t="str">
            <v/>
          </cell>
          <cell r="V707" t="str">
            <v>2019-02-01</v>
          </cell>
          <cell r="W707" t="str">
            <v>2019-02-01 14:49:58</v>
          </cell>
          <cell r="X707" t="str">
            <v>더바른푸드</v>
          </cell>
        </row>
        <row r="708">
          <cell r="A708">
            <v>704</v>
          </cell>
          <cell r="B708" t="str">
            <v>2019-02-08</v>
          </cell>
          <cell r="C708" t="str">
            <v>더바른푸드</v>
          </cell>
          <cell r="D708" t="str">
            <v>더바른푸드</v>
          </cell>
          <cell r="E708" t="str">
            <v>일반</v>
          </cell>
          <cell r="F708" t="str">
            <v>입고완료</v>
          </cell>
          <cell r="G708">
            <v>197120</v>
          </cell>
          <cell r="H708" t="str">
            <v>종가집 포기김치(숙성 10Kg/BOX)</v>
          </cell>
          <cell r="I708" t="str">
            <v>BOX</v>
          </cell>
          <cell r="J708">
            <v>10</v>
          </cell>
          <cell r="K708">
            <v>10</v>
          </cell>
          <cell r="L708">
            <v>31390</v>
          </cell>
          <cell r="M708">
            <v>313900</v>
          </cell>
          <cell r="N708">
            <v>0</v>
          </cell>
          <cell r="O708">
            <v>313900</v>
          </cell>
          <cell r="P708">
            <v>0</v>
          </cell>
          <cell r="Q708" t="str">
            <v>한국</v>
          </cell>
          <cell r="R708" t="str">
            <v>냉장</v>
          </cell>
          <cell r="S708" t="str">
            <v>BOX(1)</v>
          </cell>
          <cell r="T708" t="str">
            <v/>
          </cell>
          <cell r="U708" t="str">
            <v/>
          </cell>
          <cell r="V708" t="str">
            <v>2019-02-01</v>
          </cell>
          <cell r="W708" t="str">
            <v>2019-02-01 16:36:44</v>
          </cell>
          <cell r="X708" t="str">
            <v>더바른푸드</v>
          </cell>
        </row>
        <row r="709">
          <cell r="A709">
            <v>705</v>
          </cell>
          <cell r="B709" t="str">
            <v>2019-02-08</v>
          </cell>
          <cell r="C709" t="str">
            <v>더바른푸드</v>
          </cell>
          <cell r="D709" t="str">
            <v>더바른푸드</v>
          </cell>
          <cell r="E709" t="str">
            <v>일반</v>
          </cell>
          <cell r="F709" t="str">
            <v>입고완료</v>
          </cell>
          <cell r="G709">
            <v>204973</v>
          </cell>
          <cell r="H709" t="str">
            <v>냉동대파(1Kg/PAC)</v>
          </cell>
          <cell r="I709" t="str">
            <v>PAC</v>
          </cell>
          <cell r="J709">
            <v>30</v>
          </cell>
          <cell r="K709">
            <v>30</v>
          </cell>
          <cell r="L709">
            <v>1400</v>
          </cell>
          <cell r="M709">
            <v>42000</v>
          </cell>
          <cell r="N709">
            <v>0</v>
          </cell>
          <cell r="O709">
            <v>42000</v>
          </cell>
          <cell r="P709">
            <v>0</v>
          </cell>
          <cell r="Q709" t="str">
            <v>중국</v>
          </cell>
          <cell r="R709" t="str">
            <v>냉동</v>
          </cell>
          <cell r="S709" t="str">
            <v>PAC(1)</v>
          </cell>
          <cell r="T709" t="str">
            <v/>
          </cell>
          <cell r="U709" t="str">
            <v/>
          </cell>
          <cell r="V709" t="str">
            <v>2019-02-07</v>
          </cell>
          <cell r="W709" t="str">
            <v>2019-02-07 12:56:19</v>
          </cell>
          <cell r="X709" t="str">
            <v>더바른푸드</v>
          </cell>
        </row>
        <row r="710">
          <cell r="A710">
            <v>706</v>
          </cell>
          <cell r="B710" t="str">
            <v>2019-02-08</v>
          </cell>
          <cell r="C710" t="str">
            <v>더바른푸드</v>
          </cell>
          <cell r="D710" t="str">
            <v>더바른푸드</v>
          </cell>
          <cell r="E710" t="str">
            <v>일반</v>
          </cell>
          <cell r="F710" t="str">
            <v>입고완료</v>
          </cell>
          <cell r="G710">
            <v>247931</v>
          </cell>
          <cell r="H710" t="str">
            <v>마당발 냉동다진마늘(1Kg/EA)</v>
          </cell>
          <cell r="I710" t="str">
            <v>EA</v>
          </cell>
          <cell r="J710">
            <v>20</v>
          </cell>
          <cell r="K710">
            <v>20</v>
          </cell>
          <cell r="L710">
            <v>2710</v>
          </cell>
          <cell r="M710">
            <v>54200</v>
          </cell>
          <cell r="N710">
            <v>0</v>
          </cell>
          <cell r="O710">
            <v>54200</v>
          </cell>
          <cell r="P710">
            <v>0</v>
          </cell>
          <cell r="Q710" t="str">
            <v>중국</v>
          </cell>
          <cell r="R710" t="str">
            <v>냉동</v>
          </cell>
          <cell r="S710" t="str">
            <v>EA(10)</v>
          </cell>
          <cell r="T710" t="str">
            <v/>
          </cell>
          <cell r="U710" t="str">
            <v/>
          </cell>
          <cell r="V710" t="str">
            <v>2019-02-07</v>
          </cell>
          <cell r="W710" t="str">
            <v>2019-02-07 12:56:19</v>
          </cell>
          <cell r="X710" t="str">
            <v>더바른푸드</v>
          </cell>
        </row>
        <row r="711">
          <cell r="A711">
            <v>707</v>
          </cell>
          <cell r="B711" t="str">
            <v>2019-02-08</v>
          </cell>
          <cell r="C711" t="str">
            <v>더바른푸드</v>
          </cell>
          <cell r="D711" t="str">
            <v>더바른푸드</v>
          </cell>
          <cell r="E711" t="str">
            <v>일반</v>
          </cell>
          <cell r="F711" t="str">
            <v>입고완료</v>
          </cell>
          <cell r="G711">
            <v>106019</v>
          </cell>
          <cell r="H711" t="str">
            <v>샘표 진간장(15L_덕용 15Kg/EA)</v>
          </cell>
          <cell r="I711" t="str">
            <v>EA</v>
          </cell>
          <cell r="J711">
            <v>2</v>
          </cell>
          <cell r="K711">
            <v>2</v>
          </cell>
          <cell r="L711">
            <v>20300</v>
          </cell>
          <cell r="M711">
            <v>40600</v>
          </cell>
          <cell r="N711">
            <v>4060</v>
          </cell>
          <cell r="O711">
            <v>44660</v>
          </cell>
          <cell r="P711">
            <v>0</v>
          </cell>
          <cell r="Q711" t="str">
            <v/>
          </cell>
          <cell r="R711" t="str">
            <v>실온</v>
          </cell>
          <cell r="S711" t="str">
            <v>EA(1)</v>
          </cell>
          <cell r="T711" t="str">
            <v/>
          </cell>
          <cell r="U711" t="str">
            <v/>
          </cell>
          <cell r="V711" t="str">
            <v>2019-02-07</v>
          </cell>
          <cell r="W711" t="str">
            <v>2019-02-07 13:19:18</v>
          </cell>
          <cell r="X711" t="str">
            <v>더바른푸드</v>
          </cell>
        </row>
        <row r="712">
          <cell r="A712">
            <v>708</v>
          </cell>
          <cell r="B712" t="str">
            <v>2019-02-08</v>
          </cell>
          <cell r="C712" t="str">
            <v>더바른푸드</v>
          </cell>
          <cell r="D712" t="str">
            <v>더바른푸드</v>
          </cell>
          <cell r="E712" t="str">
            <v>일반</v>
          </cell>
          <cell r="F712" t="str">
            <v>입고완료</v>
          </cell>
          <cell r="G712">
            <v>106931</v>
          </cell>
          <cell r="H712" t="str">
            <v>오뚜기 미향(18L 18Kg/EA)</v>
          </cell>
          <cell r="I712" t="str">
            <v>EA</v>
          </cell>
          <cell r="J712">
            <v>2</v>
          </cell>
          <cell r="K712">
            <v>2</v>
          </cell>
          <cell r="L712">
            <v>21280</v>
          </cell>
          <cell r="M712">
            <v>42560</v>
          </cell>
          <cell r="N712">
            <v>4256</v>
          </cell>
          <cell r="O712">
            <v>46816</v>
          </cell>
          <cell r="P712">
            <v>0</v>
          </cell>
          <cell r="Q712" t="str">
            <v/>
          </cell>
          <cell r="R712" t="str">
            <v>실온</v>
          </cell>
          <cell r="S712" t="str">
            <v>EA(1)</v>
          </cell>
          <cell r="T712" t="str">
            <v/>
          </cell>
          <cell r="U712" t="str">
            <v/>
          </cell>
          <cell r="V712" t="str">
            <v>2019-02-07</v>
          </cell>
          <cell r="W712" t="str">
            <v>2019-02-07 13:19:18</v>
          </cell>
          <cell r="X712" t="str">
            <v>더바른푸드</v>
          </cell>
        </row>
        <row r="713">
          <cell r="A713">
            <v>709</v>
          </cell>
          <cell r="B713" t="str">
            <v>2019-02-08</v>
          </cell>
          <cell r="C713" t="str">
            <v>더바른푸드</v>
          </cell>
          <cell r="D713" t="str">
            <v>더바른푸드</v>
          </cell>
          <cell r="E713" t="str">
            <v>일반</v>
          </cell>
          <cell r="F713" t="str">
            <v>입고완료</v>
          </cell>
          <cell r="G713">
            <v>260308</v>
          </cell>
          <cell r="H713" t="str">
            <v>청아띠 자연담은고춧가루(양념용 1Kg/EA)</v>
          </cell>
          <cell r="I713" t="str">
            <v>EA</v>
          </cell>
          <cell r="J713">
            <v>5</v>
          </cell>
          <cell r="K713">
            <v>5</v>
          </cell>
          <cell r="L713">
            <v>26690</v>
          </cell>
          <cell r="M713">
            <v>133450</v>
          </cell>
          <cell r="N713">
            <v>0</v>
          </cell>
          <cell r="O713">
            <v>133450</v>
          </cell>
          <cell r="P713">
            <v>0</v>
          </cell>
          <cell r="Q713" t="str">
            <v>한국</v>
          </cell>
          <cell r="R713" t="str">
            <v>실온</v>
          </cell>
          <cell r="S713" t="str">
            <v>EA(10)</v>
          </cell>
          <cell r="T713" t="str">
            <v/>
          </cell>
          <cell r="U713" t="str">
            <v/>
          </cell>
          <cell r="V713" t="str">
            <v>2019-02-07</v>
          </cell>
          <cell r="W713" t="str">
            <v>2019-02-07 13:19:18</v>
          </cell>
          <cell r="X713" t="str">
            <v>더바른푸드</v>
          </cell>
        </row>
        <row r="714">
          <cell r="A714">
            <v>710</v>
          </cell>
          <cell r="B714" t="str">
            <v>2019-02-08</v>
          </cell>
          <cell r="C714" t="str">
            <v>더바른푸드</v>
          </cell>
          <cell r="D714" t="str">
            <v>더바른푸드</v>
          </cell>
          <cell r="E714" t="str">
            <v>일반</v>
          </cell>
          <cell r="F714" t="str">
            <v>입고완료</v>
          </cell>
          <cell r="G714">
            <v>263307</v>
          </cell>
          <cell r="H714" t="str">
            <v>참손푸드 생선까스(80g*10개입 800g/EA)</v>
          </cell>
          <cell r="I714" t="str">
            <v>EA</v>
          </cell>
          <cell r="J714">
            <v>1</v>
          </cell>
          <cell r="K714">
            <v>1</v>
          </cell>
          <cell r="L714">
            <v>4420</v>
          </cell>
          <cell r="M714">
            <v>4420</v>
          </cell>
          <cell r="N714">
            <v>442</v>
          </cell>
          <cell r="O714">
            <v>4862</v>
          </cell>
          <cell r="P714">
            <v>0</v>
          </cell>
          <cell r="Q714" t="str">
            <v/>
          </cell>
          <cell r="R714" t="str">
            <v>냉동</v>
          </cell>
          <cell r="S714" t="str">
            <v>EA(8)</v>
          </cell>
          <cell r="T714" t="str">
            <v/>
          </cell>
          <cell r="U714" t="str">
            <v/>
          </cell>
          <cell r="V714" t="str">
            <v>2019-02-07</v>
          </cell>
          <cell r="W714" t="str">
            <v>2019-02-07 15:15:50</v>
          </cell>
          <cell r="X714" t="str">
            <v>더바른푸드</v>
          </cell>
        </row>
        <row r="715">
          <cell r="A715">
            <v>711</v>
          </cell>
          <cell r="B715" t="str">
            <v>2019-02-08</v>
          </cell>
          <cell r="C715" t="str">
            <v>더바른푸드</v>
          </cell>
          <cell r="D715" t="str">
            <v>더바른푸드</v>
          </cell>
          <cell r="E715" t="str">
            <v>일반</v>
          </cell>
          <cell r="F715" t="str">
            <v>입고완료</v>
          </cell>
          <cell r="G715">
            <v>130603</v>
          </cell>
          <cell r="H715" t="str">
            <v>이츠웰 탱글탱글새우까스(60g*10입 600g/EA)</v>
          </cell>
          <cell r="I715" t="str">
            <v>EA</v>
          </cell>
          <cell r="J715">
            <v>1</v>
          </cell>
          <cell r="K715">
            <v>1</v>
          </cell>
          <cell r="L715">
            <v>6310</v>
          </cell>
          <cell r="M715">
            <v>6310</v>
          </cell>
          <cell r="N715">
            <v>631</v>
          </cell>
          <cell r="O715">
            <v>6941</v>
          </cell>
          <cell r="P715">
            <v>0</v>
          </cell>
          <cell r="Q715" t="str">
            <v/>
          </cell>
          <cell r="R715" t="str">
            <v>냉동</v>
          </cell>
          <cell r="S715" t="str">
            <v>EA(10)</v>
          </cell>
          <cell r="T715" t="str">
            <v/>
          </cell>
          <cell r="U715" t="str">
            <v/>
          </cell>
          <cell r="V715" t="str">
            <v>2019-02-07</v>
          </cell>
          <cell r="W715" t="str">
            <v>2019-02-07 15:15:50</v>
          </cell>
          <cell r="X715" t="str">
            <v>더바른푸드</v>
          </cell>
        </row>
        <row r="716">
          <cell r="A716">
            <v>712</v>
          </cell>
          <cell r="B716" t="str">
            <v>2019-02-07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</row>
        <row r="717">
          <cell r="A717">
            <v>713</v>
          </cell>
          <cell r="B717" t="str">
            <v>2019-02-07</v>
          </cell>
          <cell r="C717" t="str">
            <v>더바른푸드</v>
          </cell>
          <cell r="D717" t="str">
            <v>더바른푸드</v>
          </cell>
          <cell r="E717" t="str">
            <v>일반</v>
          </cell>
          <cell r="F717" t="str">
            <v>입고완료</v>
          </cell>
          <cell r="G717">
            <v>204964</v>
          </cell>
          <cell r="H717" t="str">
            <v>냉동표고버섯(슬라이스 1Kg/PAC)</v>
          </cell>
          <cell r="I717" t="str">
            <v>PAC</v>
          </cell>
          <cell r="J717">
            <v>10</v>
          </cell>
          <cell r="K717">
            <v>10</v>
          </cell>
          <cell r="L717">
            <v>2730</v>
          </cell>
          <cell r="M717">
            <v>27300</v>
          </cell>
          <cell r="N717">
            <v>0</v>
          </cell>
          <cell r="O717">
            <v>27300</v>
          </cell>
          <cell r="P717">
            <v>0</v>
          </cell>
          <cell r="Q717" t="str">
            <v>중국</v>
          </cell>
          <cell r="R717" t="str">
            <v>냉동</v>
          </cell>
          <cell r="S717" t="str">
            <v>PAC(1)</v>
          </cell>
          <cell r="T717" t="str">
            <v/>
          </cell>
          <cell r="U717" t="str">
            <v/>
          </cell>
          <cell r="V717" t="str">
            <v>2019-01-30</v>
          </cell>
          <cell r="W717" t="str">
            <v>2019-01-30 15:19:21</v>
          </cell>
          <cell r="X717" t="str">
            <v>더바른푸드</v>
          </cell>
        </row>
        <row r="718">
          <cell r="A718">
            <v>714</v>
          </cell>
          <cell r="B718" t="str">
            <v>2019-02-07</v>
          </cell>
          <cell r="C718" t="str">
            <v>더바른푸드</v>
          </cell>
          <cell r="D718" t="str">
            <v>더바른푸드</v>
          </cell>
          <cell r="E718" t="str">
            <v>일반</v>
          </cell>
          <cell r="F718" t="str">
            <v>입고완료</v>
          </cell>
          <cell r="G718">
            <v>411038</v>
          </cell>
          <cell r="H718" t="str">
            <v>누리웰 깐메추리알(1Kg/EA)</v>
          </cell>
          <cell r="I718" t="str">
            <v>EA</v>
          </cell>
          <cell r="J718">
            <v>54</v>
          </cell>
          <cell r="K718">
            <v>54</v>
          </cell>
          <cell r="L718">
            <v>4480</v>
          </cell>
          <cell r="M718">
            <v>241920</v>
          </cell>
          <cell r="N718">
            <v>24192</v>
          </cell>
          <cell r="O718">
            <v>266112</v>
          </cell>
          <cell r="P718">
            <v>0</v>
          </cell>
          <cell r="Q718" t="str">
            <v>한국</v>
          </cell>
          <cell r="R718" t="str">
            <v>냉장</v>
          </cell>
          <cell r="S718" t="str">
            <v>EA(10)</v>
          </cell>
          <cell r="T718" t="str">
            <v/>
          </cell>
          <cell r="U718" t="str">
            <v/>
          </cell>
          <cell r="V718" t="str">
            <v>2019-01-30</v>
          </cell>
          <cell r="W718" t="str">
            <v>2019-01-30 15:25:44</v>
          </cell>
          <cell r="X718" t="str">
            <v>더바른푸드</v>
          </cell>
        </row>
        <row r="719">
          <cell r="A719">
            <v>715</v>
          </cell>
          <cell r="B719" t="str">
            <v>2019-02-07</v>
          </cell>
          <cell r="C719" t="str">
            <v>더바른푸드</v>
          </cell>
          <cell r="D719" t="str">
            <v>더바른푸드</v>
          </cell>
          <cell r="E719" t="str">
            <v>일반</v>
          </cell>
          <cell r="F719" t="str">
            <v>입고완료</v>
          </cell>
          <cell r="G719">
            <v>154930</v>
          </cell>
          <cell r="H719" t="str">
            <v>사조대림 곤약(LOW칼로리생활 2Kg/EA)</v>
          </cell>
          <cell r="I719" t="str">
            <v>EA</v>
          </cell>
          <cell r="J719">
            <v>3</v>
          </cell>
          <cell r="K719">
            <v>3</v>
          </cell>
          <cell r="L719">
            <v>3920</v>
          </cell>
          <cell r="M719">
            <v>11760</v>
          </cell>
          <cell r="N719">
            <v>1176</v>
          </cell>
          <cell r="O719">
            <v>12936</v>
          </cell>
          <cell r="P719">
            <v>0</v>
          </cell>
          <cell r="Q719" t="str">
            <v/>
          </cell>
          <cell r="R719" t="str">
            <v>실온</v>
          </cell>
          <cell r="S719" t="str">
            <v>EA(6)</v>
          </cell>
          <cell r="T719" t="str">
            <v/>
          </cell>
          <cell r="U719" t="str">
            <v/>
          </cell>
          <cell r="V719" t="str">
            <v>2019-01-30</v>
          </cell>
          <cell r="W719" t="str">
            <v>2019-01-30 15:25:44</v>
          </cell>
          <cell r="X719" t="str">
            <v>더바른푸드</v>
          </cell>
        </row>
        <row r="720">
          <cell r="A720">
            <v>716</v>
          </cell>
          <cell r="B720" t="str">
            <v>2019-02-07</v>
          </cell>
          <cell r="C720" t="str">
            <v>더바른푸드</v>
          </cell>
          <cell r="D720" t="str">
            <v>더바른푸드</v>
          </cell>
          <cell r="E720" t="str">
            <v>일반</v>
          </cell>
          <cell r="F720" t="str">
            <v>입고완료</v>
          </cell>
          <cell r="G720">
            <v>237791</v>
          </cell>
          <cell r="H720" t="str">
            <v>종로복떡방 백설기(찜용 1Kg/EA)</v>
          </cell>
          <cell r="I720" t="str">
            <v>EA</v>
          </cell>
          <cell r="J720">
            <v>9</v>
          </cell>
          <cell r="K720">
            <v>9</v>
          </cell>
          <cell r="L720">
            <v>8130</v>
          </cell>
          <cell r="M720">
            <v>73170</v>
          </cell>
          <cell r="N720">
            <v>7317</v>
          </cell>
          <cell r="O720">
            <v>80487</v>
          </cell>
          <cell r="P720">
            <v>0</v>
          </cell>
          <cell r="Q720" t="str">
            <v/>
          </cell>
          <cell r="R720" t="str">
            <v>냉동</v>
          </cell>
          <cell r="S720" t="str">
            <v>EA(1)</v>
          </cell>
          <cell r="T720" t="str">
            <v/>
          </cell>
          <cell r="U720" t="str">
            <v/>
          </cell>
          <cell r="V720" t="str">
            <v>2019-01-31</v>
          </cell>
          <cell r="W720" t="str">
            <v>2019-01-31 12:20:53</v>
          </cell>
          <cell r="X720" t="str">
            <v>더바른푸드</v>
          </cell>
        </row>
        <row r="721">
          <cell r="A721">
            <v>717</v>
          </cell>
          <cell r="B721" t="str">
            <v>2019-02-07</v>
          </cell>
          <cell r="C721" t="str">
            <v>더바른푸드</v>
          </cell>
          <cell r="D721" t="str">
            <v>더바른푸드</v>
          </cell>
          <cell r="E721" t="str">
            <v>일반</v>
          </cell>
          <cell r="F721" t="str">
            <v>입고완료</v>
          </cell>
          <cell r="G721">
            <v>259671</v>
          </cell>
          <cell r="H721" t="str">
            <v>세준푸드 맑은식혜(유기농 125g/EA)</v>
          </cell>
          <cell r="I721" t="str">
            <v>BOX</v>
          </cell>
          <cell r="J721">
            <v>7</v>
          </cell>
          <cell r="K721">
            <v>7</v>
          </cell>
          <cell r="L721">
            <v>10320</v>
          </cell>
          <cell r="M721">
            <v>72240</v>
          </cell>
          <cell r="N721">
            <v>7224</v>
          </cell>
          <cell r="O721">
            <v>79464</v>
          </cell>
          <cell r="P721">
            <v>0</v>
          </cell>
          <cell r="Q721" t="str">
            <v/>
          </cell>
          <cell r="R721" t="str">
            <v>실온</v>
          </cell>
          <cell r="S721" t="str">
            <v>EA(24)</v>
          </cell>
          <cell r="T721" t="str">
            <v/>
          </cell>
          <cell r="U721" t="str">
            <v/>
          </cell>
          <cell r="V721" t="str">
            <v>2019-01-31</v>
          </cell>
          <cell r="W721" t="str">
            <v>2019-01-31 13:00:17</v>
          </cell>
          <cell r="X721" t="str">
            <v>더바른푸드</v>
          </cell>
        </row>
        <row r="722">
          <cell r="A722">
            <v>718</v>
          </cell>
          <cell r="B722" t="str">
            <v>2019-02-07</v>
          </cell>
          <cell r="C722" t="str">
            <v>더바른푸드</v>
          </cell>
          <cell r="D722" t="str">
            <v>더바른푸드</v>
          </cell>
          <cell r="E722" t="str">
            <v>일반</v>
          </cell>
          <cell r="F722" t="str">
            <v>입고완료</v>
          </cell>
          <cell r="G722">
            <v>100485</v>
          </cell>
          <cell r="H722" t="str">
            <v>맥심 커피(오리지널 500g/EA)</v>
          </cell>
          <cell r="I722" t="str">
            <v>EA</v>
          </cell>
          <cell r="J722">
            <v>1</v>
          </cell>
          <cell r="K722">
            <v>1</v>
          </cell>
          <cell r="L722">
            <v>16980</v>
          </cell>
          <cell r="M722">
            <v>16980</v>
          </cell>
          <cell r="N722">
            <v>1698</v>
          </cell>
          <cell r="O722">
            <v>18678</v>
          </cell>
          <cell r="P722">
            <v>0</v>
          </cell>
          <cell r="Q722" t="str">
            <v/>
          </cell>
          <cell r="R722" t="str">
            <v>실온</v>
          </cell>
          <cell r="S722" t="str">
            <v>EA(12)</v>
          </cell>
          <cell r="T722" t="str">
            <v/>
          </cell>
          <cell r="U722" t="str">
            <v/>
          </cell>
          <cell r="V722" t="str">
            <v>2019-02-01</v>
          </cell>
          <cell r="W722" t="str">
            <v>2019-02-01 14:54:09</v>
          </cell>
          <cell r="X722" t="str">
            <v>더바른푸드</v>
          </cell>
        </row>
        <row r="723">
          <cell r="A723">
            <v>719</v>
          </cell>
          <cell r="B723" t="str">
            <v>2019-02-07</v>
          </cell>
          <cell r="C723" t="str">
            <v>더바른푸드</v>
          </cell>
          <cell r="D723" t="str">
            <v>더바른푸드</v>
          </cell>
          <cell r="E723" t="str">
            <v>일반</v>
          </cell>
          <cell r="F723" t="str">
            <v>입고완료</v>
          </cell>
          <cell r="G723">
            <v>248028</v>
          </cell>
          <cell r="H723" t="str">
            <v>이츠웰 오징어채(1Kg/EA)</v>
          </cell>
          <cell r="I723" t="str">
            <v>EA</v>
          </cell>
          <cell r="J723">
            <v>2</v>
          </cell>
          <cell r="K723">
            <v>2</v>
          </cell>
          <cell r="L723">
            <v>11630</v>
          </cell>
          <cell r="M723">
            <v>23260</v>
          </cell>
          <cell r="N723">
            <v>0</v>
          </cell>
          <cell r="O723">
            <v>23260</v>
          </cell>
          <cell r="P723">
            <v>0</v>
          </cell>
          <cell r="Q723" t="str">
            <v>한국</v>
          </cell>
          <cell r="R723" t="str">
            <v>냉동</v>
          </cell>
          <cell r="S723" t="str">
            <v>EA(10)</v>
          </cell>
          <cell r="T723" t="str">
            <v/>
          </cell>
          <cell r="U723" t="str">
            <v/>
          </cell>
          <cell r="V723" t="str">
            <v>2019-02-01</v>
          </cell>
          <cell r="W723" t="str">
            <v>2019-02-01 15:36:08</v>
          </cell>
          <cell r="X723" t="str">
            <v>더바른푸드</v>
          </cell>
        </row>
        <row r="724">
          <cell r="A724">
            <v>720</v>
          </cell>
          <cell r="B724" t="str">
            <v>2019-02-01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0</v>
          </cell>
          <cell r="W724">
            <v>0</v>
          </cell>
          <cell r="X724">
            <v>0</v>
          </cell>
        </row>
        <row r="725">
          <cell r="A725">
            <v>721</v>
          </cell>
          <cell r="B725" t="str">
            <v>2019-02-01</v>
          </cell>
          <cell r="C725" t="str">
            <v>더바른푸드</v>
          </cell>
          <cell r="D725" t="str">
            <v>더바른푸드</v>
          </cell>
          <cell r="E725" t="str">
            <v>일반</v>
          </cell>
          <cell r="F725" t="str">
            <v>입고완료</v>
          </cell>
          <cell r="G725">
            <v>176382</v>
          </cell>
          <cell r="H725" t="str">
            <v>서울식품공업 미니크로와상(완제품_19g*50입 950g/EA)</v>
          </cell>
          <cell r="I725" t="str">
            <v>EA</v>
          </cell>
          <cell r="J725">
            <v>2</v>
          </cell>
          <cell r="K725">
            <v>2</v>
          </cell>
          <cell r="L725">
            <v>12700</v>
          </cell>
          <cell r="M725">
            <v>25400</v>
          </cell>
          <cell r="N725">
            <v>2540</v>
          </cell>
          <cell r="O725">
            <v>27940</v>
          </cell>
          <cell r="P725">
            <v>0</v>
          </cell>
          <cell r="Q725" t="str">
            <v/>
          </cell>
          <cell r="R725" t="str">
            <v>냉동</v>
          </cell>
          <cell r="S725" t="str">
            <v>EA(2)</v>
          </cell>
          <cell r="T725" t="str">
            <v/>
          </cell>
          <cell r="U725" t="str">
            <v/>
          </cell>
          <cell r="V725" t="str">
            <v>2019-01-24</v>
          </cell>
          <cell r="W725" t="str">
            <v>2019-01-24 16:09:34</v>
          </cell>
          <cell r="X725" t="str">
            <v>더바른푸드</v>
          </cell>
        </row>
        <row r="726">
          <cell r="A726">
            <v>722</v>
          </cell>
          <cell r="B726" t="str">
            <v>2019-02-01</v>
          </cell>
          <cell r="C726" t="str">
            <v>더바른푸드</v>
          </cell>
          <cell r="D726" t="str">
            <v>더바른푸드</v>
          </cell>
          <cell r="E726" t="str">
            <v>일반</v>
          </cell>
          <cell r="F726" t="str">
            <v>입고완료</v>
          </cell>
          <cell r="G726">
            <v>136633</v>
          </cell>
          <cell r="H726" t="str">
            <v>이오 요구르트(80ml_유기농 80g/EA)</v>
          </cell>
          <cell r="I726" t="str">
            <v>EA</v>
          </cell>
          <cell r="J726">
            <v>40</v>
          </cell>
          <cell r="K726">
            <v>40</v>
          </cell>
          <cell r="L726">
            <v>300</v>
          </cell>
          <cell r="M726">
            <v>12000</v>
          </cell>
          <cell r="N726">
            <v>1200</v>
          </cell>
          <cell r="O726">
            <v>13200</v>
          </cell>
          <cell r="P726">
            <v>0</v>
          </cell>
          <cell r="Q726" t="str">
            <v>한국</v>
          </cell>
          <cell r="R726" t="str">
            <v>냉장</v>
          </cell>
          <cell r="S726" t="str">
            <v>EA(50)</v>
          </cell>
          <cell r="T726" t="str">
            <v/>
          </cell>
          <cell r="U726" t="str">
            <v>빨대주세요</v>
          </cell>
          <cell r="V726" t="str">
            <v>2019-01-24</v>
          </cell>
          <cell r="W726" t="str">
            <v>2019-01-24 16:09:34</v>
          </cell>
          <cell r="X726" t="str">
            <v>더바른푸드</v>
          </cell>
        </row>
        <row r="727">
          <cell r="A727">
            <v>723</v>
          </cell>
          <cell r="B727" t="str">
            <v>2019-02-01</v>
          </cell>
          <cell r="C727" t="str">
            <v>더바른푸드</v>
          </cell>
          <cell r="D727" t="str">
            <v>더바른푸드</v>
          </cell>
          <cell r="E727" t="str">
            <v>일반</v>
          </cell>
          <cell r="F727" t="str">
            <v>입고완료</v>
          </cell>
          <cell r="G727">
            <v>319698</v>
          </cell>
          <cell r="H727" t="str">
            <v>전장김(25g/EA)</v>
          </cell>
          <cell r="I727" t="str">
            <v>EA</v>
          </cell>
          <cell r="J727">
            <v>13</v>
          </cell>
          <cell r="K727">
            <v>13</v>
          </cell>
          <cell r="L727">
            <v>760</v>
          </cell>
          <cell r="M727">
            <v>9880</v>
          </cell>
          <cell r="N727">
            <v>988</v>
          </cell>
          <cell r="O727">
            <v>10868</v>
          </cell>
          <cell r="P727">
            <v>0</v>
          </cell>
          <cell r="Q727" t="str">
            <v>한국</v>
          </cell>
          <cell r="R727" t="str">
            <v>실온</v>
          </cell>
          <cell r="S727" t="str">
            <v>EA(40)</v>
          </cell>
          <cell r="T727" t="str">
            <v/>
          </cell>
          <cell r="U727" t="str">
            <v/>
          </cell>
          <cell r="V727" t="str">
            <v>2019-01-29</v>
          </cell>
          <cell r="W727" t="str">
            <v>2019-01-29 15:10:39</v>
          </cell>
          <cell r="X727" t="str">
            <v>더바른푸드</v>
          </cell>
        </row>
        <row r="728">
          <cell r="A728">
            <v>724</v>
          </cell>
          <cell r="B728" t="str">
            <v>2019-02-01</v>
          </cell>
          <cell r="C728" t="str">
            <v>더바른푸드</v>
          </cell>
          <cell r="D728" t="str">
            <v>더바른푸드</v>
          </cell>
          <cell r="E728" t="str">
            <v>일반</v>
          </cell>
          <cell r="F728" t="str">
            <v>입고완료</v>
          </cell>
          <cell r="G728">
            <v>219387</v>
          </cell>
          <cell r="H728" t="str">
            <v>냉동배추우거지(1Kg/EA)</v>
          </cell>
          <cell r="I728" t="str">
            <v>EA</v>
          </cell>
          <cell r="J728">
            <v>40</v>
          </cell>
          <cell r="K728">
            <v>40</v>
          </cell>
          <cell r="L728">
            <v>1430</v>
          </cell>
          <cell r="M728">
            <v>57200</v>
          </cell>
          <cell r="N728">
            <v>5720</v>
          </cell>
          <cell r="O728">
            <v>62920</v>
          </cell>
          <cell r="P728">
            <v>0</v>
          </cell>
          <cell r="Q728" t="str">
            <v>중국</v>
          </cell>
          <cell r="R728" t="str">
            <v>냉동</v>
          </cell>
          <cell r="S728" t="str">
            <v>EA(1)</v>
          </cell>
          <cell r="T728" t="str">
            <v/>
          </cell>
          <cell r="U728" t="str">
            <v/>
          </cell>
          <cell r="V728" t="str">
            <v>2019-01-30</v>
          </cell>
          <cell r="W728" t="str">
            <v>2019-01-30 14:53:28</v>
          </cell>
          <cell r="X728" t="str">
            <v>더바른푸드</v>
          </cell>
        </row>
        <row r="729">
          <cell r="A729">
            <v>725</v>
          </cell>
          <cell r="B729" t="str">
            <v>2019-02-01</v>
          </cell>
          <cell r="C729" t="str">
            <v>더바른푸드</v>
          </cell>
          <cell r="D729" t="str">
            <v>더바른푸드</v>
          </cell>
          <cell r="E729" t="str">
            <v>일반</v>
          </cell>
          <cell r="F729" t="str">
            <v>입고완료</v>
          </cell>
          <cell r="G729">
            <v>174871</v>
          </cell>
          <cell r="H729" t="str">
            <v>정남식품 콩비지(1Kg/EA)</v>
          </cell>
          <cell r="I729" t="str">
            <v>EA</v>
          </cell>
          <cell r="J729">
            <v>8</v>
          </cell>
          <cell r="K729">
            <v>8</v>
          </cell>
          <cell r="L729">
            <v>2720</v>
          </cell>
          <cell r="M729">
            <v>21760</v>
          </cell>
          <cell r="N729">
            <v>0</v>
          </cell>
          <cell r="O729">
            <v>21760</v>
          </cell>
          <cell r="P729">
            <v>0</v>
          </cell>
          <cell r="Q729" t="str">
            <v>외국산</v>
          </cell>
          <cell r="R729" t="str">
            <v>냉장</v>
          </cell>
          <cell r="S729" t="str">
            <v>EA(1)</v>
          </cell>
          <cell r="T729" t="str">
            <v/>
          </cell>
          <cell r="U729" t="str">
            <v/>
          </cell>
          <cell r="V729" t="str">
            <v>2019-01-30</v>
          </cell>
          <cell r="W729" t="str">
            <v>2019-01-30 14:56:04</v>
          </cell>
          <cell r="X729" t="str">
            <v>더바른푸드</v>
          </cell>
        </row>
        <row r="730">
          <cell r="A730">
            <v>726</v>
          </cell>
          <cell r="B730" t="str">
            <v>2019-02-01</v>
          </cell>
          <cell r="C730" t="str">
            <v>더바른푸드</v>
          </cell>
          <cell r="D730" t="str">
            <v>더바른푸드</v>
          </cell>
          <cell r="E730" t="str">
            <v>일반</v>
          </cell>
          <cell r="F730" t="str">
            <v>입고완료</v>
          </cell>
          <cell r="G730">
            <v>214113</v>
          </cell>
          <cell r="H730" t="str">
            <v>아이누리 팽이버섯(1Kg/EA)</v>
          </cell>
          <cell r="I730" t="str">
            <v>EA</v>
          </cell>
          <cell r="J730">
            <v>2</v>
          </cell>
          <cell r="K730">
            <v>2</v>
          </cell>
          <cell r="L730">
            <v>3370</v>
          </cell>
          <cell r="M730">
            <v>6740</v>
          </cell>
          <cell r="N730">
            <v>0</v>
          </cell>
          <cell r="O730">
            <v>6740</v>
          </cell>
          <cell r="P730">
            <v>0</v>
          </cell>
          <cell r="Q730" t="str">
            <v>한국</v>
          </cell>
          <cell r="R730" t="str">
            <v>냉장</v>
          </cell>
          <cell r="S730" t="str">
            <v>EA(1)</v>
          </cell>
          <cell r="T730" t="str">
            <v/>
          </cell>
          <cell r="U730" t="str">
            <v/>
          </cell>
          <cell r="V730" t="str">
            <v>2019-01-30</v>
          </cell>
          <cell r="W730" t="str">
            <v>2019-01-30 15:16:54</v>
          </cell>
          <cell r="X730" t="str">
            <v>더바른푸드</v>
          </cell>
        </row>
        <row r="731">
          <cell r="A731">
            <v>727</v>
          </cell>
          <cell r="B731" t="str">
            <v>2019-02-01</v>
          </cell>
          <cell r="C731" t="str">
            <v>더바른푸드</v>
          </cell>
          <cell r="D731" t="str">
            <v>더바른푸드</v>
          </cell>
          <cell r="E731" t="str">
            <v>일반</v>
          </cell>
          <cell r="F731" t="str">
            <v>입고완료</v>
          </cell>
          <cell r="G731">
            <v>201290</v>
          </cell>
          <cell r="H731" t="str">
            <v>건무말랭이(KG)</v>
          </cell>
          <cell r="I731" t="str">
            <v>KG</v>
          </cell>
          <cell r="J731">
            <v>21</v>
          </cell>
          <cell r="K731">
            <v>21</v>
          </cell>
          <cell r="L731">
            <v>5580</v>
          </cell>
          <cell r="M731">
            <v>117180</v>
          </cell>
          <cell r="N731">
            <v>0</v>
          </cell>
          <cell r="O731">
            <v>117180</v>
          </cell>
          <cell r="P731">
            <v>0</v>
          </cell>
          <cell r="Q731" t="str">
            <v>중국</v>
          </cell>
          <cell r="R731" t="str">
            <v>실온</v>
          </cell>
          <cell r="S731" t="str">
            <v>KG(1)</v>
          </cell>
          <cell r="T731" t="str">
            <v/>
          </cell>
          <cell r="U731" t="str">
            <v/>
          </cell>
          <cell r="V731" t="str">
            <v>2019-01-30</v>
          </cell>
          <cell r="W731" t="str">
            <v>2019-01-30 15:38:29</v>
          </cell>
          <cell r="X731" t="str">
            <v>더바른푸드</v>
          </cell>
        </row>
        <row r="732">
          <cell r="A732">
            <v>728</v>
          </cell>
          <cell r="B732" t="str">
            <v>2019-02-01</v>
          </cell>
          <cell r="C732" t="str">
            <v>더바른푸드</v>
          </cell>
          <cell r="D732" t="str">
            <v>더바른푸드</v>
          </cell>
          <cell r="E732" t="str">
            <v>일반</v>
          </cell>
          <cell r="F732" t="str">
            <v>입고완료</v>
          </cell>
          <cell r="G732">
            <v>159357</v>
          </cell>
          <cell r="H732" t="str">
            <v>이츠웰 칼집쏙쏙비엔나소시지(1Kg/EA)</v>
          </cell>
          <cell r="I732" t="str">
            <v>EA</v>
          </cell>
          <cell r="J732">
            <v>9</v>
          </cell>
          <cell r="K732">
            <v>9</v>
          </cell>
          <cell r="L732">
            <v>5690</v>
          </cell>
          <cell r="M732">
            <v>51210</v>
          </cell>
          <cell r="N732">
            <v>5121</v>
          </cell>
          <cell r="O732">
            <v>56331</v>
          </cell>
          <cell r="P732">
            <v>0</v>
          </cell>
          <cell r="Q732" t="str">
            <v/>
          </cell>
          <cell r="R732" t="str">
            <v>냉장</v>
          </cell>
          <cell r="S732" t="str">
            <v>EA(10)</v>
          </cell>
          <cell r="T732" t="str">
            <v/>
          </cell>
          <cell r="U732" t="str">
            <v/>
          </cell>
          <cell r="V732" t="str">
            <v>2019-01-30</v>
          </cell>
          <cell r="W732" t="str">
            <v>2019-01-30 15:42:06</v>
          </cell>
          <cell r="X732" t="str">
            <v>더바른푸드</v>
          </cell>
        </row>
        <row r="733">
          <cell r="A733">
            <v>729</v>
          </cell>
          <cell r="B733" t="str">
            <v>2019-02-01</v>
          </cell>
          <cell r="C733" t="str">
            <v>더바른푸드</v>
          </cell>
          <cell r="D733" t="str">
            <v>더바른푸드</v>
          </cell>
          <cell r="E733" t="str">
            <v>일반</v>
          </cell>
          <cell r="F733" t="str">
            <v>입고완료</v>
          </cell>
          <cell r="G733">
            <v>114264</v>
          </cell>
          <cell r="H733" t="str">
            <v>동성식품 한입쌀떡볶이떡(1Kg/EA)</v>
          </cell>
          <cell r="I733" t="str">
            <v>EA</v>
          </cell>
          <cell r="J733">
            <v>4</v>
          </cell>
          <cell r="K733">
            <v>4</v>
          </cell>
          <cell r="L733">
            <v>1340</v>
          </cell>
          <cell r="M733">
            <v>5360</v>
          </cell>
          <cell r="N733">
            <v>536</v>
          </cell>
          <cell r="O733">
            <v>5896</v>
          </cell>
          <cell r="P733">
            <v>0</v>
          </cell>
          <cell r="Q733" t="str">
            <v>수입산</v>
          </cell>
          <cell r="R733" t="str">
            <v>냉장</v>
          </cell>
          <cell r="S733" t="str">
            <v>EA(1)</v>
          </cell>
          <cell r="T733" t="str">
            <v/>
          </cell>
          <cell r="U733" t="str">
            <v/>
          </cell>
          <cell r="V733" t="str">
            <v>2019-01-30</v>
          </cell>
          <cell r="W733" t="str">
            <v>2019-01-30 15:48:19</v>
          </cell>
          <cell r="X733" t="str">
            <v>더바른푸드</v>
          </cell>
        </row>
        <row r="734">
          <cell r="A734">
            <v>730</v>
          </cell>
          <cell r="B734" t="str">
            <v>2019-02-01</v>
          </cell>
          <cell r="C734" t="str">
            <v>더바른푸드</v>
          </cell>
          <cell r="D734" t="str">
            <v>더바른푸드</v>
          </cell>
          <cell r="E734" t="str">
            <v>일반</v>
          </cell>
          <cell r="F734" t="str">
            <v>입고완료</v>
          </cell>
          <cell r="G734">
            <v>143791</v>
          </cell>
          <cell r="H734" t="str">
            <v>이츠웰 참기름(NEW_PET_1.8L 1.65Kg/EA)</v>
          </cell>
          <cell r="I734" t="str">
            <v>EA</v>
          </cell>
          <cell r="J734">
            <v>6</v>
          </cell>
          <cell r="K734">
            <v>6</v>
          </cell>
          <cell r="L734">
            <v>14780</v>
          </cell>
          <cell r="M734">
            <v>88680</v>
          </cell>
          <cell r="N734">
            <v>8868</v>
          </cell>
          <cell r="O734">
            <v>97548</v>
          </cell>
          <cell r="P734">
            <v>0</v>
          </cell>
          <cell r="Q734" t="str">
            <v>베트남</v>
          </cell>
          <cell r="R734" t="str">
            <v>실온</v>
          </cell>
          <cell r="S734" t="str">
            <v>EA(6)</v>
          </cell>
          <cell r="T734" t="str">
            <v/>
          </cell>
          <cell r="U734" t="str">
            <v/>
          </cell>
          <cell r="V734" t="str">
            <v>2019-01-31</v>
          </cell>
          <cell r="W734" t="str">
            <v>2019-01-31 07:19:18</v>
          </cell>
          <cell r="X734" t="str">
            <v>더바른푸드</v>
          </cell>
        </row>
        <row r="735">
          <cell r="A735">
            <v>731</v>
          </cell>
          <cell r="B735" t="str">
            <v>2019-02-01</v>
          </cell>
          <cell r="C735" t="str">
            <v>더바른푸드</v>
          </cell>
          <cell r="D735" t="str">
            <v>더바른푸드</v>
          </cell>
          <cell r="E735" t="str">
            <v>일반</v>
          </cell>
          <cell r="F735" t="str">
            <v>입고완료</v>
          </cell>
          <cell r="G735">
            <v>241204</v>
          </cell>
          <cell r="H735" t="str">
            <v>이츠웰 콘시리얼함께해바(견과바_15g*12개 180g/EA)</v>
          </cell>
          <cell r="I735" t="str">
            <v>EA</v>
          </cell>
          <cell r="J735">
            <v>3</v>
          </cell>
          <cell r="K735">
            <v>3</v>
          </cell>
          <cell r="L735">
            <v>4500</v>
          </cell>
          <cell r="M735">
            <v>13500</v>
          </cell>
          <cell r="N735">
            <v>1350</v>
          </cell>
          <cell r="O735">
            <v>14850</v>
          </cell>
          <cell r="P735">
            <v>0</v>
          </cell>
          <cell r="Q735" t="str">
            <v>외국산</v>
          </cell>
          <cell r="R735" t="str">
            <v>실온</v>
          </cell>
          <cell r="S735" t="str">
            <v>EA(8)</v>
          </cell>
          <cell r="T735" t="str">
            <v/>
          </cell>
          <cell r="U735" t="str">
            <v/>
          </cell>
          <cell r="V735" t="str">
            <v>2019-01-31</v>
          </cell>
          <cell r="W735" t="str">
            <v>2019-01-31 09:53:45</v>
          </cell>
          <cell r="X735" t="str">
            <v>더바른푸드</v>
          </cell>
        </row>
        <row r="736">
          <cell r="A736">
            <v>732</v>
          </cell>
          <cell r="B736" t="str">
            <v>2019-02-01</v>
          </cell>
          <cell r="C736" t="str">
            <v>더바른푸드</v>
          </cell>
          <cell r="D736" t="str">
            <v>더바른푸드</v>
          </cell>
          <cell r="E736" t="str">
            <v>일반</v>
          </cell>
          <cell r="F736" t="str">
            <v>입고완료</v>
          </cell>
          <cell r="G736">
            <v>190732</v>
          </cell>
          <cell r="H736" t="str">
            <v>이츠웰 볶음참깨(1Kg/EA)</v>
          </cell>
          <cell r="I736" t="str">
            <v>EA</v>
          </cell>
          <cell r="J736">
            <v>5</v>
          </cell>
          <cell r="K736">
            <v>5</v>
          </cell>
          <cell r="L736">
            <v>6850</v>
          </cell>
          <cell r="M736">
            <v>34250</v>
          </cell>
          <cell r="N736">
            <v>3425</v>
          </cell>
          <cell r="O736">
            <v>37675</v>
          </cell>
          <cell r="P736">
            <v>0</v>
          </cell>
          <cell r="Q736" t="str">
            <v/>
          </cell>
          <cell r="R736" t="str">
            <v>실온</v>
          </cell>
          <cell r="S736" t="str">
            <v>EA(10)</v>
          </cell>
          <cell r="T736" t="str">
            <v/>
          </cell>
          <cell r="U736" t="str">
            <v/>
          </cell>
          <cell r="V736" t="str">
            <v>2019-01-31</v>
          </cell>
          <cell r="W736" t="str">
            <v>2019-01-31 14:09:11</v>
          </cell>
          <cell r="X736" t="str">
            <v>더바른푸드</v>
          </cell>
        </row>
        <row r="737">
          <cell r="A737">
            <v>733</v>
          </cell>
          <cell r="B737" t="str">
            <v>2019-02-01</v>
          </cell>
          <cell r="C737" t="str">
            <v>더바른푸드</v>
          </cell>
          <cell r="D737" t="str">
            <v>더바른푸드</v>
          </cell>
          <cell r="E737" t="str">
            <v>일반</v>
          </cell>
          <cell r="F737" t="str">
            <v>입고완료</v>
          </cell>
          <cell r="G737">
            <v>174871</v>
          </cell>
          <cell r="H737" t="str">
            <v>정남식품 콩비지(1Kg/EA)</v>
          </cell>
          <cell r="I737" t="str">
            <v>EA</v>
          </cell>
          <cell r="J737">
            <v>1</v>
          </cell>
          <cell r="K737">
            <v>-1</v>
          </cell>
          <cell r="L737">
            <v>2720</v>
          </cell>
          <cell r="M737">
            <v>2720</v>
          </cell>
          <cell r="N737">
            <v>0</v>
          </cell>
          <cell r="O737">
            <v>2720</v>
          </cell>
          <cell r="P737">
            <v>0</v>
          </cell>
          <cell r="Q737" t="str">
            <v>외국산</v>
          </cell>
          <cell r="R737" t="str">
            <v>냉장</v>
          </cell>
          <cell r="S737" t="str">
            <v>EA(1)</v>
          </cell>
          <cell r="T737" t="str">
            <v/>
          </cell>
          <cell r="U737" t="str">
            <v/>
          </cell>
          <cell r="V737" t="str">
            <v>2019-02-01</v>
          </cell>
          <cell r="W737" t="str">
            <v>2019-02-01 08:33:31</v>
          </cell>
          <cell r="X737" t="str">
            <v>jeonhs87</v>
          </cell>
        </row>
        <row r="738">
          <cell r="A738">
            <v>734</v>
          </cell>
          <cell r="B738" t="str">
            <v>2019-01-31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0</v>
          </cell>
          <cell r="W738">
            <v>0</v>
          </cell>
          <cell r="X738">
            <v>0</v>
          </cell>
        </row>
        <row r="739">
          <cell r="A739">
            <v>735</v>
          </cell>
          <cell r="B739" t="str">
            <v>2019-01-31</v>
          </cell>
          <cell r="C739" t="str">
            <v>더바른푸드</v>
          </cell>
          <cell r="D739" t="str">
            <v>더바른푸드</v>
          </cell>
          <cell r="E739" t="str">
            <v>일반</v>
          </cell>
          <cell r="F739" t="str">
            <v>입고완료</v>
          </cell>
          <cell r="G739">
            <v>269671</v>
          </cell>
          <cell r="H739" t="str">
            <v>이츠웰 우리밀허니버터카스테라(개별포장_35g*30입 1.05Kg/BOX)</v>
          </cell>
          <cell r="I739" t="str">
            <v>BOX</v>
          </cell>
          <cell r="J739">
            <v>5</v>
          </cell>
          <cell r="K739">
            <v>5</v>
          </cell>
          <cell r="L739">
            <v>12810</v>
          </cell>
          <cell r="M739">
            <v>64050</v>
          </cell>
          <cell r="N739">
            <v>6405</v>
          </cell>
          <cell r="O739">
            <v>70455</v>
          </cell>
          <cell r="P739">
            <v>0</v>
          </cell>
          <cell r="Q739" t="str">
            <v/>
          </cell>
          <cell r="R739" t="str">
            <v>냉동</v>
          </cell>
          <cell r="S739" t="str">
            <v>BOX(1)</v>
          </cell>
          <cell r="T739" t="str">
            <v/>
          </cell>
          <cell r="U739" t="str">
            <v/>
          </cell>
          <cell r="V739" t="str">
            <v>2019-01-24</v>
          </cell>
          <cell r="W739" t="str">
            <v>2019-01-24 16:02:56</v>
          </cell>
          <cell r="X739" t="str">
            <v>더바른푸드</v>
          </cell>
        </row>
        <row r="740">
          <cell r="A740">
            <v>736</v>
          </cell>
          <cell r="B740" t="str">
            <v>2019-01-31</v>
          </cell>
          <cell r="C740" t="str">
            <v>더바른푸드</v>
          </cell>
          <cell r="D740" t="str">
            <v>더바른푸드</v>
          </cell>
          <cell r="E740" t="str">
            <v>일반</v>
          </cell>
          <cell r="F740" t="str">
            <v>입고완료</v>
          </cell>
          <cell r="G740">
            <v>166111</v>
          </cell>
          <cell r="H740" t="str">
            <v>종로복떡방 방울증편(40개입 찜용 1Kg/EA)</v>
          </cell>
          <cell r="I740" t="str">
            <v>EA</v>
          </cell>
          <cell r="J740">
            <v>1</v>
          </cell>
          <cell r="K740">
            <v>1</v>
          </cell>
          <cell r="L740">
            <v>10800</v>
          </cell>
          <cell r="M740">
            <v>10800</v>
          </cell>
          <cell r="N740">
            <v>1080</v>
          </cell>
          <cell r="O740">
            <v>11880</v>
          </cell>
          <cell r="P740">
            <v>0</v>
          </cell>
          <cell r="Q740" t="str">
            <v/>
          </cell>
          <cell r="R740" t="str">
            <v>냉동</v>
          </cell>
          <cell r="S740" t="str">
            <v>EA(1)</v>
          </cell>
          <cell r="T740" t="str">
            <v/>
          </cell>
          <cell r="U740" t="str">
            <v/>
          </cell>
          <cell r="V740" t="str">
            <v>2019-01-24</v>
          </cell>
          <cell r="W740" t="str">
            <v>2019-01-24 16:04:44</v>
          </cell>
          <cell r="X740" t="str">
            <v>더바른푸드</v>
          </cell>
        </row>
        <row r="741">
          <cell r="A741">
            <v>737</v>
          </cell>
          <cell r="B741" t="str">
            <v>2019-01-31</v>
          </cell>
          <cell r="C741" t="str">
            <v>더바른푸드</v>
          </cell>
          <cell r="D741" t="str">
            <v>더바른푸드</v>
          </cell>
          <cell r="E741" t="str">
            <v>일반</v>
          </cell>
          <cell r="F741" t="str">
            <v>입고완료</v>
          </cell>
          <cell r="G741">
            <v>108319</v>
          </cell>
          <cell r="H741" t="str">
            <v>연세우유 고칼슘두유(팩_200ml 200g/EA)</v>
          </cell>
          <cell r="I741" t="str">
            <v>EA</v>
          </cell>
          <cell r="J741">
            <v>144</v>
          </cell>
          <cell r="K741">
            <v>144</v>
          </cell>
          <cell r="L741">
            <v>280</v>
          </cell>
          <cell r="M741">
            <v>40320</v>
          </cell>
          <cell r="N741">
            <v>4032</v>
          </cell>
          <cell r="O741">
            <v>44352</v>
          </cell>
          <cell r="P741">
            <v>0</v>
          </cell>
          <cell r="Q741" t="str">
            <v>한국</v>
          </cell>
          <cell r="R741" t="str">
            <v>실온</v>
          </cell>
          <cell r="S741" t="str">
            <v>EA(1)</v>
          </cell>
          <cell r="T741" t="str">
            <v/>
          </cell>
          <cell r="U741" t="str">
            <v/>
          </cell>
          <cell r="V741" t="str">
            <v>2019-01-24</v>
          </cell>
          <cell r="W741" t="str">
            <v>2019-01-24 16:06:49</v>
          </cell>
          <cell r="X741" t="str">
            <v>더바른푸드</v>
          </cell>
        </row>
        <row r="742">
          <cell r="A742">
            <v>738</v>
          </cell>
          <cell r="B742" t="str">
            <v>2019-01-31</v>
          </cell>
          <cell r="C742" t="str">
            <v>더바른푸드</v>
          </cell>
          <cell r="D742" t="str">
            <v>더바른푸드</v>
          </cell>
          <cell r="E742" t="str">
            <v>일반</v>
          </cell>
          <cell r="F742" t="str">
            <v>입고완료</v>
          </cell>
          <cell r="G742">
            <v>160243</v>
          </cell>
          <cell r="H742" t="str">
            <v>비피더스 떠먹는요구르트(딸기 83g/EA)</v>
          </cell>
          <cell r="I742" t="str">
            <v>EA</v>
          </cell>
          <cell r="J742">
            <v>55</v>
          </cell>
          <cell r="K742">
            <v>55</v>
          </cell>
          <cell r="L742">
            <v>290</v>
          </cell>
          <cell r="M742">
            <v>15950</v>
          </cell>
          <cell r="N742">
            <v>1595</v>
          </cell>
          <cell r="O742">
            <v>17545</v>
          </cell>
          <cell r="P742">
            <v>0</v>
          </cell>
          <cell r="Q742" t="str">
            <v>한국</v>
          </cell>
          <cell r="R742" t="str">
            <v>냉장</v>
          </cell>
          <cell r="S742" t="str">
            <v>EA(1)</v>
          </cell>
          <cell r="T742" t="str">
            <v/>
          </cell>
          <cell r="U742" t="str">
            <v>스푼챙겨주세요</v>
          </cell>
          <cell r="V742" t="str">
            <v>2019-01-24</v>
          </cell>
          <cell r="W742" t="str">
            <v>2019-01-24 16:07:45</v>
          </cell>
          <cell r="X742" t="str">
            <v>더바른푸드</v>
          </cell>
        </row>
        <row r="743">
          <cell r="A743">
            <v>739</v>
          </cell>
          <cell r="B743" t="str">
            <v>2019-01-31</v>
          </cell>
          <cell r="C743" t="str">
            <v>더바른푸드</v>
          </cell>
          <cell r="D743" t="str">
            <v>더바른푸드</v>
          </cell>
          <cell r="E743" t="str">
            <v>일반</v>
          </cell>
          <cell r="F743" t="str">
            <v>입고완료</v>
          </cell>
          <cell r="G743">
            <v>144979</v>
          </cell>
          <cell r="H743" t="str">
            <v>이츠웰 스테이크소스(PET 2Kg/EA)</v>
          </cell>
          <cell r="I743" t="str">
            <v>EA</v>
          </cell>
          <cell r="J743">
            <v>4</v>
          </cell>
          <cell r="K743">
            <v>4</v>
          </cell>
          <cell r="L743">
            <v>4070</v>
          </cell>
          <cell r="M743">
            <v>16280</v>
          </cell>
          <cell r="N743">
            <v>1628</v>
          </cell>
          <cell r="O743">
            <v>17908</v>
          </cell>
          <cell r="P743">
            <v>0</v>
          </cell>
          <cell r="Q743" t="str">
            <v/>
          </cell>
          <cell r="R743" t="str">
            <v>실온</v>
          </cell>
          <cell r="S743" t="str">
            <v>EA(6)</v>
          </cell>
          <cell r="T743" t="str">
            <v/>
          </cell>
          <cell r="U743" t="str">
            <v/>
          </cell>
          <cell r="V743" t="str">
            <v>2019-01-28</v>
          </cell>
          <cell r="W743" t="str">
            <v>2019-01-28 14:35:16</v>
          </cell>
          <cell r="X743" t="str">
            <v>더바른푸드</v>
          </cell>
        </row>
        <row r="744">
          <cell r="A744">
            <v>740</v>
          </cell>
          <cell r="B744" t="str">
            <v>2019-01-31</v>
          </cell>
          <cell r="C744" t="str">
            <v>더바른푸드</v>
          </cell>
          <cell r="D744" t="str">
            <v>더바른푸드</v>
          </cell>
          <cell r="E744" t="str">
            <v>일반</v>
          </cell>
          <cell r="F744" t="str">
            <v>입고완료</v>
          </cell>
          <cell r="G744">
            <v>242899</v>
          </cell>
          <cell r="H744" t="str">
            <v>웰넛 볶음땅콩(1/16태 1Kg/EA)</v>
          </cell>
          <cell r="I744" t="str">
            <v>EA</v>
          </cell>
          <cell r="J744">
            <v>4</v>
          </cell>
          <cell r="K744">
            <v>4</v>
          </cell>
          <cell r="L744">
            <v>6710</v>
          </cell>
          <cell r="M744">
            <v>26840</v>
          </cell>
          <cell r="N744">
            <v>2684</v>
          </cell>
          <cell r="O744">
            <v>29524</v>
          </cell>
          <cell r="P744">
            <v>0</v>
          </cell>
          <cell r="Q744" t="str">
            <v>중국</v>
          </cell>
          <cell r="R744" t="str">
            <v>실온</v>
          </cell>
          <cell r="S744" t="str">
            <v>EA(1)</v>
          </cell>
          <cell r="T744" t="str">
            <v/>
          </cell>
          <cell r="U744" t="str">
            <v/>
          </cell>
          <cell r="V744" t="str">
            <v>2019-01-28</v>
          </cell>
          <cell r="W744" t="str">
            <v>2019-01-28 14:38:55</v>
          </cell>
          <cell r="X744" t="str">
            <v>더바른푸드</v>
          </cell>
        </row>
        <row r="745">
          <cell r="A745">
            <v>741</v>
          </cell>
          <cell r="B745" t="str">
            <v>2019-01-31</v>
          </cell>
          <cell r="C745" t="str">
            <v>더바른푸드</v>
          </cell>
          <cell r="D745" t="str">
            <v>더바른푸드</v>
          </cell>
          <cell r="E745" t="str">
            <v>일반</v>
          </cell>
          <cell r="F745" t="str">
            <v>입고완료</v>
          </cell>
          <cell r="G745">
            <v>164076</v>
          </cell>
          <cell r="H745" t="str">
            <v>풍림푸드 계란구이(오믈렛골드_50g*20개입 1Kg/EA)</v>
          </cell>
          <cell r="I745" t="str">
            <v>EA</v>
          </cell>
          <cell r="J745">
            <v>23</v>
          </cell>
          <cell r="K745">
            <v>23</v>
          </cell>
          <cell r="L745">
            <v>6660</v>
          </cell>
          <cell r="M745">
            <v>153180</v>
          </cell>
          <cell r="N745">
            <v>15318</v>
          </cell>
          <cell r="O745">
            <v>168498</v>
          </cell>
          <cell r="P745">
            <v>0</v>
          </cell>
          <cell r="Q745" t="str">
            <v>한국</v>
          </cell>
          <cell r="R745" t="str">
            <v>냉동</v>
          </cell>
          <cell r="S745" t="str">
            <v>EA(1)</v>
          </cell>
          <cell r="T745" t="str">
            <v/>
          </cell>
          <cell r="U745" t="str">
            <v/>
          </cell>
          <cell r="V745" t="str">
            <v>2019-01-28</v>
          </cell>
          <cell r="W745" t="str">
            <v>2019-01-28 14:49:24</v>
          </cell>
          <cell r="X745" t="str">
            <v>더바른푸드</v>
          </cell>
        </row>
        <row r="746">
          <cell r="A746">
            <v>742</v>
          </cell>
          <cell r="B746" t="str">
            <v>2019-01-31</v>
          </cell>
          <cell r="C746" t="str">
            <v>더바른푸드</v>
          </cell>
          <cell r="D746" t="str">
            <v>더바른푸드</v>
          </cell>
          <cell r="E746" t="str">
            <v>일반</v>
          </cell>
          <cell r="F746" t="str">
            <v>입고완료</v>
          </cell>
          <cell r="G746">
            <v>411038</v>
          </cell>
          <cell r="H746" t="str">
            <v>누리웰 깐메추리알(1Kg/EA)</v>
          </cell>
          <cell r="I746" t="str">
            <v>EA</v>
          </cell>
          <cell r="J746">
            <v>5</v>
          </cell>
          <cell r="K746">
            <v>5</v>
          </cell>
          <cell r="L746">
            <v>4720</v>
          </cell>
          <cell r="M746">
            <v>23600</v>
          </cell>
          <cell r="N746">
            <v>2360</v>
          </cell>
          <cell r="O746">
            <v>25960</v>
          </cell>
          <cell r="P746">
            <v>0</v>
          </cell>
          <cell r="Q746" t="str">
            <v>한국</v>
          </cell>
          <cell r="R746" t="str">
            <v>냉장</v>
          </cell>
          <cell r="S746" t="str">
            <v>EA(10)</v>
          </cell>
          <cell r="T746" t="str">
            <v/>
          </cell>
          <cell r="U746" t="str">
            <v/>
          </cell>
          <cell r="V746" t="str">
            <v>2019-01-28</v>
          </cell>
          <cell r="W746" t="str">
            <v>2019-01-28 15:42:23</v>
          </cell>
          <cell r="X746" t="str">
            <v>더바른푸드</v>
          </cell>
        </row>
        <row r="747">
          <cell r="A747">
            <v>743</v>
          </cell>
          <cell r="B747" t="str">
            <v>2019-01-31</v>
          </cell>
          <cell r="C747" t="str">
            <v>더바른푸드</v>
          </cell>
          <cell r="D747" t="str">
            <v>더바른푸드</v>
          </cell>
          <cell r="E747" t="str">
            <v>일반</v>
          </cell>
          <cell r="F747" t="str">
            <v>입고완료</v>
          </cell>
          <cell r="G747">
            <v>130452</v>
          </cell>
          <cell r="H747" t="str">
            <v>사조오양 스모크햄(즉석 1Kg/EA)</v>
          </cell>
          <cell r="I747" t="str">
            <v>EA</v>
          </cell>
          <cell r="J747">
            <v>5</v>
          </cell>
          <cell r="K747">
            <v>5</v>
          </cell>
          <cell r="L747">
            <v>3650</v>
          </cell>
          <cell r="M747">
            <v>18250</v>
          </cell>
          <cell r="N747">
            <v>1825</v>
          </cell>
          <cell r="O747">
            <v>20075</v>
          </cell>
          <cell r="P747">
            <v>0</v>
          </cell>
          <cell r="Q747" t="str">
            <v/>
          </cell>
          <cell r="R747" t="str">
            <v>냉장</v>
          </cell>
          <cell r="S747" t="str">
            <v>EA(10)</v>
          </cell>
          <cell r="T747" t="str">
            <v/>
          </cell>
          <cell r="U747" t="str">
            <v/>
          </cell>
          <cell r="V747" t="str">
            <v>2019-01-28</v>
          </cell>
          <cell r="W747" t="str">
            <v>2019-01-28 15:42:23</v>
          </cell>
          <cell r="X747" t="str">
            <v>더바른푸드</v>
          </cell>
        </row>
        <row r="748">
          <cell r="A748">
            <v>744</v>
          </cell>
          <cell r="B748" t="str">
            <v>2019-01-31</v>
          </cell>
          <cell r="C748" t="str">
            <v>더바른푸드</v>
          </cell>
          <cell r="D748" t="str">
            <v>더바른푸드</v>
          </cell>
          <cell r="E748" t="str">
            <v>일반</v>
          </cell>
          <cell r="F748" t="str">
            <v>입고완료</v>
          </cell>
          <cell r="G748">
            <v>502650</v>
          </cell>
          <cell r="H748" t="str">
            <v>유니 랩(30cm*50m 가정용 EA)</v>
          </cell>
          <cell r="I748" t="str">
            <v>EA</v>
          </cell>
          <cell r="J748">
            <v>10</v>
          </cell>
          <cell r="K748">
            <v>10</v>
          </cell>
          <cell r="L748">
            <v>2150</v>
          </cell>
          <cell r="M748">
            <v>21500</v>
          </cell>
          <cell r="N748">
            <v>2150</v>
          </cell>
          <cell r="O748">
            <v>23650</v>
          </cell>
          <cell r="P748">
            <v>0</v>
          </cell>
          <cell r="Q748" t="str">
            <v/>
          </cell>
          <cell r="R748" t="str">
            <v>실온</v>
          </cell>
          <cell r="S748" t="str">
            <v>EA(50)</v>
          </cell>
          <cell r="T748" t="str">
            <v/>
          </cell>
          <cell r="U748" t="str">
            <v/>
          </cell>
          <cell r="V748" t="str">
            <v>2019-01-29</v>
          </cell>
          <cell r="W748" t="str">
            <v>2019-01-29 11:52:21</v>
          </cell>
          <cell r="X748" t="str">
            <v>더바른푸드</v>
          </cell>
        </row>
        <row r="749">
          <cell r="A749">
            <v>745</v>
          </cell>
          <cell r="B749" t="str">
            <v>2019-01-31</v>
          </cell>
          <cell r="C749" t="str">
            <v>더바른푸드</v>
          </cell>
          <cell r="D749" t="str">
            <v>더바른푸드</v>
          </cell>
          <cell r="E749" t="str">
            <v>일반</v>
          </cell>
          <cell r="F749" t="str">
            <v>입고완료</v>
          </cell>
          <cell r="G749">
            <v>125921</v>
          </cell>
          <cell r="H749" t="str">
            <v>튼튼스쿨 쥬시햄벅스테이크(60g*16입 960g/EA)</v>
          </cell>
          <cell r="I749" t="str">
            <v>EA</v>
          </cell>
          <cell r="J749">
            <v>70</v>
          </cell>
          <cell r="K749">
            <v>70</v>
          </cell>
          <cell r="L749">
            <v>8850</v>
          </cell>
          <cell r="M749">
            <v>619500</v>
          </cell>
          <cell r="N749">
            <v>61950</v>
          </cell>
          <cell r="O749">
            <v>681450</v>
          </cell>
          <cell r="P749">
            <v>0</v>
          </cell>
          <cell r="Q749" t="str">
            <v/>
          </cell>
          <cell r="R749" t="str">
            <v>냉동</v>
          </cell>
          <cell r="S749" t="str">
            <v>EA(6)</v>
          </cell>
          <cell r="T749" t="str">
            <v/>
          </cell>
          <cell r="U749" t="str">
            <v/>
          </cell>
          <cell r="V749" t="str">
            <v>2019-01-29</v>
          </cell>
          <cell r="W749" t="str">
            <v>2019-01-29 12:34:28</v>
          </cell>
          <cell r="X749" t="str">
            <v>더바른푸드</v>
          </cell>
        </row>
        <row r="750">
          <cell r="A750">
            <v>746</v>
          </cell>
          <cell r="B750" t="str">
            <v>2019-01-31</v>
          </cell>
          <cell r="C750" t="str">
            <v>더바른푸드</v>
          </cell>
          <cell r="D750" t="str">
            <v>더바른푸드</v>
          </cell>
          <cell r="E750" t="str">
            <v>일반</v>
          </cell>
          <cell r="F750" t="str">
            <v>입고완료</v>
          </cell>
          <cell r="G750">
            <v>308188</v>
          </cell>
          <cell r="H750" t="str">
            <v>조기(무염_70~90g/마리 80g/EA)</v>
          </cell>
          <cell r="I750" t="str">
            <v>EA</v>
          </cell>
          <cell r="J750">
            <v>100</v>
          </cell>
          <cell r="K750">
            <v>100</v>
          </cell>
          <cell r="L750">
            <v>990</v>
          </cell>
          <cell r="M750">
            <v>99000</v>
          </cell>
          <cell r="N750">
            <v>0</v>
          </cell>
          <cell r="O750">
            <v>99000</v>
          </cell>
          <cell r="P750">
            <v>0</v>
          </cell>
          <cell r="Q750" t="str">
            <v>중국</v>
          </cell>
          <cell r="R750" t="str">
            <v>냉동</v>
          </cell>
          <cell r="S750" t="str">
            <v>EA(1)</v>
          </cell>
          <cell r="T750" t="str">
            <v/>
          </cell>
          <cell r="U750" t="str">
            <v/>
          </cell>
          <cell r="V750" t="str">
            <v>2019-01-29</v>
          </cell>
          <cell r="W750" t="str">
            <v>2019-01-29 12:56:02</v>
          </cell>
          <cell r="X750" t="str">
            <v>더바른푸드</v>
          </cell>
        </row>
        <row r="751">
          <cell r="A751">
            <v>747</v>
          </cell>
          <cell r="B751" t="str">
            <v>2019-01-31</v>
          </cell>
          <cell r="C751" t="str">
            <v>더바른푸드</v>
          </cell>
          <cell r="D751" t="str">
            <v>더바른푸드</v>
          </cell>
          <cell r="E751" t="str">
            <v>일반</v>
          </cell>
          <cell r="F751" t="str">
            <v>입고완료</v>
          </cell>
          <cell r="G751">
            <v>256983</v>
          </cell>
          <cell r="H751" t="str">
            <v>늘만나 맛김치(약숙_일반 10Kg/BOX)</v>
          </cell>
          <cell r="I751" t="str">
            <v>BOX</v>
          </cell>
          <cell r="J751">
            <v>2</v>
          </cell>
          <cell r="K751">
            <v>2</v>
          </cell>
          <cell r="L751">
            <v>32900</v>
          </cell>
          <cell r="M751">
            <v>65800</v>
          </cell>
          <cell r="N751">
            <v>0</v>
          </cell>
          <cell r="O751">
            <v>65800</v>
          </cell>
          <cell r="P751">
            <v>0</v>
          </cell>
          <cell r="Q751" t="str">
            <v/>
          </cell>
          <cell r="R751" t="str">
            <v>냉장</v>
          </cell>
          <cell r="S751" t="str">
            <v>BOX(1)</v>
          </cell>
          <cell r="T751" t="str">
            <v/>
          </cell>
          <cell r="U751" t="str">
            <v/>
          </cell>
          <cell r="V751" t="str">
            <v>2019-01-29</v>
          </cell>
          <cell r="W751" t="str">
            <v>2019-01-29 14:25:19</v>
          </cell>
          <cell r="X751" t="str">
            <v>더바른푸드</v>
          </cell>
        </row>
        <row r="752">
          <cell r="A752">
            <v>748</v>
          </cell>
          <cell r="B752" t="str">
            <v>2019-01-31</v>
          </cell>
          <cell r="C752" t="str">
            <v>더바른푸드</v>
          </cell>
          <cell r="D752" t="str">
            <v>더바른푸드</v>
          </cell>
          <cell r="E752" t="str">
            <v>일반</v>
          </cell>
          <cell r="F752" t="str">
            <v>입고완료</v>
          </cell>
          <cell r="G752">
            <v>138570</v>
          </cell>
          <cell r="H752" t="str">
            <v>면사랑 멸치육수(1.8L_보급형 1.8Kg/EA)</v>
          </cell>
          <cell r="I752" t="str">
            <v>EA</v>
          </cell>
          <cell r="J752">
            <v>6</v>
          </cell>
          <cell r="K752">
            <v>6</v>
          </cell>
          <cell r="L752">
            <v>5560</v>
          </cell>
          <cell r="M752">
            <v>33360</v>
          </cell>
          <cell r="N752">
            <v>3336</v>
          </cell>
          <cell r="O752">
            <v>36696</v>
          </cell>
          <cell r="P752">
            <v>0</v>
          </cell>
          <cell r="Q752" t="str">
            <v/>
          </cell>
          <cell r="R752" t="str">
            <v>실온</v>
          </cell>
          <cell r="S752" t="str">
            <v>EA(6)</v>
          </cell>
          <cell r="T752" t="str">
            <v/>
          </cell>
          <cell r="U752" t="str">
            <v/>
          </cell>
          <cell r="V752" t="str">
            <v>2019-01-29</v>
          </cell>
          <cell r="W752" t="str">
            <v>2019-01-29 17:41:05</v>
          </cell>
          <cell r="X752" t="str">
            <v>더바른푸드</v>
          </cell>
        </row>
        <row r="753">
          <cell r="A753">
            <v>749</v>
          </cell>
          <cell r="B753" t="str">
            <v>2019-01-31</v>
          </cell>
          <cell r="C753" t="str">
            <v>더바른푸드</v>
          </cell>
          <cell r="D753" t="str">
            <v>더바른푸드</v>
          </cell>
          <cell r="E753" t="str">
            <v>일반</v>
          </cell>
          <cell r="F753" t="str">
            <v>입고완료</v>
          </cell>
          <cell r="G753">
            <v>155522</v>
          </cell>
          <cell r="H753" t="str">
            <v>에어로탑 휘핑크림(1L 1Kg/EA)</v>
          </cell>
          <cell r="I753" t="str">
            <v>EA</v>
          </cell>
          <cell r="J753">
            <v>2</v>
          </cell>
          <cell r="K753">
            <v>2</v>
          </cell>
          <cell r="L753">
            <v>3880</v>
          </cell>
          <cell r="M753">
            <v>7760</v>
          </cell>
          <cell r="N753">
            <v>776</v>
          </cell>
          <cell r="O753">
            <v>8536</v>
          </cell>
          <cell r="P753">
            <v>0</v>
          </cell>
          <cell r="Q753" t="str">
            <v/>
          </cell>
          <cell r="R753" t="str">
            <v>냉장</v>
          </cell>
          <cell r="S753" t="str">
            <v>EA(12)</v>
          </cell>
          <cell r="T753" t="str">
            <v/>
          </cell>
          <cell r="U753" t="str">
            <v/>
          </cell>
          <cell r="V753" t="str">
            <v>2019-01-30</v>
          </cell>
          <cell r="W753" t="str">
            <v>2019-01-30 11:50:02</v>
          </cell>
          <cell r="X753" t="str">
            <v>더바른푸드</v>
          </cell>
        </row>
        <row r="754">
          <cell r="A754">
            <v>750</v>
          </cell>
          <cell r="B754" t="str">
            <v>2019-01-31</v>
          </cell>
          <cell r="C754" t="str">
            <v>더바른푸드</v>
          </cell>
          <cell r="D754" t="str">
            <v>더바른푸드</v>
          </cell>
          <cell r="E754" t="str">
            <v>일반</v>
          </cell>
          <cell r="F754" t="str">
            <v>입고완료</v>
          </cell>
          <cell r="G754">
            <v>203202</v>
          </cell>
          <cell r="H754" t="str">
            <v>맑은공기 쌀(일반미 20Kg/EA)</v>
          </cell>
          <cell r="I754" t="str">
            <v>EA</v>
          </cell>
          <cell r="J754">
            <v>10</v>
          </cell>
          <cell r="K754">
            <v>10</v>
          </cell>
          <cell r="L754">
            <v>49000</v>
          </cell>
          <cell r="M754">
            <v>490000</v>
          </cell>
          <cell r="N754">
            <v>0</v>
          </cell>
          <cell r="O754">
            <v>490000</v>
          </cell>
          <cell r="P754">
            <v>0</v>
          </cell>
          <cell r="Q754" t="str">
            <v>한국</v>
          </cell>
          <cell r="R754" t="str">
            <v>실온</v>
          </cell>
          <cell r="S754" t="str">
            <v>EA(1)</v>
          </cell>
          <cell r="T754" t="str">
            <v/>
          </cell>
          <cell r="U754" t="str">
            <v/>
          </cell>
          <cell r="V754" t="str">
            <v>2019-01-30</v>
          </cell>
          <cell r="W754" t="str">
            <v>2019-01-30 16:10:56</v>
          </cell>
          <cell r="X754" t="str">
            <v>더바른푸드</v>
          </cell>
        </row>
        <row r="755">
          <cell r="A755">
            <v>751</v>
          </cell>
          <cell r="B755" t="str">
            <v>2019-01-31</v>
          </cell>
          <cell r="C755" t="str">
            <v>더바른푸드</v>
          </cell>
          <cell r="D755" t="str">
            <v>더바른푸드</v>
          </cell>
          <cell r="E755" t="str">
            <v>일반</v>
          </cell>
          <cell r="F755" t="str">
            <v>입고완료</v>
          </cell>
          <cell r="G755">
            <v>201906</v>
          </cell>
          <cell r="H755" t="str">
            <v>쌀보리(일반 1Kg/EA)</v>
          </cell>
          <cell r="I755" t="str">
            <v>EA</v>
          </cell>
          <cell r="J755">
            <v>10</v>
          </cell>
          <cell r="K755">
            <v>10</v>
          </cell>
          <cell r="L755">
            <v>2900</v>
          </cell>
          <cell r="M755">
            <v>29000</v>
          </cell>
          <cell r="N755">
            <v>0</v>
          </cell>
          <cell r="O755">
            <v>29000</v>
          </cell>
          <cell r="P755">
            <v>0</v>
          </cell>
          <cell r="Q755" t="str">
            <v>한국</v>
          </cell>
          <cell r="R755" t="str">
            <v>실온</v>
          </cell>
          <cell r="S755" t="str">
            <v>EA(1)</v>
          </cell>
          <cell r="T755" t="str">
            <v/>
          </cell>
          <cell r="U755" t="str">
            <v/>
          </cell>
          <cell r="V755" t="str">
            <v>2019-01-30</v>
          </cell>
          <cell r="W755" t="str">
            <v>2019-01-30 16:12:55</v>
          </cell>
          <cell r="X755" t="str">
            <v>더바른푸드</v>
          </cell>
        </row>
        <row r="756">
          <cell r="A756">
            <v>752</v>
          </cell>
          <cell r="B756" t="str">
            <v>2019-01-31</v>
          </cell>
          <cell r="C756" t="str">
            <v>더바른푸드</v>
          </cell>
          <cell r="D756" t="str">
            <v>더바른푸드</v>
          </cell>
          <cell r="E756" t="str">
            <v>일반</v>
          </cell>
          <cell r="F756" t="str">
            <v>입고완료</v>
          </cell>
          <cell r="G756">
            <v>526201</v>
          </cell>
          <cell r="H756" t="str">
            <v>마미손 고무장갑(빨간색_대L EA)</v>
          </cell>
          <cell r="I756" t="str">
            <v>EA</v>
          </cell>
          <cell r="J756">
            <v>20</v>
          </cell>
          <cell r="K756">
            <v>20</v>
          </cell>
          <cell r="L756">
            <v>1340</v>
          </cell>
          <cell r="M756">
            <v>26800</v>
          </cell>
          <cell r="N756">
            <v>2680</v>
          </cell>
          <cell r="O756">
            <v>29480</v>
          </cell>
          <cell r="P756">
            <v>0</v>
          </cell>
          <cell r="Q756" t="str">
            <v/>
          </cell>
          <cell r="R756" t="str">
            <v>실온</v>
          </cell>
          <cell r="S756" t="str">
            <v>EA(100)</v>
          </cell>
          <cell r="T756" t="str">
            <v/>
          </cell>
          <cell r="U756" t="str">
            <v/>
          </cell>
          <cell r="V756" t="str">
            <v>2019-01-30</v>
          </cell>
          <cell r="W756" t="str">
            <v>2019-01-30 16:13:41</v>
          </cell>
          <cell r="X756" t="str">
            <v>더바른푸드</v>
          </cell>
        </row>
        <row r="757">
          <cell r="A757">
            <v>753</v>
          </cell>
          <cell r="B757" t="str">
            <v>2019-01-31</v>
          </cell>
          <cell r="C757" t="str">
            <v>더바른푸드</v>
          </cell>
          <cell r="D757" t="str">
            <v>더바른푸드</v>
          </cell>
          <cell r="E757" t="str">
            <v>일반</v>
          </cell>
          <cell r="F757" t="str">
            <v>입고완료</v>
          </cell>
          <cell r="G757">
            <v>501297</v>
          </cell>
          <cell r="H757" t="str">
            <v>비트 세탁세제(지함_3kg EA)</v>
          </cell>
          <cell r="I757" t="str">
            <v>EA</v>
          </cell>
          <cell r="J757">
            <v>1</v>
          </cell>
          <cell r="K757">
            <v>1</v>
          </cell>
          <cell r="L757">
            <v>7480</v>
          </cell>
          <cell r="M757">
            <v>7480</v>
          </cell>
          <cell r="N757">
            <v>748</v>
          </cell>
          <cell r="O757">
            <v>8228</v>
          </cell>
          <cell r="P757">
            <v>0</v>
          </cell>
          <cell r="Q757" t="str">
            <v/>
          </cell>
          <cell r="R757" t="str">
            <v>실온</v>
          </cell>
          <cell r="S757" t="str">
            <v>EA(4)</v>
          </cell>
          <cell r="T757" t="str">
            <v/>
          </cell>
          <cell r="U757" t="str">
            <v/>
          </cell>
          <cell r="V757" t="str">
            <v>2019-01-30</v>
          </cell>
          <cell r="W757" t="str">
            <v>2019-01-30 16:16:43</v>
          </cell>
          <cell r="X757" t="str">
            <v>더바른푸드</v>
          </cell>
        </row>
        <row r="758">
          <cell r="A758">
            <v>754</v>
          </cell>
          <cell r="B758" t="str">
            <v>2019-01-30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</row>
        <row r="759">
          <cell r="A759">
            <v>755</v>
          </cell>
          <cell r="B759" t="str">
            <v>2019-01-30</v>
          </cell>
          <cell r="C759" t="str">
            <v>더바른푸드</v>
          </cell>
          <cell r="D759" t="str">
            <v>더바른푸드</v>
          </cell>
          <cell r="E759" t="str">
            <v>일반</v>
          </cell>
          <cell r="F759" t="str">
            <v>입고완료</v>
          </cell>
          <cell r="G759">
            <v>408633</v>
          </cell>
          <cell r="H759" t="str">
            <v>자연애찬 구운계란(35g*30입 1.05Kg/PAC)</v>
          </cell>
          <cell r="I759" t="str">
            <v>PAC</v>
          </cell>
          <cell r="J759">
            <v>5</v>
          </cell>
          <cell r="K759">
            <v>5</v>
          </cell>
          <cell r="L759">
            <v>5000</v>
          </cell>
          <cell r="M759">
            <v>25000</v>
          </cell>
          <cell r="N759">
            <v>2500</v>
          </cell>
          <cell r="O759">
            <v>27500</v>
          </cell>
          <cell r="P759">
            <v>0</v>
          </cell>
          <cell r="Q759" t="str">
            <v>한국</v>
          </cell>
          <cell r="R759" t="str">
            <v>실온</v>
          </cell>
          <cell r="S759" t="str">
            <v>PAC(1)</v>
          </cell>
          <cell r="T759" t="str">
            <v/>
          </cell>
          <cell r="U759" t="str">
            <v/>
          </cell>
          <cell r="V759" t="str">
            <v>2019-01-24</v>
          </cell>
          <cell r="W759" t="str">
            <v>2019-01-24 15:55:15</v>
          </cell>
          <cell r="X759" t="str">
            <v>더바른푸드</v>
          </cell>
        </row>
        <row r="760">
          <cell r="A760">
            <v>756</v>
          </cell>
          <cell r="B760" t="str">
            <v>2019-01-30</v>
          </cell>
          <cell r="C760" t="str">
            <v>더바른푸드</v>
          </cell>
          <cell r="D760" t="str">
            <v>더바른푸드</v>
          </cell>
          <cell r="E760" t="str">
            <v>일반</v>
          </cell>
          <cell r="F760" t="str">
            <v>입고완료</v>
          </cell>
          <cell r="G760">
            <v>176382</v>
          </cell>
          <cell r="H760" t="str">
            <v>서울식품공업 미니크로와상(완제품_19g*50입 950g/EA)</v>
          </cell>
          <cell r="I760" t="str">
            <v>EA</v>
          </cell>
          <cell r="J760">
            <v>1</v>
          </cell>
          <cell r="K760">
            <v>1</v>
          </cell>
          <cell r="L760">
            <v>12700</v>
          </cell>
          <cell r="M760">
            <v>12700</v>
          </cell>
          <cell r="N760">
            <v>1270</v>
          </cell>
          <cell r="O760">
            <v>13970</v>
          </cell>
          <cell r="P760">
            <v>0</v>
          </cell>
          <cell r="Q760" t="str">
            <v/>
          </cell>
          <cell r="R760" t="str">
            <v>냉동</v>
          </cell>
          <cell r="S760" t="str">
            <v>EA(2)</v>
          </cell>
          <cell r="T760" t="str">
            <v/>
          </cell>
          <cell r="U760" t="str">
            <v/>
          </cell>
          <cell r="V760" t="str">
            <v>2019-01-24</v>
          </cell>
          <cell r="W760" t="str">
            <v>2019-01-24 15:56:56</v>
          </cell>
          <cell r="X760" t="str">
            <v>더바른푸드</v>
          </cell>
        </row>
        <row r="761">
          <cell r="A761">
            <v>757</v>
          </cell>
          <cell r="B761" t="str">
            <v>2019-01-30</v>
          </cell>
          <cell r="C761" t="str">
            <v>더바른푸드</v>
          </cell>
          <cell r="D761" t="str">
            <v>더바른푸드</v>
          </cell>
          <cell r="E761" t="str">
            <v>일반</v>
          </cell>
          <cell r="F761" t="str">
            <v>입고완료</v>
          </cell>
          <cell r="G761">
            <v>159125</v>
          </cell>
          <cell r="H761" t="str">
            <v>건강마을 플리또주스(100ml_유기농_오렌지 100g/EA)</v>
          </cell>
          <cell r="I761" t="str">
            <v>BOX</v>
          </cell>
          <cell r="J761">
            <v>4</v>
          </cell>
          <cell r="K761">
            <v>4</v>
          </cell>
          <cell r="L761">
            <v>17600</v>
          </cell>
          <cell r="M761">
            <v>70400</v>
          </cell>
          <cell r="N761">
            <v>7040</v>
          </cell>
          <cell r="O761">
            <v>77440</v>
          </cell>
          <cell r="P761">
            <v>0</v>
          </cell>
          <cell r="Q761" t="str">
            <v/>
          </cell>
          <cell r="R761" t="str">
            <v>실온</v>
          </cell>
          <cell r="S761" t="str">
            <v>EA(40)</v>
          </cell>
          <cell r="T761" t="str">
            <v/>
          </cell>
          <cell r="U761" t="str">
            <v/>
          </cell>
          <cell r="V761" t="str">
            <v>2019-01-24</v>
          </cell>
          <cell r="W761" t="str">
            <v>2019-01-24 15:58:41</v>
          </cell>
          <cell r="X761" t="str">
            <v>더바른푸드</v>
          </cell>
        </row>
        <row r="762">
          <cell r="A762">
            <v>758</v>
          </cell>
          <cell r="B762" t="str">
            <v>2019-01-30</v>
          </cell>
          <cell r="C762" t="str">
            <v>더바른푸드</v>
          </cell>
          <cell r="D762" t="str">
            <v>더바른푸드</v>
          </cell>
          <cell r="E762" t="str">
            <v>일반</v>
          </cell>
          <cell r="F762" t="str">
            <v>입고완료</v>
          </cell>
          <cell r="G762">
            <v>112322</v>
          </cell>
          <cell r="H762" t="str">
            <v>서울우유 생크림(500ml_동물성 500g/EA)</v>
          </cell>
          <cell r="I762" t="str">
            <v>EA</v>
          </cell>
          <cell r="J762">
            <v>2</v>
          </cell>
          <cell r="K762">
            <v>2</v>
          </cell>
          <cell r="L762">
            <v>3470</v>
          </cell>
          <cell r="M762">
            <v>6940</v>
          </cell>
          <cell r="N762">
            <v>694</v>
          </cell>
          <cell r="O762">
            <v>7634</v>
          </cell>
          <cell r="P762">
            <v>0</v>
          </cell>
          <cell r="Q762" t="str">
            <v/>
          </cell>
          <cell r="R762" t="str">
            <v>냉장</v>
          </cell>
          <cell r="S762" t="str">
            <v>EA(28)</v>
          </cell>
          <cell r="T762" t="str">
            <v/>
          </cell>
          <cell r="U762" t="str">
            <v/>
          </cell>
          <cell r="V762" t="str">
            <v>2019-01-28</v>
          </cell>
          <cell r="W762" t="str">
            <v>2019-01-28 12:08:59</v>
          </cell>
          <cell r="X762" t="str">
            <v>더바른푸드</v>
          </cell>
        </row>
        <row r="763">
          <cell r="A763">
            <v>759</v>
          </cell>
          <cell r="B763" t="str">
            <v>2019-01-30</v>
          </cell>
          <cell r="C763" t="str">
            <v>더바른푸드</v>
          </cell>
          <cell r="D763" t="str">
            <v>더바른푸드</v>
          </cell>
          <cell r="E763" t="str">
            <v>일반</v>
          </cell>
          <cell r="F763" t="str">
            <v>입고완료</v>
          </cell>
          <cell r="G763">
            <v>159989</v>
          </cell>
          <cell r="H763" t="str">
            <v>이츠웰 한입깐쇼새우(1Kg/EA)</v>
          </cell>
          <cell r="I763" t="str">
            <v>EA</v>
          </cell>
          <cell r="J763">
            <v>73</v>
          </cell>
          <cell r="K763">
            <v>73</v>
          </cell>
          <cell r="L763">
            <v>11080</v>
          </cell>
          <cell r="M763">
            <v>808840</v>
          </cell>
          <cell r="N763">
            <v>80884</v>
          </cell>
          <cell r="O763">
            <v>889724</v>
          </cell>
          <cell r="P763">
            <v>0</v>
          </cell>
          <cell r="Q763" t="str">
            <v>베트남</v>
          </cell>
          <cell r="R763" t="str">
            <v>냉동</v>
          </cell>
          <cell r="S763" t="str">
            <v>EA(10)</v>
          </cell>
          <cell r="T763" t="str">
            <v/>
          </cell>
          <cell r="U763" t="str">
            <v/>
          </cell>
          <cell r="V763" t="str">
            <v>2019-01-28</v>
          </cell>
          <cell r="W763" t="str">
            <v>2019-01-28 12:30:18</v>
          </cell>
          <cell r="X763" t="str">
            <v>더바른푸드</v>
          </cell>
        </row>
        <row r="764">
          <cell r="A764">
            <v>760</v>
          </cell>
          <cell r="B764" t="str">
            <v>2019-01-30</v>
          </cell>
          <cell r="C764" t="str">
            <v>더바른푸드</v>
          </cell>
          <cell r="D764" t="str">
            <v>더바른푸드</v>
          </cell>
          <cell r="E764" t="str">
            <v>일반</v>
          </cell>
          <cell r="F764" t="str">
            <v>입고완료</v>
          </cell>
          <cell r="G764">
            <v>228629</v>
          </cell>
          <cell r="H764" t="str">
            <v>코다리(내장제거_50~70g/토막 구이용_조림용 KG)</v>
          </cell>
          <cell r="I764" t="str">
            <v>KG</v>
          </cell>
          <cell r="J764">
            <v>3</v>
          </cell>
          <cell r="K764">
            <v>3</v>
          </cell>
          <cell r="L764">
            <v>4830</v>
          </cell>
          <cell r="M764">
            <v>14490</v>
          </cell>
          <cell r="N764">
            <v>0</v>
          </cell>
          <cell r="O764">
            <v>14490</v>
          </cell>
          <cell r="P764">
            <v>0</v>
          </cell>
          <cell r="Q764" t="str">
            <v>러시아</v>
          </cell>
          <cell r="R764" t="str">
            <v>냉동</v>
          </cell>
          <cell r="S764" t="str">
            <v>KG(1)</v>
          </cell>
          <cell r="T764" t="str">
            <v/>
          </cell>
          <cell r="U764" t="str">
            <v/>
          </cell>
          <cell r="V764" t="str">
            <v>2019-01-28</v>
          </cell>
          <cell r="W764" t="str">
            <v>2019-01-28 12:59:25</v>
          </cell>
          <cell r="X764" t="str">
            <v>더바른푸드</v>
          </cell>
        </row>
        <row r="765">
          <cell r="A765">
            <v>761</v>
          </cell>
          <cell r="B765" t="str">
            <v>2019-01-30</v>
          </cell>
          <cell r="C765" t="str">
            <v>더바른푸드</v>
          </cell>
          <cell r="D765" t="str">
            <v>더바른푸드</v>
          </cell>
          <cell r="E765" t="str">
            <v>일반</v>
          </cell>
          <cell r="F765" t="str">
            <v>입고완료</v>
          </cell>
          <cell r="G765">
            <v>401420</v>
          </cell>
          <cell r="H765" t="str">
            <v>소앞다리(5*0.5*0.5cm 잡채용 KG)</v>
          </cell>
          <cell r="I765" t="str">
            <v>KG</v>
          </cell>
          <cell r="J765">
            <v>3</v>
          </cell>
          <cell r="K765">
            <v>3</v>
          </cell>
          <cell r="L765">
            <v>9620</v>
          </cell>
          <cell r="M765">
            <v>28860</v>
          </cell>
          <cell r="N765">
            <v>0</v>
          </cell>
          <cell r="O765">
            <v>28860</v>
          </cell>
          <cell r="P765">
            <v>0</v>
          </cell>
          <cell r="Q765" t="str">
            <v>호주</v>
          </cell>
          <cell r="R765" t="str">
            <v>냉동</v>
          </cell>
          <cell r="S765" t="str">
            <v>KG(1)</v>
          </cell>
          <cell r="T765" t="str">
            <v>886301023272</v>
          </cell>
          <cell r="U765" t="str">
            <v/>
          </cell>
          <cell r="V765" t="str">
            <v>2019-01-28</v>
          </cell>
          <cell r="W765" t="str">
            <v>2019-01-28 14:17:22</v>
          </cell>
          <cell r="X765" t="str">
            <v>더바른푸드</v>
          </cell>
        </row>
        <row r="766">
          <cell r="A766">
            <v>762</v>
          </cell>
          <cell r="B766" t="str">
            <v>2019-01-30</v>
          </cell>
          <cell r="C766" t="str">
            <v>더바른푸드</v>
          </cell>
          <cell r="D766" t="str">
            <v>더바른푸드</v>
          </cell>
          <cell r="E766" t="str">
            <v>일반</v>
          </cell>
          <cell r="F766" t="str">
            <v>입고완료</v>
          </cell>
          <cell r="G766">
            <v>204973</v>
          </cell>
          <cell r="H766" t="str">
            <v>냉동대파(1Kg/PAC)</v>
          </cell>
          <cell r="I766" t="str">
            <v>PAC</v>
          </cell>
          <cell r="J766">
            <v>15</v>
          </cell>
          <cell r="K766">
            <v>15</v>
          </cell>
          <cell r="L766">
            <v>1400</v>
          </cell>
          <cell r="M766">
            <v>21000</v>
          </cell>
          <cell r="N766">
            <v>0</v>
          </cell>
          <cell r="O766">
            <v>21000</v>
          </cell>
          <cell r="P766">
            <v>0</v>
          </cell>
          <cell r="Q766" t="str">
            <v>중국</v>
          </cell>
          <cell r="R766" t="str">
            <v>냉동</v>
          </cell>
          <cell r="S766" t="str">
            <v>PAC(1)</v>
          </cell>
          <cell r="T766" t="str">
            <v/>
          </cell>
          <cell r="U766" t="str">
            <v/>
          </cell>
          <cell r="V766" t="str">
            <v>2019-01-29</v>
          </cell>
          <cell r="W766" t="str">
            <v>2019-01-29 05:59:34</v>
          </cell>
          <cell r="X766" t="str">
            <v>더바른푸드</v>
          </cell>
        </row>
        <row r="767">
          <cell r="A767">
            <v>763</v>
          </cell>
          <cell r="B767" t="str">
            <v>2019-01-30</v>
          </cell>
          <cell r="C767" t="str">
            <v>더바른푸드</v>
          </cell>
          <cell r="D767" t="str">
            <v>더바른푸드</v>
          </cell>
          <cell r="E767" t="str">
            <v>일반</v>
          </cell>
          <cell r="F767" t="str">
            <v>입고완료</v>
          </cell>
          <cell r="G767">
            <v>247931</v>
          </cell>
          <cell r="H767" t="str">
            <v>마당발 냉동다진마늘(1Kg/EA)</v>
          </cell>
          <cell r="I767" t="str">
            <v>EA</v>
          </cell>
          <cell r="J767">
            <v>20</v>
          </cell>
          <cell r="K767">
            <v>20</v>
          </cell>
          <cell r="L767">
            <v>2710</v>
          </cell>
          <cell r="M767">
            <v>54200</v>
          </cell>
          <cell r="N767">
            <v>0</v>
          </cell>
          <cell r="O767">
            <v>54200</v>
          </cell>
          <cell r="P767">
            <v>0</v>
          </cell>
          <cell r="Q767" t="str">
            <v>중국</v>
          </cell>
          <cell r="R767" t="str">
            <v>냉동</v>
          </cell>
          <cell r="S767" t="str">
            <v>EA(10)</v>
          </cell>
          <cell r="T767" t="str">
            <v/>
          </cell>
          <cell r="U767" t="str">
            <v/>
          </cell>
          <cell r="V767" t="str">
            <v>2019-01-29</v>
          </cell>
          <cell r="W767" t="str">
            <v>2019-01-29 05:59:34</v>
          </cell>
          <cell r="X767" t="str">
            <v>더바른푸드</v>
          </cell>
        </row>
        <row r="768">
          <cell r="A768">
            <v>764</v>
          </cell>
          <cell r="B768" t="str">
            <v>2019-01-30</v>
          </cell>
          <cell r="C768" t="str">
            <v>더바른푸드</v>
          </cell>
          <cell r="D768" t="str">
            <v>더바른푸드</v>
          </cell>
          <cell r="E768" t="str">
            <v>일반</v>
          </cell>
          <cell r="F768" t="str">
            <v>입고완료</v>
          </cell>
          <cell r="G768">
            <v>197123</v>
          </cell>
          <cell r="H768" t="str">
            <v>종가집 깍두기(숙성_2*2cm 10Kg/BOX)</v>
          </cell>
          <cell r="I768" t="str">
            <v>BOX</v>
          </cell>
          <cell r="J768">
            <v>1</v>
          </cell>
          <cell r="K768">
            <v>1</v>
          </cell>
          <cell r="L768">
            <v>33290</v>
          </cell>
          <cell r="M768">
            <v>33290</v>
          </cell>
          <cell r="N768">
            <v>0</v>
          </cell>
          <cell r="O768">
            <v>33290</v>
          </cell>
          <cell r="P768">
            <v>0</v>
          </cell>
          <cell r="Q768" t="str">
            <v>한국</v>
          </cell>
          <cell r="R768" t="str">
            <v>냉장</v>
          </cell>
          <cell r="S768" t="str">
            <v>BOX(1)</v>
          </cell>
          <cell r="T768" t="str">
            <v/>
          </cell>
          <cell r="U768" t="str">
            <v/>
          </cell>
          <cell r="V768" t="str">
            <v>2019-01-29</v>
          </cell>
          <cell r="W768" t="str">
            <v>2019-01-29 09:24:11</v>
          </cell>
          <cell r="X768" t="str">
            <v>더바른푸드</v>
          </cell>
        </row>
        <row r="769">
          <cell r="A769">
            <v>765</v>
          </cell>
          <cell r="B769" t="str">
            <v>2019-01-30</v>
          </cell>
          <cell r="C769" t="str">
            <v>더바른푸드</v>
          </cell>
          <cell r="D769" t="str">
            <v>더바른푸드</v>
          </cell>
          <cell r="E769" t="str">
            <v>일반</v>
          </cell>
          <cell r="F769" t="str">
            <v>입고완료</v>
          </cell>
          <cell r="G769">
            <v>230515</v>
          </cell>
          <cell r="H769" t="str">
            <v>현복식품 백진미채(키즈용 500g/EA)</v>
          </cell>
          <cell r="I769" t="str">
            <v>EA</v>
          </cell>
          <cell r="J769">
            <v>20</v>
          </cell>
          <cell r="K769">
            <v>20</v>
          </cell>
          <cell r="L769">
            <v>14560</v>
          </cell>
          <cell r="M769">
            <v>291200</v>
          </cell>
          <cell r="N769">
            <v>29120</v>
          </cell>
          <cell r="O769">
            <v>320320</v>
          </cell>
          <cell r="P769">
            <v>0</v>
          </cell>
          <cell r="Q769" t="str">
            <v>페루</v>
          </cell>
          <cell r="R769" t="str">
            <v>냉장</v>
          </cell>
          <cell r="S769" t="str">
            <v>EA(10)</v>
          </cell>
          <cell r="T769" t="str">
            <v/>
          </cell>
          <cell r="U769" t="str">
            <v/>
          </cell>
          <cell r="V769" t="str">
            <v>2019-01-29</v>
          </cell>
          <cell r="W769" t="str">
            <v>2019-01-29 12:14:02</v>
          </cell>
          <cell r="X769" t="str">
            <v>더바른푸드</v>
          </cell>
        </row>
        <row r="770">
          <cell r="A770">
            <v>766</v>
          </cell>
          <cell r="B770" t="str">
            <v>2019-01-30</v>
          </cell>
          <cell r="C770" t="str">
            <v>더바른푸드</v>
          </cell>
          <cell r="D770" t="str">
            <v>더바른푸드</v>
          </cell>
          <cell r="E770" t="str">
            <v>일반</v>
          </cell>
          <cell r="F770" t="str">
            <v>입고완료</v>
          </cell>
          <cell r="G770">
            <v>221871</v>
          </cell>
          <cell r="H770" t="str">
            <v>냉동시금치(IQF 1Kg/EA)</v>
          </cell>
          <cell r="I770" t="str">
            <v>EA</v>
          </cell>
          <cell r="J770">
            <v>150</v>
          </cell>
          <cell r="K770">
            <v>150</v>
          </cell>
          <cell r="L770">
            <v>1680</v>
          </cell>
          <cell r="M770">
            <v>252000</v>
          </cell>
          <cell r="N770">
            <v>25200</v>
          </cell>
          <cell r="O770">
            <v>277200</v>
          </cell>
          <cell r="P770">
            <v>0</v>
          </cell>
          <cell r="Q770" t="str">
            <v>중국</v>
          </cell>
          <cell r="R770" t="str">
            <v>냉동</v>
          </cell>
          <cell r="S770" t="str">
            <v>EA(1)</v>
          </cell>
          <cell r="T770" t="str">
            <v/>
          </cell>
          <cell r="U770" t="str">
            <v/>
          </cell>
          <cell r="V770" t="str">
            <v>2019-01-29</v>
          </cell>
          <cell r="W770" t="str">
            <v>2019-01-29 12:53:48</v>
          </cell>
          <cell r="X770" t="str">
            <v>더바른푸드</v>
          </cell>
        </row>
        <row r="771">
          <cell r="A771">
            <v>767</v>
          </cell>
          <cell r="B771" t="str">
            <v>2019-01-30</v>
          </cell>
          <cell r="C771" t="str">
            <v>더바른푸드</v>
          </cell>
          <cell r="D771" t="str">
            <v>더바른푸드</v>
          </cell>
          <cell r="E771" t="str">
            <v>일반</v>
          </cell>
          <cell r="F771" t="str">
            <v>입고완료</v>
          </cell>
          <cell r="G771">
            <v>266412</v>
          </cell>
          <cell r="H771" t="str">
            <v>한미식품 유부(슬라이스 1Kg/EA)</v>
          </cell>
          <cell r="I771" t="str">
            <v>EA</v>
          </cell>
          <cell r="J771">
            <v>5</v>
          </cell>
          <cell r="K771">
            <v>4</v>
          </cell>
          <cell r="L771">
            <v>6550</v>
          </cell>
          <cell r="M771">
            <v>32750</v>
          </cell>
          <cell r="N771">
            <v>3275</v>
          </cell>
          <cell r="O771">
            <v>36025</v>
          </cell>
          <cell r="P771">
            <v>0</v>
          </cell>
          <cell r="Q771" t="str">
            <v>외국산</v>
          </cell>
          <cell r="R771" t="str">
            <v>냉동</v>
          </cell>
          <cell r="S771" t="str">
            <v>EA(4)</v>
          </cell>
          <cell r="T771" t="str">
            <v/>
          </cell>
          <cell r="U771" t="str">
            <v/>
          </cell>
          <cell r="V771" t="str">
            <v>2019-01-29</v>
          </cell>
          <cell r="W771" t="str">
            <v>2019-01-29 12:53:48</v>
          </cell>
          <cell r="X771" t="str">
            <v>더바른푸드</v>
          </cell>
        </row>
        <row r="772">
          <cell r="A772">
            <v>768</v>
          </cell>
          <cell r="B772" t="str">
            <v>2019-01-30</v>
          </cell>
          <cell r="C772" t="str">
            <v>더바른푸드</v>
          </cell>
          <cell r="D772" t="str">
            <v>더바른푸드</v>
          </cell>
          <cell r="E772" t="str">
            <v>일반</v>
          </cell>
          <cell r="F772" t="str">
            <v>입고완료</v>
          </cell>
          <cell r="G772">
            <v>205125</v>
          </cell>
          <cell r="H772" t="str">
            <v>백태(일반 1Kg/PAC)</v>
          </cell>
          <cell r="I772" t="str">
            <v>PAC</v>
          </cell>
          <cell r="J772">
            <v>2</v>
          </cell>
          <cell r="K772">
            <v>2</v>
          </cell>
          <cell r="L772">
            <v>7900</v>
          </cell>
          <cell r="M772">
            <v>15800</v>
          </cell>
          <cell r="N772">
            <v>0</v>
          </cell>
          <cell r="O772">
            <v>15800</v>
          </cell>
          <cell r="P772">
            <v>0</v>
          </cell>
          <cell r="Q772" t="str">
            <v>한국</v>
          </cell>
          <cell r="R772" t="str">
            <v>실온</v>
          </cell>
          <cell r="S772" t="str">
            <v>PAC(1)</v>
          </cell>
          <cell r="T772" t="str">
            <v/>
          </cell>
          <cell r="U772" t="str">
            <v/>
          </cell>
          <cell r="V772" t="str">
            <v>2019-01-29</v>
          </cell>
          <cell r="W772" t="str">
            <v>2019-01-29 13:01:51</v>
          </cell>
          <cell r="X772" t="str">
            <v>더바른푸드</v>
          </cell>
        </row>
        <row r="773">
          <cell r="A773">
            <v>769</v>
          </cell>
          <cell r="B773" t="str">
            <v>2019-01-30</v>
          </cell>
          <cell r="C773" t="str">
            <v>더바른푸드</v>
          </cell>
          <cell r="D773" t="str">
            <v>더바른푸드</v>
          </cell>
          <cell r="E773" t="str">
            <v>일반</v>
          </cell>
          <cell r="F773" t="str">
            <v>입고완료</v>
          </cell>
          <cell r="G773">
            <v>208625</v>
          </cell>
          <cell r="H773" t="str">
            <v>새송이버섯(실속 2Kg/EA)</v>
          </cell>
          <cell r="I773" t="str">
            <v>EA</v>
          </cell>
          <cell r="J773">
            <v>1</v>
          </cell>
          <cell r="K773">
            <v>1</v>
          </cell>
          <cell r="L773">
            <v>8920</v>
          </cell>
          <cell r="M773">
            <v>8920</v>
          </cell>
          <cell r="N773">
            <v>0</v>
          </cell>
          <cell r="O773">
            <v>8920</v>
          </cell>
          <cell r="P773">
            <v>0</v>
          </cell>
          <cell r="Q773" t="str">
            <v>한국</v>
          </cell>
          <cell r="R773" t="str">
            <v>냉장</v>
          </cell>
          <cell r="S773" t="str">
            <v>EA(1)</v>
          </cell>
          <cell r="T773" t="str">
            <v/>
          </cell>
          <cell r="U773" t="str">
            <v/>
          </cell>
          <cell r="V773" t="str">
            <v>2019-01-29</v>
          </cell>
          <cell r="W773" t="str">
            <v>2019-01-29 14:09:34</v>
          </cell>
          <cell r="X773" t="str">
            <v>더바른푸드</v>
          </cell>
        </row>
        <row r="774">
          <cell r="A774">
            <v>770</v>
          </cell>
          <cell r="B774" t="str">
            <v>2019-01-29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A775">
            <v>771</v>
          </cell>
          <cell r="B775" t="str">
            <v>2019-01-29</v>
          </cell>
          <cell r="C775" t="str">
            <v>더바른푸드</v>
          </cell>
          <cell r="D775" t="str">
            <v>더바른푸드</v>
          </cell>
          <cell r="E775" t="str">
            <v>일반</v>
          </cell>
          <cell r="F775" t="str">
            <v>입고완료</v>
          </cell>
          <cell r="G775">
            <v>223307</v>
          </cell>
          <cell r="H775" t="str">
            <v>냉동얼갈이(IQF 1Kg/EA)</v>
          </cell>
          <cell r="I775" t="str">
            <v>EA</v>
          </cell>
          <cell r="J775">
            <v>40</v>
          </cell>
          <cell r="K775">
            <v>40</v>
          </cell>
          <cell r="L775">
            <v>1630</v>
          </cell>
          <cell r="M775">
            <v>65200</v>
          </cell>
          <cell r="N775">
            <v>6520</v>
          </cell>
          <cell r="O775">
            <v>71720</v>
          </cell>
          <cell r="P775">
            <v>0</v>
          </cell>
          <cell r="Q775" t="str">
            <v>중국</v>
          </cell>
          <cell r="R775" t="str">
            <v>냉동</v>
          </cell>
          <cell r="S775" t="str">
            <v>EA(1)</v>
          </cell>
          <cell r="T775" t="str">
            <v/>
          </cell>
          <cell r="U775" t="str">
            <v/>
          </cell>
          <cell r="V775" t="str">
            <v>2019-01-24</v>
          </cell>
          <cell r="W775" t="str">
            <v>2019-01-24 14:21:35</v>
          </cell>
          <cell r="X775" t="str">
            <v>더바른푸드</v>
          </cell>
        </row>
        <row r="776">
          <cell r="A776">
            <v>772</v>
          </cell>
          <cell r="B776" t="str">
            <v>2019-01-29</v>
          </cell>
          <cell r="C776" t="str">
            <v>더바른푸드</v>
          </cell>
          <cell r="D776" t="str">
            <v>더바른푸드</v>
          </cell>
          <cell r="E776" t="str">
            <v>일반</v>
          </cell>
          <cell r="F776" t="str">
            <v>입고완료</v>
          </cell>
          <cell r="G776">
            <v>145349</v>
          </cell>
          <cell r="H776" t="str">
            <v>이츠웰 사골엑기스(1Kg/EA)</v>
          </cell>
          <cell r="I776" t="str">
            <v>EA</v>
          </cell>
          <cell r="J776">
            <v>6</v>
          </cell>
          <cell r="K776">
            <v>6</v>
          </cell>
          <cell r="L776">
            <v>6080</v>
          </cell>
          <cell r="M776">
            <v>36480</v>
          </cell>
          <cell r="N776">
            <v>3648</v>
          </cell>
          <cell r="O776">
            <v>40128</v>
          </cell>
          <cell r="P776">
            <v>0</v>
          </cell>
          <cell r="Q776" t="str">
            <v>호주</v>
          </cell>
          <cell r="R776" t="str">
            <v>실온</v>
          </cell>
          <cell r="S776" t="str">
            <v>EA(10)</v>
          </cell>
          <cell r="T776" t="str">
            <v/>
          </cell>
          <cell r="U776" t="str">
            <v/>
          </cell>
          <cell r="V776" t="str">
            <v>2019-01-24</v>
          </cell>
          <cell r="W776" t="str">
            <v>2019-01-24 14:21:35</v>
          </cell>
          <cell r="X776" t="str">
            <v>더바른푸드</v>
          </cell>
        </row>
        <row r="777">
          <cell r="A777">
            <v>773</v>
          </cell>
          <cell r="B777" t="str">
            <v>2019-01-29</v>
          </cell>
          <cell r="C777" t="str">
            <v>더바른푸드</v>
          </cell>
          <cell r="D777" t="str">
            <v>더바른푸드</v>
          </cell>
          <cell r="E777" t="str">
            <v>일반</v>
          </cell>
          <cell r="F777" t="str">
            <v>입고완료</v>
          </cell>
          <cell r="G777">
            <v>241204</v>
          </cell>
          <cell r="H777" t="str">
            <v>이츠웰 콘시리얼함께해바(견과바_15g*12개 180g/EA)</v>
          </cell>
          <cell r="I777" t="str">
            <v>EA</v>
          </cell>
          <cell r="J777">
            <v>22</v>
          </cell>
          <cell r="K777">
            <v>22</v>
          </cell>
          <cell r="L777">
            <v>4500</v>
          </cell>
          <cell r="M777">
            <v>99000</v>
          </cell>
          <cell r="N777">
            <v>9900</v>
          </cell>
          <cell r="O777">
            <v>108900</v>
          </cell>
          <cell r="P777">
            <v>0</v>
          </cell>
          <cell r="Q777" t="str">
            <v>외국산</v>
          </cell>
          <cell r="R777" t="str">
            <v>실온</v>
          </cell>
          <cell r="S777" t="str">
            <v>EA(8)</v>
          </cell>
          <cell r="T777" t="str">
            <v/>
          </cell>
          <cell r="U777" t="str">
            <v/>
          </cell>
          <cell r="V777" t="str">
            <v>2019-01-24</v>
          </cell>
          <cell r="W777" t="str">
            <v>2019-01-24 15:46:29</v>
          </cell>
          <cell r="X777" t="str">
            <v>더바른푸드</v>
          </cell>
        </row>
        <row r="778">
          <cell r="A778">
            <v>774</v>
          </cell>
          <cell r="B778" t="str">
            <v>2019-01-29</v>
          </cell>
          <cell r="C778" t="str">
            <v>더바른푸드</v>
          </cell>
          <cell r="D778" t="str">
            <v>더바른푸드</v>
          </cell>
          <cell r="E778" t="str">
            <v>일반</v>
          </cell>
          <cell r="F778" t="str">
            <v>입고완료</v>
          </cell>
          <cell r="G778">
            <v>269671</v>
          </cell>
          <cell r="H778" t="str">
            <v>이츠웰 우리밀허니버터카스테라(개별포장_35g*30입 1.05Kg/BOX)</v>
          </cell>
          <cell r="I778" t="str">
            <v>BOX</v>
          </cell>
          <cell r="J778">
            <v>2</v>
          </cell>
          <cell r="K778">
            <v>2</v>
          </cell>
          <cell r="L778">
            <v>12810</v>
          </cell>
          <cell r="M778">
            <v>25620</v>
          </cell>
          <cell r="N778">
            <v>2562</v>
          </cell>
          <cell r="O778">
            <v>28182</v>
          </cell>
          <cell r="P778">
            <v>0</v>
          </cell>
          <cell r="Q778" t="str">
            <v/>
          </cell>
          <cell r="R778" t="str">
            <v>냉동</v>
          </cell>
          <cell r="S778" t="str">
            <v>BOX(1)</v>
          </cell>
          <cell r="T778" t="str">
            <v/>
          </cell>
          <cell r="U778" t="str">
            <v/>
          </cell>
          <cell r="V778" t="str">
            <v>2019-01-24</v>
          </cell>
          <cell r="W778" t="str">
            <v>2019-01-24 15:49:28</v>
          </cell>
          <cell r="X778" t="str">
            <v>더바른푸드</v>
          </cell>
        </row>
        <row r="779">
          <cell r="A779">
            <v>775</v>
          </cell>
          <cell r="B779" t="str">
            <v>2019-01-29</v>
          </cell>
          <cell r="C779" t="str">
            <v>더바른푸드</v>
          </cell>
          <cell r="D779" t="str">
            <v>더바른푸드</v>
          </cell>
          <cell r="E779" t="str">
            <v>일반</v>
          </cell>
          <cell r="F779" t="str">
            <v>입고완료</v>
          </cell>
          <cell r="G779">
            <v>136633</v>
          </cell>
          <cell r="H779" t="str">
            <v>이오 요구르트(80ml_유기농 80g/EA)</v>
          </cell>
          <cell r="I779" t="str">
            <v>EA</v>
          </cell>
          <cell r="J779">
            <v>135</v>
          </cell>
          <cell r="K779">
            <v>135</v>
          </cell>
          <cell r="L779">
            <v>300</v>
          </cell>
          <cell r="M779">
            <v>40500</v>
          </cell>
          <cell r="N779">
            <v>4050</v>
          </cell>
          <cell r="O779">
            <v>44550</v>
          </cell>
          <cell r="P779">
            <v>0</v>
          </cell>
          <cell r="Q779" t="str">
            <v>한국</v>
          </cell>
          <cell r="R779" t="str">
            <v>냉장</v>
          </cell>
          <cell r="S779" t="str">
            <v>EA(50)</v>
          </cell>
          <cell r="T779" t="str">
            <v/>
          </cell>
          <cell r="U779" t="str">
            <v>빨대 챙겨주세요</v>
          </cell>
          <cell r="V779" t="str">
            <v>2019-01-24</v>
          </cell>
          <cell r="W779" t="str">
            <v>2019-01-24 15:50:13</v>
          </cell>
          <cell r="X779" t="str">
            <v>더바른푸드</v>
          </cell>
        </row>
        <row r="780">
          <cell r="A780">
            <v>776</v>
          </cell>
          <cell r="B780" t="str">
            <v>2019-01-29</v>
          </cell>
          <cell r="C780" t="str">
            <v>더바른푸드</v>
          </cell>
          <cell r="D780" t="str">
            <v>더바른푸드</v>
          </cell>
          <cell r="E780" t="str">
            <v>일반</v>
          </cell>
          <cell r="F780" t="str">
            <v>입고완료</v>
          </cell>
          <cell r="G780">
            <v>108319</v>
          </cell>
          <cell r="H780" t="str">
            <v>연세우유 고칼슘두유(팩_200ml 200g/EA)</v>
          </cell>
          <cell r="I780" t="str">
            <v>EA</v>
          </cell>
          <cell r="J780">
            <v>48</v>
          </cell>
          <cell r="K780">
            <v>48</v>
          </cell>
          <cell r="L780">
            <v>280</v>
          </cell>
          <cell r="M780">
            <v>13440</v>
          </cell>
          <cell r="N780">
            <v>1344</v>
          </cell>
          <cell r="O780">
            <v>14784</v>
          </cell>
          <cell r="P780">
            <v>0</v>
          </cell>
          <cell r="Q780" t="str">
            <v>한국</v>
          </cell>
          <cell r="R780" t="str">
            <v>실온</v>
          </cell>
          <cell r="S780" t="str">
            <v>EA(1)</v>
          </cell>
          <cell r="T780" t="str">
            <v/>
          </cell>
          <cell r="U780" t="str">
            <v/>
          </cell>
          <cell r="V780" t="str">
            <v>2019-01-24</v>
          </cell>
          <cell r="W780" t="str">
            <v>2019-01-24 15:53:23</v>
          </cell>
          <cell r="X780" t="str">
            <v>더바른푸드</v>
          </cell>
        </row>
        <row r="781">
          <cell r="A781">
            <v>777</v>
          </cell>
          <cell r="B781" t="str">
            <v>2019-01-29</v>
          </cell>
          <cell r="C781" t="str">
            <v>더바른푸드</v>
          </cell>
          <cell r="D781" t="str">
            <v>더바른푸드</v>
          </cell>
          <cell r="E781" t="str">
            <v>일반</v>
          </cell>
          <cell r="F781" t="str">
            <v>입고완료</v>
          </cell>
          <cell r="G781">
            <v>193090</v>
          </cell>
          <cell r="H781" t="str">
            <v>냉동감자(절단_3~4cm 1Kg/EA)</v>
          </cell>
          <cell r="I781" t="str">
            <v>EA</v>
          </cell>
          <cell r="J781">
            <v>40</v>
          </cell>
          <cell r="K781">
            <v>40</v>
          </cell>
          <cell r="L781">
            <v>1980</v>
          </cell>
          <cell r="M781">
            <v>79200</v>
          </cell>
          <cell r="N781">
            <v>7920</v>
          </cell>
          <cell r="O781">
            <v>87120</v>
          </cell>
          <cell r="P781">
            <v>0</v>
          </cell>
          <cell r="Q781" t="str">
            <v>중국</v>
          </cell>
          <cell r="R781" t="str">
            <v>냉동</v>
          </cell>
          <cell r="S781" t="str">
            <v>EA(1)</v>
          </cell>
          <cell r="T781" t="str">
            <v/>
          </cell>
          <cell r="U781" t="str">
            <v/>
          </cell>
          <cell r="V781" t="str">
            <v>2019-01-25</v>
          </cell>
          <cell r="W781" t="str">
            <v>2019-01-25 12:37:21</v>
          </cell>
          <cell r="X781" t="str">
            <v>더바른푸드</v>
          </cell>
        </row>
        <row r="782">
          <cell r="A782">
            <v>778</v>
          </cell>
          <cell r="B782" t="str">
            <v>2019-01-29</v>
          </cell>
          <cell r="C782" t="str">
            <v>더바른푸드</v>
          </cell>
          <cell r="D782" t="str">
            <v>더바른푸드</v>
          </cell>
          <cell r="E782" t="str">
            <v>일반</v>
          </cell>
          <cell r="F782" t="str">
            <v>입고완료</v>
          </cell>
          <cell r="G782">
            <v>319046</v>
          </cell>
          <cell r="H782" t="str">
            <v>주일 구운파래김(100매 150g/EA)</v>
          </cell>
          <cell r="I782" t="str">
            <v>EA</v>
          </cell>
          <cell r="J782">
            <v>9</v>
          </cell>
          <cell r="K782">
            <v>9</v>
          </cell>
          <cell r="L782">
            <v>8050</v>
          </cell>
          <cell r="M782">
            <v>72450</v>
          </cell>
          <cell r="N782">
            <v>0</v>
          </cell>
          <cell r="O782">
            <v>72450</v>
          </cell>
          <cell r="P782">
            <v>0</v>
          </cell>
          <cell r="Q782" t="str">
            <v>한국</v>
          </cell>
          <cell r="R782" t="str">
            <v>실온</v>
          </cell>
          <cell r="S782" t="str">
            <v>EA(1)</v>
          </cell>
          <cell r="T782" t="str">
            <v/>
          </cell>
          <cell r="U782" t="str">
            <v/>
          </cell>
          <cell r="V782" t="str">
            <v>2019-01-25</v>
          </cell>
          <cell r="W782" t="str">
            <v>2019-01-25 13:26:46</v>
          </cell>
          <cell r="X782" t="str">
            <v>더바른푸드</v>
          </cell>
        </row>
        <row r="783">
          <cell r="A783">
            <v>779</v>
          </cell>
          <cell r="B783" t="str">
            <v>2019-01-29</v>
          </cell>
          <cell r="C783" t="str">
            <v>더바른푸드</v>
          </cell>
          <cell r="D783" t="str">
            <v>더바른푸드</v>
          </cell>
          <cell r="E783" t="str">
            <v>일반</v>
          </cell>
          <cell r="F783" t="str">
            <v>입고완료</v>
          </cell>
          <cell r="G783">
            <v>113128</v>
          </cell>
          <cell r="H783" t="str">
            <v>천일식품 미니돈까스(1Kg/EA)</v>
          </cell>
          <cell r="I783" t="str">
            <v>EA</v>
          </cell>
          <cell r="J783">
            <v>12</v>
          </cell>
          <cell r="K783">
            <v>12</v>
          </cell>
          <cell r="L783">
            <v>4860</v>
          </cell>
          <cell r="M783">
            <v>58320</v>
          </cell>
          <cell r="N783">
            <v>5832</v>
          </cell>
          <cell r="O783">
            <v>64152</v>
          </cell>
          <cell r="P783">
            <v>0</v>
          </cell>
          <cell r="Q783" t="str">
            <v/>
          </cell>
          <cell r="R783" t="str">
            <v>냉동</v>
          </cell>
          <cell r="S783" t="str">
            <v>EA(10)</v>
          </cell>
          <cell r="T783" t="str">
            <v/>
          </cell>
          <cell r="U783" t="str">
            <v/>
          </cell>
          <cell r="V783" t="str">
            <v>2019-01-25</v>
          </cell>
          <cell r="W783" t="str">
            <v>2019-01-25 13:56:29</v>
          </cell>
          <cell r="X783" t="str">
            <v>더바른푸드</v>
          </cell>
        </row>
        <row r="784">
          <cell r="A784">
            <v>780</v>
          </cell>
          <cell r="B784" t="str">
            <v>2019-01-29</v>
          </cell>
          <cell r="C784" t="str">
            <v>더바른푸드</v>
          </cell>
          <cell r="D784" t="str">
            <v>더바른푸드</v>
          </cell>
          <cell r="E784" t="str">
            <v>일반</v>
          </cell>
          <cell r="F784" t="str">
            <v>입고완료</v>
          </cell>
          <cell r="G784">
            <v>142565</v>
          </cell>
          <cell r="H784" t="str">
            <v>반찬단지 고들빼기무침(1Kg/EA)</v>
          </cell>
          <cell r="I784" t="str">
            <v>EA</v>
          </cell>
          <cell r="J784">
            <v>3</v>
          </cell>
          <cell r="K784">
            <v>3</v>
          </cell>
          <cell r="L784">
            <v>4220</v>
          </cell>
          <cell r="M784">
            <v>12660</v>
          </cell>
          <cell r="N784">
            <v>1266</v>
          </cell>
          <cell r="O784">
            <v>13926</v>
          </cell>
          <cell r="P784">
            <v>0</v>
          </cell>
          <cell r="Q784" t="str">
            <v>중국</v>
          </cell>
          <cell r="R784" t="str">
            <v>냉장</v>
          </cell>
          <cell r="S784" t="str">
            <v>EA(10)</v>
          </cell>
          <cell r="T784" t="str">
            <v/>
          </cell>
          <cell r="U784" t="str">
            <v/>
          </cell>
          <cell r="V784" t="str">
            <v>2019-01-25</v>
          </cell>
          <cell r="W784" t="str">
            <v>2019-01-25 14:08:53</v>
          </cell>
          <cell r="X784" t="str">
            <v>더바른푸드</v>
          </cell>
        </row>
        <row r="785">
          <cell r="A785">
            <v>781</v>
          </cell>
          <cell r="B785" t="str">
            <v>2019-01-29</v>
          </cell>
          <cell r="C785" t="str">
            <v>더바른푸드</v>
          </cell>
          <cell r="D785" t="str">
            <v>더바른푸드</v>
          </cell>
          <cell r="E785" t="str">
            <v>일반</v>
          </cell>
          <cell r="F785" t="str">
            <v>입고완료</v>
          </cell>
          <cell r="G785">
            <v>201346</v>
          </cell>
          <cell r="H785" t="str">
            <v>깐연근채(KG)</v>
          </cell>
          <cell r="I785" t="str">
            <v>KG</v>
          </cell>
          <cell r="J785">
            <v>2</v>
          </cell>
          <cell r="K785">
            <v>2</v>
          </cell>
          <cell r="L785">
            <v>6850</v>
          </cell>
          <cell r="M785">
            <v>13700</v>
          </cell>
          <cell r="N785">
            <v>0</v>
          </cell>
          <cell r="O785">
            <v>13700</v>
          </cell>
          <cell r="P785">
            <v>0</v>
          </cell>
          <cell r="Q785" t="str">
            <v>한국</v>
          </cell>
          <cell r="R785" t="str">
            <v>냉장</v>
          </cell>
          <cell r="S785" t="str">
            <v>KG(1)</v>
          </cell>
          <cell r="T785" t="str">
            <v/>
          </cell>
          <cell r="U785" t="str">
            <v/>
          </cell>
          <cell r="V785" t="str">
            <v>2019-01-25</v>
          </cell>
          <cell r="W785" t="str">
            <v>2019-01-25 14:14:29</v>
          </cell>
          <cell r="X785" t="str">
            <v>더바른푸드</v>
          </cell>
        </row>
        <row r="786">
          <cell r="A786">
            <v>782</v>
          </cell>
          <cell r="B786" t="str">
            <v>2019-01-29</v>
          </cell>
          <cell r="C786" t="str">
            <v>더바른푸드</v>
          </cell>
          <cell r="D786" t="str">
            <v>더바른푸드</v>
          </cell>
          <cell r="E786" t="str">
            <v>일반</v>
          </cell>
          <cell r="F786" t="str">
            <v>입고완료</v>
          </cell>
          <cell r="G786">
            <v>230515</v>
          </cell>
          <cell r="H786" t="str">
            <v>현복식품 백진미채(키즈용 500g/EA)</v>
          </cell>
          <cell r="I786" t="str">
            <v>EA</v>
          </cell>
          <cell r="J786">
            <v>40</v>
          </cell>
          <cell r="K786">
            <v>40</v>
          </cell>
          <cell r="L786">
            <v>14560</v>
          </cell>
          <cell r="M786">
            <v>582400</v>
          </cell>
          <cell r="N786">
            <v>58240</v>
          </cell>
          <cell r="O786">
            <v>640640</v>
          </cell>
          <cell r="P786">
            <v>0</v>
          </cell>
          <cell r="Q786" t="str">
            <v>페루</v>
          </cell>
          <cell r="R786" t="str">
            <v>냉장</v>
          </cell>
          <cell r="S786" t="str">
            <v>EA(10)</v>
          </cell>
          <cell r="T786" t="str">
            <v/>
          </cell>
          <cell r="U786" t="str">
            <v/>
          </cell>
          <cell r="V786" t="str">
            <v>2019-01-28</v>
          </cell>
          <cell r="W786" t="str">
            <v>2019-01-28 12:43:21</v>
          </cell>
          <cell r="X786" t="str">
            <v>더바른푸드</v>
          </cell>
        </row>
        <row r="787">
          <cell r="A787">
            <v>783</v>
          </cell>
          <cell r="B787" t="str">
            <v>2019-01-28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A788">
            <v>784</v>
          </cell>
          <cell r="B788" t="str">
            <v>2019-01-28</v>
          </cell>
          <cell r="C788" t="str">
            <v>더바른푸드</v>
          </cell>
          <cell r="D788" t="str">
            <v>더바른푸드</v>
          </cell>
          <cell r="E788" t="str">
            <v>일반</v>
          </cell>
          <cell r="F788" t="str">
            <v>입고완료</v>
          </cell>
          <cell r="G788">
            <v>114299</v>
          </cell>
          <cell r="H788" t="str">
            <v>튼튼스쿨 남도떡갈비(75g*14입 1.05Kg/EA)</v>
          </cell>
          <cell r="I788" t="str">
            <v>EA</v>
          </cell>
          <cell r="J788">
            <v>1</v>
          </cell>
          <cell r="K788">
            <v>1</v>
          </cell>
          <cell r="L788">
            <v>9510</v>
          </cell>
          <cell r="M788">
            <v>9510</v>
          </cell>
          <cell r="N788">
            <v>951</v>
          </cell>
          <cell r="O788">
            <v>10461</v>
          </cell>
          <cell r="P788">
            <v>0</v>
          </cell>
          <cell r="Q788" t="str">
            <v/>
          </cell>
          <cell r="R788" t="str">
            <v>냉동</v>
          </cell>
          <cell r="S788" t="str">
            <v>EA(6)</v>
          </cell>
          <cell r="T788" t="str">
            <v/>
          </cell>
          <cell r="U788" t="str">
            <v/>
          </cell>
          <cell r="V788" t="str">
            <v>2019-01-22</v>
          </cell>
          <cell r="W788" t="str">
            <v>2019-01-22 16:25:40</v>
          </cell>
          <cell r="X788" t="str">
            <v>더바른푸드</v>
          </cell>
        </row>
        <row r="789">
          <cell r="A789">
            <v>785</v>
          </cell>
          <cell r="B789" t="str">
            <v>2019-01-28</v>
          </cell>
          <cell r="C789" t="str">
            <v>더바른푸드</v>
          </cell>
          <cell r="D789" t="str">
            <v>더바른푸드</v>
          </cell>
          <cell r="E789" t="str">
            <v>일반</v>
          </cell>
          <cell r="F789" t="str">
            <v>입고완료</v>
          </cell>
          <cell r="G789">
            <v>168257</v>
          </cell>
          <cell r="H789" t="str">
            <v>명품 판두부(찌개용 3Kg/EA)</v>
          </cell>
          <cell r="I789" t="str">
            <v>EA</v>
          </cell>
          <cell r="J789">
            <v>5</v>
          </cell>
          <cell r="K789">
            <v>5</v>
          </cell>
          <cell r="L789">
            <v>4000</v>
          </cell>
          <cell r="M789">
            <v>20000</v>
          </cell>
          <cell r="N789">
            <v>0</v>
          </cell>
          <cell r="O789">
            <v>20000</v>
          </cell>
          <cell r="P789">
            <v>0</v>
          </cell>
          <cell r="Q789" t="str">
            <v>수입산</v>
          </cell>
          <cell r="R789" t="str">
            <v>냉장</v>
          </cell>
          <cell r="S789" t="str">
            <v>EA(1)</v>
          </cell>
          <cell r="T789" t="str">
            <v/>
          </cell>
          <cell r="U789" t="str">
            <v/>
          </cell>
          <cell r="V789" t="str">
            <v>2019-01-24</v>
          </cell>
          <cell r="W789" t="str">
            <v>2019-01-24 14:16:43</v>
          </cell>
          <cell r="X789" t="str">
            <v>더바른푸드</v>
          </cell>
        </row>
        <row r="790">
          <cell r="A790">
            <v>786</v>
          </cell>
          <cell r="B790" t="str">
            <v>2019-01-28</v>
          </cell>
          <cell r="C790" t="str">
            <v>더바른푸드</v>
          </cell>
          <cell r="D790" t="str">
            <v>더바른푸드</v>
          </cell>
          <cell r="E790" t="str">
            <v>일반</v>
          </cell>
          <cell r="F790" t="str">
            <v>입고완료</v>
          </cell>
          <cell r="G790">
            <v>198258</v>
          </cell>
          <cell r="H790" t="str">
            <v>새송이버섯(상품 15일단가주기용 2Kg/BOX)</v>
          </cell>
          <cell r="I790" t="str">
            <v>BOX</v>
          </cell>
          <cell r="J790">
            <v>5</v>
          </cell>
          <cell r="K790">
            <v>5</v>
          </cell>
          <cell r="L790">
            <v>11460</v>
          </cell>
          <cell r="M790">
            <v>57300</v>
          </cell>
          <cell r="N790">
            <v>0</v>
          </cell>
          <cell r="O790">
            <v>57300</v>
          </cell>
          <cell r="P790">
            <v>0</v>
          </cell>
          <cell r="Q790" t="str">
            <v>한국</v>
          </cell>
          <cell r="R790" t="str">
            <v>냉장</v>
          </cell>
          <cell r="S790" t="str">
            <v>BOX(1)</v>
          </cell>
          <cell r="T790" t="str">
            <v/>
          </cell>
          <cell r="U790" t="str">
            <v/>
          </cell>
          <cell r="V790" t="str">
            <v>2019-01-24</v>
          </cell>
          <cell r="W790" t="str">
            <v>2019-01-24 14:19:26</v>
          </cell>
          <cell r="X790" t="str">
            <v>더바른푸드</v>
          </cell>
        </row>
        <row r="791">
          <cell r="A791">
            <v>787</v>
          </cell>
          <cell r="B791" t="str">
            <v>2019-01-28</v>
          </cell>
          <cell r="C791" t="str">
            <v>더바른푸드</v>
          </cell>
          <cell r="D791" t="str">
            <v>더바른푸드</v>
          </cell>
          <cell r="E791" t="str">
            <v>일반</v>
          </cell>
          <cell r="F791" t="str">
            <v>입고완료</v>
          </cell>
          <cell r="G791">
            <v>211037</v>
          </cell>
          <cell r="H791" t="str">
            <v>느타리버섯(실속 균상 2Kg/EA)</v>
          </cell>
          <cell r="I791" t="str">
            <v>BOX</v>
          </cell>
          <cell r="J791">
            <v>10</v>
          </cell>
          <cell r="K791">
            <v>10</v>
          </cell>
          <cell r="L791">
            <v>7650</v>
          </cell>
          <cell r="M791">
            <v>76500</v>
          </cell>
          <cell r="N791">
            <v>0</v>
          </cell>
          <cell r="O791">
            <v>76500</v>
          </cell>
          <cell r="P791">
            <v>0</v>
          </cell>
          <cell r="Q791" t="str">
            <v>한국</v>
          </cell>
          <cell r="R791" t="str">
            <v>냉장</v>
          </cell>
          <cell r="S791" t="str">
            <v>EA(1)</v>
          </cell>
          <cell r="T791" t="str">
            <v/>
          </cell>
          <cell r="U791" t="str">
            <v/>
          </cell>
          <cell r="V791" t="str">
            <v>2019-01-24</v>
          </cell>
          <cell r="W791" t="str">
            <v>2019-01-24 14:19:26</v>
          </cell>
          <cell r="X791" t="str">
            <v>더바른푸드</v>
          </cell>
        </row>
        <row r="792">
          <cell r="A792">
            <v>788</v>
          </cell>
          <cell r="B792" t="str">
            <v>2019-01-28</v>
          </cell>
          <cell r="C792" t="str">
            <v>더바른푸드</v>
          </cell>
          <cell r="D792" t="str">
            <v>더바른푸드</v>
          </cell>
          <cell r="E792" t="str">
            <v>일반</v>
          </cell>
          <cell r="F792" t="str">
            <v>입고완료</v>
          </cell>
          <cell r="G792">
            <v>313633</v>
          </cell>
          <cell r="H792" t="str">
            <v>현대푸드 두절건새우(중 1Kg/EA)</v>
          </cell>
          <cell r="I792" t="str">
            <v>EA</v>
          </cell>
          <cell r="J792">
            <v>1</v>
          </cell>
          <cell r="K792">
            <v>1</v>
          </cell>
          <cell r="L792">
            <v>28630</v>
          </cell>
          <cell r="M792">
            <v>28630</v>
          </cell>
          <cell r="N792">
            <v>0</v>
          </cell>
          <cell r="O792">
            <v>28630</v>
          </cell>
          <cell r="P792">
            <v>0</v>
          </cell>
          <cell r="Q792" t="str">
            <v>중국</v>
          </cell>
          <cell r="R792" t="str">
            <v>냉장</v>
          </cell>
          <cell r="S792" t="str">
            <v>EA(1)</v>
          </cell>
          <cell r="T792" t="str">
            <v/>
          </cell>
          <cell r="U792" t="str">
            <v/>
          </cell>
          <cell r="V792" t="str">
            <v>2019-01-24</v>
          </cell>
          <cell r="W792" t="str">
            <v>2019-01-24 14:27:43</v>
          </cell>
          <cell r="X792" t="str">
            <v>더바른푸드</v>
          </cell>
        </row>
        <row r="793">
          <cell r="A793">
            <v>789</v>
          </cell>
          <cell r="B793" t="str">
            <v>2019-01-28</v>
          </cell>
          <cell r="C793" t="str">
            <v>더바른푸드</v>
          </cell>
          <cell r="D793" t="str">
            <v>더바른푸드</v>
          </cell>
          <cell r="E793" t="str">
            <v>일반</v>
          </cell>
          <cell r="F793" t="str">
            <v>입고완료</v>
          </cell>
          <cell r="G793">
            <v>201605</v>
          </cell>
          <cell r="H793" t="str">
            <v>마늘쫑(상품 KG)</v>
          </cell>
          <cell r="I793" t="str">
            <v>KG</v>
          </cell>
          <cell r="J793">
            <v>2</v>
          </cell>
          <cell r="K793">
            <v>2</v>
          </cell>
          <cell r="L793">
            <v>4490</v>
          </cell>
          <cell r="M793">
            <v>8980</v>
          </cell>
          <cell r="N793">
            <v>0</v>
          </cell>
          <cell r="O793">
            <v>8980</v>
          </cell>
          <cell r="P793">
            <v>0</v>
          </cell>
          <cell r="Q793" t="str">
            <v>중국</v>
          </cell>
          <cell r="R793" t="str">
            <v>냉장</v>
          </cell>
          <cell r="S793" t="str">
            <v>KG(1)</v>
          </cell>
          <cell r="T793" t="str">
            <v/>
          </cell>
          <cell r="U793" t="str">
            <v/>
          </cell>
          <cell r="V793" t="str">
            <v>2019-01-24</v>
          </cell>
          <cell r="W793" t="str">
            <v>2019-01-24 14:28:16</v>
          </cell>
          <cell r="X793" t="str">
            <v>더바른푸드</v>
          </cell>
        </row>
        <row r="794">
          <cell r="A794">
            <v>790</v>
          </cell>
          <cell r="B794" t="str">
            <v>2019-01-28</v>
          </cell>
          <cell r="C794" t="str">
            <v>더바른푸드</v>
          </cell>
          <cell r="D794" t="str">
            <v>더바른푸드</v>
          </cell>
          <cell r="E794" t="str">
            <v>일반</v>
          </cell>
          <cell r="F794" t="str">
            <v>입고완료</v>
          </cell>
          <cell r="G794">
            <v>239717</v>
          </cell>
          <cell r="H794" t="str">
            <v>녹선 참오징어젓(1Kg/EA)</v>
          </cell>
          <cell r="I794" t="str">
            <v>EA</v>
          </cell>
          <cell r="J794">
            <v>2</v>
          </cell>
          <cell r="K794">
            <v>2</v>
          </cell>
          <cell r="L794">
            <v>6630</v>
          </cell>
          <cell r="M794">
            <v>13260</v>
          </cell>
          <cell r="N794">
            <v>1326</v>
          </cell>
          <cell r="O794">
            <v>14586</v>
          </cell>
          <cell r="P794">
            <v>0</v>
          </cell>
          <cell r="Q794" t="str">
            <v>중국</v>
          </cell>
          <cell r="R794" t="str">
            <v>냉장</v>
          </cell>
          <cell r="S794" t="str">
            <v>EA(1)</v>
          </cell>
          <cell r="T794" t="str">
            <v/>
          </cell>
          <cell r="U794" t="str">
            <v/>
          </cell>
          <cell r="V794" t="str">
            <v>2019-01-24</v>
          </cell>
          <cell r="W794" t="str">
            <v>2019-01-24 14:29:45</v>
          </cell>
          <cell r="X794" t="str">
            <v>더바른푸드</v>
          </cell>
        </row>
        <row r="795">
          <cell r="A795">
            <v>791</v>
          </cell>
          <cell r="B795" t="str">
            <v>2019-01-28</v>
          </cell>
          <cell r="C795" t="str">
            <v>더바른푸드</v>
          </cell>
          <cell r="D795" t="str">
            <v>더바른푸드</v>
          </cell>
          <cell r="E795" t="str">
            <v>일반</v>
          </cell>
          <cell r="F795" t="str">
            <v>입고완료</v>
          </cell>
          <cell r="G795">
            <v>195425</v>
          </cell>
          <cell r="H795" t="str">
            <v>세미원푸드 고구마야채튀김(55±5g*50±5개입 3Kg/EA)</v>
          </cell>
          <cell r="I795" t="str">
            <v>EA</v>
          </cell>
          <cell r="J795">
            <v>29</v>
          </cell>
          <cell r="K795">
            <v>29</v>
          </cell>
          <cell r="L795">
            <v>17400</v>
          </cell>
          <cell r="M795">
            <v>504600</v>
          </cell>
          <cell r="N795">
            <v>50460</v>
          </cell>
          <cell r="O795">
            <v>555060</v>
          </cell>
          <cell r="P795">
            <v>0</v>
          </cell>
          <cell r="Q795" t="str">
            <v>한국</v>
          </cell>
          <cell r="R795" t="str">
            <v>냉동</v>
          </cell>
          <cell r="S795" t="str">
            <v>EA(1)</v>
          </cell>
          <cell r="T795" t="str">
            <v/>
          </cell>
          <cell r="U795" t="str">
            <v/>
          </cell>
          <cell r="V795" t="str">
            <v>2019-01-24</v>
          </cell>
          <cell r="W795" t="str">
            <v>2019-01-24 14:39:48</v>
          </cell>
          <cell r="X795" t="str">
            <v>더바른푸드</v>
          </cell>
        </row>
        <row r="796">
          <cell r="A796">
            <v>792</v>
          </cell>
          <cell r="B796" t="str">
            <v>2019-01-28</v>
          </cell>
          <cell r="C796" t="str">
            <v>더바른푸드</v>
          </cell>
          <cell r="D796" t="str">
            <v>더바른푸드</v>
          </cell>
          <cell r="E796" t="str">
            <v>일반</v>
          </cell>
          <cell r="F796" t="str">
            <v>입고완료</v>
          </cell>
          <cell r="G796">
            <v>206572</v>
          </cell>
          <cell r="H796" t="str">
            <v>깐밤(상품 1Kg/PAC)</v>
          </cell>
          <cell r="I796" t="str">
            <v>PAC</v>
          </cell>
          <cell r="J796">
            <v>4</v>
          </cell>
          <cell r="K796">
            <v>4</v>
          </cell>
          <cell r="L796">
            <v>12850</v>
          </cell>
          <cell r="M796">
            <v>51400</v>
          </cell>
          <cell r="N796">
            <v>0</v>
          </cell>
          <cell r="O796">
            <v>51400</v>
          </cell>
          <cell r="P796">
            <v>0</v>
          </cell>
          <cell r="Q796" t="str">
            <v>한국</v>
          </cell>
          <cell r="R796" t="str">
            <v>냉장</v>
          </cell>
          <cell r="S796" t="str">
            <v>PAC(1)</v>
          </cell>
          <cell r="T796" t="str">
            <v/>
          </cell>
          <cell r="U796" t="str">
            <v/>
          </cell>
          <cell r="V796" t="str">
            <v>2019-01-24</v>
          </cell>
          <cell r="W796" t="str">
            <v>2019-01-24 14:44:10</v>
          </cell>
          <cell r="X796" t="str">
            <v>더바른푸드</v>
          </cell>
        </row>
        <row r="797">
          <cell r="A797">
            <v>793</v>
          </cell>
          <cell r="B797" t="str">
            <v>2019-01-28</v>
          </cell>
          <cell r="C797" t="str">
            <v>더바른푸드</v>
          </cell>
          <cell r="D797" t="str">
            <v>더바른푸드</v>
          </cell>
          <cell r="E797" t="str">
            <v>일반</v>
          </cell>
          <cell r="F797" t="str">
            <v>입고완료</v>
          </cell>
          <cell r="G797">
            <v>166111</v>
          </cell>
          <cell r="H797" t="str">
            <v>종로복떡방 방울증편(40개입 찜용 1Kg/EA)</v>
          </cell>
          <cell r="I797" t="str">
            <v>EA</v>
          </cell>
          <cell r="J797">
            <v>6</v>
          </cell>
          <cell r="K797">
            <v>6</v>
          </cell>
          <cell r="L797">
            <v>10800</v>
          </cell>
          <cell r="M797">
            <v>64800</v>
          </cell>
          <cell r="N797">
            <v>6480</v>
          </cell>
          <cell r="O797">
            <v>71280</v>
          </cell>
          <cell r="P797">
            <v>0</v>
          </cell>
          <cell r="Q797" t="str">
            <v/>
          </cell>
          <cell r="R797" t="str">
            <v>냉동</v>
          </cell>
          <cell r="S797" t="str">
            <v>EA(1)</v>
          </cell>
          <cell r="T797" t="str">
            <v/>
          </cell>
          <cell r="U797" t="str">
            <v/>
          </cell>
          <cell r="V797" t="str">
            <v>2019-01-24</v>
          </cell>
          <cell r="W797" t="str">
            <v>2019-01-24 15:37:33</v>
          </cell>
          <cell r="X797" t="str">
            <v>더바른푸드</v>
          </cell>
        </row>
        <row r="798">
          <cell r="A798">
            <v>794</v>
          </cell>
          <cell r="B798" t="str">
            <v>2019-01-28</v>
          </cell>
          <cell r="C798" t="str">
            <v>더바른푸드</v>
          </cell>
          <cell r="D798" t="str">
            <v>더바른푸드</v>
          </cell>
          <cell r="E798" t="str">
            <v>일반</v>
          </cell>
          <cell r="F798" t="str">
            <v>입고완료</v>
          </cell>
          <cell r="G798">
            <v>408633</v>
          </cell>
          <cell r="H798" t="str">
            <v>자연애찬 구운계란(35g*30입 1.05Kg/PAC)</v>
          </cell>
          <cell r="I798" t="str">
            <v>PAC</v>
          </cell>
          <cell r="J798">
            <v>3</v>
          </cell>
          <cell r="K798">
            <v>3</v>
          </cell>
          <cell r="L798">
            <v>5000</v>
          </cell>
          <cell r="M798">
            <v>15000</v>
          </cell>
          <cell r="N798">
            <v>1500</v>
          </cell>
          <cell r="O798">
            <v>16500</v>
          </cell>
          <cell r="P798">
            <v>0</v>
          </cell>
          <cell r="Q798" t="str">
            <v>한국</v>
          </cell>
          <cell r="R798" t="str">
            <v>실온</v>
          </cell>
          <cell r="S798" t="str">
            <v>PAC(1)</v>
          </cell>
          <cell r="T798" t="str">
            <v/>
          </cell>
          <cell r="U798" t="str">
            <v/>
          </cell>
          <cell r="V798" t="str">
            <v>2019-01-24</v>
          </cell>
          <cell r="W798" t="str">
            <v>2019-01-24 15:40:01</v>
          </cell>
          <cell r="X798" t="str">
            <v>더바른푸드</v>
          </cell>
        </row>
        <row r="799">
          <cell r="A799">
            <v>795</v>
          </cell>
          <cell r="B799" t="str">
            <v>2019-01-28</v>
          </cell>
          <cell r="C799" t="str">
            <v>더바른푸드</v>
          </cell>
          <cell r="D799" t="str">
            <v>더바른푸드</v>
          </cell>
          <cell r="E799" t="str">
            <v>일반</v>
          </cell>
          <cell r="F799" t="str">
            <v>입고완료</v>
          </cell>
          <cell r="G799">
            <v>160243</v>
          </cell>
          <cell r="H799" t="str">
            <v>비피더스 떠먹는요구르트(딸기 83g/EA)</v>
          </cell>
          <cell r="I799" t="str">
            <v>EA</v>
          </cell>
          <cell r="J799">
            <v>135</v>
          </cell>
          <cell r="K799">
            <v>135</v>
          </cell>
          <cell r="L799">
            <v>290</v>
          </cell>
          <cell r="M799">
            <v>39150</v>
          </cell>
          <cell r="N799">
            <v>3915</v>
          </cell>
          <cell r="O799">
            <v>43065</v>
          </cell>
          <cell r="P799">
            <v>0</v>
          </cell>
          <cell r="Q799" t="str">
            <v>한국</v>
          </cell>
          <cell r="R799" t="str">
            <v>냉장</v>
          </cell>
          <cell r="S799" t="str">
            <v>EA(1)</v>
          </cell>
          <cell r="T799" t="str">
            <v/>
          </cell>
          <cell r="U799" t="str">
            <v>스푼챙겨주세요</v>
          </cell>
          <cell r="V799" t="str">
            <v>2019-01-24</v>
          </cell>
          <cell r="W799" t="str">
            <v>2019-01-24 15:42:07</v>
          </cell>
          <cell r="X799" t="str">
            <v>더바른푸드</v>
          </cell>
        </row>
        <row r="800">
          <cell r="A800">
            <v>796</v>
          </cell>
          <cell r="B800" t="str">
            <v>2019-01-28</v>
          </cell>
          <cell r="C800" t="str">
            <v>더바른푸드</v>
          </cell>
          <cell r="D800" t="str">
            <v>더바른푸드</v>
          </cell>
          <cell r="E800" t="str">
            <v>일반</v>
          </cell>
          <cell r="F800" t="str">
            <v>입고완료</v>
          </cell>
          <cell r="G800">
            <v>212187</v>
          </cell>
          <cell r="H800" t="str">
            <v>한결 포기김치(일배용 10Kg/BOX)</v>
          </cell>
          <cell r="I800" t="str">
            <v>BOX</v>
          </cell>
          <cell r="J800">
            <v>1</v>
          </cell>
          <cell r="K800">
            <v>1</v>
          </cell>
          <cell r="L800">
            <v>10510</v>
          </cell>
          <cell r="M800">
            <v>10510</v>
          </cell>
          <cell r="N800">
            <v>0</v>
          </cell>
          <cell r="O800">
            <v>10510</v>
          </cell>
          <cell r="P800">
            <v>0</v>
          </cell>
          <cell r="Q800" t="str">
            <v>중국</v>
          </cell>
          <cell r="R800" t="str">
            <v>냉장</v>
          </cell>
          <cell r="S800" t="str">
            <v>BOX(1)</v>
          </cell>
          <cell r="T800" t="str">
            <v/>
          </cell>
          <cell r="U800" t="str">
            <v/>
          </cell>
          <cell r="V800" t="str">
            <v>2019-01-24</v>
          </cell>
          <cell r="W800" t="str">
            <v>2019-01-24 16:13:45</v>
          </cell>
          <cell r="X800" t="str">
            <v>더바른푸드</v>
          </cell>
        </row>
        <row r="801">
          <cell r="A801">
            <v>797</v>
          </cell>
          <cell r="B801" t="str">
            <v>2019-01-28</v>
          </cell>
          <cell r="C801" t="str">
            <v>더바른푸드</v>
          </cell>
          <cell r="D801" t="str">
            <v>더바른푸드</v>
          </cell>
          <cell r="E801" t="str">
            <v>일반</v>
          </cell>
          <cell r="F801" t="str">
            <v>입고완료</v>
          </cell>
          <cell r="G801">
            <v>197123</v>
          </cell>
          <cell r="H801" t="str">
            <v>종가집 깍두기(숙성_2*2cm 10Kg/BOX)</v>
          </cell>
          <cell r="I801" t="str">
            <v>BOX</v>
          </cell>
          <cell r="J801">
            <v>1</v>
          </cell>
          <cell r="K801">
            <v>1</v>
          </cell>
          <cell r="L801">
            <v>33290</v>
          </cell>
          <cell r="M801">
            <v>33290</v>
          </cell>
          <cell r="N801">
            <v>0</v>
          </cell>
          <cell r="O801">
            <v>33290</v>
          </cell>
          <cell r="P801">
            <v>0</v>
          </cell>
          <cell r="Q801" t="str">
            <v>한국</v>
          </cell>
          <cell r="R801" t="str">
            <v>냉장</v>
          </cell>
          <cell r="S801" t="str">
            <v>BOX(1)</v>
          </cell>
          <cell r="T801" t="str">
            <v/>
          </cell>
          <cell r="U801" t="str">
            <v/>
          </cell>
          <cell r="V801" t="str">
            <v>2019-01-24</v>
          </cell>
          <cell r="W801" t="str">
            <v>2019-01-24 16:14:50</v>
          </cell>
          <cell r="X801" t="str">
            <v>더바른푸드</v>
          </cell>
        </row>
        <row r="802">
          <cell r="A802">
            <v>798</v>
          </cell>
          <cell r="B802" t="str">
            <v>2019-01-28</v>
          </cell>
          <cell r="C802" t="str">
            <v>더바른푸드</v>
          </cell>
          <cell r="D802" t="str">
            <v>더바른푸드</v>
          </cell>
          <cell r="E802" t="str">
            <v>일반</v>
          </cell>
          <cell r="F802" t="str">
            <v>입고완료</v>
          </cell>
          <cell r="G802">
            <v>526319</v>
          </cell>
          <cell r="H802" t="str">
            <v>면장갑(민무늬_10입 EA)</v>
          </cell>
          <cell r="I802" t="str">
            <v>EA</v>
          </cell>
          <cell r="J802">
            <v>5</v>
          </cell>
          <cell r="K802">
            <v>5</v>
          </cell>
          <cell r="L802">
            <v>2440</v>
          </cell>
          <cell r="M802">
            <v>12200</v>
          </cell>
          <cell r="N802">
            <v>1220</v>
          </cell>
          <cell r="O802">
            <v>13420</v>
          </cell>
          <cell r="P802">
            <v>0</v>
          </cell>
          <cell r="Q802" t="str">
            <v>중국</v>
          </cell>
          <cell r="R802" t="str">
            <v>실온</v>
          </cell>
          <cell r="S802" t="str">
            <v>EA(1)</v>
          </cell>
          <cell r="T802" t="str">
            <v/>
          </cell>
          <cell r="U802" t="str">
            <v/>
          </cell>
          <cell r="V802" t="str">
            <v>2019-01-24</v>
          </cell>
          <cell r="W802" t="str">
            <v>2019-01-24 16:21:49</v>
          </cell>
          <cell r="X802" t="str">
            <v>더바른푸드</v>
          </cell>
        </row>
        <row r="803">
          <cell r="A803">
            <v>799</v>
          </cell>
          <cell r="B803" t="str">
            <v>2019-01-28</v>
          </cell>
          <cell r="C803" t="str">
            <v>더바른푸드</v>
          </cell>
          <cell r="D803" t="str">
            <v>더바른푸드</v>
          </cell>
          <cell r="E803" t="str">
            <v>일반</v>
          </cell>
          <cell r="F803" t="str">
            <v>입고완료</v>
          </cell>
          <cell r="G803">
            <v>109654</v>
          </cell>
          <cell r="H803" t="str">
            <v>백설 부침가루(2Kg/EA)</v>
          </cell>
          <cell r="I803" t="str">
            <v>EA</v>
          </cell>
          <cell r="J803">
            <v>10</v>
          </cell>
          <cell r="K803">
            <v>10</v>
          </cell>
          <cell r="L803">
            <v>2760</v>
          </cell>
          <cell r="M803">
            <v>27600</v>
          </cell>
          <cell r="N803">
            <v>2760</v>
          </cell>
          <cell r="O803">
            <v>30360</v>
          </cell>
          <cell r="P803">
            <v>0</v>
          </cell>
          <cell r="Q803" t="str">
            <v/>
          </cell>
          <cell r="R803" t="str">
            <v>실온</v>
          </cell>
          <cell r="S803" t="str">
            <v>EA(6)</v>
          </cell>
          <cell r="T803" t="str">
            <v/>
          </cell>
          <cell r="U803" t="str">
            <v/>
          </cell>
          <cell r="V803" t="str">
            <v>2019-01-25</v>
          </cell>
          <cell r="W803" t="str">
            <v>2019-01-25 14:07:33</v>
          </cell>
          <cell r="X803" t="str">
            <v>더바른푸드</v>
          </cell>
        </row>
        <row r="804">
          <cell r="A804">
            <v>800</v>
          </cell>
          <cell r="B804" t="str">
            <v>2019-01-28</v>
          </cell>
          <cell r="C804" t="str">
            <v>더바른푸드</v>
          </cell>
          <cell r="D804" t="str">
            <v>더바른푸드</v>
          </cell>
          <cell r="E804" t="str">
            <v>일반</v>
          </cell>
          <cell r="F804" t="str">
            <v>입고완료</v>
          </cell>
          <cell r="G804">
            <v>135871</v>
          </cell>
          <cell r="H804" t="str">
            <v>이츠웰 대두유(18L 16.506Kg/EA)</v>
          </cell>
          <cell r="I804" t="str">
            <v>EA</v>
          </cell>
          <cell r="J804">
            <v>5</v>
          </cell>
          <cell r="K804">
            <v>5</v>
          </cell>
          <cell r="L804">
            <v>28710</v>
          </cell>
          <cell r="M804">
            <v>143550</v>
          </cell>
          <cell r="N804">
            <v>14355</v>
          </cell>
          <cell r="O804">
            <v>157905</v>
          </cell>
          <cell r="P804">
            <v>0</v>
          </cell>
          <cell r="Q804" t="str">
            <v/>
          </cell>
          <cell r="R804" t="str">
            <v>실온</v>
          </cell>
          <cell r="S804" t="str">
            <v>EA(1)</v>
          </cell>
          <cell r="T804" t="str">
            <v/>
          </cell>
          <cell r="U804" t="str">
            <v/>
          </cell>
          <cell r="V804" t="str">
            <v>2019-01-25</v>
          </cell>
          <cell r="W804" t="str">
            <v>2019-01-25 14:38:13</v>
          </cell>
          <cell r="X804" t="str">
            <v>더바른푸드</v>
          </cell>
        </row>
        <row r="805">
          <cell r="A805">
            <v>801</v>
          </cell>
          <cell r="B805" t="str">
            <v>2019-01-28</v>
          </cell>
          <cell r="C805" t="str">
            <v>더바른푸드</v>
          </cell>
          <cell r="D805" t="str">
            <v>더바른푸드</v>
          </cell>
          <cell r="E805" t="str">
            <v>일반</v>
          </cell>
          <cell r="F805" t="str">
            <v>입고완료</v>
          </cell>
          <cell r="G805">
            <v>140438</v>
          </cell>
          <cell r="H805" t="str">
            <v>이츠웰 이온물엿(NEW 10Kg/EA)</v>
          </cell>
          <cell r="I805" t="str">
            <v>EA</v>
          </cell>
          <cell r="J805">
            <v>5</v>
          </cell>
          <cell r="K805">
            <v>5</v>
          </cell>
          <cell r="L805">
            <v>8890</v>
          </cell>
          <cell r="M805">
            <v>44450</v>
          </cell>
          <cell r="N805">
            <v>4445</v>
          </cell>
          <cell r="O805">
            <v>48895</v>
          </cell>
          <cell r="P805">
            <v>0</v>
          </cell>
          <cell r="Q805" t="str">
            <v/>
          </cell>
          <cell r="R805" t="str">
            <v>실온</v>
          </cell>
          <cell r="S805" t="str">
            <v>EA(2)</v>
          </cell>
          <cell r="T805" t="str">
            <v/>
          </cell>
          <cell r="U805" t="str">
            <v/>
          </cell>
          <cell r="V805" t="str">
            <v>2019-01-25</v>
          </cell>
          <cell r="W805" t="str">
            <v>2019-01-25 14:38:13</v>
          </cell>
          <cell r="X805" t="str">
            <v>더바른푸드</v>
          </cell>
        </row>
        <row r="806">
          <cell r="A806">
            <v>802</v>
          </cell>
          <cell r="B806" t="str">
            <v>2019-01-28</v>
          </cell>
          <cell r="C806" t="str">
            <v>더바른푸드</v>
          </cell>
          <cell r="D806" t="str">
            <v>더바른푸드</v>
          </cell>
          <cell r="E806" t="str">
            <v>일반</v>
          </cell>
          <cell r="F806" t="str">
            <v>입고완료</v>
          </cell>
          <cell r="G806">
            <v>118007</v>
          </cell>
          <cell r="H806" t="str">
            <v>한성 새우젓(1Kg/EA)</v>
          </cell>
          <cell r="I806" t="str">
            <v>EA</v>
          </cell>
          <cell r="J806">
            <v>3</v>
          </cell>
          <cell r="K806">
            <v>3</v>
          </cell>
          <cell r="L806">
            <v>10250</v>
          </cell>
          <cell r="M806">
            <v>30750</v>
          </cell>
          <cell r="N806">
            <v>3075</v>
          </cell>
          <cell r="O806">
            <v>33825</v>
          </cell>
          <cell r="P806">
            <v>0</v>
          </cell>
          <cell r="Q806" t="str">
            <v>한국</v>
          </cell>
          <cell r="R806" t="str">
            <v>냉장</v>
          </cell>
          <cell r="S806" t="str">
            <v>EA(1)</v>
          </cell>
          <cell r="T806" t="str">
            <v/>
          </cell>
          <cell r="U806" t="str">
            <v/>
          </cell>
          <cell r="V806" t="str">
            <v>2019-01-25</v>
          </cell>
          <cell r="W806" t="str">
            <v>2019-01-25 14:38:13</v>
          </cell>
          <cell r="X806" t="str">
            <v>더바른푸드</v>
          </cell>
        </row>
        <row r="807">
          <cell r="A807">
            <v>803</v>
          </cell>
          <cell r="B807" t="str">
            <v>2019-01-28</v>
          </cell>
          <cell r="C807" t="str">
            <v>더바른푸드</v>
          </cell>
          <cell r="D807" t="str">
            <v>더바른푸드</v>
          </cell>
          <cell r="E807" t="str">
            <v>일반</v>
          </cell>
          <cell r="F807" t="str">
            <v>입고완료</v>
          </cell>
          <cell r="G807">
            <v>153812</v>
          </cell>
          <cell r="H807" t="str">
            <v>서원 흑후추분말(450g/EA)</v>
          </cell>
          <cell r="I807" t="str">
            <v>EA</v>
          </cell>
          <cell r="J807">
            <v>2</v>
          </cell>
          <cell r="K807">
            <v>2</v>
          </cell>
          <cell r="L807">
            <v>8550</v>
          </cell>
          <cell r="M807">
            <v>17100</v>
          </cell>
          <cell r="N807">
            <v>0</v>
          </cell>
          <cell r="O807">
            <v>17100</v>
          </cell>
          <cell r="P807">
            <v>0</v>
          </cell>
          <cell r="Q807" t="str">
            <v/>
          </cell>
          <cell r="R807" t="str">
            <v>실온</v>
          </cell>
          <cell r="S807" t="str">
            <v>EA(20)</v>
          </cell>
          <cell r="T807" t="str">
            <v/>
          </cell>
          <cell r="U807" t="str">
            <v/>
          </cell>
          <cell r="V807" t="str">
            <v>2019-01-25</v>
          </cell>
          <cell r="W807" t="str">
            <v>2019-01-25 14:38:13</v>
          </cell>
          <cell r="X807" t="str">
            <v>더바른푸드</v>
          </cell>
        </row>
        <row r="808">
          <cell r="A808">
            <v>804</v>
          </cell>
          <cell r="B808" t="str">
            <v>2019-01-28</v>
          </cell>
          <cell r="C808" t="str">
            <v>더바른푸드</v>
          </cell>
          <cell r="D808" t="str">
            <v>더바른푸드</v>
          </cell>
          <cell r="E808" t="str">
            <v>일반</v>
          </cell>
          <cell r="F808" t="str">
            <v>입고완료</v>
          </cell>
          <cell r="G808">
            <v>167482</v>
          </cell>
          <cell r="H808" t="str">
            <v>영흥 백후추분말(450g/EA)</v>
          </cell>
          <cell r="I808" t="str">
            <v>EA</v>
          </cell>
          <cell r="J808">
            <v>1</v>
          </cell>
          <cell r="K808">
            <v>1</v>
          </cell>
          <cell r="L808">
            <v>9380</v>
          </cell>
          <cell r="M808">
            <v>9380</v>
          </cell>
          <cell r="N808">
            <v>0</v>
          </cell>
          <cell r="O808">
            <v>9380</v>
          </cell>
          <cell r="P808">
            <v>0</v>
          </cell>
          <cell r="Q808" t="str">
            <v/>
          </cell>
          <cell r="R808" t="str">
            <v>실온</v>
          </cell>
          <cell r="S808" t="str">
            <v>EA(12)</v>
          </cell>
          <cell r="T808" t="str">
            <v/>
          </cell>
          <cell r="U808" t="str">
            <v/>
          </cell>
          <cell r="V808" t="str">
            <v>2019-01-25</v>
          </cell>
          <cell r="W808" t="str">
            <v>2019-01-25 14:38:13</v>
          </cell>
          <cell r="X808" t="str">
            <v>더바른푸드</v>
          </cell>
        </row>
        <row r="809">
          <cell r="A809">
            <v>805</v>
          </cell>
          <cell r="B809" t="str">
            <v>2019-01-28</v>
          </cell>
          <cell r="C809" t="str">
            <v>더바른푸드</v>
          </cell>
          <cell r="D809" t="str">
            <v>더바른푸드</v>
          </cell>
          <cell r="E809" t="str">
            <v>일반</v>
          </cell>
          <cell r="F809" t="str">
            <v>입고완료</v>
          </cell>
          <cell r="G809">
            <v>106019</v>
          </cell>
          <cell r="H809" t="str">
            <v>샘표 진간장(15L_덕용 15Kg/EA)</v>
          </cell>
          <cell r="I809" t="str">
            <v>EA</v>
          </cell>
          <cell r="J809">
            <v>2</v>
          </cell>
          <cell r="K809">
            <v>2</v>
          </cell>
          <cell r="L809">
            <v>20300</v>
          </cell>
          <cell r="M809">
            <v>40600</v>
          </cell>
          <cell r="N809">
            <v>4060</v>
          </cell>
          <cell r="O809">
            <v>44660</v>
          </cell>
          <cell r="P809">
            <v>0</v>
          </cell>
          <cell r="Q809" t="str">
            <v/>
          </cell>
          <cell r="R809" t="str">
            <v>실온</v>
          </cell>
          <cell r="S809" t="str">
            <v>EA(1)</v>
          </cell>
          <cell r="T809" t="str">
            <v/>
          </cell>
          <cell r="U809" t="str">
            <v/>
          </cell>
          <cell r="V809" t="str">
            <v>2019-01-25</v>
          </cell>
          <cell r="W809" t="str">
            <v>2019-01-25 14:38:13</v>
          </cell>
          <cell r="X809" t="str">
            <v>더바른푸드</v>
          </cell>
        </row>
        <row r="810">
          <cell r="A810">
            <v>806</v>
          </cell>
          <cell r="B810" t="str">
            <v>2019-01-28</v>
          </cell>
          <cell r="C810" t="str">
            <v>더바른푸드</v>
          </cell>
          <cell r="D810" t="str">
            <v>더바른푸드</v>
          </cell>
          <cell r="E810" t="str">
            <v>일반</v>
          </cell>
          <cell r="F810" t="str">
            <v>입고완료</v>
          </cell>
          <cell r="G810">
            <v>500246</v>
          </cell>
          <cell r="H810" t="str">
            <v>유니 랩(20cm*50m 가정용 EA)</v>
          </cell>
          <cell r="I810" t="str">
            <v>EA</v>
          </cell>
          <cell r="J810">
            <v>10</v>
          </cell>
          <cell r="K810">
            <v>10</v>
          </cell>
          <cell r="L810">
            <v>1570</v>
          </cell>
          <cell r="M810">
            <v>15700</v>
          </cell>
          <cell r="N810">
            <v>1570</v>
          </cell>
          <cell r="O810">
            <v>17270</v>
          </cell>
          <cell r="P810">
            <v>0</v>
          </cell>
          <cell r="Q810" t="str">
            <v/>
          </cell>
          <cell r="R810" t="str">
            <v>실온</v>
          </cell>
          <cell r="S810" t="str">
            <v>EA(50)</v>
          </cell>
          <cell r="T810" t="str">
            <v/>
          </cell>
          <cell r="U810" t="str">
            <v/>
          </cell>
          <cell r="V810" t="str">
            <v>2019-01-25</v>
          </cell>
          <cell r="W810" t="str">
            <v>2019-01-25 14:48:08</v>
          </cell>
          <cell r="X810" t="str">
            <v>더바른푸드</v>
          </cell>
        </row>
        <row r="811">
          <cell r="A811">
            <v>807</v>
          </cell>
          <cell r="B811" t="str">
            <v>2019-01-26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2">
          <cell r="A812">
            <v>808</v>
          </cell>
          <cell r="B812" t="str">
            <v>2019-01-26</v>
          </cell>
          <cell r="C812" t="str">
            <v>더바른푸드</v>
          </cell>
          <cell r="D812" t="str">
            <v>더바른푸드</v>
          </cell>
          <cell r="E812" t="str">
            <v>일반</v>
          </cell>
          <cell r="F812" t="str">
            <v>입고완료</v>
          </cell>
          <cell r="G812">
            <v>410396</v>
          </cell>
          <cell r="H812" t="str">
            <v>체리부로 닭가슴살(무항생_깍둑썰기_껍질제거 KG)</v>
          </cell>
          <cell r="I812" t="str">
            <v>KG</v>
          </cell>
          <cell r="J812">
            <v>15</v>
          </cell>
          <cell r="K812">
            <v>15</v>
          </cell>
          <cell r="L812">
            <v>7820</v>
          </cell>
          <cell r="M812">
            <v>117300</v>
          </cell>
          <cell r="N812">
            <v>0</v>
          </cell>
          <cell r="O812">
            <v>117300</v>
          </cell>
          <cell r="P812">
            <v>117300</v>
          </cell>
          <cell r="Q812" t="str">
            <v>한국</v>
          </cell>
          <cell r="R812" t="str">
            <v>냉장</v>
          </cell>
          <cell r="S812" t="str">
            <v>KG(1)</v>
          </cell>
          <cell r="T812" t="str">
            <v/>
          </cell>
          <cell r="U812" t="str">
            <v/>
          </cell>
          <cell r="V812" t="str">
            <v>2019-01-23</v>
          </cell>
          <cell r="W812" t="str">
            <v>2019-01-23 16:29:41</v>
          </cell>
          <cell r="X812" t="str">
            <v>더바른푸드</v>
          </cell>
        </row>
        <row r="813">
          <cell r="A813">
            <v>809</v>
          </cell>
          <cell r="B813" t="str">
            <v>2019-01-26</v>
          </cell>
          <cell r="C813" t="str">
            <v>더바른푸드</v>
          </cell>
          <cell r="D813" t="str">
            <v>더바른푸드</v>
          </cell>
          <cell r="E813" t="str">
            <v>일반</v>
          </cell>
          <cell r="F813" t="str">
            <v>입고완료</v>
          </cell>
          <cell r="G813">
            <v>406598</v>
          </cell>
          <cell r="H813" t="str">
            <v>체리부로 닭안심(1등급 30±5g/조각_껍질없음 KG)</v>
          </cell>
          <cell r="I813" t="str">
            <v>KG</v>
          </cell>
          <cell r="J813">
            <v>16</v>
          </cell>
          <cell r="K813">
            <v>16</v>
          </cell>
          <cell r="L813">
            <v>6490</v>
          </cell>
          <cell r="M813">
            <v>103840</v>
          </cell>
          <cell r="N813">
            <v>0</v>
          </cell>
          <cell r="O813">
            <v>103840</v>
          </cell>
          <cell r="P813">
            <v>0</v>
          </cell>
          <cell r="Q813" t="str">
            <v>한국</v>
          </cell>
          <cell r="R813" t="str">
            <v>냉장</v>
          </cell>
          <cell r="S813" t="str">
            <v>KG(1)</v>
          </cell>
          <cell r="T813" t="str">
            <v/>
          </cell>
          <cell r="U813" t="str">
            <v/>
          </cell>
          <cell r="V813" t="str">
            <v>2019-01-23</v>
          </cell>
          <cell r="W813" t="str">
            <v>2019-01-23 16:29:41</v>
          </cell>
          <cell r="X813" t="str">
            <v>더바른푸드</v>
          </cell>
        </row>
        <row r="814">
          <cell r="A814">
            <v>810</v>
          </cell>
          <cell r="B814" t="str">
            <v>2019-01-26</v>
          </cell>
          <cell r="C814" t="str">
            <v>더바른푸드</v>
          </cell>
          <cell r="D814" t="str">
            <v>더바른푸드</v>
          </cell>
          <cell r="E814" t="str">
            <v>일반</v>
          </cell>
          <cell r="F814" t="str">
            <v>입고완료</v>
          </cell>
          <cell r="G814">
            <v>223307</v>
          </cell>
          <cell r="H814" t="str">
            <v>냉동얼갈이(IQF 1Kg/EA)</v>
          </cell>
          <cell r="I814" t="str">
            <v>EA</v>
          </cell>
          <cell r="J814">
            <v>100</v>
          </cell>
          <cell r="K814">
            <v>100</v>
          </cell>
          <cell r="L814">
            <v>1630</v>
          </cell>
          <cell r="M814">
            <v>163000</v>
          </cell>
          <cell r="N814">
            <v>16300</v>
          </cell>
          <cell r="O814">
            <v>179300</v>
          </cell>
          <cell r="P814">
            <v>0</v>
          </cell>
          <cell r="Q814" t="str">
            <v>중국</v>
          </cell>
          <cell r="R814" t="str">
            <v>냉동</v>
          </cell>
          <cell r="S814" t="str">
            <v>EA(1)</v>
          </cell>
          <cell r="T814" t="str">
            <v/>
          </cell>
          <cell r="U814" t="str">
            <v/>
          </cell>
          <cell r="V814" t="str">
            <v>2019-01-24</v>
          </cell>
          <cell r="W814" t="str">
            <v>2019-01-24 14:50:31</v>
          </cell>
          <cell r="X814" t="str">
            <v>더바른푸드</v>
          </cell>
        </row>
        <row r="815">
          <cell r="A815">
            <v>811</v>
          </cell>
          <cell r="B815" t="str">
            <v>2019-01-26</v>
          </cell>
          <cell r="C815" t="str">
            <v>더바른푸드</v>
          </cell>
          <cell r="D815" t="str">
            <v>더바른푸드</v>
          </cell>
          <cell r="E815" t="str">
            <v>일반</v>
          </cell>
          <cell r="F815" t="str">
            <v>입고완료</v>
          </cell>
          <cell r="G815">
            <v>210182</v>
          </cell>
          <cell r="H815" t="str">
            <v>냉동홍피망(다이스 1Kg/EA)</v>
          </cell>
          <cell r="I815" t="str">
            <v>EA</v>
          </cell>
          <cell r="J815">
            <v>20</v>
          </cell>
          <cell r="K815">
            <v>20</v>
          </cell>
          <cell r="L815">
            <v>2300</v>
          </cell>
          <cell r="M815">
            <v>46000</v>
          </cell>
          <cell r="N815">
            <v>0</v>
          </cell>
          <cell r="O815">
            <v>46000</v>
          </cell>
          <cell r="P815">
            <v>0</v>
          </cell>
          <cell r="Q815" t="str">
            <v>중국</v>
          </cell>
          <cell r="R815" t="str">
            <v>냉동</v>
          </cell>
          <cell r="S815" t="str">
            <v>EA(1)</v>
          </cell>
          <cell r="T815" t="str">
            <v/>
          </cell>
          <cell r="U815" t="str">
            <v/>
          </cell>
          <cell r="V815" t="str">
            <v>2019-01-24</v>
          </cell>
          <cell r="W815" t="str">
            <v>2019-01-24 14:52:52</v>
          </cell>
          <cell r="X815" t="str">
            <v>더바른푸드</v>
          </cell>
        </row>
        <row r="816">
          <cell r="A816">
            <v>812</v>
          </cell>
          <cell r="B816" t="str">
            <v>2019-01-26</v>
          </cell>
          <cell r="C816" t="str">
            <v>더바른푸드</v>
          </cell>
          <cell r="D816" t="str">
            <v>더바른푸드</v>
          </cell>
          <cell r="E816" t="str">
            <v>일반</v>
          </cell>
          <cell r="F816" t="str">
            <v>입고완료</v>
          </cell>
          <cell r="G816">
            <v>197120</v>
          </cell>
          <cell r="H816" t="str">
            <v>종가집 포기김치(숙성 10Kg/BOX)</v>
          </cell>
          <cell r="I816" t="str">
            <v>BOX</v>
          </cell>
          <cell r="J816">
            <v>2</v>
          </cell>
          <cell r="K816">
            <v>2</v>
          </cell>
          <cell r="L816">
            <v>31390</v>
          </cell>
          <cell r="M816">
            <v>62780</v>
          </cell>
          <cell r="N816">
            <v>0</v>
          </cell>
          <cell r="O816">
            <v>62780</v>
          </cell>
          <cell r="P816">
            <v>0</v>
          </cell>
          <cell r="Q816" t="str">
            <v>한국</v>
          </cell>
          <cell r="R816" t="str">
            <v>냉장</v>
          </cell>
          <cell r="S816" t="str">
            <v>BOX(1)</v>
          </cell>
          <cell r="T816" t="str">
            <v/>
          </cell>
          <cell r="U816" t="str">
            <v/>
          </cell>
          <cell r="V816" t="str">
            <v>2019-01-25</v>
          </cell>
          <cell r="W816" t="str">
            <v>2019-01-25 11:23:59</v>
          </cell>
          <cell r="X816" t="str">
            <v>더바른푸드</v>
          </cell>
        </row>
        <row r="817">
          <cell r="A817">
            <v>813</v>
          </cell>
          <cell r="B817" t="str">
            <v>2019-01-26</v>
          </cell>
          <cell r="C817" t="str">
            <v>더바른푸드</v>
          </cell>
          <cell r="D817" t="str">
            <v>더바른푸드</v>
          </cell>
          <cell r="E817" t="str">
            <v>일반</v>
          </cell>
          <cell r="F817" t="str">
            <v>입고완료</v>
          </cell>
          <cell r="G817">
            <v>236048</v>
          </cell>
          <cell r="H817" t="str">
            <v>종가집 묵은지(10Kg/BOX)</v>
          </cell>
          <cell r="I817" t="str">
            <v>BOX</v>
          </cell>
          <cell r="J817">
            <v>1</v>
          </cell>
          <cell r="K817">
            <v>1</v>
          </cell>
          <cell r="L817">
            <v>32520</v>
          </cell>
          <cell r="M817">
            <v>32520</v>
          </cell>
          <cell r="N817">
            <v>0</v>
          </cell>
          <cell r="O817">
            <v>32520</v>
          </cell>
          <cell r="P817">
            <v>0</v>
          </cell>
          <cell r="Q817" t="str">
            <v>한국</v>
          </cell>
          <cell r="R817" t="str">
            <v>냉장</v>
          </cell>
          <cell r="S817" t="str">
            <v>BOX(1)</v>
          </cell>
          <cell r="T817" t="str">
            <v/>
          </cell>
          <cell r="U817" t="str">
            <v/>
          </cell>
          <cell r="V817" t="str">
            <v>2019-01-25</v>
          </cell>
          <cell r="W817" t="str">
            <v>2019-01-25 11:24:46</v>
          </cell>
          <cell r="X817" t="str">
            <v>더바른푸드</v>
          </cell>
        </row>
        <row r="818">
          <cell r="A818">
            <v>814</v>
          </cell>
          <cell r="B818" t="str">
            <v>2019-01-25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A819">
            <v>815</v>
          </cell>
          <cell r="B819" t="str">
            <v>2019-01-25</v>
          </cell>
          <cell r="C819" t="str">
            <v>더바른푸드</v>
          </cell>
          <cell r="D819" t="str">
            <v>더바른푸드</v>
          </cell>
          <cell r="E819" t="str">
            <v>일반</v>
          </cell>
          <cell r="F819" t="str">
            <v>입고완료</v>
          </cell>
          <cell r="G819">
            <v>136633</v>
          </cell>
          <cell r="H819" t="str">
            <v>이오 요구르트(80ml_유기농 80g/EA)</v>
          </cell>
          <cell r="I819" t="str">
            <v>EA</v>
          </cell>
          <cell r="J819">
            <v>45</v>
          </cell>
          <cell r="K819">
            <v>45</v>
          </cell>
          <cell r="L819">
            <v>300</v>
          </cell>
          <cell r="M819">
            <v>13500</v>
          </cell>
          <cell r="N819">
            <v>1350</v>
          </cell>
          <cell r="O819">
            <v>14850</v>
          </cell>
          <cell r="P819">
            <v>0</v>
          </cell>
          <cell r="Q819" t="str">
            <v>한국</v>
          </cell>
          <cell r="R819" t="str">
            <v>냉장</v>
          </cell>
          <cell r="S819" t="str">
            <v>EA(50)</v>
          </cell>
          <cell r="T819" t="str">
            <v/>
          </cell>
          <cell r="U819" t="str">
            <v/>
          </cell>
          <cell r="V819" t="str">
            <v>2019-01-17</v>
          </cell>
          <cell r="W819" t="str">
            <v>2019-01-17 18:35:45</v>
          </cell>
          <cell r="X819" t="str">
            <v>더바른푸드</v>
          </cell>
        </row>
        <row r="820">
          <cell r="A820">
            <v>816</v>
          </cell>
          <cell r="B820" t="str">
            <v>2019-01-25</v>
          </cell>
          <cell r="C820" t="str">
            <v>더바른푸드</v>
          </cell>
          <cell r="D820" t="str">
            <v>더바른푸드</v>
          </cell>
          <cell r="E820" t="str">
            <v>일반</v>
          </cell>
          <cell r="F820" t="str">
            <v>입고완료</v>
          </cell>
          <cell r="G820">
            <v>146368</v>
          </cell>
          <cell r="H820" t="str">
            <v>뚜레쥬르 머핀(달콤한초코칩 55g/EA)</v>
          </cell>
          <cell r="I820" t="str">
            <v>EA</v>
          </cell>
          <cell r="J820">
            <v>220</v>
          </cell>
          <cell r="K820">
            <v>220</v>
          </cell>
          <cell r="L820">
            <v>480</v>
          </cell>
          <cell r="M820">
            <v>105600</v>
          </cell>
          <cell r="N820">
            <v>10560</v>
          </cell>
          <cell r="O820">
            <v>116160</v>
          </cell>
          <cell r="P820">
            <v>0</v>
          </cell>
          <cell r="Q820" t="str">
            <v/>
          </cell>
          <cell r="R820" t="str">
            <v>실온</v>
          </cell>
          <cell r="S820" t="str">
            <v>EA(1)</v>
          </cell>
          <cell r="T820" t="str">
            <v/>
          </cell>
          <cell r="U820" t="str">
            <v/>
          </cell>
          <cell r="V820" t="str">
            <v>2019-01-17</v>
          </cell>
          <cell r="W820" t="str">
            <v>2019-01-17 18:40:19</v>
          </cell>
          <cell r="X820" t="str">
            <v>더바른푸드</v>
          </cell>
        </row>
        <row r="821">
          <cell r="A821">
            <v>817</v>
          </cell>
          <cell r="B821" t="str">
            <v>2019-01-25</v>
          </cell>
          <cell r="C821" t="str">
            <v>더바른푸드</v>
          </cell>
          <cell r="D821" t="str">
            <v>더바른푸드</v>
          </cell>
          <cell r="E821" t="str">
            <v>일반</v>
          </cell>
          <cell r="F821" t="str">
            <v>입고완료</v>
          </cell>
          <cell r="G821">
            <v>173374</v>
          </cell>
          <cell r="H821" t="str">
            <v>쉐프솔루션 진짜통등심돈까스(130g*20입 2.6Kg/EA)</v>
          </cell>
          <cell r="I821" t="str">
            <v>EA</v>
          </cell>
          <cell r="J821">
            <v>41</v>
          </cell>
          <cell r="K821">
            <v>41</v>
          </cell>
          <cell r="L821">
            <v>20600</v>
          </cell>
          <cell r="M821">
            <v>844600</v>
          </cell>
          <cell r="N821">
            <v>84460</v>
          </cell>
          <cell r="O821">
            <v>929060</v>
          </cell>
          <cell r="P821">
            <v>0</v>
          </cell>
          <cell r="Q821" t="str">
            <v>한국</v>
          </cell>
          <cell r="R821" t="str">
            <v>냉동</v>
          </cell>
          <cell r="S821" t="str">
            <v>EA(4)</v>
          </cell>
          <cell r="T821" t="str">
            <v/>
          </cell>
          <cell r="U821" t="str">
            <v/>
          </cell>
          <cell r="V821" t="str">
            <v>2019-01-22</v>
          </cell>
          <cell r="W821" t="str">
            <v>2019-01-22 15:27:25</v>
          </cell>
          <cell r="X821" t="str">
            <v>더바른푸드</v>
          </cell>
        </row>
        <row r="822">
          <cell r="A822">
            <v>818</v>
          </cell>
          <cell r="B822" t="str">
            <v>2019-01-25</v>
          </cell>
          <cell r="C822" t="str">
            <v>더바른푸드</v>
          </cell>
          <cell r="D822" t="str">
            <v>더바른푸드</v>
          </cell>
          <cell r="E822" t="str">
            <v>일반</v>
          </cell>
          <cell r="F822" t="str">
            <v>입고완료</v>
          </cell>
          <cell r="G822">
            <v>107255</v>
          </cell>
          <cell r="H822" t="str">
            <v>오뚜기 돈까스소스(PET 2.1Kg/EA)</v>
          </cell>
          <cell r="I822" t="str">
            <v>EA</v>
          </cell>
          <cell r="J822">
            <v>14</v>
          </cell>
          <cell r="K822">
            <v>14</v>
          </cell>
          <cell r="L822">
            <v>4360</v>
          </cell>
          <cell r="M822">
            <v>61040</v>
          </cell>
          <cell r="N822">
            <v>6104</v>
          </cell>
          <cell r="O822">
            <v>67144</v>
          </cell>
          <cell r="P822">
            <v>0</v>
          </cell>
          <cell r="Q822" t="str">
            <v/>
          </cell>
          <cell r="R822" t="str">
            <v>실온</v>
          </cell>
          <cell r="S822" t="str">
            <v>EA(6)</v>
          </cell>
          <cell r="T822" t="str">
            <v/>
          </cell>
          <cell r="U822" t="str">
            <v/>
          </cell>
          <cell r="V822" t="str">
            <v>2019-01-22</v>
          </cell>
          <cell r="W822" t="str">
            <v>2019-01-22 15:30:12</v>
          </cell>
          <cell r="X822" t="str">
            <v>더바른푸드</v>
          </cell>
        </row>
        <row r="823">
          <cell r="A823">
            <v>819</v>
          </cell>
          <cell r="B823" t="str">
            <v>2019-01-25</v>
          </cell>
          <cell r="C823" t="str">
            <v>더바른푸드</v>
          </cell>
          <cell r="D823" t="str">
            <v>더바른푸드</v>
          </cell>
          <cell r="E823" t="str">
            <v>일반</v>
          </cell>
          <cell r="F823" t="str">
            <v>입고완료</v>
          </cell>
          <cell r="G823">
            <v>119763</v>
          </cell>
          <cell r="H823" t="str">
            <v>이츠웰 종합어묵(알뜰 1Kg/EA)</v>
          </cell>
          <cell r="I823" t="str">
            <v>EA</v>
          </cell>
          <cell r="J823">
            <v>3</v>
          </cell>
          <cell r="K823">
            <v>3</v>
          </cell>
          <cell r="L823">
            <v>2980</v>
          </cell>
          <cell r="M823">
            <v>8940</v>
          </cell>
          <cell r="N823">
            <v>894</v>
          </cell>
          <cell r="O823">
            <v>9834</v>
          </cell>
          <cell r="P823">
            <v>0</v>
          </cell>
          <cell r="Q823" t="str">
            <v/>
          </cell>
          <cell r="R823" t="str">
            <v>냉장</v>
          </cell>
          <cell r="S823" t="str">
            <v>EA(10)</v>
          </cell>
          <cell r="T823" t="str">
            <v/>
          </cell>
          <cell r="U823" t="str">
            <v/>
          </cell>
          <cell r="V823" t="str">
            <v>2019-01-24</v>
          </cell>
          <cell r="W823" t="str">
            <v>2019-01-24 11:41:45</v>
          </cell>
          <cell r="X823" t="str">
            <v>더바른푸드</v>
          </cell>
        </row>
        <row r="824">
          <cell r="A824">
            <v>820</v>
          </cell>
          <cell r="B824" t="str">
            <v>2019-01-25</v>
          </cell>
          <cell r="C824" t="str">
            <v>더바른푸드</v>
          </cell>
          <cell r="D824" t="str">
            <v>더바른푸드</v>
          </cell>
          <cell r="E824" t="str">
            <v>일반</v>
          </cell>
          <cell r="F824" t="str">
            <v>입고완료</v>
          </cell>
          <cell r="G824">
            <v>190303</v>
          </cell>
          <cell r="H824" t="str">
            <v>백설 다시다요리수(치킨스톡 1Kg/EA)</v>
          </cell>
          <cell r="I824" t="str">
            <v>EA</v>
          </cell>
          <cell r="J824">
            <v>3</v>
          </cell>
          <cell r="K824">
            <v>3</v>
          </cell>
          <cell r="L824">
            <v>7060</v>
          </cell>
          <cell r="M824">
            <v>21180</v>
          </cell>
          <cell r="N824">
            <v>2118</v>
          </cell>
          <cell r="O824">
            <v>23298</v>
          </cell>
          <cell r="P824">
            <v>0</v>
          </cell>
          <cell r="Q824" t="str">
            <v/>
          </cell>
          <cell r="R824" t="str">
            <v>실온</v>
          </cell>
          <cell r="S824" t="str">
            <v>EA(9)</v>
          </cell>
          <cell r="T824" t="str">
            <v/>
          </cell>
          <cell r="U824" t="str">
            <v/>
          </cell>
          <cell r="V824" t="str">
            <v>2019-01-24</v>
          </cell>
          <cell r="W824" t="str">
            <v>2019-01-24 11:43:38</v>
          </cell>
          <cell r="X824" t="str">
            <v>더바른푸드</v>
          </cell>
        </row>
        <row r="825">
          <cell r="A825">
            <v>821</v>
          </cell>
          <cell r="B825" t="str">
            <v>2019-01-25</v>
          </cell>
          <cell r="C825" t="str">
            <v>더바른푸드</v>
          </cell>
          <cell r="D825" t="str">
            <v>더바른푸드</v>
          </cell>
          <cell r="E825" t="str">
            <v>일반</v>
          </cell>
          <cell r="F825" t="str">
            <v>입고완료</v>
          </cell>
          <cell r="G825">
            <v>225867</v>
          </cell>
          <cell r="H825" t="str">
            <v>이츠웰 절단낙지(M 500g/EA)</v>
          </cell>
          <cell r="I825" t="str">
            <v>EA</v>
          </cell>
          <cell r="J825">
            <v>10</v>
          </cell>
          <cell r="K825">
            <v>10</v>
          </cell>
          <cell r="L825">
            <v>5520</v>
          </cell>
          <cell r="M825">
            <v>55200</v>
          </cell>
          <cell r="N825">
            <v>0</v>
          </cell>
          <cell r="O825">
            <v>55200</v>
          </cell>
          <cell r="P825">
            <v>0</v>
          </cell>
          <cell r="Q825" t="str">
            <v>베트남</v>
          </cell>
          <cell r="R825" t="str">
            <v>냉동</v>
          </cell>
          <cell r="S825" t="str">
            <v>EA(6)</v>
          </cell>
          <cell r="T825" t="str">
            <v/>
          </cell>
          <cell r="U825" t="str">
            <v/>
          </cell>
          <cell r="V825" t="str">
            <v>2019-01-24</v>
          </cell>
          <cell r="W825" t="str">
            <v>2019-01-24 11:50:01</v>
          </cell>
          <cell r="X825" t="str">
            <v>더바른푸드</v>
          </cell>
        </row>
        <row r="826">
          <cell r="A826">
            <v>822</v>
          </cell>
          <cell r="B826" t="str">
            <v>2019-01-25</v>
          </cell>
          <cell r="C826" t="str">
            <v>더바른푸드</v>
          </cell>
          <cell r="D826" t="str">
            <v>더바른푸드</v>
          </cell>
          <cell r="E826" t="str">
            <v>일반</v>
          </cell>
          <cell r="F826" t="str">
            <v>입고완료</v>
          </cell>
          <cell r="G826">
            <v>236048</v>
          </cell>
          <cell r="H826" t="str">
            <v>종가집 묵은지(10Kg/BOX)</v>
          </cell>
          <cell r="I826" t="str">
            <v>BOX</v>
          </cell>
          <cell r="J826">
            <v>2</v>
          </cell>
          <cell r="K826">
            <v>2</v>
          </cell>
          <cell r="L826">
            <v>32520</v>
          </cell>
          <cell r="M826">
            <v>65040</v>
          </cell>
          <cell r="N826">
            <v>0</v>
          </cell>
          <cell r="O826">
            <v>65040</v>
          </cell>
          <cell r="P826">
            <v>0</v>
          </cell>
          <cell r="Q826" t="str">
            <v>한국</v>
          </cell>
          <cell r="R826" t="str">
            <v>냉장</v>
          </cell>
          <cell r="S826" t="str">
            <v>BOX(1)</v>
          </cell>
          <cell r="T826" t="str">
            <v/>
          </cell>
          <cell r="U826" t="str">
            <v/>
          </cell>
          <cell r="V826" t="str">
            <v>2019-01-24</v>
          </cell>
          <cell r="W826" t="str">
            <v>2019-01-24 12:02:49</v>
          </cell>
          <cell r="X826" t="str">
            <v>더바른푸드</v>
          </cell>
        </row>
        <row r="827">
          <cell r="A827">
            <v>823</v>
          </cell>
          <cell r="B827" t="str">
            <v>2019-01-25</v>
          </cell>
          <cell r="C827" t="str">
            <v>더바른푸드</v>
          </cell>
          <cell r="D827" t="str">
            <v>더바른푸드</v>
          </cell>
          <cell r="E827" t="str">
            <v>일반</v>
          </cell>
          <cell r="F827" t="str">
            <v>입고완료</v>
          </cell>
          <cell r="G827">
            <v>127692</v>
          </cell>
          <cell r="H827" t="str">
            <v>스팸 햄캔(1.81Kg/EA)</v>
          </cell>
          <cell r="I827" t="str">
            <v>EA</v>
          </cell>
          <cell r="J827">
            <v>7</v>
          </cell>
          <cell r="K827">
            <v>7</v>
          </cell>
          <cell r="L827">
            <v>17850</v>
          </cell>
          <cell r="M827">
            <v>124950</v>
          </cell>
          <cell r="N827">
            <v>12495</v>
          </cell>
          <cell r="O827">
            <v>137445</v>
          </cell>
          <cell r="P827">
            <v>0</v>
          </cell>
          <cell r="Q827" t="str">
            <v/>
          </cell>
          <cell r="R827" t="str">
            <v>실온</v>
          </cell>
          <cell r="S827" t="str">
            <v>EA(6)</v>
          </cell>
          <cell r="T827" t="str">
            <v/>
          </cell>
          <cell r="U827" t="str">
            <v/>
          </cell>
          <cell r="V827" t="str">
            <v>2019-01-24</v>
          </cell>
          <cell r="W827" t="str">
            <v>2019-01-24 12:13:59</v>
          </cell>
          <cell r="X827" t="str">
            <v>더바른푸드</v>
          </cell>
        </row>
        <row r="828">
          <cell r="A828">
            <v>824</v>
          </cell>
          <cell r="B828" t="str">
            <v>2019-01-25</v>
          </cell>
          <cell r="C828" t="str">
            <v>더바른푸드</v>
          </cell>
          <cell r="D828" t="str">
            <v>더바른푸드</v>
          </cell>
          <cell r="E828" t="str">
            <v>일반</v>
          </cell>
          <cell r="F828" t="str">
            <v>입고완료</v>
          </cell>
          <cell r="G828">
            <v>251973</v>
          </cell>
          <cell r="H828" t="str">
            <v>냉동혼합채소2종(감자+당근 짜장용 1Kg/EA)</v>
          </cell>
          <cell r="I828" t="str">
            <v>EA</v>
          </cell>
          <cell r="J828">
            <v>10</v>
          </cell>
          <cell r="K828">
            <v>10</v>
          </cell>
          <cell r="L828">
            <v>2190</v>
          </cell>
          <cell r="M828">
            <v>21900</v>
          </cell>
          <cell r="N828">
            <v>2190</v>
          </cell>
          <cell r="O828">
            <v>24090</v>
          </cell>
          <cell r="P828">
            <v>0</v>
          </cell>
          <cell r="Q828" t="str">
            <v>스페인</v>
          </cell>
          <cell r="R828" t="str">
            <v>냉동</v>
          </cell>
          <cell r="S828" t="str">
            <v>EA(1)</v>
          </cell>
          <cell r="T828" t="str">
            <v/>
          </cell>
          <cell r="U828" t="str">
            <v/>
          </cell>
          <cell r="V828" t="str">
            <v>2019-01-24</v>
          </cell>
          <cell r="W828" t="str">
            <v>2019-01-24 12:16:31</v>
          </cell>
          <cell r="X828" t="str">
            <v>더바른푸드</v>
          </cell>
        </row>
        <row r="829">
          <cell r="A829">
            <v>825</v>
          </cell>
          <cell r="B829" t="str">
            <v>2019-01-25</v>
          </cell>
          <cell r="C829" t="str">
            <v>더바른푸드</v>
          </cell>
          <cell r="D829" t="str">
            <v>더바른푸드</v>
          </cell>
          <cell r="E829" t="str">
            <v>일반</v>
          </cell>
          <cell r="F829" t="str">
            <v>입고완료</v>
          </cell>
          <cell r="G829">
            <v>107250</v>
          </cell>
          <cell r="H829" t="str">
            <v>이금기 굴소스(팬더 2.268Kg/EA)</v>
          </cell>
          <cell r="I829" t="str">
            <v>EA</v>
          </cell>
          <cell r="J829">
            <v>6</v>
          </cell>
          <cell r="K829">
            <v>6</v>
          </cell>
          <cell r="L829">
            <v>8030</v>
          </cell>
          <cell r="M829">
            <v>48180</v>
          </cell>
          <cell r="N829">
            <v>4818</v>
          </cell>
          <cell r="O829">
            <v>52998</v>
          </cell>
          <cell r="P829">
            <v>0</v>
          </cell>
          <cell r="Q829" t="str">
            <v>홍콩</v>
          </cell>
          <cell r="R829" t="str">
            <v>실온</v>
          </cell>
          <cell r="S829" t="str">
            <v>EA(6)</v>
          </cell>
          <cell r="T829" t="str">
            <v/>
          </cell>
          <cell r="U829" t="str">
            <v/>
          </cell>
          <cell r="V829" t="str">
            <v>2019-01-24</v>
          </cell>
          <cell r="W829" t="str">
            <v>2019-01-24 13:59:19</v>
          </cell>
          <cell r="X829" t="str">
            <v>더바른푸드</v>
          </cell>
        </row>
        <row r="830">
          <cell r="A830">
            <v>826</v>
          </cell>
          <cell r="B830" t="str">
            <v>2019-01-25</v>
          </cell>
          <cell r="C830" t="str">
            <v>더바른푸드</v>
          </cell>
          <cell r="D830" t="str">
            <v>더바른푸드</v>
          </cell>
          <cell r="E830" t="str">
            <v>일반</v>
          </cell>
          <cell r="F830" t="str">
            <v>입고완료</v>
          </cell>
          <cell r="G830">
            <v>143791</v>
          </cell>
          <cell r="H830" t="str">
            <v>이츠웰 참기름(NEW_PET_1.8L 1.65Kg/EA)</v>
          </cell>
          <cell r="I830" t="str">
            <v>EA</v>
          </cell>
          <cell r="J830">
            <v>6</v>
          </cell>
          <cell r="K830">
            <v>6</v>
          </cell>
          <cell r="L830">
            <v>14780</v>
          </cell>
          <cell r="M830">
            <v>88680</v>
          </cell>
          <cell r="N830">
            <v>8868</v>
          </cell>
          <cell r="O830">
            <v>97548</v>
          </cell>
          <cell r="P830">
            <v>0</v>
          </cell>
          <cell r="Q830" t="str">
            <v>베트남</v>
          </cell>
          <cell r="R830" t="str">
            <v>실온</v>
          </cell>
          <cell r="S830" t="str">
            <v>EA(6)</v>
          </cell>
          <cell r="T830" t="str">
            <v/>
          </cell>
          <cell r="U830" t="str">
            <v/>
          </cell>
          <cell r="V830" t="str">
            <v>2019-01-24</v>
          </cell>
          <cell r="W830" t="str">
            <v>2019-01-24 13:59:19</v>
          </cell>
          <cell r="X830" t="str">
            <v>더바른푸드</v>
          </cell>
        </row>
        <row r="831">
          <cell r="A831">
            <v>827</v>
          </cell>
          <cell r="B831" t="str">
            <v>2019-01-25</v>
          </cell>
          <cell r="C831" t="str">
            <v>더바른푸드</v>
          </cell>
          <cell r="D831" t="str">
            <v>더바른푸드</v>
          </cell>
          <cell r="E831" t="str">
            <v>일반</v>
          </cell>
          <cell r="F831" t="str">
            <v>입고완료</v>
          </cell>
          <cell r="G831">
            <v>160016</v>
          </cell>
          <cell r="H831" t="str">
            <v>오뚜기 케찹(스파우트팩 3.3Kg/EA)</v>
          </cell>
          <cell r="I831" t="str">
            <v>EA</v>
          </cell>
          <cell r="J831">
            <v>8</v>
          </cell>
          <cell r="K831">
            <v>8</v>
          </cell>
          <cell r="L831">
            <v>3670</v>
          </cell>
          <cell r="M831">
            <v>29360</v>
          </cell>
          <cell r="N831">
            <v>2936</v>
          </cell>
          <cell r="O831">
            <v>32296</v>
          </cell>
          <cell r="P831">
            <v>0</v>
          </cell>
          <cell r="Q831" t="str">
            <v/>
          </cell>
          <cell r="R831" t="str">
            <v>실온</v>
          </cell>
          <cell r="S831" t="str">
            <v>EA(4)</v>
          </cell>
          <cell r="T831" t="str">
            <v/>
          </cell>
          <cell r="U831" t="str">
            <v/>
          </cell>
          <cell r="V831" t="str">
            <v>2019-01-24</v>
          </cell>
          <cell r="W831" t="str">
            <v>2019-01-24 13:59:19</v>
          </cell>
          <cell r="X831" t="str">
            <v>더바른푸드</v>
          </cell>
        </row>
        <row r="832">
          <cell r="A832">
            <v>828</v>
          </cell>
          <cell r="B832" t="str">
            <v>2019-01-25</v>
          </cell>
          <cell r="C832" t="str">
            <v>더바른푸드</v>
          </cell>
          <cell r="D832" t="str">
            <v>더바른푸드</v>
          </cell>
          <cell r="E832" t="str">
            <v>일반</v>
          </cell>
          <cell r="F832" t="str">
            <v>입고완료</v>
          </cell>
          <cell r="G832">
            <v>526203</v>
          </cell>
          <cell r="H832" t="str">
            <v>마미손 고무장갑(화이트(아이보리)_대L EA)</v>
          </cell>
          <cell r="I832" t="str">
            <v>EA</v>
          </cell>
          <cell r="J832">
            <v>20</v>
          </cell>
          <cell r="K832">
            <v>20</v>
          </cell>
          <cell r="L832">
            <v>1340</v>
          </cell>
          <cell r="M832">
            <v>26800</v>
          </cell>
          <cell r="N832">
            <v>2680</v>
          </cell>
          <cell r="O832">
            <v>29480</v>
          </cell>
          <cell r="P832">
            <v>0</v>
          </cell>
          <cell r="Q832" t="str">
            <v/>
          </cell>
          <cell r="R832" t="str">
            <v>실온</v>
          </cell>
          <cell r="S832" t="str">
            <v>EA(100)</v>
          </cell>
          <cell r="T832" t="str">
            <v/>
          </cell>
          <cell r="U832" t="str">
            <v/>
          </cell>
          <cell r="V832" t="str">
            <v>2019-01-24</v>
          </cell>
          <cell r="W832" t="str">
            <v>2019-01-24 14:00:03</v>
          </cell>
          <cell r="X832" t="str">
            <v>더바른푸드</v>
          </cell>
        </row>
        <row r="833">
          <cell r="A833">
            <v>829</v>
          </cell>
          <cell r="B833" t="str">
            <v>2019-01-25</v>
          </cell>
          <cell r="C833" t="str">
            <v>더바른푸드</v>
          </cell>
          <cell r="D833" t="str">
            <v>더바른푸드</v>
          </cell>
          <cell r="E833" t="str">
            <v>일반</v>
          </cell>
          <cell r="F833" t="str">
            <v>입고완료</v>
          </cell>
          <cell r="G833">
            <v>310707</v>
          </cell>
          <cell r="H833" t="str">
            <v>프레시웨이 소멸치(상품 조림용 1Kg/EA)</v>
          </cell>
          <cell r="I833" t="str">
            <v>EA</v>
          </cell>
          <cell r="J833">
            <v>1</v>
          </cell>
          <cell r="K833">
            <v>1</v>
          </cell>
          <cell r="L833">
            <v>22230</v>
          </cell>
          <cell r="M833">
            <v>22230</v>
          </cell>
          <cell r="N833">
            <v>0</v>
          </cell>
          <cell r="O833">
            <v>22230</v>
          </cell>
          <cell r="P833">
            <v>0</v>
          </cell>
          <cell r="Q833" t="str">
            <v>한국</v>
          </cell>
          <cell r="R833" t="str">
            <v>냉장</v>
          </cell>
          <cell r="S833" t="str">
            <v>EA(10)</v>
          </cell>
          <cell r="T833" t="str">
            <v/>
          </cell>
          <cell r="U833" t="str">
            <v/>
          </cell>
          <cell r="V833" t="str">
            <v>2019-01-24</v>
          </cell>
          <cell r="W833" t="str">
            <v>2019-01-24 14:06:23</v>
          </cell>
          <cell r="X833" t="str">
            <v>더바른푸드</v>
          </cell>
        </row>
        <row r="834">
          <cell r="A834">
            <v>830</v>
          </cell>
          <cell r="B834" t="str">
            <v>2019-01-25</v>
          </cell>
          <cell r="C834" t="str">
            <v>더바른푸드</v>
          </cell>
          <cell r="D834" t="str">
            <v>더바른푸드</v>
          </cell>
          <cell r="E834" t="str">
            <v>일반</v>
          </cell>
          <cell r="F834" t="str">
            <v>입고완료</v>
          </cell>
          <cell r="G834">
            <v>141229</v>
          </cell>
          <cell r="H834" t="str">
            <v>더건강한 후랑크소시지(500g/EA)</v>
          </cell>
          <cell r="I834" t="str">
            <v>EA</v>
          </cell>
          <cell r="J834">
            <v>2</v>
          </cell>
          <cell r="K834">
            <v>2</v>
          </cell>
          <cell r="L834">
            <v>4120</v>
          </cell>
          <cell r="M834">
            <v>8240</v>
          </cell>
          <cell r="N834">
            <v>824</v>
          </cell>
          <cell r="O834">
            <v>9064</v>
          </cell>
          <cell r="P834">
            <v>0</v>
          </cell>
          <cell r="Q834" t="str">
            <v/>
          </cell>
          <cell r="R834" t="str">
            <v>냉장</v>
          </cell>
          <cell r="S834" t="str">
            <v>EA(8)</v>
          </cell>
          <cell r="T834" t="str">
            <v/>
          </cell>
          <cell r="U834" t="str">
            <v/>
          </cell>
          <cell r="V834" t="str">
            <v>2019-01-24</v>
          </cell>
          <cell r="W834" t="str">
            <v>2019-01-24 14:25:56</v>
          </cell>
          <cell r="X834" t="str">
            <v>더바른푸드</v>
          </cell>
        </row>
        <row r="835">
          <cell r="A835">
            <v>831</v>
          </cell>
          <cell r="B835" t="str">
            <v>2019-01-25</v>
          </cell>
          <cell r="C835" t="str">
            <v>더바른푸드</v>
          </cell>
          <cell r="D835" t="str">
            <v>더바른푸드</v>
          </cell>
          <cell r="E835" t="str">
            <v>일반</v>
          </cell>
          <cell r="F835" t="str">
            <v>입고완료</v>
          </cell>
          <cell r="G835">
            <v>197120</v>
          </cell>
          <cell r="H835" t="str">
            <v>종가집 포기김치(숙성 10Kg/BOX)</v>
          </cell>
          <cell r="I835" t="str">
            <v>BOX</v>
          </cell>
          <cell r="J835">
            <v>6</v>
          </cell>
          <cell r="K835">
            <v>6</v>
          </cell>
          <cell r="L835">
            <v>31390</v>
          </cell>
          <cell r="M835">
            <v>188340</v>
          </cell>
          <cell r="N835">
            <v>0</v>
          </cell>
          <cell r="O835">
            <v>188340</v>
          </cell>
          <cell r="P835">
            <v>0</v>
          </cell>
          <cell r="Q835" t="str">
            <v>한국</v>
          </cell>
          <cell r="R835" t="str">
            <v>냉장</v>
          </cell>
          <cell r="S835" t="str">
            <v>BOX(1)</v>
          </cell>
          <cell r="T835" t="str">
            <v/>
          </cell>
          <cell r="U835" t="str">
            <v/>
          </cell>
          <cell r="V835" t="str">
            <v>2019-01-24</v>
          </cell>
          <cell r="W835" t="str">
            <v>2019-01-24 16:11:59</v>
          </cell>
          <cell r="X835" t="str">
            <v>더바른푸드</v>
          </cell>
        </row>
        <row r="836">
          <cell r="A836">
            <v>832</v>
          </cell>
          <cell r="B836" t="str">
            <v>2019-01-25</v>
          </cell>
          <cell r="C836" t="str">
            <v>더바른푸드</v>
          </cell>
          <cell r="D836" t="str">
            <v>더바른푸드</v>
          </cell>
          <cell r="E836" t="str">
            <v>일반</v>
          </cell>
          <cell r="F836" t="str">
            <v>입고완료</v>
          </cell>
          <cell r="G836">
            <v>235737</v>
          </cell>
          <cell r="H836" t="str">
            <v>이츠웰 위생장갑(실속 600매입 EA)</v>
          </cell>
          <cell r="I836" t="str">
            <v>EA</v>
          </cell>
          <cell r="J836">
            <v>5</v>
          </cell>
          <cell r="K836">
            <v>5</v>
          </cell>
          <cell r="L836">
            <v>5580</v>
          </cell>
          <cell r="M836">
            <v>27900</v>
          </cell>
          <cell r="N836">
            <v>2790</v>
          </cell>
          <cell r="O836">
            <v>30690</v>
          </cell>
          <cell r="P836">
            <v>0</v>
          </cell>
          <cell r="Q836" t="str">
            <v/>
          </cell>
          <cell r="R836" t="str">
            <v>실온</v>
          </cell>
          <cell r="S836" t="str">
            <v>EA(16)</v>
          </cell>
          <cell r="T836" t="str">
            <v/>
          </cell>
          <cell r="U836" t="str">
            <v/>
          </cell>
          <cell r="V836" t="str">
            <v>2019-01-24</v>
          </cell>
          <cell r="W836" t="str">
            <v>2019-01-24 16:15:34</v>
          </cell>
          <cell r="X836" t="str">
            <v>더바른푸드</v>
          </cell>
        </row>
        <row r="837">
          <cell r="A837">
            <v>833</v>
          </cell>
          <cell r="B837" t="str">
            <v>2019-01-24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</row>
        <row r="838">
          <cell r="A838">
            <v>834</v>
          </cell>
          <cell r="B838" t="str">
            <v>2019-01-24</v>
          </cell>
          <cell r="C838" t="str">
            <v>더바른푸드</v>
          </cell>
          <cell r="D838" t="str">
            <v>더바른푸드</v>
          </cell>
          <cell r="E838" t="str">
            <v>일반</v>
          </cell>
          <cell r="F838" t="str">
            <v>입고완료</v>
          </cell>
          <cell r="G838">
            <v>128022</v>
          </cell>
          <cell r="H838" t="str">
            <v>빙그레 딸기우유(200ml 200g/EA)</v>
          </cell>
          <cell r="I838" t="str">
            <v>EA</v>
          </cell>
          <cell r="J838">
            <v>56</v>
          </cell>
          <cell r="K838">
            <v>56</v>
          </cell>
          <cell r="L838">
            <v>290</v>
          </cell>
          <cell r="M838">
            <v>16240</v>
          </cell>
          <cell r="N838">
            <v>1624</v>
          </cell>
          <cell r="O838">
            <v>17864</v>
          </cell>
          <cell r="P838">
            <v>0</v>
          </cell>
          <cell r="Q838" t="str">
            <v>한국</v>
          </cell>
          <cell r="R838" t="str">
            <v>냉장</v>
          </cell>
          <cell r="S838" t="str">
            <v>EA(50)</v>
          </cell>
          <cell r="T838" t="str">
            <v/>
          </cell>
          <cell r="U838" t="str">
            <v/>
          </cell>
          <cell r="V838" t="str">
            <v>2019-01-17</v>
          </cell>
          <cell r="W838" t="str">
            <v>2019-01-17 18:04:55</v>
          </cell>
          <cell r="X838" t="str">
            <v>더바른푸드</v>
          </cell>
        </row>
        <row r="839">
          <cell r="A839">
            <v>835</v>
          </cell>
          <cell r="B839" t="str">
            <v>2019-01-24</v>
          </cell>
          <cell r="C839" t="str">
            <v>더바른푸드</v>
          </cell>
          <cell r="D839" t="str">
            <v>더바른푸드</v>
          </cell>
          <cell r="E839" t="str">
            <v>일반</v>
          </cell>
          <cell r="F839" t="str">
            <v>입고완료</v>
          </cell>
          <cell r="G839">
            <v>259671</v>
          </cell>
          <cell r="H839" t="str">
            <v>세준푸드 맑은식혜(유기농 125g/EA)</v>
          </cell>
          <cell r="I839" t="str">
            <v>BOX</v>
          </cell>
          <cell r="J839">
            <v>6</v>
          </cell>
          <cell r="K839">
            <v>6</v>
          </cell>
          <cell r="L839">
            <v>10320</v>
          </cell>
          <cell r="M839">
            <v>61920</v>
          </cell>
          <cell r="N839">
            <v>6192</v>
          </cell>
          <cell r="O839">
            <v>68112</v>
          </cell>
          <cell r="P839">
            <v>0</v>
          </cell>
          <cell r="Q839" t="str">
            <v/>
          </cell>
          <cell r="R839" t="str">
            <v>실온</v>
          </cell>
          <cell r="S839" t="str">
            <v>EA(24)</v>
          </cell>
          <cell r="T839" t="str">
            <v/>
          </cell>
          <cell r="U839" t="str">
            <v/>
          </cell>
          <cell r="V839" t="str">
            <v>2019-01-17</v>
          </cell>
          <cell r="W839" t="str">
            <v>2019-01-17 18:37:16</v>
          </cell>
          <cell r="X839" t="str">
            <v>더바른푸드</v>
          </cell>
        </row>
        <row r="840">
          <cell r="A840">
            <v>836</v>
          </cell>
          <cell r="B840" t="str">
            <v>2019-01-24</v>
          </cell>
          <cell r="C840" t="str">
            <v>더바른푸드</v>
          </cell>
          <cell r="D840" t="str">
            <v>더바른푸드</v>
          </cell>
          <cell r="E840" t="str">
            <v>일반</v>
          </cell>
          <cell r="F840" t="str">
            <v>입고완료</v>
          </cell>
          <cell r="G840">
            <v>258414</v>
          </cell>
          <cell r="H840" t="str">
            <v>청우식품 밥풀과자(8개내외 100g/EA)</v>
          </cell>
          <cell r="I840" t="str">
            <v>EA</v>
          </cell>
          <cell r="J840">
            <v>25</v>
          </cell>
          <cell r="K840">
            <v>25</v>
          </cell>
          <cell r="L840">
            <v>840</v>
          </cell>
          <cell r="M840">
            <v>21000</v>
          </cell>
          <cell r="N840">
            <v>2100</v>
          </cell>
          <cell r="O840">
            <v>23100</v>
          </cell>
          <cell r="P840">
            <v>0</v>
          </cell>
          <cell r="Q840" t="str">
            <v/>
          </cell>
          <cell r="R840" t="str">
            <v>실온</v>
          </cell>
          <cell r="S840" t="str">
            <v>EA(1)</v>
          </cell>
          <cell r="T840" t="str">
            <v/>
          </cell>
          <cell r="U840" t="str">
            <v/>
          </cell>
          <cell r="V840" t="str">
            <v>2019-01-17</v>
          </cell>
          <cell r="W840" t="str">
            <v>2019-01-17 18:47:13</v>
          </cell>
          <cell r="X840" t="str">
            <v>더바른푸드</v>
          </cell>
        </row>
        <row r="841">
          <cell r="A841">
            <v>837</v>
          </cell>
          <cell r="B841" t="str">
            <v>2019-01-24</v>
          </cell>
          <cell r="C841" t="str">
            <v>더바른푸드</v>
          </cell>
          <cell r="D841" t="str">
            <v>더바른푸드</v>
          </cell>
          <cell r="E841" t="str">
            <v>일반</v>
          </cell>
          <cell r="F841" t="str">
            <v>입고완료</v>
          </cell>
          <cell r="G841">
            <v>193090</v>
          </cell>
          <cell r="H841" t="str">
            <v>냉동감자(절단_3~4cm 1Kg/EA)</v>
          </cell>
          <cell r="I841" t="str">
            <v>EA</v>
          </cell>
          <cell r="J841">
            <v>40</v>
          </cell>
          <cell r="K841">
            <v>40</v>
          </cell>
          <cell r="L841">
            <v>1980</v>
          </cell>
          <cell r="M841">
            <v>79200</v>
          </cell>
          <cell r="N841">
            <v>7920</v>
          </cell>
          <cell r="O841">
            <v>87120</v>
          </cell>
          <cell r="P841">
            <v>0</v>
          </cell>
          <cell r="Q841" t="str">
            <v>중국</v>
          </cell>
          <cell r="R841" t="str">
            <v>냉동</v>
          </cell>
          <cell r="S841" t="str">
            <v>EA(1)</v>
          </cell>
          <cell r="T841" t="str">
            <v/>
          </cell>
          <cell r="U841" t="str">
            <v/>
          </cell>
          <cell r="V841" t="str">
            <v>2019-01-22</v>
          </cell>
          <cell r="W841" t="str">
            <v>2019-01-22 14:56:56</v>
          </cell>
          <cell r="X841" t="str">
            <v>더바른푸드</v>
          </cell>
        </row>
        <row r="842">
          <cell r="A842">
            <v>838</v>
          </cell>
          <cell r="B842" t="str">
            <v>2019-01-24</v>
          </cell>
          <cell r="C842" t="str">
            <v>더바른푸드</v>
          </cell>
          <cell r="D842" t="str">
            <v>더바른푸드</v>
          </cell>
          <cell r="E842" t="str">
            <v>일반</v>
          </cell>
          <cell r="F842" t="str">
            <v>입고완료</v>
          </cell>
          <cell r="G842">
            <v>168258</v>
          </cell>
          <cell r="H842" t="str">
            <v>명품 판두부(부침용 3Kg/EA)</v>
          </cell>
          <cell r="I842" t="str">
            <v>EA</v>
          </cell>
          <cell r="J842">
            <v>29</v>
          </cell>
          <cell r="K842">
            <v>29</v>
          </cell>
          <cell r="L842">
            <v>4000</v>
          </cell>
          <cell r="M842">
            <v>116000</v>
          </cell>
          <cell r="N842">
            <v>0</v>
          </cell>
          <cell r="O842">
            <v>116000</v>
          </cell>
          <cell r="P842">
            <v>0</v>
          </cell>
          <cell r="Q842" t="str">
            <v>수입산</v>
          </cell>
          <cell r="R842" t="str">
            <v>냉장</v>
          </cell>
          <cell r="S842" t="str">
            <v>EA(1)</v>
          </cell>
          <cell r="T842" t="str">
            <v/>
          </cell>
          <cell r="U842" t="str">
            <v/>
          </cell>
          <cell r="V842" t="str">
            <v>2019-01-22</v>
          </cell>
          <cell r="W842" t="str">
            <v>2019-01-22 15:45:57</v>
          </cell>
          <cell r="X842" t="str">
            <v>더바른푸드</v>
          </cell>
        </row>
        <row r="843">
          <cell r="A843">
            <v>839</v>
          </cell>
          <cell r="B843" t="str">
            <v>2019-01-24</v>
          </cell>
          <cell r="C843" t="str">
            <v>더바른푸드</v>
          </cell>
          <cell r="D843" t="str">
            <v>더바른푸드</v>
          </cell>
          <cell r="E843" t="str">
            <v>일반</v>
          </cell>
          <cell r="F843" t="str">
            <v>입고완료</v>
          </cell>
          <cell r="G843">
            <v>245786</v>
          </cell>
          <cell r="H843" t="str">
            <v>종로복떡방 앙금절편(25g*40개 1Kg/BOX)</v>
          </cell>
          <cell r="I843" t="str">
            <v>BOX</v>
          </cell>
          <cell r="J843">
            <v>2</v>
          </cell>
          <cell r="K843">
            <v>2</v>
          </cell>
          <cell r="L843">
            <v>8750</v>
          </cell>
          <cell r="M843">
            <v>17500</v>
          </cell>
          <cell r="N843">
            <v>1750</v>
          </cell>
          <cell r="O843">
            <v>19250</v>
          </cell>
          <cell r="P843">
            <v>0</v>
          </cell>
          <cell r="Q843" t="str">
            <v>한국</v>
          </cell>
          <cell r="R843" t="str">
            <v>냉동</v>
          </cell>
          <cell r="S843" t="str">
            <v>BOX(1)</v>
          </cell>
          <cell r="T843" t="str">
            <v/>
          </cell>
          <cell r="U843" t="str">
            <v/>
          </cell>
          <cell r="V843" t="str">
            <v>2019-01-23</v>
          </cell>
          <cell r="W843" t="str">
            <v>2019-01-23 10:28:17</v>
          </cell>
          <cell r="X843" t="str">
            <v>더바른푸드</v>
          </cell>
        </row>
        <row r="844">
          <cell r="A844">
            <v>840</v>
          </cell>
          <cell r="B844" t="str">
            <v>2019-01-24</v>
          </cell>
          <cell r="C844" t="str">
            <v>더바른푸드</v>
          </cell>
          <cell r="D844" t="str">
            <v>더바른푸드</v>
          </cell>
          <cell r="E844" t="str">
            <v>일반</v>
          </cell>
          <cell r="F844" t="str">
            <v>입고완료</v>
          </cell>
          <cell r="G844">
            <v>204973</v>
          </cell>
          <cell r="H844" t="str">
            <v>냉동대파(1Kg/PAC)</v>
          </cell>
          <cell r="I844" t="str">
            <v>PAC</v>
          </cell>
          <cell r="J844">
            <v>30</v>
          </cell>
          <cell r="K844">
            <v>30</v>
          </cell>
          <cell r="L844">
            <v>1400</v>
          </cell>
          <cell r="M844">
            <v>42000</v>
          </cell>
          <cell r="N844">
            <v>0</v>
          </cell>
          <cell r="O844">
            <v>42000</v>
          </cell>
          <cell r="P844">
            <v>0</v>
          </cell>
          <cell r="Q844" t="str">
            <v>중국</v>
          </cell>
          <cell r="R844" t="str">
            <v>냉동</v>
          </cell>
          <cell r="S844" t="str">
            <v>PAC(1)</v>
          </cell>
          <cell r="T844" t="str">
            <v/>
          </cell>
          <cell r="U844" t="str">
            <v/>
          </cell>
          <cell r="V844" t="str">
            <v>2019-01-23</v>
          </cell>
          <cell r="W844" t="str">
            <v>2019-01-23 15:07:42</v>
          </cell>
          <cell r="X844" t="str">
            <v>더바른푸드</v>
          </cell>
        </row>
        <row r="845">
          <cell r="A845">
            <v>841</v>
          </cell>
          <cell r="B845" t="str">
            <v>2019-01-24</v>
          </cell>
          <cell r="C845" t="str">
            <v>더바른푸드</v>
          </cell>
          <cell r="D845" t="str">
            <v>더바른푸드</v>
          </cell>
          <cell r="E845" t="str">
            <v>일반</v>
          </cell>
          <cell r="F845" t="str">
            <v>입고완료</v>
          </cell>
          <cell r="G845">
            <v>247931</v>
          </cell>
          <cell r="H845" t="str">
            <v>마당발 냉동다진마늘(1Kg/EA)</v>
          </cell>
          <cell r="I845" t="str">
            <v>EA</v>
          </cell>
          <cell r="J845">
            <v>20</v>
          </cell>
          <cell r="K845">
            <v>20</v>
          </cell>
          <cell r="L845">
            <v>2710</v>
          </cell>
          <cell r="M845">
            <v>54200</v>
          </cell>
          <cell r="N845">
            <v>0</v>
          </cell>
          <cell r="O845">
            <v>54200</v>
          </cell>
          <cell r="P845">
            <v>0</v>
          </cell>
          <cell r="Q845" t="str">
            <v>중국</v>
          </cell>
          <cell r="R845" t="str">
            <v>냉동</v>
          </cell>
          <cell r="S845" t="str">
            <v>EA(10)</v>
          </cell>
          <cell r="T845" t="str">
            <v/>
          </cell>
          <cell r="U845" t="str">
            <v/>
          </cell>
          <cell r="V845" t="str">
            <v>2019-01-23</v>
          </cell>
          <cell r="W845" t="str">
            <v>2019-01-23 15:07:42</v>
          </cell>
          <cell r="X845" t="str">
            <v>더바른푸드</v>
          </cell>
        </row>
        <row r="846">
          <cell r="A846">
            <v>842</v>
          </cell>
          <cell r="B846" t="str">
            <v>2019-01-24</v>
          </cell>
          <cell r="C846" t="str">
            <v>더바른푸드</v>
          </cell>
          <cell r="D846" t="str">
            <v>더바른푸드</v>
          </cell>
          <cell r="E846" t="str">
            <v>일반</v>
          </cell>
          <cell r="F846" t="str">
            <v>입고완료</v>
          </cell>
          <cell r="G846">
            <v>261188</v>
          </cell>
          <cell r="H846" t="str">
            <v>이츠랩 랩(NEW_1호_30cm*500m EA)</v>
          </cell>
          <cell r="I846" t="str">
            <v>EA</v>
          </cell>
          <cell r="J846">
            <v>5</v>
          </cell>
          <cell r="K846">
            <v>5</v>
          </cell>
          <cell r="L846">
            <v>11100</v>
          </cell>
          <cell r="M846">
            <v>55500</v>
          </cell>
          <cell r="N846">
            <v>5550</v>
          </cell>
          <cell r="O846">
            <v>61050</v>
          </cell>
          <cell r="P846">
            <v>0</v>
          </cell>
          <cell r="Q846" t="str">
            <v/>
          </cell>
          <cell r="R846" t="str">
            <v>실온</v>
          </cell>
          <cell r="S846" t="str">
            <v>EA(6)</v>
          </cell>
          <cell r="T846" t="str">
            <v/>
          </cell>
          <cell r="U846" t="str">
            <v/>
          </cell>
          <cell r="V846" t="str">
            <v>2019-01-23</v>
          </cell>
          <cell r="W846" t="str">
            <v>2019-01-23 16:40:29</v>
          </cell>
          <cell r="X846" t="str">
            <v>더바른푸드</v>
          </cell>
        </row>
        <row r="847">
          <cell r="A847">
            <v>843</v>
          </cell>
          <cell r="B847" t="str">
            <v>2019-01-24</v>
          </cell>
          <cell r="C847" t="str">
            <v>더바른푸드</v>
          </cell>
          <cell r="D847" t="str">
            <v>더바른푸드</v>
          </cell>
          <cell r="E847" t="str">
            <v>일반</v>
          </cell>
          <cell r="F847" t="str">
            <v>입고완료</v>
          </cell>
          <cell r="G847">
            <v>247824</v>
          </cell>
          <cell r="H847" t="str">
            <v>주일 건다시마(실속 1Kg/EA)</v>
          </cell>
          <cell r="I847" t="str">
            <v>EA</v>
          </cell>
          <cell r="J847">
            <v>5</v>
          </cell>
          <cell r="K847">
            <v>5</v>
          </cell>
          <cell r="L847">
            <v>11100</v>
          </cell>
          <cell r="M847">
            <v>55500</v>
          </cell>
          <cell r="N847">
            <v>0</v>
          </cell>
          <cell r="O847">
            <v>55500</v>
          </cell>
          <cell r="P847">
            <v>0</v>
          </cell>
          <cell r="Q847" t="str">
            <v>한국</v>
          </cell>
          <cell r="R847" t="str">
            <v>실온</v>
          </cell>
          <cell r="S847" t="str">
            <v>EA(20)</v>
          </cell>
          <cell r="T847" t="str">
            <v/>
          </cell>
          <cell r="U847" t="str">
            <v/>
          </cell>
          <cell r="V847" t="str">
            <v>2019-01-23</v>
          </cell>
          <cell r="W847" t="str">
            <v>2019-01-23 16:42:23</v>
          </cell>
          <cell r="X847" t="str">
            <v>더바른푸드</v>
          </cell>
        </row>
        <row r="848">
          <cell r="A848">
            <v>844</v>
          </cell>
          <cell r="B848" t="str">
            <v>2019-01-24</v>
          </cell>
          <cell r="C848" t="str">
            <v>더바른푸드</v>
          </cell>
          <cell r="D848" t="str">
            <v>더바른푸드</v>
          </cell>
          <cell r="E848" t="str">
            <v>일반</v>
          </cell>
          <cell r="F848" t="str">
            <v>입고완료</v>
          </cell>
          <cell r="G848">
            <v>138570</v>
          </cell>
          <cell r="H848" t="str">
            <v>면사랑 멸치육수(1.8L_보급형 1.8Kg/EA)</v>
          </cell>
          <cell r="I848" t="str">
            <v>EA</v>
          </cell>
          <cell r="J848">
            <v>6</v>
          </cell>
          <cell r="K848">
            <v>6</v>
          </cell>
          <cell r="L848">
            <v>5560</v>
          </cell>
          <cell r="M848">
            <v>33360</v>
          </cell>
          <cell r="N848">
            <v>3336</v>
          </cell>
          <cell r="O848">
            <v>36696</v>
          </cell>
          <cell r="P848">
            <v>0</v>
          </cell>
          <cell r="Q848" t="str">
            <v/>
          </cell>
          <cell r="R848" t="str">
            <v>실온</v>
          </cell>
          <cell r="S848" t="str">
            <v>EA(6)</v>
          </cell>
          <cell r="T848" t="str">
            <v/>
          </cell>
          <cell r="U848" t="str">
            <v/>
          </cell>
          <cell r="V848" t="str">
            <v>2019-01-23</v>
          </cell>
          <cell r="W848" t="str">
            <v>2019-01-23 16:42:23</v>
          </cell>
          <cell r="X848" t="str">
            <v>더바른푸드</v>
          </cell>
        </row>
        <row r="849">
          <cell r="A849">
            <v>845</v>
          </cell>
          <cell r="B849" t="str">
            <v>2019-01-24</v>
          </cell>
          <cell r="C849" t="str">
            <v>더바른푸드</v>
          </cell>
          <cell r="D849" t="str">
            <v>더바른푸드</v>
          </cell>
          <cell r="E849" t="str">
            <v>일반</v>
          </cell>
          <cell r="F849" t="str">
            <v>입고완료</v>
          </cell>
          <cell r="G849">
            <v>219389</v>
          </cell>
          <cell r="H849" t="str">
            <v>냉동청피망(채썰기 1Kg/EA)</v>
          </cell>
          <cell r="I849" t="str">
            <v>EA</v>
          </cell>
          <cell r="J849">
            <v>3</v>
          </cell>
          <cell r="K849">
            <v>3</v>
          </cell>
          <cell r="L849">
            <v>2230</v>
          </cell>
          <cell r="M849">
            <v>6690</v>
          </cell>
          <cell r="N849">
            <v>0</v>
          </cell>
          <cell r="O849">
            <v>6690</v>
          </cell>
          <cell r="P849">
            <v>0</v>
          </cell>
          <cell r="Q849" t="str">
            <v>중국</v>
          </cell>
          <cell r="R849" t="str">
            <v>냉동</v>
          </cell>
          <cell r="S849" t="str">
            <v>EA(1)</v>
          </cell>
          <cell r="T849" t="str">
            <v/>
          </cell>
          <cell r="U849" t="str">
            <v/>
          </cell>
          <cell r="V849" t="str">
            <v>2019-01-23</v>
          </cell>
          <cell r="W849" t="str">
            <v>2019-01-23 16:50:06</v>
          </cell>
          <cell r="X849" t="str">
            <v>더바른푸드</v>
          </cell>
        </row>
        <row r="850">
          <cell r="A850">
            <v>846</v>
          </cell>
          <cell r="B850" t="str">
            <v>2019-01-24</v>
          </cell>
          <cell r="C850" t="str">
            <v>더바른푸드</v>
          </cell>
          <cell r="D850" t="str">
            <v>더바른푸드</v>
          </cell>
          <cell r="E850" t="str">
            <v>일반</v>
          </cell>
          <cell r="F850" t="str">
            <v>입고완료</v>
          </cell>
          <cell r="G850">
            <v>219391</v>
          </cell>
          <cell r="H850" t="str">
            <v>냉동홍피망(슬라이스 1Kg/EA)</v>
          </cell>
          <cell r="I850" t="str">
            <v>EA</v>
          </cell>
          <cell r="J850">
            <v>2</v>
          </cell>
          <cell r="K850">
            <v>2</v>
          </cell>
          <cell r="L850">
            <v>2230</v>
          </cell>
          <cell r="M850">
            <v>4460</v>
          </cell>
          <cell r="N850">
            <v>0</v>
          </cell>
          <cell r="O850">
            <v>4460</v>
          </cell>
          <cell r="P850">
            <v>0</v>
          </cell>
          <cell r="Q850" t="str">
            <v>중국</v>
          </cell>
          <cell r="R850" t="str">
            <v>냉동</v>
          </cell>
          <cell r="S850" t="str">
            <v>EA(1)</v>
          </cell>
          <cell r="T850" t="str">
            <v/>
          </cell>
          <cell r="U850" t="str">
            <v/>
          </cell>
          <cell r="V850" t="str">
            <v>2019-01-23</v>
          </cell>
          <cell r="W850" t="str">
            <v>2019-01-23 16:50:06</v>
          </cell>
          <cell r="X850" t="str">
            <v>더바른푸드</v>
          </cell>
        </row>
        <row r="851">
          <cell r="A851">
            <v>847</v>
          </cell>
          <cell r="B851" t="str">
            <v>2019-01-23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</row>
        <row r="852">
          <cell r="A852">
            <v>848</v>
          </cell>
          <cell r="B852" t="str">
            <v>2019-01-23</v>
          </cell>
          <cell r="C852" t="str">
            <v>더바른푸드</v>
          </cell>
          <cell r="D852" t="str">
            <v>더바른푸드</v>
          </cell>
          <cell r="E852" t="str">
            <v>일반</v>
          </cell>
          <cell r="F852" t="str">
            <v>입고완료</v>
          </cell>
          <cell r="G852">
            <v>159757</v>
          </cell>
          <cell r="H852" t="str">
            <v>신라명과 플레인모닝롤(26g*10입 260g/EA)</v>
          </cell>
          <cell r="I852" t="str">
            <v>EA</v>
          </cell>
          <cell r="J852">
            <v>22</v>
          </cell>
          <cell r="K852">
            <v>22</v>
          </cell>
          <cell r="L852">
            <v>1950</v>
          </cell>
          <cell r="M852">
            <v>42900</v>
          </cell>
          <cell r="N852">
            <v>4290</v>
          </cell>
          <cell r="O852">
            <v>47190</v>
          </cell>
          <cell r="P852">
            <v>0</v>
          </cell>
          <cell r="Q852" t="str">
            <v/>
          </cell>
          <cell r="R852" t="str">
            <v>실온</v>
          </cell>
          <cell r="S852" t="str">
            <v>EA(1)</v>
          </cell>
          <cell r="T852" t="str">
            <v/>
          </cell>
          <cell r="U852" t="str">
            <v/>
          </cell>
          <cell r="V852" t="str">
            <v>2019-01-17</v>
          </cell>
          <cell r="W852" t="str">
            <v>2019-01-17 17:43:42</v>
          </cell>
          <cell r="X852" t="str">
            <v>더바른푸드</v>
          </cell>
        </row>
        <row r="853">
          <cell r="A853">
            <v>849</v>
          </cell>
          <cell r="B853" t="str">
            <v>2019-01-23</v>
          </cell>
          <cell r="C853" t="str">
            <v>더바른푸드</v>
          </cell>
          <cell r="D853" t="str">
            <v>더바른푸드</v>
          </cell>
          <cell r="E853" t="str">
            <v>일반</v>
          </cell>
          <cell r="F853" t="str">
            <v>입고완료</v>
          </cell>
          <cell r="G853">
            <v>146368</v>
          </cell>
          <cell r="H853" t="str">
            <v>뚜레쥬르 머핀(달콤한초코칩 55g/EA)</v>
          </cell>
          <cell r="I853" t="str">
            <v>EA</v>
          </cell>
          <cell r="J853">
            <v>65</v>
          </cell>
          <cell r="K853">
            <v>65</v>
          </cell>
          <cell r="L853">
            <v>480</v>
          </cell>
          <cell r="M853">
            <v>31200</v>
          </cell>
          <cell r="N853">
            <v>3120</v>
          </cell>
          <cell r="O853">
            <v>34320</v>
          </cell>
          <cell r="P853">
            <v>0</v>
          </cell>
          <cell r="Q853" t="str">
            <v/>
          </cell>
          <cell r="R853" t="str">
            <v>실온</v>
          </cell>
          <cell r="S853" t="str">
            <v>EA(1)</v>
          </cell>
          <cell r="T853" t="str">
            <v/>
          </cell>
          <cell r="U853" t="str">
            <v/>
          </cell>
          <cell r="V853" t="str">
            <v>2019-01-17</v>
          </cell>
          <cell r="W853" t="str">
            <v>2019-01-17 18:39:06</v>
          </cell>
          <cell r="X853" t="str">
            <v>더바른푸드</v>
          </cell>
        </row>
        <row r="854">
          <cell r="A854">
            <v>850</v>
          </cell>
          <cell r="B854" t="str">
            <v>2019-01-23</v>
          </cell>
          <cell r="C854" t="str">
            <v>더바른푸드</v>
          </cell>
          <cell r="D854" t="str">
            <v>더바른푸드</v>
          </cell>
          <cell r="E854" t="str">
            <v>일반</v>
          </cell>
          <cell r="F854" t="str">
            <v>입고완료</v>
          </cell>
          <cell r="G854">
            <v>134238</v>
          </cell>
          <cell r="H854" t="str">
            <v>사옹원 궁중녹두전(900g/EA)</v>
          </cell>
          <cell r="I854" t="str">
            <v>EA</v>
          </cell>
          <cell r="J854">
            <v>14</v>
          </cell>
          <cell r="K854">
            <v>14</v>
          </cell>
          <cell r="L854">
            <v>8320</v>
          </cell>
          <cell r="M854">
            <v>116480</v>
          </cell>
          <cell r="N854">
            <v>11648</v>
          </cell>
          <cell r="O854">
            <v>128128</v>
          </cell>
          <cell r="P854">
            <v>0</v>
          </cell>
          <cell r="Q854" t="str">
            <v/>
          </cell>
          <cell r="R854" t="str">
            <v>냉동</v>
          </cell>
          <cell r="S854" t="str">
            <v>EA(12)</v>
          </cell>
          <cell r="T854" t="str">
            <v/>
          </cell>
          <cell r="U854" t="str">
            <v/>
          </cell>
          <cell r="V854" t="str">
            <v>2019-01-21</v>
          </cell>
          <cell r="W854" t="str">
            <v>2019-01-21 14:55:16</v>
          </cell>
          <cell r="X854" t="str">
            <v>더바른푸드</v>
          </cell>
        </row>
        <row r="855">
          <cell r="A855">
            <v>851</v>
          </cell>
          <cell r="B855" t="str">
            <v>2019-01-23</v>
          </cell>
          <cell r="C855" t="str">
            <v>더바른푸드</v>
          </cell>
          <cell r="D855" t="str">
            <v>더바른푸드</v>
          </cell>
          <cell r="E855" t="str">
            <v>일반</v>
          </cell>
          <cell r="F855" t="str">
            <v>입고완료</v>
          </cell>
          <cell r="G855">
            <v>221871</v>
          </cell>
          <cell r="H855" t="str">
            <v>냉동시금치(IQF 1Kg/EA)</v>
          </cell>
          <cell r="I855" t="str">
            <v>EA</v>
          </cell>
          <cell r="J855">
            <v>10</v>
          </cell>
          <cell r="K855">
            <v>10</v>
          </cell>
          <cell r="L855">
            <v>1680</v>
          </cell>
          <cell r="M855">
            <v>16800</v>
          </cell>
          <cell r="N855">
            <v>1680</v>
          </cell>
          <cell r="O855">
            <v>18480</v>
          </cell>
          <cell r="P855">
            <v>0</v>
          </cell>
          <cell r="Q855" t="str">
            <v>중국</v>
          </cell>
          <cell r="R855" t="str">
            <v>냉동</v>
          </cell>
          <cell r="S855" t="str">
            <v>EA(1)</v>
          </cell>
          <cell r="T855" t="str">
            <v/>
          </cell>
          <cell r="U855" t="str">
            <v/>
          </cell>
          <cell r="V855" t="str">
            <v>2019-01-21</v>
          </cell>
          <cell r="W855" t="str">
            <v>2019-01-21 15:32:20</v>
          </cell>
          <cell r="X855" t="str">
            <v>더바른푸드</v>
          </cell>
        </row>
        <row r="856">
          <cell r="A856">
            <v>852</v>
          </cell>
          <cell r="B856" t="str">
            <v>2019-01-23</v>
          </cell>
          <cell r="C856" t="str">
            <v>더바른푸드</v>
          </cell>
          <cell r="D856" t="str">
            <v>더바른푸드</v>
          </cell>
          <cell r="E856" t="str">
            <v>일반</v>
          </cell>
          <cell r="F856" t="str">
            <v>입고완료</v>
          </cell>
          <cell r="G856">
            <v>200840</v>
          </cell>
          <cell r="H856" t="str">
            <v>깐우엉채(KG)</v>
          </cell>
          <cell r="I856" t="str">
            <v>KG</v>
          </cell>
          <cell r="J856">
            <v>83</v>
          </cell>
          <cell r="K856">
            <v>83</v>
          </cell>
          <cell r="L856">
            <v>3260</v>
          </cell>
          <cell r="M856">
            <v>270580</v>
          </cell>
          <cell r="N856">
            <v>0</v>
          </cell>
          <cell r="O856">
            <v>270580</v>
          </cell>
          <cell r="P856">
            <v>0</v>
          </cell>
          <cell r="Q856" t="str">
            <v>중국</v>
          </cell>
          <cell r="R856" t="str">
            <v>냉장</v>
          </cell>
          <cell r="S856" t="str">
            <v>KG(1)</v>
          </cell>
          <cell r="T856" t="str">
            <v/>
          </cell>
          <cell r="U856" t="str">
            <v/>
          </cell>
          <cell r="V856" t="str">
            <v>2019-01-21</v>
          </cell>
          <cell r="W856" t="str">
            <v>2019-01-21 15:45:53</v>
          </cell>
          <cell r="X856" t="str">
            <v>더바른푸드</v>
          </cell>
        </row>
        <row r="857">
          <cell r="A857">
            <v>853</v>
          </cell>
          <cell r="B857" t="str">
            <v>2019-01-23</v>
          </cell>
          <cell r="C857" t="str">
            <v>더바른푸드</v>
          </cell>
          <cell r="D857" t="str">
            <v>더바른푸드</v>
          </cell>
          <cell r="E857" t="str">
            <v>일반</v>
          </cell>
          <cell r="F857" t="str">
            <v>입고완료</v>
          </cell>
          <cell r="G857">
            <v>235416</v>
          </cell>
          <cell r="H857" t="str">
            <v>삼승 프리미엄삼계닭(500±50g/마리 500g/EA)</v>
          </cell>
          <cell r="I857" t="str">
            <v>EA</v>
          </cell>
          <cell r="J857">
            <v>13</v>
          </cell>
          <cell r="K857">
            <v>13</v>
          </cell>
          <cell r="L857">
            <v>2630</v>
          </cell>
          <cell r="M857">
            <v>34190</v>
          </cell>
          <cell r="N857">
            <v>0</v>
          </cell>
          <cell r="O857">
            <v>34190</v>
          </cell>
          <cell r="P857">
            <v>0</v>
          </cell>
          <cell r="Q857" t="str">
            <v>한국</v>
          </cell>
          <cell r="R857" t="str">
            <v>냉장</v>
          </cell>
          <cell r="S857" t="str">
            <v>EA(1)</v>
          </cell>
          <cell r="T857" t="str">
            <v/>
          </cell>
          <cell r="U857" t="str">
            <v/>
          </cell>
          <cell r="V857" t="str">
            <v>2019-01-21</v>
          </cell>
          <cell r="W857" t="str">
            <v>2019-01-21 16:19:43</v>
          </cell>
          <cell r="X857" t="str">
            <v>더바른푸드</v>
          </cell>
        </row>
        <row r="858">
          <cell r="A858">
            <v>854</v>
          </cell>
          <cell r="B858" t="str">
            <v>2019-01-23</v>
          </cell>
          <cell r="C858" t="str">
            <v>더바른푸드</v>
          </cell>
          <cell r="D858" t="str">
            <v>더바른푸드</v>
          </cell>
          <cell r="E858" t="str">
            <v>일반</v>
          </cell>
          <cell r="F858" t="str">
            <v>입고완료</v>
          </cell>
          <cell r="G858">
            <v>190327</v>
          </cell>
          <cell r="H858" t="str">
            <v>이츠웰 감자전분(1Kg/EA)</v>
          </cell>
          <cell r="I858" t="str">
            <v>EA</v>
          </cell>
          <cell r="J858">
            <v>10</v>
          </cell>
          <cell r="K858">
            <v>10</v>
          </cell>
          <cell r="L858">
            <v>2500</v>
          </cell>
          <cell r="M858">
            <v>25000</v>
          </cell>
          <cell r="N858">
            <v>2500</v>
          </cell>
          <cell r="O858">
            <v>27500</v>
          </cell>
          <cell r="P858">
            <v>0</v>
          </cell>
          <cell r="Q858" t="str">
            <v>폴란드</v>
          </cell>
          <cell r="R858" t="str">
            <v>실온</v>
          </cell>
          <cell r="S858" t="str">
            <v>EA(10)</v>
          </cell>
          <cell r="T858" t="str">
            <v/>
          </cell>
          <cell r="U858" t="str">
            <v/>
          </cell>
          <cell r="V858" t="str">
            <v>2019-01-21</v>
          </cell>
          <cell r="W858" t="str">
            <v>2019-01-21 16:39:39</v>
          </cell>
          <cell r="X858" t="str">
            <v>더바른푸드</v>
          </cell>
        </row>
        <row r="859">
          <cell r="A859">
            <v>855</v>
          </cell>
          <cell r="B859" t="str">
            <v>2019-01-23</v>
          </cell>
          <cell r="C859" t="str">
            <v>더바른푸드</v>
          </cell>
          <cell r="D859" t="str">
            <v>더바른푸드</v>
          </cell>
          <cell r="E859" t="str">
            <v>일반</v>
          </cell>
          <cell r="F859" t="str">
            <v>입고완료</v>
          </cell>
          <cell r="G859">
            <v>125808</v>
          </cell>
          <cell r="H859" t="str">
            <v>순창궁 찰고추장(골드 캔_태양초 14Kg/EA)</v>
          </cell>
          <cell r="I859" t="str">
            <v>EA</v>
          </cell>
          <cell r="J859">
            <v>2</v>
          </cell>
          <cell r="K859">
            <v>2</v>
          </cell>
          <cell r="L859">
            <v>26640</v>
          </cell>
          <cell r="M859">
            <v>53280</v>
          </cell>
          <cell r="N859">
            <v>5328</v>
          </cell>
          <cell r="O859">
            <v>58608</v>
          </cell>
          <cell r="P859">
            <v>0</v>
          </cell>
          <cell r="Q859" t="str">
            <v/>
          </cell>
          <cell r="R859" t="str">
            <v>실온</v>
          </cell>
          <cell r="S859" t="str">
            <v>EA(1)</v>
          </cell>
          <cell r="T859" t="str">
            <v/>
          </cell>
          <cell r="U859" t="str">
            <v/>
          </cell>
          <cell r="V859" t="str">
            <v>2019-01-21</v>
          </cell>
          <cell r="W859" t="str">
            <v>2019-01-21 16:40:50</v>
          </cell>
          <cell r="X859" t="str">
            <v>더바른푸드</v>
          </cell>
        </row>
        <row r="860">
          <cell r="A860">
            <v>856</v>
          </cell>
          <cell r="B860" t="str">
            <v>2019-01-23</v>
          </cell>
          <cell r="C860" t="str">
            <v>더바른푸드</v>
          </cell>
          <cell r="D860" t="str">
            <v>더바른푸드</v>
          </cell>
          <cell r="E860" t="str">
            <v>일반</v>
          </cell>
          <cell r="F860" t="str">
            <v>입고완료</v>
          </cell>
          <cell r="G860">
            <v>203202</v>
          </cell>
          <cell r="H860" t="str">
            <v>맑은공기 쌀(일반미 20Kg/EA)</v>
          </cell>
          <cell r="I860" t="str">
            <v>EA</v>
          </cell>
          <cell r="J860">
            <v>20</v>
          </cell>
          <cell r="K860">
            <v>20</v>
          </cell>
          <cell r="L860">
            <v>49000</v>
          </cell>
          <cell r="M860">
            <v>980000</v>
          </cell>
          <cell r="N860">
            <v>0</v>
          </cell>
          <cell r="O860">
            <v>980000</v>
          </cell>
          <cell r="P860">
            <v>0</v>
          </cell>
          <cell r="Q860" t="str">
            <v>한국</v>
          </cell>
          <cell r="R860" t="str">
            <v>실온</v>
          </cell>
          <cell r="S860" t="str">
            <v>EA(1)</v>
          </cell>
          <cell r="T860" t="str">
            <v/>
          </cell>
          <cell r="U860" t="str">
            <v/>
          </cell>
          <cell r="V860" t="str">
            <v>2019-01-21</v>
          </cell>
          <cell r="W860" t="str">
            <v>2019-01-21 16:40:50</v>
          </cell>
          <cell r="X860" t="str">
            <v>더바른푸드</v>
          </cell>
        </row>
        <row r="861">
          <cell r="A861">
            <v>857</v>
          </cell>
          <cell r="B861" t="str">
            <v>2019-01-23</v>
          </cell>
          <cell r="C861" t="str">
            <v>더바른푸드</v>
          </cell>
          <cell r="D861" t="str">
            <v>더바른푸드</v>
          </cell>
          <cell r="E861" t="str">
            <v>일반</v>
          </cell>
          <cell r="F861" t="str">
            <v>입고완료</v>
          </cell>
          <cell r="G861">
            <v>118708</v>
          </cell>
          <cell r="H861" t="str">
            <v>한라 참치액(900ml 900g/EA)</v>
          </cell>
          <cell r="I861" t="str">
            <v>EA</v>
          </cell>
          <cell r="J861">
            <v>8</v>
          </cell>
          <cell r="K861">
            <v>8</v>
          </cell>
          <cell r="L861">
            <v>12580</v>
          </cell>
          <cell r="M861">
            <v>100640</v>
          </cell>
          <cell r="N861">
            <v>10064</v>
          </cell>
          <cell r="O861">
            <v>110704</v>
          </cell>
          <cell r="P861">
            <v>0</v>
          </cell>
          <cell r="Q861" t="str">
            <v/>
          </cell>
          <cell r="R861" t="str">
            <v>실온</v>
          </cell>
          <cell r="S861" t="str">
            <v>EA(20)</v>
          </cell>
          <cell r="T861" t="str">
            <v/>
          </cell>
          <cell r="U861" t="str">
            <v/>
          </cell>
          <cell r="V861" t="str">
            <v>2019-01-21</v>
          </cell>
          <cell r="W861" t="str">
            <v>2019-01-21 16:40:50</v>
          </cell>
          <cell r="X861" t="str">
            <v>더바른푸드</v>
          </cell>
        </row>
        <row r="862">
          <cell r="A862">
            <v>858</v>
          </cell>
          <cell r="B862" t="str">
            <v>2019-01-23</v>
          </cell>
          <cell r="C862" t="str">
            <v>더바른푸드</v>
          </cell>
          <cell r="D862" t="str">
            <v>더바른푸드</v>
          </cell>
          <cell r="E862" t="str">
            <v>일반</v>
          </cell>
          <cell r="F862" t="str">
            <v>입고완료</v>
          </cell>
          <cell r="G862">
            <v>228745</v>
          </cell>
          <cell r="H862" t="str">
            <v>임연수(내장제거_90~110g/토막 구이용 KG)</v>
          </cell>
          <cell r="I862" t="str">
            <v>KG</v>
          </cell>
          <cell r="J862">
            <v>10</v>
          </cell>
          <cell r="K862">
            <v>10</v>
          </cell>
          <cell r="L862">
            <v>8780</v>
          </cell>
          <cell r="M862">
            <v>87800</v>
          </cell>
          <cell r="N862">
            <v>0</v>
          </cell>
          <cell r="O862">
            <v>87800</v>
          </cell>
          <cell r="P862">
            <v>0</v>
          </cell>
          <cell r="Q862" t="str">
            <v>미국</v>
          </cell>
          <cell r="R862" t="str">
            <v>냉동</v>
          </cell>
          <cell r="S862" t="str">
            <v>KG(1)</v>
          </cell>
          <cell r="T862" t="str">
            <v/>
          </cell>
          <cell r="U862" t="str">
            <v/>
          </cell>
          <cell r="V862" t="str">
            <v>2019-01-22</v>
          </cell>
          <cell r="W862" t="str">
            <v>2019-01-22 14:53:32</v>
          </cell>
          <cell r="X862" t="str">
            <v>더바른푸드</v>
          </cell>
        </row>
        <row r="863">
          <cell r="A863">
            <v>859</v>
          </cell>
          <cell r="B863" t="str">
            <v>2019-01-23</v>
          </cell>
          <cell r="C863" t="str">
            <v>더바른푸드</v>
          </cell>
          <cell r="D863" t="str">
            <v>더바른푸드</v>
          </cell>
          <cell r="E863" t="str">
            <v>일반</v>
          </cell>
          <cell r="F863" t="str">
            <v>입고완료</v>
          </cell>
          <cell r="G863">
            <v>199437</v>
          </cell>
          <cell r="H863" t="str">
            <v>삼계탕재료세트(황기+대추+당귀+헛개나무+엄나무+오가피 80g/EA)</v>
          </cell>
          <cell r="I863" t="str">
            <v>EA</v>
          </cell>
          <cell r="J863">
            <v>4</v>
          </cell>
          <cell r="K863">
            <v>4</v>
          </cell>
          <cell r="L863">
            <v>2020</v>
          </cell>
          <cell r="M863">
            <v>8080</v>
          </cell>
          <cell r="N863">
            <v>0</v>
          </cell>
          <cell r="O863">
            <v>8080</v>
          </cell>
          <cell r="P863">
            <v>0</v>
          </cell>
          <cell r="Q863" t="str">
            <v>한국</v>
          </cell>
          <cell r="R863" t="str">
            <v>냉장</v>
          </cell>
          <cell r="S863" t="str">
            <v>EA(1)</v>
          </cell>
          <cell r="T863" t="str">
            <v/>
          </cell>
          <cell r="U863" t="str">
            <v/>
          </cell>
          <cell r="V863" t="str">
            <v>2019-01-22</v>
          </cell>
          <cell r="W863" t="str">
            <v>2019-01-22 14:53:32</v>
          </cell>
          <cell r="X863" t="str">
            <v>더바른푸드</v>
          </cell>
        </row>
        <row r="864">
          <cell r="A864">
            <v>860</v>
          </cell>
          <cell r="B864" t="str">
            <v>2019-01-23</v>
          </cell>
          <cell r="C864" t="str">
            <v>더바른푸드</v>
          </cell>
          <cell r="D864" t="str">
            <v>더바른푸드</v>
          </cell>
          <cell r="E864" t="str">
            <v>일반</v>
          </cell>
          <cell r="F864" t="str">
            <v>입고완료</v>
          </cell>
          <cell r="G864">
            <v>252267</v>
          </cell>
          <cell r="H864" t="str">
            <v>이츠웰 주방세제(리뉴얼_그린알로_13kg EA)</v>
          </cell>
          <cell r="I864" t="str">
            <v>EA</v>
          </cell>
          <cell r="J864">
            <v>3</v>
          </cell>
          <cell r="K864">
            <v>3</v>
          </cell>
          <cell r="L864">
            <v>11190</v>
          </cell>
          <cell r="M864">
            <v>33570</v>
          </cell>
          <cell r="N864">
            <v>3357</v>
          </cell>
          <cell r="O864">
            <v>36927</v>
          </cell>
          <cell r="P864">
            <v>0</v>
          </cell>
          <cell r="Q864" t="str">
            <v/>
          </cell>
          <cell r="R864" t="str">
            <v>실온</v>
          </cell>
          <cell r="S864" t="str">
            <v>EA(1)</v>
          </cell>
          <cell r="T864" t="str">
            <v/>
          </cell>
          <cell r="U864" t="str">
            <v/>
          </cell>
          <cell r="V864" t="str">
            <v>2019-01-22</v>
          </cell>
          <cell r="W864" t="str">
            <v>2019-01-22 15:01:53</v>
          </cell>
          <cell r="X864" t="str">
            <v>더바른푸드</v>
          </cell>
        </row>
        <row r="865">
          <cell r="A865">
            <v>861</v>
          </cell>
          <cell r="B865" t="str">
            <v>2019-01-23</v>
          </cell>
          <cell r="C865" t="str">
            <v>더바른푸드</v>
          </cell>
          <cell r="D865" t="str">
            <v>더바른푸드</v>
          </cell>
          <cell r="E865" t="str">
            <v>일반</v>
          </cell>
          <cell r="F865" t="str">
            <v>입고완료</v>
          </cell>
          <cell r="G865">
            <v>208502</v>
          </cell>
          <cell r="H865" t="str">
            <v>세척당근(3L 10Kg/EA)</v>
          </cell>
          <cell r="I865" t="str">
            <v>EA</v>
          </cell>
          <cell r="J865">
            <v>3</v>
          </cell>
          <cell r="K865">
            <v>3</v>
          </cell>
          <cell r="L865">
            <v>11980</v>
          </cell>
          <cell r="M865">
            <v>35940</v>
          </cell>
          <cell r="N865">
            <v>0</v>
          </cell>
          <cell r="O865">
            <v>35940</v>
          </cell>
          <cell r="P865">
            <v>0</v>
          </cell>
          <cell r="Q865" t="str">
            <v>중국</v>
          </cell>
          <cell r="R865" t="str">
            <v>실온</v>
          </cell>
          <cell r="S865" t="str">
            <v>EA(1)</v>
          </cell>
          <cell r="T865" t="str">
            <v/>
          </cell>
          <cell r="U865" t="str">
            <v/>
          </cell>
          <cell r="V865" t="str">
            <v>2019-01-22</v>
          </cell>
          <cell r="W865" t="str">
            <v>2019-01-22 15:52:32</v>
          </cell>
          <cell r="X865" t="str">
            <v>더바른푸드</v>
          </cell>
        </row>
        <row r="866">
          <cell r="A866">
            <v>862</v>
          </cell>
          <cell r="B866" t="str">
            <v>2019-01-23</v>
          </cell>
          <cell r="C866" t="str">
            <v>더바른푸드</v>
          </cell>
          <cell r="D866" t="str">
            <v>더바른푸드</v>
          </cell>
          <cell r="E866" t="str">
            <v>일반</v>
          </cell>
          <cell r="F866" t="str">
            <v>입고완료</v>
          </cell>
          <cell r="G866">
            <v>256983</v>
          </cell>
          <cell r="H866" t="str">
            <v>늘만나 맛김치(약숙_일반 10Kg/BOX)</v>
          </cell>
          <cell r="I866" t="str">
            <v>BOX</v>
          </cell>
          <cell r="J866">
            <v>2</v>
          </cell>
          <cell r="K866">
            <v>2</v>
          </cell>
          <cell r="L866">
            <v>32900</v>
          </cell>
          <cell r="M866">
            <v>65800</v>
          </cell>
          <cell r="N866">
            <v>0</v>
          </cell>
          <cell r="O866">
            <v>65800</v>
          </cell>
          <cell r="P866">
            <v>0</v>
          </cell>
          <cell r="Q866" t="str">
            <v/>
          </cell>
          <cell r="R866" t="str">
            <v>냉장</v>
          </cell>
          <cell r="S866" t="str">
            <v>BOX(1)</v>
          </cell>
          <cell r="T866" t="str">
            <v/>
          </cell>
          <cell r="U866" t="str">
            <v/>
          </cell>
          <cell r="V866" t="str">
            <v>2019-01-22</v>
          </cell>
          <cell r="W866" t="str">
            <v>2019-01-22 16:00:13</v>
          </cell>
          <cell r="X866" t="str">
            <v>더바른푸드</v>
          </cell>
        </row>
        <row r="867">
          <cell r="A867">
            <v>863</v>
          </cell>
          <cell r="B867" t="str">
            <v>2019-01-23</v>
          </cell>
          <cell r="C867" t="str">
            <v>더바른푸드</v>
          </cell>
          <cell r="D867" t="str">
            <v>더바른푸드</v>
          </cell>
          <cell r="E867" t="str">
            <v>일반</v>
          </cell>
          <cell r="F867" t="str">
            <v>입고완료</v>
          </cell>
          <cell r="G867">
            <v>125639</v>
          </cell>
          <cell r="H867" t="str">
            <v>염전하늘 천일염(20Kg/EA)</v>
          </cell>
          <cell r="I867" t="str">
            <v>EA</v>
          </cell>
          <cell r="J867">
            <v>1</v>
          </cell>
          <cell r="K867">
            <v>1</v>
          </cell>
          <cell r="L867">
            <v>10170</v>
          </cell>
          <cell r="M867">
            <v>10170</v>
          </cell>
          <cell r="N867">
            <v>0</v>
          </cell>
          <cell r="O867">
            <v>10170</v>
          </cell>
          <cell r="P867">
            <v>0</v>
          </cell>
          <cell r="Q867" t="str">
            <v/>
          </cell>
          <cell r="R867" t="str">
            <v>실온</v>
          </cell>
          <cell r="S867" t="str">
            <v>EA(1)</v>
          </cell>
          <cell r="T867" t="str">
            <v/>
          </cell>
          <cell r="U867" t="str">
            <v/>
          </cell>
          <cell r="V867" t="str">
            <v>2019-01-22</v>
          </cell>
          <cell r="W867" t="str">
            <v>2019-01-22 16:53:26</v>
          </cell>
          <cell r="X867" t="str">
            <v>더바른푸드</v>
          </cell>
        </row>
        <row r="868">
          <cell r="A868">
            <v>864</v>
          </cell>
          <cell r="B868" t="str">
            <v>2019-01-23</v>
          </cell>
          <cell r="C868" t="str">
            <v>더바른푸드</v>
          </cell>
          <cell r="D868" t="str">
            <v>더바른푸드</v>
          </cell>
          <cell r="E868" t="str">
            <v>일반</v>
          </cell>
          <cell r="F868" t="str">
            <v>입고완료</v>
          </cell>
          <cell r="G868">
            <v>252293</v>
          </cell>
          <cell r="H868" t="str">
            <v>청아띠 자연담은고춧가루(장용 1Kg/EA)</v>
          </cell>
          <cell r="I868" t="str">
            <v>EA</v>
          </cell>
          <cell r="J868">
            <v>5</v>
          </cell>
          <cell r="K868">
            <v>5</v>
          </cell>
          <cell r="L868">
            <v>24420</v>
          </cell>
          <cell r="M868">
            <v>122100</v>
          </cell>
          <cell r="N868">
            <v>0</v>
          </cell>
          <cell r="O868">
            <v>122100</v>
          </cell>
          <cell r="P868">
            <v>0</v>
          </cell>
          <cell r="Q868" t="str">
            <v>한국</v>
          </cell>
          <cell r="R868" t="str">
            <v>실온</v>
          </cell>
          <cell r="S868" t="str">
            <v>EA(10)</v>
          </cell>
          <cell r="T868" t="str">
            <v/>
          </cell>
          <cell r="U868" t="str">
            <v/>
          </cell>
          <cell r="V868" t="str">
            <v>2019-01-22</v>
          </cell>
          <cell r="W868" t="str">
            <v>2019-01-22 16:54:22</v>
          </cell>
          <cell r="X868" t="str">
            <v>더바른푸드</v>
          </cell>
        </row>
        <row r="869">
          <cell r="A869">
            <v>865</v>
          </cell>
          <cell r="B869" t="str">
            <v>2019-01-23</v>
          </cell>
          <cell r="C869" t="str">
            <v>더바른푸드</v>
          </cell>
          <cell r="D869" t="str">
            <v>더바른푸드</v>
          </cell>
          <cell r="E869" t="str">
            <v>일반</v>
          </cell>
          <cell r="F869" t="str">
            <v>입고완료</v>
          </cell>
          <cell r="G869">
            <v>106520</v>
          </cell>
          <cell r="H869" t="str">
            <v>백설 맛소금(중간입자 5Kg/EA)</v>
          </cell>
          <cell r="I869" t="str">
            <v>EA</v>
          </cell>
          <cell r="J869">
            <v>5</v>
          </cell>
          <cell r="K869">
            <v>5</v>
          </cell>
          <cell r="L869">
            <v>5730</v>
          </cell>
          <cell r="M869">
            <v>28650</v>
          </cell>
          <cell r="N869">
            <v>2865</v>
          </cell>
          <cell r="O869">
            <v>31515</v>
          </cell>
          <cell r="P869">
            <v>0</v>
          </cell>
          <cell r="Q869" t="str">
            <v/>
          </cell>
          <cell r="R869" t="str">
            <v>실온</v>
          </cell>
          <cell r="S869" t="str">
            <v>EA(4)</v>
          </cell>
          <cell r="T869" t="str">
            <v/>
          </cell>
          <cell r="U869" t="str">
            <v/>
          </cell>
          <cell r="V869" t="str">
            <v>2019-01-22</v>
          </cell>
          <cell r="W869" t="str">
            <v>2019-01-22 16:54:22</v>
          </cell>
          <cell r="X869" t="str">
            <v>더바른푸드</v>
          </cell>
        </row>
        <row r="870">
          <cell r="A870">
            <v>866</v>
          </cell>
          <cell r="B870" t="str">
            <v>2019-01-22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1">
          <cell r="A871">
            <v>867</v>
          </cell>
          <cell r="B871" t="str">
            <v>2019-01-22</v>
          </cell>
          <cell r="C871" t="str">
            <v>더바른푸드</v>
          </cell>
          <cell r="D871" t="str">
            <v>더바른푸드</v>
          </cell>
          <cell r="E871" t="str">
            <v>일반</v>
          </cell>
          <cell r="F871" t="str">
            <v>입고완료</v>
          </cell>
          <cell r="G871">
            <v>245786</v>
          </cell>
          <cell r="H871" t="str">
            <v>종로복떡방 앙금절편(25g*40개 1Kg/BOX)</v>
          </cell>
          <cell r="I871" t="str">
            <v>BOX</v>
          </cell>
          <cell r="J871">
            <v>6</v>
          </cell>
          <cell r="K871">
            <v>6</v>
          </cell>
          <cell r="L871">
            <v>8750</v>
          </cell>
          <cell r="M871">
            <v>52500</v>
          </cell>
          <cell r="N871">
            <v>5250</v>
          </cell>
          <cell r="O871">
            <v>57750</v>
          </cell>
          <cell r="P871">
            <v>0</v>
          </cell>
          <cell r="Q871" t="str">
            <v>한국</v>
          </cell>
          <cell r="R871" t="str">
            <v>냉동</v>
          </cell>
          <cell r="S871" t="str">
            <v>BOX(1)</v>
          </cell>
          <cell r="T871" t="str">
            <v/>
          </cell>
          <cell r="U871" t="str">
            <v/>
          </cell>
          <cell r="V871" t="str">
            <v>2019-01-17</v>
          </cell>
          <cell r="W871" t="str">
            <v>2019-01-17 18:30:10</v>
          </cell>
          <cell r="X871" t="str">
            <v>더바른푸드</v>
          </cell>
        </row>
        <row r="872">
          <cell r="A872">
            <v>868</v>
          </cell>
          <cell r="B872" t="str">
            <v>2019-01-22</v>
          </cell>
          <cell r="C872" t="str">
            <v>더바른푸드</v>
          </cell>
          <cell r="D872" t="str">
            <v>더바른푸드</v>
          </cell>
          <cell r="E872" t="str">
            <v>일반</v>
          </cell>
          <cell r="F872" t="str">
            <v>입고완료</v>
          </cell>
          <cell r="G872">
            <v>259671</v>
          </cell>
          <cell r="H872" t="str">
            <v>세준푸드 맑은식혜(유기농 125g/EA)</v>
          </cell>
          <cell r="I872" t="str">
            <v>BOX</v>
          </cell>
          <cell r="J872">
            <v>2</v>
          </cell>
          <cell r="K872">
            <v>2</v>
          </cell>
          <cell r="L872">
            <v>10320</v>
          </cell>
          <cell r="M872">
            <v>20640</v>
          </cell>
          <cell r="N872">
            <v>2064</v>
          </cell>
          <cell r="O872">
            <v>22704</v>
          </cell>
          <cell r="P872">
            <v>0</v>
          </cell>
          <cell r="Q872" t="str">
            <v/>
          </cell>
          <cell r="R872" t="str">
            <v>실온</v>
          </cell>
          <cell r="S872" t="str">
            <v>EA(24)</v>
          </cell>
          <cell r="T872" t="str">
            <v/>
          </cell>
          <cell r="U872" t="str">
            <v/>
          </cell>
          <cell r="V872" t="str">
            <v>2019-01-17</v>
          </cell>
          <cell r="W872" t="str">
            <v>2019-01-17 18:33:14</v>
          </cell>
          <cell r="X872" t="str">
            <v>더바른푸드</v>
          </cell>
        </row>
        <row r="873">
          <cell r="A873">
            <v>869</v>
          </cell>
          <cell r="B873" t="str">
            <v>2019-01-22</v>
          </cell>
          <cell r="C873" t="str">
            <v>더바른푸드</v>
          </cell>
          <cell r="D873" t="str">
            <v>더바른푸드</v>
          </cell>
          <cell r="E873" t="str">
            <v>일반</v>
          </cell>
          <cell r="F873" t="str">
            <v>입고완료</v>
          </cell>
          <cell r="G873">
            <v>136633</v>
          </cell>
          <cell r="H873" t="str">
            <v>이오 요구르트(80ml_유기농 80g/EA)</v>
          </cell>
          <cell r="I873" t="str">
            <v>EA</v>
          </cell>
          <cell r="J873">
            <v>140</v>
          </cell>
          <cell r="K873">
            <v>140</v>
          </cell>
          <cell r="L873">
            <v>300</v>
          </cell>
          <cell r="M873">
            <v>42000</v>
          </cell>
          <cell r="N873">
            <v>4200</v>
          </cell>
          <cell r="O873">
            <v>46200</v>
          </cell>
          <cell r="P873">
            <v>0</v>
          </cell>
          <cell r="Q873" t="str">
            <v>한국</v>
          </cell>
          <cell r="R873" t="str">
            <v>냉장</v>
          </cell>
          <cell r="S873" t="str">
            <v>EA(50)</v>
          </cell>
          <cell r="T873" t="str">
            <v/>
          </cell>
          <cell r="U873" t="str">
            <v/>
          </cell>
          <cell r="V873" t="str">
            <v>2019-01-17</v>
          </cell>
          <cell r="W873" t="str">
            <v>2019-01-17 18:34:15</v>
          </cell>
          <cell r="X873" t="str">
            <v>더바른푸드</v>
          </cell>
        </row>
        <row r="874">
          <cell r="A874">
            <v>870</v>
          </cell>
          <cell r="B874" t="str">
            <v>2019-01-22</v>
          </cell>
          <cell r="C874" t="str">
            <v>더바른푸드</v>
          </cell>
          <cell r="D874" t="str">
            <v>더바른푸드</v>
          </cell>
          <cell r="E874" t="str">
            <v>일반</v>
          </cell>
          <cell r="F874" t="str">
            <v>입고완료</v>
          </cell>
          <cell r="G874">
            <v>258414</v>
          </cell>
          <cell r="H874" t="str">
            <v>청우식품 밥풀과자(8개내외 100g/EA)</v>
          </cell>
          <cell r="I874" t="str">
            <v>EA</v>
          </cell>
          <cell r="J874">
            <v>10</v>
          </cell>
          <cell r="K874">
            <v>10</v>
          </cell>
          <cell r="L874">
            <v>840</v>
          </cell>
          <cell r="M874">
            <v>8400</v>
          </cell>
          <cell r="N874">
            <v>840</v>
          </cell>
          <cell r="O874">
            <v>9240</v>
          </cell>
          <cell r="P874">
            <v>0</v>
          </cell>
          <cell r="Q874" t="str">
            <v/>
          </cell>
          <cell r="R874" t="str">
            <v>실온</v>
          </cell>
          <cell r="S874" t="str">
            <v>EA(1)</v>
          </cell>
          <cell r="T874" t="str">
            <v/>
          </cell>
          <cell r="U874" t="str">
            <v/>
          </cell>
          <cell r="V874" t="str">
            <v>2019-01-17</v>
          </cell>
          <cell r="W874" t="str">
            <v>2019-01-17 18:45:18</v>
          </cell>
          <cell r="X874" t="str">
            <v>더바른푸드</v>
          </cell>
        </row>
        <row r="875">
          <cell r="A875">
            <v>871</v>
          </cell>
          <cell r="B875" t="str">
            <v>2019-01-22</v>
          </cell>
          <cell r="C875" t="str">
            <v>더바른푸드</v>
          </cell>
          <cell r="D875" t="str">
            <v>더바른푸드</v>
          </cell>
          <cell r="E875" t="str">
            <v>일반</v>
          </cell>
          <cell r="F875" t="str">
            <v>입고완료</v>
          </cell>
          <cell r="G875">
            <v>206051</v>
          </cell>
          <cell r="H875" t="str">
            <v>당근(0.3cm다진것 계란말이용 1Kg/PAC)</v>
          </cell>
          <cell r="I875" t="str">
            <v>PAC</v>
          </cell>
          <cell r="J875">
            <v>5</v>
          </cell>
          <cell r="K875">
            <v>5</v>
          </cell>
          <cell r="L875">
            <v>3930</v>
          </cell>
          <cell r="M875">
            <v>19650</v>
          </cell>
          <cell r="N875">
            <v>0</v>
          </cell>
          <cell r="O875">
            <v>19650</v>
          </cell>
          <cell r="P875">
            <v>0</v>
          </cell>
          <cell r="Q875" t="str">
            <v>한국</v>
          </cell>
          <cell r="R875" t="str">
            <v>냉장</v>
          </cell>
          <cell r="S875" t="str">
            <v>PAC(1)</v>
          </cell>
          <cell r="T875" t="str">
            <v/>
          </cell>
          <cell r="U875" t="str">
            <v/>
          </cell>
          <cell r="V875" t="str">
            <v>2019-01-18</v>
          </cell>
          <cell r="W875" t="str">
            <v>2019-01-18 17:10:03</v>
          </cell>
          <cell r="X875" t="str">
            <v>더바른푸드</v>
          </cell>
        </row>
        <row r="876">
          <cell r="A876">
            <v>872</v>
          </cell>
          <cell r="B876" t="str">
            <v>2019-01-22</v>
          </cell>
          <cell r="C876" t="str">
            <v>더바른푸드</v>
          </cell>
          <cell r="D876" t="str">
            <v>더바른푸드</v>
          </cell>
          <cell r="E876" t="str">
            <v>일반</v>
          </cell>
          <cell r="F876" t="str">
            <v>입고완료</v>
          </cell>
          <cell r="G876">
            <v>123913</v>
          </cell>
          <cell r="H876" t="str">
            <v>쉐프솔루션 타르타르드레싱(2Kg/EA)</v>
          </cell>
          <cell r="I876" t="str">
            <v>EA</v>
          </cell>
          <cell r="J876">
            <v>3</v>
          </cell>
          <cell r="K876">
            <v>3</v>
          </cell>
          <cell r="L876">
            <v>5910</v>
          </cell>
          <cell r="M876">
            <v>17730</v>
          </cell>
          <cell r="N876">
            <v>1773</v>
          </cell>
          <cell r="O876">
            <v>19503</v>
          </cell>
          <cell r="P876">
            <v>0</v>
          </cell>
          <cell r="Q876" t="str">
            <v/>
          </cell>
          <cell r="R876" t="str">
            <v>냉장</v>
          </cell>
          <cell r="S876" t="str">
            <v>EA(6)</v>
          </cell>
          <cell r="T876" t="str">
            <v/>
          </cell>
          <cell r="U876" t="str">
            <v/>
          </cell>
          <cell r="V876" t="str">
            <v>2019-01-18</v>
          </cell>
          <cell r="W876" t="str">
            <v>2019-01-18 17:20:25</v>
          </cell>
          <cell r="X876" t="str">
            <v>더바른푸드</v>
          </cell>
        </row>
        <row r="877">
          <cell r="A877">
            <v>873</v>
          </cell>
          <cell r="B877" t="str">
            <v>2019-01-22</v>
          </cell>
          <cell r="C877" t="str">
            <v>더바른푸드</v>
          </cell>
          <cell r="D877" t="str">
            <v>더바른푸드</v>
          </cell>
          <cell r="E877" t="str">
            <v>일반</v>
          </cell>
          <cell r="F877" t="str">
            <v>입고완료</v>
          </cell>
          <cell r="G877">
            <v>237935</v>
          </cell>
          <cell r="H877" t="str">
            <v>이츠웰 탈피들깨가루(1Kg/EA)</v>
          </cell>
          <cell r="I877" t="str">
            <v>EA</v>
          </cell>
          <cell r="J877">
            <v>14</v>
          </cell>
          <cell r="K877">
            <v>14</v>
          </cell>
          <cell r="L877">
            <v>9210</v>
          </cell>
          <cell r="M877">
            <v>128940</v>
          </cell>
          <cell r="N877">
            <v>12894</v>
          </cell>
          <cell r="O877">
            <v>141834</v>
          </cell>
          <cell r="P877">
            <v>0</v>
          </cell>
          <cell r="Q877" t="str">
            <v/>
          </cell>
          <cell r="R877" t="str">
            <v>실온</v>
          </cell>
          <cell r="S877" t="str">
            <v>EA(10)</v>
          </cell>
          <cell r="T877" t="str">
            <v/>
          </cell>
          <cell r="U877" t="str">
            <v/>
          </cell>
          <cell r="V877" t="str">
            <v>2019-01-18</v>
          </cell>
          <cell r="W877" t="str">
            <v>2019-01-18 17:28:34</v>
          </cell>
          <cell r="X877" t="str">
            <v>더바른푸드</v>
          </cell>
        </row>
        <row r="878">
          <cell r="A878">
            <v>874</v>
          </cell>
          <cell r="B878" t="str">
            <v>2019-01-22</v>
          </cell>
          <cell r="C878" t="str">
            <v>더바른푸드</v>
          </cell>
          <cell r="D878" t="str">
            <v>더바른푸드</v>
          </cell>
          <cell r="E878" t="str">
            <v>일반</v>
          </cell>
          <cell r="F878" t="str">
            <v>입고완료</v>
          </cell>
          <cell r="G878">
            <v>143227</v>
          </cell>
          <cell r="H878" t="str">
            <v>이츠웰 파인애플캔(실속 슬라이스 3.063Kg/EA)</v>
          </cell>
          <cell r="I878" t="str">
            <v>EA</v>
          </cell>
          <cell r="J878">
            <v>10</v>
          </cell>
          <cell r="K878">
            <v>10</v>
          </cell>
          <cell r="L878">
            <v>8580</v>
          </cell>
          <cell r="M878">
            <v>85800</v>
          </cell>
          <cell r="N878">
            <v>8580</v>
          </cell>
          <cell r="O878">
            <v>94380</v>
          </cell>
          <cell r="P878">
            <v>0</v>
          </cell>
          <cell r="Q878" t="str">
            <v>태국</v>
          </cell>
          <cell r="R878" t="str">
            <v>실온</v>
          </cell>
          <cell r="S878" t="str">
            <v>EA(6)</v>
          </cell>
          <cell r="T878" t="str">
            <v/>
          </cell>
          <cell r="U878" t="str">
            <v/>
          </cell>
          <cell r="V878" t="str">
            <v>2019-01-18</v>
          </cell>
          <cell r="W878" t="str">
            <v>2019-01-18 17:33:31</v>
          </cell>
          <cell r="X878" t="str">
            <v>더바른푸드</v>
          </cell>
        </row>
        <row r="879">
          <cell r="A879">
            <v>875</v>
          </cell>
          <cell r="B879" t="str">
            <v>2019-01-22</v>
          </cell>
          <cell r="C879" t="str">
            <v>더바른푸드</v>
          </cell>
          <cell r="D879" t="str">
            <v>더바른푸드</v>
          </cell>
          <cell r="E879" t="str">
            <v>일반</v>
          </cell>
          <cell r="F879" t="str">
            <v>입고완료</v>
          </cell>
          <cell r="G879">
            <v>130603</v>
          </cell>
          <cell r="H879" t="str">
            <v>이츠웰 탱글탱글새우까스(60g*10입 600g/EA)</v>
          </cell>
          <cell r="I879" t="str">
            <v>EA</v>
          </cell>
          <cell r="J879">
            <v>215</v>
          </cell>
          <cell r="K879">
            <v>215</v>
          </cell>
          <cell r="L879">
            <v>6310</v>
          </cell>
          <cell r="M879">
            <v>1356650</v>
          </cell>
          <cell r="N879">
            <v>135665</v>
          </cell>
          <cell r="O879">
            <v>1492315</v>
          </cell>
          <cell r="P879">
            <v>0</v>
          </cell>
          <cell r="Q879" t="str">
            <v/>
          </cell>
          <cell r="R879" t="str">
            <v>냉동</v>
          </cell>
          <cell r="S879" t="str">
            <v>EA(10)</v>
          </cell>
          <cell r="T879" t="str">
            <v/>
          </cell>
          <cell r="U879" t="str">
            <v/>
          </cell>
          <cell r="V879" t="str">
            <v>2019-01-18</v>
          </cell>
          <cell r="W879" t="str">
            <v>2019-01-18 17:48:20</v>
          </cell>
          <cell r="X879" t="str">
            <v>더바른푸드</v>
          </cell>
        </row>
        <row r="880">
          <cell r="A880">
            <v>876</v>
          </cell>
          <cell r="B880" t="str">
            <v>2019-01-22</v>
          </cell>
          <cell r="C880" t="str">
            <v>더바른푸드</v>
          </cell>
          <cell r="D880" t="str">
            <v>더바른푸드</v>
          </cell>
          <cell r="E880" t="str">
            <v>일반</v>
          </cell>
          <cell r="F880" t="str">
            <v>입고완료</v>
          </cell>
          <cell r="G880">
            <v>197120</v>
          </cell>
          <cell r="H880" t="str">
            <v>종가집 포기김치(숙성 10Kg/BOX)</v>
          </cell>
          <cell r="I880" t="str">
            <v>BOX</v>
          </cell>
          <cell r="J880">
            <v>10</v>
          </cell>
          <cell r="K880">
            <v>10</v>
          </cell>
          <cell r="L880">
            <v>31390</v>
          </cell>
          <cell r="M880">
            <v>313900</v>
          </cell>
          <cell r="N880">
            <v>0</v>
          </cell>
          <cell r="O880">
            <v>313900</v>
          </cell>
          <cell r="P880">
            <v>0</v>
          </cell>
          <cell r="Q880" t="str">
            <v>한국</v>
          </cell>
          <cell r="R880" t="str">
            <v>냉장</v>
          </cell>
          <cell r="S880" t="str">
            <v>BOX(1)</v>
          </cell>
          <cell r="T880" t="str">
            <v/>
          </cell>
          <cell r="U880" t="str">
            <v/>
          </cell>
          <cell r="V880" t="str">
            <v>2019-01-18</v>
          </cell>
          <cell r="W880" t="str">
            <v>2019-01-18 18:12:58</v>
          </cell>
          <cell r="X880" t="str">
            <v>더바른푸드</v>
          </cell>
        </row>
        <row r="881">
          <cell r="A881">
            <v>877</v>
          </cell>
          <cell r="B881" t="str">
            <v>2019-01-22</v>
          </cell>
          <cell r="C881" t="str">
            <v>더바른푸드</v>
          </cell>
          <cell r="D881" t="str">
            <v>더바른푸드</v>
          </cell>
          <cell r="E881" t="str">
            <v>일반</v>
          </cell>
          <cell r="F881" t="str">
            <v>입고완료</v>
          </cell>
          <cell r="G881">
            <v>256892</v>
          </cell>
          <cell r="H881" t="str">
            <v>늘만나 깍두기(약숙_일반 10Kg/BOX)</v>
          </cell>
          <cell r="I881" t="str">
            <v>BOX</v>
          </cell>
          <cell r="J881">
            <v>1</v>
          </cell>
          <cell r="K881">
            <v>1</v>
          </cell>
          <cell r="L881">
            <v>30320</v>
          </cell>
          <cell r="M881">
            <v>30320</v>
          </cell>
          <cell r="N881">
            <v>0</v>
          </cell>
          <cell r="O881">
            <v>30320</v>
          </cell>
          <cell r="P881">
            <v>0</v>
          </cell>
          <cell r="Q881" t="str">
            <v/>
          </cell>
          <cell r="R881" t="str">
            <v>냉장</v>
          </cell>
          <cell r="S881" t="str">
            <v>BOX(1)</v>
          </cell>
          <cell r="T881" t="str">
            <v/>
          </cell>
          <cell r="U881" t="str">
            <v/>
          </cell>
          <cell r="V881" t="str">
            <v>2019-01-18</v>
          </cell>
          <cell r="W881" t="str">
            <v>2019-01-18 18:28:22</v>
          </cell>
          <cell r="X881" t="str">
            <v>더바른푸드</v>
          </cell>
        </row>
        <row r="882">
          <cell r="A882">
            <v>878</v>
          </cell>
          <cell r="B882" t="str">
            <v>2019-01-22</v>
          </cell>
          <cell r="C882" t="str">
            <v>더바른푸드</v>
          </cell>
          <cell r="D882" t="str">
            <v>더바른푸드</v>
          </cell>
          <cell r="E882" t="str">
            <v>일반</v>
          </cell>
          <cell r="F882" t="str">
            <v>입고완료</v>
          </cell>
          <cell r="G882">
            <v>198029</v>
          </cell>
          <cell r="H882" t="str">
            <v>농촌 맛김치(일배용 10Kg/BOX)</v>
          </cell>
          <cell r="I882" t="str">
            <v>BOX</v>
          </cell>
          <cell r="J882">
            <v>1</v>
          </cell>
          <cell r="K882">
            <v>1</v>
          </cell>
          <cell r="L882">
            <v>10510</v>
          </cell>
          <cell r="M882">
            <v>10510</v>
          </cell>
          <cell r="N882">
            <v>0</v>
          </cell>
          <cell r="O882">
            <v>10510</v>
          </cell>
          <cell r="P882">
            <v>0</v>
          </cell>
          <cell r="Q882" t="str">
            <v>중국</v>
          </cell>
          <cell r="R882" t="str">
            <v>냉장</v>
          </cell>
          <cell r="S882" t="str">
            <v>BOX(1)</v>
          </cell>
          <cell r="T882" t="str">
            <v/>
          </cell>
          <cell r="U882" t="str">
            <v/>
          </cell>
          <cell r="V882" t="str">
            <v>2019-01-18</v>
          </cell>
          <cell r="W882" t="str">
            <v>2019-01-18 18:28:22</v>
          </cell>
          <cell r="X882" t="str">
            <v>더바른푸드</v>
          </cell>
        </row>
        <row r="883">
          <cell r="A883">
            <v>879</v>
          </cell>
          <cell r="B883" t="str">
            <v>2019-01-22</v>
          </cell>
          <cell r="C883" t="str">
            <v>더바른푸드</v>
          </cell>
          <cell r="D883" t="str">
            <v>더바른푸드</v>
          </cell>
          <cell r="E883" t="str">
            <v>일반</v>
          </cell>
          <cell r="F883" t="str">
            <v>입고완료</v>
          </cell>
          <cell r="G883">
            <v>179562</v>
          </cell>
          <cell r="H883" t="str">
            <v>한결 맛김치(일배용 10Kg/BOX)</v>
          </cell>
          <cell r="I883" t="str">
            <v>BOX</v>
          </cell>
          <cell r="J883">
            <v>1</v>
          </cell>
          <cell r="K883">
            <v>1</v>
          </cell>
          <cell r="L883">
            <v>10510</v>
          </cell>
          <cell r="M883">
            <v>10510</v>
          </cell>
          <cell r="N883">
            <v>0</v>
          </cell>
          <cell r="O883">
            <v>10510</v>
          </cell>
          <cell r="P883">
            <v>0</v>
          </cell>
          <cell r="Q883" t="str">
            <v>중국</v>
          </cell>
          <cell r="R883" t="str">
            <v>냉장</v>
          </cell>
          <cell r="S883" t="str">
            <v>BOX(1)</v>
          </cell>
          <cell r="T883" t="str">
            <v/>
          </cell>
          <cell r="U883" t="str">
            <v/>
          </cell>
          <cell r="V883" t="str">
            <v>2019-01-18</v>
          </cell>
          <cell r="W883" t="str">
            <v>2019-01-18 18:28:22</v>
          </cell>
          <cell r="X883" t="str">
            <v>더바른푸드</v>
          </cell>
        </row>
        <row r="884">
          <cell r="A884">
            <v>880</v>
          </cell>
          <cell r="B884" t="str">
            <v>2019-01-22</v>
          </cell>
          <cell r="C884" t="str">
            <v>더바른푸드</v>
          </cell>
          <cell r="D884" t="str">
            <v>더바른푸드</v>
          </cell>
          <cell r="E884" t="str">
            <v>일반</v>
          </cell>
          <cell r="F884" t="str">
            <v>입고완료</v>
          </cell>
          <cell r="G884">
            <v>168257</v>
          </cell>
          <cell r="H884" t="str">
            <v>명품 판두부(찌개용 3Kg/EA)</v>
          </cell>
          <cell r="I884" t="str">
            <v>EA</v>
          </cell>
          <cell r="J884">
            <v>7</v>
          </cell>
          <cell r="K884">
            <v>7</v>
          </cell>
          <cell r="L884">
            <v>4000</v>
          </cell>
          <cell r="M884">
            <v>28000</v>
          </cell>
          <cell r="N884">
            <v>0</v>
          </cell>
          <cell r="O884">
            <v>28000</v>
          </cell>
          <cell r="P884">
            <v>0</v>
          </cell>
          <cell r="Q884" t="str">
            <v>수입산</v>
          </cell>
          <cell r="R884" t="str">
            <v>냉장</v>
          </cell>
          <cell r="S884" t="str">
            <v>EA(1)</v>
          </cell>
          <cell r="T884" t="str">
            <v/>
          </cell>
          <cell r="U884" t="str">
            <v/>
          </cell>
          <cell r="V884" t="str">
            <v>2019-01-21</v>
          </cell>
          <cell r="W884" t="str">
            <v>2019-01-21 11:27:54</v>
          </cell>
          <cell r="X884" t="str">
            <v>더바른푸드</v>
          </cell>
        </row>
        <row r="885">
          <cell r="A885">
            <v>881</v>
          </cell>
          <cell r="B885" t="str">
            <v>2019-01-22</v>
          </cell>
          <cell r="C885" t="str">
            <v>더바른푸드</v>
          </cell>
          <cell r="D885" t="str">
            <v>더바른푸드</v>
          </cell>
          <cell r="E885" t="str">
            <v>일반</v>
          </cell>
          <cell r="F885" t="str">
            <v>입고완료</v>
          </cell>
          <cell r="G885">
            <v>211037</v>
          </cell>
          <cell r="H885" t="str">
            <v>느타리버섯(실속 균상 2Kg/EA)</v>
          </cell>
          <cell r="I885" t="str">
            <v>BOX</v>
          </cell>
          <cell r="J885">
            <v>11</v>
          </cell>
          <cell r="K885">
            <v>11</v>
          </cell>
          <cell r="L885">
            <v>7650</v>
          </cell>
          <cell r="M885">
            <v>84150</v>
          </cell>
          <cell r="N885">
            <v>0</v>
          </cell>
          <cell r="O885">
            <v>84150</v>
          </cell>
          <cell r="P885">
            <v>0</v>
          </cell>
          <cell r="Q885" t="str">
            <v>한국</v>
          </cell>
          <cell r="R885" t="str">
            <v>냉장</v>
          </cell>
          <cell r="S885" t="str">
            <v>EA(1)</v>
          </cell>
          <cell r="T885" t="str">
            <v/>
          </cell>
          <cell r="U885" t="str">
            <v/>
          </cell>
          <cell r="V885" t="str">
            <v>2019-01-21</v>
          </cell>
          <cell r="W885" t="str">
            <v>2019-01-21 11:27:54</v>
          </cell>
          <cell r="X885" t="str">
            <v>더바른푸드</v>
          </cell>
        </row>
        <row r="886">
          <cell r="A886">
            <v>882</v>
          </cell>
          <cell r="B886" t="str">
            <v>2019-01-22</v>
          </cell>
          <cell r="C886" t="str">
            <v>더바른푸드</v>
          </cell>
          <cell r="D886" t="str">
            <v>더바른푸드</v>
          </cell>
          <cell r="E886" t="str">
            <v>일반</v>
          </cell>
          <cell r="F886" t="str">
            <v>입고완료</v>
          </cell>
          <cell r="G886">
            <v>407221</v>
          </cell>
          <cell r="H886" t="str">
            <v>닭다리살(3cm깍둑썰기_정육_껍질있음 KG)</v>
          </cell>
          <cell r="I886" t="str">
            <v>KG</v>
          </cell>
          <cell r="J886">
            <v>250</v>
          </cell>
          <cell r="K886">
            <v>250</v>
          </cell>
          <cell r="L886">
            <v>10820</v>
          </cell>
          <cell r="M886">
            <v>2705000</v>
          </cell>
          <cell r="N886">
            <v>0</v>
          </cell>
          <cell r="O886">
            <v>2705000</v>
          </cell>
          <cell r="P886">
            <v>0</v>
          </cell>
          <cell r="Q886" t="str">
            <v>한국</v>
          </cell>
          <cell r="R886" t="str">
            <v>냉장</v>
          </cell>
          <cell r="S886" t="str">
            <v>KG(1)</v>
          </cell>
          <cell r="T886" t="str">
            <v/>
          </cell>
          <cell r="U886" t="str">
            <v/>
          </cell>
          <cell r="V886" t="str">
            <v>2019-01-21</v>
          </cell>
          <cell r="W886" t="str">
            <v>2019-01-21 13:10:52</v>
          </cell>
          <cell r="X886" t="str">
            <v>더바른푸드</v>
          </cell>
        </row>
        <row r="887">
          <cell r="A887">
            <v>883</v>
          </cell>
          <cell r="B887" t="str">
            <v>2019-01-22</v>
          </cell>
          <cell r="C887" t="str">
            <v>더바른푸드</v>
          </cell>
          <cell r="D887" t="str">
            <v>더바른푸드</v>
          </cell>
          <cell r="E887" t="str">
            <v>일반</v>
          </cell>
          <cell r="F887" t="str">
            <v>입고완료</v>
          </cell>
          <cell r="G887">
            <v>122935</v>
          </cell>
          <cell r="H887" t="str">
            <v>리치스 스위트콘(2.95Kg/EA)</v>
          </cell>
          <cell r="I887" t="str">
            <v>EA</v>
          </cell>
          <cell r="J887">
            <v>66</v>
          </cell>
          <cell r="K887">
            <v>66</v>
          </cell>
          <cell r="L887">
            <v>2860</v>
          </cell>
          <cell r="M887">
            <v>188760</v>
          </cell>
          <cell r="N887">
            <v>18876</v>
          </cell>
          <cell r="O887">
            <v>207636</v>
          </cell>
          <cell r="P887">
            <v>0</v>
          </cell>
          <cell r="Q887" t="str">
            <v>태국</v>
          </cell>
          <cell r="R887" t="str">
            <v>실온</v>
          </cell>
          <cell r="S887" t="str">
            <v>EA(6)</v>
          </cell>
          <cell r="T887" t="str">
            <v/>
          </cell>
          <cell r="U887" t="str">
            <v/>
          </cell>
          <cell r="V887" t="str">
            <v>2019-01-21</v>
          </cell>
          <cell r="W887" t="str">
            <v>2019-01-21 14:39:40</v>
          </cell>
          <cell r="X887" t="str">
            <v>더바른푸드</v>
          </cell>
        </row>
        <row r="888">
          <cell r="A888">
            <v>884</v>
          </cell>
          <cell r="B888" t="str">
            <v>2019-01-22</v>
          </cell>
          <cell r="C888" t="str">
            <v>더바른푸드</v>
          </cell>
          <cell r="D888" t="str">
            <v>더바른푸드</v>
          </cell>
          <cell r="E888" t="str">
            <v>일반</v>
          </cell>
          <cell r="F888" t="str">
            <v>입고완료</v>
          </cell>
          <cell r="G888">
            <v>105597</v>
          </cell>
          <cell r="H888" t="str">
            <v>웰가 홈버터(홈랜드 4.5Kg/EA)</v>
          </cell>
          <cell r="I888" t="str">
            <v>EA</v>
          </cell>
          <cell r="J888">
            <v>1</v>
          </cell>
          <cell r="K888">
            <v>1</v>
          </cell>
          <cell r="L888">
            <v>18000</v>
          </cell>
          <cell r="M888">
            <v>18000</v>
          </cell>
          <cell r="N888">
            <v>1800</v>
          </cell>
          <cell r="O888">
            <v>19800</v>
          </cell>
          <cell r="P888">
            <v>0</v>
          </cell>
          <cell r="Q888" t="str">
            <v/>
          </cell>
          <cell r="R888" t="str">
            <v>실온</v>
          </cell>
          <cell r="S888" t="str">
            <v>EA(1)</v>
          </cell>
          <cell r="T888" t="str">
            <v/>
          </cell>
          <cell r="U888" t="str">
            <v/>
          </cell>
          <cell r="V888" t="str">
            <v>2019-01-21</v>
          </cell>
          <cell r="W888" t="str">
            <v>2019-01-21 14:39:40</v>
          </cell>
          <cell r="X888" t="str">
            <v>더바른푸드</v>
          </cell>
        </row>
        <row r="889">
          <cell r="A889">
            <v>885</v>
          </cell>
          <cell r="B889" t="str">
            <v>2019-01-22</v>
          </cell>
          <cell r="C889" t="str">
            <v>더바른푸드</v>
          </cell>
          <cell r="D889" t="str">
            <v>더바른푸드</v>
          </cell>
          <cell r="E889" t="str">
            <v>일반</v>
          </cell>
          <cell r="F889" t="str">
            <v>입고완료</v>
          </cell>
          <cell r="G889">
            <v>257634</v>
          </cell>
          <cell r="H889" t="str">
            <v>이음푸드 오복지(1Kg/EA)</v>
          </cell>
          <cell r="I889" t="str">
            <v>EA</v>
          </cell>
          <cell r="J889">
            <v>125</v>
          </cell>
          <cell r="K889">
            <v>125</v>
          </cell>
          <cell r="L889">
            <v>2500</v>
          </cell>
          <cell r="M889">
            <v>312500</v>
          </cell>
          <cell r="N889">
            <v>31250</v>
          </cell>
          <cell r="O889">
            <v>343750</v>
          </cell>
          <cell r="P889">
            <v>0</v>
          </cell>
          <cell r="Q889" t="str">
            <v/>
          </cell>
          <cell r="R889" t="str">
            <v>냉장</v>
          </cell>
          <cell r="S889" t="str">
            <v>EA(12)</v>
          </cell>
          <cell r="T889" t="str">
            <v/>
          </cell>
          <cell r="U889" t="str">
            <v/>
          </cell>
          <cell r="V889" t="str">
            <v>2019-01-21</v>
          </cell>
          <cell r="W889" t="str">
            <v>2019-01-21 14:39:40</v>
          </cell>
          <cell r="X889" t="str">
            <v>더바른푸드</v>
          </cell>
        </row>
        <row r="890">
          <cell r="A890">
            <v>886</v>
          </cell>
          <cell r="B890" t="str">
            <v>2019-01-22</v>
          </cell>
          <cell r="C890" t="str">
            <v>더바른푸드</v>
          </cell>
          <cell r="D890" t="str">
            <v>더바른푸드</v>
          </cell>
          <cell r="E890" t="str">
            <v>일반</v>
          </cell>
          <cell r="F890" t="str">
            <v>입고완료</v>
          </cell>
          <cell r="G890">
            <v>251166</v>
          </cell>
          <cell r="H890" t="str">
            <v>단호박(상품 속제거_2등분 KG)</v>
          </cell>
          <cell r="I890" t="str">
            <v>KG</v>
          </cell>
          <cell r="J890">
            <v>4</v>
          </cell>
          <cell r="K890">
            <v>4</v>
          </cell>
          <cell r="L890">
            <v>6840</v>
          </cell>
          <cell r="M890">
            <v>27360</v>
          </cell>
          <cell r="N890">
            <v>0</v>
          </cell>
          <cell r="O890">
            <v>27360</v>
          </cell>
          <cell r="P890">
            <v>0</v>
          </cell>
          <cell r="Q890" t="str">
            <v>통가</v>
          </cell>
          <cell r="R890" t="str">
            <v>냉장</v>
          </cell>
          <cell r="S890" t="str">
            <v>KG(1)</v>
          </cell>
          <cell r="T890" t="str">
            <v/>
          </cell>
          <cell r="U890" t="str">
            <v/>
          </cell>
          <cell r="V890" t="str">
            <v>2019-01-21</v>
          </cell>
          <cell r="W890" t="str">
            <v>2019-01-21 14:41:41</v>
          </cell>
          <cell r="X890" t="str">
            <v>더바른푸드</v>
          </cell>
        </row>
        <row r="891">
          <cell r="A891">
            <v>887</v>
          </cell>
          <cell r="B891" t="str">
            <v>2019-01-22</v>
          </cell>
          <cell r="C891" t="str">
            <v>더바른푸드</v>
          </cell>
          <cell r="D891" t="str">
            <v>더바른푸드</v>
          </cell>
          <cell r="E891" t="str">
            <v>일반</v>
          </cell>
          <cell r="F891" t="str">
            <v>입고완료</v>
          </cell>
          <cell r="G891">
            <v>202724</v>
          </cell>
          <cell r="H891" t="str">
            <v>적두(1Kg/EA)</v>
          </cell>
          <cell r="I891" t="str">
            <v>EA</v>
          </cell>
          <cell r="J891">
            <v>1</v>
          </cell>
          <cell r="K891">
            <v>1</v>
          </cell>
          <cell r="L891">
            <v>17370</v>
          </cell>
          <cell r="M891">
            <v>17370</v>
          </cell>
          <cell r="N891">
            <v>0</v>
          </cell>
          <cell r="O891">
            <v>17370</v>
          </cell>
          <cell r="P891">
            <v>0</v>
          </cell>
          <cell r="Q891" t="str">
            <v>한국</v>
          </cell>
          <cell r="R891" t="str">
            <v>실온</v>
          </cell>
          <cell r="S891" t="str">
            <v>EA(1)</v>
          </cell>
          <cell r="T891" t="str">
            <v/>
          </cell>
          <cell r="U891" t="str">
            <v/>
          </cell>
          <cell r="V891" t="str">
            <v>2019-01-21</v>
          </cell>
          <cell r="W891" t="str">
            <v>2019-01-21 14:42:17</v>
          </cell>
          <cell r="X891" t="str">
            <v>더바른푸드</v>
          </cell>
        </row>
        <row r="892">
          <cell r="A892">
            <v>888</v>
          </cell>
          <cell r="B892" t="str">
            <v>2019-01-22</v>
          </cell>
          <cell r="C892" t="str">
            <v>더바른푸드</v>
          </cell>
          <cell r="D892" t="str">
            <v>더바른푸드</v>
          </cell>
          <cell r="E892" t="str">
            <v>일반</v>
          </cell>
          <cell r="F892" t="str">
            <v>입고완료</v>
          </cell>
          <cell r="G892">
            <v>248028</v>
          </cell>
          <cell r="H892" t="str">
            <v>이츠웰 오징어채(1Kg/EA)</v>
          </cell>
          <cell r="I892" t="str">
            <v>EA</v>
          </cell>
          <cell r="J892">
            <v>2</v>
          </cell>
          <cell r="K892">
            <v>2</v>
          </cell>
          <cell r="L892">
            <v>10630</v>
          </cell>
          <cell r="M892">
            <v>21260</v>
          </cell>
          <cell r="N892">
            <v>0</v>
          </cell>
          <cell r="O892">
            <v>21260</v>
          </cell>
          <cell r="P892">
            <v>0</v>
          </cell>
          <cell r="Q892" t="str">
            <v>한국</v>
          </cell>
          <cell r="R892" t="str">
            <v>냉동</v>
          </cell>
          <cell r="S892" t="str">
            <v>EA(10)</v>
          </cell>
          <cell r="T892" t="str">
            <v/>
          </cell>
          <cell r="U892" t="str">
            <v/>
          </cell>
          <cell r="V892" t="str">
            <v>2019-01-21</v>
          </cell>
          <cell r="W892" t="str">
            <v>2019-01-21 14:43:46</v>
          </cell>
          <cell r="X892" t="str">
            <v>더바른푸드</v>
          </cell>
        </row>
        <row r="893">
          <cell r="A893">
            <v>889</v>
          </cell>
          <cell r="B893" t="str">
            <v>2019-01-22</v>
          </cell>
          <cell r="C893" t="str">
            <v>더바른푸드</v>
          </cell>
          <cell r="D893" t="str">
            <v>더바른푸드</v>
          </cell>
          <cell r="E893" t="str">
            <v>일반</v>
          </cell>
          <cell r="F893" t="str">
            <v>입고완료</v>
          </cell>
          <cell r="G893">
            <v>201296</v>
          </cell>
          <cell r="H893" t="str">
            <v>건고사리(데친것 KG)</v>
          </cell>
          <cell r="I893" t="str">
            <v>KG</v>
          </cell>
          <cell r="J893">
            <v>1</v>
          </cell>
          <cell r="K893">
            <v>1</v>
          </cell>
          <cell r="L893">
            <v>3910</v>
          </cell>
          <cell r="M893">
            <v>3910</v>
          </cell>
          <cell r="N893">
            <v>0</v>
          </cell>
          <cell r="O893">
            <v>3910</v>
          </cell>
          <cell r="P893">
            <v>0</v>
          </cell>
          <cell r="Q893" t="str">
            <v>중국</v>
          </cell>
          <cell r="R893" t="str">
            <v>냉장</v>
          </cell>
          <cell r="S893" t="str">
            <v>KG(1)</v>
          </cell>
          <cell r="T893" t="str">
            <v/>
          </cell>
          <cell r="U893" t="str">
            <v/>
          </cell>
          <cell r="V893" t="str">
            <v>2019-01-21</v>
          </cell>
          <cell r="W893" t="str">
            <v>2019-01-21 14:47:57</v>
          </cell>
          <cell r="X893" t="str">
            <v>더바른푸드</v>
          </cell>
        </row>
        <row r="894">
          <cell r="A894">
            <v>890</v>
          </cell>
          <cell r="B894" t="str">
            <v>2019-01-21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</row>
        <row r="895">
          <cell r="A895">
            <v>891</v>
          </cell>
          <cell r="B895" t="str">
            <v>2019-01-21</v>
          </cell>
          <cell r="C895" t="str">
            <v>더바른푸드</v>
          </cell>
          <cell r="D895" t="str">
            <v>더바른푸드</v>
          </cell>
          <cell r="E895" t="str">
            <v>일반</v>
          </cell>
          <cell r="F895" t="str">
            <v>입고완료</v>
          </cell>
          <cell r="G895">
            <v>114835</v>
          </cell>
          <cell r="H895" t="str">
            <v>오뚜기 짜장분말(1Kg/EA)</v>
          </cell>
          <cell r="I895" t="str">
            <v>EA</v>
          </cell>
          <cell r="J895">
            <v>30</v>
          </cell>
          <cell r="K895">
            <v>30</v>
          </cell>
          <cell r="L895">
            <v>6430</v>
          </cell>
          <cell r="M895">
            <v>192900</v>
          </cell>
          <cell r="N895">
            <v>19290</v>
          </cell>
          <cell r="O895">
            <v>212190</v>
          </cell>
          <cell r="P895">
            <v>0</v>
          </cell>
          <cell r="Q895" t="str">
            <v/>
          </cell>
          <cell r="R895" t="str">
            <v>실온</v>
          </cell>
          <cell r="S895" t="str">
            <v>EA(10)</v>
          </cell>
          <cell r="T895" t="str">
            <v/>
          </cell>
          <cell r="U895" t="str">
            <v/>
          </cell>
          <cell r="V895" t="str">
            <v>2019-01-17</v>
          </cell>
          <cell r="W895" t="str">
            <v>2019-01-17 16:42:50</v>
          </cell>
          <cell r="X895" t="str">
            <v>더바른푸드</v>
          </cell>
        </row>
        <row r="896">
          <cell r="A896">
            <v>892</v>
          </cell>
          <cell r="B896" t="str">
            <v>2019-01-21</v>
          </cell>
          <cell r="C896" t="str">
            <v>더바른푸드</v>
          </cell>
          <cell r="D896" t="str">
            <v>더바른푸드</v>
          </cell>
          <cell r="E896" t="str">
            <v>일반</v>
          </cell>
          <cell r="F896" t="str">
            <v>입고완료</v>
          </cell>
          <cell r="G896">
            <v>159757</v>
          </cell>
          <cell r="H896" t="str">
            <v>신라명과 플레인모닝롤(26g*10입 260g/EA)</v>
          </cell>
          <cell r="I896" t="str">
            <v>EA</v>
          </cell>
          <cell r="J896">
            <v>5</v>
          </cell>
          <cell r="K896">
            <v>5</v>
          </cell>
          <cell r="L896">
            <v>1950</v>
          </cell>
          <cell r="M896">
            <v>9750</v>
          </cell>
          <cell r="N896">
            <v>975</v>
          </cell>
          <cell r="O896">
            <v>10725</v>
          </cell>
          <cell r="P896">
            <v>0</v>
          </cell>
          <cell r="Q896" t="str">
            <v/>
          </cell>
          <cell r="R896" t="str">
            <v>실온</v>
          </cell>
          <cell r="S896" t="str">
            <v>EA(1)</v>
          </cell>
          <cell r="T896" t="str">
            <v/>
          </cell>
          <cell r="U896" t="str">
            <v/>
          </cell>
          <cell r="V896" t="str">
            <v>2019-01-17</v>
          </cell>
          <cell r="W896" t="str">
            <v>2019-01-17 17:42:52</v>
          </cell>
          <cell r="X896" t="str">
            <v>더바른푸드</v>
          </cell>
        </row>
        <row r="897">
          <cell r="A897">
            <v>893</v>
          </cell>
          <cell r="B897" t="str">
            <v>2019-01-21</v>
          </cell>
          <cell r="C897" t="str">
            <v>더바른푸드</v>
          </cell>
          <cell r="D897" t="str">
            <v>더바른푸드</v>
          </cell>
          <cell r="E897" t="str">
            <v>일반</v>
          </cell>
          <cell r="F897" t="str">
            <v>입고완료</v>
          </cell>
          <cell r="G897">
            <v>128022</v>
          </cell>
          <cell r="H897" t="str">
            <v>빙그레 딸기우유(200ml 200g/EA)</v>
          </cell>
          <cell r="I897" t="str">
            <v>EA</v>
          </cell>
          <cell r="J897">
            <v>137</v>
          </cell>
          <cell r="K897">
            <v>137</v>
          </cell>
          <cell r="L897">
            <v>290</v>
          </cell>
          <cell r="M897">
            <v>39730</v>
          </cell>
          <cell r="N897">
            <v>3973</v>
          </cell>
          <cell r="O897">
            <v>43703</v>
          </cell>
          <cell r="P897">
            <v>0</v>
          </cell>
          <cell r="Q897" t="str">
            <v>한국</v>
          </cell>
          <cell r="R897" t="str">
            <v>냉장</v>
          </cell>
          <cell r="S897" t="str">
            <v>EA(50)</v>
          </cell>
          <cell r="T897" t="str">
            <v/>
          </cell>
          <cell r="U897" t="str">
            <v/>
          </cell>
          <cell r="V897" t="str">
            <v>2019-01-17</v>
          </cell>
          <cell r="W897" t="str">
            <v>2019-01-17 18:04:07</v>
          </cell>
          <cell r="X897" t="str">
            <v>더바른푸드</v>
          </cell>
        </row>
        <row r="898">
          <cell r="A898">
            <v>894</v>
          </cell>
          <cell r="B898" t="str">
            <v>2019-01-21</v>
          </cell>
          <cell r="C898" t="str">
            <v>더바른푸드</v>
          </cell>
          <cell r="D898" t="str">
            <v>더바른푸드</v>
          </cell>
          <cell r="E898" t="str">
            <v>일반</v>
          </cell>
          <cell r="F898" t="str">
            <v>입고완료</v>
          </cell>
          <cell r="G898">
            <v>107247</v>
          </cell>
          <cell r="H898" t="str">
            <v>하인즈 데미그라스소스(3Kg/EA)</v>
          </cell>
          <cell r="I898" t="str">
            <v>EA</v>
          </cell>
          <cell r="J898">
            <v>6</v>
          </cell>
          <cell r="K898">
            <v>6</v>
          </cell>
          <cell r="L898">
            <v>16880</v>
          </cell>
          <cell r="M898">
            <v>101280</v>
          </cell>
          <cell r="N898">
            <v>10128</v>
          </cell>
          <cell r="O898">
            <v>111408</v>
          </cell>
          <cell r="P898">
            <v>0</v>
          </cell>
          <cell r="Q898" t="str">
            <v/>
          </cell>
          <cell r="R898" t="str">
            <v>실온</v>
          </cell>
          <cell r="S898" t="str">
            <v>EA(6)</v>
          </cell>
          <cell r="T898" t="str">
            <v/>
          </cell>
          <cell r="U898" t="str">
            <v/>
          </cell>
          <cell r="V898" t="str">
            <v>2019-01-18</v>
          </cell>
          <cell r="W898" t="str">
            <v>2019-01-18 14:45:28</v>
          </cell>
          <cell r="X898" t="str">
            <v>더바른푸드</v>
          </cell>
        </row>
        <row r="899">
          <cell r="A899">
            <v>895</v>
          </cell>
          <cell r="B899" t="str">
            <v>2019-01-21</v>
          </cell>
          <cell r="C899" t="str">
            <v>더바른푸드</v>
          </cell>
          <cell r="D899" t="str">
            <v>더바른푸드</v>
          </cell>
          <cell r="E899" t="str">
            <v>일반</v>
          </cell>
          <cell r="F899" t="str">
            <v>입고완료</v>
          </cell>
          <cell r="G899">
            <v>107459</v>
          </cell>
          <cell r="H899" t="str">
            <v>A1소스(스테이크용 283g/EA)</v>
          </cell>
          <cell r="I899" t="str">
            <v>EA</v>
          </cell>
          <cell r="J899">
            <v>5</v>
          </cell>
          <cell r="K899">
            <v>5</v>
          </cell>
          <cell r="L899">
            <v>3480</v>
          </cell>
          <cell r="M899">
            <v>17400</v>
          </cell>
          <cell r="N899">
            <v>1740</v>
          </cell>
          <cell r="O899">
            <v>19140</v>
          </cell>
          <cell r="P899">
            <v>0</v>
          </cell>
          <cell r="Q899" t="str">
            <v/>
          </cell>
          <cell r="R899" t="str">
            <v>실온</v>
          </cell>
          <cell r="S899" t="str">
            <v>EA(12)</v>
          </cell>
          <cell r="T899" t="str">
            <v/>
          </cell>
          <cell r="U899" t="str">
            <v/>
          </cell>
          <cell r="V899" t="str">
            <v>2019-01-18</v>
          </cell>
          <cell r="W899" t="str">
            <v>2019-01-18 14:45:28</v>
          </cell>
          <cell r="X899" t="str">
            <v>더바른푸드</v>
          </cell>
        </row>
        <row r="900">
          <cell r="A900">
            <v>896</v>
          </cell>
          <cell r="B900" t="str">
            <v>2019-01-21</v>
          </cell>
          <cell r="C900" t="str">
            <v>더바른푸드</v>
          </cell>
          <cell r="D900" t="str">
            <v>더바른푸드</v>
          </cell>
          <cell r="E900" t="str">
            <v>일반</v>
          </cell>
          <cell r="F900" t="str">
            <v>입고완료</v>
          </cell>
          <cell r="G900">
            <v>203202</v>
          </cell>
          <cell r="H900" t="str">
            <v>맑은공기 쌀(일반미 20Kg/EA)</v>
          </cell>
          <cell r="I900" t="str">
            <v>EA</v>
          </cell>
          <cell r="J900">
            <v>10</v>
          </cell>
          <cell r="K900">
            <v>10</v>
          </cell>
          <cell r="L900">
            <v>49000</v>
          </cell>
          <cell r="M900">
            <v>490000</v>
          </cell>
          <cell r="N900">
            <v>0</v>
          </cell>
          <cell r="O900">
            <v>490000</v>
          </cell>
          <cell r="P900">
            <v>0</v>
          </cell>
          <cell r="Q900" t="str">
            <v>한국</v>
          </cell>
          <cell r="R900" t="str">
            <v>실온</v>
          </cell>
          <cell r="S900" t="str">
            <v>EA(1)</v>
          </cell>
          <cell r="T900" t="str">
            <v/>
          </cell>
          <cell r="U900" t="str">
            <v/>
          </cell>
          <cell r="V900" t="str">
            <v>2019-01-18</v>
          </cell>
          <cell r="W900" t="str">
            <v>2019-01-18 14:54:14</v>
          </cell>
          <cell r="X900" t="str">
            <v>더바른푸드</v>
          </cell>
        </row>
        <row r="901">
          <cell r="A901">
            <v>897</v>
          </cell>
          <cell r="B901" t="str">
            <v>2019-01-21</v>
          </cell>
          <cell r="C901" t="str">
            <v>더바른푸드</v>
          </cell>
          <cell r="D901" t="str">
            <v>더바른푸드</v>
          </cell>
          <cell r="E901" t="str">
            <v>일반</v>
          </cell>
          <cell r="F901" t="str">
            <v>입고완료</v>
          </cell>
          <cell r="G901">
            <v>204598</v>
          </cell>
          <cell r="H901" t="str">
            <v>농협 흑미(1Kg/EA)</v>
          </cell>
          <cell r="I901" t="str">
            <v>EA</v>
          </cell>
          <cell r="J901">
            <v>15</v>
          </cell>
          <cell r="K901">
            <v>15</v>
          </cell>
          <cell r="L901">
            <v>4740</v>
          </cell>
          <cell r="M901">
            <v>71100</v>
          </cell>
          <cell r="N901">
            <v>0</v>
          </cell>
          <cell r="O901">
            <v>71100</v>
          </cell>
          <cell r="P901">
            <v>0</v>
          </cell>
          <cell r="Q901" t="str">
            <v>한국</v>
          </cell>
          <cell r="R901" t="str">
            <v>실온</v>
          </cell>
          <cell r="S901" t="str">
            <v>EA(1)</v>
          </cell>
          <cell r="T901" t="str">
            <v/>
          </cell>
          <cell r="U901" t="str">
            <v/>
          </cell>
          <cell r="V901" t="str">
            <v>2019-01-18</v>
          </cell>
          <cell r="W901" t="str">
            <v>2019-01-18 14:54:14</v>
          </cell>
          <cell r="X901" t="str">
            <v>더바른푸드</v>
          </cell>
        </row>
        <row r="902">
          <cell r="A902">
            <v>898</v>
          </cell>
          <cell r="B902" t="str">
            <v>2019-01-21</v>
          </cell>
          <cell r="C902" t="str">
            <v>더바른푸드</v>
          </cell>
          <cell r="D902" t="str">
            <v>더바른푸드</v>
          </cell>
          <cell r="E902" t="str">
            <v>일반</v>
          </cell>
          <cell r="F902" t="str">
            <v>입고완료</v>
          </cell>
          <cell r="G902">
            <v>210897</v>
          </cell>
          <cell r="H902" t="str">
            <v>수수(일반 1Kg/EA)</v>
          </cell>
          <cell r="I902" t="str">
            <v>EA</v>
          </cell>
          <cell r="J902">
            <v>10</v>
          </cell>
          <cell r="K902">
            <v>10</v>
          </cell>
          <cell r="L902">
            <v>9270</v>
          </cell>
          <cell r="M902">
            <v>92700</v>
          </cell>
          <cell r="N902">
            <v>0</v>
          </cell>
          <cell r="O902">
            <v>92700</v>
          </cell>
          <cell r="P902">
            <v>0</v>
          </cell>
          <cell r="Q902" t="str">
            <v>한국</v>
          </cell>
          <cell r="R902" t="str">
            <v>실온</v>
          </cell>
          <cell r="S902" t="str">
            <v>EA(1)</v>
          </cell>
          <cell r="T902" t="str">
            <v/>
          </cell>
          <cell r="U902" t="str">
            <v/>
          </cell>
          <cell r="V902" t="str">
            <v>2019-01-18</v>
          </cell>
          <cell r="W902" t="str">
            <v>2019-01-18 14:54:14</v>
          </cell>
          <cell r="X902" t="str">
            <v>더바른푸드</v>
          </cell>
        </row>
        <row r="903">
          <cell r="A903">
            <v>899</v>
          </cell>
          <cell r="B903" t="str">
            <v>2019-01-21</v>
          </cell>
          <cell r="C903" t="str">
            <v>더바른푸드</v>
          </cell>
          <cell r="D903" t="str">
            <v>더바른푸드</v>
          </cell>
          <cell r="E903" t="str">
            <v>일반</v>
          </cell>
          <cell r="F903" t="str">
            <v>입고완료</v>
          </cell>
          <cell r="G903">
            <v>200141</v>
          </cell>
          <cell r="H903" t="str">
            <v>차조(일반 1Kg/EA)</v>
          </cell>
          <cell r="I903" t="str">
            <v>EA</v>
          </cell>
          <cell r="J903">
            <v>10</v>
          </cell>
          <cell r="K903">
            <v>10</v>
          </cell>
          <cell r="L903">
            <v>2740</v>
          </cell>
          <cell r="M903">
            <v>27400</v>
          </cell>
          <cell r="N903">
            <v>0</v>
          </cell>
          <cell r="O903">
            <v>27400</v>
          </cell>
          <cell r="P903">
            <v>0</v>
          </cell>
          <cell r="Q903" t="str">
            <v>중국</v>
          </cell>
          <cell r="R903" t="str">
            <v>실온</v>
          </cell>
          <cell r="S903" t="str">
            <v>EA(1)</v>
          </cell>
          <cell r="T903" t="str">
            <v/>
          </cell>
          <cell r="U903" t="str">
            <v/>
          </cell>
          <cell r="V903" t="str">
            <v>2019-01-18</v>
          </cell>
          <cell r="W903" t="str">
            <v>2019-01-18 14:54:14</v>
          </cell>
          <cell r="X903" t="str">
            <v>더바른푸드</v>
          </cell>
        </row>
        <row r="904">
          <cell r="A904">
            <v>900</v>
          </cell>
          <cell r="B904" t="str">
            <v>2019-01-21</v>
          </cell>
          <cell r="C904" t="str">
            <v>더바른푸드</v>
          </cell>
          <cell r="D904" t="str">
            <v>더바른푸드</v>
          </cell>
          <cell r="E904" t="str">
            <v>일반</v>
          </cell>
          <cell r="F904" t="str">
            <v>입고완료</v>
          </cell>
          <cell r="G904">
            <v>263884</v>
          </cell>
          <cell r="H904" t="str">
            <v>렌틸콩(일반 1Kg/EA)</v>
          </cell>
          <cell r="I904" t="str">
            <v>EA</v>
          </cell>
          <cell r="J904">
            <v>10</v>
          </cell>
          <cell r="K904">
            <v>10</v>
          </cell>
          <cell r="L904">
            <v>2530</v>
          </cell>
          <cell r="M904">
            <v>25300</v>
          </cell>
          <cell r="N904">
            <v>0</v>
          </cell>
          <cell r="O904">
            <v>25300</v>
          </cell>
          <cell r="P904">
            <v>0</v>
          </cell>
          <cell r="Q904" t="str">
            <v>캐나다</v>
          </cell>
          <cell r="R904" t="str">
            <v>실온</v>
          </cell>
          <cell r="S904" t="str">
            <v>EA(1)</v>
          </cell>
          <cell r="T904" t="str">
            <v/>
          </cell>
          <cell r="U904" t="str">
            <v/>
          </cell>
          <cell r="V904" t="str">
            <v>2019-01-18</v>
          </cell>
          <cell r="W904" t="str">
            <v>2019-01-18 14:54:14</v>
          </cell>
          <cell r="X904" t="str">
            <v>더바른푸드</v>
          </cell>
        </row>
        <row r="905">
          <cell r="A905">
            <v>901</v>
          </cell>
          <cell r="B905" t="str">
            <v>2019-01-21</v>
          </cell>
          <cell r="C905" t="str">
            <v>더바른푸드</v>
          </cell>
          <cell r="D905" t="str">
            <v>더바른푸드</v>
          </cell>
          <cell r="E905" t="str">
            <v>일반</v>
          </cell>
          <cell r="F905" t="str">
            <v>입고완료</v>
          </cell>
          <cell r="G905">
            <v>222391</v>
          </cell>
          <cell r="H905" t="str">
            <v>기장(일반 1Kg/EA)</v>
          </cell>
          <cell r="I905" t="str">
            <v>EA</v>
          </cell>
          <cell r="J905">
            <v>10</v>
          </cell>
          <cell r="K905">
            <v>10</v>
          </cell>
          <cell r="L905">
            <v>2240</v>
          </cell>
          <cell r="M905">
            <v>22400</v>
          </cell>
          <cell r="N905">
            <v>0</v>
          </cell>
          <cell r="O905">
            <v>22400</v>
          </cell>
          <cell r="P905">
            <v>0</v>
          </cell>
          <cell r="Q905" t="str">
            <v>미국</v>
          </cell>
          <cell r="R905" t="str">
            <v>실온</v>
          </cell>
          <cell r="S905" t="str">
            <v>EA(1)</v>
          </cell>
          <cell r="T905" t="str">
            <v/>
          </cell>
          <cell r="U905" t="str">
            <v/>
          </cell>
          <cell r="V905" t="str">
            <v>2019-01-18</v>
          </cell>
          <cell r="W905" t="str">
            <v>2019-01-18 14:54:14</v>
          </cell>
          <cell r="X905" t="str">
            <v>더바른푸드</v>
          </cell>
        </row>
        <row r="906">
          <cell r="A906">
            <v>902</v>
          </cell>
          <cell r="B906" t="str">
            <v>2019-01-21</v>
          </cell>
          <cell r="C906" t="str">
            <v>더바른푸드</v>
          </cell>
          <cell r="D906" t="str">
            <v>더바른푸드</v>
          </cell>
          <cell r="E906" t="str">
            <v>일반</v>
          </cell>
          <cell r="F906" t="str">
            <v>입고완료</v>
          </cell>
          <cell r="G906">
            <v>107242</v>
          </cell>
          <cell r="H906" t="str">
            <v>오뚜기 허니머스타드드레싱(2Kg/EA)</v>
          </cell>
          <cell r="I906" t="str">
            <v>EA</v>
          </cell>
          <cell r="J906">
            <v>2</v>
          </cell>
          <cell r="K906">
            <v>2</v>
          </cell>
          <cell r="L906">
            <v>5880</v>
          </cell>
          <cell r="M906">
            <v>11760</v>
          </cell>
          <cell r="N906">
            <v>1176</v>
          </cell>
          <cell r="O906">
            <v>12936</v>
          </cell>
          <cell r="P906">
            <v>0</v>
          </cell>
          <cell r="Q906" t="str">
            <v/>
          </cell>
          <cell r="R906" t="str">
            <v>실온</v>
          </cell>
          <cell r="S906" t="str">
            <v>EA(6)</v>
          </cell>
          <cell r="T906" t="str">
            <v/>
          </cell>
          <cell r="U906" t="str">
            <v/>
          </cell>
          <cell r="V906" t="str">
            <v>2019-01-18</v>
          </cell>
          <cell r="W906" t="str">
            <v>2019-01-18 15:19:20</v>
          </cell>
          <cell r="X906" t="str">
            <v>더바른푸드</v>
          </cell>
        </row>
        <row r="907">
          <cell r="A907">
            <v>903</v>
          </cell>
          <cell r="B907" t="str">
            <v>2019-01-21</v>
          </cell>
          <cell r="C907" t="str">
            <v>더바른푸드</v>
          </cell>
          <cell r="D907" t="str">
            <v>더바른푸드</v>
          </cell>
          <cell r="E907" t="str">
            <v>일반</v>
          </cell>
          <cell r="F907" t="str">
            <v>입고완료</v>
          </cell>
          <cell r="G907">
            <v>118708</v>
          </cell>
          <cell r="H907" t="str">
            <v>한라 참치액(900ml 900g/EA)</v>
          </cell>
          <cell r="I907" t="str">
            <v>EA</v>
          </cell>
          <cell r="J907">
            <v>3</v>
          </cell>
          <cell r="K907">
            <v>3</v>
          </cell>
          <cell r="L907">
            <v>12580</v>
          </cell>
          <cell r="M907">
            <v>37740</v>
          </cell>
          <cell r="N907">
            <v>3774</v>
          </cell>
          <cell r="O907">
            <v>41514</v>
          </cell>
          <cell r="P907">
            <v>0</v>
          </cell>
          <cell r="Q907" t="str">
            <v/>
          </cell>
          <cell r="R907" t="str">
            <v>실온</v>
          </cell>
          <cell r="S907" t="str">
            <v>EA(20)</v>
          </cell>
          <cell r="T907" t="str">
            <v/>
          </cell>
          <cell r="U907" t="str">
            <v/>
          </cell>
          <cell r="V907" t="str">
            <v>2019-01-18</v>
          </cell>
          <cell r="W907" t="str">
            <v>2019-01-18 15:19:20</v>
          </cell>
          <cell r="X907" t="str">
            <v>더바른푸드</v>
          </cell>
        </row>
        <row r="908">
          <cell r="A908">
            <v>904</v>
          </cell>
          <cell r="B908" t="str">
            <v>2019-01-21</v>
          </cell>
          <cell r="C908" t="str">
            <v>더바른푸드</v>
          </cell>
          <cell r="D908" t="str">
            <v>더바른푸드</v>
          </cell>
          <cell r="E908" t="str">
            <v>일반</v>
          </cell>
          <cell r="F908" t="str">
            <v>입고완료</v>
          </cell>
          <cell r="G908">
            <v>137856</v>
          </cell>
          <cell r="H908" t="str">
            <v>레이지 레몬주스(1L_원액 1Kg/EA)</v>
          </cell>
          <cell r="I908" t="str">
            <v>EA</v>
          </cell>
          <cell r="J908">
            <v>2</v>
          </cell>
          <cell r="K908">
            <v>2</v>
          </cell>
          <cell r="L908">
            <v>6140</v>
          </cell>
          <cell r="M908">
            <v>12280</v>
          </cell>
          <cell r="N908">
            <v>1228</v>
          </cell>
          <cell r="O908">
            <v>13508</v>
          </cell>
          <cell r="P908">
            <v>0</v>
          </cell>
          <cell r="Q908" t="str">
            <v/>
          </cell>
          <cell r="R908" t="str">
            <v>실온</v>
          </cell>
          <cell r="S908" t="str">
            <v>EA(6)</v>
          </cell>
          <cell r="T908" t="str">
            <v/>
          </cell>
          <cell r="U908" t="str">
            <v/>
          </cell>
          <cell r="V908" t="str">
            <v>2019-01-18</v>
          </cell>
          <cell r="W908" t="str">
            <v>2019-01-18 15:19:20</v>
          </cell>
          <cell r="X908" t="str">
            <v>더바른푸드</v>
          </cell>
        </row>
        <row r="909">
          <cell r="A909">
            <v>905</v>
          </cell>
          <cell r="B909" t="str">
            <v>2019-01-21</v>
          </cell>
          <cell r="C909" t="str">
            <v>더바른푸드</v>
          </cell>
          <cell r="D909" t="str">
            <v>더바른푸드</v>
          </cell>
          <cell r="E909" t="str">
            <v>일반</v>
          </cell>
          <cell r="F909" t="str">
            <v>입고완료</v>
          </cell>
          <cell r="G909">
            <v>502650</v>
          </cell>
          <cell r="H909" t="str">
            <v>유니 랩(30cm*50m 가정용 EA)</v>
          </cell>
          <cell r="I909" t="str">
            <v>EA</v>
          </cell>
          <cell r="J909">
            <v>5</v>
          </cell>
          <cell r="K909">
            <v>5</v>
          </cell>
          <cell r="L909">
            <v>2150</v>
          </cell>
          <cell r="M909">
            <v>10750</v>
          </cell>
          <cell r="N909">
            <v>1075</v>
          </cell>
          <cell r="O909">
            <v>11825</v>
          </cell>
          <cell r="P909">
            <v>0</v>
          </cell>
          <cell r="Q909" t="str">
            <v/>
          </cell>
          <cell r="R909" t="str">
            <v>실온</v>
          </cell>
          <cell r="S909" t="str">
            <v>EA(50)</v>
          </cell>
          <cell r="T909" t="str">
            <v/>
          </cell>
          <cell r="U909" t="str">
            <v/>
          </cell>
          <cell r="V909" t="str">
            <v>2019-01-18</v>
          </cell>
          <cell r="W909" t="str">
            <v>2019-01-18 15:19:20</v>
          </cell>
          <cell r="X909" t="str">
            <v>더바른푸드</v>
          </cell>
        </row>
        <row r="910">
          <cell r="A910">
            <v>906</v>
          </cell>
          <cell r="B910" t="str">
            <v>2019-01-21</v>
          </cell>
          <cell r="C910" t="str">
            <v>더바른푸드</v>
          </cell>
          <cell r="D910" t="str">
            <v>더바른푸드</v>
          </cell>
          <cell r="E910" t="str">
            <v>일반</v>
          </cell>
          <cell r="F910" t="str">
            <v>입고완료</v>
          </cell>
          <cell r="G910">
            <v>261188</v>
          </cell>
          <cell r="H910" t="str">
            <v>이츠랩 랩(NEW_1호_30cm*500m EA)</v>
          </cell>
          <cell r="I910" t="str">
            <v>EA</v>
          </cell>
          <cell r="J910">
            <v>3</v>
          </cell>
          <cell r="K910">
            <v>3</v>
          </cell>
          <cell r="L910">
            <v>11100</v>
          </cell>
          <cell r="M910">
            <v>33300</v>
          </cell>
          <cell r="N910">
            <v>3330</v>
          </cell>
          <cell r="O910">
            <v>36630</v>
          </cell>
          <cell r="P910">
            <v>0</v>
          </cell>
          <cell r="Q910" t="str">
            <v/>
          </cell>
          <cell r="R910" t="str">
            <v>실온</v>
          </cell>
          <cell r="S910" t="str">
            <v>EA(6)</v>
          </cell>
          <cell r="T910" t="str">
            <v/>
          </cell>
          <cell r="U910" t="str">
            <v/>
          </cell>
          <cell r="V910" t="str">
            <v>2019-01-18</v>
          </cell>
          <cell r="W910" t="str">
            <v>2019-01-18 15:19:20</v>
          </cell>
          <cell r="X910" t="str">
            <v>더바른푸드</v>
          </cell>
        </row>
        <row r="911">
          <cell r="A911">
            <v>907</v>
          </cell>
          <cell r="B911" t="str">
            <v>2019-01-21</v>
          </cell>
          <cell r="C911" t="str">
            <v>더바른푸드</v>
          </cell>
          <cell r="D911" t="str">
            <v>더바른푸드</v>
          </cell>
          <cell r="E911" t="str">
            <v>일반</v>
          </cell>
          <cell r="F911" t="str">
            <v>입고완료</v>
          </cell>
          <cell r="G911">
            <v>118007</v>
          </cell>
          <cell r="H911" t="str">
            <v>한성 새우젓(1Kg/EA)</v>
          </cell>
          <cell r="I911" t="str">
            <v>EA</v>
          </cell>
          <cell r="J911">
            <v>2</v>
          </cell>
          <cell r="K911">
            <v>2</v>
          </cell>
          <cell r="L911">
            <v>10250</v>
          </cell>
          <cell r="M911">
            <v>20500</v>
          </cell>
          <cell r="N911">
            <v>2050</v>
          </cell>
          <cell r="O911">
            <v>22550</v>
          </cell>
          <cell r="P911">
            <v>0</v>
          </cell>
          <cell r="Q911" t="str">
            <v>한국</v>
          </cell>
          <cell r="R911" t="str">
            <v>냉장</v>
          </cell>
          <cell r="S911" t="str">
            <v>EA(1)</v>
          </cell>
          <cell r="T911" t="str">
            <v/>
          </cell>
          <cell r="U911" t="str">
            <v/>
          </cell>
          <cell r="V911" t="str">
            <v>2019-01-18</v>
          </cell>
          <cell r="W911" t="str">
            <v>2019-01-18 15:19:20</v>
          </cell>
          <cell r="X911" t="str">
            <v>더바른푸드</v>
          </cell>
        </row>
        <row r="912">
          <cell r="A912">
            <v>908</v>
          </cell>
          <cell r="B912" t="str">
            <v>2019-01-21</v>
          </cell>
          <cell r="C912" t="str">
            <v>더바른푸드</v>
          </cell>
          <cell r="D912" t="str">
            <v>더바른푸드</v>
          </cell>
          <cell r="E912" t="str">
            <v>일반</v>
          </cell>
          <cell r="F912" t="str">
            <v>입고완료</v>
          </cell>
          <cell r="G912">
            <v>251973</v>
          </cell>
          <cell r="H912" t="str">
            <v>냉동혼합채소2종(감자+당근 짜장용 1Kg/EA)</v>
          </cell>
          <cell r="I912" t="str">
            <v>EA</v>
          </cell>
          <cell r="J912">
            <v>10</v>
          </cell>
          <cell r="K912">
            <v>10</v>
          </cell>
          <cell r="L912">
            <v>2190</v>
          </cell>
          <cell r="M912">
            <v>21900</v>
          </cell>
          <cell r="N912">
            <v>2190</v>
          </cell>
          <cell r="O912">
            <v>24090</v>
          </cell>
          <cell r="P912">
            <v>0</v>
          </cell>
          <cell r="Q912" t="str">
            <v>스페인</v>
          </cell>
          <cell r="R912" t="str">
            <v>냉동</v>
          </cell>
          <cell r="S912" t="str">
            <v>EA(1)</v>
          </cell>
          <cell r="T912" t="str">
            <v/>
          </cell>
          <cell r="U912" t="str">
            <v/>
          </cell>
          <cell r="V912" t="str">
            <v>2019-01-18</v>
          </cell>
          <cell r="W912" t="str">
            <v>2019-01-18 15:44:16</v>
          </cell>
          <cell r="X912" t="str">
            <v>더바른푸드</v>
          </cell>
        </row>
        <row r="913">
          <cell r="A913">
            <v>909</v>
          </cell>
          <cell r="B913" t="str">
            <v>2019-01-21</v>
          </cell>
          <cell r="C913" t="str">
            <v>더바른푸드</v>
          </cell>
          <cell r="D913" t="str">
            <v>더바른푸드</v>
          </cell>
          <cell r="E913" t="str">
            <v>일반</v>
          </cell>
          <cell r="F913" t="str">
            <v>입고완료</v>
          </cell>
          <cell r="G913">
            <v>193090</v>
          </cell>
          <cell r="H913" t="str">
            <v>냉동감자(절단_3~4cm 1Kg/EA)</v>
          </cell>
          <cell r="I913" t="str">
            <v>EA</v>
          </cell>
          <cell r="J913">
            <v>70</v>
          </cell>
          <cell r="K913">
            <v>70</v>
          </cell>
          <cell r="L913">
            <v>1980</v>
          </cell>
          <cell r="M913">
            <v>138600</v>
          </cell>
          <cell r="N913">
            <v>13860</v>
          </cell>
          <cell r="O913">
            <v>152460</v>
          </cell>
          <cell r="P913">
            <v>0</v>
          </cell>
          <cell r="Q913" t="str">
            <v>중국</v>
          </cell>
          <cell r="R913" t="str">
            <v>냉동</v>
          </cell>
          <cell r="S913" t="str">
            <v>EA(1)</v>
          </cell>
          <cell r="T913" t="str">
            <v/>
          </cell>
          <cell r="U913" t="str">
            <v/>
          </cell>
          <cell r="V913" t="str">
            <v>2019-01-18</v>
          </cell>
          <cell r="W913" t="str">
            <v>2019-01-18 15:50:20</v>
          </cell>
          <cell r="X913" t="str">
            <v>더바른푸드</v>
          </cell>
        </row>
        <row r="914">
          <cell r="A914">
            <v>910</v>
          </cell>
          <cell r="B914" t="str">
            <v>2019-01-21</v>
          </cell>
          <cell r="C914" t="str">
            <v>더바른푸드</v>
          </cell>
          <cell r="D914" t="str">
            <v>더바른푸드</v>
          </cell>
          <cell r="E914" t="str">
            <v>일반</v>
          </cell>
          <cell r="F914" t="str">
            <v>입고완료</v>
          </cell>
          <cell r="G914">
            <v>103604</v>
          </cell>
          <cell r="H914" t="str">
            <v>이츠웰 깐계란(1Kg/EA)</v>
          </cell>
          <cell r="I914" t="str">
            <v>EA</v>
          </cell>
          <cell r="J914">
            <v>9</v>
          </cell>
          <cell r="K914">
            <v>9</v>
          </cell>
          <cell r="L914">
            <v>4600</v>
          </cell>
          <cell r="M914">
            <v>41400</v>
          </cell>
          <cell r="N914">
            <v>4140</v>
          </cell>
          <cell r="O914">
            <v>45540</v>
          </cell>
          <cell r="P914">
            <v>0</v>
          </cell>
          <cell r="Q914" t="str">
            <v>한국</v>
          </cell>
          <cell r="R914" t="str">
            <v>냉장</v>
          </cell>
          <cell r="S914" t="str">
            <v>EA(6)</v>
          </cell>
          <cell r="T914" t="str">
            <v/>
          </cell>
          <cell r="U914" t="str">
            <v/>
          </cell>
          <cell r="V914" t="str">
            <v>2019-01-18</v>
          </cell>
          <cell r="W914" t="str">
            <v>2019-01-18 15:54:47</v>
          </cell>
          <cell r="X914" t="str">
            <v>더바른푸드</v>
          </cell>
        </row>
        <row r="915">
          <cell r="A915">
            <v>911</v>
          </cell>
          <cell r="B915" t="str">
            <v>2019-01-21</v>
          </cell>
          <cell r="C915" t="str">
            <v>더바른푸드</v>
          </cell>
          <cell r="D915" t="str">
            <v>더바른푸드</v>
          </cell>
          <cell r="E915" t="str">
            <v>일반</v>
          </cell>
          <cell r="F915" t="str">
            <v>입고완료</v>
          </cell>
          <cell r="G915">
            <v>154930</v>
          </cell>
          <cell r="H915" t="str">
            <v>사조대림 곤약(LOW칼로리생활 2Kg/EA)</v>
          </cell>
          <cell r="I915" t="str">
            <v>EA</v>
          </cell>
          <cell r="J915">
            <v>1</v>
          </cell>
          <cell r="K915">
            <v>1</v>
          </cell>
          <cell r="L915">
            <v>3920</v>
          </cell>
          <cell r="M915">
            <v>3920</v>
          </cell>
          <cell r="N915">
            <v>392</v>
          </cell>
          <cell r="O915">
            <v>4312</v>
          </cell>
          <cell r="P915">
            <v>0</v>
          </cell>
          <cell r="Q915" t="str">
            <v/>
          </cell>
          <cell r="R915" t="str">
            <v>실온</v>
          </cell>
          <cell r="S915" t="str">
            <v>EA(6)</v>
          </cell>
          <cell r="T915" t="str">
            <v/>
          </cell>
          <cell r="U915" t="str">
            <v/>
          </cell>
          <cell r="V915" t="str">
            <v>2019-01-18</v>
          </cell>
          <cell r="W915" t="str">
            <v>2019-01-18 16:27:16</v>
          </cell>
          <cell r="X915" t="str">
            <v>더바른푸드</v>
          </cell>
        </row>
        <row r="916">
          <cell r="A916">
            <v>912</v>
          </cell>
          <cell r="B916" t="str">
            <v>2019-01-21</v>
          </cell>
          <cell r="C916" t="str">
            <v>더바른푸드</v>
          </cell>
          <cell r="D916" t="str">
            <v>더바른푸드</v>
          </cell>
          <cell r="E916" t="str">
            <v>일반</v>
          </cell>
          <cell r="F916" t="str">
            <v>입고완료</v>
          </cell>
          <cell r="G916">
            <v>165821</v>
          </cell>
          <cell r="H916" t="str">
            <v>녹선 더덕무침(1Kg/EA)</v>
          </cell>
          <cell r="I916" t="str">
            <v>EA</v>
          </cell>
          <cell r="J916">
            <v>3</v>
          </cell>
          <cell r="K916">
            <v>3</v>
          </cell>
          <cell r="L916">
            <v>8070</v>
          </cell>
          <cell r="M916">
            <v>24210</v>
          </cell>
          <cell r="N916">
            <v>2421</v>
          </cell>
          <cell r="O916">
            <v>26631</v>
          </cell>
          <cell r="P916">
            <v>0</v>
          </cell>
          <cell r="Q916" t="str">
            <v>중국</v>
          </cell>
          <cell r="R916" t="str">
            <v>냉장</v>
          </cell>
          <cell r="S916" t="str">
            <v>EA(1)</v>
          </cell>
          <cell r="T916" t="str">
            <v/>
          </cell>
          <cell r="U916" t="str">
            <v/>
          </cell>
          <cell r="V916" t="str">
            <v>2019-01-18</v>
          </cell>
          <cell r="W916" t="str">
            <v>2019-01-18 16:27:16</v>
          </cell>
          <cell r="X916" t="str">
            <v>더바른푸드</v>
          </cell>
        </row>
        <row r="917">
          <cell r="A917">
            <v>913</v>
          </cell>
          <cell r="B917" t="str">
            <v>2019-01-21</v>
          </cell>
          <cell r="C917" t="str">
            <v>더바른푸드</v>
          </cell>
          <cell r="D917" t="str">
            <v>더바른푸드</v>
          </cell>
          <cell r="E917" t="str">
            <v>일반</v>
          </cell>
          <cell r="F917" t="str">
            <v>입고완료</v>
          </cell>
          <cell r="G917">
            <v>105943</v>
          </cell>
          <cell r="H917" t="str">
            <v>대상 재래된장(지함_재래식숙성 14Kg/EA)</v>
          </cell>
          <cell r="I917" t="str">
            <v>EA</v>
          </cell>
          <cell r="J917">
            <v>2</v>
          </cell>
          <cell r="K917">
            <v>2</v>
          </cell>
          <cell r="L917">
            <v>25020</v>
          </cell>
          <cell r="M917">
            <v>50040</v>
          </cell>
          <cell r="N917">
            <v>5004</v>
          </cell>
          <cell r="O917">
            <v>55044</v>
          </cell>
          <cell r="P917">
            <v>0</v>
          </cell>
          <cell r="Q917" t="str">
            <v/>
          </cell>
          <cell r="R917" t="str">
            <v>실온</v>
          </cell>
          <cell r="S917" t="str">
            <v>EA(1)</v>
          </cell>
          <cell r="T917" t="str">
            <v/>
          </cell>
          <cell r="U917" t="str">
            <v/>
          </cell>
          <cell r="V917" t="str">
            <v>2019-01-18</v>
          </cell>
          <cell r="W917" t="str">
            <v>2019-01-18 16:27:16</v>
          </cell>
          <cell r="X917" t="str">
            <v>더바른푸드</v>
          </cell>
        </row>
        <row r="918">
          <cell r="A918">
            <v>914</v>
          </cell>
          <cell r="B918" t="str">
            <v>2019-01-21</v>
          </cell>
          <cell r="C918" t="str">
            <v>더바른푸드</v>
          </cell>
          <cell r="D918" t="str">
            <v>더바른푸드</v>
          </cell>
          <cell r="E918" t="str">
            <v>일반</v>
          </cell>
          <cell r="F918" t="str">
            <v>입고완료</v>
          </cell>
          <cell r="G918">
            <v>126873</v>
          </cell>
          <cell r="H918" t="str">
            <v>해찬들 사계절쌈장(6.5Kg/EA)</v>
          </cell>
          <cell r="I918" t="str">
            <v>EA</v>
          </cell>
          <cell r="J918">
            <v>1</v>
          </cell>
          <cell r="K918">
            <v>1</v>
          </cell>
          <cell r="L918">
            <v>13130</v>
          </cell>
          <cell r="M918">
            <v>13130</v>
          </cell>
          <cell r="N918">
            <v>1313</v>
          </cell>
          <cell r="O918">
            <v>14443</v>
          </cell>
          <cell r="P918">
            <v>0</v>
          </cell>
          <cell r="Q918" t="str">
            <v/>
          </cell>
          <cell r="R918" t="str">
            <v>실온</v>
          </cell>
          <cell r="S918" t="str">
            <v>EA(2)</v>
          </cell>
          <cell r="T918" t="str">
            <v/>
          </cell>
          <cell r="U918" t="str">
            <v/>
          </cell>
          <cell r="V918" t="str">
            <v>2019-01-18</v>
          </cell>
          <cell r="W918" t="str">
            <v>2019-01-18 16:27:16</v>
          </cell>
          <cell r="X918" t="str">
            <v>더바른푸드</v>
          </cell>
        </row>
        <row r="919">
          <cell r="A919">
            <v>915</v>
          </cell>
          <cell r="B919" t="str">
            <v>2019-01-21</v>
          </cell>
          <cell r="C919" t="str">
            <v>더바른푸드</v>
          </cell>
          <cell r="D919" t="str">
            <v>더바른푸드</v>
          </cell>
          <cell r="E919" t="str">
            <v>일반</v>
          </cell>
          <cell r="F919" t="str">
            <v>입고완료</v>
          </cell>
          <cell r="G919">
            <v>313570</v>
          </cell>
          <cell r="H919" t="str">
            <v>프레시웨이 북어채(1Kg/EA)</v>
          </cell>
          <cell r="I919" t="str">
            <v>EA</v>
          </cell>
          <cell r="J919">
            <v>2</v>
          </cell>
          <cell r="K919">
            <v>2</v>
          </cell>
          <cell r="L919">
            <v>23460</v>
          </cell>
          <cell r="M919">
            <v>46920</v>
          </cell>
          <cell r="N919">
            <v>0</v>
          </cell>
          <cell r="O919">
            <v>46920</v>
          </cell>
          <cell r="P919">
            <v>0</v>
          </cell>
          <cell r="Q919" t="str">
            <v>러시아</v>
          </cell>
          <cell r="R919" t="str">
            <v>냉장</v>
          </cell>
          <cell r="S919" t="str">
            <v>EA(8)</v>
          </cell>
          <cell r="T919" t="str">
            <v/>
          </cell>
          <cell r="U919" t="str">
            <v/>
          </cell>
          <cell r="V919" t="str">
            <v>2019-01-18</v>
          </cell>
          <cell r="W919" t="str">
            <v>2019-01-18 16:38:55</v>
          </cell>
          <cell r="X919" t="str">
            <v>더바른푸드</v>
          </cell>
        </row>
        <row r="920">
          <cell r="A920">
            <v>916</v>
          </cell>
          <cell r="B920" t="str">
            <v>2019-01-21</v>
          </cell>
          <cell r="C920" t="str">
            <v>더바른푸드</v>
          </cell>
          <cell r="D920" t="str">
            <v>더바른푸드</v>
          </cell>
          <cell r="E920" t="str">
            <v>일반</v>
          </cell>
          <cell r="F920" t="str">
            <v>입고완료</v>
          </cell>
          <cell r="G920">
            <v>168257</v>
          </cell>
          <cell r="H920" t="str">
            <v>명품 판두부(찌개용 3Kg/EA)</v>
          </cell>
          <cell r="I920" t="str">
            <v>EA</v>
          </cell>
          <cell r="J920">
            <v>7</v>
          </cell>
          <cell r="K920">
            <v>7</v>
          </cell>
          <cell r="L920">
            <v>4000</v>
          </cell>
          <cell r="M920">
            <v>28000</v>
          </cell>
          <cell r="N920">
            <v>0</v>
          </cell>
          <cell r="O920">
            <v>28000</v>
          </cell>
          <cell r="P920">
            <v>0</v>
          </cell>
          <cell r="Q920" t="str">
            <v>수입산</v>
          </cell>
          <cell r="R920" t="str">
            <v>냉장</v>
          </cell>
          <cell r="S920" t="str">
            <v>EA(1)</v>
          </cell>
          <cell r="T920" t="str">
            <v/>
          </cell>
          <cell r="U920" t="str">
            <v/>
          </cell>
          <cell r="V920" t="str">
            <v>2019-01-18</v>
          </cell>
          <cell r="W920" t="str">
            <v>2019-01-18 16:38:55</v>
          </cell>
          <cell r="X920" t="str">
            <v>더바른푸드</v>
          </cell>
        </row>
        <row r="921">
          <cell r="A921">
            <v>917</v>
          </cell>
          <cell r="B921" t="str">
            <v>2019-01-21</v>
          </cell>
          <cell r="C921" t="str">
            <v>더바른푸드</v>
          </cell>
          <cell r="D921" t="str">
            <v>더바른푸드</v>
          </cell>
          <cell r="E921" t="str">
            <v>일반</v>
          </cell>
          <cell r="F921" t="str">
            <v>입고완료</v>
          </cell>
          <cell r="G921">
            <v>414923</v>
          </cell>
          <cell r="H921" t="str">
            <v>체리부로 닭다리살(1등급 깍둑썰기_껍질있음 KG)</v>
          </cell>
          <cell r="I921" t="str">
            <v>KG</v>
          </cell>
          <cell r="J921">
            <v>4</v>
          </cell>
          <cell r="K921">
            <v>4</v>
          </cell>
          <cell r="L921">
            <v>9770</v>
          </cell>
          <cell r="M921">
            <v>39080</v>
          </cell>
          <cell r="N921">
            <v>0</v>
          </cell>
          <cell r="O921">
            <v>39080</v>
          </cell>
          <cell r="P921">
            <v>0</v>
          </cell>
          <cell r="Q921" t="str">
            <v>한국</v>
          </cell>
          <cell r="R921" t="str">
            <v>냉장</v>
          </cell>
          <cell r="S921" t="str">
            <v>KG(1)</v>
          </cell>
          <cell r="T921" t="str">
            <v/>
          </cell>
          <cell r="U921" t="str">
            <v/>
          </cell>
          <cell r="V921" t="str">
            <v>2019-01-18</v>
          </cell>
          <cell r="W921" t="str">
            <v>2019-01-18 16:57:19</v>
          </cell>
          <cell r="X921" t="str">
            <v>더바른푸드</v>
          </cell>
        </row>
        <row r="922">
          <cell r="A922">
            <v>918</v>
          </cell>
          <cell r="B922" t="str">
            <v>2019-01-21</v>
          </cell>
          <cell r="C922" t="str">
            <v>더바른푸드</v>
          </cell>
          <cell r="D922" t="str">
            <v>더바른푸드</v>
          </cell>
          <cell r="E922" t="str">
            <v>일반</v>
          </cell>
          <cell r="F922" t="str">
            <v>입고완료</v>
          </cell>
          <cell r="G922">
            <v>114170</v>
          </cell>
          <cell r="H922" t="str">
            <v>냉동브로컬리(1Kg/EA)</v>
          </cell>
          <cell r="I922" t="str">
            <v>EA</v>
          </cell>
          <cell r="J922">
            <v>8</v>
          </cell>
          <cell r="K922">
            <v>8</v>
          </cell>
          <cell r="L922">
            <v>2320</v>
          </cell>
          <cell r="M922">
            <v>18560</v>
          </cell>
          <cell r="N922">
            <v>1856</v>
          </cell>
          <cell r="O922">
            <v>20416</v>
          </cell>
          <cell r="P922">
            <v>0</v>
          </cell>
          <cell r="Q922" t="str">
            <v>중국</v>
          </cell>
          <cell r="R922" t="str">
            <v>냉동</v>
          </cell>
          <cell r="S922" t="str">
            <v>EA(10)</v>
          </cell>
          <cell r="T922" t="str">
            <v/>
          </cell>
          <cell r="U922" t="str">
            <v/>
          </cell>
          <cell r="V922" t="str">
            <v>2019-01-18</v>
          </cell>
          <cell r="W922" t="str">
            <v>2019-01-18 17:12:35</v>
          </cell>
          <cell r="X922" t="str">
            <v>더바른푸드</v>
          </cell>
        </row>
        <row r="923">
          <cell r="A923">
            <v>919</v>
          </cell>
          <cell r="B923" t="str">
            <v>2019-01-21</v>
          </cell>
          <cell r="C923" t="str">
            <v>더바른푸드</v>
          </cell>
          <cell r="D923" t="str">
            <v>더바른푸드</v>
          </cell>
          <cell r="E923" t="str">
            <v>일반</v>
          </cell>
          <cell r="F923" t="str">
            <v>입고완료</v>
          </cell>
          <cell r="G923">
            <v>420010</v>
          </cell>
          <cell r="H923" t="str">
            <v>알로팜 계란(왕란_무항생제_68g*30입 2.04Kg/EA)</v>
          </cell>
          <cell r="I923" t="str">
            <v>EA</v>
          </cell>
          <cell r="J923">
            <v>65</v>
          </cell>
          <cell r="K923">
            <v>65</v>
          </cell>
          <cell r="L923">
            <v>4350</v>
          </cell>
          <cell r="M923">
            <v>282750</v>
          </cell>
          <cell r="N923">
            <v>0</v>
          </cell>
          <cell r="O923">
            <v>282750</v>
          </cell>
          <cell r="P923">
            <v>282750</v>
          </cell>
          <cell r="Q923" t="str">
            <v>한국</v>
          </cell>
          <cell r="R923" t="str">
            <v>냉장</v>
          </cell>
          <cell r="S923" t="str">
            <v>EA(1)</v>
          </cell>
          <cell r="T923" t="str">
            <v/>
          </cell>
          <cell r="U923" t="str">
            <v/>
          </cell>
          <cell r="V923" t="str">
            <v>2019-01-18</v>
          </cell>
          <cell r="W923" t="str">
            <v>2019-01-18 17:19:24</v>
          </cell>
          <cell r="X923" t="str">
            <v>더바른푸드</v>
          </cell>
        </row>
        <row r="924">
          <cell r="A924">
            <v>920</v>
          </cell>
          <cell r="B924" t="str">
            <v>2019-01-21</v>
          </cell>
          <cell r="C924" t="str">
            <v>더바른푸드</v>
          </cell>
          <cell r="D924" t="str">
            <v>더바른푸드</v>
          </cell>
          <cell r="E924" t="str">
            <v>일반</v>
          </cell>
          <cell r="F924" t="str">
            <v>입고완료</v>
          </cell>
          <cell r="G924">
            <v>219387</v>
          </cell>
          <cell r="H924" t="str">
            <v>냉동배추우거지(1Kg/EA)</v>
          </cell>
          <cell r="I924" t="str">
            <v>EA</v>
          </cell>
          <cell r="J924">
            <v>140</v>
          </cell>
          <cell r="K924">
            <v>140</v>
          </cell>
          <cell r="L924">
            <v>1430</v>
          </cell>
          <cell r="M924">
            <v>200200</v>
          </cell>
          <cell r="N924">
            <v>20020</v>
          </cell>
          <cell r="O924">
            <v>220220</v>
          </cell>
          <cell r="P924">
            <v>0</v>
          </cell>
          <cell r="Q924" t="str">
            <v>중국</v>
          </cell>
          <cell r="R924" t="str">
            <v>냉동</v>
          </cell>
          <cell r="S924" t="str">
            <v>EA(1)</v>
          </cell>
          <cell r="T924" t="str">
            <v/>
          </cell>
          <cell r="U924" t="str">
            <v/>
          </cell>
          <cell r="V924" t="str">
            <v>2019-01-18</v>
          </cell>
          <cell r="W924" t="str">
            <v>2019-01-18 17:27:36</v>
          </cell>
          <cell r="X924" t="str">
            <v>더바른푸드</v>
          </cell>
        </row>
        <row r="925">
          <cell r="A925">
            <v>921</v>
          </cell>
          <cell r="B925" t="str">
            <v>2019-01-21</v>
          </cell>
          <cell r="C925" t="str">
            <v>더바른푸드</v>
          </cell>
          <cell r="D925" t="str">
            <v>더바른푸드</v>
          </cell>
          <cell r="E925" t="str">
            <v>일반</v>
          </cell>
          <cell r="F925" t="str">
            <v>입고완료</v>
          </cell>
          <cell r="G925">
            <v>198579</v>
          </cell>
          <cell r="H925" t="str">
            <v>PRIDE 통새우(바나메이_41~50미 500g/EA)</v>
          </cell>
          <cell r="I925" t="str">
            <v>EA</v>
          </cell>
          <cell r="J925">
            <v>2</v>
          </cell>
          <cell r="K925">
            <v>2</v>
          </cell>
          <cell r="L925">
            <v>5670</v>
          </cell>
          <cell r="M925">
            <v>11340</v>
          </cell>
          <cell r="N925">
            <v>0</v>
          </cell>
          <cell r="O925">
            <v>11340</v>
          </cell>
          <cell r="P925">
            <v>0</v>
          </cell>
          <cell r="Q925" t="str">
            <v>태국</v>
          </cell>
          <cell r="R925" t="str">
            <v>냉동</v>
          </cell>
          <cell r="S925" t="str">
            <v>EA(10)</v>
          </cell>
          <cell r="T925" t="str">
            <v/>
          </cell>
          <cell r="U925" t="str">
            <v/>
          </cell>
          <cell r="V925" t="str">
            <v>2019-01-18</v>
          </cell>
          <cell r="W925" t="str">
            <v>2019-01-18 17:35:25</v>
          </cell>
          <cell r="X925" t="str">
            <v>더바른푸드</v>
          </cell>
        </row>
        <row r="926">
          <cell r="A926">
            <v>922</v>
          </cell>
          <cell r="B926" t="str">
            <v>2019-01-19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</row>
        <row r="927">
          <cell r="A927">
            <v>923</v>
          </cell>
          <cell r="B927" t="str">
            <v>2019-01-19</v>
          </cell>
          <cell r="C927" t="str">
            <v>더바른푸드</v>
          </cell>
          <cell r="D927" t="str">
            <v>더바른푸드</v>
          </cell>
          <cell r="E927" t="str">
            <v>일반</v>
          </cell>
          <cell r="F927" t="str">
            <v>입고완료</v>
          </cell>
          <cell r="G927">
            <v>204973</v>
          </cell>
          <cell r="H927" t="str">
            <v>냉동대파(1Kg/PAC)</v>
          </cell>
          <cell r="I927" t="str">
            <v>PAC</v>
          </cell>
          <cell r="J927">
            <v>30</v>
          </cell>
          <cell r="K927">
            <v>30</v>
          </cell>
          <cell r="L927">
            <v>1400</v>
          </cell>
          <cell r="M927">
            <v>42000</v>
          </cell>
          <cell r="N927">
            <v>0</v>
          </cell>
          <cell r="O927">
            <v>42000</v>
          </cell>
          <cell r="P927">
            <v>0</v>
          </cell>
          <cell r="Q927" t="str">
            <v>중국</v>
          </cell>
          <cell r="R927" t="str">
            <v>냉동</v>
          </cell>
          <cell r="S927" t="str">
            <v>PAC(1)</v>
          </cell>
          <cell r="T927" t="str">
            <v/>
          </cell>
          <cell r="U927" t="str">
            <v/>
          </cell>
          <cell r="V927" t="str">
            <v>2019-01-18</v>
          </cell>
          <cell r="W927" t="str">
            <v>2019-01-18 11:36:01</v>
          </cell>
          <cell r="X927" t="str">
            <v>더바른푸드</v>
          </cell>
        </row>
        <row r="928">
          <cell r="A928">
            <v>924</v>
          </cell>
          <cell r="B928" t="str">
            <v>2019-01-19</v>
          </cell>
          <cell r="C928" t="str">
            <v>더바른푸드</v>
          </cell>
          <cell r="D928" t="str">
            <v>더바른푸드</v>
          </cell>
          <cell r="E928" t="str">
            <v>일반</v>
          </cell>
          <cell r="F928" t="str">
            <v>입고완료</v>
          </cell>
          <cell r="G928">
            <v>247931</v>
          </cell>
          <cell r="H928" t="str">
            <v>마당발 냉동다진마늘(1Kg/EA)</v>
          </cell>
          <cell r="I928" t="str">
            <v>EA</v>
          </cell>
          <cell r="J928">
            <v>20</v>
          </cell>
          <cell r="K928">
            <v>20</v>
          </cell>
          <cell r="L928">
            <v>2710</v>
          </cell>
          <cell r="M928">
            <v>54200</v>
          </cell>
          <cell r="N928">
            <v>0</v>
          </cell>
          <cell r="O928">
            <v>54200</v>
          </cell>
          <cell r="P928">
            <v>0</v>
          </cell>
          <cell r="Q928" t="str">
            <v>중국</v>
          </cell>
          <cell r="R928" t="str">
            <v>냉동</v>
          </cell>
          <cell r="S928" t="str">
            <v>EA(10)</v>
          </cell>
          <cell r="T928" t="str">
            <v/>
          </cell>
          <cell r="U928" t="str">
            <v/>
          </cell>
          <cell r="V928" t="str">
            <v>2019-01-18</v>
          </cell>
          <cell r="W928" t="str">
            <v>2019-01-18 11:36:01</v>
          </cell>
          <cell r="X928" t="str">
            <v>더바른푸드</v>
          </cell>
        </row>
        <row r="929">
          <cell r="A929">
            <v>925</v>
          </cell>
          <cell r="B929" t="str">
            <v>2019-01-19</v>
          </cell>
          <cell r="C929" t="str">
            <v>더바른푸드</v>
          </cell>
          <cell r="D929" t="str">
            <v>더바른푸드</v>
          </cell>
          <cell r="E929" t="str">
            <v>일반</v>
          </cell>
          <cell r="F929" t="str">
            <v>입고완료</v>
          </cell>
          <cell r="G929">
            <v>256563</v>
          </cell>
          <cell r="H929" t="str">
            <v>냉동열무(IQF_절단4~5cm 1Kg/EA)</v>
          </cell>
          <cell r="I929" t="str">
            <v>EA</v>
          </cell>
          <cell r="J929">
            <v>78</v>
          </cell>
          <cell r="K929">
            <v>78</v>
          </cell>
          <cell r="L929">
            <v>1670</v>
          </cell>
          <cell r="M929">
            <v>130260</v>
          </cell>
          <cell r="N929">
            <v>13026</v>
          </cell>
          <cell r="O929">
            <v>143286</v>
          </cell>
          <cell r="P929">
            <v>0</v>
          </cell>
          <cell r="Q929" t="str">
            <v>중국</v>
          </cell>
          <cell r="R929" t="str">
            <v>냉동</v>
          </cell>
          <cell r="S929" t="str">
            <v>EA(1)</v>
          </cell>
          <cell r="T929" t="str">
            <v/>
          </cell>
          <cell r="U929" t="str">
            <v/>
          </cell>
          <cell r="V929" t="str">
            <v>2019-01-18</v>
          </cell>
          <cell r="W929" t="str">
            <v>2019-01-18 16:32:58</v>
          </cell>
          <cell r="X929" t="str">
            <v>더바른푸드</v>
          </cell>
        </row>
        <row r="930">
          <cell r="A930">
            <v>926</v>
          </cell>
          <cell r="B930" t="str">
            <v>2019-01-18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</row>
        <row r="931">
          <cell r="A931">
            <v>927</v>
          </cell>
          <cell r="B931" t="str">
            <v>2019-01-18</v>
          </cell>
          <cell r="C931" t="str">
            <v>더바른푸드</v>
          </cell>
          <cell r="D931" t="str">
            <v>더바른푸드</v>
          </cell>
          <cell r="E931" t="str">
            <v>일반</v>
          </cell>
          <cell r="F931" t="str">
            <v>입고완료</v>
          </cell>
          <cell r="G931">
            <v>136633</v>
          </cell>
          <cell r="H931" t="str">
            <v>이오 요구르트(80ml_유기농 80g/EA)</v>
          </cell>
          <cell r="I931" t="str">
            <v>EA</v>
          </cell>
          <cell r="J931">
            <v>50</v>
          </cell>
          <cell r="K931">
            <v>50</v>
          </cell>
          <cell r="L931">
            <v>300</v>
          </cell>
          <cell r="M931">
            <v>15000</v>
          </cell>
          <cell r="N931">
            <v>1500</v>
          </cell>
          <cell r="O931">
            <v>16500</v>
          </cell>
          <cell r="P931">
            <v>0</v>
          </cell>
          <cell r="Q931" t="str">
            <v>한국</v>
          </cell>
          <cell r="R931" t="str">
            <v>냉장</v>
          </cell>
          <cell r="S931" t="str">
            <v>EA(50)</v>
          </cell>
          <cell r="T931" t="str">
            <v/>
          </cell>
          <cell r="U931" t="str">
            <v/>
          </cell>
          <cell r="V931" t="str">
            <v>2019-01-15</v>
          </cell>
          <cell r="W931" t="str">
            <v>2019-01-15 14:37:52</v>
          </cell>
          <cell r="X931" t="str">
            <v>더바른푸드</v>
          </cell>
        </row>
        <row r="932">
          <cell r="A932">
            <v>928</v>
          </cell>
          <cell r="B932" t="str">
            <v>2019-01-18</v>
          </cell>
          <cell r="C932" t="str">
            <v>더바른푸드</v>
          </cell>
          <cell r="D932" t="str">
            <v>더바른푸드</v>
          </cell>
          <cell r="E932" t="str">
            <v>일반</v>
          </cell>
          <cell r="F932" t="str">
            <v>입고완료</v>
          </cell>
          <cell r="G932">
            <v>138696</v>
          </cell>
          <cell r="H932" t="str">
            <v>이츠웰 레귤러핫도그(NEW_50g*20입 1Kg/EA)</v>
          </cell>
          <cell r="I932" t="str">
            <v>EA</v>
          </cell>
          <cell r="J932">
            <v>3</v>
          </cell>
          <cell r="K932">
            <v>3</v>
          </cell>
          <cell r="L932">
            <v>6130</v>
          </cell>
          <cell r="M932">
            <v>18390</v>
          </cell>
          <cell r="N932">
            <v>1839</v>
          </cell>
          <cell r="O932">
            <v>20229</v>
          </cell>
          <cell r="P932">
            <v>0</v>
          </cell>
          <cell r="Q932" t="str">
            <v>한국</v>
          </cell>
          <cell r="R932" t="str">
            <v>냉동</v>
          </cell>
          <cell r="S932" t="str">
            <v>EA(6)</v>
          </cell>
          <cell r="T932" t="str">
            <v/>
          </cell>
          <cell r="U932" t="str">
            <v/>
          </cell>
          <cell r="V932" t="str">
            <v>2019-01-15</v>
          </cell>
          <cell r="W932" t="str">
            <v>2019-01-15 14:39:24</v>
          </cell>
          <cell r="X932" t="str">
            <v>더바른푸드</v>
          </cell>
        </row>
        <row r="933">
          <cell r="A933">
            <v>929</v>
          </cell>
          <cell r="B933" t="str">
            <v>2019-01-18</v>
          </cell>
          <cell r="C933" t="str">
            <v>더바른푸드</v>
          </cell>
          <cell r="D933" t="str">
            <v>더바른푸드</v>
          </cell>
          <cell r="E933" t="str">
            <v>일반</v>
          </cell>
          <cell r="F933" t="str">
            <v>입고완료</v>
          </cell>
          <cell r="G933">
            <v>130549</v>
          </cell>
          <cell r="H933" t="str">
            <v>이츠웰 흰살생선까스(60g*100입 6Kg/EA)</v>
          </cell>
          <cell r="I933" t="str">
            <v>BOX</v>
          </cell>
          <cell r="J933">
            <v>18</v>
          </cell>
          <cell r="K933">
            <v>18</v>
          </cell>
          <cell r="L933">
            <v>36910</v>
          </cell>
          <cell r="M933">
            <v>664380</v>
          </cell>
          <cell r="N933">
            <v>66438</v>
          </cell>
          <cell r="O933">
            <v>730818</v>
          </cell>
          <cell r="P933">
            <v>0</v>
          </cell>
          <cell r="Q933" t="str">
            <v/>
          </cell>
          <cell r="R933" t="str">
            <v>냉동</v>
          </cell>
          <cell r="S933" t="str">
            <v>EA(1)</v>
          </cell>
          <cell r="T933" t="str">
            <v/>
          </cell>
          <cell r="U933" t="str">
            <v/>
          </cell>
          <cell r="V933" t="str">
            <v>2019-01-16</v>
          </cell>
          <cell r="W933" t="str">
            <v>2019-01-16 15:14:07</v>
          </cell>
          <cell r="X933" t="str">
            <v>더바른푸드</v>
          </cell>
        </row>
        <row r="934">
          <cell r="A934">
            <v>930</v>
          </cell>
          <cell r="B934" t="str">
            <v>2019-01-18</v>
          </cell>
          <cell r="C934" t="str">
            <v>더바른푸드</v>
          </cell>
          <cell r="D934" t="str">
            <v>더바른푸드</v>
          </cell>
          <cell r="E934" t="str">
            <v>일반</v>
          </cell>
          <cell r="F934" t="str">
            <v>입고완료</v>
          </cell>
          <cell r="G934">
            <v>123913</v>
          </cell>
          <cell r="H934" t="str">
            <v>쉐프솔루션 타르타르드레싱(2Kg/EA)</v>
          </cell>
          <cell r="I934" t="str">
            <v>EA</v>
          </cell>
          <cell r="J934">
            <v>9</v>
          </cell>
          <cell r="K934">
            <v>9</v>
          </cell>
          <cell r="L934">
            <v>5910</v>
          </cell>
          <cell r="M934">
            <v>53190</v>
          </cell>
          <cell r="N934">
            <v>5319</v>
          </cell>
          <cell r="O934">
            <v>58509</v>
          </cell>
          <cell r="P934">
            <v>0</v>
          </cell>
          <cell r="Q934" t="str">
            <v/>
          </cell>
          <cell r="R934" t="str">
            <v>냉장</v>
          </cell>
          <cell r="S934" t="str">
            <v>EA(6)</v>
          </cell>
          <cell r="T934" t="str">
            <v/>
          </cell>
          <cell r="U934" t="str">
            <v/>
          </cell>
          <cell r="V934" t="str">
            <v>2019-01-16</v>
          </cell>
          <cell r="W934" t="str">
            <v>2019-01-16 15:16:45</v>
          </cell>
          <cell r="X934" t="str">
            <v>더바른푸드</v>
          </cell>
        </row>
        <row r="935">
          <cell r="A935">
            <v>931</v>
          </cell>
          <cell r="B935" t="str">
            <v>2019-01-18</v>
          </cell>
          <cell r="C935" t="str">
            <v>더바른푸드</v>
          </cell>
          <cell r="D935" t="str">
            <v>더바른푸드</v>
          </cell>
          <cell r="E935" t="str">
            <v>일반</v>
          </cell>
          <cell r="F935" t="str">
            <v>입고완료</v>
          </cell>
          <cell r="G935">
            <v>130633</v>
          </cell>
          <cell r="H935" t="str">
            <v>쉐프솔루션 미트볼(NEW_100±5개입 1Kg/EA)</v>
          </cell>
          <cell r="I935" t="str">
            <v>EA</v>
          </cell>
          <cell r="J935">
            <v>75</v>
          </cell>
          <cell r="K935">
            <v>75</v>
          </cell>
          <cell r="L935">
            <v>4340</v>
          </cell>
          <cell r="M935">
            <v>325500</v>
          </cell>
          <cell r="N935">
            <v>32550</v>
          </cell>
          <cell r="O935">
            <v>358050</v>
          </cell>
          <cell r="P935">
            <v>0</v>
          </cell>
          <cell r="Q935" t="str">
            <v/>
          </cell>
          <cell r="R935" t="str">
            <v>냉동</v>
          </cell>
          <cell r="S935" t="str">
            <v>EA(5)</v>
          </cell>
          <cell r="T935" t="str">
            <v/>
          </cell>
          <cell r="U935" t="str">
            <v/>
          </cell>
          <cell r="V935" t="str">
            <v>2019-01-16</v>
          </cell>
          <cell r="W935" t="str">
            <v>2019-01-16 15:29:28</v>
          </cell>
          <cell r="X935" t="str">
            <v>더바른푸드</v>
          </cell>
        </row>
        <row r="936">
          <cell r="A936">
            <v>932</v>
          </cell>
          <cell r="B936" t="str">
            <v>2019-01-18</v>
          </cell>
          <cell r="C936" t="str">
            <v>더바른푸드</v>
          </cell>
          <cell r="D936" t="str">
            <v>더바른푸드</v>
          </cell>
          <cell r="E936" t="str">
            <v>일반</v>
          </cell>
          <cell r="F936" t="str">
            <v>입고완료</v>
          </cell>
          <cell r="G936">
            <v>228609</v>
          </cell>
          <cell r="H936" t="str">
            <v>고등어(내장제거_50~70g/토막_평균60g 조림용 60g/EA)</v>
          </cell>
          <cell r="I936" t="str">
            <v>EA</v>
          </cell>
          <cell r="J936">
            <v>60</v>
          </cell>
          <cell r="K936">
            <v>60</v>
          </cell>
          <cell r="L936">
            <v>360</v>
          </cell>
          <cell r="M936">
            <v>21600</v>
          </cell>
          <cell r="N936">
            <v>0</v>
          </cell>
          <cell r="O936">
            <v>21600</v>
          </cell>
          <cell r="P936">
            <v>0</v>
          </cell>
          <cell r="Q936" t="str">
            <v>노르웨이</v>
          </cell>
          <cell r="R936" t="str">
            <v>냉동</v>
          </cell>
          <cell r="S936" t="str">
            <v>EA(1)</v>
          </cell>
          <cell r="T936" t="str">
            <v/>
          </cell>
          <cell r="U936" t="str">
            <v/>
          </cell>
          <cell r="V936" t="str">
            <v>2019-01-16</v>
          </cell>
          <cell r="W936" t="str">
            <v>2019-01-16 16:26:03</v>
          </cell>
          <cell r="X936" t="str">
            <v>더바른푸드</v>
          </cell>
        </row>
        <row r="937">
          <cell r="A937">
            <v>933</v>
          </cell>
          <cell r="B937" t="str">
            <v>2019-01-18</v>
          </cell>
          <cell r="C937" t="str">
            <v>더바른푸드</v>
          </cell>
          <cell r="D937" t="str">
            <v>더바른푸드</v>
          </cell>
          <cell r="E937" t="str">
            <v>일반</v>
          </cell>
          <cell r="F937" t="str">
            <v>입고완료</v>
          </cell>
          <cell r="G937">
            <v>127529</v>
          </cell>
          <cell r="H937" t="str">
            <v>칠갑농산 꼬마쌀떡볶이떡(1Kg/EA)</v>
          </cell>
          <cell r="I937" t="str">
            <v>EA</v>
          </cell>
          <cell r="J937">
            <v>18</v>
          </cell>
          <cell r="K937">
            <v>18</v>
          </cell>
          <cell r="L937">
            <v>1340</v>
          </cell>
          <cell r="M937">
            <v>24120</v>
          </cell>
          <cell r="N937">
            <v>2412</v>
          </cell>
          <cell r="O937">
            <v>26532</v>
          </cell>
          <cell r="P937">
            <v>0</v>
          </cell>
          <cell r="Q937" t="str">
            <v/>
          </cell>
          <cell r="R937" t="str">
            <v>냉장</v>
          </cell>
          <cell r="S937" t="str">
            <v>EA(10)</v>
          </cell>
          <cell r="T937" t="str">
            <v/>
          </cell>
          <cell r="U937" t="str">
            <v/>
          </cell>
          <cell r="V937" t="str">
            <v>2019-01-16</v>
          </cell>
          <cell r="W937" t="str">
            <v>2019-01-16 16:33:17</v>
          </cell>
          <cell r="X937" t="str">
            <v>더바른푸드</v>
          </cell>
        </row>
        <row r="938">
          <cell r="A938">
            <v>934</v>
          </cell>
          <cell r="B938" t="str">
            <v>2019-01-18</v>
          </cell>
          <cell r="C938" t="str">
            <v>더바른푸드</v>
          </cell>
          <cell r="D938" t="str">
            <v>더바른푸드</v>
          </cell>
          <cell r="E938" t="str">
            <v>일반</v>
          </cell>
          <cell r="F938" t="str">
            <v>입고완료</v>
          </cell>
          <cell r="G938">
            <v>168258</v>
          </cell>
          <cell r="H938" t="str">
            <v>명품 판두부(부침용 3Kg/EA)</v>
          </cell>
          <cell r="I938" t="str">
            <v>EA</v>
          </cell>
          <cell r="J938">
            <v>3</v>
          </cell>
          <cell r="K938">
            <v>3</v>
          </cell>
          <cell r="L938">
            <v>4000</v>
          </cell>
          <cell r="M938">
            <v>12000</v>
          </cell>
          <cell r="N938">
            <v>0</v>
          </cell>
          <cell r="O938">
            <v>12000</v>
          </cell>
          <cell r="P938">
            <v>0</v>
          </cell>
          <cell r="Q938" t="str">
            <v>수입산</v>
          </cell>
          <cell r="R938" t="str">
            <v>냉장</v>
          </cell>
          <cell r="S938" t="str">
            <v>EA(1)</v>
          </cell>
          <cell r="T938" t="str">
            <v/>
          </cell>
          <cell r="U938" t="str">
            <v/>
          </cell>
          <cell r="V938" t="str">
            <v>2019-01-16</v>
          </cell>
          <cell r="W938" t="str">
            <v>2019-01-16 16:41:34</v>
          </cell>
          <cell r="X938" t="str">
            <v>더바른푸드</v>
          </cell>
        </row>
        <row r="939">
          <cell r="A939">
            <v>935</v>
          </cell>
          <cell r="B939" t="str">
            <v>2019-01-18</v>
          </cell>
          <cell r="C939" t="str">
            <v>더바른푸드</v>
          </cell>
          <cell r="D939" t="str">
            <v>더바른푸드</v>
          </cell>
          <cell r="E939" t="str">
            <v>일반</v>
          </cell>
          <cell r="F939" t="str">
            <v>입고완료</v>
          </cell>
          <cell r="G939">
            <v>224954</v>
          </cell>
          <cell r="H939" t="str">
            <v>감귤(S_61~79과 5Kg/BOX)</v>
          </cell>
          <cell r="I939" t="str">
            <v>BOX</v>
          </cell>
          <cell r="J939">
            <v>2</v>
          </cell>
          <cell r="K939">
            <v>2</v>
          </cell>
          <cell r="L939">
            <v>18760</v>
          </cell>
          <cell r="M939">
            <v>37520</v>
          </cell>
          <cell r="N939">
            <v>0</v>
          </cell>
          <cell r="O939">
            <v>37520</v>
          </cell>
          <cell r="P939">
            <v>0</v>
          </cell>
          <cell r="Q939" t="str">
            <v>한국</v>
          </cell>
          <cell r="R939" t="str">
            <v>냉장</v>
          </cell>
          <cell r="S939" t="str">
            <v>BOX(1)</v>
          </cell>
          <cell r="T939" t="str">
            <v/>
          </cell>
          <cell r="U939" t="str">
            <v/>
          </cell>
          <cell r="V939" t="str">
            <v>2019-01-16</v>
          </cell>
          <cell r="W939" t="str">
            <v>2019-01-16 17:03:51</v>
          </cell>
          <cell r="X939" t="str">
            <v>더바른푸드</v>
          </cell>
        </row>
        <row r="940">
          <cell r="A940">
            <v>936</v>
          </cell>
          <cell r="B940" t="str">
            <v>2019-01-18</v>
          </cell>
          <cell r="C940" t="str">
            <v>더바른푸드</v>
          </cell>
          <cell r="D940" t="str">
            <v>더바른푸드</v>
          </cell>
          <cell r="E940" t="str">
            <v>일반</v>
          </cell>
          <cell r="F940" t="str">
            <v>입고완료</v>
          </cell>
          <cell r="G940">
            <v>136708</v>
          </cell>
          <cell r="H940" t="str">
            <v>마더구스 케익(치즈케익_80조각 700g/EA)</v>
          </cell>
          <cell r="I940" t="str">
            <v>EA</v>
          </cell>
          <cell r="J940">
            <v>2</v>
          </cell>
          <cell r="K940">
            <v>2</v>
          </cell>
          <cell r="L940">
            <v>11100</v>
          </cell>
          <cell r="M940">
            <v>22200</v>
          </cell>
          <cell r="N940">
            <v>2220</v>
          </cell>
          <cell r="O940">
            <v>24420</v>
          </cell>
          <cell r="P940">
            <v>0</v>
          </cell>
          <cell r="Q940" t="str">
            <v/>
          </cell>
          <cell r="R940" t="str">
            <v>냉동</v>
          </cell>
          <cell r="S940" t="str">
            <v>EA(10)</v>
          </cell>
          <cell r="T940" t="str">
            <v/>
          </cell>
          <cell r="U940" t="str">
            <v/>
          </cell>
          <cell r="V940" t="str">
            <v>2019-01-16</v>
          </cell>
          <cell r="W940" t="str">
            <v>2019-01-16 17:06:41</v>
          </cell>
          <cell r="X940" t="str">
            <v>더바른푸드</v>
          </cell>
        </row>
        <row r="941">
          <cell r="A941">
            <v>937</v>
          </cell>
          <cell r="B941" t="str">
            <v>2019-01-18</v>
          </cell>
          <cell r="C941" t="str">
            <v>더바른푸드</v>
          </cell>
          <cell r="D941" t="str">
            <v>더바른푸드</v>
          </cell>
          <cell r="E941" t="str">
            <v>일반</v>
          </cell>
          <cell r="F941" t="str">
            <v>입고완료</v>
          </cell>
          <cell r="G941">
            <v>143285</v>
          </cell>
          <cell r="H941" t="str">
            <v>이츠웰 오이피클(캔_슬라이스 3Kg/EA)</v>
          </cell>
          <cell r="I941" t="str">
            <v>EA</v>
          </cell>
          <cell r="J941">
            <v>3</v>
          </cell>
          <cell r="K941">
            <v>3</v>
          </cell>
          <cell r="L941">
            <v>4880</v>
          </cell>
          <cell r="M941">
            <v>14640</v>
          </cell>
          <cell r="N941">
            <v>1464</v>
          </cell>
          <cell r="O941">
            <v>16104</v>
          </cell>
          <cell r="P941">
            <v>0</v>
          </cell>
          <cell r="Q941" t="str">
            <v/>
          </cell>
          <cell r="R941" t="str">
            <v>실온</v>
          </cell>
          <cell r="S941" t="str">
            <v>EA(6)</v>
          </cell>
          <cell r="T941" t="str">
            <v/>
          </cell>
          <cell r="U941" t="str">
            <v/>
          </cell>
          <cell r="V941" t="str">
            <v>2019-01-17</v>
          </cell>
          <cell r="W941" t="str">
            <v>2019-01-17 12:24:34</v>
          </cell>
          <cell r="X941" t="str">
            <v>더바른푸드</v>
          </cell>
        </row>
        <row r="942">
          <cell r="A942">
            <v>938</v>
          </cell>
          <cell r="B942" t="str">
            <v>2019-01-18</v>
          </cell>
          <cell r="C942" t="str">
            <v>더바른푸드</v>
          </cell>
          <cell r="D942" t="str">
            <v>더바른푸드</v>
          </cell>
          <cell r="E942" t="str">
            <v>일반</v>
          </cell>
          <cell r="F942" t="str">
            <v>입고완료</v>
          </cell>
          <cell r="G942">
            <v>101925</v>
          </cell>
          <cell r="H942" t="str">
            <v>사조대림 조미유부(10g*60개입 600g/EA)</v>
          </cell>
          <cell r="I942" t="str">
            <v>EA</v>
          </cell>
          <cell r="J942">
            <v>3</v>
          </cell>
          <cell r="K942">
            <v>3</v>
          </cell>
          <cell r="L942">
            <v>4390</v>
          </cell>
          <cell r="M942">
            <v>13170</v>
          </cell>
          <cell r="N942">
            <v>1317</v>
          </cell>
          <cell r="O942">
            <v>14487</v>
          </cell>
          <cell r="P942">
            <v>0</v>
          </cell>
          <cell r="Q942" t="str">
            <v>외국산</v>
          </cell>
          <cell r="R942" t="str">
            <v>냉장</v>
          </cell>
          <cell r="S942" t="str">
            <v>EA(1)</v>
          </cell>
          <cell r="T942" t="str">
            <v/>
          </cell>
          <cell r="U942" t="str">
            <v/>
          </cell>
          <cell r="V942" t="str">
            <v>2019-01-17</v>
          </cell>
          <cell r="W942" t="str">
            <v>2019-01-17 12:43:11</v>
          </cell>
          <cell r="X942" t="str">
            <v>더바른푸드</v>
          </cell>
        </row>
        <row r="943">
          <cell r="A943">
            <v>939</v>
          </cell>
          <cell r="B943" t="str">
            <v>2019-01-18</v>
          </cell>
          <cell r="C943" t="str">
            <v>더바른푸드</v>
          </cell>
          <cell r="D943" t="str">
            <v>더바른푸드</v>
          </cell>
          <cell r="E943" t="str">
            <v>일반</v>
          </cell>
          <cell r="F943" t="str">
            <v>입고완료</v>
          </cell>
          <cell r="G943">
            <v>249240</v>
          </cell>
          <cell r="H943" t="str">
            <v>파스타빌라 스파게티(500g/EA)</v>
          </cell>
          <cell r="I943" t="str">
            <v>EA</v>
          </cell>
          <cell r="J943">
            <v>14</v>
          </cell>
          <cell r="K943">
            <v>14</v>
          </cell>
          <cell r="L943">
            <v>690</v>
          </cell>
          <cell r="M943">
            <v>9660</v>
          </cell>
          <cell r="N943">
            <v>966</v>
          </cell>
          <cell r="O943">
            <v>10626</v>
          </cell>
          <cell r="P943">
            <v>0</v>
          </cell>
          <cell r="Q943" t="str">
            <v>터키</v>
          </cell>
          <cell r="R943" t="str">
            <v>실온</v>
          </cell>
          <cell r="S943" t="str">
            <v>EA(20)</v>
          </cell>
          <cell r="T943" t="str">
            <v/>
          </cell>
          <cell r="U943" t="str">
            <v/>
          </cell>
          <cell r="V943" t="str">
            <v>2019-01-17</v>
          </cell>
          <cell r="W943" t="str">
            <v>2019-01-17 12:46:11</v>
          </cell>
          <cell r="X943" t="str">
            <v>더바른푸드</v>
          </cell>
        </row>
        <row r="944">
          <cell r="A944">
            <v>940</v>
          </cell>
          <cell r="B944" t="str">
            <v>2019-01-18</v>
          </cell>
          <cell r="C944" t="str">
            <v>더바른푸드</v>
          </cell>
          <cell r="D944" t="str">
            <v>더바른푸드</v>
          </cell>
          <cell r="E944" t="str">
            <v>일반</v>
          </cell>
          <cell r="F944" t="str">
            <v>입고완료</v>
          </cell>
          <cell r="G944">
            <v>173174</v>
          </cell>
          <cell r="H944" t="str">
            <v>이츠웰 치킨너겟(골든 55±3개입 1Kg/EA)</v>
          </cell>
          <cell r="I944" t="str">
            <v>EA</v>
          </cell>
          <cell r="J944">
            <v>6</v>
          </cell>
          <cell r="K944">
            <v>6</v>
          </cell>
          <cell r="L944">
            <v>4700</v>
          </cell>
          <cell r="M944">
            <v>28200</v>
          </cell>
          <cell r="N944">
            <v>2820</v>
          </cell>
          <cell r="O944">
            <v>31020</v>
          </cell>
          <cell r="P944">
            <v>0</v>
          </cell>
          <cell r="Q944" t="str">
            <v>한국</v>
          </cell>
          <cell r="R944" t="str">
            <v>냉동</v>
          </cell>
          <cell r="S944" t="str">
            <v>EA(10)</v>
          </cell>
          <cell r="T944" t="str">
            <v/>
          </cell>
          <cell r="U944" t="str">
            <v/>
          </cell>
          <cell r="V944" t="str">
            <v>2019-01-17</v>
          </cell>
          <cell r="W944" t="str">
            <v>2019-01-17 14:23:29</v>
          </cell>
          <cell r="X944" t="str">
            <v>더바른푸드</v>
          </cell>
        </row>
        <row r="945">
          <cell r="A945">
            <v>941</v>
          </cell>
          <cell r="B945" t="str">
            <v>2019-01-18</v>
          </cell>
          <cell r="C945" t="str">
            <v>더바른푸드</v>
          </cell>
          <cell r="D945" t="str">
            <v>더바른푸드</v>
          </cell>
          <cell r="E945" t="str">
            <v>일반</v>
          </cell>
          <cell r="F945" t="str">
            <v>입고완료</v>
          </cell>
          <cell r="G945">
            <v>137759</v>
          </cell>
          <cell r="H945" t="str">
            <v>이츠웰 토마토스파게티소스(NEW 2Kg/EA)</v>
          </cell>
          <cell r="I945" t="str">
            <v>EA</v>
          </cell>
          <cell r="J945">
            <v>16</v>
          </cell>
          <cell r="K945">
            <v>16</v>
          </cell>
          <cell r="L945">
            <v>7890</v>
          </cell>
          <cell r="M945">
            <v>126240</v>
          </cell>
          <cell r="N945">
            <v>12624</v>
          </cell>
          <cell r="O945">
            <v>138864</v>
          </cell>
          <cell r="P945">
            <v>0</v>
          </cell>
          <cell r="Q945" t="str">
            <v/>
          </cell>
          <cell r="R945" t="str">
            <v>냉장</v>
          </cell>
          <cell r="S945" t="str">
            <v>EA(6)</v>
          </cell>
          <cell r="T945" t="str">
            <v/>
          </cell>
          <cell r="U945" t="str">
            <v/>
          </cell>
          <cell r="V945" t="str">
            <v>2019-01-17</v>
          </cell>
          <cell r="W945" t="str">
            <v>2019-01-17 15:06:24</v>
          </cell>
          <cell r="X945" t="str">
            <v>더바른푸드</v>
          </cell>
        </row>
        <row r="946">
          <cell r="A946">
            <v>942</v>
          </cell>
          <cell r="B946" t="str">
            <v>2019-01-18</v>
          </cell>
          <cell r="C946" t="str">
            <v>더바른푸드</v>
          </cell>
          <cell r="D946" t="str">
            <v>더바른푸드</v>
          </cell>
          <cell r="E946" t="str">
            <v>일반</v>
          </cell>
          <cell r="F946" t="str">
            <v>입고완료</v>
          </cell>
          <cell r="G946">
            <v>306349</v>
          </cell>
          <cell r="H946" t="str">
            <v>해파리채(염장_수율95% KG)</v>
          </cell>
          <cell r="I946" t="str">
            <v>KG</v>
          </cell>
          <cell r="J946">
            <v>2</v>
          </cell>
          <cell r="K946">
            <v>2</v>
          </cell>
          <cell r="L946">
            <v>6720</v>
          </cell>
          <cell r="M946">
            <v>13440</v>
          </cell>
          <cell r="N946">
            <v>0</v>
          </cell>
          <cell r="O946">
            <v>13440</v>
          </cell>
          <cell r="P946">
            <v>0</v>
          </cell>
          <cell r="Q946" t="str">
            <v>태국</v>
          </cell>
          <cell r="R946" t="str">
            <v>냉장</v>
          </cell>
          <cell r="S946" t="str">
            <v>KG(1)</v>
          </cell>
          <cell r="T946" t="str">
            <v/>
          </cell>
          <cell r="U946" t="str">
            <v/>
          </cell>
          <cell r="V946" t="str">
            <v>2019-01-17</v>
          </cell>
          <cell r="W946" t="str">
            <v>2019-01-17 15:18:05</v>
          </cell>
          <cell r="X946" t="str">
            <v>더바른푸드</v>
          </cell>
        </row>
        <row r="947">
          <cell r="A947">
            <v>943</v>
          </cell>
          <cell r="B947" t="str">
            <v>2019-01-18</v>
          </cell>
          <cell r="C947" t="str">
            <v>더바른푸드</v>
          </cell>
          <cell r="D947" t="str">
            <v>더바른푸드</v>
          </cell>
          <cell r="E947" t="str">
            <v>일반</v>
          </cell>
          <cell r="F947" t="str">
            <v>입고완료</v>
          </cell>
          <cell r="G947">
            <v>173374</v>
          </cell>
          <cell r="H947" t="str">
            <v>쉐프솔루션 진짜통등심돈까스(130g*20입 2.6Kg/EA)</v>
          </cell>
          <cell r="I947" t="str">
            <v>EA</v>
          </cell>
          <cell r="J947">
            <v>4</v>
          </cell>
          <cell r="K947">
            <v>4</v>
          </cell>
          <cell r="L947">
            <v>20600</v>
          </cell>
          <cell r="M947">
            <v>82400</v>
          </cell>
          <cell r="N947">
            <v>8240</v>
          </cell>
          <cell r="O947">
            <v>90640</v>
          </cell>
          <cell r="P947">
            <v>0</v>
          </cell>
          <cell r="Q947" t="str">
            <v>한국</v>
          </cell>
          <cell r="R947" t="str">
            <v>냉동</v>
          </cell>
          <cell r="S947" t="str">
            <v>EA(4)</v>
          </cell>
          <cell r="T947" t="str">
            <v/>
          </cell>
          <cell r="U947" t="str">
            <v/>
          </cell>
          <cell r="V947" t="str">
            <v>2019-01-17</v>
          </cell>
          <cell r="W947" t="str">
            <v>2019-01-17 15:34:37</v>
          </cell>
          <cell r="X947" t="str">
            <v>더바른푸드</v>
          </cell>
        </row>
        <row r="948">
          <cell r="A948">
            <v>944</v>
          </cell>
          <cell r="B948" t="str">
            <v>2019-01-18</v>
          </cell>
          <cell r="C948" t="str">
            <v>더바른푸드</v>
          </cell>
          <cell r="D948" t="str">
            <v>더바른푸드</v>
          </cell>
          <cell r="E948" t="str">
            <v>일반</v>
          </cell>
          <cell r="F948" t="str">
            <v>입고완료</v>
          </cell>
          <cell r="G948">
            <v>107255</v>
          </cell>
          <cell r="H948" t="str">
            <v>오뚜기 돈까스소스(PET 2.1Kg/EA)</v>
          </cell>
          <cell r="I948" t="str">
            <v>EA</v>
          </cell>
          <cell r="J948">
            <v>5</v>
          </cell>
          <cell r="K948">
            <v>5</v>
          </cell>
          <cell r="L948">
            <v>4360</v>
          </cell>
          <cell r="M948">
            <v>21800</v>
          </cell>
          <cell r="N948">
            <v>2180</v>
          </cell>
          <cell r="O948">
            <v>23980</v>
          </cell>
          <cell r="P948">
            <v>0</v>
          </cell>
          <cell r="Q948" t="str">
            <v/>
          </cell>
          <cell r="R948" t="str">
            <v>실온</v>
          </cell>
          <cell r="S948" t="str">
            <v>EA(6)</v>
          </cell>
          <cell r="T948" t="str">
            <v/>
          </cell>
          <cell r="U948" t="str">
            <v/>
          </cell>
          <cell r="V948" t="str">
            <v>2019-01-17</v>
          </cell>
          <cell r="W948" t="str">
            <v>2019-01-17 15:40:39</v>
          </cell>
          <cell r="X948" t="str">
            <v>더바른푸드</v>
          </cell>
        </row>
        <row r="949">
          <cell r="A949">
            <v>945</v>
          </cell>
          <cell r="B949" t="str">
            <v>2019-01-18</v>
          </cell>
          <cell r="C949" t="str">
            <v>더바른푸드</v>
          </cell>
          <cell r="D949" t="str">
            <v>더바른푸드</v>
          </cell>
          <cell r="E949" t="str">
            <v>일반</v>
          </cell>
          <cell r="F949" t="str">
            <v>입고완료</v>
          </cell>
          <cell r="G949">
            <v>130452</v>
          </cell>
          <cell r="H949" t="str">
            <v>사조오양 스모크햄(즉석 1Kg/EA)</v>
          </cell>
          <cell r="I949" t="str">
            <v>EA</v>
          </cell>
          <cell r="J949">
            <v>32</v>
          </cell>
          <cell r="K949">
            <v>32</v>
          </cell>
          <cell r="L949">
            <v>3650</v>
          </cell>
          <cell r="M949">
            <v>116800</v>
          </cell>
          <cell r="N949">
            <v>11680</v>
          </cell>
          <cell r="O949">
            <v>128480</v>
          </cell>
          <cell r="P949">
            <v>0</v>
          </cell>
          <cell r="Q949" t="str">
            <v/>
          </cell>
          <cell r="R949" t="str">
            <v>냉장</v>
          </cell>
          <cell r="S949" t="str">
            <v>EA(10)</v>
          </cell>
          <cell r="T949" t="str">
            <v/>
          </cell>
          <cell r="U949" t="str">
            <v/>
          </cell>
          <cell r="V949" t="str">
            <v>2019-01-17</v>
          </cell>
          <cell r="W949" t="str">
            <v>2019-01-17 16:55:01</v>
          </cell>
          <cell r="X949" t="str">
            <v>더바른푸드</v>
          </cell>
        </row>
        <row r="950">
          <cell r="A950">
            <v>946</v>
          </cell>
          <cell r="B950" t="str">
            <v>2019-01-18</v>
          </cell>
          <cell r="C950" t="str">
            <v>더바른푸드</v>
          </cell>
          <cell r="D950" t="str">
            <v>더바른푸드</v>
          </cell>
          <cell r="E950" t="str">
            <v>일반</v>
          </cell>
          <cell r="F950" t="str">
            <v>입고완료</v>
          </cell>
          <cell r="G950">
            <v>319698</v>
          </cell>
          <cell r="H950" t="str">
            <v>전장김(25g/EA)</v>
          </cell>
          <cell r="I950" t="str">
            <v>EA</v>
          </cell>
          <cell r="J950">
            <v>5</v>
          </cell>
          <cell r="K950">
            <v>5</v>
          </cell>
          <cell r="L950">
            <v>760</v>
          </cell>
          <cell r="M950">
            <v>3800</v>
          </cell>
          <cell r="N950">
            <v>380</v>
          </cell>
          <cell r="O950">
            <v>4180</v>
          </cell>
          <cell r="P950">
            <v>0</v>
          </cell>
          <cell r="Q950" t="str">
            <v>한국</v>
          </cell>
          <cell r="R950" t="str">
            <v>실온</v>
          </cell>
          <cell r="S950" t="str">
            <v>EA(40)</v>
          </cell>
          <cell r="T950" t="str">
            <v/>
          </cell>
          <cell r="U950" t="str">
            <v>추가협의</v>
          </cell>
          <cell r="V950" t="str">
            <v>2019-01-17</v>
          </cell>
          <cell r="W950" t="str">
            <v>2019-01-17 17:15:19</v>
          </cell>
          <cell r="X950" t="str">
            <v>dh7984</v>
          </cell>
        </row>
        <row r="951">
          <cell r="A951">
            <v>947</v>
          </cell>
          <cell r="B951" t="str">
            <v>2019-01-17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</row>
        <row r="952">
          <cell r="A952">
            <v>948</v>
          </cell>
          <cell r="B952" t="str">
            <v>2019-01-17</v>
          </cell>
          <cell r="C952" t="str">
            <v>더바른푸드</v>
          </cell>
          <cell r="D952" t="str">
            <v>더바른푸드</v>
          </cell>
          <cell r="E952" t="str">
            <v>일반</v>
          </cell>
          <cell r="F952" t="str">
            <v>입고완료</v>
          </cell>
          <cell r="G952">
            <v>108319</v>
          </cell>
          <cell r="H952" t="str">
            <v>연세우유 고칼슘두유(팩_200ml 200g/EA)</v>
          </cell>
          <cell r="I952" t="str">
            <v>EA</v>
          </cell>
          <cell r="J952">
            <v>135</v>
          </cell>
          <cell r="K952">
            <v>135</v>
          </cell>
          <cell r="L952">
            <v>280</v>
          </cell>
          <cell r="M952">
            <v>37800</v>
          </cell>
          <cell r="N952">
            <v>3780</v>
          </cell>
          <cell r="O952">
            <v>41580</v>
          </cell>
          <cell r="P952">
            <v>0</v>
          </cell>
          <cell r="Q952" t="str">
            <v>한국</v>
          </cell>
          <cell r="R952" t="str">
            <v>실온</v>
          </cell>
          <cell r="S952" t="str">
            <v>EA(1)</v>
          </cell>
          <cell r="T952" t="str">
            <v/>
          </cell>
          <cell r="U952" t="str">
            <v/>
          </cell>
          <cell r="V952" t="str">
            <v>2019-01-11</v>
          </cell>
          <cell r="W952" t="str">
            <v>2019-01-11 17:42:40</v>
          </cell>
          <cell r="X952" t="str">
            <v>더바른푸드</v>
          </cell>
        </row>
        <row r="953">
          <cell r="A953">
            <v>949</v>
          </cell>
          <cell r="B953" t="str">
            <v>2019-01-17</v>
          </cell>
          <cell r="C953" t="str">
            <v>더바른푸드</v>
          </cell>
          <cell r="D953" t="str">
            <v>더바른푸드</v>
          </cell>
          <cell r="E953" t="str">
            <v>일반</v>
          </cell>
          <cell r="F953" t="str">
            <v>입고완료</v>
          </cell>
          <cell r="G953">
            <v>170336</v>
          </cell>
          <cell r="H953" t="str">
            <v>이츠웰 탕수육(1Kg/EA)</v>
          </cell>
          <cell r="I953" t="str">
            <v>EA</v>
          </cell>
          <cell r="J953">
            <v>150</v>
          </cell>
          <cell r="K953">
            <v>150</v>
          </cell>
          <cell r="L953">
            <v>5210</v>
          </cell>
          <cell r="M953">
            <v>781500</v>
          </cell>
          <cell r="N953">
            <v>78150</v>
          </cell>
          <cell r="O953">
            <v>859650</v>
          </cell>
          <cell r="P953">
            <v>0</v>
          </cell>
          <cell r="Q953" t="str">
            <v/>
          </cell>
          <cell r="R953" t="str">
            <v>냉동</v>
          </cell>
          <cell r="S953" t="str">
            <v>EA(10)</v>
          </cell>
          <cell r="T953" t="str">
            <v/>
          </cell>
          <cell r="U953" t="str">
            <v/>
          </cell>
          <cell r="V953" t="str">
            <v>2019-01-15</v>
          </cell>
          <cell r="W953" t="str">
            <v>2019-01-15 16:02:02</v>
          </cell>
          <cell r="X953" t="str">
            <v>더바른푸드</v>
          </cell>
        </row>
        <row r="954">
          <cell r="A954">
            <v>950</v>
          </cell>
          <cell r="B954" t="str">
            <v>2019-01-17</v>
          </cell>
          <cell r="C954" t="str">
            <v>더바른푸드</v>
          </cell>
          <cell r="D954" t="str">
            <v>더바른푸드</v>
          </cell>
          <cell r="E954" t="str">
            <v>일반</v>
          </cell>
          <cell r="F954" t="str">
            <v>입고완료</v>
          </cell>
          <cell r="G954">
            <v>206705</v>
          </cell>
          <cell r="H954" t="str">
            <v>냉동청피망(1cm다이스 1Kg/PAC)</v>
          </cell>
          <cell r="I954" t="str">
            <v>PAC</v>
          </cell>
          <cell r="J954">
            <v>10</v>
          </cell>
          <cell r="K954">
            <v>10</v>
          </cell>
          <cell r="L954">
            <v>2110</v>
          </cell>
          <cell r="M954">
            <v>21100</v>
          </cell>
          <cell r="N954">
            <v>0</v>
          </cell>
          <cell r="O954">
            <v>21100</v>
          </cell>
          <cell r="P954">
            <v>0</v>
          </cell>
          <cell r="Q954" t="str">
            <v>중국</v>
          </cell>
          <cell r="R954" t="str">
            <v>냉동</v>
          </cell>
          <cell r="S954" t="str">
            <v>PAC(1)</v>
          </cell>
          <cell r="T954" t="str">
            <v/>
          </cell>
          <cell r="U954" t="str">
            <v/>
          </cell>
          <cell r="V954" t="str">
            <v>2019-01-15</v>
          </cell>
          <cell r="W954" t="str">
            <v>2019-01-15 16:12:28</v>
          </cell>
          <cell r="X954" t="str">
            <v>더바른푸드</v>
          </cell>
        </row>
        <row r="955">
          <cell r="A955">
            <v>951</v>
          </cell>
          <cell r="B955" t="str">
            <v>2019-01-17</v>
          </cell>
          <cell r="C955" t="str">
            <v>더바른푸드</v>
          </cell>
          <cell r="D955" t="str">
            <v>더바른푸드</v>
          </cell>
          <cell r="E955" t="str">
            <v>일반</v>
          </cell>
          <cell r="F955" t="str">
            <v>입고완료</v>
          </cell>
          <cell r="G955">
            <v>210182</v>
          </cell>
          <cell r="H955" t="str">
            <v>냉동홍피망(다이스 1Kg/EA)</v>
          </cell>
          <cell r="I955" t="str">
            <v>EA</v>
          </cell>
          <cell r="J955">
            <v>10</v>
          </cell>
          <cell r="K955">
            <v>10</v>
          </cell>
          <cell r="L955">
            <v>2300</v>
          </cell>
          <cell r="M955">
            <v>23000</v>
          </cell>
          <cell r="N955">
            <v>0</v>
          </cell>
          <cell r="O955">
            <v>23000</v>
          </cell>
          <cell r="P955">
            <v>0</v>
          </cell>
          <cell r="Q955" t="str">
            <v>중국</v>
          </cell>
          <cell r="R955" t="str">
            <v>냉동</v>
          </cell>
          <cell r="S955" t="str">
            <v>EA(1)</v>
          </cell>
          <cell r="T955" t="str">
            <v/>
          </cell>
          <cell r="U955" t="str">
            <v/>
          </cell>
          <cell r="V955" t="str">
            <v>2019-01-15</v>
          </cell>
          <cell r="W955" t="str">
            <v>2019-01-15 16:12:28</v>
          </cell>
          <cell r="X955" t="str">
            <v>더바른푸드</v>
          </cell>
        </row>
        <row r="956">
          <cell r="A956">
            <v>952</v>
          </cell>
          <cell r="B956" t="str">
            <v>2019-01-17</v>
          </cell>
          <cell r="C956" t="str">
            <v>더바른푸드</v>
          </cell>
          <cell r="D956" t="str">
            <v>더바른푸드</v>
          </cell>
          <cell r="E956" t="str">
            <v>일반</v>
          </cell>
          <cell r="F956" t="str">
            <v>입고완료</v>
          </cell>
          <cell r="G956">
            <v>133911</v>
          </cell>
          <cell r="H956" t="str">
            <v>세미원푸드 피쉬볼샌드위치(15±1g/개 500g/EA)</v>
          </cell>
          <cell r="I956" t="str">
            <v>EA</v>
          </cell>
          <cell r="J956">
            <v>145</v>
          </cell>
          <cell r="K956">
            <v>145</v>
          </cell>
          <cell r="L956">
            <v>5590</v>
          </cell>
          <cell r="M956">
            <v>810550</v>
          </cell>
          <cell r="N956">
            <v>81055</v>
          </cell>
          <cell r="O956">
            <v>891605</v>
          </cell>
          <cell r="P956">
            <v>0</v>
          </cell>
          <cell r="Q956" t="str">
            <v/>
          </cell>
          <cell r="R956" t="str">
            <v>냉동</v>
          </cell>
          <cell r="S956" t="str">
            <v>EA(12)</v>
          </cell>
          <cell r="T956" t="str">
            <v/>
          </cell>
          <cell r="U956" t="str">
            <v/>
          </cell>
          <cell r="V956" t="str">
            <v>2019-01-15</v>
          </cell>
          <cell r="W956" t="str">
            <v>2019-01-15 16:21:48</v>
          </cell>
          <cell r="X956" t="str">
            <v>더바른푸드</v>
          </cell>
        </row>
        <row r="957">
          <cell r="A957">
            <v>953</v>
          </cell>
          <cell r="B957" t="str">
            <v>2019-01-17</v>
          </cell>
          <cell r="C957" t="str">
            <v>더바른푸드</v>
          </cell>
          <cell r="D957" t="str">
            <v>더바른푸드</v>
          </cell>
          <cell r="E957" t="str">
            <v>일반</v>
          </cell>
          <cell r="F957" t="str">
            <v>입고완료</v>
          </cell>
          <cell r="G957">
            <v>206631</v>
          </cell>
          <cell r="H957" t="str">
            <v>냉동아욱(상품 1Kg/PAC)</v>
          </cell>
          <cell r="I957" t="str">
            <v>PAC</v>
          </cell>
          <cell r="J957">
            <v>40</v>
          </cell>
          <cell r="K957">
            <v>40</v>
          </cell>
          <cell r="L957">
            <v>2450</v>
          </cell>
          <cell r="M957">
            <v>98000</v>
          </cell>
          <cell r="N957">
            <v>9800</v>
          </cell>
          <cell r="O957">
            <v>107800</v>
          </cell>
          <cell r="P957">
            <v>0</v>
          </cell>
          <cell r="Q957" t="str">
            <v>중국</v>
          </cell>
          <cell r="R957" t="str">
            <v>냉동</v>
          </cell>
          <cell r="S957" t="str">
            <v>PAC(1)</v>
          </cell>
          <cell r="T957" t="str">
            <v/>
          </cell>
          <cell r="U957" t="str">
            <v/>
          </cell>
          <cell r="V957" t="str">
            <v>2019-01-16</v>
          </cell>
          <cell r="W957" t="str">
            <v>2019-01-16 13:23:19</v>
          </cell>
          <cell r="X957" t="str">
            <v>더바른푸드</v>
          </cell>
        </row>
        <row r="958">
          <cell r="A958">
            <v>954</v>
          </cell>
          <cell r="B958" t="str">
            <v>2019-01-17</v>
          </cell>
          <cell r="C958" t="str">
            <v>더바른푸드</v>
          </cell>
          <cell r="D958" t="str">
            <v>더바른푸드</v>
          </cell>
          <cell r="E958" t="str">
            <v>일반</v>
          </cell>
          <cell r="F958" t="str">
            <v>입고완료</v>
          </cell>
          <cell r="G958">
            <v>313633</v>
          </cell>
          <cell r="H958" t="str">
            <v>현대푸드 두절건새우(중 1Kg/EA)</v>
          </cell>
          <cell r="I958" t="str">
            <v>EA</v>
          </cell>
          <cell r="J958">
            <v>2</v>
          </cell>
          <cell r="K958">
            <v>2</v>
          </cell>
          <cell r="L958">
            <v>28630</v>
          </cell>
          <cell r="M958">
            <v>57260</v>
          </cell>
          <cell r="N958">
            <v>0</v>
          </cell>
          <cell r="O958">
            <v>57260</v>
          </cell>
          <cell r="P958">
            <v>0</v>
          </cell>
          <cell r="Q958" t="str">
            <v>중국</v>
          </cell>
          <cell r="R958" t="str">
            <v>냉장</v>
          </cell>
          <cell r="S958" t="str">
            <v>EA(1)</v>
          </cell>
          <cell r="T958" t="str">
            <v/>
          </cell>
          <cell r="U958" t="str">
            <v/>
          </cell>
          <cell r="V958" t="str">
            <v>2019-01-16</v>
          </cell>
          <cell r="W958" t="str">
            <v>2019-01-16 13:23:19</v>
          </cell>
          <cell r="X958" t="str">
            <v>더바른푸드</v>
          </cell>
        </row>
        <row r="959">
          <cell r="A959">
            <v>955</v>
          </cell>
          <cell r="B959" t="str">
            <v>2019-01-17</v>
          </cell>
          <cell r="C959" t="str">
            <v>더바른푸드</v>
          </cell>
          <cell r="D959" t="str">
            <v>더바른푸드</v>
          </cell>
          <cell r="E959" t="str">
            <v>일반</v>
          </cell>
          <cell r="F959" t="str">
            <v>입고완료</v>
          </cell>
          <cell r="G959">
            <v>193090</v>
          </cell>
          <cell r="H959" t="str">
            <v>냉동감자(절단_3~4cm 1Kg/EA)</v>
          </cell>
          <cell r="I959" t="str">
            <v>EA</v>
          </cell>
          <cell r="J959">
            <v>10</v>
          </cell>
          <cell r="K959">
            <v>10</v>
          </cell>
          <cell r="L959">
            <v>1980</v>
          </cell>
          <cell r="M959">
            <v>19800</v>
          </cell>
          <cell r="N959">
            <v>1980</v>
          </cell>
          <cell r="O959">
            <v>21780</v>
          </cell>
          <cell r="P959">
            <v>0</v>
          </cell>
          <cell r="Q959" t="str">
            <v>중국</v>
          </cell>
          <cell r="R959" t="str">
            <v>냉동</v>
          </cell>
          <cell r="S959" t="str">
            <v>EA(1)</v>
          </cell>
          <cell r="T959" t="str">
            <v/>
          </cell>
          <cell r="U959" t="str">
            <v/>
          </cell>
          <cell r="V959" t="str">
            <v>2019-01-16</v>
          </cell>
          <cell r="W959" t="str">
            <v>2019-01-16 13:24:12</v>
          </cell>
          <cell r="X959" t="str">
            <v>더바른푸드</v>
          </cell>
        </row>
        <row r="960">
          <cell r="A960">
            <v>956</v>
          </cell>
          <cell r="B960" t="str">
            <v>2019-01-17</v>
          </cell>
          <cell r="C960" t="str">
            <v>더바른푸드</v>
          </cell>
          <cell r="D960" t="str">
            <v>더바른푸드</v>
          </cell>
          <cell r="E960" t="str">
            <v>일반</v>
          </cell>
          <cell r="F960" t="str">
            <v>입고완료</v>
          </cell>
          <cell r="G960">
            <v>237935</v>
          </cell>
          <cell r="H960" t="str">
            <v>이츠웰 탈피들깨가루(1Kg/EA)</v>
          </cell>
          <cell r="I960" t="str">
            <v>EA</v>
          </cell>
          <cell r="J960">
            <v>2</v>
          </cell>
          <cell r="K960">
            <v>2</v>
          </cell>
          <cell r="L960">
            <v>9210</v>
          </cell>
          <cell r="M960">
            <v>18420</v>
          </cell>
          <cell r="N960">
            <v>1842</v>
          </cell>
          <cell r="O960">
            <v>20262</v>
          </cell>
          <cell r="P960">
            <v>0</v>
          </cell>
          <cell r="Q960" t="str">
            <v/>
          </cell>
          <cell r="R960" t="str">
            <v>실온</v>
          </cell>
          <cell r="S960" t="str">
            <v>EA(10)</v>
          </cell>
          <cell r="T960" t="str">
            <v/>
          </cell>
          <cell r="U960" t="str">
            <v/>
          </cell>
          <cell r="V960" t="str">
            <v>2019-01-16</v>
          </cell>
          <cell r="W960" t="str">
            <v>2019-01-16 13:25:07</v>
          </cell>
          <cell r="X960" t="str">
            <v>더바른푸드</v>
          </cell>
        </row>
        <row r="961">
          <cell r="A961">
            <v>957</v>
          </cell>
          <cell r="B961" t="str">
            <v>2019-01-17</v>
          </cell>
          <cell r="C961" t="str">
            <v>더바른푸드</v>
          </cell>
          <cell r="D961" t="str">
            <v>더바른푸드</v>
          </cell>
          <cell r="E961" t="str">
            <v>일반</v>
          </cell>
          <cell r="F961" t="str">
            <v>입고완료</v>
          </cell>
          <cell r="G961">
            <v>197123</v>
          </cell>
          <cell r="H961" t="str">
            <v>종가집 깍두기(숙성_2*2cm 10Kg/BOX)</v>
          </cell>
          <cell r="I961" t="str">
            <v>BOX</v>
          </cell>
          <cell r="J961">
            <v>30</v>
          </cell>
          <cell r="K961">
            <v>3</v>
          </cell>
          <cell r="L961">
            <v>33290</v>
          </cell>
          <cell r="M961">
            <v>998700</v>
          </cell>
          <cell r="N961">
            <v>0</v>
          </cell>
          <cell r="O961">
            <v>998700</v>
          </cell>
          <cell r="P961">
            <v>0</v>
          </cell>
          <cell r="Q961" t="str">
            <v>한국</v>
          </cell>
          <cell r="R961" t="str">
            <v>냉장</v>
          </cell>
          <cell r="S961" t="str">
            <v>BOX(1)</v>
          </cell>
          <cell r="T961" t="str">
            <v/>
          </cell>
          <cell r="U961" t="str">
            <v/>
          </cell>
          <cell r="V961" t="str">
            <v>2019-01-16</v>
          </cell>
          <cell r="W961" t="str">
            <v>2019-01-16 14:55:53</v>
          </cell>
          <cell r="X961" t="str">
            <v>더바른푸드</v>
          </cell>
        </row>
        <row r="962">
          <cell r="A962">
            <v>958</v>
          </cell>
          <cell r="B962" t="str">
            <v>2019-01-17</v>
          </cell>
          <cell r="C962" t="str">
            <v>더바른푸드</v>
          </cell>
          <cell r="D962" t="str">
            <v>더바른푸드</v>
          </cell>
          <cell r="E962" t="str">
            <v>일반</v>
          </cell>
          <cell r="F962" t="str">
            <v>입고완료</v>
          </cell>
          <cell r="G962">
            <v>190327</v>
          </cell>
          <cell r="H962" t="str">
            <v>이츠웰 감자전분(1Kg/EA)</v>
          </cell>
          <cell r="I962" t="str">
            <v>EA</v>
          </cell>
          <cell r="J962">
            <v>10</v>
          </cell>
          <cell r="K962">
            <v>10</v>
          </cell>
          <cell r="L962">
            <v>2500</v>
          </cell>
          <cell r="M962">
            <v>25000</v>
          </cell>
          <cell r="N962">
            <v>2500</v>
          </cell>
          <cell r="O962">
            <v>27500</v>
          </cell>
          <cell r="P962">
            <v>0</v>
          </cell>
          <cell r="Q962" t="str">
            <v>폴란드</v>
          </cell>
          <cell r="R962" t="str">
            <v>실온</v>
          </cell>
          <cell r="S962" t="str">
            <v>EA(10)</v>
          </cell>
          <cell r="T962" t="str">
            <v/>
          </cell>
          <cell r="U962" t="str">
            <v/>
          </cell>
          <cell r="V962" t="str">
            <v>2019-01-16</v>
          </cell>
          <cell r="W962" t="str">
            <v>2019-01-16 14:55:53</v>
          </cell>
          <cell r="X962" t="str">
            <v>더바른푸드</v>
          </cell>
        </row>
        <row r="963">
          <cell r="A963">
            <v>959</v>
          </cell>
          <cell r="B963" t="str">
            <v>2019-01-17</v>
          </cell>
          <cell r="C963" t="str">
            <v>더바른푸드</v>
          </cell>
          <cell r="D963" t="str">
            <v>더바른푸드</v>
          </cell>
          <cell r="E963" t="str">
            <v>일반</v>
          </cell>
          <cell r="F963" t="str">
            <v>입고완료</v>
          </cell>
          <cell r="G963">
            <v>197120</v>
          </cell>
          <cell r="H963" t="str">
            <v>종가집 포기김치(숙성 10Kg/BOX)</v>
          </cell>
          <cell r="I963" t="str">
            <v>BOX</v>
          </cell>
          <cell r="J963">
            <v>10</v>
          </cell>
          <cell r="K963">
            <v>10</v>
          </cell>
          <cell r="L963">
            <v>31390</v>
          </cell>
          <cell r="M963">
            <v>313900</v>
          </cell>
          <cell r="N963">
            <v>0</v>
          </cell>
          <cell r="O963">
            <v>313900</v>
          </cell>
          <cell r="P963">
            <v>0</v>
          </cell>
          <cell r="Q963" t="str">
            <v>한국</v>
          </cell>
          <cell r="R963" t="str">
            <v>냉장</v>
          </cell>
          <cell r="S963" t="str">
            <v>BOX(1)</v>
          </cell>
          <cell r="T963" t="str">
            <v/>
          </cell>
          <cell r="U963" t="str">
            <v/>
          </cell>
          <cell r="V963" t="str">
            <v>2019-01-16</v>
          </cell>
          <cell r="W963" t="str">
            <v>2019-01-16 14:55:53</v>
          </cell>
          <cell r="X963" t="str">
            <v>더바른푸드</v>
          </cell>
        </row>
        <row r="964">
          <cell r="A964">
            <v>960</v>
          </cell>
          <cell r="B964" t="str">
            <v>2019-01-17</v>
          </cell>
          <cell r="C964" t="str">
            <v>더바른푸드</v>
          </cell>
          <cell r="D964" t="str">
            <v>더바른푸드</v>
          </cell>
          <cell r="E964" t="str">
            <v>일반</v>
          </cell>
          <cell r="F964" t="str">
            <v>입고완료</v>
          </cell>
          <cell r="G964">
            <v>128746</v>
          </cell>
          <cell r="H964" t="str">
            <v>이츠웰 들기름(PET_1.8L 1.65Kg/EA)</v>
          </cell>
          <cell r="I964" t="str">
            <v>EA</v>
          </cell>
          <cell r="J964">
            <v>6</v>
          </cell>
          <cell r="K964">
            <v>6</v>
          </cell>
          <cell r="L964">
            <v>23590</v>
          </cell>
          <cell r="M964">
            <v>141540</v>
          </cell>
          <cell r="N964">
            <v>14154</v>
          </cell>
          <cell r="O964">
            <v>155694</v>
          </cell>
          <cell r="P964">
            <v>0</v>
          </cell>
          <cell r="Q964" t="str">
            <v>중국</v>
          </cell>
          <cell r="R964" t="str">
            <v>실온</v>
          </cell>
          <cell r="S964" t="str">
            <v>EA(6)</v>
          </cell>
          <cell r="T964" t="str">
            <v/>
          </cell>
          <cell r="U964" t="str">
            <v/>
          </cell>
          <cell r="V964" t="str">
            <v>2019-01-16</v>
          </cell>
          <cell r="W964" t="str">
            <v>2019-01-16 14:55:53</v>
          </cell>
          <cell r="X964" t="str">
            <v>더바른푸드</v>
          </cell>
        </row>
        <row r="965">
          <cell r="A965">
            <v>961</v>
          </cell>
          <cell r="B965" t="str">
            <v>2019-01-17</v>
          </cell>
          <cell r="C965" t="str">
            <v>더바른푸드</v>
          </cell>
          <cell r="D965" t="str">
            <v>더바른푸드</v>
          </cell>
          <cell r="E965" t="str">
            <v>일반</v>
          </cell>
          <cell r="F965" t="str">
            <v>입고완료</v>
          </cell>
          <cell r="G965">
            <v>142620</v>
          </cell>
          <cell r="H965" t="str">
            <v>청학FNC 볶음검정깨(1Kg/EA)</v>
          </cell>
          <cell r="I965" t="str">
            <v>EA</v>
          </cell>
          <cell r="J965">
            <v>2</v>
          </cell>
          <cell r="K965">
            <v>2</v>
          </cell>
          <cell r="L965">
            <v>10270</v>
          </cell>
          <cell r="M965">
            <v>20540</v>
          </cell>
          <cell r="N965">
            <v>2054</v>
          </cell>
          <cell r="O965">
            <v>22594</v>
          </cell>
          <cell r="P965">
            <v>0</v>
          </cell>
          <cell r="Q965" t="str">
            <v>중국</v>
          </cell>
          <cell r="R965" t="str">
            <v>실온</v>
          </cell>
          <cell r="S965" t="str">
            <v>EA(10)</v>
          </cell>
          <cell r="T965" t="str">
            <v/>
          </cell>
          <cell r="U965" t="str">
            <v/>
          </cell>
          <cell r="V965" t="str">
            <v>2019-01-16</v>
          </cell>
          <cell r="W965" t="str">
            <v>2019-01-16 14:55:54</v>
          </cell>
          <cell r="X965" t="str">
            <v>더바른푸드</v>
          </cell>
        </row>
        <row r="966">
          <cell r="A966">
            <v>962</v>
          </cell>
          <cell r="B966" t="str">
            <v>2019-01-17</v>
          </cell>
          <cell r="C966" t="str">
            <v>더바른푸드</v>
          </cell>
          <cell r="D966" t="str">
            <v>더바른푸드</v>
          </cell>
          <cell r="E966" t="str">
            <v>일반</v>
          </cell>
          <cell r="F966" t="str">
            <v>입고완료</v>
          </cell>
          <cell r="G966">
            <v>512178</v>
          </cell>
          <cell r="H966" t="str">
            <v>이츠웰 페이퍼타올(실속 핸드타올_4500매 BOX)</v>
          </cell>
          <cell r="I966" t="str">
            <v>BOX</v>
          </cell>
          <cell r="J966">
            <v>2</v>
          </cell>
          <cell r="K966">
            <v>2</v>
          </cell>
          <cell r="L966">
            <v>19720</v>
          </cell>
          <cell r="M966">
            <v>39440</v>
          </cell>
          <cell r="N966">
            <v>3944</v>
          </cell>
          <cell r="O966">
            <v>43384</v>
          </cell>
          <cell r="P966">
            <v>0</v>
          </cell>
          <cell r="Q966" t="str">
            <v/>
          </cell>
          <cell r="R966" t="str">
            <v>실온</v>
          </cell>
          <cell r="S966" t="str">
            <v>BOX(1)</v>
          </cell>
          <cell r="T966" t="str">
            <v/>
          </cell>
          <cell r="U966" t="str">
            <v/>
          </cell>
          <cell r="V966" t="str">
            <v>2019-01-16</v>
          </cell>
          <cell r="W966" t="str">
            <v>2019-01-16 14:58:00</v>
          </cell>
          <cell r="X966" t="str">
            <v>더바른푸드</v>
          </cell>
        </row>
        <row r="967">
          <cell r="A967">
            <v>963</v>
          </cell>
          <cell r="B967" t="str">
            <v>2019-01-17</v>
          </cell>
          <cell r="C967" t="str">
            <v>더바른푸드</v>
          </cell>
          <cell r="D967" t="str">
            <v>더바른푸드</v>
          </cell>
          <cell r="E967" t="str">
            <v>일반</v>
          </cell>
          <cell r="F967" t="str">
            <v>입고완료</v>
          </cell>
          <cell r="G967">
            <v>211037</v>
          </cell>
          <cell r="H967" t="str">
            <v>느타리버섯(실속 균상 2Kg/EA)</v>
          </cell>
          <cell r="I967" t="str">
            <v>BOX</v>
          </cell>
          <cell r="J967">
            <v>40</v>
          </cell>
          <cell r="K967">
            <v>35</v>
          </cell>
          <cell r="L967">
            <v>7650</v>
          </cell>
          <cell r="M967">
            <v>306000</v>
          </cell>
          <cell r="N967">
            <v>0</v>
          </cell>
          <cell r="O967">
            <v>306000</v>
          </cell>
          <cell r="P967">
            <v>0</v>
          </cell>
          <cell r="Q967" t="str">
            <v>한국</v>
          </cell>
          <cell r="R967" t="str">
            <v>냉장</v>
          </cell>
          <cell r="S967" t="str">
            <v>EA(1)</v>
          </cell>
          <cell r="T967" t="str">
            <v/>
          </cell>
          <cell r="U967" t="str">
            <v/>
          </cell>
          <cell r="V967" t="str">
            <v>2019-01-16</v>
          </cell>
          <cell r="W967" t="str">
            <v>2019-01-16 15:38:01</v>
          </cell>
          <cell r="X967" t="str">
            <v>더바른푸드</v>
          </cell>
        </row>
        <row r="968">
          <cell r="A968">
            <v>964</v>
          </cell>
          <cell r="B968" t="str">
            <v>2019-01-17</v>
          </cell>
          <cell r="C968" t="str">
            <v>더바른푸드</v>
          </cell>
          <cell r="D968" t="str">
            <v>더바른푸드</v>
          </cell>
          <cell r="E968" t="str">
            <v>일반</v>
          </cell>
          <cell r="F968" t="str">
            <v>입고완료</v>
          </cell>
          <cell r="G968">
            <v>318887</v>
          </cell>
          <cell r="H968" t="str">
            <v>고든통상 황태채(상품 키즈용 1Kg/EA)</v>
          </cell>
          <cell r="I968" t="str">
            <v>EA</v>
          </cell>
          <cell r="J968">
            <v>1</v>
          </cell>
          <cell r="K968">
            <v>1</v>
          </cell>
          <cell r="L968">
            <v>23460</v>
          </cell>
          <cell r="M968">
            <v>23460</v>
          </cell>
          <cell r="N968">
            <v>0</v>
          </cell>
          <cell r="O968">
            <v>23460</v>
          </cell>
          <cell r="P968">
            <v>0</v>
          </cell>
          <cell r="Q968" t="str">
            <v>러시아</v>
          </cell>
          <cell r="R968" t="str">
            <v>냉장</v>
          </cell>
          <cell r="S968" t="str">
            <v>EA(8)</v>
          </cell>
          <cell r="T968" t="str">
            <v/>
          </cell>
          <cell r="U968" t="str">
            <v/>
          </cell>
          <cell r="V968" t="str">
            <v>2019-01-16</v>
          </cell>
          <cell r="W968" t="str">
            <v>2019-01-16 16:29:09</v>
          </cell>
          <cell r="X968" t="str">
            <v>더바른푸드</v>
          </cell>
        </row>
        <row r="969">
          <cell r="A969">
            <v>965</v>
          </cell>
          <cell r="B969" t="str">
            <v>2019-01-17</v>
          </cell>
          <cell r="C969" t="str">
            <v>더바른푸드</v>
          </cell>
          <cell r="D969" t="str">
            <v>더바른푸드</v>
          </cell>
          <cell r="E969" t="str">
            <v>일반</v>
          </cell>
          <cell r="F969" t="str">
            <v>입고완료</v>
          </cell>
          <cell r="G969">
            <v>166334</v>
          </cell>
          <cell r="H969" t="str">
            <v>종로복떡방 흰꿀떡(멥쌀_20G*50입 1Kg/EA)</v>
          </cell>
          <cell r="I969" t="str">
            <v>EA</v>
          </cell>
          <cell r="J969">
            <v>6</v>
          </cell>
          <cell r="K969">
            <v>6</v>
          </cell>
          <cell r="L969">
            <v>6750</v>
          </cell>
          <cell r="M969">
            <v>40500</v>
          </cell>
          <cell r="N969">
            <v>4050</v>
          </cell>
          <cell r="O969">
            <v>44550</v>
          </cell>
          <cell r="P969">
            <v>0</v>
          </cell>
          <cell r="Q969" t="str">
            <v/>
          </cell>
          <cell r="R969" t="str">
            <v>냉동</v>
          </cell>
          <cell r="S969" t="str">
            <v>EA(1)</v>
          </cell>
          <cell r="T969" t="str">
            <v/>
          </cell>
          <cell r="U969" t="str">
            <v/>
          </cell>
          <cell r="V969" t="str">
            <v>2019-01-16</v>
          </cell>
          <cell r="W969" t="str">
            <v>2019-01-16 17:00:42</v>
          </cell>
          <cell r="X969" t="str">
            <v>더바른푸드</v>
          </cell>
        </row>
        <row r="970">
          <cell r="A970">
            <v>966</v>
          </cell>
          <cell r="B970" t="str">
            <v>2019-01-16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G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</row>
        <row r="971">
          <cell r="A971">
            <v>967</v>
          </cell>
          <cell r="B971" t="str">
            <v>2019-01-16</v>
          </cell>
          <cell r="C971" t="str">
            <v>더바른푸드</v>
          </cell>
          <cell r="D971" t="str">
            <v>더바른푸드</v>
          </cell>
          <cell r="E971" t="str">
            <v>일반</v>
          </cell>
          <cell r="F971" t="str">
            <v>입고완료</v>
          </cell>
          <cell r="G971">
            <v>145345</v>
          </cell>
          <cell r="H971" t="str">
            <v>이츠웰 우리밀촉촉마들렌(개별포장_15g*30입 450g/EA)</v>
          </cell>
          <cell r="I971" t="str">
            <v>EA</v>
          </cell>
          <cell r="J971">
            <v>19</v>
          </cell>
          <cell r="K971">
            <v>19</v>
          </cell>
          <cell r="L971">
            <v>6190</v>
          </cell>
          <cell r="M971">
            <v>117610</v>
          </cell>
          <cell r="N971">
            <v>11761</v>
          </cell>
          <cell r="O971">
            <v>129371</v>
          </cell>
          <cell r="P971">
            <v>0</v>
          </cell>
          <cell r="Q971" t="str">
            <v>한국</v>
          </cell>
          <cell r="R971" t="str">
            <v>냉동</v>
          </cell>
          <cell r="S971" t="str">
            <v>EA(10)</v>
          </cell>
          <cell r="T971" t="str">
            <v/>
          </cell>
          <cell r="U971" t="str">
            <v/>
          </cell>
          <cell r="V971" t="str">
            <v>2019-01-11</v>
          </cell>
          <cell r="W971" t="str">
            <v>2019-01-11 17:43:58</v>
          </cell>
          <cell r="X971" t="str">
            <v>더바른푸드</v>
          </cell>
        </row>
        <row r="972">
          <cell r="A972">
            <v>968</v>
          </cell>
          <cell r="B972" t="str">
            <v>2019-01-16</v>
          </cell>
          <cell r="C972" t="str">
            <v>더바른푸드</v>
          </cell>
          <cell r="D972" t="str">
            <v>더바른푸드</v>
          </cell>
          <cell r="E972" t="str">
            <v>일반</v>
          </cell>
          <cell r="F972" t="str">
            <v>입고완료</v>
          </cell>
          <cell r="G972">
            <v>197120</v>
          </cell>
          <cell r="H972" t="str">
            <v>종가집 포기김치(숙성 10Kg/BOX)</v>
          </cell>
          <cell r="I972" t="str">
            <v>BOX</v>
          </cell>
          <cell r="J972">
            <v>10</v>
          </cell>
          <cell r="K972">
            <v>10</v>
          </cell>
          <cell r="L972">
            <v>31390</v>
          </cell>
          <cell r="M972">
            <v>313900</v>
          </cell>
          <cell r="N972">
            <v>0</v>
          </cell>
          <cell r="O972">
            <v>313900</v>
          </cell>
          <cell r="P972">
            <v>0</v>
          </cell>
          <cell r="Q972" t="str">
            <v>한국</v>
          </cell>
          <cell r="R972" t="str">
            <v>냉장</v>
          </cell>
          <cell r="S972" t="str">
            <v>BOX(1)</v>
          </cell>
          <cell r="T972" t="str">
            <v/>
          </cell>
          <cell r="U972" t="str">
            <v/>
          </cell>
          <cell r="V972" t="str">
            <v>2019-01-15</v>
          </cell>
          <cell r="W972" t="str">
            <v>2019-01-15 11:56:42</v>
          </cell>
          <cell r="X972" t="str">
            <v>더바른푸드</v>
          </cell>
        </row>
        <row r="973">
          <cell r="A973">
            <v>969</v>
          </cell>
          <cell r="B973" t="str">
            <v>2019-01-16</v>
          </cell>
          <cell r="C973" t="str">
            <v>더바른푸드</v>
          </cell>
          <cell r="D973" t="str">
            <v>더바른푸드</v>
          </cell>
          <cell r="E973" t="str">
            <v>일반</v>
          </cell>
          <cell r="F973" t="str">
            <v>입고완료</v>
          </cell>
          <cell r="G973">
            <v>145349</v>
          </cell>
          <cell r="H973" t="str">
            <v>이츠웰 사골엑기스(1Kg/EA)</v>
          </cell>
          <cell r="I973" t="str">
            <v>EA</v>
          </cell>
          <cell r="J973">
            <v>6</v>
          </cell>
          <cell r="K973">
            <v>6</v>
          </cell>
          <cell r="L973">
            <v>6080</v>
          </cell>
          <cell r="M973">
            <v>36480</v>
          </cell>
          <cell r="N973">
            <v>3648</v>
          </cell>
          <cell r="O973">
            <v>40128</v>
          </cell>
          <cell r="P973">
            <v>0</v>
          </cell>
          <cell r="Q973" t="str">
            <v>호주</v>
          </cell>
          <cell r="R973" t="str">
            <v>실온</v>
          </cell>
          <cell r="S973" t="str">
            <v>EA(10)</v>
          </cell>
          <cell r="T973" t="str">
            <v/>
          </cell>
          <cell r="U973" t="str">
            <v/>
          </cell>
          <cell r="V973" t="str">
            <v>2019-01-15</v>
          </cell>
          <cell r="W973" t="str">
            <v>2019-01-15 12:01:08</v>
          </cell>
          <cell r="X973" t="str">
            <v>더바른푸드</v>
          </cell>
        </row>
        <row r="974">
          <cell r="A974">
            <v>970</v>
          </cell>
          <cell r="B974" t="str">
            <v>2019-01-16</v>
          </cell>
          <cell r="C974" t="str">
            <v>더바른푸드</v>
          </cell>
          <cell r="D974" t="str">
            <v>더바른푸드</v>
          </cell>
          <cell r="E974" t="str">
            <v>일반</v>
          </cell>
          <cell r="F974" t="str">
            <v>입고완료</v>
          </cell>
          <cell r="G974">
            <v>242743</v>
          </cell>
          <cell r="H974" t="str">
            <v>이츠웰 메밀전병(곤드레나물_60g*20입 1.2Kg/EA)</v>
          </cell>
          <cell r="I974" t="str">
            <v>EA</v>
          </cell>
          <cell r="J974">
            <v>4</v>
          </cell>
          <cell r="K974">
            <v>4</v>
          </cell>
          <cell r="L974">
            <v>7690</v>
          </cell>
          <cell r="M974">
            <v>30760</v>
          </cell>
          <cell r="N974">
            <v>3076</v>
          </cell>
          <cell r="O974">
            <v>33836</v>
          </cell>
          <cell r="P974">
            <v>0</v>
          </cell>
          <cell r="Q974" t="str">
            <v/>
          </cell>
          <cell r="R974" t="str">
            <v>냉동</v>
          </cell>
          <cell r="S974" t="str">
            <v>EA(6)</v>
          </cell>
          <cell r="T974" t="str">
            <v/>
          </cell>
          <cell r="U974" t="str">
            <v/>
          </cell>
          <cell r="V974" t="str">
            <v>2019-01-15</v>
          </cell>
          <cell r="W974" t="str">
            <v>2019-01-15 12:13:26</v>
          </cell>
          <cell r="X974" t="str">
            <v>더바른푸드</v>
          </cell>
        </row>
        <row r="975">
          <cell r="A975">
            <v>971</v>
          </cell>
          <cell r="B975" t="str">
            <v>2019-01-16</v>
          </cell>
          <cell r="C975" t="str">
            <v>더바른푸드</v>
          </cell>
          <cell r="D975" t="str">
            <v>더바른푸드</v>
          </cell>
          <cell r="E975" t="str">
            <v>일반</v>
          </cell>
          <cell r="F975" t="str">
            <v>입고완료</v>
          </cell>
          <cell r="G975">
            <v>127359</v>
          </cell>
          <cell r="H975" t="str">
            <v>사조대림 사각잡채군만두(32±1개입 800g/EA)</v>
          </cell>
          <cell r="I975" t="str">
            <v>EA</v>
          </cell>
          <cell r="J975">
            <v>72</v>
          </cell>
          <cell r="K975">
            <v>72</v>
          </cell>
          <cell r="L975">
            <v>3380</v>
          </cell>
          <cell r="M975">
            <v>243360</v>
          </cell>
          <cell r="N975">
            <v>24336</v>
          </cell>
          <cell r="O975">
            <v>267696</v>
          </cell>
          <cell r="P975">
            <v>0</v>
          </cell>
          <cell r="Q975" t="str">
            <v/>
          </cell>
          <cell r="R975" t="str">
            <v>냉동</v>
          </cell>
          <cell r="S975" t="str">
            <v>EA(6)</v>
          </cell>
          <cell r="T975" t="str">
            <v/>
          </cell>
          <cell r="U975" t="str">
            <v/>
          </cell>
          <cell r="V975" t="str">
            <v>2019-01-15</v>
          </cell>
          <cell r="W975" t="str">
            <v>2019-01-15 12:37:23</v>
          </cell>
          <cell r="X975" t="str">
            <v>더바른푸드</v>
          </cell>
        </row>
        <row r="976">
          <cell r="A976">
            <v>972</v>
          </cell>
          <cell r="B976" t="str">
            <v>2019-01-16</v>
          </cell>
          <cell r="C976" t="str">
            <v>더바른푸드</v>
          </cell>
          <cell r="D976" t="str">
            <v>더바른푸드</v>
          </cell>
          <cell r="E976" t="str">
            <v>일반</v>
          </cell>
          <cell r="F976" t="str">
            <v>입고완료</v>
          </cell>
          <cell r="G976">
            <v>145806</v>
          </cell>
          <cell r="H976" t="str">
            <v>진주햄 더블햄(슬라이스_26장 500g/EA)</v>
          </cell>
          <cell r="I976" t="str">
            <v>EA</v>
          </cell>
          <cell r="J976">
            <v>46</v>
          </cell>
          <cell r="K976">
            <v>46</v>
          </cell>
          <cell r="L976">
            <v>3560</v>
          </cell>
          <cell r="M976">
            <v>163760</v>
          </cell>
          <cell r="N976">
            <v>16376</v>
          </cell>
          <cell r="O976">
            <v>180136</v>
          </cell>
          <cell r="P976">
            <v>0</v>
          </cell>
          <cell r="Q976" t="str">
            <v/>
          </cell>
          <cell r="R976" t="str">
            <v>냉장</v>
          </cell>
          <cell r="S976" t="str">
            <v>EA(20)</v>
          </cell>
          <cell r="T976" t="str">
            <v/>
          </cell>
          <cell r="U976" t="str">
            <v/>
          </cell>
          <cell r="V976" t="str">
            <v>2019-01-15</v>
          </cell>
          <cell r="W976" t="str">
            <v>2019-01-15 13:37:10</v>
          </cell>
          <cell r="X976" t="str">
            <v>더바른푸드</v>
          </cell>
        </row>
        <row r="977">
          <cell r="A977">
            <v>973</v>
          </cell>
          <cell r="B977" t="str">
            <v>2019-01-16</v>
          </cell>
          <cell r="C977" t="str">
            <v>더바른푸드</v>
          </cell>
          <cell r="D977" t="str">
            <v>더바른푸드</v>
          </cell>
          <cell r="E977" t="str">
            <v>일반</v>
          </cell>
          <cell r="F977" t="str">
            <v>입고완료</v>
          </cell>
          <cell r="G977">
            <v>420010</v>
          </cell>
          <cell r="H977" t="str">
            <v>알로팜 계란(왕란_무항생제_68g*30입 2.04Kg/EA)</v>
          </cell>
          <cell r="I977" t="str">
            <v>EA</v>
          </cell>
          <cell r="J977">
            <v>15</v>
          </cell>
          <cell r="K977">
            <v>15</v>
          </cell>
          <cell r="L977">
            <v>4350</v>
          </cell>
          <cell r="M977">
            <v>65250</v>
          </cell>
          <cell r="N977">
            <v>0</v>
          </cell>
          <cell r="O977">
            <v>65250</v>
          </cell>
          <cell r="P977">
            <v>65250</v>
          </cell>
          <cell r="Q977" t="str">
            <v>한국</v>
          </cell>
          <cell r="R977" t="str">
            <v>냉장</v>
          </cell>
          <cell r="S977" t="str">
            <v>EA(1)</v>
          </cell>
          <cell r="T977" t="str">
            <v/>
          </cell>
          <cell r="U977" t="str">
            <v/>
          </cell>
          <cell r="V977" t="str">
            <v>2019-01-15</v>
          </cell>
          <cell r="W977" t="str">
            <v>2019-01-15 13:45:35</v>
          </cell>
          <cell r="X977" t="str">
            <v>더바른푸드</v>
          </cell>
        </row>
        <row r="978">
          <cell r="A978">
            <v>974</v>
          </cell>
          <cell r="B978" t="str">
            <v>2019-01-16</v>
          </cell>
          <cell r="C978" t="str">
            <v>더바른푸드</v>
          </cell>
          <cell r="D978" t="str">
            <v>더바른푸드</v>
          </cell>
          <cell r="E978" t="str">
            <v>일반</v>
          </cell>
          <cell r="F978" t="str">
            <v>입고완료</v>
          </cell>
          <cell r="G978">
            <v>190303</v>
          </cell>
          <cell r="H978" t="str">
            <v>백설 다시다요리수(치킨스톡 1Kg/EA)</v>
          </cell>
          <cell r="I978" t="str">
            <v>EA</v>
          </cell>
          <cell r="J978">
            <v>2</v>
          </cell>
          <cell r="K978">
            <v>2</v>
          </cell>
          <cell r="L978">
            <v>7060</v>
          </cell>
          <cell r="M978">
            <v>14120</v>
          </cell>
          <cell r="N978">
            <v>1412</v>
          </cell>
          <cell r="O978">
            <v>15532</v>
          </cell>
          <cell r="P978">
            <v>0</v>
          </cell>
          <cell r="Q978" t="str">
            <v/>
          </cell>
          <cell r="R978" t="str">
            <v>실온</v>
          </cell>
          <cell r="S978" t="str">
            <v>EA(9)</v>
          </cell>
          <cell r="T978" t="str">
            <v/>
          </cell>
          <cell r="U978" t="str">
            <v/>
          </cell>
          <cell r="V978" t="str">
            <v>2019-01-15</v>
          </cell>
          <cell r="W978" t="str">
            <v>2019-01-15 14:04:52</v>
          </cell>
          <cell r="X978" t="str">
            <v>더바른푸드</v>
          </cell>
        </row>
        <row r="979">
          <cell r="A979">
            <v>975</v>
          </cell>
          <cell r="B979" t="str">
            <v>2019-01-16</v>
          </cell>
          <cell r="C979" t="str">
            <v>더바른푸드</v>
          </cell>
          <cell r="D979" t="str">
            <v>더바른푸드</v>
          </cell>
          <cell r="E979" t="str">
            <v>일반</v>
          </cell>
          <cell r="F979" t="str">
            <v>입고완료</v>
          </cell>
          <cell r="G979">
            <v>143791</v>
          </cell>
          <cell r="H979" t="str">
            <v>이츠웰 참기름(NEW_PET_1.8L 1.65Kg/EA)</v>
          </cell>
          <cell r="I979" t="str">
            <v>EA</v>
          </cell>
          <cell r="J979">
            <v>6</v>
          </cell>
          <cell r="K979">
            <v>6</v>
          </cell>
          <cell r="L979">
            <v>14780</v>
          </cell>
          <cell r="M979">
            <v>88680</v>
          </cell>
          <cell r="N979">
            <v>8868</v>
          </cell>
          <cell r="O979">
            <v>97548</v>
          </cell>
          <cell r="P979">
            <v>0</v>
          </cell>
          <cell r="Q979" t="str">
            <v>베트남</v>
          </cell>
          <cell r="R979" t="str">
            <v>실온</v>
          </cell>
          <cell r="S979" t="str">
            <v>EA(6)</v>
          </cell>
          <cell r="T979" t="str">
            <v/>
          </cell>
          <cell r="U979" t="str">
            <v/>
          </cell>
          <cell r="V979" t="str">
            <v>2019-01-15</v>
          </cell>
          <cell r="W979" t="str">
            <v>2019-01-15 14:04:52</v>
          </cell>
          <cell r="X979" t="str">
            <v>더바른푸드</v>
          </cell>
        </row>
        <row r="980">
          <cell r="A980">
            <v>976</v>
          </cell>
          <cell r="B980" t="str">
            <v>2019-01-16</v>
          </cell>
          <cell r="C980" t="str">
            <v>더바른푸드</v>
          </cell>
          <cell r="D980" t="str">
            <v>더바른푸드</v>
          </cell>
          <cell r="E980" t="str">
            <v>일반</v>
          </cell>
          <cell r="F980" t="str">
            <v>입고완료</v>
          </cell>
          <cell r="G980">
            <v>106520</v>
          </cell>
          <cell r="H980" t="str">
            <v>백설 맛소금(중간입자 5Kg/EA)</v>
          </cell>
          <cell r="I980" t="str">
            <v>EA</v>
          </cell>
          <cell r="J980">
            <v>4</v>
          </cell>
          <cell r="K980">
            <v>4</v>
          </cell>
          <cell r="L980">
            <v>5730</v>
          </cell>
          <cell r="M980">
            <v>22920</v>
          </cell>
          <cell r="N980">
            <v>2292</v>
          </cell>
          <cell r="O980">
            <v>25212</v>
          </cell>
          <cell r="P980">
            <v>0</v>
          </cell>
          <cell r="Q980" t="str">
            <v/>
          </cell>
          <cell r="R980" t="str">
            <v>실온</v>
          </cell>
          <cell r="S980" t="str">
            <v>EA(4)</v>
          </cell>
          <cell r="T980" t="str">
            <v/>
          </cell>
          <cell r="U980" t="str">
            <v/>
          </cell>
          <cell r="V980" t="str">
            <v>2019-01-15</v>
          </cell>
          <cell r="W980" t="str">
            <v>2019-01-15 14:04:52</v>
          </cell>
          <cell r="X980" t="str">
            <v>더바른푸드</v>
          </cell>
        </row>
        <row r="981">
          <cell r="A981">
            <v>977</v>
          </cell>
          <cell r="B981" t="str">
            <v>2019-01-16</v>
          </cell>
          <cell r="C981" t="str">
            <v>더바른푸드</v>
          </cell>
          <cell r="D981" t="str">
            <v>더바른푸드</v>
          </cell>
          <cell r="E981" t="str">
            <v>일반</v>
          </cell>
          <cell r="F981" t="str">
            <v>입고완료</v>
          </cell>
          <cell r="G981">
            <v>126208</v>
          </cell>
          <cell r="H981" t="str">
            <v>해표 꽃소금(5Kg/EA)</v>
          </cell>
          <cell r="I981" t="str">
            <v>EA</v>
          </cell>
          <cell r="J981">
            <v>4</v>
          </cell>
          <cell r="K981">
            <v>4</v>
          </cell>
          <cell r="L981">
            <v>5690</v>
          </cell>
          <cell r="M981">
            <v>22760</v>
          </cell>
          <cell r="N981">
            <v>0</v>
          </cell>
          <cell r="O981">
            <v>22760</v>
          </cell>
          <cell r="P981">
            <v>0</v>
          </cell>
          <cell r="Q981" t="str">
            <v/>
          </cell>
          <cell r="R981" t="str">
            <v>실온</v>
          </cell>
          <cell r="S981" t="str">
            <v>EA(3)</v>
          </cell>
          <cell r="T981" t="str">
            <v/>
          </cell>
          <cell r="U981" t="str">
            <v/>
          </cell>
          <cell r="V981" t="str">
            <v>2019-01-15</v>
          </cell>
          <cell r="W981" t="str">
            <v>2019-01-15 14:04:52</v>
          </cell>
          <cell r="X981" t="str">
            <v>더바른푸드</v>
          </cell>
        </row>
        <row r="982">
          <cell r="A982">
            <v>978</v>
          </cell>
          <cell r="B982" t="str">
            <v>2019-01-16</v>
          </cell>
          <cell r="C982" t="str">
            <v>더바른푸드</v>
          </cell>
          <cell r="D982" t="str">
            <v>더바른푸드</v>
          </cell>
          <cell r="E982" t="str">
            <v>일반</v>
          </cell>
          <cell r="F982" t="str">
            <v>입고완료</v>
          </cell>
          <cell r="G982">
            <v>232486</v>
          </cell>
          <cell r="H982" t="str">
            <v>백화수복 청주(병_1.8L_2017년 1.8Kg/EA)</v>
          </cell>
          <cell r="I982" t="str">
            <v>BOX</v>
          </cell>
          <cell r="J982">
            <v>2</v>
          </cell>
          <cell r="K982">
            <v>2</v>
          </cell>
          <cell r="L982">
            <v>72720</v>
          </cell>
          <cell r="M982">
            <v>145440</v>
          </cell>
          <cell r="N982">
            <v>14544</v>
          </cell>
          <cell r="O982">
            <v>159984</v>
          </cell>
          <cell r="P982">
            <v>0</v>
          </cell>
          <cell r="Q982" t="str">
            <v>한국</v>
          </cell>
          <cell r="R982" t="str">
            <v>실온</v>
          </cell>
          <cell r="S982" t="str">
            <v>EA(8)</v>
          </cell>
          <cell r="T982" t="str">
            <v/>
          </cell>
          <cell r="U982" t="str">
            <v/>
          </cell>
          <cell r="V982" t="str">
            <v>2019-01-15</v>
          </cell>
          <cell r="W982" t="str">
            <v>2019-01-15 14:04:52</v>
          </cell>
          <cell r="X982" t="str">
            <v>더바른푸드</v>
          </cell>
        </row>
        <row r="983">
          <cell r="A983">
            <v>979</v>
          </cell>
          <cell r="B983" t="str">
            <v>2019-01-16</v>
          </cell>
          <cell r="C983" t="str">
            <v>더바른푸드</v>
          </cell>
          <cell r="D983" t="str">
            <v>더바른푸드</v>
          </cell>
          <cell r="E983" t="str">
            <v>일반</v>
          </cell>
          <cell r="F983" t="str">
            <v>입고완료</v>
          </cell>
          <cell r="G983">
            <v>120702</v>
          </cell>
          <cell r="H983" t="str">
            <v>풍전식품 뉴슈가(60g*10입 600g/EA)</v>
          </cell>
          <cell r="I983" t="str">
            <v>EA</v>
          </cell>
          <cell r="J983">
            <v>1</v>
          </cell>
          <cell r="K983">
            <v>1</v>
          </cell>
          <cell r="L983">
            <v>2900</v>
          </cell>
          <cell r="M983">
            <v>2900</v>
          </cell>
          <cell r="N983">
            <v>290</v>
          </cell>
          <cell r="O983">
            <v>3190</v>
          </cell>
          <cell r="P983">
            <v>0</v>
          </cell>
          <cell r="Q983" t="str">
            <v/>
          </cell>
          <cell r="R983" t="str">
            <v>실온</v>
          </cell>
          <cell r="S983" t="str">
            <v>EA(20)</v>
          </cell>
          <cell r="T983" t="str">
            <v/>
          </cell>
          <cell r="U983" t="str">
            <v/>
          </cell>
          <cell r="V983" t="str">
            <v>2019-01-15</v>
          </cell>
          <cell r="W983" t="str">
            <v>2019-01-15 14:04:52</v>
          </cell>
          <cell r="X983" t="str">
            <v>더바른푸드</v>
          </cell>
        </row>
        <row r="984">
          <cell r="A984">
            <v>980</v>
          </cell>
          <cell r="B984" t="str">
            <v>2019-01-16</v>
          </cell>
          <cell r="C984" t="str">
            <v>더바른푸드</v>
          </cell>
          <cell r="D984" t="str">
            <v>더바른푸드</v>
          </cell>
          <cell r="E984" t="str">
            <v>일반</v>
          </cell>
          <cell r="F984" t="str">
            <v>입고완료</v>
          </cell>
          <cell r="G984">
            <v>106019</v>
          </cell>
          <cell r="H984" t="str">
            <v>샘표 진간장(15L_덕용 15Kg/EA)</v>
          </cell>
          <cell r="I984" t="str">
            <v>EA</v>
          </cell>
          <cell r="J984">
            <v>3</v>
          </cell>
          <cell r="K984">
            <v>3</v>
          </cell>
          <cell r="L984">
            <v>20300</v>
          </cell>
          <cell r="M984">
            <v>60900</v>
          </cell>
          <cell r="N984">
            <v>6090</v>
          </cell>
          <cell r="O984">
            <v>66990</v>
          </cell>
          <cell r="P984">
            <v>0</v>
          </cell>
          <cell r="Q984" t="str">
            <v/>
          </cell>
          <cell r="R984" t="str">
            <v>실온</v>
          </cell>
          <cell r="S984" t="str">
            <v>EA(1)</v>
          </cell>
          <cell r="T984" t="str">
            <v/>
          </cell>
          <cell r="U984" t="str">
            <v/>
          </cell>
          <cell r="V984" t="str">
            <v>2019-01-15</v>
          </cell>
          <cell r="W984" t="str">
            <v>2019-01-15 14:04:52</v>
          </cell>
          <cell r="X984" t="str">
            <v>더바른푸드</v>
          </cell>
        </row>
        <row r="985">
          <cell r="A985">
            <v>981</v>
          </cell>
          <cell r="B985" t="str">
            <v>2019-01-16</v>
          </cell>
          <cell r="C985" t="str">
            <v>더바른푸드</v>
          </cell>
          <cell r="D985" t="str">
            <v>더바른푸드</v>
          </cell>
          <cell r="E985" t="str">
            <v>일반</v>
          </cell>
          <cell r="F985" t="str">
            <v>입고완료</v>
          </cell>
          <cell r="G985">
            <v>204973</v>
          </cell>
          <cell r="H985" t="str">
            <v>냉동대파(1Kg/PAC)</v>
          </cell>
          <cell r="I985" t="str">
            <v>PAC</v>
          </cell>
          <cell r="J985">
            <v>15</v>
          </cell>
          <cell r="K985">
            <v>15</v>
          </cell>
          <cell r="L985">
            <v>1400</v>
          </cell>
          <cell r="M985">
            <v>21000</v>
          </cell>
          <cell r="N985">
            <v>0</v>
          </cell>
          <cell r="O985">
            <v>21000</v>
          </cell>
          <cell r="P985">
            <v>0</v>
          </cell>
          <cell r="Q985" t="str">
            <v>중국</v>
          </cell>
          <cell r="R985" t="str">
            <v>냉동</v>
          </cell>
          <cell r="S985" t="str">
            <v>PAC(1)</v>
          </cell>
          <cell r="T985" t="str">
            <v/>
          </cell>
          <cell r="U985" t="str">
            <v/>
          </cell>
          <cell r="V985" t="str">
            <v>2019-01-15</v>
          </cell>
          <cell r="W985" t="str">
            <v>2019-01-15 14:30:50</v>
          </cell>
          <cell r="X985" t="str">
            <v>더바른푸드</v>
          </cell>
        </row>
        <row r="986">
          <cell r="A986">
            <v>982</v>
          </cell>
          <cell r="B986" t="str">
            <v>2019-01-16</v>
          </cell>
          <cell r="C986" t="str">
            <v>더바른푸드</v>
          </cell>
          <cell r="D986" t="str">
            <v>더바른푸드</v>
          </cell>
          <cell r="E986" t="str">
            <v>일반</v>
          </cell>
          <cell r="F986" t="str">
            <v>입고완료</v>
          </cell>
          <cell r="G986">
            <v>247931</v>
          </cell>
          <cell r="H986" t="str">
            <v>마당발 냉동다진마늘(1Kg/EA)</v>
          </cell>
          <cell r="I986" t="str">
            <v>EA</v>
          </cell>
          <cell r="J986">
            <v>10</v>
          </cell>
          <cell r="K986">
            <v>10</v>
          </cell>
          <cell r="L986">
            <v>2710</v>
          </cell>
          <cell r="M986">
            <v>27100</v>
          </cell>
          <cell r="N986">
            <v>0</v>
          </cell>
          <cell r="O986">
            <v>27100</v>
          </cell>
          <cell r="P986">
            <v>0</v>
          </cell>
          <cell r="Q986" t="str">
            <v>중국</v>
          </cell>
          <cell r="R986" t="str">
            <v>냉동</v>
          </cell>
          <cell r="S986" t="str">
            <v>EA(10)</v>
          </cell>
          <cell r="T986" t="str">
            <v/>
          </cell>
          <cell r="U986" t="str">
            <v/>
          </cell>
          <cell r="V986" t="str">
            <v>2019-01-15</v>
          </cell>
          <cell r="W986" t="str">
            <v>2019-01-15 14:30:50</v>
          </cell>
          <cell r="X986" t="str">
            <v>더바른푸드</v>
          </cell>
        </row>
        <row r="987">
          <cell r="A987">
            <v>983</v>
          </cell>
          <cell r="B987" t="str">
            <v>2019-01-16</v>
          </cell>
          <cell r="C987" t="str">
            <v>더바른푸드</v>
          </cell>
          <cell r="D987" t="str">
            <v>더바른푸드</v>
          </cell>
          <cell r="E987" t="str">
            <v>일반</v>
          </cell>
          <cell r="F987" t="str">
            <v>입고완료</v>
          </cell>
          <cell r="G987">
            <v>304208</v>
          </cell>
          <cell r="H987" t="str">
            <v>참소라살(M_수율60% 1Kg/PAC)</v>
          </cell>
          <cell r="I987" t="str">
            <v>PAC</v>
          </cell>
          <cell r="J987">
            <v>2</v>
          </cell>
          <cell r="K987">
            <v>2</v>
          </cell>
          <cell r="L987">
            <v>14210</v>
          </cell>
          <cell r="M987">
            <v>28420</v>
          </cell>
          <cell r="N987">
            <v>2842</v>
          </cell>
          <cell r="O987">
            <v>31262</v>
          </cell>
          <cell r="P987">
            <v>0</v>
          </cell>
          <cell r="Q987" t="str">
            <v>터키</v>
          </cell>
          <cell r="R987" t="str">
            <v>냉동</v>
          </cell>
          <cell r="S987" t="str">
            <v>PAC(1)</v>
          </cell>
          <cell r="T987" t="str">
            <v/>
          </cell>
          <cell r="U987" t="str">
            <v/>
          </cell>
          <cell r="V987" t="str">
            <v>2019-01-15</v>
          </cell>
          <cell r="W987" t="str">
            <v>2019-01-15 15:42:23</v>
          </cell>
          <cell r="X987" t="str">
            <v>더바른푸드</v>
          </cell>
        </row>
        <row r="988">
          <cell r="A988">
            <v>984</v>
          </cell>
          <cell r="B988" t="str">
            <v>2019-01-16</v>
          </cell>
          <cell r="C988" t="str">
            <v>더바른푸드</v>
          </cell>
          <cell r="D988" t="str">
            <v>더바른푸드</v>
          </cell>
          <cell r="E988" t="str">
            <v>일반</v>
          </cell>
          <cell r="F988" t="str">
            <v>입고완료</v>
          </cell>
          <cell r="G988">
            <v>236048</v>
          </cell>
          <cell r="H988" t="str">
            <v>종가집 묵은지(10Kg/BOX)</v>
          </cell>
          <cell r="I988" t="str">
            <v>BOX</v>
          </cell>
          <cell r="J988">
            <v>2</v>
          </cell>
          <cell r="K988">
            <v>2</v>
          </cell>
          <cell r="L988">
            <v>32520</v>
          </cell>
          <cell r="M988">
            <v>65040</v>
          </cell>
          <cell r="N988">
            <v>0</v>
          </cell>
          <cell r="O988">
            <v>65040</v>
          </cell>
          <cell r="P988">
            <v>0</v>
          </cell>
          <cell r="Q988" t="str">
            <v>한국</v>
          </cell>
          <cell r="R988" t="str">
            <v>냉장</v>
          </cell>
          <cell r="S988" t="str">
            <v>BOX(1)</v>
          </cell>
          <cell r="T988" t="str">
            <v/>
          </cell>
          <cell r="U988" t="str">
            <v/>
          </cell>
          <cell r="V988" t="str">
            <v>2019-01-15</v>
          </cell>
          <cell r="W988" t="str">
            <v>2019-01-15 16:03:30</v>
          </cell>
          <cell r="X988" t="str">
            <v>더바른푸드</v>
          </cell>
        </row>
        <row r="989">
          <cell r="A989">
            <v>985</v>
          </cell>
          <cell r="B989" t="str">
            <v>2019-01-16</v>
          </cell>
          <cell r="C989" t="str">
            <v>더바른푸드</v>
          </cell>
          <cell r="D989" t="str">
            <v>더바른푸드</v>
          </cell>
          <cell r="E989" t="str">
            <v>일반</v>
          </cell>
          <cell r="F989" t="str">
            <v>입고완료</v>
          </cell>
          <cell r="G989">
            <v>193502</v>
          </cell>
          <cell r="H989" t="str">
            <v>소차돌박이(0.15cm두께 KG)</v>
          </cell>
          <cell r="I989" t="str">
            <v>KG</v>
          </cell>
          <cell r="J989">
            <v>1</v>
          </cell>
          <cell r="K989">
            <v>1</v>
          </cell>
          <cell r="L989">
            <v>12550</v>
          </cell>
          <cell r="M989">
            <v>12550</v>
          </cell>
          <cell r="N989">
            <v>0</v>
          </cell>
          <cell r="O989">
            <v>12550</v>
          </cell>
          <cell r="P989">
            <v>0</v>
          </cell>
          <cell r="Q989" t="str">
            <v>미국</v>
          </cell>
          <cell r="R989" t="str">
            <v>냉동</v>
          </cell>
          <cell r="S989" t="str">
            <v>KG(1)</v>
          </cell>
          <cell r="T989" t="str">
            <v/>
          </cell>
          <cell r="U989" t="str">
            <v/>
          </cell>
          <cell r="V989" t="str">
            <v>2019-01-15</v>
          </cell>
          <cell r="W989" t="str">
            <v>2019-01-15 16:09:33</v>
          </cell>
          <cell r="X989" t="str">
            <v>더바른푸드</v>
          </cell>
        </row>
        <row r="990">
          <cell r="A990">
            <v>986</v>
          </cell>
          <cell r="B990" t="str">
            <v>2019-01-16</v>
          </cell>
          <cell r="C990" t="str">
            <v>더바른푸드</v>
          </cell>
          <cell r="D990" t="str">
            <v>더바른푸드</v>
          </cell>
          <cell r="E990" t="str">
            <v>일반</v>
          </cell>
          <cell r="F990" t="str">
            <v>입고완료</v>
          </cell>
          <cell r="G990">
            <v>208502</v>
          </cell>
          <cell r="H990" t="str">
            <v>세척당근(3L 10Kg/EA)</v>
          </cell>
          <cell r="I990" t="str">
            <v>EA</v>
          </cell>
          <cell r="J990">
            <v>2</v>
          </cell>
          <cell r="K990">
            <v>2</v>
          </cell>
          <cell r="L990">
            <v>11980</v>
          </cell>
          <cell r="M990">
            <v>23960</v>
          </cell>
          <cell r="N990">
            <v>0</v>
          </cell>
          <cell r="O990">
            <v>23960</v>
          </cell>
          <cell r="P990">
            <v>0</v>
          </cell>
          <cell r="Q990" t="str">
            <v>중국</v>
          </cell>
          <cell r="R990" t="str">
            <v>실온</v>
          </cell>
          <cell r="S990" t="str">
            <v>EA(1)</v>
          </cell>
          <cell r="T990" t="str">
            <v/>
          </cell>
          <cell r="U990" t="str">
            <v/>
          </cell>
          <cell r="V990" t="str">
            <v>2019-01-15</v>
          </cell>
          <cell r="W990" t="str">
            <v>2019-01-15 16:11:14</v>
          </cell>
          <cell r="X990" t="str">
            <v>더바른푸드</v>
          </cell>
        </row>
        <row r="991">
          <cell r="A991">
            <v>987</v>
          </cell>
          <cell r="B991" t="str">
            <v>2019-01-16</v>
          </cell>
          <cell r="C991" t="str">
            <v>더바른푸드</v>
          </cell>
          <cell r="D991" t="str">
            <v>더바른푸드</v>
          </cell>
          <cell r="E991" t="str">
            <v>일반</v>
          </cell>
          <cell r="F991" t="str">
            <v>입고완료</v>
          </cell>
          <cell r="G991">
            <v>201296</v>
          </cell>
          <cell r="H991" t="str">
            <v>건고사리(데친것 KG)</v>
          </cell>
          <cell r="I991" t="str">
            <v>KG</v>
          </cell>
          <cell r="J991">
            <v>80</v>
          </cell>
          <cell r="K991">
            <v>80</v>
          </cell>
          <cell r="L991">
            <v>3910</v>
          </cell>
          <cell r="M991">
            <v>312800</v>
          </cell>
          <cell r="N991">
            <v>0</v>
          </cell>
          <cell r="O991">
            <v>312800</v>
          </cell>
          <cell r="P991">
            <v>0</v>
          </cell>
          <cell r="Q991" t="str">
            <v>중국</v>
          </cell>
          <cell r="R991" t="str">
            <v>냉장</v>
          </cell>
          <cell r="S991" t="str">
            <v>KG(1)</v>
          </cell>
          <cell r="T991" t="str">
            <v/>
          </cell>
          <cell r="U991" t="str">
            <v/>
          </cell>
          <cell r="V991" t="str">
            <v>2019-01-15</v>
          </cell>
          <cell r="W991" t="str">
            <v>2019-01-15 16:27:26</v>
          </cell>
          <cell r="X991" t="str">
            <v>더바른푸드</v>
          </cell>
        </row>
        <row r="992">
          <cell r="A992">
            <v>988</v>
          </cell>
          <cell r="B992" t="str">
            <v>2019-01-16</v>
          </cell>
          <cell r="C992" t="str">
            <v>더바른푸드</v>
          </cell>
          <cell r="D992" t="str">
            <v>더바른푸드</v>
          </cell>
          <cell r="E992" t="str">
            <v>일반</v>
          </cell>
          <cell r="F992" t="str">
            <v>입고완료</v>
          </cell>
          <cell r="G992">
            <v>243406</v>
          </cell>
          <cell r="H992" t="str">
            <v>냉동시래기(1Kg/EA)</v>
          </cell>
          <cell r="I992" t="str">
            <v>EA</v>
          </cell>
          <cell r="J992">
            <v>10</v>
          </cell>
          <cell r="K992">
            <v>10</v>
          </cell>
          <cell r="L992">
            <v>2610</v>
          </cell>
          <cell r="M992">
            <v>26100</v>
          </cell>
          <cell r="N992">
            <v>0</v>
          </cell>
          <cell r="O992">
            <v>26100</v>
          </cell>
          <cell r="P992">
            <v>0</v>
          </cell>
          <cell r="Q992" t="str">
            <v>한국</v>
          </cell>
          <cell r="R992" t="str">
            <v>냉동</v>
          </cell>
          <cell r="S992" t="str">
            <v>EA(1)</v>
          </cell>
          <cell r="T992" t="str">
            <v/>
          </cell>
          <cell r="U992" t="str">
            <v/>
          </cell>
          <cell r="V992" t="str">
            <v>2019-01-15</v>
          </cell>
          <cell r="W992" t="str">
            <v>2019-01-15 16:39:45</v>
          </cell>
          <cell r="X992" t="str">
            <v>더바른푸드</v>
          </cell>
        </row>
        <row r="993">
          <cell r="A993">
            <v>989</v>
          </cell>
          <cell r="B993" t="str">
            <v>2019-01-15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4">
          <cell r="A994">
            <v>990</v>
          </cell>
          <cell r="B994" t="str">
            <v>2019-01-15</v>
          </cell>
          <cell r="C994" t="str">
            <v>더바른푸드</v>
          </cell>
          <cell r="D994" t="str">
            <v>더바른푸드</v>
          </cell>
          <cell r="E994" t="str">
            <v>일반</v>
          </cell>
          <cell r="F994" t="str">
            <v>입고완료</v>
          </cell>
          <cell r="G994">
            <v>248028</v>
          </cell>
          <cell r="H994" t="str">
            <v>이츠웰 오징어채(1Kg/EA)</v>
          </cell>
          <cell r="I994" t="str">
            <v>EA</v>
          </cell>
          <cell r="J994">
            <v>30</v>
          </cell>
          <cell r="K994">
            <v>30</v>
          </cell>
          <cell r="L994">
            <v>10630</v>
          </cell>
          <cell r="M994">
            <v>318900</v>
          </cell>
          <cell r="N994">
            <v>0</v>
          </cell>
          <cell r="O994">
            <v>318900</v>
          </cell>
          <cell r="P994">
            <v>0</v>
          </cell>
          <cell r="Q994" t="str">
            <v>한국</v>
          </cell>
          <cell r="R994" t="str">
            <v>냉동</v>
          </cell>
          <cell r="S994" t="str">
            <v>EA(10)</v>
          </cell>
          <cell r="T994" t="str">
            <v/>
          </cell>
          <cell r="U994" t="str">
            <v/>
          </cell>
          <cell r="V994" t="str">
            <v>2019-01-10</v>
          </cell>
          <cell r="W994" t="str">
            <v>2019-01-10 15:02:58</v>
          </cell>
          <cell r="X994" t="str">
            <v>더바른푸드</v>
          </cell>
        </row>
        <row r="995">
          <cell r="A995">
            <v>991</v>
          </cell>
          <cell r="B995" t="str">
            <v>2019-01-15</v>
          </cell>
          <cell r="C995" t="str">
            <v>더바른푸드</v>
          </cell>
          <cell r="D995" t="str">
            <v>더바른푸드</v>
          </cell>
          <cell r="E995" t="str">
            <v>일반</v>
          </cell>
          <cell r="F995" t="str">
            <v>입고완료</v>
          </cell>
          <cell r="G995">
            <v>212132</v>
          </cell>
          <cell r="H995" t="str">
            <v>냉동고구마(맛탕용 1Kg/EA)</v>
          </cell>
          <cell r="I995" t="str">
            <v>EA</v>
          </cell>
          <cell r="J995">
            <v>63</v>
          </cell>
          <cell r="K995">
            <v>63</v>
          </cell>
          <cell r="L995">
            <v>2750</v>
          </cell>
          <cell r="M995">
            <v>173250</v>
          </cell>
          <cell r="N995">
            <v>17325</v>
          </cell>
          <cell r="O995">
            <v>190575</v>
          </cell>
          <cell r="P995">
            <v>0</v>
          </cell>
          <cell r="Q995" t="str">
            <v/>
          </cell>
          <cell r="R995" t="str">
            <v>냉동</v>
          </cell>
          <cell r="S995" t="str">
            <v>EA(1)</v>
          </cell>
          <cell r="T995" t="str">
            <v/>
          </cell>
          <cell r="U995" t="str">
            <v/>
          </cell>
          <cell r="V995" t="str">
            <v>2019-01-11</v>
          </cell>
          <cell r="W995" t="str">
            <v>2019-01-11 16:00:52</v>
          </cell>
          <cell r="X995" t="str">
            <v>더바른푸드</v>
          </cell>
        </row>
        <row r="996">
          <cell r="A996">
            <v>992</v>
          </cell>
          <cell r="B996" t="str">
            <v>2019-01-15</v>
          </cell>
          <cell r="C996" t="str">
            <v>더바른푸드</v>
          </cell>
          <cell r="D996" t="str">
            <v>더바른푸드</v>
          </cell>
          <cell r="E996" t="str">
            <v>일반</v>
          </cell>
          <cell r="F996" t="str">
            <v>입고완료</v>
          </cell>
          <cell r="G996">
            <v>168257</v>
          </cell>
          <cell r="H996" t="str">
            <v>명품 판두부(찌개용 3Kg/EA)</v>
          </cell>
          <cell r="I996" t="str">
            <v>EA</v>
          </cell>
          <cell r="J996">
            <v>29</v>
          </cell>
          <cell r="K996">
            <v>29</v>
          </cell>
          <cell r="L996">
            <v>4000</v>
          </cell>
          <cell r="M996">
            <v>116000</v>
          </cell>
          <cell r="N996">
            <v>0</v>
          </cell>
          <cell r="O996">
            <v>116000</v>
          </cell>
          <cell r="P996">
            <v>0</v>
          </cell>
          <cell r="Q996" t="str">
            <v>수입산</v>
          </cell>
          <cell r="R996" t="str">
            <v>냉장</v>
          </cell>
          <cell r="S996" t="str">
            <v>EA(1)</v>
          </cell>
          <cell r="T996" t="str">
            <v/>
          </cell>
          <cell r="U996" t="str">
            <v/>
          </cell>
          <cell r="V996" t="str">
            <v>2019-01-11</v>
          </cell>
          <cell r="W996" t="str">
            <v>2019-01-11 16:30:50</v>
          </cell>
          <cell r="X996" t="str">
            <v>더바른푸드</v>
          </cell>
        </row>
        <row r="997">
          <cell r="A997">
            <v>993</v>
          </cell>
          <cell r="B997" t="str">
            <v>2019-01-15</v>
          </cell>
          <cell r="C997" t="str">
            <v>더바른푸드</v>
          </cell>
          <cell r="D997" t="str">
            <v>더바른푸드</v>
          </cell>
          <cell r="E997" t="str">
            <v>일반</v>
          </cell>
          <cell r="F997" t="str">
            <v>입고완료</v>
          </cell>
          <cell r="G997">
            <v>136633</v>
          </cell>
          <cell r="H997" t="str">
            <v>이오 요구르트(80ml_유기농 80g/EA)</v>
          </cell>
          <cell r="I997" t="str">
            <v>EA</v>
          </cell>
          <cell r="J997">
            <v>3</v>
          </cell>
          <cell r="K997">
            <v>3</v>
          </cell>
          <cell r="L997">
            <v>300</v>
          </cell>
          <cell r="M997">
            <v>900</v>
          </cell>
          <cell r="N997">
            <v>90</v>
          </cell>
          <cell r="O997">
            <v>990</v>
          </cell>
          <cell r="P997">
            <v>0</v>
          </cell>
          <cell r="Q997" t="str">
            <v>한국</v>
          </cell>
          <cell r="R997" t="str">
            <v>냉장</v>
          </cell>
          <cell r="S997" t="str">
            <v>EA(50)</v>
          </cell>
          <cell r="T997" t="str">
            <v/>
          </cell>
          <cell r="U997" t="str">
            <v/>
          </cell>
          <cell r="V997" t="str">
            <v>2019-01-11</v>
          </cell>
          <cell r="W997" t="str">
            <v>2019-01-11 17:39:48</v>
          </cell>
          <cell r="X997" t="str">
            <v>더바른푸드</v>
          </cell>
        </row>
        <row r="998">
          <cell r="A998">
            <v>994</v>
          </cell>
          <cell r="B998" t="str">
            <v>2019-01-15</v>
          </cell>
          <cell r="C998" t="str">
            <v>더바른푸드</v>
          </cell>
          <cell r="D998" t="str">
            <v>더바른푸드</v>
          </cell>
          <cell r="E998" t="str">
            <v>일반</v>
          </cell>
          <cell r="F998" t="str">
            <v>입고완료</v>
          </cell>
          <cell r="G998">
            <v>108319</v>
          </cell>
          <cell r="H998" t="str">
            <v>연세우유 고칼슘두유(팩_200ml 200g/EA)</v>
          </cell>
          <cell r="I998" t="str">
            <v>EA</v>
          </cell>
          <cell r="J998">
            <v>50</v>
          </cell>
          <cell r="K998">
            <v>50</v>
          </cell>
          <cell r="L998">
            <v>280</v>
          </cell>
          <cell r="M998">
            <v>14000</v>
          </cell>
          <cell r="N998">
            <v>1400</v>
          </cell>
          <cell r="O998">
            <v>15400</v>
          </cell>
          <cell r="P998">
            <v>0</v>
          </cell>
          <cell r="Q998" t="str">
            <v>한국</v>
          </cell>
          <cell r="R998" t="str">
            <v>실온</v>
          </cell>
          <cell r="S998" t="str">
            <v>EA(1)</v>
          </cell>
          <cell r="T998" t="str">
            <v/>
          </cell>
          <cell r="U998" t="str">
            <v/>
          </cell>
          <cell r="V998" t="str">
            <v>2019-01-11</v>
          </cell>
          <cell r="W998" t="str">
            <v>2019-01-11 17:42:04</v>
          </cell>
          <cell r="X998" t="str">
            <v>더바른푸드</v>
          </cell>
        </row>
        <row r="999">
          <cell r="A999">
            <v>995</v>
          </cell>
          <cell r="B999" t="str">
            <v>2019-01-15</v>
          </cell>
          <cell r="C999" t="str">
            <v>더바른푸드</v>
          </cell>
          <cell r="D999" t="str">
            <v>더바른푸드</v>
          </cell>
          <cell r="E999" t="str">
            <v>일반</v>
          </cell>
          <cell r="F999" t="str">
            <v>입고완료</v>
          </cell>
          <cell r="G999">
            <v>319720</v>
          </cell>
          <cell r="H999" t="str">
            <v>건파래(찢은것 500g/EA)</v>
          </cell>
          <cell r="I999" t="str">
            <v>EA</v>
          </cell>
          <cell r="J999">
            <v>2</v>
          </cell>
          <cell r="K999">
            <v>2</v>
          </cell>
          <cell r="L999">
            <v>15770</v>
          </cell>
          <cell r="M999">
            <v>31540</v>
          </cell>
          <cell r="N999">
            <v>0</v>
          </cell>
          <cell r="O999">
            <v>31540</v>
          </cell>
          <cell r="P999">
            <v>0</v>
          </cell>
          <cell r="Q999" t="str">
            <v>한국</v>
          </cell>
          <cell r="R999" t="str">
            <v>실온</v>
          </cell>
          <cell r="S999" t="str">
            <v>EA(14)</v>
          </cell>
          <cell r="T999" t="str">
            <v/>
          </cell>
          <cell r="U999" t="str">
            <v/>
          </cell>
          <cell r="V999" t="str">
            <v>2019-01-14</v>
          </cell>
          <cell r="W999" t="str">
            <v>2019-01-14 15:29:19</v>
          </cell>
          <cell r="X999" t="str">
            <v>더바른푸드</v>
          </cell>
        </row>
        <row r="1000">
          <cell r="A1000">
            <v>996</v>
          </cell>
          <cell r="B1000" t="str">
            <v>2019-01-15</v>
          </cell>
          <cell r="C1000" t="str">
            <v>더바른푸드</v>
          </cell>
          <cell r="D1000" t="str">
            <v>더바른푸드</v>
          </cell>
          <cell r="E1000" t="str">
            <v>일반</v>
          </cell>
          <cell r="F1000" t="str">
            <v>입고완료</v>
          </cell>
          <cell r="G1000">
            <v>247824</v>
          </cell>
          <cell r="H1000" t="str">
            <v>주일 건다시마(실속 1Kg/EA)</v>
          </cell>
          <cell r="I1000" t="str">
            <v>EA</v>
          </cell>
          <cell r="J1000">
            <v>5</v>
          </cell>
          <cell r="K1000">
            <v>5</v>
          </cell>
          <cell r="L1000">
            <v>11100</v>
          </cell>
          <cell r="M1000">
            <v>55500</v>
          </cell>
          <cell r="N1000">
            <v>0</v>
          </cell>
          <cell r="O1000">
            <v>55500</v>
          </cell>
          <cell r="P1000">
            <v>0</v>
          </cell>
          <cell r="Q1000" t="str">
            <v>한국</v>
          </cell>
          <cell r="R1000" t="str">
            <v>실온</v>
          </cell>
          <cell r="S1000" t="str">
            <v>EA(20)</v>
          </cell>
          <cell r="T1000" t="str">
            <v/>
          </cell>
          <cell r="U1000" t="str">
            <v/>
          </cell>
          <cell r="V1000" t="str">
            <v>2019-01-14</v>
          </cell>
          <cell r="W1000" t="str">
            <v>2019-01-14 15:30:26</v>
          </cell>
          <cell r="X1000" t="str">
            <v>더바른푸드</v>
          </cell>
        </row>
        <row r="1001">
          <cell r="A1001">
            <v>997</v>
          </cell>
          <cell r="B1001" t="str">
            <v>2019-01-15</v>
          </cell>
          <cell r="C1001" t="str">
            <v>더바른푸드</v>
          </cell>
          <cell r="D1001" t="str">
            <v>더바른푸드</v>
          </cell>
          <cell r="E1001" t="str">
            <v>일반</v>
          </cell>
          <cell r="F1001" t="str">
            <v>입고완료</v>
          </cell>
          <cell r="G1001">
            <v>106212</v>
          </cell>
          <cell r="H1001" t="str">
            <v>백설 하얀설탕(15Kg/EA)</v>
          </cell>
          <cell r="I1001" t="str">
            <v>EA</v>
          </cell>
          <cell r="J1001">
            <v>2</v>
          </cell>
          <cell r="K1001">
            <v>2</v>
          </cell>
          <cell r="L1001">
            <v>15680</v>
          </cell>
          <cell r="M1001">
            <v>31360</v>
          </cell>
          <cell r="N1001">
            <v>3136</v>
          </cell>
          <cell r="O1001">
            <v>34496</v>
          </cell>
          <cell r="P1001">
            <v>0</v>
          </cell>
          <cell r="Q1001" t="str">
            <v/>
          </cell>
          <cell r="R1001" t="str">
            <v>실온</v>
          </cell>
          <cell r="S1001" t="str">
            <v>EA(1)</v>
          </cell>
          <cell r="T1001" t="str">
            <v/>
          </cell>
          <cell r="U1001" t="str">
            <v/>
          </cell>
          <cell r="V1001" t="str">
            <v>2019-01-14</v>
          </cell>
          <cell r="W1001" t="str">
            <v>2019-01-14 15:33:47</v>
          </cell>
          <cell r="X1001" t="str">
            <v>더바른푸드</v>
          </cell>
        </row>
        <row r="1002">
          <cell r="A1002">
            <v>998</v>
          </cell>
          <cell r="B1002" t="str">
            <v>2019-01-15</v>
          </cell>
          <cell r="C1002" t="str">
            <v>더바른푸드</v>
          </cell>
          <cell r="D1002" t="str">
            <v>더바른푸드</v>
          </cell>
          <cell r="E1002" t="str">
            <v>일반</v>
          </cell>
          <cell r="F1002" t="str">
            <v>입고완료</v>
          </cell>
          <cell r="G1002">
            <v>106931</v>
          </cell>
          <cell r="H1002" t="str">
            <v>오뚜기 미향(18L 18Kg/EA)</v>
          </cell>
          <cell r="I1002" t="str">
            <v>EA</v>
          </cell>
          <cell r="J1002">
            <v>3</v>
          </cell>
          <cell r="K1002">
            <v>3</v>
          </cell>
          <cell r="L1002">
            <v>21280</v>
          </cell>
          <cell r="M1002">
            <v>63840</v>
          </cell>
          <cell r="N1002">
            <v>6384</v>
          </cell>
          <cell r="O1002">
            <v>70224</v>
          </cell>
          <cell r="P1002">
            <v>0</v>
          </cell>
          <cell r="Q1002" t="str">
            <v/>
          </cell>
          <cell r="R1002" t="str">
            <v>실온</v>
          </cell>
          <cell r="S1002" t="str">
            <v>EA(1)</v>
          </cell>
          <cell r="T1002" t="str">
            <v/>
          </cell>
          <cell r="U1002" t="str">
            <v/>
          </cell>
          <cell r="V1002" t="str">
            <v>2019-01-14</v>
          </cell>
          <cell r="W1002" t="str">
            <v>2019-01-14 15:35:26</v>
          </cell>
          <cell r="X1002" t="str">
            <v>더바른푸드</v>
          </cell>
        </row>
        <row r="1003">
          <cell r="A1003">
            <v>999</v>
          </cell>
          <cell r="B1003" t="str">
            <v>2019-01-15</v>
          </cell>
          <cell r="C1003" t="str">
            <v>더바른푸드</v>
          </cell>
          <cell r="D1003" t="str">
            <v>더바른푸드</v>
          </cell>
          <cell r="E1003" t="str">
            <v>일반</v>
          </cell>
          <cell r="F1003" t="str">
            <v>입고완료</v>
          </cell>
          <cell r="G1003">
            <v>252293</v>
          </cell>
          <cell r="H1003" t="str">
            <v>청아띠 자연담은고춧가루(장용 1Kg/EA)</v>
          </cell>
          <cell r="I1003" t="str">
            <v>EA</v>
          </cell>
          <cell r="J1003">
            <v>6</v>
          </cell>
          <cell r="K1003">
            <v>6</v>
          </cell>
          <cell r="L1003">
            <v>24420</v>
          </cell>
          <cell r="M1003">
            <v>146520</v>
          </cell>
          <cell r="N1003">
            <v>0</v>
          </cell>
          <cell r="O1003">
            <v>146520</v>
          </cell>
          <cell r="P1003">
            <v>0</v>
          </cell>
          <cell r="Q1003" t="str">
            <v>한국</v>
          </cell>
          <cell r="R1003" t="str">
            <v>실온</v>
          </cell>
          <cell r="S1003" t="str">
            <v>EA(10)</v>
          </cell>
          <cell r="T1003" t="str">
            <v/>
          </cell>
          <cell r="U1003" t="str">
            <v/>
          </cell>
          <cell r="V1003" t="str">
            <v>2019-01-14</v>
          </cell>
          <cell r="W1003" t="str">
            <v>2019-01-14 15:39:54</v>
          </cell>
          <cell r="X1003" t="str">
            <v>더바른푸드</v>
          </cell>
        </row>
        <row r="1004">
          <cell r="A1004">
            <v>1000</v>
          </cell>
          <cell r="B1004" t="str">
            <v>2019-01-15</v>
          </cell>
          <cell r="C1004" t="str">
            <v>더바른푸드</v>
          </cell>
          <cell r="D1004" t="str">
            <v>더바른푸드</v>
          </cell>
          <cell r="E1004" t="str">
            <v>일반</v>
          </cell>
          <cell r="F1004" t="str">
            <v>입고완료</v>
          </cell>
          <cell r="G1004">
            <v>260308</v>
          </cell>
          <cell r="H1004" t="str">
            <v>청아띠 자연담은고춧가루(양념용 1Kg/EA)</v>
          </cell>
          <cell r="I1004" t="str">
            <v>EA</v>
          </cell>
          <cell r="J1004">
            <v>4</v>
          </cell>
          <cell r="K1004">
            <v>4</v>
          </cell>
          <cell r="L1004">
            <v>26690</v>
          </cell>
          <cell r="M1004">
            <v>106760</v>
          </cell>
          <cell r="N1004">
            <v>0</v>
          </cell>
          <cell r="O1004">
            <v>106760</v>
          </cell>
          <cell r="P1004">
            <v>0</v>
          </cell>
          <cell r="Q1004" t="str">
            <v>한국</v>
          </cell>
          <cell r="R1004" t="str">
            <v>실온</v>
          </cell>
          <cell r="S1004" t="str">
            <v>EA(10)</v>
          </cell>
          <cell r="T1004" t="str">
            <v/>
          </cell>
          <cell r="U1004" t="str">
            <v/>
          </cell>
          <cell r="V1004" t="str">
            <v>2019-01-14</v>
          </cell>
          <cell r="W1004" t="str">
            <v>2019-01-14 15:39:54</v>
          </cell>
          <cell r="X1004" t="str">
            <v>더바른푸드</v>
          </cell>
        </row>
        <row r="1005">
          <cell r="A1005">
            <v>1001</v>
          </cell>
          <cell r="B1005" t="str">
            <v>2019-01-15</v>
          </cell>
          <cell r="C1005" t="str">
            <v>더바른푸드</v>
          </cell>
          <cell r="D1005" t="str">
            <v>더바른푸드</v>
          </cell>
          <cell r="E1005" t="str">
            <v>일반</v>
          </cell>
          <cell r="F1005" t="str">
            <v>입고완료</v>
          </cell>
          <cell r="G1005">
            <v>135871</v>
          </cell>
          <cell r="H1005" t="str">
            <v>이츠웰 대두유(18L 16.506Kg/EA)</v>
          </cell>
          <cell r="I1005" t="str">
            <v>EA</v>
          </cell>
          <cell r="J1005">
            <v>5</v>
          </cell>
          <cell r="K1005">
            <v>5</v>
          </cell>
          <cell r="L1005">
            <v>28710</v>
          </cell>
          <cell r="M1005">
            <v>143550</v>
          </cell>
          <cell r="N1005">
            <v>14355</v>
          </cell>
          <cell r="O1005">
            <v>157905</v>
          </cell>
          <cell r="P1005">
            <v>0</v>
          </cell>
          <cell r="Q1005" t="str">
            <v/>
          </cell>
          <cell r="R1005" t="str">
            <v>실온</v>
          </cell>
          <cell r="S1005" t="str">
            <v>EA(1)</v>
          </cell>
          <cell r="T1005" t="str">
            <v/>
          </cell>
          <cell r="U1005" t="str">
            <v/>
          </cell>
          <cell r="V1005" t="str">
            <v>2019-01-14</v>
          </cell>
          <cell r="W1005" t="str">
            <v>2019-01-14 15:40:22</v>
          </cell>
          <cell r="X1005" t="str">
            <v>더바른푸드</v>
          </cell>
        </row>
        <row r="1006">
          <cell r="A1006">
            <v>1002</v>
          </cell>
          <cell r="B1006" t="str">
            <v>2019-01-15</v>
          </cell>
          <cell r="C1006" t="str">
            <v>더바른푸드</v>
          </cell>
          <cell r="D1006" t="str">
            <v>더바른푸드</v>
          </cell>
          <cell r="E1006" t="str">
            <v>일반</v>
          </cell>
          <cell r="F1006" t="str">
            <v>입고완료</v>
          </cell>
          <cell r="G1006">
            <v>502808</v>
          </cell>
          <cell r="H1006" t="str">
            <v>이츠웰 종이컵(6.5온스_50입 EA)</v>
          </cell>
          <cell r="I1006" t="str">
            <v>BOX</v>
          </cell>
          <cell r="J1006">
            <v>1</v>
          </cell>
          <cell r="K1006">
            <v>1</v>
          </cell>
          <cell r="L1006">
            <v>8400</v>
          </cell>
          <cell r="M1006">
            <v>8400</v>
          </cell>
          <cell r="N1006">
            <v>840</v>
          </cell>
          <cell r="O1006">
            <v>9240</v>
          </cell>
          <cell r="P1006">
            <v>0</v>
          </cell>
          <cell r="Q1006" t="str">
            <v/>
          </cell>
          <cell r="R1006" t="str">
            <v>실온</v>
          </cell>
          <cell r="S1006" t="str">
            <v>EA(20)</v>
          </cell>
          <cell r="T1006" t="str">
            <v/>
          </cell>
          <cell r="U1006" t="str">
            <v/>
          </cell>
          <cell r="V1006" t="str">
            <v>2019-01-14</v>
          </cell>
          <cell r="W1006" t="str">
            <v>2019-01-14 15:41:45</v>
          </cell>
          <cell r="X1006" t="str">
            <v>더바른푸드</v>
          </cell>
        </row>
        <row r="1007">
          <cell r="A1007">
            <v>1003</v>
          </cell>
          <cell r="B1007" t="str">
            <v>2019-01-14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</row>
        <row r="1008">
          <cell r="A1008">
            <v>1004</v>
          </cell>
          <cell r="B1008" t="str">
            <v>2019-01-14</v>
          </cell>
          <cell r="C1008" t="str">
            <v>더바른푸드</v>
          </cell>
          <cell r="D1008" t="str">
            <v>더바른푸드</v>
          </cell>
          <cell r="E1008" t="str">
            <v>일반</v>
          </cell>
          <cell r="F1008" t="str">
            <v>입고완료</v>
          </cell>
          <cell r="G1008">
            <v>168257</v>
          </cell>
          <cell r="H1008" t="str">
            <v>명품 판두부(찌개용 3Kg/EA)</v>
          </cell>
          <cell r="I1008" t="str">
            <v>EA</v>
          </cell>
          <cell r="J1008">
            <v>6</v>
          </cell>
          <cell r="K1008">
            <v>6</v>
          </cell>
          <cell r="L1008">
            <v>4000</v>
          </cell>
          <cell r="M1008">
            <v>24000</v>
          </cell>
          <cell r="N1008">
            <v>0</v>
          </cell>
          <cell r="O1008">
            <v>24000</v>
          </cell>
          <cell r="P1008">
            <v>0</v>
          </cell>
          <cell r="Q1008" t="str">
            <v>수입산</v>
          </cell>
          <cell r="R1008" t="str">
            <v>냉장</v>
          </cell>
          <cell r="S1008" t="str">
            <v>EA(1)</v>
          </cell>
          <cell r="T1008" t="str">
            <v/>
          </cell>
          <cell r="U1008" t="str">
            <v/>
          </cell>
          <cell r="V1008" t="str">
            <v>2019-01-10</v>
          </cell>
          <cell r="W1008" t="str">
            <v>2019-01-10 14:45:47</v>
          </cell>
          <cell r="X1008" t="str">
            <v>더바른푸드</v>
          </cell>
        </row>
        <row r="1009">
          <cell r="A1009">
            <v>1005</v>
          </cell>
          <cell r="B1009" t="str">
            <v>2019-01-14</v>
          </cell>
          <cell r="C1009" t="str">
            <v>더바른푸드</v>
          </cell>
          <cell r="D1009" t="str">
            <v>더바른푸드</v>
          </cell>
          <cell r="E1009" t="str">
            <v>일반</v>
          </cell>
          <cell r="F1009" t="str">
            <v>입고완료</v>
          </cell>
          <cell r="G1009">
            <v>219387</v>
          </cell>
          <cell r="H1009" t="str">
            <v>냉동배추우거지(1Kg/EA)</v>
          </cell>
          <cell r="I1009" t="str">
            <v>EA</v>
          </cell>
          <cell r="J1009">
            <v>40</v>
          </cell>
          <cell r="K1009">
            <v>40</v>
          </cell>
          <cell r="L1009">
            <v>1430</v>
          </cell>
          <cell r="M1009">
            <v>57200</v>
          </cell>
          <cell r="N1009">
            <v>5720</v>
          </cell>
          <cell r="O1009">
            <v>62920</v>
          </cell>
          <cell r="P1009">
            <v>0</v>
          </cell>
          <cell r="Q1009" t="str">
            <v>중국</v>
          </cell>
          <cell r="R1009" t="str">
            <v>냉동</v>
          </cell>
          <cell r="S1009" t="str">
            <v>EA(1)</v>
          </cell>
          <cell r="T1009" t="str">
            <v/>
          </cell>
          <cell r="U1009" t="str">
            <v/>
          </cell>
          <cell r="V1009" t="str">
            <v>2019-01-10</v>
          </cell>
          <cell r="W1009" t="str">
            <v>2019-01-10 14:57:08</v>
          </cell>
          <cell r="X1009" t="str">
            <v>더바른푸드</v>
          </cell>
        </row>
        <row r="1010">
          <cell r="A1010">
            <v>1006</v>
          </cell>
          <cell r="B1010" t="str">
            <v>2019-01-14</v>
          </cell>
          <cell r="C1010" t="str">
            <v>더바른푸드</v>
          </cell>
          <cell r="D1010" t="str">
            <v>더바른푸드</v>
          </cell>
          <cell r="E1010" t="str">
            <v>일반</v>
          </cell>
          <cell r="F1010" t="str">
            <v>입고완료</v>
          </cell>
          <cell r="G1010">
            <v>172567</v>
          </cell>
          <cell r="H1010" t="str">
            <v>쉐프솔루션 치킨가라아게(1Kg/EA)</v>
          </cell>
          <cell r="I1010" t="str">
            <v>EA</v>
          </cell>
          <cell r="J1010">
            <v>152</v>
          </cell>
          <cell r="K1010">
            <v>152</v>
          </cell>
          <cell r="L1010">
            <v>7900</v>
          </cell>
          <cell r="M1010">
            <v>1200800</v>
          </cell>
          <cell r="N1010">
            <v>120080</v>
          </cell>
          <cell r="O1010">
            <v>1320880</v>
          </cell>
          <cell r="P1010">
            <v>0</v>
          </cell>
          <cell r="Q1010" t="str">
            <v>브라질</v>
          </cell>
          <cell r="R1010" t="str">
            <v>냉동</v>
          </cell>
          <cell r="S1010" t="str">
            <v>EA(8)</v>
          </cell>
          <cell r="T1010" t="str">
            <v/>
          </cell>
          <cell r="U1010" t="str">
            <v/>
          </cell>
          <cell r="V1010" t="str">
            <v>2019-01-10</v>
          </cell>
          <cell r="W1010" t="str">
            <v>2019-01-10 15:52:15</v>
          </cell>
          <cell r="X1010" t="str">
            <v>더바른푸드</v>
          </cell>
        </row>
        <row r="1011">
          <cell r="A1011">
            <v>1007</v>
          </cell>
          <cell r="B1011" t="str">
            <v>2019-01-14</v>
          </cell>
          <cell r="C1011" t="str">
            <v>더바른푸드</v>
          </cell>
          <cell r="D1011" t="str">
            <v>더바른푸드</v>
          </cell>
          <cell r="E1011" t="str">
            <v>일반</v>
          </cell>
          <cell r="F1011" t="str">
            <v>입고완료</v>
          </cell>
          <cell r="G1011">
            <v>172560</v>
          </cell>
          <cell r="H1011" t="str">
            <v>사조오양 모둠전(오색_20g/개 1Kg/EA)</v>
          </cell>
          <cell r="I1011" t="str">
            <v>EA</v>
          </cell>
          <cell r="J1011">
            <v>2</v>
          </cell>
          <cell r="K1011">
            <v>2</v>
          </cell>
          <cell r="L1011">
            <v>6880</v>
          </cell>
          <cell r="M1011">
            <v>13760</v>
          </cell>
          <cell r="N1011">
            <v>1376</v>
          </cell>
          <cell r="O1011">
            <v>15136</v>
          </cell>
          <cell r="P1011">
            <v>0</v>
          </cell>
          <cell r="Q1011" t="str">
            <v/>
          </cell>
          <cell r="R1011" t="str">
            <v>냉동</v>
          </cell>
          <cell r="S1011" t="str">
            <v>EA(10)</v>
          </cell>
          <cell r="T1011" t="str">
            <v/>
          </cell>
          <cell r="U1011" t="str">
            <v/>
          </cell>
          <cell r="V1011" t="str">
            <v>2019-01-10</v>
          </cell>
          <cell r="W1011" t="str">
            <v>2019-01-10 16:38:23</v>
          </cell>
          <cell r="X1011" t="str">
            <v>더바른푸드</v>
          </cell>
        </row>
        <row r="1012">
          <cell r="A1012">
            <v>1008</v>
          </cell>
          <cell r="B1012" t="str">
            <v>2019-01-14</v>
          </cell>
          <cell r="C1012" t="str">
            <v>더바른푸드</v>
          </cell>
          <cell r="D1012" t="str">
            <v>더바른푸드</v>
          </cell>
          <cell r="E1012" t="str">
            <v>일반</v>
          </cell>
          <cell r="F1012" t="str">
            <v>입고완료</v>
          </cell>
          <cell r="G1012">
            <v>265962</v>
          </cell>
          <cell r="H1012" t="str">
            <v>쉐프솔루션 그릴콤비네이션피자(벌크_415g*5입 2.075Kg/EA)</v>
          </cell>
          <cell r="I1012" t="str">
            <v>EA</v>
          </cell>
          <cell r="J1012">
            <v>26</v>
          </cell>
          <cell r="K1012">
            <v>26</v>
          </cell>
          <cell r="L1012">
            <v>18880</v>
          </cell>
          <cell r="M1012">
            <v>490880</v>
          </cell>
          <cell r="N1012">
            <v>49088</v>
          </cell>
          <cell r="O1012">
            <v>539968</v>
          </cell>
          <cell r="P1012">
            <v>0</v>
          </cell>
          <cell r="Q1012" t="str">
            <v/>
          </cell>
          <cell r="R1012" t="str">
            <v>냉동</v>
          </cell>
          <cell r="S1012" t="str">
            <v>EA(2)</v>
          </cell>
          <cell r="T1012" t="str">
            <v/>
          </cell>
          <cell r="U1012" t="str">
            <v/>
          </cell>
          <cell r="V1012" t="str">
            <v>2019-01-11</v>
          </cell>
          <cell r="W1012" t="str">
            <v>2019-01-11 14:51:24</v>
          </cell>
          <cell r="X1012" t="str">
            <v>더바른푸드</v>
          </cell>
        </row>
        <row r="1013">
          <cell r="A1013">
            <v>1009</v>
          </cell>
          <cell r="B1013" t="str">
            <v>2019-01-14</v>
          </cell>
          <cell r="C1013" t="str">
            <v>더바른푸드</v>
          </cell>
          <cell r="D1013" t="str">
            <v>더바른푸드</v>
          </cell>
          <cell r="E1013" t="str">
            <v>일반</v>
          </cell>
          <cell r="F1013" t="str">
            <v>입고완료</v>
          </cell>
          <cell r="G1013">
            <v>206812</v>
          </cell>
          <cell r="H1013" t="str">
            <v>단호박(상품 2등분_가로컷_속제거 KG)</v>
          </cell>
          <cell r="I1013" t="str">
            <v>KG</v>
          </cell>
          <cell r="J1013">
            <v>50</v>
          </cell>
          <cell r="K1013">
            <v>50</v>
          </cell>
          <cell r="L1013">
            <v>5590</v>
          </cell>
          <cell r="M1013">
            <v>279500</v>
          </cell>
          <cell r="N1013">
            <v>0</v>
          </cell>
          <cell r="O1013">
            <v>279500</v>
          </cell>
          <cell r="P1013">
            <v>0</v>
          </cell>
          <cell r="Q1013" t="str">
            <v>한국</v>
          </cell>
          <cell r="R1013" t="str">
            <v>냉장</v>
          </cell>
          <cell r="S1013" t="str">
            <v>KG(1)</v>
          </cell>
          <cell r="T1013" t="str">
            <v/>
          </cell>
          <cell r="U1013" t="str">
            <v/>
          </cell>
          <cell r="V1013" t="str">
            <v>2019-01-11</v>
          </cell>
          <cell r="W1013" t="str">
            <v>2019-01-11 16:00:29</v>
          </cell>
          <cell r="X1013" t="str">
            <v>더바른푸드</v>
          </cell>
        </row>
        <row r="1014">
          <cell r="A1014">
            <v>1010</v>
          </cell>
          <cell r="B1014" t="str">
            <v>2019-01-14</v>
          </cell>
          <cell r="C1014" t="str">
            <v>더바른푸드</v>
          </cell>
          <cell r="D1014" t="str">
            <v>더바른푸드</v>
          </cell>
          <cell r="E1014" t="str">
            <v>일반</v>
          </cell>
          <cell r="F1014" t="str">
            <v>입고완료</v>
          </cell>
          <cell r="G1014">
            <v>302889</v>
          </cell>
          <cell r="H1014" t="str">
            <v>명태곤이(1Kg/PAC)</v>
          </cell>
          <cell r="I1014" t="str">
            <v>PAC</v>
          </cell>
          <cell r="J1014">
            <v>1</v>
          </cell>
          <cell r="K1014">
            <v>1</v>
          </cell>
          <cell r="L1014">
            <v>11000</v>
          </cell>
          <cell r="M1014">
            <v>11000</v>
          </cell>
          <cell r="N1014">
            <v>0</v>
          </cell>
          <cell r="O1014">
            <v>11000</v>
          </cell>
          <cell r="P1014">
            <v>0</v>
          </cell>
          <cell r="Q1014" t="str">
            <v>러시아</v>
          </cell>
          <cell r="R1014" t="str">
            <v>냉동</v>
          </cell>
          <cell r="S1014" t="str">
            <v>PAC(1)</v>
          </cell>
          <cell r="T1014" t="str">
            <v/>
          </cell>
          <cell r="U1014" t="str">
            <v/>
          </cell>
          <cell r="V1014" t="str">
            <v>2019-01-11</v>
          </cell>
          <cell r="W1014" t="str">
            <v>2019-01-11 16:08:56</v>
          </cell>
          <cell r="X1014" t="str">
            <v>더바른푸드</v>
          </cell>
        </row>
        <row r="1015">
          <cell r="A1015">
            <v>1011</v>
          </cell>
          <cell r="B1015" t="str">
            <v>2019-01-14</v>
          </cell>
          <cell r="C1015" t="str">
            <v>더바른푸드</v>
          </cell>
          <cell r="D1015" t="str">
            <v>더바른푸드</v>
          </cell>
          <cell r="E1015" t="str">
            <v>일반</v>
          </cell>
          <cell r="F1015" t="str">
            <v>입고완료</v>
          </cell>
          <cell r="G1015">
            <v>310639</v>
          </cell>
          <cell r="H1015" t="str">
            <v>명란(1Kg/EA)</v>
          </cell>
          <cell r="I1015" t="str">
            <v>EA</v>
          </cell>
          <cell r="J1015">
            <v>1</v>
          </cell>
          <cell r="K1015">
            <v>1</v>
          </cell>
          <cell r="L1015">
            <v>8890</v>
          </cell>
          <cell r="M1015">
            <v>8890</v>
          </cell>
          <cell r="N1015">
            <v>0</v>
          </cell>
          <cell r="O1015">
            <v>8890</v>
          </cell>
          <cell r="P1015">
            <v>0</v>
          </cell>
          <cell r="Q1015" t="str">
            <v>미국</v>
          </cell>
          <cell r="R1015" t="str">
            <v>냉동</v>
          </cell>
          <cell r="S1015" t="str">
            <v>EA(1)</v>
          </cell>
          <cell r="T1015" t="str">
            <v/>
          </cell>
          <cell r="U1015" t="str">
            <v/>
          </cell>
          <cell r="V1015" t="str">
            <v>2019-01-11</v>
          </cell>
          <cell r="W1015" t="str">
            <v>2019-01-11 16:17:21</v>
          </cell>
          <cell r="X1015" t="str">
            <v>더바른푸드</v>
          </cell>
        </row>
        <row r="1016">
          <cell r="A1016">
            <v>1012</v>
          </cell>
          <cell r="B1016" t="str">
            <v>2019-01-14</v>
          </cell>
          <cell r="C1016" t="str">
            <v>더바른푸드</v>
          </cell>
          <cell r="D1016" t="str">
            <v>더바른푸드</v>
          </cell>
          <cell r="E1016" t="str">
            <v>일반</v>
          </cell>
          <cell r="F1016" t="str">
            <v>입고완료</v>
          </cell>
          <cell r="G1016">
            <v>205273</v>
          </cell>
          <cell r="H1016" t="str">
            <v>건고구마순(데친것 KG)</v>
          </cell>
          <cell r="I1016" t="str">
            <v>KG</v>
          </cell>
          <cell r="J1016">
            <v>55</v>
          </cell>
          <cell r="K1016">
            <v>55</v>
          </cell>
          <cell r="L1016">
            <v>2990</v>
          </cell>
          <cell r="M1016">
            <v>164450</v>
          </cell>
          <cell r="N1016">
            <v>0</v>
          </cell>
          <cell r="O1016">
            <v>164450</v>
          </cell>
          <cell r="P1016">
            <v>0</v>
          </cell>
          <cell r="Q1016" t="str">
            <v>중국</v>
          </cell>
          <cell r="R1016" t="str">
            <v>냉장</v>
          </cell>
          <cell r="S1016" t="str">
            <v>KG(1)</v>
          </cell>
          <cell r="T1016" t="str">
            <v/>
          </cell>
          <cell r="U1016" t="str">
            <v/>
          </cell>
          <cell r="V1016" t="str">
            <v>2019-01-11</v>
          </cell>
          <cell r="W1016" t="str">
            <v>2019-01-11 16:21:47</v>
          </cell>
          <cell r="X1016" t="str">
            <v>더바른푸드</v>
          </cell>
        </row>
        <row r="1017">
          <cell r="A1017">
            <v>1013</v>
          </cell>
          <cell r="B1017" t="str">
            <v>2019-01-14</v>
          </cell>
          <cell r="C1017" t="str">
            <v>더바른푸드</v>
          </cell>
          <cell r="D1017" t="str">
            <v>더바른푸드</v>
          </cell>
          <cell r="E1017" t="str">
            <v>일반</v>
          </cell>
          <cell r="F1017" t="str">
            <v>입고완료</v>
          </cell>
          <cell r="G1017">
            <v>143910</v>
          </cell>
          <cell r="H1017" t="str">
            <v>종로복떡방 인절미(50개입 1Kg/EA)</v>
          </cell>
          <cell r="I1017" t="str">
            <v>EA</v>
          </cell>
          <cell r="J1017">
            <v>13</v>
          </cell>
          <cell r="K1017">
            <v>13</v>
          </cell>
          <cell r="L1017">
            <v>9740</v>
          </cell>
          <cell r="M1017">
            <v>126620</v>
          </cell>
          <cell r="N1017">
            <v>12662</v>
          </cell>
          <cell r="O1017">
            <v>139282</v>
          </cell>
          <cell r="P1017">
            <v>0</v>
          </cell>
          <cell r="Q1017" t="str">
            <v/>
          </cell>
          <cell r="R1017" t="str">
            <v>냉동</v>
          </cell>
          <cell r="S1017" t="str">
            <v>EA(1)</v>
          </cell>
          <cell r="T1017" t="str">
            <v/>
          </cell>
          <cell r="U1017" t="str">
            <v/>
          </cell>
          <cell r="V1017" t="str">
            <v>2019-01-11</v>
          </cell>
          <cell r="W1017" t="str">
            <v>2019-01-11 17:24:14</v>
          </cell>
          <cell r="X1017" t="str">
            <v>더바른푸드</v>
          </cell>
        </row>
        <row r="1018">
          <cell r="A1018">
            <v>1014</v>
          </cell>
          <cell r="B1018" t="str">
            <v>2019-01-14</v>
          </cell>
          <cell r="C1018" t="str">
            <v>더바른푸드</v>
          </cell>
          <cell r="D1018" t="str">
            <v>더바른푸드</v>
          </cell>
          <cell r="E1018" t="str">
            <v>일반</v>
          </cell>
          <cell r="F1018" t="str">
            <v>입고완료</v>
          </cell>
          <cell r="G1018">
            <v>159126</v>
          </cell>
          <cell r="H1018" t="str">
            <v>건강마을 플리또주스(100ml_유기농_포도 100g/EA)</v>
          </cell>
          <cell r="I1018" t="str">
            <v>BOX</v>
          </cell>
          <cell r="J1018">
            <v>5</v>
          </cell>
          <cell r="K1018">
            <v>5</v>
          </cell>
          <cell r="L1018">
            <v>17600</v>
          </cell>
          <cell r="M1018">
            <v>88000</v>
          </cell>
          <cell r="N1018">
            <v>8800</v>
          </cell>
          <cell r="O1018">
            <v>96800</v>
          </cell>
          <cell r="P1018">
            <v>0</v>
          </cell>
          <cell r="Q1018" t="str">
            <v/>
          </cell>
          <cell r="R1018" t="str">
            <v>실온</v>
          </cell>
          <cell r="S1018" t="str">
            <v>EA(40)</v>
          </cell>
          <cell r="T1018" t="str">
            <v/>
          </cell>
          <cell r="U1018" t="str">
            <v/>
          </cell>
          <cell r="V1018" t="str">
            <v>2019-01-11</v>
          </cell>
          <cell r="W1018" t="str">
            <v>2019-01-11 17:38:58</v>
          </cell>
          <cell r="X1018" t="str">
            <v>더바른푸드</v>
          </cell>
        </row>
        <row r="1019">
          <cell r="A1019">
            <v>1015</v>
          </cell>
          <cell r="B1019" t="str">
            <v>2019-01-14</v>
          </cell>
          <cell r="C1019" t="str">
            <v>더바른푸드</v>
          </cell>
          <cell r="D1019" t="str">
            <v>더바른푸드</v>
          </cell>
          <cell r="E1019" t="str">
            <v>일반</v>
          </cell>
          <cell r="F1019" t="str">
            <v>입고완료</v>
          </cell>
          <cell r="G1019">
            <v>158488</v>
          </cell>
          <cell r="H1019" t="str">
            <v>마더구스 아몬드파운드(개별포장_30g*30입 900g/EA)</v>
          </cell>
          <cell r="I1019" t="str">
            <v>EA</v>
          </cell>
          <cell r="J1019">
            <v>10</v>
          </cell>
          <cell r="K1019">
            <v>10</v>
          </cell>
          <cell r="L1019">
            <v>10540</v>
          </cell>
          <cell r="M1019">
            <v>105400</v>
          </cell>
          <cell r="N1019">
            <v>10540</v>
          </cell>
          <cell r="O1019">
            <v>115940</v>
          </cell>
          <cell r="P1019">
            <v>0</v>
          </cell>
          <cell r="Q1019" t="str">
            <v/>
          </cell>
          <cell r="R1019" t="str">
            <v>냉동</v>
          </cell>
          <cell r="S1019" t="str">
            <v>EA(8)</v>
          </cell>
          <cell r="T1019" t="str">
            <v/>
          </cell>
          <cell r="U1019" t="str">
            <v/>
          </cell>
          <cell r="V1019" t="str">
            <v>2019-01-12</v>
          </cell>
          <cell r="W1019" t="str">
            <v>2019-01-12 08:56:17</v>
          </cell>
          <cell r="X1019" t="str">
            <v>nanee0703</v>
          </cell>
        </row>
        <row r="1020">
          <cell r="A1020">
            <v>1016</v>
          </cell>
          <cell r="B1020" t="str">
            <v>2019-01-14</v>
          </cell>
          <cell r="C1020" t="str">
            <v>더바른푸드</v>
          </cell>
          <cell r="D1020" t="str">
            <v>더바른푸드</v>
          </cell>
          <cell r="E1020" t="str">
            <v>일반</v>
          </cell>
          <cell r="F1020" t="str">
            <v>입고완료</v>
          </cell>
          <cell r="G1020">
            <v>164509</v>
          </cell>
          <cell r="H1020" t="str">
            <v>요러브 떠먹는요구르트(복숭아 90g/EA)</v>
          </cell>
          <cell r="I1020" t="str">
            <v>EA</v>
          </cell>
          <cell r="J1020">
            <v>205</v>
          </cell>
          <cell r="K1020">
            <v>205</v>
          </cell>
          <cell r="L1020">
            <v>390</v>
          </cell>
          <cell r="M1020">
            <v>79950</v>
          </cell>
          <cell r="N1020">
            <v>7995</v>
          </cell>
          <cell r="O1020">
            <v>87945</v>
          </cell>
          <cell r="P1020">
            <v>0</v>
          </cell>
          <cell r="Q1020" t="str">
            <v>한국</v>
          </cell>
          <cell r="R1020" t="str">
            <v>냉장</v>
          </cell>
          <cell r="S1020" t="str">
            <v>EA(1)</v>
          </cell>
          <cell r="T1020" t="str">
            <v/>
          </cell>
          <cell r="U1020" t="str">
            <v>ma김난이님 협의완료 건</v>
          </cell>
          <cell r="V1020" t="str">
            <v>2019-01-12</v>
          </cell>
          <cell r="W1020" t="str">
            <v>2019-01-12 08:58:17</v>
          </cell>
          <cell r="X1020" t="str">
            <v>syh3917</v>
          </cell>
        </row>
        <row r="1021">
          <cell r="A1021">
            <v>1017</v>
          </cell>
          <cell r="B1021" t="str">
            <v>2019-01-12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</row>
        <row r="1022">
          <cell r="A1022">
            <v>1018</v>
          </cell>
          <cell r="B1022" t="str">
            <v>2019-01-12</v>
          </cell>
          <cell r="C1022" t="str">
            <v>더바른푸드</v>
          </cell>
          <cell r="D1022" t="str">
            <v>더바른푸드</v>
          </cell>
          <cell r="E1022" t="str">
            <v>일반</v>
          </cell>
          <cell r="F1022" t="str">
            <v>입고완료</v>
          </cell>
          <cell r="G1022">
            <v>502650</v>
          </cell>
          <cell r="H1022" t="str">
            <v>유니 랩(30cm*50m 가정용 EA)</v>
          </cell>
          <cell r="I1022" t="str">
            <v>EA</v>
          </cell>
          <cell r="J1022">
            <v>10</v>
          </cell>
          <cell r="K1022">
            <v>10</v>
          </cell>
          <cell r="L1022">
            <v>2150</v>
          </cell>
          <cell r="M1022">
            <v>21500</v>
          </cell>
          <cell r="N1022">
            <v>2150</v>
          </cell>
          <cell r="O1022">
            <v>23650</v>
          </cell>
          <cell r="P1022">
            <v>0</v>
          </cell>
          <cell r="Q1022" t="str">
            <v/>
          </cell>
          <cell r="R1022" t="str">
            <v>실온</v>
          </cell>
          <cell r="S1022" t="str">
            <v>EA(50)</v>
          </cell>
          <cell r="T1022" t="str">
            <v/>
          </cell>
          <cell r="U1022" t="str">
            <v/>
          </cell>
          <cell r="V1022" t="str">
            <v>2019-01-10</v>
          </cell>
          <cell r="W1022" t="str">
            <v>2019-01-10 16:26:37</v>
          </cell>
          <cell r="X1022" t="str">
            <v>더바른푸드</v>
          </cell>
        </row>
        <row r="1023">
          <cell r="A1023">
            <v>1019</v>
          </cell>
          <cell r="B1023" t="str">
            <v>2019-01-12</v>
          </cell>
          <cell r="C1023" t="str">
            <v>더바른푸드</v>
          </cell>
          <cell r="D1023" t="str">
            <v>더바른푸드</v>
          </cell>
          <cell r="E1023" t="str">
            <v>일반</v>
          </cell>
          <cell r="F1023" t="str">
            <v>입고완료</v>
          </cell>
          <cell r="G1023">
            <v>312193</v>
          </cell>
          <cell r="H1023" t="str">
            <v>염장미역줄기(수율70%이상 1Kg/EA)</v>
          </cell>
          <cell r="I1023" t="str">
            <v>EA</v>
          </cell>
          <cell r="J1023">
            <v>80</v>
          </cell>
          <cell r="K1023">
            <v>80</v>
          </cell>
          <cell r="L1023">
            <v>2330</v>
          </cell>
          <cell r="M1023">
            <v>186400</v>
          </cell>
          <cell r="N1023">
            <v>0</v>
          </cell>
          <cell r="O1023">
            <v>186400</v>
          </cell>
          <cell r="P1023">
            <v>0</v>
          </cell>
          <cell r="Q1023" t="str">
            <v>한국</v>
          </cell>
          <cell r="R1023" t="str">
            <v>냉장</v>
          </cell>
          <cell r="S1023" t="str">
            <v>EA(10)</v>
          </cell>
          <cell r="T1023" t="str">
            <v/>
          </cell>
          <cell r="U1023" t="str">
            <v/>
          </cell>
          <cell r="V1023" t="str">
            <v>2019-01-10</v>
          </cell>
          <cell r="W1023" t="str">
            <v>2019-01-10 16:36:27</v>
          </cell>
          <cell r="X1023" t="str">
            <v>더바른푸드</v>
          </cell>
        </row>
        <row r="1024">
          <cell r="A1024">
            <v>1020</v>
          </cell>
          <cell r="B1024" t="str">
            <v>2019-01-12</v>
          </cell>
          <cell r="C1024" t="str">
            <v>더바른푸드</v>
          </cell>
          <cell r="D1024" t="str">
            <v>더바른푸드</v>
          </cell>
          <cell r="E1024" t="str">
            <v>일반</v>
          </cell>
          <cell r="F1024" t="str">
            <v>입고완료</v>
          </cell>
          <cell r="G1024">
            <v>203202</v>
          </cell>
          <cell r="H1024" t="str">
            <v>맑은공기 쌀(일반미 20Kg/EA)</v>
          </cell>
          <cell r="I1024" t="str">
            <v>EA</v>
          </cell>
          <cell r="J1024">
            <v>20</v>
          </cell>
          <cell r="K1024">
            <v>20</v>
          </cell>
          <cell r="L1024">
            <v>49000</v>
          </cell>
          <cell r="M1024">
            <v>980000</v>
          </cell>
          <cell r="N1024">
            <v>0</v>
          </cell>
          <cell r="O1024">
            <v>980000</v>
          </cell>
          <cell r="P1024">
            <v>0</v>
          </cell>
          <cell r="Q1024" t="str">
            <v>한국</v>
          </cell>
          <cell r="R1024" t="str">
            <v>실온</v>
          </cell>
          <cell r="S1024" t="str">
            <v>EA(1)</v>
          </cell>
          <cell r="T1024" t="str">
            <v/>
          </cell>
          <cell r="U1024" t="str">
            <v/>
          </cell>
          <cell r="V1024" t="str">
            <v>2019-01-10</v>
          </cell>
          <cell r="W1024" t="str">
            <v>2019-01-10 17:21:31</v>
          </cell>
          <cell r="X1024" t="str">
            <v>nanee0703</v>
          </cell>
        </row>
        <row r="1025">
          <cell r="A1025">
            <v>1021</v>
          </cell>
          <cell r="B1025" t="str">
            <v>2019-01-12</v>
          </cell>
          <cell r="C1025" t="str">
            <v>더바른푸드</v>
          </cell>
          <cell r="D1025" t="str">
            <v>더바른푸드</v>
          </cell>
          <cell r="E1025" t="str">
            <v>일반</v>
          </cell>
          <cell r="F1025" t="str">
            <v>입고완료</v>
          </cell>
          <cell r="G1025">
            <v>252882</v>
          </cell>
          <cell r="H1025" t="str">
            <v>이츠웰 프레시워터(500ml 500g/EA)</v>
          </cell>
          <cell r="I1025" t="str">
            <v>BOX</v>
          </cell>
          <cell r="J1025">
            <v>286</v>
          </cell>
          <cell r="K1025">
            <v>286</v>
          </cell>
          <cell r="L1025">
            <v>2400</v>
          </cell>
          <cell r="M1025">
            <v>686400</v>
          </cell>
          <cell r="N1025">
            <v>68640</v>
          </cell>
          <cell r="O1025">
            <v>755040</v>
          </cell>
          <cell r="P1025">
            <v>0</v>
          </cell>
          <cell r="Q1025" t="str">
            <v/>
          </cell>
          <cell r="R1025" t="str">
            <v>실온</v>
          </cell>
          <cell r="S1025" t="str">
            <v>EA(20)</v>
          </cell>
          <cell r="T1025" t="str">
            <v/>
          </cell>
          <cell r="U1025" t="str">
            <v/>
          </cell>
          <cell r="V1025" t="str">
            <v>2019-01-11</v>
          </cell>
          <cell r="W1025" t="str">
            <v>2019-01-11 10:09:52</v>
          </cell>
          <cell r="X1025" t="str">
            <v>nanee0703</v>
          </cell>
        </row>
        <row r="1026">
          <cell r="A1026">
            <v>1022</v>
          </cell>
          <cell r="B1026" t="str">
            <v>2019-01-12</v>
          </cell>
          <cell r="C1026" t="str">
            <v>더바른푸드</v>
          </cell>
          <cell r="D1026" t="str">
            <v>더바른푸드</v>
          </cell>
          <cell r="E1026" t="str">
            <v>일반</v>
          </cell>
          <cell r="F1026" t="str">
            <v>입고완료</v>
          </cell>
          <cell r="G1026">
            <v>106807</v>
          </cell>
          <cell r="H1026" t="str">
            <v>오뚜기 양조식초(18L 18Kg/EA)</v>
          </cell>
          <cell r="I1026" t="str">
            <v>EA</v>
          </cell>
          <cell r="J1026">
            <v>2</v>
          </cell>
          <cell r="K1026">
            <v>2</v>
          </cell>
          <cell r="L1026">
            <v>10700</v>
          </cell>
          <cell r="M1026">
            <v>21400</v>
          </cell>
          <cell r="N1026">
            <v>2140</v>
          </cell>
          <cell r="O1026">
            <v>23540</v>
          </cell>
          <cell r="P1026">
            <v>0</v>
          </cell>
          <cell r="Q1026" t="str">
            <v/>
          </cell>
          <cell r="R1026" t="str">
            <v>실온</v>
          </cell>
          <cell r="S1026" t="str">
            <v>EA(1)</v>
          </cell>
          <cell r="T1026" t="str">
            <v/>
          </cell>
          <cell r="U1026" t="str">
            <v/>
          </cell>
          <cell r="V1026" t="str">
            <v>2019-01-11</v>
          </cell>
          <cell r="W1026" t="str">
            <v>2019-01-11 16:38:39</v>
          </cell>
          <cell r="X1026" t="str">
            <v>더바른푸드</v>
          </cell>
        </row>
        <row r="1027">
          <cell r="A1027">
            <v>1023</v>
          </cell>
          <cell r="B1027" t="str">
            <v>2019-01-12</v>
          </cell>
          <cell r="C1027" t="str">
            <v>더바른푸드</v>
          </cell>
          <cell r="D1027" t="str">
            <v>더바른푸드</v>
          </cell>
          <cell r="E1027" t="str">
            <v>일반</v>
          </cell>
          <cell r="F1027" t="str">
            <v>입고완료</v>
          </cell>
          <cell r="G1027">
            <v>140438</v>
          </cell>
          <cell r="H1027" t="str">
            <v>이츠웰 이온물엿(NEW 10Kg/EA)</v>
          </cell>
          <cell r="I1027" t="str">
            <v>EA</v>
          </cell>
          <cell r="J1027">
            <v>4</v>
          </cell>
          <cell r="K1027">
            <v>4</v>
          </cell>
          <cell r="L1027">
            <v>8890</v>
          </cell>
          <cell r="M1027">
            <v>35560</v>
          </cell>
          <cell r="N1027">
            <v>3556</v>
          </cell>
          <cell r="O1027">
            <v>39116</v>
          </cell>
          <cell r="P1027">
            <v>0</v>
          </cell>
          <cell r="Q1027" t="str">
            <v/>
          </cell>
          <cell r="R1027" t="str">
            <v>실온</v>
          </cell>
          <cell r="S1027" t="str">
            <v>EA(2)</v>
          </cell>
          <cell r="T1027" t="str">
            <v/>
          </cell>
          <cell r="U1027" t="str">
            <v/>
          </cell>
          <cell r="V1027" t="str">
            <v>2019-01-11</v>
          </cell>
          <cell r="W1027" t="str">
            <v>2019-01-11 16:39:45</v>
          </cell>
          <cell r="X1027" t="str">
            <v>더바른푸드</v>
          </cell>
        </row>
        <row r="1028">
          <cell r="A1028">
            <v>1024</v>
          </cell>
          <cell r="B1028" t="str">
            <v>2019-01-12</v>
          </cell>
          <cell r="C1028" t="str">
            <v>더바른푸드</v>
          </cell>
          <cell r="D1028" t="str">
            <v>더바른푸드</v>
          </cell>
          <cell r="E1028" t="str">
            <v>일반</v>
          </cell>
          <cell r="F1028" t="str">
            <v>입고완료</v>
          </cell>
          <cell r="G1028">
            <v>105943</v>
          </cell>
          <cell r="H1028" t="str">
            <v>대상 재래된장(지함_재래식숙성 14Kg/EA)</v>
          </cell>
          <cell r="I1028" t="str">
            <v>EA</v>
          </cell>
          <cell r="J1028">
            <v>2</v>
          </cell>
          <cell r="K1028">
            <v>2</v>
          </cell>
          <cell r="L1028">
            <v>25020</v>
          </cell>
          <cell r="M1028">
            <v>50040</v>
          </cell>
          <cell r="N1028">
            <v>5004</v>
          </cell>
          <cell r="O1028">
            <v>55044</v>
          </cell>
          <cell r="P1028">
            <v>0</v>
          </cell>
          <cell r="Q1028" t="str">
            <v/>
          </cell>
          <cell r="R1028" t="str">
            <v>실온</v>
          </cell>
          <cell r="S1028" t="str">
            <v>EA(1)</v>
          </cell>
          <cell r="T1028" t="str">
            <v/>
          </cell>
          <cell r="U1028" t="str">
            <v/>
          </cell>
          <cell r="V1028" t="str">
            <v>2019-01-11</v>
          </cell>
          <cell r="W1028" t="str">
            <v>2019-01-11 16:40:03</v>
          </cell>
          <cell r="X1028" t="str">
            <v>더바른푸드</v>
          </cell>
        </row>
        <row r="1029">
          <cell r="A1029">
            <v>1025</v>
          </cell>
          <cell r="B1029" t="str">
            <v>2019-01-12</v>
          </cell>
          <cell r="C1029" t="str">
            <v>더바른푸드</v>
          </cell>
          <cell r="D1029" t="str">
            <v>더바른푸드</v>
          </cell>
          <cell r="E1029" t="str">
            <v>일반</v>
          </cell>
          <cell r="F1029" t="str">
            <v>입고완료</v>
          </cell>
          <cell r="G1029">
            <v>137598</v>
          </cell>
          <cell r="H1029" t="str">
            <v>농부의뜰 감자전분(99% 1Kg/EA)</v>
          </cell>
          <cell r="I1029" t="str">
            <v>EA</v>
          </cell>
          <cell r="J1029">
            <v>3</v>
          </cell>
          <cell r="K1029">
            <v>3</v>
          </cell>
          <cell r="L1029">
            <v>2750</v>
          </cell>
          <cell r="M1029">
            <v>8250</v>
          </cell>
          <cell r="N1029">
            <v>825</v>
          </cell>
          <cell r="O1029">
            <v>9075</v>
          </cell>
          <cell r="P1029">
            <v>0</v>
          </cell>
          <cell r="Q1029" t="str">
            <v>폴란드</v>
          </cell>
          <cell r="R1029" t="str">
            <v>실온</v>
          </cell>
          <cell r="S1029" t="str">
            <v>EA(15)</v>
          </cell>
          <cell r="T1029" t="str">
            <v/>
          </cell>
          <cell r="U1029" t="str">
            <v/>
          </cell>
          <cell r="V1029" t="str">
            <v>2019-01-11</v>
          </cell>
          <cell r="W1029" t="str">
            <v>2019-01-11 16:41:07</v>
          </cell>
          <cell r="X1029" t="str">
            <v>더바른푸드</v>
          </cell>
        </row>
        <row r="1030">
          <cell r="A1030">
            <v>1026</v>
          </cell>
          <cell r="B1030" t="str">
            <v>2019-01-11</v>
          </cell>
          <cell r="C1030">
            <v>0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</row>
        <row r="1031">
          <cell r="A1031">
            <v>1027</v>
          </cell>
          <cell r="B1031" t="str">
            <v>2019-01-11</v>
          </cell>
          <cell r="C1031" t="str">
            <v>더바른푸드</v>
          </cell>
          <cell r="D1031" t="str">
            <v>더바른푸드</v>
          </cell>
          <cell r="E1031" t="str">
            <v>일반</v>
          </cell>
          <cell r="F1031" t="str">
            <v>입고완료</v>
          </cell>
          <cell r="G1031">
            <v>172567</v>
          </cell>
          <cell r="H1031" t="str">
            <v>쉐프솔루션 치킨가라아게(1Kg/EA)</v>
          </cell>
          <cell r="I1031" t="str">
            <v>EA</v>
          </cell>
          <cell r="J1031">
            <v>144</v>
          </cell>
          <cell r="K1031">
            <v>144</v>
          </cell>
          <cell r="L1031">
            <v>7900</v>
          </cell>
          <cell r="M1031">
            <v>1137600</v>
          </cell>
          <cell r="N1031">
            <v>113760</v>
          </cell>
          <cell r="O1031">
            <v>1251360</v>
          </cell>
          <cell r="P1031">
            <v>0</v>
          </cell>
          <cell r="Q1031" t="str">
            <v>브라질</v>
          </cell>
          <cell r="R1031" t="str">
            <v>냉동</v>
          </cell>
          <cell r="S1031" t="str">
            <v>EA(8)</v>
          </cell>
          <cell r="T1031" t="str">
            <v/>
          </cell>
          <cell r="U1031" t="str">
            <v/>
          </cell>
          <cell r="V1031" t="str">
            <v>2019-01-08</v>
          </cell>
          <cell r="W1031" t="str">
            <v>2019-01-08 16:44:06</v>
          </cell>
          <cell r="X1031" t="str">
            <v>더바른푸드</v>
          </cell>
        </row>
        <row r="1032">
          <cell r="A1032">
            <v>1028</v>
          </cell>
          <cell r="B1032" t="str">
            <v>2019-01-11</v>
          </cell>
          <cell r="C1032" t="str">
            <v>더바른푸드</v>
          </cell>
          <cell r="D1032" t="str">
            <v>더바른푸드</v>
          </cell>
          <cell r="E1032" t="str">
            <v>일반</v>
          </cell>
          <cell r="F1032" t="str">
            <v>입고완료</v>
          </cell>
          <cell r="G1032">
            <v>242385</v>
          </cell>
          <cell r="H1032" t="str">
            <v>크린업 부직포행주(삼색_38*38cm_3입 EA)</v>
          </cell>
          <cell r="I1032" t="str">
            <v>EA</v>
          </cell>
          <cell r="J1032">
            <v>10</v>
          </cell>
          <cell r="K1032">
            <v>10</v>
          </cell>
          <cell r="L1032">
            <v>760</v>
          </cell>
          <cell r="M1032">
            <v>7600</v>
          </cell>
          <cell r="N1032">
            <v>760</v>
          </cell>
          <cell r="O1032">
            <v>8360</v>
          </cell>
          <cell r="P1032">
            <v>0</v>
          </cell>
          <cell r="Q1032" t="str">
            <v/>
          </cell>
          <cell r="R1032" t="str">
            <v>실온</v>
          </cell>
          <cell r="S1032" t="str">
            <v>EA(160)</v>
          </cell>
          <cell r="T1032" t="str">
            <v/>
          </cell>
          <cell r="U1032" t="str">
            <v/>
          </cell>
          <cell r="V1032" t="str">
            <v>2019-01-09</v>
          </cell>
          <cell r="W1032" t="str">
            <v>2019-01-09 14:57:26</v>
          </cell>
          <cell r="X1032" t="str">
            <v>더바른푸드</v>
          </cell>
        </row>
        <row r="1033">
          <cell r="A1033">
            <v>1029</v>
          </cell>
          <cell r="B1033" t="str">
            <v>2019-01-11</v>
          </cell>
          <cell r="C1033" t="str">
            <v>더바른푸드</v>
          </cell>
          <cell r="D1033" t="str">
            <v>더바른푸드</v>
          </cell>
          <cell r="E1033" t="str">
            <v>일반</v>
          </cell>
          <cell r="F1033" t="str">
            <v>입고완료</v>
          </cell>
          <cell r="G1033">
            <v>197120</v>
          </cell>
          <cell r="H1033" t="str">
            <v>종가집 포기김치(숙성 10Kg/BOX)</v>
          </cell>
          <cell r="I1033" t="str">
            <v>BOX</v>
          </cell>
          <cell r="J1033">
            <v>10</v>
          </cell>
          <cell r="K1033">
            <v>10</v>
          </cell>
          <cell r="L1033">
            <v>31390</v>
          </cell>
          <cell r="M1033">
            <v>313900</v>
          </cell>
          <cell r="N1033">
            <v>0</v>
          </cell>
          <cell r="O1033">
            <v>313900</v>
          </cell>
          <cell r="P1033">
            <v>0</v>
          </cell>
          <cell r="Q1033" t="str">
            <v>한국</v>
          </cell>
          <cell r="R1033" t="str">
            <v>냉장</v>
          </cell>
          <cell r="S1033" t="str">
            <v>BOX(1)</v>
          </cell>
          <cell r="T1033" t="str">
            <v/>
          </cell>
          <cell r="U1033" t="str">
            <v/>
          </cell>
          <cell r="V1033" t="str">
            <v>2019-01-09</v>
          </cell>
          <cell r="W1033" t="str">
            <v>2019-01-09 15:37:27</v>
          </cell>
          <cell r="X1033" t="str">
            <v>더바른푸드</v>
          </cell>
        </row>
        <row r="1034">
          <cell r="A1034">
            <v>1030</v>
          </cell>
          <cell r="B1034" t="str">
            <v>2019-01-11</v>
          </cell>
          <cell r="C1034" t="str">
            <v>더바른푸드</v>
          </cell>
          <cell r="D1034" t="str">
            <v>더바른푸드</v>
          </cell>
          <cell r="E1034" t="str">
            <v>일반</v>
          </cell>
          <cell r="F1034" t="str">
            <v>입고완료</v>
          </cell>
          <cell r="G1034">
            <v>206631</v>
          </cell>
          <cell r="H1034" t="str">
            <v>냉동아욱(상품 1Kg/PAC)</v>
          </cell>
          <cell r="I1034" t="str">
            <v>PAC</v>
          </cell>
          <cell r="J1034">
            <v>53</v>
          </cell>
          <cell r="K1034">
            <v>53</v>
          </cell>
          <cell r="L1034">
            <v>2450</v>
          </cell>
          <cell r="M1034">
            <v>129850</v>
          </cell>
          <cell r="N1034">
            <v>12985</v>
          </cell>
          <cell r="O1034">
            <v>142835</v>
          </cell>
          <cell r="P1034">
            <v>0</v>
          </cell>
          <cell r="Q1034" t="str">
            <v>중국</v>
          </cell>
          <cell r="R1034" t="str">
            <v>냉동</v>
          </cell>
          <cell r="S1034" t="str">
            <v>PAC(1)</v>
          </cell>
          <cell r="T1034" t="str">
            <v/>
          </cell>
          <cell r="U1034" t="str">
            <v/>
          </cell>
          <cell r="V1034" t="str">
            <v>2019-01-09</v>
          </cell>
          <cell r="W1034" t="str">
            <v>2019-01-09 15:50:59</v>
          </cell>
          <cell r="X1034" t="str">
            <v>더바른푸드</v>
          </cell>
        </row>
        <row r="1035">
          <cell r="A1035">
            <v>1031</v>
          </cell>
          <cell r="B1035" t="str">
            <v>2019-01-11</v>
          </cell>
          <cell r="C1035" t="str">
            <v>더바른푸드</v>
          </cell>
          <cell r="D1035" t="str">
            <v>더바른푸드</v>
          </cell>
          <cell r="E1035" t="str">
            <v>일반</v>
          </cell>
          <cell r="F1035" t="str">
            <v>입고완료</v>
          </cell>
          <cell r="G1035">
            <v>313633</v>
          </cell>
          <cell r="H1035" t="str">
            <v>현대푸드 두절건새우(중 1Kg/EA)</v>
          </cell>
          <cell r="I1035" t="str">
            <v>EA</v>
          </cell>
          <cell r="J1035">
            <v>2</v>
          </cell>
          <cell r="K1035">
            <v>2</v>
          </cell>
          <cell r="L1035">
            <v>28630</v>
          </cell>
          <cell r="M1035">
            <v>57260</v>
          </cell>
          <cell r="N1035">
            <v>0</v>
          </cell>
          <cell r="O1035">
            <v>57260</v>
          </cell>
          <cell r="P1035">
            <v>0</v>
          </cell>
          <cell r="Q1035" t="str">
            <v>중국</v>
          </cell>
          <cell r="R1035" t="str">
            <v>냉장</v>
          </cell>
          <cell r="S1035" t="str">
            <v>EA(1)</v>
          </cell>
          <cell r="T1035" t="str">
            <v/>
          </cell>
          <cell r="U1035" t="str">
            <v/>
          </cell>
          <cell r="V1035" t="str">
            <v>2019-01-09</v>
          </cell>
          <cell r="W1035" t="str">
            <v>2019-01-09 15:52:56</v>
          </cell>
          <cell r="X1035" t="str">
            <v>더바른푸드</v>
          </cell>
        </row>
        <row r="1036">
          <cell r="A1036">
            <v>1032</v>
          </cell>
          <cell r="B1036" t="str">
            <v>2019-01-11</v>
          </cell>
          <cell r="C1036" t="str">
            <v>더바른푸드</v>
          </cell>
          <cell r="D1036" t="str">
            <v>더바른푸드</v>
          </cell>
          <cell r="E1036" t="str">
            <v>일반</v>
          </cell>
          <cell r="F1036" t="str">
            <v>입고완료</v>
          </cell>
          <cell r="G1036">
            <v>130549</v>
          </cell>
          <cell r="H1036" t="str">
            <v>이츠웰 흰살생선까스(60g*100입 6Kg/EA)</v>
          </cell>
          <cell r="I1036" t="str">
            <v>BOX</v>
          </cell>
          <cell r="J1036">
            <v>2</v>
          </cell>
          <cell r="K1036">
            <v>2</v>
          </cell>
          <cell r="L1036">
            <v>36910</v>
          </cell>
          <cell r="M1036">
            <v>73820</v>
          </cell>
          <cell r="N1036">
            <v>7382</v>
          </cell>
          <cell r="O1036">
            <v>81202</v>
          </cell>
          <cell r="P1036">
            <v>0</v>
          </cell>
          <cell r="Q1036" t="str">
            <v/>
          </cell>
          <cell r="R1036" t="str">
            <v>냉동</v>
          </cell>
          <cell r="S1036" t="str">
            <v>EA(1)</v>
          </cell>
          <cell r="T1036" t="str">
            <v/>
          </cell>
          <cell r="U1036" t="str">
            <v/>
          </cell>
          <cell r="V1036" t="str">
            <v>2019-01-09</v>
          </cell>
          <cell r="W1036" t="str">
            <v>2019-01-09 16:05:08</v>
          </cell>
          <cell r="X1036" t="str">
            <v>더바른푸드</v>
          </cell>
        </row>
        <row r="1037">
          <cell r="A1037">
            <v>1033</v>
          </cell>
          <cell r="B1037" t="str">
            <v>2019-01-11</v>
          </cell>
          <cell r="C1037" t="str">
            <v>더바른푸드</v>
          </cell>
          <cell r="D1037" t="str">
            <v>더바른푸드</v>
          </cell>
          <cell r="E1037" t="str">
            <v>일반</v>
          </cell>
          <cell r="F1037" t="str">
            <v>입고완료</v>
          </cell>
          <cell r="G1037">
            <v>130633</v>
          </cell>
          <cell r="H1037" t="str">
            <v>쉐프솔루션 미트볼(NEW_100±5개입 1Kg/EA)</v>
          </cell>
          <cell r="I1037" t="str">
            <v>EA</v>
          </cell>
          <cell r="J1037">
            <v>20</v>
          </cell>
          <cell r="K1037">
            <v>20</v>
          </cell>
          <cell r="L1037">
            <v>4340</v>
          </cell>
          <cell r="M1037">
            <v>86800</v>
          </cell>
          <cell r="N1037">
            <v>8680</v>
          </cell>
          <cell r="O1037">
            <v>95480</v>
          </cell>
          <cell r="P1037">
            <v>0</v>
          </cell>
          <cell r="Q1037" t="str">
            <v/>
          </cell>
          <cell r="R1037" t="str">
            <v>냉동</v>
          </cell>
          <cell r="S1037" t="str">
            <v>EA(5)</v>
          </cell>
          <cell r="T1037" t="str">
            <v/>
          </cell>
          <cell r="U1037" t="str">
            <v/>
          </cell>
          <cell r="V1037" t="str">
            <v>2019-01-09</v>
          </cell>
          <cell r="W1037" t="str">
            <v>2019-01-09 16:11:44</v>
          </cell>
          <cell r="X1037" t="str">
            <v>더바른푸드</v>
          </cell>
        </row>
        <row r="1038">
          <cell r="A1038">
            <v>1034</v>
          </cell>
          <cell r="B1038" t="str">
            <v>2019-01-11</v>
          </cell>
          <cell r="C1038" t="str">
            <v>더바른푸드</v>
          </cell>
          <cell r="D1038" t="str">
            <v>더바른푸드</v>
          </cell>
          <cell r="E1038" t="str">
            <v>일반</v>
          </cell>
          <cell r="F1038" t="str">
            <v>입고완료</v>
          </cell>
          <cell r="G1038">
            <v>123913</v>
          </cell>
          <cell r="H1038" t="str">
            <v>쉐프솔루션 타르타르드레싱(2Kg/EA)</v>
          </cell>
          <cell r="I1038" t="str">
            <v>EA</v>
          </cell>
          <cell r="J1038">
            <v>5</v>
          </cell>
          <cell r="K1038">
            <v>5</v>
          </cell>
          <cell r="L1038">
            <v>5910</v>
          </cell>
          <cell r="M1038">
            <v>29550</v>
          </cell>
          <cell r="N1038">
            <v>2955</v>
          </cell>
          <cell r="O1038">
            <v>32505</v>
          </cell>
          <cell r="P1038">
            <v>0</v>
          </cell>
          <cell r="Q1038" t="str">
            <v/>
          </cell>
          <cell r="R1038" t="str">
            <v>냉장</v>
          </cell>
          <cell r="S1038" t="str">
            <v>EA(6)</v>
          </cell>
          <cell r="T1038" t="str">
            <v/>
          </cell>
          <cell r="U1038" t="str">
            <v/>
          </cell>
          <cell r="V1038" t="str">
            <v>2019-01-09</v>
          </cell>
          <cell r="W1038" t="str">
            <v>2019-01-09 16:24:54</v>
          </cell>
          <cell r="X1038" t="str">
            <v>더바른푸드</v>
          </cell>
        </row>
        <row r="1039">
          <cell r="A1039">
            <v>1035</v>
          </cell>
          <cell r="B1039" t="str">
            <v>2019-01-11</v>
          </cell>
          <cell r="C1039" t="str">
            <v>더바른푸드</v>
          </cell>
          <cell r="D1039" t="str">
            <v>더바른푸드</v>
          </cell>
          <cell r="E1039" t="str">
            <v>일반</v>
          </cell>
          <cell r="F1039" t="str">
            <v>입고완료</v>
          </cell>
          <cell r="G1039">
            <v>228583</v>
          </cell>
          <cell r="H1039" t="str">
            <v>갈치(내장제거_50~70g/토막 KG)</v>
          </cell>
          <cell r="I1039" t="str">
            <v>KG</v>
          </cell>
          <cell r="J1039">
            <v>2</v>
          </cell>
          <cell r="K1039">
            <v>2</v>
          </cell>
          <cell r="L1039">
            <v>8360</v>
          </cell>
          <cell r="M1039">
            <v>16720</v>
          </cell>
          <cell r="N1039">
            <v>0</v>
          </cell>
          <cell r="O1039">
            <v>16720</v>
          </cell>
          <cell r="P1039">
            <v>0</v>
          </cell>
          <cell r="Q1039" t="str">
            <v>모로코</v>
          </cell>
          <cell r="R1039" t="str">
            <v>냉동</v>
          </cell>
          <cell r="S1039" t="str">
            <v>KG(1)</v>
          </cell>
          <cell r="T1039" t="str">
            <v/>
          </cell>
          <cell r="U1039" t="str">
            <v/>
          </cell>
          <cell r="V1039" t="str">
            <v>2019-01-09</v>
          </cell>
          <cell r="W1039" t="str">
            <v>2019-01-09 16:39:58</v>
          </cell>
          <cell r="X1039" t="str">
            <v>더바른푸드</v>
          </cell>
        </row>
        <row r="1040">
          <cell r="A1040">
            <v>1036</v>
          </cell>
          <cell r="B1040" t="str">
            <v>2019-01-11</v>
          </cell>
          <cell r="C1040" t="str">
            <v>더바른푸드</v>
          </cell>
          <cell r="D1040" t="str">
            <v>더바른푸드</v>
          </cell>
          <cell r="E1040" t="str">
            <v>일반</v>
          </cell>
          <cell r="F1040" t="str">
            <v>입고완료</v>
          </cell>
          <cell r="G1040">
            <v>408797</v>
          </cell>
          <cell r="H1040" t="str">
            <v>프레시웨이 깐메추리알(1Kg/PAC)</v>
          </cell>
          <cell r="I1040" t="str">
            <v>PAC</v>
          </cell>
          <cell r="J1040">
            <v>50</v>
          </cell>
          <cell r="K1040">
            <v>50</v>
          </cell>
          <cell r="L1040">
            <v>4960</v>
          </cell>
          <cell r="M1040">
            <v>248000</v>
          </cell>
          <cell r="N1040">
            <v>24800</v>
          </cell>
          <cell r="O1040">
            <v>272800</v>
          </cell>
          <cell r="P1040">
            <v>272800</v>
          </cell>
          <cell r="Q1040" t="str">
            <v>한국</v>
          </cell>
          <cell r="R1040" t="str">
            <v>냉장</v>
          </cell>
          <cell r="S1040" t="str">
            <v>PAC(6)</v>
          </cell>
          <cell r="T1040" t="str">
            <v/>
          </cell>
          <cell r="U1040" t="str">
            <v/>
          </cell>
          <cell r="V1040" t="str">
            <v>2019-01-10</v>
          </cell>
          <cell r="W1040" t="str">
            <v>2019-01-10 09:00:12</v>
          </cell>
          <cell r="X1040" t="str">
            <v>더바른푸드</v>
          </cell>
        </row>
        <row r="1041">
          <cell r="A1041">
            <v>1037</v>
          </cell>
          <cell r="B1041" t="str">
            <v>2019-01-11</v>
          </cell>
          <cell r="C1041" t="str">
            <v>더바른푸드</v>
          </cell>
          <cell r="D1041" t="str">
            <v>더바른푸드</v>
          </cell>
          <cell r="E1041" t="str">
            <v>일반</v>
          </cell>
          <cell r="F1041" t="str">
            <v>입고완료</v>
          </cell>
          <cell r="G1041">
            <v>226247</v>
          </cell>
          <cell r="H1041" t="str">
            <v>냉동표고버섯(1.5*1.5cm다이스 1Kg/EA)</v>
          </cell>
          <cell r="I1041" t="str">
            <v>EA</v>
          </cell>
          <cell r="J1041">
            <v>10</v>
          </cell>
          <cell r="K1041">
            <v>10</v>
          </cell>
          <cell r="L1041">
            <v>2720</v>
          </cell>
          <cell r="M1041">
            <v>27200</v>
          </cell>
          <cell r="N1041">
            <v>0</v>
          </cell>
          <cell r="O1041">
            <v>27200</v>
          </cell>
          <cell r="P1041">
            <v>0</v>
          </cell>
          <cell r="Q1041" t="str">
            <v>중국</v>
          </cell>
          <cell r="R1041" t="str">
            <v>냉동</v>
          </cell>
          <cell r="S1041" t="str">
            <v>EA(1)</v>
          </cell>
          <cell r="T1041" t="str">
            <v/>
          </cell>
          <cell r="U1041" t="str">
            <v/>
          </cell>
          <cell r="V1041" t="str">
            <v>2019-01-10</v>
          </cell>
          <cell r="W1041" t="str">
            <v>2019-01-10 09:00:12</v>
          </cell>
          <cell r="X1041" t="str">
            <v>더바른푸드</v>
          </cell>
        </row>
        <row r="1042">
          <cell r="A1042">
            <v>1038</v>
          </cell>
          <cell r="B1042" t="str">
            <v>2019-01-11</v>
          </cell>
          <cell r="C1042" t="str">
            <v>더바른푸드</v>
          </cell>
          <cell r="D1042" t="str">
            <v>더바른푸드</v>
          </cell>
          <cell r="E1042" t="str">
            <v>일반</v>
          </cell>
          <cell r="F1042" t="str">
            <v>입고완료</v>
          </cell>
          <cell r="G1042">
            <v>138570</v>
          </cell>
          <cell r="H1042" t="str">
            <v>면사랑 멸치육수(1.8L_보급형 1.8Kg/EA)</v>
          </cell>
          <cell r="I1042" t="str">
            <v>EA</v>
          </cell>
          <cell r="J1042">
            <v>18</v>
          </cell>
          <cell r="K1042">
            <v>18</v>
          </cell>
          <cell r="L1042">
            <v>5560</v>
          </cell>
          <cell r="M1042">
            <v>100080</v>
          </cell>
          <cell r="N1042">
            <v>10008</v>
          </cell>
          <cell r="O1042">
            <v>110088</v>
          </cell>
          <cell r="P1042">
            <v>0</v>
          </cell>
          <cell r="Q1042" t="str">
            <v/>
          </cell>
          <cell r="R1042" t="str">
            <v>실온</v>
          </cell>
          <cell r="S1042" t="str">
            <v>EA(6)</v>
          </cell>
          <cell r="T1042" t="str">
            <v/>
          </cell>
          <cell r="U1042" t="str">
            <v/>
          </cell>
          <cell r="V1042" t="str">
            <v>2019-01-10</v>
          </cell>
          <cell r="W1042" t="str">
            <v>2019-01-10 12:46:38</v>
          </cell>
          <cell r="X1042" t="str">
            <v>더바른푸드</v>
          </cell>
        </row>
        <row r="1043">
          <cell r="A1043">
            <v>1039</v>
          </cell>
          <cell r="B1043" t="str">
            <v>2019-01-11</v>
          </cell>
          <cell r="C1043" t="str">
            <v>더바른푸드</v>
          </cell>
          <cell r="D1043" t="str">
            <v>더바른푸드</v>
          </cell>
          <cell r="E1043" t="str">
            <v>일반</v>
          </cell>
          <cell r="F1043" t="str">
            <v>입고완료</v>
          </cell>
          <cell r="G1043">
            <v>247931</v>
          </cell>
          <cell r="H1043" t="str">
            <v>마당발 냉동다진마늘(1Kg/EA)</v>
          </cell>
          <cell r="I1043" t="str">
            <v>EA</v>
          </cell>
          <cell r="J1043">
            <v>40</v>
          </cell>
          <cell r="K1043">
            <v>40</v>
          </cell>
          <cell r="L1043">
            <v>2710</v>
          </cell>
          <cell r="M1043">
            <v>108400</v>
          </cell>
          <cell r="N1043">
            <v>0</v>
          </cell>
          <cell r="O1043">
            <v>108400</v>
          </cell>
          <cell r="P1043">
            <v>0</v>
          </cell>
          <cell r="Q1043" t="str">
            <v>중국</v>
          </cell>
          <cell r="R1043" t="str">
            <v>냉동</v>
          </cell>
          <cell r="S1043" t="str">
            <v>EA(10)</v>
          </cell>
          <cell r="T1043" t="str">
            <v/>
          </cell>
          <cell r="U1043" t="str">
            <v/>
          </cell>
          <cell r="V1043" t="str">
            <v>2019-01-10</v>
          </cell>
          <cell r="W1043" t="str">
            <v>2019-01-10 13:05:37</v>
          </cell>
          <cell r="X1043" t="str">
            <v>더바른푸드</v>
          </cell>
        </row>
        <row r="1044">
          <cell r="A1044">
            <v>1040</v>
          </cell>
          <cell r="B1044" t="str">
            <v>2019-01-11</v>
          </cell>
          <cell r="C1044" t="str">
            <v>더바른푸드</v>
          </cell>
          <cell r="D1044" t="str">
            <v>더바른푸드</v>
          </cell>
          <cell r="E1044" t="str">
            <v>일반</v>
          </cell>
          <cell r="F1044" t="str">
            <v>입고완료</v>
          </cell>
          <cell r="G1044">
            <v>204973</v>
          </cell>
          <cell r="H1044" t="str">
            <v>냉동대파(1Kg/PAC)</v>
          </cell>
          <cell r="I1044" t="str">
            <v>PAC</v>
          </cell>
          <cell r="J1044">
            <v>40</v>
          </cell>
          <cell r="K1044">
            <v>40</v>
          </cell>
          <cell r="L1044">
            <v>1400</v>
          </cell>
          <cell r="M1044">
            <v>56000</v>
          </cell>
          <cell r="N1044">
            <v>0</v>
          </cell>
          <cell r="O1044">
            <v>56000</v>
          </cell>
          <cell r="P1044">
            <v>0</v>
          </cell>
          <cell r="Q1044" t="str">
            <v>중국</v>
          </cell>
          <cell r="R1044" t="str">
            <v>냉동</v>
          </cell>
          <cell r="S1044" t="str">
            <v>PAC(1)</v>
          </cell>
          <cell r="T1044" t="str">
            <v/>
          </cell>
          <cell r="U1044" t="str">
            <v/>
          </cell>
          <cell r="V1044" t="str">
            <v>2019-01-10</v>
          </cell>
          <cell r="W1044" t="str">
            <v>2019-01-10 13:06:07</v>
          </cell>
          <cell r="X1044" t="str">
            <v>더바른푸드</v>
          </cell>
        </row>
        <row r="1045">
          <cell r="A1045">
            <v>1041</v>
          </cell>
          <cell r="B1045" t="str">
            <v>2019-01-11</v>
          </cell>
          <cell r="C1045" t="str">
            <v>더바른푸드</v>
          </cell>
          <cell r="D1045" t="str">
            <v>더바른푸드</v>
          </cell>
          <cell r="E1045" t="str">
            <v>일반</v>
          </cell>
          <cell r="F1045" t="str">
            <v>입고완료</v>
          </cell>
          <cell r="G1045">
            <v>227313</v>
          </cell>
          <cell r="H1045" t="str">
            <v>피자코리아 콤비네이션피자(10.5인치_8조각컷팅 440g/EA)</v>
          </cell>
          <cell r="I1045" t="str">
            <v>BOX</v>
          </cell>
          <cell r="J1045">
            <v>1</v>
          </cell>
          <cell r="K1045">
            <v>1</v>
          </cell>
          <cell r="L1045">
            <v>23400</v>
          </cell>
          <cell r="M1045">
            <v>23400</v>
          </cell>
          <cell r="N1045">
            <v>2340</v>
          </cell>
          <cell r="O1045">
            <v>25740</v>
          </cell>
          <cell r="P1045">
            <v>0</v>
          </cell>
          <cell r="Q1045" t="str">
            <v/>
          </cell>
          <cell r="R1045" t="str">
            <v>냉동</v>
          </cell>
          <cell r="S1045" t="str">
            <v>EA(5)</v>
          </cell>
          <cell r="T1045" t="str">
            <v/>
          </cell>
          <cell r="U1045" t="str">
            <v/>
          </cell>
          <cell r="V1045" t="str">
            <v>2019-01-10</v>
          </cell>
          <cell r="W1045" t="str">
            <v>2019-01-10 13:44:08</v>
          </cell>
          <cell r="X1045" t="str">
            <v>더바른푸드</v>
          </cell>
        </row>
        <row r="1046">
          <cell r="A1046">
            <v>1042</v>
          </cell>
          <cell r="B1046" t="str">
            <v>2019-01-11</v>
          </cell>
          <cell r="C1046" t="str">
            <v>더바른푸드</v>
          </cell>
          <cell r="D1046" t="str">
            <v>더바른푸드</v>
          </cell>
          <cell r="E1046" t="str">
            <v>일반</v>
          </cell>
          <cell r="F1046" t="str">
            <v>입고완료</v>
          </cell>
          <cell r="G1046">
            <v>208622</v>
          </cell>
          <cell r="H1046" t="str">
            <v>느타리버섯(상품 균상 2Kg/EA)</v>
          </cell>
          <cell r="I1046" t="str">
            <v>EA</v>
          </cell>
          <cell r="J1046">
            <v>8</v>
          </cell>
          <cell r="K1046">
            <v>8</v>
          </cell>
          <cell r="L1046">
            <v>13330</v>
          </cell>
          <cell r="M1046">
            <v>106640</v>
          </cell>
          <cell r="N1046">
            <v>0</v>
          </cell>
          <cell r="O1046">
            <v>106640</v>
          </cell>
          <cell r="P1046">
            <v>0</v>
          </cell>
          <cell r="Q1046" t="str">
            <v>한국</v>
          </cell>
          <cell r="R1046" t="str">
            <v>냉장</v>
          </cell>
          <cell r="S1046" t="str">
            <v>EA(1)</v>
          </cell>
          <cell r="T1046" t="str">
            <v/>
          </cell>
          <cell r="U1046" t="str">
            <v/>
          </cell>
          <cell r="V1046" t="str">
            <v>2019-01-10</v>
          </cell>
          <cell r="W1046" t="str">
            <v>2019-01-10 14:18:56</v>
          </cell>
          <cell r="X1046" t="str">
            <v>더바른푸드</v>
          </cell>
        </row>
        <row r="1047">
          <cell r="A1047">
            <v>1043</v>
          </cell>
          <cell r="B1047" t="str">
            <v>2019-01-11</v>
          </cell>
          <cell r="C1047" t="str">
            <v>더바른푸드</v>
          </cell>
          <cell r="D1047" t="str">
            <v>더바른푸드</v>
          </cell>
          <cell r="E1047" t="str">
            <v>일반</v>
          </cell>
          <cell r="F1047" t="str">
            <v>입고완료</v>
          </cell>
          <cell r="G1047">
            <v>310704</v>
          </cell>
          <cell r="H1047" t="str">
            <v>프레시웨이 세멸치(상품 볶음용 1Kg/EA)</v>
          </cell>
          <cell r="I1047" t="str">
            <v>EA</v>
          </cell>
          <cell r="J1047">
            <v>5</v>
          </cell>
          <cell r="K1047">
            <v>5</v>
          </cell>
          <cell r="L1047">
            <v>17840</v>
          </cell>
          <cell r="M1047">
            <v>89200</v>
          </cell>
          <cell r="N1047">
            <v>0</v>
          </cell>
          <cell r="O1047">
            <v>89200</v>
          </cell>
          <cell r="P1047">
            <v>0</v>
          </cell>
          <cell r="Q1047" t="str">
            <v>한국</v>
          </cell>
          <cell r="R1047" t="str">
            <v>냉장</v>
          </cell>
          <cell r="S1047" t="str">
            <v>EA(10)</v>
          </cell>
          <cell r="T1047" t="str">
            <v/>
          </cell>
          <cell r="U1047" t="str">
            <v/>
          </cell>
          <cell r="V1047" t="str">
            <v>2019-01-10</v>
          </cell>
          <cell r="W1047" t="str">
            <v>2019-01-10 14:31:58</v>
          </cell>
          <cell r="X1047" t="str">
            <v>더바른푸드</v>
          </cell>
        </row>
        <row r="1048">
          <cell r="A1048">
            <v>1044</v>
          </cell>
          <cell r="B1048" t="str">
            <v>2019-01-11</v>
          </cell>
          <cell r="C1048" t="str">
            <v>더바른푸드</v>
          </cell>
          <cell r="D1048" t="str">
            <v>더바른푸드</v>
          </cell>
          <cell r="E1048" t="str">
            <v>일반</v>
          </cell>
          <cell r="F1048" t="str">
            <v>입고완료</v>
          </cell>
          <cell r="G1048">
            <v>310707</v>
          </cell>
          <cell r="H1048" t="str">
            <v>프레시웨이 소멸치(상품 조림용 1Kg/EA)</v>
          </cell>
          <cell r="I1048" t="str">
            <v>EA</v>
          </cell>
          <cell r="J1048">
            <v>2</v>
          </cell>
          <cell r="K1048">
            <v>2</v>
          </cell>
          <cell r="L1048">
            <v>22230</v>
          </cell>
          <cell r="M1048">
            <v>44460</v>
          </cell>
          <cell r="N1048">
            <v>0</v>
          </cell>
          <cell r="O1048">
            <v>44460</v>
          </cell>
          <cell r="P1048">
            <v>0</v>
          </cell>
          <cell r="Q1048" t="str">
            <v>한국</v>
          </cell>
          <cell r="R1048" t="str">
            <v>냉장</v>
          </cell>
          <cell r="S1048" t="str">
            <v>EA(10)</v>
          </cell>
          <cell r="T1048" t="str">
            <v/>
          </cell>
          <cell r="U1048" t="str">
            <v/>
          </cell>
          <cell r="V1048" t="str">
            <v>2019-01-10</v>
          </cell>
          <cell r="W1048" t="str">
            <v>2019-01-10 14:32:38</v>
          </cell>
          <cell r="X1048" t="str">
            <v>더바른푸드</v>
          </cell>
        </row>
        <row r="1049">
          <cell r="A1049">
            <v>1045</v>
          </cell>
          <cell r="B1049" t="str">
            <v>2019-01-11</v>
          </cell>
          <cell r="C1049" t="str">
            <v>더바른푸드</v>
          </cell>
          <cell r="D1049" t="str">
            <v>더바른푸드</v>
          </cell>
          <cell r="E1049" t="str">
            <v>일반</v>
          </cell>
          <cell r="F1049" t="str">
            <v>입고완료</v>
          </cell>
          <cell r="G1049">
            <v>210182</v>
          </cell>
          <cell r="H1049" t="str">
            <v>냉동홍피망(다이스 1Kg/EA)</v>
          </cell>
          <cell r="I1049" t="str">
            <v>EA</v>
          </cell>
          <cell r="J1049">
            <v>10</v>
          </cell>
          <cell r="K1049">
            <v>10</v>
          </cell>
          <cell r="L1049">
            <v>2300</v>
          </cell>
          <cell r="M1049">
            <v>23000</v>
          </cell>
          <cell r="N1049">
            <v>0</v>
          </cell>
          <cell r="O1049">
            <v>23000</v>
          </cell>
          <cell r="P1049">
            <v>0</v>
          </cell>
          <cell r="Q1049" t="str">
            <v>중국</v>
          </cell>
          <cell r="R1049" t="str">
            <v>냉동</v>
          </cell>
          <cell r="S1049" t="str">
            <v>EA(1)</v>
          </cell>
          <cell r="T1049" t="str">
            <v/>
          </cell>
          <cell r="U1049" t="str">
            <v/>
          </cell>
          <cell r="V1049" t="str">
            <v>2019-01-10</v>
          </cell>
          <cell r="W1049" t="str">
            <v>2019-01-10 15:05:25</v>
          </cell>
          <cell r="X1049" t="str">
            <v>더바른푸드</v>
          </cell>
        </row>
        <row r="1050">
          <cell r="A1050">
            <v>1046</v>
          </cell>
          <cell r="B1050" t="str">
            <v>2019-01-11</v>
          </cell>
          <cell r="C1050" t="str">
            <v>더바른푸드</v>
          </cell>
          <cell r="D1050" t="str">
            <v>더바른푸드</v>
          </cell>
          <cell r="E1050" t="str">
            <v>일반</v>
          </cell>
          <cell r="F1050" t="str">
            <v>입고완료</v>
          </cell>
          <cell r="G1050">
            <v>206705</v>
          </cell>
          <cell r="H1050" t="str">
            <v>냉동청피망(1cm다이스 1Kg/PAC)</v>
          </cell>
          <cell r="I1050" t="str">
            <v>PAC</v>
          </cell>
          <cell r="J1050">
            <v>10</v>
          </cell>
          <cell r="K1050">
            <v>10</v>
          </cell>
          <cell r="L1050">
            <v>2110</v>
          </cell>
          <cell r="M1050">
            <v>21100</v>
          </cell>
          <cell r="N1050">
            <v>0</v>
          </cell>
          <cell r="O1050">
            <v>21100</v>
          </cell>
          <cell r="P1050">
            <v>0</v>
          </cell>
          <cell r="Q1050" t="str">
            <v>중국</v>
          </cell>
          <cell r="R1050" t="str">
            <v>냉동</v>
          </cell>
          <cell r="S1050" t="str">
            <v>PAC(1)</v>
          </cell>
          <cell r="T1050" t="str">
            <v/>
          </cell>
          <cell r="U1050" t="str">
            <v/>
          </cell>
          <cell r="V1050" t="str">
            <v>2019-01-10</v>
          </cell>
          <cell r="W1050" t="str">
            <v>2019-01-10 15:05:50</v>
          </cell>
          <cell r="X1050" t="str">
            <v>더바른푸드</v>
          </cell>
        </row>
        <row r="1051">
          <cell r="A1051">
            <v>1047</v>
          </cell>
          <cell r="B1051" t="str">
            <v>2019-01-11</v>
          </cell>
          <cell r="C1051" t="str">
            <v>더바른푸드</v>
          </cell>
          <cell r="D1051" t="str">
            <v>더바른푸드</v>
          </cell>
          <cell r="E1051" t="str">
            <v>일반</v>
          </cell>
          <cell r="F1051" t="str">
            <v>입고완료</v>
          </cell>
          <cell r="G1051">
            <v>193090</v>
          </cell>
          <cell r="H1051" t="str">
            <v>냉동감자(절단_3~4cm 1Kg/EA)</v>
          </cell>
          <cell r="I1051" t="str">
            <v>EA</v>
          </cell>
          <cell r="J1051">
            <v>27</v>
          </cell>
          <cell r="K1051">
            <v>27</v>
          </cell>
          <cell r="L1051">
            <v>1980</v>
          </cell>
          <cell r="M1051">
            <v>53460</v>
          </cell>
          <cell r="N1051">
            <v>5346</v>
          </cell>
          <cell r="O1051">
            <v>58806</v>
          </cell>
          <cell r="P1051">
            <v>0</v>
          </cell>
          <cell r="Q1051" t="str">
            <v>중국</v>
          </cell>
          <cell r="R1051" t="str">
            <v>냉동</v>
          </cell>
          <cell r="S1051" t="str">
            <v>EA(1)</v>
          </cell>
          <cell r="T1051" t="str">
            <v/>
          </cell>
          <cell r="U1051" t="str">
            <v/>
          </cell>
          <cell r="V1051" t="str">
            <v>2019-01-10</v>
          </cell>
          <cell r="W1051" t="str">
            <v>2019-01-10 15:06:17</v>
          </cell>
          <cell r="X1051" t="str">
            <v>더바른푸드</v>
          </cell>
        </row>
        <row r="1052">
          <cell r="A1052">
            <v>1048</v>
          </cell>
          <cell r="B1052" t="str">
            <v>2019-01-11</v>
          </cell>
          <cell r="C1052" t="str">
            <v>더바른푸드</v>
          </cell>
          <cell r="D1052" t="str">
            <v>더바른푸드</v>
          </cell>
          <cell r="E1052" t="str">
            <v>일반</v>
          </cell>
          <cell r="F1052" t="str">
            <v>입고완료</v>
          </cell>
          <cell r="G1052">
            <v>526201</v>
          </cell>
          <cell r="H1052" t="str">
            <v>마미손 고무장갑(빨간색_대L EA)</v>
          </cell>
          <cell r="I1052" t="str">
            <v>EA</v>
          </cell>
          <cell r="J1052">
            <v>20</v>
          </cell>
          <cell r="K1052">
            <v>20</v>
          </cell>
          <cell r="L1052">
            <v>1340</v>
          </cell>
          <cell r="M1052">
            <v>26800</v>
          </cell>
          <cell r="N1052">
            <v>2680</v>
          </cell>
          <cell r="O1052">
            <v>29480</v>
          </cell>
          <cell r="P1052">
            <v>0</v>
          </cell>
          <cell r="Q1052" t="str">
            <v/>
          </cell>
          <cell r="R1052" t="str">
            <v>실온</v>
          </cell>
          <cell r="S1052" t="str">
            <v>EA(100)</v>
          </cell>
          <cell r="T1052" t="str">
            <v/>
          </cell>
          <cell r="U1052" t="str">
            <v/>
          </cell>
          <cell r="V1052" t="str">
            <v>2019-01-10</v>
          </cell>
          <cell r="W1052" t="str">
            <v>2019-01-10 15:11:55</v>
          </cell>
          <cell r="X1052" t="str">
            <v>더바른푸드</v>
          </cell>
        </row>
        <row r="1053">
          <cell r="A1053">
            <v>1049</v>
          </cell>
          <cell r="B1053" t="str">
            <v>2019-01-11</v>
          </cell>
          <cell r="C1053" t="str">
            <v>더바른푸드</v>
          </cell>
          <cell r="D1053" t="str">
            <v>더바른푸드</v>
          </cell>
          <cell r="E1053" t="str">
            <v>일반</v>
          </cell>
          <cell r="F1053" t="str">
            <v>입고완료</v>
          </cell>
          <cell r="G1053">
            <v>526203</v>
          </cell>
          <cell r="H1053" t="str">
            <v>마미손 고무장갑(화이트(아이보리)_대L EA)</v>
          </cell>
          <cell r="I1053" t="str">
            <v>EA</v>
          </cell>
          <cell r="J1053">
            <v>20</v>
          </cell>
          <cell r="K1053">
            <v>20</v>
          </cell>
          <cell r="L1053">
            <v>1340</v>
          </cell>
          <cell r="M1053">
            <v>26800</v>
          </cell>
          <cell r="N1053">
            <v>2680</v>
          </cell>
          <cell r="O1053">
            <v>29480</v>
          </cell>
          <cell r="P1053">
            <v>0</v>
          </cell>
          <cell r="Q1053" t="str">
            <v/>
          </cell>
          <cell r="R1053" t="str">
            <v>실온</v>
          </cell>
          <cell r="S1053" t="str">
            <v>EA(100)</v>
          </cell>
          <cell r="T1053" t="str">
            <v/>
          </cell>
          <cell r="U1053" t="str">
            <v/>
          </cell>
          <cell r="V1053" t="str">
            <v>2019-01-10</v>
          </cell>
          <cell r="W1053" t="str">
            <v>2019-01-10 15:11:55</v>
          </cell>
          <cell r="X1053" t="str">
            <v>더바른푸드</v>
          </cell>
        </row>
        <row r="1054">
          <cell r="A1054">
            <v>1050</v>
          </cell>
          <cell r="B1054" t="str">
            <v>2019-01-11</v>
          </cell>
          <cell r="C1054" t="str">
            <v>더바른푸드</v>
          </cell>
          <cell r="D1054" t="str">
            <v>더바른푸드</v>
          </cell>
          <cell r="E1054" t="str">
            <v>일반</v>
          </cell>
          <cell r="F1054" t="str">
            <v>입고완료</v>
          </cell>
          <cell r="G1054">
            <v>512178</v>
          </cell>
          <cell r="H1054" t="str">
            <v>이츠웰 페이퍼타올(실속 핸드타올_4500매 BOX)</v>
          </cell>
          <cell r="I1054" t="str">
            <v>BOX</v>
          </cell>
          <cell r="J1054">
            <v>1</v>
          </cell>
          <cell r="K1054">
            <v>1</v>
          </cell>
          <cell r="L1054">
            <v>19720</v>
          </cell>
          <cell r="M1054">
            <v>19720</v>
          </cell>
          <cell r="N1054">
            <v>1972</v>
          </cell>
          <cell r="O1054">
            <v>21692</v>
          </cell>
          <cell r="P1054">
            <v>0</v>
          </cell>
          <cell r="Q1054" t="str">
            <v/>
          </cell>
          <cell r="R1054" t="str">
            <v>실온</v>
          </cell>
          <cell r="S1054" t="str">
            <v>BOX(1)</v>
          </cell>
          <cell r="T1054" t="str">
            <v/>
          </cell>
          <cell r="U1054" t="str">
            <v/>
          </cell>
          <cell r="V1054" t="str">
            <v>2019-01-10</v>
          </cell>
          <cell r="W1054" t="str">
            <v>2019-01-10 15:17:36</v>
          </cell>
          <cell r="X1054" t="str">
            <v>더바른푸드</v>
          </cell>
        </row>
        <row r="1055">
          <cell r="A1055">
            <v>1051</v>
          </cell>
          <cell r="B1055" t="str">
            <v>2019-01-11</v>
          </cell>
          <cell r="C1055" t="str">
            <v>더바른푸드</v>
          </cell>
          <cell r="D1055" t="str">
            <v>더바른푸드</v>
          </cell>
          <cell r="E1055" t="str">
            <v>일반</v>
          </cell>
          <cell r="F1055" t="str">
            <v>입고완료</v>
          </cell>
          <cell r="G1055">
            <v>145349</v>
          </cell>
          <cell r="H1055" t="str">
            <v>이츠웰 사골엑기스(1Kg/EA)</v>
          </cell>
          <cell r="I1055" t="str">
            <v>EA</v>
          </cell>
          <cell r="J1055">
            <v>1</v>
          </cell>
          <cell r="K1055">
            <v>1</v>
          </cell>
          <cell r="L1055">
            <v>6080</v>
          </cell>
          <cell r="M1055">
            <v>6080</v>
          </cell>
          <cell r="N1055">
            <v>608</v>
          </cell>
          <cell r="O1055">
            <v>6688</v>
          </cell>
          <cell r="P1055">
            <v>0</v>
          </cell>
          <cell r="Q1055" t="str">
            <v>호주</v>
          </cell>
          <cell r="R1055" t="str">
            <v>실온</v>
          </cell>
          <cell r="S1055" t="str">
            <v>EA(10)</v>
          </cell>
          <cell r="T1055" t="str">
            <v/>
          </cell>
          <cell r="U1055" t="str">
            <v/>
          </cell>
          <cell r="V1055" t="str">
            <v>2019-01-10</v>
          </cell>
          <cell r="W1055" t="str">
            <v>2019-01-10 15:25:07</v>
          </cell>
          <cell r="X1055" t="str">
            <v>더바른푸드</v>
          </cell>
        </row>
        <row r="1056">
          <cell r="A1056">
            <v>1052</v>
          </cell>
          <cell r="B1056" t="str">
            <v>2019-01-11</v>
          </cell>
          <cell r="C1056" t="str">
            <v>더바른푸드</v>
          </cell>
          <cell r="D1056" t="str">
            <v>더바른푸드</v>
          </cell>
          <cell r="E1056" t="str">
            <v>일반</v>
          </cell>
          <cell r="F1056" t="str">
            <v>입고완료</v>
          </cell>
          <cell r="G1056">
            <v>161090</v>
          </cell>
          <cell r="H1056" t="str">
            <v>도야지식품 순대(옛날맛_통 1Kg/EA)</v>
          </cell>
          <cell r="I1056" t="str">
            <v>EA</v>
          </cell>
          <cell r="J1056">
            <v>5</v>
          </cell>
          <cell r="K1056">
            <v>5</v>
          </cell>
          <cell r="L1056">
            <v>3750</v>
          </cell>
          <cell r="M1056">
            <v>18750</v>
          </cell>
          <cell r="N1056">
            <v>1875</v>
          </cell>
          <cell r="O1056">
            <v>20625</v>
          </cell>
          <cell r="P1056">
            <v>0</v>
          </cell>
          <cell r="Q1056" t="str">
            <v/>
          </cell>
          <cell r="R1056" t="str">
            <v>냉장</v>
          </cell>
          <cell r="S1056" t="str">
            <v>EA(15)</v>
          </cell>
          <cell r="T1056" t="str">
            <v/>
          </cell>
          <cell r="U1056" t="str">
            <v/>
          </cell>
          <cell r="V1056" t="str">
            <v>2019-01-10</v>
          </cell>
          <cell r="W1056" t="str">
            <v>2019-01-10 15:27:49</v>
          </cell>
          <cell r="X1056" t="str">
            <v>더바른푸드</v>
          </cell>
        </row>
        <row r="1057">
          <cell r="A1057">
            <v>1053</v>
          </cell>
          <cell r="B1057" t="str">
            <v>2019-01-11</v>
          </cell>
          <cell r="C1057" t="str">
            <v>더바른푸드</v>
          </cell>
          <cell r="D1057" t="str">
            <v>더바른푸드</v>
          </cell>
          <cell r="E1057" t="str">
            <v>일반</v>
          </cell>
          <cell r="F1057" t="str">
            <v>입고완료</v>
          </cell>
          <cell r="G1057">
            <v>167858</v>
          </cell>
          <cell r="H1057" t="str">
            <v>사조 참치캔(3Kg/EA)</v>
          </cell>
          <cell r="I1057" t="str">
            <v>EA</v>
          </cell>
          <cell r="J1057">
            <v>4</v>
          </cell>
          <cell r="K1057">
            <v>4</v>
          </cell>
          <cell r="L1057">
            <v>19200</v>
          </cell>
          <cell r="M1057">
            <v>76800</v>
          </cell>
          <cell r="N1057">
            <v>7680</v>
          </cell>
          <cell r="O1057">
            <v>84480</v>
          </cell>
          <cell r="P1057">
            <v>0</v>
          </cell>
          <cell r="Q1057" t="str">
            <v/>
          </cell>
          <cell r="R1057" t="str">
            <v>실온</v>
          </cell>
          <cell r="S1057" t="str">
            <v>EA(6)</v>
          </cell>
          <cell r="T1057" t="str">
            <v/>
          </cell>
          <cell r="U1057" t="str">
            <v/>
          </cell>
          <cell r="V1057" t="str">
            <v>2019-01-10</v>
          </cell>
          <cell r="W1057" t="str">
            <v>2019-01-10 16:20:04</v>
          </cell>
          <cell r="X1057" t="str">
            <v>더바른푸드</v>
          </cell>
        </row>
        <row r="1058">
          <cell r="A1058">
            <v>1054</v>
          </cell>
          <cell r="B1058" t="str">
            <v>2019-01-11</v>
          </cell>
          <cell r="C1058" t="str">
            <v>더바른푸드</v>
          </cell>
          <cell r="D1058" t="str">
            <v>더바른푸드</v>
          </cell>
          <cell r="E1058" t="str">
            <v>일반</v>
          </cell>
          <cell r="F1058" t="str">
            <v>입고완료</v>
          </cell>
          <cell r="G1058">
            <v>126129</v>
          </cell>
          <cell r="H1058" t="str">
            <v>사조대림 크라비아(후레쉬청크 1Kg/EA)</v>
          </cell>
          <cell r="I1058" t="str">
            <v>EA</v>
          </cell>
          <cell r="J1058">
            <v>18</v>
          </cell>
          <cell r="K1058">
            <v>18</v>
          </cell>
          <cell r="L1058">
            <v>6190</v>
          </cell>
          <cell r="M1058">
            <v>111420</v>
          </cell>
          <cell r="N1058">
            <v>11142</v>
          </cell>
          <cell r="O1058">
            <v>122562</v>
          </cell>
          <cell r="P1058">
            <v>0</v>
          </cell>
          <cell r="Q1058" t="str">
            <v/>
          </cell>
          <cell r="R1058" t="str">
            <v>냉동</v>
          </cell>
          <cell r="S1058" t="str">
            <v>EA(8)</v>
          </cell>
          <cell r="T1058" t="str">
            <v/>
          </cell>
          <cell r="U1058" t="str">
            <v/>
          </cell>
          <cell r="V1058" t="str">
            <v>2019-01-10</v>
          </cell>
          <cell r="W1058" t="str">
            <v>2019-01-10 16:20:04</v>
          </cell>
          <cell r="X1058" t="str">
            <v>더바른푸드</v>
          </cell>
        </row>
        <row r="1059">
          <cell r="A1059">
            <v>1055</v>
          </cell>
          <cell r="B1059" t="str">
            <v>2019-01-11</v>
          </cell>
          <cell r="C1059" t="str">
            <v>더바른푸드</v>
          </cell>
          <cell r="D1059" t="str">
            <v>더바른푸드</v>
          </cell>
          <cell r="E1059" t="str">
            <v>일반</v>
          </cell>
          <cell r="F1059" t="str">
            <v>입고완료</v>
          </cell>
          <cell r="G1059">
            <v>196981</v>
          </cell>
          <cell r="H1059" t="str">
            <v>쉐프원 깍두기(일반_숙성 10Kg/BOX)</v>
          </cell>
          <cell r="I1059" t="str">
            <v>BOX</v>
          </cell>
          <cell r="J1059">
            <v>9</v>
          </cell>
          <cell r="K1059">
            <v>9</v>
          </cell>
          <cell r="L1059">
            <v>28380</v>
          </cell>
          <cell r="M1059">
            <v>255420</v>
          </cell>
          <cell r="N1059">
            <v>0</v>
          </cell>
          <cell r="O1059">
            <v>255420</v>
          </cell>
          <cell r="P1059">
            <v>0</v>
          </cell>
          <cell r="Q1059" t="str">
            <v/>
          </cell>
          <cell r="R1059" t="str">
            <v>냉장</v>
          </cell>
          <cell r="S1059" t="str">
            <v>BOX(1)</v>
          </cell>
          <cell r="T1059" t="str">
            <v/>
          </cell>
          <cell r="U1059" t="str">
            <v/>
          </cell>
          <cell r="V1059" t="str">
            <v>2019-01-10</v>
          </cell>
          <cell r="W1059" t="str">
            <v>2019-01-10 16:20:04</v>
          </cell>
          <cell r="X1059" t="str">
            <v>더바른푸드</v>
          </cell>
        </row>
        <row r="1060">
          <cell r="A1060">
            <v>1056</v>
          </cell>
          <cell r="B1060" t="str">
            <v>2019-01-11</v>
          </cell>
          <cell r="C1060" t="str">
            <v>더바른푸드</v>
          </cell>
          <cell r="D1060" t="str">
            <v>더바른푸드</v>
          </cell>
          <cell r="E1060" t="str">
            <v>일반</v>
          </cell>
          <cell r="F1060" t="str">
            <v>입고완료</v>
          </cell>
          <cell r="G1060">
            <v>166172</v>
          </cell>
          <cell r="H1060" t="str">
            <v>하늘 해물동그랑땡(실속 85±5개입 1Kg/EA)</v>
          </cell>
          <cell r="I1060" t="str">
            <v>EA</v>
          </cell>
          <cell r="J1060">
            <v>29</v>
          </cell>
          <cell r="K1060">
            <v>29</v>
          </cell>
          <cell r="L1060">
            <v>3250</v>
          </cell>
          <cell r="M1060">
            <v>94250</v>
          </cell>
          <cell r="N1060">
            <v>9425</v>
          </cell>
          <cell r="O1060">
            <v>103675</v>
          </cell>
          <cell r="P1060">
            <v>0</v>
          </cell>
          <cell r="Q1060" t="str">
            <v/>
          </cell>
          <cell r="R1060" t="str">
            <v>냉동</v>
          </cell>
          <cell r="S1060" t="str">
            <v>EA(10)</v>
          </cell>
          <cell r="T1060" t="str">
            <v/>
          </cell>
          <cell r="U1060" t="str">
            <v/>
          </cell>
          <cell r="V1060" t="str">
            <v>2019-01-10</v>
          </cell>
          <cell r="W1060" t="str">
            <v>2019-01-10 16:20:04</v>
          </cell>
          <cell r="X1060" t="str">
            <v>더바른푸드</v>
          </cell>
        </row>
        <row r="1061">
          <cell r="A1061">
            <v>1057</v>
          </cell>
          <cell r="B1061" t="str">
            <v>2019-01-11</v>
          </cell>
          <cell r="C1061" t="str">
            <v>더바른푸드</v>
          </cell>
          <cell r="D1061" t="str">
            <v>더바른푸드</v>
          </cell>
          <cell r="E1061" t="str">
            <v>일반</v>
          </cell>
          <cell r="F1061" t="str">
            <v>입고완료</v>
          </cell>
          <cell r="G1061">
            <v>125442</v>
          </cell>
          <cell r="H1061" t="str">
            <v>토담 밀떡볶이떡(소 3.7Kg/EA)</v>
          </cell>
          <cell r="I1061" t="str">
            <v>EA</v>
          </cell>
          <cell r="J1061">
            <v>14</v>
          </cell>
          <cell r="K1061">
            <v>14</v>
          </cell>
          <cell r="L1061">
            <v>3480</v>
          </cell>
          <cell r="M1061">
            <v>48720</v>
          </cell>
          <cell r="N1061">
            <v>4872</v>
          </cell>
          <cell r="O1061">
            <v>53592</v>
          </cell>
          <cell r="P1061">
            <v>0</v>
          </cell>
          <cell r="Q1061" t="str">
            <v/>
          </cell>
          <cell r="R1061" t="str">
            <v>냉장</v>
          </cell>
          <cell r="S1061" t="str">
            <v>EA(5)</v>
          </cell>
          <cell r="T1061" t="str">
            <v/>
          </cell>
          <cell r="U1061" t="str">
            <v/>
          </cell>
          <cell r="V1061" t="str">
            <v>2019-01-10</v>
          </cell>
          <cell r="W1061" t="str">
            <v>2019-01-10 16:20:04</v>
          </cell>
          <cell r="X1061" t="str">
            <v>더바른푸드</v>
          </cell>
        </row>
        <row r="1062">
          <cell r="A1062">
            <v>1058</v>
          </cell>
          <cell r="B1062" t="str">
            <v>2019-01-11</v>
          </cell>
          <cell r="C1062" t="str">
            <v>더바른푸드</v>
          </cell>
          <cell r="D1062" t="str">
            <v>더바른푸드</v>
          </cell>
          <cell r="E1062" t="str">
            <v>일반</v>
          </cell>
          <cell r="F1062" t="str">
            <v>입고완료</v>
          </cell>
          <cell r="G1062">
            <v>260033</v>
          </cell>
          <cell r="H1062" t="str">
            <v>동성식품 구멍난쌀떡볶이떡(1Kg/EA)</v>
          </cell>
          <cell r="I1062" t="str">
            <v>EA</v>
          </cell>
          <cell r="J1062">
            <v>22</v>
          </cell>
          <cell r="K1062">
            <v>22</v>
          </cell>
          <cell r="L1062">
            <v>3270</v>
          </cell>
          <cell r="M1062">
            <v>71940</v>
          </cell>
          <cell r="N1062">
            <v>7194</v>
          </cell>
          <cell r="O1062">
            <v>79134</v>
          </cell>
          <cell r="P1062">
            <v>0</v>
          </cell>
          <cell r="Q1062" t="str">
            <v>한국</v>
          </cell>
          <cell r="R1062" t="str">
            <v>냉장</v>
          </cell>
          <cell r="S1062" t="str">
            <v>EA(10)</v>
          </cell>
          <cell r="T1062" t="str">
            <v/>
          </cell>
          <cell r="U1062" t="str">
            <v/>
          </cell>
          <cell r="V1062" t="str">
            <v>2019-01-10</v>
          </cell>
          <cell r="W1062" t="str">
            <v>2019-01-10 16:20:04</v>
          </cell>
          <cell r="X1062" t="str">
            <v>더바른푸드</v>
          </cell>
        </row>
        <row r="1063">
          <cell r="A1063">
            <v>1059</v>
          </cell>
          <cell r="B1063" t="str">
            <v>2019-01-11</v>
          </cell>
          <cell r="C1063" t="str">
            <v>더바른푸드</v>
          </cell>
          <cell r="D1063" t="str">
            <v>더바른푸드</v>
          </cell>
          <cell r="E1063" t="str">
            <v>일반</v>
          </cell>
          <cell r="F1063" t="str">
            <v>입고완료</v>
          </cell>
          <cell r="G1063">
            <v>174889</v>
          </cell>
          <cell r="H1063" t="str">
            <v>이츠웰 델리킹스모크비엔나소시지(1Kg/EA)</v>
          </cell>
          <cell r="I1063" t="str">
            <v>EA</v>
          </cell>
          <cell r="J1063">
            <v>27</v>
          </cell>
          <cell r="K1063">
            <v>27</v>
          </cell>
          <cell r="L1063">
            <v>4890</v>
          </cell>
          <cell r="M1063">
            <v>132030</v>
          </cell>
          <cell r="N1063">
            <v>13203</v>
          </cell>
          <cell r="O1063">
            <v>145233</v>
          </cell>
          <cell r="P1063">
            <v>0</v>
          </cell>
          <cell r="Q1063" t="str">
            <v/>
          </cell>
          <cell r="R1063" t="str">
            <v>냉장</v>
          </cell>
          <cell r="S1063" t="str">
            <v>EA(10)</v>
          </cell>
          <cell r="T1063" t="str">
            <v/>
          </cell>
          <cell r="U1063" t="str">
            <v/>
          </cell>
          <cell r="V1063" t="str">
            <v>2019-01-10</v>
          </cell>
          <cell r="W1063" t="str">
            <v>2019-01-10 16:20:04</v>
          </cell>
          <cell r="X1063" t="str">
            <v>더바른푸드</v>
          </cell>
        </row>
        <row r="1064">
          <cell r="A1064">
            <v>1060</v>
          </cell>
          <cell r="B1064" t="str">
            <v>2019-01-11</v>
          </cell>
          <cell r="C1064" t="str">
            <v>더바른푸드</v>
          </cell>
          <cell r="D1064" t="str">
            <v>더바른푸드</v>
          </cell>
          <cell r="E1064" t="str">
            <v>일반</v>
          </cell>
          <cell r="F1064" t="str">
            <v>입고완료</v>
          </cell>
          <cell r="G1064">
            <v>111912</v>
          </cell>
          <cell r="H1064" t="str">
            <v>이츠웰 찰당면(14Kg/EA)</v>
          </cell>
          <cell r="I1064" t="str">
            <v>BOX</v>
          </cell>
          <cell r="J1064">
            <v>1</v>
          </cell>
          <cell r="K1064">
            <v>1</v>
          </cell>
          <cell r="L1064">
            <v>34750</v>
          </cell>
          <cell r="M1064">
            <v>34750</v>
          </cell>
          <cell r="N1064">
            <v>3475</v>
          </cell>
          <cell r="O1064">
            <v>38225</v>
          </cell>
          <cell r="P1064">
            <v>0</v>
          </cell>
          <cell r="Q1064" t="str">
            <v>중국</v>
          </cell>
          <cell r="R1064" t="str">
            <v>실온</v>
          </cell>
          <cell r="S1064" t="str">
            <v>EA(1)</v>
          </cell>
          <cell r="T1064" t="str">
            <v/>
          </cell>
          <cell r="U1064" t="str">
            <v/>
          </cell>
          <cell r="V1064" t="str">
            <v>2019-01-10</v>
          </cell>
          <cell r="W1064" t="str">
            <v>2019-01-10 16:20:04</v>
          </cell>
          <cell r="X1064" t="str">
            <v>더바른푸드</v>
          </cell>
        </row>
        <row r="1065">
          <cell r="A1065">
            <v>1061</v>
          </cell>
          <cell r="B1065" t="str">
            <v>2019-01-11</v>
          </cell>
          <cell r="C1065" t="str">
            <v>더바른푸드</v>
          </cell>
          <cell r="D1065" t="str">
            <v>더바른푸드</v>
          </cell>
          <cell r="E1065" t="str">
            <v>일반</v>
          </cell>
          <cell r="F1065" t="str">
            <v>입고완료</v>
          </cell>
          <cell r="G1065">
            <v>221461</v>
          </cell>
          <cell r="H1065" t="str">
            <v>청피망(상품 10Kg/BOX)</v>
          </cell>
          <cell r="I1065" t="str">
            <v>BOX</v>
          </cell>
          <cell r="J1065">
            <v>1</v>
          </cell>
          <cell r="K1065">
            <v>1</v>
          </cell>
          <cell r="L1065">
            <v>50400</v>
          </cell>
          <cell r="M1065">
            <v>50400</v>
          </cell>
          <cell r="N1065">
            <v>0</v>
          </cell>
          <cell r="O1065">
            <v>50400</v>
          </cell>
          <cell r="P1065">
            <v>0</v>
          </cell>
          <cell r="Q1065" t="str">
            <v>한국</v>
          </cell>
          <cell r="R1065" t="str">
            <v>냉장</v>
          </cell>
          <cell r="S1065" t="str">
            <v>BOX(1)</v>
          </cell>
          <cell r="T1065" t="str">
            <v/>
          </cell>
          <cell r="U1065" t="str">
            <v/>
          </cell>
          <cell r="V1065" t="str">
            <v>2019-01-10</v>
          </cell>
          <cell r="W1065" t="str">
            <v>2019-01-10 16:20:04</v>
          </cell>
          <cell r="X1065" t="str">
            <v>더바른푸드</v>
          </cell>
        </row>
        <row r="1066">
          <cell r="A1066">
            <v>1062</v>
          </cell>
          <cell r="B1066" t="str">
            <v>2019-01-11</v>
          </cell>
          <cell r="C1066" t="str">
            <v>더바른푸드</v>
          </cell>
          <cell r="D1066" t="str">
            <v>더바른푸드</v>
          </cell>
          <cell r="E1066" t="str">
            <v>일반</v>
          </cell>
          <cell r="F1066" t="str">
            <v>입고완료</v>
          </cell>
          <cell r="G1066">
            <v>125938</v>
          </cell>
          <cell r="H1066" t="str">
            <v>주황파프리카(5Kg/BOX)</v>
          </cell>
          <cell r="I1066" t="str">
            <v>BOX</v>
          </cell>
          <cell r="J1066">
            <v>2</v>
          </cell>
          <cell r="K1066">
            <v>2</v>
          </cell>
          <cell r="L1066">
            <v>26920</v>
          </cell>
          <cell r="M1066">
            <v>53840</v>
          </cell>
          <cell r="N1066">
            <v>0</v>
          </cell>
          <cell r="O1066">
            <v>53840</v>
          </cell>
          <cell r="P1066">
            <v>0</v>
          </cell>
          <cell r="Q1066" t="str">
            <v>한국</v>
          </cell>
          <cell r="R1066" t="str">
            <v>실온</v>
          </cell>
          <cell r="S1066" t="str">
            <v>BOX(1)</v>
          </cell>
          <cell r="T1066" t="str">
            <v/>
          </cell>
          <cell r="U1066" t="str">
            <v/>
          </cell>
          <cell r="V1066" t="str">
            <v>2019-01-10</v>
          </cell>
          <cell r="W1066" t="str">
            <v>2019-01-10 16:20:04</v>
          </cell>
          <cell r="X1066" t="str">
            <v>더바른푸드</v>
          </cell>
        </row>
        <row r="1067">
          <cell r="A1067">
            <v>1063</v>
          </cell>
          <cell r="B1067" t="str">
            <v>2019-01-11</v>
          </cell>
          <cell r="C1067" t="str">
            <v>더바른푸드</v>
          </cell>
          <cell r="D1067" t="str">
            <v>더바른푸드</v>
          </cell>
          <cell r="E1067" t="str">
            <v>일반</v>
          </cell>
          <cell r="F1067" t="str">
            <v>입고완료</v>
          </cell>
          <cell r="G1067">
            <v>207922</v>
          </cell>
          <cell r="H1067" t="str">
            <v>빨강파프리카(5Kg/BOX)</v>
          </cell>
          <cell r="I1067" t="str">
            <v>BOX</v>
          </cell>
          <cell r="J1067">
            <v>2</v>
          </cell>
          <cell r="K1067">
            <v>2</v>
          </cell>
          <cell r="L1067">
            <v>25090</v>
          </cell>
          <cell r="M1067">
            <v>50180</v>
          </cell>
          <cell r="N1067">
            <v>0</v>
          </cell>
          <cell r="O1067">
            <v>50180</v>
          </cell>
          <cell r="P1067">
            <v>0</v>
          </cell>
          <cell r="Q1067" t="str">
            <v>한국</v>
          </cell>
          <cell r="R1067" t="str">
            <v>실온</v>
          </cell>
          <cell r="S1067" t="str">
            <v>BOX(1)</v>
          </cell>
          <cell r="T1067" t="str">
            <v/>
          </cell>
          <cell r="U1067" t="str">
            <v/>
          </cell>
          <cell r="V1067" t="str">
            <v>2019-01-10</v>
          </cell>
          <cell r="W1067" t="str">
            <v>2019-01-10 16:20:04</v>
          </cell>
          <cell r="X1067" t="str">
            <v>더바른푸드</v>
          </cell>
        </row>
        <row r="1068">
          <cell r="A1068">
            <v>1064</v>
          </cell>
          <cell r="B1068" t="str">
            <v>2019-01-11</v>
          </cell>
          <cell r="C1068" t="str">
            <v>더바른푸드</v>
          </cell>
          <cell r="D1068" t="str">
            <v>더바른푸드</v>
          </cell>
          <cell r="E1068" t="str">
            <v>일반</v>
          </cell>
          <cell r="F1068" t="str">
            <v>입고완료</v>
          </cell>
          <cell r="G1068">
            <v>207911</v>
          </cell>
          <cell r="H1068" t="str">
            <v>노랑파프리카(상품 5Kg/BOX)</v>
          </cell>
          <cell r="I1068" t="str">
            <v>BOX</v>
          </cell>
          <cell r="J1068">
            <v>2</v>
          </cell>
          <cell r="K1068">
            <v>2</v>
          </cell>
          <cell r="L1068">
            <v>25090</v>
          </cell>
          <cell r="M1068">
            <v>50180</v>
          </cell>
          <cell r="N1068">
            <v>0</v>
          </cell>
          <cell r="O1068">
            <v>50180</v>
          </cell>
          <cell r="P1068">
            <v>0</v>
          </cell>
          <cell r="Q1068" t="str">
            <v>한국</v>
          </cell>
          <cell r="R1068" t="str">
            <v>냉장</v>
          </cell>
          <cell r="S1068" t="str">
            <v>BOX(1)</v>
          </cell>
          <cell r="T1068" t="str">
            <v/>
          </cell>
          <cell r="U1068" t="str">
            <v/>
          </cell>
          <cell r="V1068" t="str">
            <v>2019-01-10</v>
          </cell>
          <cell r="W1068" t="str">
            <v>2019-01-10 16:20:04</v>
          </cell>
          <cell r="X1068" t="str">
            <v>더바른푸드</v>
          </cell>
        </row>
        <row r="1069">
          <cell r="A1069">
            <v>1065</v>
          </cell>
          <cell r="B1069" t="str">
            <v>2019-01-11</v>
          </cell>
          <cell r="C1069" t="str">
            <v>더바른푸드</v>
          </cell>
          <cell r="D1069" t="str">
            <v>더바른푸드</v>
          </cell>
          <cell r="E1069" t="str">
            <v>일반</v>
          </cell>
          <cell r="F1069" t="str">
            <v>입고완료</v>
          </cell>
          <cell r="G1069">
            <v>204170</v>
          </cell>
          <cell r="H1069" t="str">
            <v>건흑목이버섯(1Kg/EA)</v>
          </cell>
          <cell r="I1069" t="str">
            <v>EA</v>
          </cell>
          <cell r="J1069">
            <v>1</v>
          </cell>
          <cell r="K1069">
            <v>1</v>
          </cell>
          <cell r="L1069">
            <v>15860</v>
          </cell>
          <cell r="M1069">
            <v>15860</v>
          </cell>
          <cell r="N1069">
            <v>0</v>
          </cell>
          <cell r="O1069">
            <v>15860</v>
          </cell>
          <cell r="P1069">
            <v>0</v>
          </cell>
          <cell r="Q1069" t="str">
            <v>중국</v>
          </cell>
          <cell r="R1069" t="str">
            <v>실온</v>
          </cell>
          <cell r="S1069" t="str">
            <v>EA(10)</v>
          </cell>
          <cell r="T1069" t="str">
            <v/>
          </cell>
          <cell r="U1069" t="str">
            <v/>
          </cell>
          <cell r="V1069" t="str">
            <v>2019-01-10</v>
          </cell>
          <cell r="W1069" t="str">
            <v>2019-01-10 16:20:04</v>
          </cell>
          <cell r="X1069" t="str">
            <v>더바른푸드</v>
          </cell>
        </row>
        <row r="1070">
          <cell r="A1070">
            <v>1066</v>
          </cell>
          <cell r="B1070" t="str">
            <v>2019-01-11</v>
          </cell>
          <cell r="C1070" t="str">
            <v>더바른푸드</v>
          </cell>
          <cell r="D1070" t="str">
            <v>더바른푸드</v>
          </cell>
          <cell r="E1070" t="str">
            <v>일반</v>
          </cell>
          <cell r="F1070" t="str">
            <v>입고완료</v>
          </cell>
          <cell r="G1070">
            <v>200730</v>
          </cell>
          <cell r="H1070" t="str">
            <v>부추(상품 KG)</v>
          </cell>
          <cell r="I1070" t="str">
            <v>KG</v>
          </cell>
          <cell r="J1070">
            <v>3</v>
          </cell>
          <cell r="K1070">
            <v>3</v>
          </cell>
          <cell r="L1070">
            <v>5830</v>
          </cell>
          <cell r="M1070">
            <v>17490</v>
          </cell>
          <cell r="N1070">
            <v>0</v>
          </cell>
          <cell r="O1070">
            <v>17490</v>
          </cell>
          <cell r="P1070">
            <v>0</v>
          </cell>
          <cell r="Q1070" t="str">
            <v>한국</v>
          </cell>
          <cell r="R1070" t="str">
            <v>냉장</v>
          </cell>
          <cell r="S1070" t="str">
            <v>KG(1)</v>
          </cell>
          <cell r="T1070" t="str">
            <v/>
          </cell>
          <cell r="U1070" t="str">
            <v/>
          </cell>
          <cell r="V1070" t="str">
            <v>2019-01-10</v>
          </cell>
          <cell r="W1070" t="str">
            <v>2019-01-10 16:20:04</v>
          </cell>
          <cell r="X1070" t="str">
            <v>더바른푸드</v>
          </cell>
        </row>
        <row r="1071">
          <cell r="A1071">
            <v>1067</v>
          </cell>
          <cell r="B1071" t="str">
            <v>2019-01-11</v>
          </cell>
          <cell r="C1071" t="str">
            <v>더바른푸드</v>
          </cell>
          <cell r="D1071" t="str">
            <v>더바른푸드</v>
          </cell>
          <cell r="E1071" t="str">
            <v>일반</v>
          </cell>
          <cell r="F1071" t="str">
            <v>입고완료</v>
          </cell>
          <cell r="G1071">
            <v>127132</v>
          </cell>
          <cell r="H1071" t="str">
            <v>사조대림 사각어묵(절단_마당놀이 1Kg/EA)</v>
          </cell>
          <cell r="I1071" t="str">
            <v>EA</v>
          </cell>
          <cell r="J1071">
            <v>76</v>
          </cell>
          <cell r="K1071">
            <v>76</v>
          </cell>
          <cell r="L1071">
            <v>2820</v>
          </cell>
          <cell r="M1071">
            <v>214320</v>
          </cell>
          <cell r="N1071">
            <v>21432</v>
          </cell>
          <cell r="O1071">
            <v>235752</v>
          </cell>
          <cell r="P1071">
            <v>0</v>
          </cell>
          <cell r="Q1071" t="str">
            <v/>
          </cell>
          <cell r="R1071" t="str">
            <v>냉장</v>
          </cell>
          <cell r="S1071" t="str">
            <v>EA(10)</v>
          </cell>
          <cell r="T1071" t="str">
            <v/>
          </cell>
          <cell r="U1071" t="str">
            <v/>
          </cell>
          <cell r="V1071" t="str">
            <v>2019-01-10</v>
          </cell>
          <cell r="W1071" t="str">
            <v>2019-01-10 16:20:04</v>
          </cell>
          <cell r="X1071" t="str">
            <v>더바른푸드</v>
          </cell>
        </row>
        <row r="1072">
          <cell r="A1072">
            <v>1068</v>
          </cell>
          <cell r="B1072" t="str">
            <v>2019-01-11</v>
          </cell>
          <cell r="C1072" t="str">
            <v>더바른푸드</v>
          </cell>
          <cell r="D1072" t="str">
            <v>더바른푸드</v>
          </cell>
          <cell r="E1072" t="str">
            <v>일반</v>
          </cell>
          <cell r="F1072" t="str">
            <v>입고완료</v>
          </cell>
          <cell r="G1072">
            <v>116552</v>
          </cell>
          <cell r="H1072" t="str">
            <v>에쓰푸드 세블락소시지토핑(1Kg/EA)</v>
          </cell>
          <cell r="I1072" t="str">
            <v>EA</v>
          </cell>
          <cell r="J1072">
            <v>10</v>
          </cell>
          <cell r="K1072">
            <v>10</v>
          </cell>
          <cell r="L1072">
            <v>9520</v>
          </cell>
          <cell r="M1072">
            <v>95200</v>
          </cell>
          <cell r="N1072">
            <v>9520</v>
          </cell>
          <cell r="O1072">
            <v>104720</v>
          </cell>
          <cell r="P1072">
            <v>0</v>
          </cell>
          <cell r="Q1072" t="str">
            <v/>
          </cell>
          <cell r="R1072" t="str">
            <v>냉동</v>
          </cell>
          <cell r="S1072" t="str">
            <v>EA(10)</v>
          </cell>
          <cell r="T1072" t="str">
            <v/>
          </cell>
          <cell r="U1072" t="str">
            <v/>
          </cell>
          <cell r="V1072" t="str">
            <v>2019-01-10</v>
          </cell>
          <cell r="W1072" t="str">
            <v>2019-01-10 16:20:04</v>
          </cell>
          <cell r="X1072" t="str">
            <v>더바른푸드</v>
          </cell>
        </row>
        <row r="1073">
          <cell r="A1073">
            <v>1069</v>
          </cell>
          <cell r="B1073" t="str">
            <v>2019-01-11</v>
          </cell>
          <cell r="C1073" t="str">
            <v>더바른푸드</v>
          </cell>
          <cell r="D1073" t="str">
            <v>더바른푸드</v>
          </cell>
          <cell r="E1073" t="str">
            <v>일반</v>
          </cell>
          <cell r="F1073" t="str">
            <v>입고완료</v>
          </cell>
          <cell r="G1073">
            <v>270029</v>
          </cell>
          <cell r="H1073" t="str">
            <v>종가집 열무김치(숙성 5Kg/BOX)</v>
          </cell>
          <cell r="I1073" t="str">
            <v>BOX</v>
          </cell>
          <cell r="J1073">
            <v>8</v>
          </cell>
          <cell r="K1073">
            <v>8</v>
          </cell>
          <cell r="L1073">
            <v>16480</v>
          </cell>
          <cell r="M1073">
            <v>131840</v>
          </cell>
          <cell r="N1073">
            <v>0</v>
          </cell>
          <cell r="O1073">
            <v>131840</v>
          </cell>
          <cell r="P1073">
            <v>0</v>
          </cell>
          <cell r="Q1073" t="str">
            <v/>
          </cell>
          <cell r="R1073" t="str">
            <v>냉장</v>
          </cell>
          <cell r="S1073" t="str">
            <v>BOX(1)</v>
          </cell>
          <cell r="T1073" t="str">
            <v/>
          </cell>
          <cell r="U1073" t="str">
            <v/>
          </cell>
          <cell r="V1073" t="str">
            <v>2019-01-10</v>
          </cell>
          <cell r="W1073" t="str">
            <v>2019-01-10 16:20:04</v>
          </cell>
          <cell r="X1073" t="str">
            <v>더바른푸드</v>
          </cell>
        </row>
        <row r="1074">
          <cell r="A1074">
            <v>1070</v>
          </cell>
          <cell r="B1074" t="str">
            <v>2019-01-11</v>
          </cell>
          <cell r="C1074" t="str">
            <v>더바른푸드</v>
          </cell>
          <cell r="D1074" t="str">
            <v>더바른푸드</v>
          </cell>
          <cell r="E1074" t="str">
            <v>일반</v>
          </cell>
          <cell r="F1074" t="str">
            <v>입고완료</v>
          </cell>
          <cell r="G1074">
            <v>120210</v>
          </cell>
          <cell r="H1074" t="str">
            <v>태림에프웰 치킨텐더(1Kg/PAC)</v>
          </cell>
          <cell r="I1074" t="str">
            <v>PAC</v>
          </cell>
          <cell r="J1074">
            <v>34</v>
          </cell>
          <cell r="K1074">
            <v>34</v>
          </cell>
          <cell r="L1074">
            <v>7420</v>
          </cell>
          <cell r="M1074">
            <v>252280</v>
          </cell>
          <cell r="N1074">
            <v>25228</v>
          </cell>
          <cell r="O1074">
            <v>277508</v>
          </cell>
          <cell r="P1074">
            <v>0</v>
          </cell>
          <cell r="Q1074" t="str">
            <v>한국</v>
          </cell>
          <cell r="R1074" t="str">
            <v>냉동</v>
          </cell>
          <cell r="S1074" t="str">
            <v>PAC(10)</v>
          </cell>
          <cell r="T1074" t="str">
            <v/>
          </cell>
          <cell r="U1074" t="str">
            <v/>
          </cell>
          <cell r="V1074" t="str">
            <v>2019-01-10</v>
          </cell>
          <cell r="W1074" t="str">
            <v>2019-01-10 16:20:04</v>
          </cell>
          <cell r="X1074" t="str">
            <v>더바른푸드</v>
          </cell>
        </row>
        <row r="1075">
          <cell r="A1075">
            <v>1071</v>
          </cell>
          <cell r="B1075" t="str">
            <v>2019-01-11</v>
          </cell>
          <cell r="C1075" t="str">
            <v>더바른푸드</v>
          </cell>
          <cell r="D1075" t="str">
            <v>더바른푸드</v>
          </cell>
          <cell r="E1075" t="str">
            <v>일반</v>
          </cell>
          <cell r="F1075" t="str">
            <v>입고완료</v>
          </cell>
          <cell r="G1075">
            <v>241732</v>
          </cell>
          <cell r="H1075" t="str">
            <v>이츠웰 케이준드레싱(NEW_2017리뉴얼 2Kg/EA)</v>
          </cell>
          <cell r="I1075" t="str">
            <v>EA</v>
          </cell>
          <cell r="J1075">
            <v>10</v>
          </cell>
          <cell r="K1075">
            <v>10</v>
          </cell>
          <cell r="L1075">
            <v>6330</v>
          </cell>
          <cell r="M1075">
            <v>63300</v>
          </cell>
          <cell r="N1075">
            <v>6330</v>
          </cell>
          <cell r="O1075">
            <v>69630</v>
          </cell>
          <cell r="P1075">
            <v>0</v>
          </cell>
          <cell r="Q1075" t="str">
            <v/>
          </cell>
          <cell r="R1075" t="str">
            <v>냉장</v>
          </cell>
          <cell r="S1075" t="str">
            <v>EA(5)</v>
          </cell>
          <cell r="T1075" t="str">
            <v/>
          </cell>
          <cell r="U1075" t="str">
            <v/>
          </cell>
          <cell r="V1075" t="str">
            <v>2019-01-10</v>
          </cell>
          <cell r="W1075" t="str">
            <v>2019-01-10 16:20:04</v>
          </cell>
          <cell r="X1075" t="str">
            <v>더바른푸드</v>
          </cell>
        </row>
        <row r="1076">
          <cell r="A1076">
            <v>1072</v>
          </cell>
          <cell r="B1076" t="str">
            <v>2019-01-11</v>
          </cell>
          <cell r="C1076" t="str">
            <v>더바른푸드</v>
          </cell>
          <cell r="D1076" t="str">
            <v>더바른푸드</v>
          </cell>
          <cell r="E1076" t="str">
            <v>일반</v>
          </cell>
          <cell r="F1076" t="str">
            <v>입고완료</v>
          </cell>
          <cell r="G1076">
            <v>128099</v>
          </cell>
          <cell r="H1076" t="str">
            <v>대림선 빅스모크햄슬라이스(50장 1Kg/EA)</v>
          </cell>
          <cell r="I1076" t="str">
            <v>EA</v>
          </cell>
          <cell r="J1076">
            <v>19</v>
          </cell>
          <cell r="K1076">
            <v>19</v>
          </cell>
          <cell r="L1076">
            <v>4280</v>
          </cell>
          <cell r="M1076">
            <v>81320</v>
          </cell>
          <cell r="N1076">
            <v>8132</v>
          </cell>
          <cell r="O1076">
            <v>89452</v>
          </cell>
          <cell r="P1076">
            <v>0</v>
          </cell>
          <cell r="Q1076" t="str">
            <v>한국</v>
          </cell>
          <cell r="R1076" t="str">
            <v>냉장</v>
          </cell>
          <cell r="S1076" t="str">
            <v>EA(10)</v>
          </cell>
          <cell r="T1076" t="str">
            <v/>
          </cell>
          <cell r="U1076" t="str">
            <v/>
          </cell>
          <cell r="V1076" t="str">
            <v>2019-01-10</v>
          </cell>
          <cell r="W1076" t="str">
            <v>2019-01-10 16:20:04</v>
          </cell>
          <cell r="X1076" t="str">
            <v>더바른푸드</v>
          </cell>
        </row>
        <row r="1077">
          <cell r="A1077">
            <v>1073</v>
          </cell>
          <cell r="B1077" t="str">
            <v>2019-01-11</v>
          </cell>
          <cell r="C1077" t="str">
            <v>더바른푸드</v>
          </cell>
          <cell r="D1077" t="str">
            <v>더바른푸드</v>
          </cell>
          <cell r="E1077" t="str">
            <v>일반</v>
          </cell>
          <cell r="F1077" t="str">
            <v>입고완료</v>
          </cell>
          <cell r="G1077">
            <v>170336</v>
          </cell>
          <cell r="H1077" t="str">
            <v>이츠웰 탕수육(1Kg/EA)</v>
          </cell>
          <cell r="I1077" t="str">
            <v>EA</v>
          </cell>
          <cell r="J1077">
            <v>70</v>
          </cell>
          <cell r="K1077">
            <v>70</v>
          </cell>
          <cell r="L1077">
            <v>5210</v>
          </cell>
          <cell r="M1077">
            <v>364700</v>
          </cell>
          <cell r="N1077">
            <v>36470</v>
          </cell>
          <cell r="O1077">
            <v>401170</v>
          </cell>
          <cell r="P1077">
            <v>0</v>
          </cell>
          <cell r="Q1077" t="str">
            <v/>
          </cell>
          <cell r="R1077" t="str">
            <v>냉동</v>
          </cell>
          <cell r="S1077" t="str">
            <v>EA(10)</v>
          </cell>
          <cell r="T1077" t="str">
            <v/>
          </cell>
          <cell r="U1077" t="str">
            <v/>
          </cell>
          <cell r="V1077" t="str">
            <v>2019-01-10</v>
          </cell>
          <cell r="W1077" t="str">
            <v>2019-01-10 16:20:04</v>
          </cell>
          <cell r="X1077" t="str">
            <v>더바른푸드</v>
          </cell>
        </row>
        <row r="1078">
          <cell r="A1078">
            <v>1074</v>
          </cell>
          <cell r="B1078" t="str">
            <v>2019-01-11</v>
          </cell>
          <cell r="C1078" t="str">
            <v>더바른푸드</v>
          </cell>
          <cell r="D1078" t="str">
            <v>더바른푸드</v>
          </cell>
          <cell r="E1078" t="str">
            <v>일반</v>
          </cell>
          <cell r="F1078" t="str">
            <v>입고완료</v>
          </cell>
          <cell r="G1078">
            <v>145870</v>
          </cell>
          <cell r="H1078" t="str">
            <v>쉐프솔루션 바삭김말이(56±4개입 1.4Kg/EA)</v>
          </cell>
          <cell r="I1078" t="str">
            <v>EA</v>
          </cell>
          <cell r="J1078">
            <v>43</v>
          </cell>
          <cell r="K1078">
            <v>43</v>
          </cell>
          <cell r="L1078">
            <v>6710</v>
          </cell>
          <cell r="M1078">
            <v>288530</v>
          </cell>
          <cell r="N1078">
            <v>28853</v>
          </cell>
          <cell r="O1078">
            <v>317383</v>
          </cell>
          <cell r="P1078">
            <v>0</v>
          </cell>
          <cell r="Q1078" t="str">
            <v/>
          </cell>
          <cell r="R1078" t="str">
            <v>냉동</v>
          </cell>
          <cell r="S1078" t="str">
            <v>EA(6)</v>
          </cell>
          <cell r="T1078" t="str">
            <v/>
          </cell>
          <cell r="U1078" t="str">
            <v/>
          </cell>
          <cell r="V1078" t="str">
            <v>2019-01-10</v>
          </cell>
          <cell r="W1078" t="str">
            <v>2019-01-10 16:20:04</v>
          </cell>
          <cell r="X1078" t="str">
            <v>더바른푸드</v>
          </cell>
        </row>
        <row r="1079">
          <cell r="A1079">
            <v>1075</v>
          </cell>
          <cell r="B1079" t="str">
            <v>2019-01-11</v>
          </cell>
          <cell r="C1079" t="str">
            <v>더바른푸드</v>
          </cell>
          <cell r="D1079" t="str">
            <v>더바른푸드</v>
          </cell>
          <cell r="E1079" t="str">
            <v>일반</v>
          </cell>
          <cell r="F1079" t="str">
            <v>입고완료</v>
          </cell>
          <cell r="G1079">
            <v>201605</v>
          </cell>
          <cell r="H1079" t="str">
            <v>마늘쫑(상품 KG)</v>
          </cell>
          <cell r="I1079" t="str">
            <v>KG</v>
          </cell>
          <cell r="J1079">
            <v>28</v>
          </cell>
          <cell r="K1079">
            <v>28</v>
          </cell>
          <cell r="L1079">
            <v>4490</v>
          </cell>
          <cell r="M1079">
            <v>125720</v>
          </cell>
          <cell r="N1079">
            <v>0</v>
          </cell>
          <cell r="O1079">
            <v>125720</v>
          </cell>
          <cell r="P1079">
            <v>0</v>
          </cell>
          <cell r="Q1079" t="str">
            <v>중국</v>
          </cell>
          <cell r="R1079" t="str">
            <v>냉장</v>
          </cell>
          <cell r="S1079" t="str">
            <v>KG(1)</v>
          </cell>
          <cell r="T1079" t="str">
            <v/>
          </cell>
          <cell r="U1079" t="str">
            <v/>
          </cell>
          <cell r="V1079" t="str">
            <v>2019-01-10</v>
          </cell>
          <cell r="W1079" t="str">
            <v>2019-01-10 16:20:04</v>
          </cell>
          <cell r="X1079" t="str">
            <v>더바른푸드</v>
          </cell>
        </row>
        <row r="1080">
          <cell r="A1080">
            <v>1076</v>
          </cell>
          <cell r="B1080" t="str">
            <v>2019-01-11</v>
          </cell>
          <cell r="C1080" t="str">
            <v>더바른푸드</v>
          </cell>
          <cell r="D1080" t="str">
            <v>더바른푸드</v>
          </cell>
          <cell r="E1080" t="str">
            <v>일반</v>
          </cell>
          <cell r="F1080" t="str">
            <v>입고완료</v>
          </cell>
          <cell r="G1080">
            <v>212277</v>
          </cell>
          <cell r="H1080" t="str">
            <v>쉐프솔루션 고메함박스테이크(96g*10입 960g/EA)</v>
          </cell>
          <cell r="I1080" t="str">
            <v>EA</v>
          </cell>
          <cell r="J1080">
            <v>78</v>
          </cell>
          <cell r="K1080">
            <v>78</v>
          </cell>
          <cell r="L1080">
            <v>8160</v>
          </cell>
          <cell r="M1080">
            <v>636480</v>
          </cell>
          <cell r="N1080">
            <v>63648</v>
          </cell>
          <cell r="O1080">
            <v>700128</v>
          </cell>
          <cell r="P1080">
            <v>0</v>
          </cell>
          <cell r="Q1080" t="str">
            <v>한국</v>
          </cell>
          <cell r="R1080" t="str">
            <v>냉동</v>
          </cell>
          <cell r="S1080" t="str">
            <v>EA(6)</v>
          </cell>
          <cell r="T1080" t="str">
            <v/>
          </cell>
          <cell r="U1080" t="str">
            <v/>
          </cell>
          <cell r="V1080" t="str">
            <v>2019-01-10</v>
          </cell>
          <cell r="W1080" t="str">
            <v>2019-01-10 16:20:04</v>
          </cell>
          <cell r="X1080" t="str">
            <v>더바른푸드</v>
          </cell>
        </row>
        <row r="1081">
          <cell r="A1081">
            <v>1077</v>
          </cell>
          <cell r="B1081" t="str">
            <v>2019-01-11</v>
          </cell>
          <cell r="C1081" t="str">
            <v>더바른푸드</v>
          </cell>
          <cell r="D1081" t="str">
            <v>더바른푸드</v>
          </cell>
          <cell r="E1081" t="str">
            <v>일반</v>
          </cell>
          <cell r="F1081" t="str">
            <v>입고완료</v>
          </cell>
          <cell r="G1081">
            <v>203558</v>
          </cell>
          <cell r="H1081" t="str">
            <v>동해 닭정육(3*3cm_절단 2Kg/EA)</v>
          </cell>
          <cell r="I1081" t="str">
            <v>EA</v>
          </cell>
          <cell r="J1081">
            <v>54</v>
          </cell>
          <cell r="K1081">
            <v>54</v>
          </cell>
          <cell r="L1081">
            <v>9010</v>
          </cell>
          <cell r="M1081">
            <v>486540</v>
          </cell>
          <cell r="N1081">
            <v>0</v>
          </cell>
          <cell r="O1081">
            <v>486540</v>
          </cell>
          <cell r="P1081">
            <v>0</v>
          </cell>
          <cell r="Q1081" t="str">
            <v>브라질</v>
          </cell>
          <cell r="R1081" t="str">
            <v>냉동</v>
          </cell>
          <cell r="S1081" t="str">
            <v>EA(6)</v>
          </cell>
          <cell r="T1081" t="str">
            <v/>
          </cell>
          <cell r="U1081" t="str">
            <v/>
          </cell>
          <cell r="V1081" t="str">
            <v>2019-01-10</v>
          </cell>
          <cell r="W1081" t="str">
            <v>2019-01-10 16:20:04</v>
          </cell>
          <cell r="X1081" t="str">
            <v>더바른푸드</v>
          </cell>
        </row>
        <row r="1082">
          <cell r="A1082">
            <v>1078</v>
          </cell>
          <cell r="B1082" t="str">
            <v>2019-01-11</v>
          </cell>
          <cell r="C1082" t="str">
            <v>더바른푸드</v>
          </cell>
          <cell r="D1082" t="str">
            <v>더바른푸드</v>
          </cell>
          <cell r="E1082" t="str">
            <v>일반</v>
          </cell>
          <cell r="F1082" t="str">
            <v>입고완료</v>
          </cell>
          <cell r="G1082">
            <v>193090</v>
          </cell>
          <cell r="H1082" t="str">
            <v>냉동감자(절단_3~4cm 1Kg/EA)</v>
          </cell>
          <cell r="I1082" t="str">
            <v>EA</v>
          </cell>
          <cell r="J1082">
            <v>48</v>
          </cell>
          <cell r="K1082">
            <v>48</v>
          </cell>
          <cell r="L1082">
            <v>1980</v>
          </cell>
          <cell r="M1082">
            <v>95040</v>
          </cell>
          <cell r="N1082">
            <v>9504</v>
          </cell>
          <cell r="O1082">
            <v>104544</v>
          </cell>
          <cell r="P1082">
            <v>0</v>
          </cell>
          <cell r="Q1082" t="str">
            <v>중국</v>
          </cell>
          <cell r="R1082" t="str">
            <v>냉동</v>
          </cell>
          <cell r="S1082" t="str">
            <v>EA(1)</v>
          </cell>
          <cell r="T1082" t="str">
            <v/>
          </cell>
          <cell r="U1082" t="str">
            <v/>
          </cell>
          <cell r="V1082" t="str">
            <v>2019-01-10</v>
          </cell>
          <cell r="W1082" t="str">
            <v>2019-01-10 16:20:05</v>
          </cell>
          <cell r="X1082" t="str">
            <v>더바른푸드</v>
          </cell>
        </row>
        <row r="1083">
          <cell r="A1083">
            <v>1079</v>
          </cell>
          <cell r="B1083" t="str">
            <v>2019-01-11</v>
          </cell>
          <cell r="C1083" t="str">
            <v>더바른푸드</v>
          </cell>
          <cell r="D1083" t="str">
            <v>더바른푸드</v>
          </cell>
          <cell r="E1083" t="str">
            <v>일반</v>
          </cell>
          <cell r="F1083" t="str">
            <v>입고완료</v>
          </cell>
          <cell r="G1083">
            <v>221452</v>
          </cell>
          <cell r="H1083" t="str">
            <v>세척당근(특품 200~280g/개 10Kg/BOX)</v>
          </cell>
          <cell r="I1083" t="str">
            <v>BOX</v>
          </cell>
          <cell r="J1083">
            <v>3</v>
          </cell>
          <cell r="K1083">
            <v>3</v>
          </cell>
          <cell r="L1083">
            <v>9720</v>
          </cell>
          <cell r="M1083">
            <v>29160</v>
          </cell>
          <cell r="N1083">
            <v>0</v>
          </cell>
          <cell r="O1083">
            <v>29160</v>
          </cell>
          <cell r="P1083">
            <v>0</v>
          </cell>
          <cell r="Q1083" t="str">
            <v>중국</v>
          </cell>
          <cell r="R1083" t="str">
            <v>냉장</v>
          </cell>
          <cell r="S1083" t="str">
            <v>BOX(1)</v>
          </cell>
          <cell r="T1083" t="str">
            <v/>
          </cell>
          <cell r="U1083" t="str">
            <v/>
          </cell>
          <cell r="V1083" t="str">
            <v>2019-01-10</v>
          </cell>
          <cell r="W1083" t="str">
            <v>2019-01-10 16:20:05</v>
          </cell>
          <cell r="X1083" t="str">
            <v>더바른푸드</v>
          </cell>
        </row>
        <row r="1084">
          <cell r="A1084">
            <v>1080</v>
          </cell>
          <cell r="B1084" t="str">
            <v>2019-01-11</v>
          </cell>
          <cell r="C1084" t="str">
            <v>더바른푸드</v>
          </cell>
          <cell r="D1084" t="str">
            <v>더바른푸드</v>
          </cell>
          <cell r="E1084" t="str">
            <v>일반</v>
          </cell>
          <cell r="F1084" t="str">
            <v>입고완료</v>
          </cell>
          <cell r="G1084">
            <v>117971</v>
          </cell>
          <cell r="H1084" t="str">
            <v>해표 고추맛기름(1.8L 1.8Kg/EA)</v>
          </cell>
          <cell r="I1084" t="str">
            <v>EA</v>
          </cell>
          <cell r="J1084">
            <v>1</v>
          </cell>
          <cell r="K1084">
            <v>1</v>
          </cell>
          <cell r="L1084">
            <v>6100</v>
          </cell>
          <cell r="M1084">
            <v>6100</v>
          </cell>
          <cell r="N1084">
            <v>610</v>
          </cell>
          <cell r="O1084">
            <v>6710</v>
          </cell>
          <cell r="P1084">
            <v>0</v>
          </cell>
          <cell r="Q1084" t="str">
            <v/>
          </cell>
          <cell r="R1084" t="str">
            <v>실온</v>
          </cell>
          <cell r="S1084" t="str">
            <v>EA(8)</v>
          </cell>
          <cell r="T1084" t="str">
            <v/>
          </cell>
          <cell r="U1084" t="str">
            <v/>
          </cell>
          <cell r="V1084" t="str">
            <v>2019-01-10</v>
          </cell>
          <cell r="W1084" t="str">
            <v>2019-01-10 16:20:05</v>
          </cell>
          <cell r="X1084" t="str">
            <v>더바른푸드</v>
          </cell>
        </row>
        <row r="1085">
          <cell r="A1085">
            <v>1081</v>
          </cell>
          <cell r="B1085" t="str">
            <v>2019-01-11</v>
          </cell>
          <cell r="C1085" t="str">
            <v>더바른푸드</v>
          </cell>
          <cell r="D1085" t="str">
            <v>더바른푸드</v>
          </cell>
          <cell r="E1085" t="str">
            <v>일반</v>
          </cell>
          <cell r="F1085" t="str">
            <v>입고완료</v>
          </cell>
          <cell r="G1085">
            <v>108215</v>
          </cell>
          <cell r="H1085" t="str">
            <v>리치스 후르츠칵테일(3.065Kg/EA)</v>
          </cell>
          <cell r="I1085" t="str">
            <v>EA</v>
          </cell>
          <cell r="J1085">
            <v>7</v>
          </cell>
          <cell r="K1085">
            <v>7</v>
          </cell>
          <cell r="L1085">
            <v>7820</v>
          </cell>
          <cell r="M1085">
            <v>54740</v>
          </cell>
          <cell r="N1085">
            <v>5474</v>
          </cell>
          <cell r="O1085">
            <v>60214</v>
          </cell>
          <cell r="P1085">
            <v>0</v>
          </cell>
          <cell r="Q1085" t="str">
            <v>필리핀</v>
          </cell>
          <cell r="R1085" t="str">
            <v>실온</v>
          </cell>
          <cell r="S1085" t="str">
            <v>EA(6)</v>
          </cell>
          <cell r="T1085" t="str">
            <v/>
          </cell>
          <cell r="U1085" t="str">
            <v/>
          </cell>
          <cell r="V1085" t="str">
            <v>2019-01-10</v>
          </cell>
          <cell r="W1085" t="str">
            <v>2019-01-10 16:20:05</v>
          </cell>
          <cell r="X1085" t="str">
            <v>더바른푸드</v>
          </cell>
        </row>
        <row r="1086">
          <cell r="A1086">
            <v>1082</v>
          </cell>
          <cell r="B1086" t="str">
            <v>2019-01-11</v>
          </cell>
          <cell r="C1086" t="str">
            <v>더바른푸드</v>
          </cell>
          <cell r="D1086" t="str">
            <v>더바른푸드</v>
          </cell>
          <cell r="E1086" t="str">
            <v>일반</v>
          </cell>
          <cell r="F1086" t="str">
            <v>입고완료</v>
          </cell>
          <cell r="G1086">
            <v>177839</v>
          </cell>
          <cell r="H1086" t="str">
            <v>이츠웰 단호박샐러드(16년리뉴얼 1Kg/EA)</v>
          </cell>
          <cell r="I1086" t="str">
            <v>EA</v>
          </cell>
          <cell r="J1086">
            <v>37</v>
          </cell>
          <cell r="K1086">
            <v>37</v>
          </cell>
          <cell r="L1086">
            <v>4430</v>
          </cell>
          <cell r="M1086">
            <v>163910</v>
          </cell>
          <cell r="N1086">
            <v>16391</v>
          </cell>
          <cell r="O1086">
            <v>180301</v>
          </cell>
          <cell r="P1086">
            <v>0</v>
          </cell>
          <cell r="Q1086" t="str">
            <v/>
          </cell>
          <cell r="R1086" t="str">
            <v>냉장</v>
          </cell>
          <cell r="S1086" t="str">
            <v>EA(10)</v>
          </cell>
          <cell r="T1086" t="str">
            <v/>
          </cell>
          <cell r="U1086" t="str">
            <v/>
          </cell>
          <cell r="V1086" t="str">
            <v>2019-01-10</v>
          </cell>
          <cell r="W1086" t="str">
            <v>2019-01-10 16:20:05</v>
          </cell>
          <cell r="X1086" t="str">
            <v>더바른푸드</v>
          </cell>
        </row>
        <row r="1087">
          <cell r="A1087">
            <v>1083</v>
          </cell>
          <cell r="B1087" t="str">
            <v>2019-01-11</v>
          </cell>
          <cell r="C1087" t="str">
            <v>더바른푸드</v>
          </cell>
          <cell r="D1087" t="str">
            <v>더바른푸드</v>
          </cell>
          <cell r="E1087" t="str">
            <v>일반</v>
          </cell>
          <cell r="F1087" t="str">
            <v>입고완료</v>
          </cell>
          <cell r="G1087">
            <v>166052</v>
          </cell>
          <cell r="H1087" t="str">
            <v>라리 마카로니(500g/EA)</v>
          </cell>
          <cell r="I1087" t="str">
            <v>EA</v>
          </cell>
          <cell r="J1087">
            <v>7</v>
          </cell>
          <cell r="K1087">
            <v>7</v>
          </cell>
          <cell r="L1087">
            <v>740</v>
          </cell>
          <cell r="M1087">
            <v>5180</v>
          </cell>
          <cell r="N1087">
            <v>518</v>
          </cell>
          <cell r="O1087">
            <v>5698</v>
          </cell>
          <cell r="P1087">
            <v>0</v>
          </cell>
          <cell r="Q1087" t="str">
            <v/>
          </cell>
          <cell r="R1087" t="str">
            <v>실온</v>
          </cell>
          <cell r="S1087" t="str">
            <v>EA(20)</v>
          </cell>
          <cell r="T1087" t="str">
            <v/>
          </cell>
          <cell r="U1087" t="str">
            <v/>
          </cell>
          <cell r="V1087" t="str">
            <v>2019-01-10</v>
          </cell>
          <cell r="W1087" t="str">
            <v>2019-01-10 16:20:05</v>
          </cell>
          <cell r="X1087" t="str">
            <v>더바른푸드</v>
          </cell>
        </row>
        <row r="1088">
          <cell r="A1088">
            <v>1084</v>
          </cell>
          <cell r="B1088" t="str">
            <v>2019-01-11</v>
          </cell>
          <cell r="C1088" t="str">
            <v>더바른푸드</v>
          </cell>
          <cell r="D1088" t="str">
            <v>더바른푸드</v>
          </cell>
          <cell r="E1088" t="str">
            <v>일반</v>
          </cell>
          <cell r="F1088" t="str">
            <v>입고완료</v>
          </cell>
          <cell r="G1088">
            <v>175802</v>
          </cell>
          <cell r="H1088" t="str">
            <v>푸른식품 떡볶이양념(2.2Kg/EA)</v>
          </cell>
          <cell r="I1088" t="str">
            <v>EA</v>
          </cell>
          <cell r="J1088">
            <v>2</v>
          </cell>
          <cell r="K1088">
            <v>2</v>
          </cell>
          <cell r="L1088">
            <v>5670</v>
          </cell>
          <cell r="M1088">
            <v>11340</v>
          </cell>
          <cell r="N1088">
            <v>1134</v>
          </cell>
          <cell r="O1088">
            <v>12474</v>
          </cell>
          <cell r="P1088">
            <v>0</v>
          </cell>
          <cell r="Q1088" t="str">
            <v/>
          </cell>
          <cell r="R1088" t="str">
            <v>실온</v>
          </cell>
          <cell r="S1088" t="str">
            <v>EA(6)</v>
          </cell>
          <cell r="T1088" t="str">
            <v/>
          </cell>
          <cell r="U1088" t="str">
            <v/>
          </cell>
          <cell r="V1088" t="str">
            <v>2019-01-10</v>
          </cell>
          <cell r="W1088" t="str">
            <v>2019-01-10 16:52:59</v>
          </cell>
          <cell r="X1088" t="str">
            <v>더바른푸드</v>
          </cell>
        </row>
        <row r="1089">
          <cell r="A1089">
            <v>1085</v>
          </cell>
          <cell r="B1089" t="str">
            <v>2019-01-11</v>
          </cell>
          <cell r="C1089" t="str">
            <v>더바른푸드</v>
          </cell>
          <cell r="D1089" t="str">
            <v>더바른푸드</v>
          </cell>
          <cell r="E1089" t="str">
            <v>일반</v>
          </cell>
          <cell r="F1089" t="str">
            <v>입고완료</v>
          </cell>
          <cell r="G1089">
            <v>251973</v>
          </cell>
          <cell r="H1089" t="str">
            <v>냉동혼합채소2종(감자+당근 짜장용 1Kg/EA)</v>
          </cell>
          <cell r="I1089" t="str">
            <v>EA</v>
          </cell>
          <cell r="J1089">
            <v>20</v>
          </cell>
          <cell r="K1089">
            <v>20</v>
          </cell>
          <cell r="L1089">
            <v>2190</v>
          </cell>
          <cell r="M1089">
            <v>43800</v>
          </cell>
          <cell r="N1089">
            <v>4380</v>
          </cell>
          <cell r="O1089">
            <v>48180</v>
          </cell>
          <cell r="P1089">
            <v>0</v>
          </cell>
          <cell r="Q1089" t="str">
            <v>스페인</v>
          </cell>
          <cell r="R1089" t="str">
            <v>냉동</v>
          </cell>
          <cell r="S1089" t="str">
            <v>EA(1)</v>
          </cell>
          <cell r="T1089" t="str">
            <v/>
          </cell>
          <cell r="U1089" t="str">
            <v/>
          </cell>
          <cell r="V1089" t="str">
            <v>2019-01-10</v>
          </cell>
          <cell r="W1089" t="str">
            <v>2019-01-10 16:52:59</v>
          </cell>
          <cell r="X1089" t="str">
            <v>더바른푸드</v>
          </cell>
        </row>
        <row r="1090">
          <cell r="A1090">
            <v>1086</v>
          </cell>
          <cell r="B1090" t="str">
            <v>2019-01-11</v>
          </cell>
          <cell r="C1090" t="str">
            <v>더바른푸드</v>
          </cell>
          <cell r="D1090" t="str">
            <v>더바른푸드</v>
          </cell>
          <cell r="E1090" t="str">
            <v>일반</v>
          </cell>
          <cell r="F1090" t="str">
            <v>입고완료</v>
          </cell>
          <cell r="G1090">
            <v>101580</v>
          </cell>
          <cell r="H1090" t="str">
            <v>큰잔치 게맛살(1Kg/EA)</v>
          </cell>
          <cell r="I1090" t="str">
            <v>EA</v>
          </cell>
          <cell r="J1090">
            <v>12</v>
          </cell>
          <cell r="K1090">
            <v>12</v>
          </cell>
          <cell r="L1090">
            <v>3490</v>
          </cell>
          <cell r="M1090">
            <v>41880</v>
          </cell>
          <cell r="N1090">
            <v>4188</v>
          </cell>
          <cell r="O1090">
            <v>46068</v>
          </cell>
          <cell r="P1090">
            <v>0</v>
          </cell>
          <cell r="Q1090" t="str">
            <v/>
          </cell>
          <cell r="R1090" t="str">
            <v>냉장</v>
          </cell>
          <cell r="S1090" t="str">
            <v>EA(10)</v>
          </cell>
          <cell r="T1090" t="str">
            <v/>
          </cell>
          <cell r="U1090" t="str">
            <v/>
          </cell>
          <cell r="V1090" t="str">
            <v>2019-01-10</v>
          </cell>
          <cell r="W1090" t="str">
            <v>2019-01-10 16:52:59</v>
          </cell>
          <cell r="X1090" t="str">
            <v>더바른푸드</v>
          </cell>
        </row>
        <row r="1091">
          <cell r="A1091">
            <v>1087</v>
          </cell>
          <cell r="B1091" t="str">
            <v>2019-01-11</v>
          </cell>
          <cell r="C1091" t="str">
            <v>더바른푸드</v>
          </cell>
          <cell r="D1091" t="str">
            <v>더바른푸드</v>
          </cell>
          <cell r="E1091" t="str">
            <v>일반</v>
          </cell>
          <cell r="F1091" t="str">
            <v>입고완료</v>
          </cell>
          <cell r="G1091">
            <v>221871</v>
          </cell>
          <cell r="H1091" t="str">
            <v>냉동시금치(IQF 1Kg/EA)</v>
          </cell>
          <cell r="I1091" t="str">
            <v>EA</v>
          </cell>
          <cell r="J1091">
            <v>43</v>
          </cell>
          <cell r="K1091">
            <v>43</v>
          </cell>
          <cell r="L1091">
            <v>1680</v>
          </cell>
          <cell r="M1091">
            <v>72240</v>
          </cell>
          <cell r="N1091">
            <v>7224</v>
          </cell>
          <cell r="O1091">
            <v>79464</v>
          </cell>
          <cell r="P1091">
            <v>0</v>
          </cell>
          <cell r="Q1091" t="str">
            <v>중국</v>
          </cell>
          <cell r="R1091" t="str">
            <v>냉동</v>
          </cell>
          <cell r="S1091" t="str">
            <v>EA(1)</v>
          </cell>
          <cell r="T1091" t="str">
            <v/>
          </cell>
          <cell r="U1091" t="str">
            <v/>
          </cell>
          <cell r="V1091" t="str">
            <v>2019-01-10</v>
          </cell>
          <cell r="W1091" t="str">
            <v>2019-01-10 16:52:59</v>
          </cell>
          <cell r="X1091" t="str">
            <v>더바른푸드</v>
          </cell>
        </row>
        <row r="1092">
          <cell r="A1092">
            <v>1088</v>
          </cell>
          <cell r="B1092" t="str">
            <v>2019-01-11</v>
          </cell>
          <cell r="C1092" t="str">
            <v>더바른푸드</v>
          </cell>
          <cell r="D1092" t="str">
            <v>더바른푸드</v>
          </cell>
          <cell r="E1092" t="str">
            <v>일반</v>
          </cell>
          <cell r="F1092" t="str">
            <v>입고완료</v>
          </cell>
          <cell r="G1092">
            <v>312342</v>
          </cell>
          <cell r="H1092" t="str">
            <v>냉동굴(깐것_수율90% 1Kg/EA)</v>
          </cell>
          <cell r="I1092" t="str">
            <v>EA</v>
          </cell>
          <cell r="J1092">
            <v>10</v>
          </cell>
          <cell r="K1092">
            <v>10</v>
          </cell>
          <cell r="L1092">
            <v>11120</v>
          </cell>
          <cell r="M1092">
            <v>111200</v>
          </cell>
          <cell r="N1092">
            <v>0</v>
          </cell>
          <cell r="O1092">
            <v>111200</v>
          </cell>
          <cell r="P1092">
            <v>0</v>
          </cell>
          <cell r="Q1092" t="str">
            <v>한국</v>
          </cell>
          <cell r="R1092" t="str">
            <v>냉동</v>
          </cell>
          <cell r="S1092" t="str">
            <v>EA(10)</v>
          </cell>
          <cell r="T1092" t="str">
            <v/>
          </cell>
          <cell r="U1092" t="str">
            <v/>
          </cell>
          <cell r="V1092" t="str">
            <v>2019-01-10</v>
          </cell>
          <cell r="W1092" t="str">
            <v>2019-01-10 16:52:59</v>
          </cell>
          <cell r="X1092" t="str">
            <v>더바른푸드</v>
          </cell>
        </row>
        <row r="1093">
          <cell r="A1093">
            <v>1089</v>
          </cell>
          <cell r="B1093" t="str">
            <v>2019-01-11</v>
          </cell>
          <cell r="C1093" t="str">
            <v>더바른푸드</v>
          </cell>
          <cell r="D1093" t="str">
            <v>더바른푸드</v>
          </cell>
          <cell r="E1093" t="str">
            <v>일반</v>
          </cell>
          <cell r="F1093" t="str">
            <v>입고완료</v>
          </cell>
          <cell r="G1093">
            <v>101356</v>
          </cell>
          <cell r="H1093" t="str">
            <v>삼호 구운어묵(부들_45g/개 1Kg/EA)</v>
          </cell>
          <cell r="I1093" t="str">
            <v>EA</v>
          </cell>
          <cell r="J1093">
            <v>10</v>
          </cell>
          <cell r="K1093">
            <v>10</v>
          </cell>
          <cell r="L1093">
            <v>4540</v>
          </cell>
          <cell r="M1093">
            <v>45400</v>
          </cell>
          <cell r="N1093">
            <v>4540</v>
          </cell>
          <cell r="O1093">
            <v>49940</v>
          </cell>
          <cell r="P1093">
            <v>0</v>
          </cell>
          <cell r="Q1093" t="str">
            <v/>
          </cell>
          <cell r="R1093" t="str">
            <v>냉장</v>
          </cell>
          <cell r="S1093" t="str">
            <v>EA(8)</v>
          </cell>
          <cell r="T1093" t="str">
            <v/>
          </cell>
          <cell r="U1093" t="str">
            <v/>
          </cell>
          <cell r="V1093" t="str">
            <v>2019-01-10</v>
          </cell>
          <cell r="W1093" t="str">
            <v>2019-01-10 16:52:59</v>
          </cell>
          <cell r="X1093" t="str">
            <v>더바른푸드</v>
          </cell>
        </row>
        <row r="1094">
          <cell r="A1094">
            <v>1090</v>
          </cell>
          <cell r="B1094" t="str">
            <v>2019-01-11</v>
          </cell>
          <cell r="C1094" t="str">
            <v>더바른푸드</v>
          </cell>
          <cell r="D1094" t="str">
            <v>더바른푸드</v>
          </cell>
          <cell r="E1094" t="str">
            <v>일반</v>
          </cell>
          <cell r="F1094" t="str">
            <v>입고완료</v>
          </cell>
          <cell r="G1094">
            <v>105943</v>
          </cell>
          <cell r="H1094" t="str">
            <v>대상 재래된장(지함_재래식숙성 14Kg/EA)</v>
          </cell>
          <cell r="I1094" t="str">
            <v>EA</v>
          </cell>
          <cell r="J1094">
            <v>2</v>
          </cell>
          <cell r="K1094">
            <v>2</v>
          </cell>
          <cell r="L1094">
            <v>25020</v>
          </cell>
          <cell r="M1094">
            <v>50040</v>
          </cell>
          <cell r="N1094">
            <v>5004</v>
          </cell>
          <cell r="O1094">
            <v>55044</v>
          </cell>
          <cell r="P1094">
            <v>0</v>
          </cell>
          <cell r="Q1094" t="str">
            <v/>
          </cell>
          <cell r="R1094" t="str">
            <v>실온</v>
          </cell>
          <cell r="S1094" t="str">
            <v>EA(1)</v>
          </cell>
          <cell r="T1094" t="str">
            <v/>
          </cell>
          <cell r="U1094" t="str">
            <v/>
          </cell>
          <cell r="V1094" t="str">
            <v>2019-01-10</v>
          </cell>
          <cell r="W1094" t="str">
            <v>2019-01-10 16:54:13</v>
          </cell>
          <cell r="X1094" t="str">
            <v>더바른푸드</v>
          </cell>
        </row>
        <row r="1095">
          <cell r="A1095">
            <v>1091</v>
          </cell>
          <cell r="B1095" t="str">
            <v>2019-01-11</v>
          </cell>
          <cell r="C1095" t="str">
            <v>더바른푸드</v>
          </cell>
          <cell r="D1095" t="str">
            <v>더바른푸드</v>
          </cell>
          <cell r="E1095" t="str">
            <v>일반</v>
          </cell>
          <cell r="F1095" t="str">
            <v>입고완료</v>
          </cell>
          <cell r="G1095">
            <v>125808</v>
          </cell>
          <cell r="H1095" t="str">
            <v>순창궁 찰고추장(골드 캔_태양초 14Kg/EA)</v>
          </cell>
          <cell r="I1095" t="str">
            <v>EA</v>
          </cell>
          <cell r="J1095">
            <v>1</v>
          </cell>
          <cell r="K1095">
            <v>1</v>
          </cell>
          <cell r="L1095">
            <v>26640</v>
          </cell>
          <cell r="M1095">
            <v>26640</v>
          </cell>
          <cell r="N1095">
            <v>2664</v>
          </cell>
          <cell r="O1095">
            <v>29304</v>
          </cell>
          <cell r="P1095">
            <v>0</v>
          </cell>
          <cell r="Q1095" t="str">
            <v/>
          </cell>
          <cell r="R1095" t="str">
            <v>실온</v>
          </cell>
          <cell r="S1095" t="str">
            <v>EA(1)</v>
          </cell>
          <cell r="T1095" t="str">
            <v/>
          </cell>
          <cell r="U1095" t="str">
            <v/>
          </cell>
          <cell r="V1095" t="str">
            <v>2019-01-10</v>
          </cell>
          <cell r="W1095" t="str">
            <v>2019-01-10 16:55:50</v>
          </cell>
          <cell r="X1095" t="str">
            <v>더바른푸드</v>
          </cell>
        </row>
        <row r="1096">
          <cell r="A1096">
            <v>1092</v>
          </cell>
          <cell r="B1096" t="str">
            <v>2019-01-11</v>
          </cell>
          <cell r="C1096" t="str">
            <v>더바른푸드</v>
          </cell>
          <cell r="D1096" t="str">
            <v>더바른푸드</v>
          </cell>
          <cell r="E1096" t="str">
            <v>일반</v>
          </cell>
          <cell r="F1096" t="str">
            <v>입고완료</v>
          </cell>
          <cell r="G1096">
            <v>108215</v>
          </cell>
          <cell r="H1096" t="str">
            <v>리치스 후르츠칵테일(3.065Kg/EA)</v>
          </cell>
          <cell r="I1096" t="str">
            <v>EA</v>
          </cell>
          <cell r="J1096">
            <v>7</v>
          </cell>
          <cell r="K1096">
            <v>-7</v>
          </cell>
          <cell r="L1096">
            <v>7820</v>
          </cell>
          <cell r="M1096">
            <v>54740</v>
          </cell>
          <cell r="N1096">
            <v>5474</v>
          </cell>
          <cell r="O1096">
            <v>60214</v>
          </cell>
          <cell r="P1096">
            <v>0</v>
          </cell>
          <cell r="Q1096" t="str">
            <v>필리핀</v>
          </cell>
          <cell r="R1096" t="str">
            <v>실온</v>
          </cell>
          <cell r="S1096" t="str">
            <v>EA(6)</v>
          </cell>
          <cell r="T1096" t="str">
            <v/>
          </cell>
          <cell r="U1096" t="str">
            <v/>
          </cell>
          <cell r="V1096" t="str">
            <v>2019-01-14</v>
          </cell>
          <cell r="W1096" t="str">
            <v>2019-01-14 16:03:19</v>
          </cell>
          <cell r="X1096" t="str">
            <v>nanee0703</v>
          </cell>
        </row>
        <row r="1097">
          <cell r="A1097">
            <v>1093</v>
          </cell>
          <cell r="B1097" t="str">
            <v>2019-01-10</v>
          </cell>
          <cell r="C1097">
            <v>0</v>
          </cell>
          <cell r="D1097">
            <v>0</v>
          </cell>
          <cell r="E1097">
            <v>0</v>
          </cell>
          <cell r="F1097">
            <v>0</v>
          </cell>
          <cell r="G1097">
            <v>0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</row>
        <row r="1098">
          <cell r="A1098">
            <v>1094</v>
          </cell>
          <cell r="B1098" t="str">
            <v>2019-01-10</v>
          </cell>
          <cell r="C1098" t="str">
            <v>더바른푸드</v>
          </cell>
          <cell r="D1098" t="str">
            <v>더바른푸드</v>
          </cell>
          <cell r="E1098" t="str">
            <v>일반</v>
          </cell>
          <cell r="F1098" t="str">
            <v>입고완료</v>
          </cell>
          <cell r="G1098">
            <v>139406</v>
          </cell>
          <cell r="H1098" t="str">
            <v>빠니니 치즈케익(사각_25g*40입 1Kg/EA)</v>
          </cell>
          <cell r="I1098" t="str">
            <v>EA</v>
          </cell>
          <cell r="J1098">
            <v>4</v>
          </cell>
          <cell r="K1098">
            <v>4</v>
          </cell>
          <cell r="L1098">
            <v>16250</v>
          </cell>
          <cell r="M1098">
            <v>65000</v>
          </cell>
          <cell r="N1098">
            <v>6500</v>
          </cell>
          <cell r="O1098">
            <v>71500</v>
          </cell>
          <cell r="P1098">
            <v>0</v>
          </cell>
          <cell r="Q1098" t="str">
            <v/>
          </cell>
          <cell r="R1098" t="str">
            <v>냉동</v>
          </cell>
          <cell r="S1098" t="str">
            <v>EA(1)</v>
          </cell>
          <cell r="T1098" t="str">
            <v/>
          </cell>
          <cell r="U1098" t="str">
            <v/>
          </cell>
          <cell r="V1098" t="str">
            <v>2019-01-08</v>
          </cell>
          <cell r="W1098" t="str">
            <v>2019-01-08 13:38:19</v>
          </cell>
          <cell r="X1098" t="str">
            <v>더바른푸드</v>
          </cell>
        </row>
        <row r="1099">
          <cell r="A1099">
            <v>1095</v>
          </cell>
          <cell r="B1099" t="str">
            <v>2019-01-10</v>
          </cell>
          <cell r="C1099" t="str">
            <v>더바른푸드</v>
          </cell>
          <cell r="D1099" t="str">
            <v>더바른푸드</v>
          </cell>
          <cell r="E1099" t="str">
            <v>일반</v>
          </cell>
          <cell r="F1099" t="str">
            <v>입고완료</v>
          </cell>
          <cell r="G1099">
            <v>173374</v>
          </cell>
          <cell r="H1099" t="str">
            <v>쉐프솔루션 진짜통등심돈까스(130g*20입 2.6Kg/EA)</v>
          </cell>
          <cell r="I1099" t="str">
            <v>EA</v>
          </cell>
          <cell r="J1099">
            <v>40</v>
          </cell>
          <cell r="K1099">
            <v>40</v>
          </cell>
          <cell r="L1099">
            <v>20600</v>
          </cell>
          <cell r="M1099">
            <v>824000</v>
          </cell>
          <cell r="N1099">
            <v>82400</v>
          </cell>
          <cell r="O1099">
            <v>906400</v>
          </cell>
          <cell r="P1099">
            <v>0</v>
          </cell>
          <cell r="Q1099" t="str">
            <v>한국</v>
          </cell>
          <cell r="R1099" t="str">
            <v>냉동</v>
          </cell>
          <cell r="S1099" t="str">
            <v>EA(4)</v>
          </cell>
          <cell r="T1099" t="str">
            <v/>
          </cell>
          <cell r="U1099" t="str">
            <v/>
          </cell>
          <cell r="V1099" t="str">
            <v>2019-01-08</v>
          </cell>
          <cell r="W1099" t="str">
            <v>2019-01-08 16:02:30</v>
          </cell>
          <cell r="X1099" t="str">
            <v>더바른푸드</v>
          </cell>
        </row>
        <row r="1100">
          <cell r="A1100">
            <v>1096</v>
          </cell>
          <cell r="B1100" t="str">
            <v>2019-01-10</v>
          </cell>
          <cell r="C1100" t="str">
            <v>더바른푸드</v>
          </cell>
          <cell r="D1100" t="str">
            <v>더바른푸드</v>
          </cell>
          <cell r="E1100" t="str">
            <v>일반</v>
          </cell>
          <cell r="F1100" t="str">
            <v>입고완료</v>
          </cell>
          <cell r="G1100">
            <v>167858</v>
          </cell>
          <cell r="H1100" t="str">
            <v>사조 참치캔(3Kg/EA)</v>
          </cell>
          <cell r="I1100" t="str">
            <v>EA</v>
          </cell>
          <cell r="J1100">
            <v>30</v>
          </cell>
          <cell r="K1100">
            <v>30</v>
          </cell>
          <cell r="L1100">
            <v>19200</v>
          </cell>
          <cell r="M1100">
            <v>576000</v>
          </cell>
          <cell r="N1100">
            <v>57600</v>
          </cell>
          <cell r="O1100">
            <v>633600</v>
          </cell>
          <cell r="P1100">
            <v>0</v>
          </cell>
          <cell r="Q1100" t="str">
            <v/>
          </cell>
          <cell r="R1100" t="str">
            <v>실온</v>
          </cell>
          <cell r="S1100" t="str">
            <v>EA(6)</v>
          </cell>
          <cell r="T1100" t="str">
            <v/>
          </cell>
          <cell r="U1100" t="str">
            <v/>
          </cell>
          <cell r="V1100" t="str">
            <v>2019-01-08</v>
          </cell>
          <cell r="W1100" t="str">
            <v>2019-01-08 16:13:12</v>
          </cell>
          <cell r="X1100" t="str">
            <v>더바른푸드</v>
          </cell>
        </row>
        <row r="1101">
          <cell r="A1101">
            <v>1097</v>
          </cell>
          <cell r="B1101" t="str">
            <v>2019-01-10</v>
          </cell>
          <cell r="C1101" t="str">
            <v>더바른푸드</v>
          </cell>
          <cell r="D1101" t="str">
            <v>더바른푸드</v>
          </cell>
          <cell r="E1101" t="str">
            <v>일반</v>
          </cell>
          <cell r="F1101" t="str">
            <v>입고완료</v>
          </cell>
          <cell r="G1101">
            <v>212132</v>
          </cell>
          <cell r="H1101" t="str">
            <v>냉동고구마(맛탕용 1Kg/EA)</v>
          </cell>
          <cell r="I1101" t="str">
            <v>EA</v>
          </cell>
          <cell r="J1101">
            <v>15</v>
          </cell>
          <cell r="K1101">
            <v>15</v>
          </cell>
          <cell r="L1101">
            <v>2750</v>
          </cell>
          <cell r="M1101">
            <v>41250</v>
          </cell>
          <cell r="N1101">
            <v>4125</v>
          </cell>
          <cell r="O1101">
            <v>45375</v>
          </cell>
          <cell r="P1101">
            <v>0</v>
          </cell>
          <cell r="Q1101" t="str">
            <v/>
          </cell>
          <cell r="R1101" t="str">
            <v>냉동</v>
          </cell>
          <cell r="S1101" t="str">
            <v>EA(1)</v>
          </cell>
          <cell r="T1101" t="str">
            <v/>
          </cell>
          <cell r="U1101" t="str">
            <v/>
          </cell>
          <cell r="V1101" t="str">
            <v>2019-01-08</v>
          </cell>
          <cell r="W1101" t="str">
            <v>2019-01-08 16:34:55</v>
          </cell>
          <cell r="X1101" t="str">
            <v>더바른푸드</v>
          </cell>
        </row>
        <row r="1102">
          <cell r="A1102">
            <v>1098</v>
          </cell>
          <cell r="B1102" t="str">
            <v>2019-01-10</v>
          </cell>
          <cell r="C1102" t="str">
            <v>더바른푸드</v>
          </cell>
          <cell r="D1102" t="str">
            <v>더바른푸드</v>
          </cell>
          <cell r="E1102" t="str">
            <v>일반</v>
          </cell>
          <cell r="F1102" t="str">
            <v>입고완료</v>
          </cell>
          <cell r="G1102">
            <v>172176</v>
          </cell>
          <cell r="H1102" t="str">
            <v>이츠웰 돈까스소스(PET 2Kg/EA)</v>
          </cell>
          <cell r="I1102" t="str">
            <v>EA</v>
          </cell>
          <cell r="J1102">
            <v>25</v>
          </cell>
          <cell r="K1102">
            <v>25</v>
          </cell>
          <cell r="L1102">
            <v>4910</v>
          </cell>
          <cell r="M1102">
            <v>122750</v>
          </cell>
          <cell r="N1102">
            <v>12275</v>
          </cell>
          <cell r="O1102">
            <v>135025</v>
          </cell>
          <cell r="P1102">
            <v>0</v>
          </cell>
          <cell r="Q1102" t="str">
            <v/>
          </cell>
          <cell r="R1102" t="str">
            <v>실온</v>
          </cell>
          <cell r="S1102" t="str">
            <v>EA(6)</v>
          </cell>
          <cell r="T1102" t="str">
            <v/>
          </cell>
          <cell r="U1102" t="str">
            <v/>
          </cell>
          <cell r="V1102" t="str">
            <v>2019-01-09</v>
          </cell>
          <cell r="W1102" t="str">
            <v>2019-01-09 12:24:21</v>
          </cell>
          <cell r="X1102" t="str">
            <v>더바른푸드</v>
          </cell>
        </row>
        <row r="1103">
          <cell r="A1103">
            <v>1099</v>
          </cell>
          <cell r="B1103" t="str">
            <v>2019-01-10</v>
          </cell>
          <cell r="C1103" t="str">
            <v>더바른푸드</v>
          </cell>
          <cell r="D1103" t="str">
            <v>더바른푸드</v>
          </cell>
          <cell r="E1103" t="str">
            <v>일반</v>
          </cell>
          <cell r="F1103" t="str">
            <v>입고완료</v>
          </cell>
          <cell r="G1103">
            <v>212346</v>
          </cell>
          <cell r="H1103" t="str">
            <v>냉동완두콩(1Kg/EA)</v>
          </cell>
          <cell r="I1103" t="str">
            <v>EA</v>
          </cell>
          <cell r="J1103">
            <v>5</v>
          </cell>
          <cell r="K1103">
            <v>5</v>
          </cell>
          <cell r="L1103">
            <v>2600</v>
          </cell>
          <cell r="M1103">
            <v>13000</v>
          </cell>
          <cell r="N1103">
            <v>1300</v>
          </cell>
          <cell r="O1103">
            <v>14300</v>
          </cell>
          <cell r="P1103">
            <v>0</v>
          </cell>
          <cell r="Q1103" t="str">
            <v>중국</v>
          </cell>
          <cell r="R1103" t="str">
            <v>냉동</v>
          </cell>
          <cell r="S1103" t="str">
            <v>EA(1)</v>
          </cell>
          <cell r="T1103" t="str">
            <v/>
          </cell>
          <cell r="U1103" t="str">
            <v/>
          </cell>
          <cell r="V1103" t="str">
            <v>2019-01-09</v>
          </cell>
          <cell r="W1103" t="str">
            <v>2019-01-09 14:27:07</v>
          </cell>
          <cell r="X1103" t="str">
            <v>더바른푸드</v>
          </cell>
        </row>
        <row r="1104">
          <cell r="A1104">
            <v>1100</v>
          </cell>
          <cell r="B1104" t="str">
            <v>2019-01-10</v>
          </cell>
          <cell r="C1104" t="str">
            <v>더바른푸드</v>
          </cell>
          <cell r="D1104" t="str">
            <v>더바른푸드</v>
          </cell>
          <cell r="E1104" t="str">
            <v>일반</v>
          </cell>
          <cell r="F1104" t="str">
            <v>입고완료</v>
          </cell>
          <cell r="G1104">
            <v>122935</v>
          </cell>
          <cell r="H1104" t="str">
            <v>리치스 스위트콘(2.95Kg/EA)</v>
          </cell>
          <cell r="I1104" t="str">
            <v>EA</v>
          </cell>
          <cell r="J1104">
            <v>5</v>
          </cell>
          <cell r="K1104">
            <v>5</v>
          </cell>
          <cell r="L1104">
            <v>2860</v>
          </cell>
          <cell r="M1104">
            <v>14300</v>
          </cell>
          <cell r="N1104">
            <v>1430</v>
          </cell>
          <cell r="O1104">
            <v>15730</v>
          </cell>
          <cell r="P1104">
            <v>0</v>
          </cell>
          <cell r="Q1104" t="str">
            <v>태국</v>
          </cell>
          <cell r="R1104" t="str">
            <v>실온</v>
          </cell>
          <cell r="S1104" t="str">
            <v>EA(6)</v>
          </cell>
          <cell r="T1104" t="str">
            <v/>
          </cell>
          <cell r="U1104" t="str">
            <v/>
          </cell>
          <cell r="V1104" t="str">
            <v>2019-01-09</v>
          </cell>
          <cell r="W1104" t="str">
            <v>2019-01-09 14:28:27</v>
          </cell>
          <cell r="X1104" t="str">
            <v>더바른푸드</v>
          </cell>
        </row>
        <row r="1105">
          <cell r="A1105">
            <v>1101</v>
          </cell>
          <cell r="B1105" t="str">
            <v>2019-01-10</v>
          </cell>
          <cell r="C1105" t="str">
            <v>더바른푸드</v>
          </cell>
          <cell r="D1105" t="str">
            <v>더바른푸드</v>
          </cell>
          <cell r="E1105" t="str">
            <v>일반</v>
          </cell>
          <cell r="F1105" t="str">
            <v>입고완료</v>
          </cell>
          <cell r="G1105">
            <v>135871</v>
          </cell>
          <cell r="H1105" t="str">
            <v>이츠웰 대두유(18L 16.506Kg/EA)</v>
          </cell>
          <cell r="I1105" t="str">
            <v>EA</v>
          </cell>
          <cell r="J1105">
            <v>3</v>
          </cell>
          <cell r="K1105">
            <v>3</v>
          </cell>
          <cell r="L1105">
            <v>28710</v>
          </cell>
          <cell r="M1105">
            <v>86130</v>
          </cell>
          <cell r="N1105">
            <v>8613</v>
          </cell>
          <cell r="O1105">
            <v>94743</v>
          </cell>
          <cell r="P1105">
            <v>0</v>
          </cell>
          <cell r="Q1105" t="str">
            <v/>
          </cell>
          <cell r="R1105" t="str">
            <v>실온</v>
          </cell>
          <cell r="S1105" t="str">
            <v>EA(1)</v>
          </cell>
          <cell r="T1105" t="str">
            <v/>
          </cell>
          <cell r="U1105" t="str">
            <v/>
          </cell>
          <cell r="V1105" t="str">
            <v>2019-01-09</v>
          </cell>
          <cell r="W1105" t="str">
            <v>2019-01-09 14:47:56</v>
          </cell>
          <cell r="X1105" t="str">
            <v>더바른푸드</v>
          </cell>
        </row>
        <row r="1106">
          <cell r="A1106">
            <v>1102</v>
          </cell>
          <cell r="B1106" t="str">
            <v>2019-01-10</v>
          </cell>
          <cell r="C1106" t="str">
            <v>더바른푸드</v>
          </cell>
          <cell r="D1106" t="str">
            <v>더바른푸드</v>
          </cell>
          <cell r="E1106" t="str">
            <v>일반</v>
          </cell>
          <cell r="F1106" t="str">
            <v>입고완료</v>
          </cell>
          <cell r="G1106">
            <v>138570</v>
          </cell>
          <cell r="H1106" t="str">
            <v>면사랑 멸치육수(1.8L_보급형 1.8Kg/EA)</v>
          </cell>
          <cell r="I1106" t="str">
            <v>EA</v>
          </cell>
          <cell r="J1106">
            <v>6</v>
          </cell>
          <cell r="K1106">
            <v>6</v>
          </cell>
          <cell r="L1106">
            <v>5560</v>
          </cell>
          <cell r="M1106">
            <v>33360</v>
          </cell>
          <cell r="N1106">
            <v>3336</v>
          </cell>
          <cell r="O1106">
            <v>36696</v>
          </cell>
          <cell r="P1106">
            <v>0</v>
          </cell>
          <cell r="Q1106" t="str">
            <v/>
          </cell>
          <cell r="R1106" t="str">
            <v>실온</v>
          </cell>
          <cell r="S1106" t="str">
            <v>EA(6)</v>
          </cell>
          <cell r="T1106" t="str">
            <v/>
          </cell>
          <cell r="U1106" t="str">
            <v/>
          </cell>
          <cell r="V1106" t="str">
            <v>2019-01-09</v>
          </cell>
          <cell r="W1106" t="str">
            <v>2019-01-09 14:54:01</v>
          </cell>
          <cell r="X1106" t="str">
            <v>더바른푸드</v>
          </cell>
        </row>
        <row r="1107">
          <cell r="A1107">
            <v>1103</v>
          </cell>
          <cell r="B1107" t="str">
            <v>2019-01-10</v>
          </cell>
          <cell r="C1107" t="str">
            <v>더바른푸드</v>
          </cell>
          <cell r="D1107" t="str">
            <v>더바른푸드</v>
          </cell>
          <cell r="E1107" t="str">
            <v>일반</v>
          </cell>
          <cell r="F1107" t="str">
            <v>입고완료</v>
          </cell>
          <cell r="G1107">
            <v>190732</v>
          </cell>
          <cell r="H1107" t="str">
            <v>이츠웰 볶음참깨(1Kg/EA)</v>
          </cell>
          <cell r="I1107" t="str">
            <v>EA</v>
          </cell>
          <cell r="J1107">
            <v>10</v>
          </cell>
          <cell r="K1107">
            <v>10</v>
          </cell>
          <cell r="L1107">
            <v>6850</v>
          </cell>
          <cell r="M1107">
            <v>68500</v>
          </cell>
          <cell r="N1107">
            <v>6850</v>
          </cell>
          <cell r="O1107">
            <v>75350</v>
          </cell>
          <cell r="P1107">
            <v>0</v>
          </cell>
          <cell r="Q1107" t="str">
            <v/>
          </cell>
          <cell r="R1107" t="str">
            <v>실온</v>
          </cell>
          <cell r="S1107" t="str">
            <v>EA(10)</v>
          </cell>
          <cell r="T1107" t="str">
            <v/>
          </cell>
          <cell r="U1107" t="str">
            <v/>
          </cell>
          <cell r="V1107" t="str">
            <v>2019-01-09</v>
          </cell>
          <cell r="W1107" t="str">
            <v>2019-01-09 14:55:25</v>
          </cell>
          <cell r="X1107" t="str">
            <v>더바른푸드</v>
          </cell>
        </row>
        <row r="1108">
          <cell r="A1108">
            <v>1104</v>
          </cell>
          <cell r="B1108" t="str">
            <v>2019-01-10</v>
          </cell>
          <cell r="C1108" t="str">
            <v>더바른푸드</v>
          </cell>
          <cell r="D1108" t="str">
            <v>더바른푸드</v>
          </cell>
          <cell r="E1108" t="str">
            <v>일반</v>
          </cell>
          <cell r="F1108" t="str">
            <v>입고완료</v>
          </cell>
          <cell r="G1108">
            <v>208502</v>
          </cell>
          <cell r="H1108" t="str">
            <v>세척당근(3L 10Kg/EA)</v>
          </cell>
          <cell r="I1108" t="str">
            <v>EA</v>
          </cell>
          <cell r="J1108">
            <v>3</v>
          </cell>
          <cell r="K1108">
            <v>3</v>
          </cell>
          <cell r="L1108">
            <v>11980</v>
          </cell>
          <cell r="M1108">
            <v>35940</v>
          </cell>
          <cell r="N1108">
            <v>0</v>
          </cell>
          <cell r="O1108">
            <v>35940</v>
          </cell>
          <cell r="P1108">
            <v>0</v>
          </cell>
          <cell r="Q1108" t="str">
            <v>중국</v>
          </cell>
          <cell r="R1108" t="str">
            <v>실온</v>
          </cell>
          <cell r="S1108" t="str">
            <v>EA(1)</v>
          </cell>
          <cell r="T1108" t="str">
            <v/>
          </cell>
          <cell r="U1108" t="str">
            <v/>
          </cell>
          <cell r="V1108" t="str">
            <v>2019-01-09</v>
          </cell>
          <cell r="W1108" t="str">
            <v>2019-01-09 15:07:39</v>
          </cell>
          <cell r="X1108" t="str">
            <v>더바른푸드</v>
          </cell>
        </row>
        <row r="1109">
          <cell r="A1109">
            <v>1105</v>
          </cell>
          <cell r="B1109" t="str">
            <v>2019-01-10</v>
          </cell>
          <cell r="C1109" t="str">
            <v>더바른푸드</v>
          </cell>
          <cell r="D1109" t="str">
            <v>더바른푸드</v>
          </cell>
          <cell r="E1109" t="str">
            <v>일반</v>
          </cell>
          <cell r="F1109" t="str">
            <v>입고완료</v>
          </cell>
          <cell r="G1109">
            <v>197123</v>
          </cell>
          <cell r="H1109" t="str">
            <v>종가집 깍두기(숙성_2*2cm 10Kg/BOX)</v>
          </cell>
          <cell r="I1109" t="str">
            <v>BOX</v>
          </cell>
          <cell r="J1109">
            <v>1</v>
          </cell>
          <cell r="K1109">
            <v>1</v>
          </cell>
          <cell r="L1109">
            <v>33290</v>
          </cell>
          <cell r="M1109">
            <v>33290</v>
          </cell>
          <cell r="N1109">
            <v>0</v>
          </cell>
          <cell r="O1109">
            <v>33290</v>
          </cell>
          <cell r="P1109">
            <v>0</v>
          </cell>
          <cell r="Q1109" t="str">
            <v>한국</v>
          </cell>
          <cell r="R1109" t="str">
            <v>냉장</v>
          </cell>
          <cell r="S1109" t="str">
            <v>BOX(1)</v>
          </cell>
          <cell r="T1109" t="str">
            <v/>
          </cell>
          <cell r="U1109" t="str">
            <v/>
          </cell>
          <cell r="V1109" t="str">
            <v>2019-01-09</v>
          </cell>
          <cell r="W1109" t="str">
            <v>2019-01-09 15:23:14</v>
          </cell>
          <cell r="X1109" t="str">
            <v>더바른푸드</v>
          </cell>
        </row>
        <row r="1110">
          <cell r="A1110">
            <v>1106</v>
          </cell>
          <cell r="B1110" t="str">
            <v>2019-01-10</v>
          </cell>
          <cell r="C1110" t="str">
            <v>더바른푸드</v>
          </cell>
          <cell r="D1110" t="str">
            <v>더바른푸드</v>
          </cell>
          <cell r="E1110" t="str">
            <v>일반</v>
          </cell>
          <cell r="F1110" t="str">
            <v>입고완료</v>
          </cell>
          <cell r="G1110">
            <v>401425</v>
          </cell>
          <cell r="H1110" t="str">
            <v>소앞다리(다짐육 볶음용 KG)</v>
          </cell>
          <cell r="I1110" t="str">
            <v>KG</v>
          </cell>
          <cell r="J1110">
            <v>7</v>
          </cell>
          <cell r="K1110">
            <v>7</v>
          </cell>
          <cell r="L1110">
            <v>9560</v>
          </cell>
          <cell r="M1110">
            <v>66920</v>
          </cell>
          <cell r="N1110">
            <v>0</v>
          </cell>
          <cell r="O1110">
            <v>66920</v>
          </cell>
          <cell r="P1110">
            <v>0</v>
          </cell>
          <cell r="Q1110" t="str">
            <v>호주</v>
          </cell>
          <cell r="R1110" t="str">
            <v>냉동</v>
          </cell>
          <cell r="S1110" t="str">
            <v>KG(1)</v>
          </cell>
          <cell r="T1110" t="str">
            <v>805101021156</v>
          </cell>
          <cell r="U1110" t="str">
            <v/>
          </cell>
          <cell r="V1110" t="str">
            <v>2019-01-09</v>
          </cell>
          <cell r="W1110" t="str">
            <v>2019-01-09 15:34:39</v>
          </cell>
          <cell r="X1110" t="str">
            <v>더바른푸드</v>
          </cell>
        </row>
        <row r="1111">
          <cell r="A1111">
            <v>1107</v>
          </cell>
          <cell r="B1111" t="str">
            <v>2019-01-09</v>
          </cell>
          <cell r="C1111">
            <v>0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</row>
        <row r="1112">
          <cell r="A1112">
            <v>1108</v>
          </cell>
          <cell r="B1112" t="str">
            <v>2019-01-09</v>
          </cell>
          <cell r="C1112" t="str">
            <v>더바른푸드</v>
          </cell>
          <cell r="D1112" t="str">
            <v>더바른푸드</v>
          </cell>
          <cell r="E1112" t="str">
            <v>일반</v>
          </cell>
          <cell r="F1112" t="str">
            <v>입고완료</v>
          </cell>
          <cell r="G1112">
            <v>270329</v>
          </cell>
          <cell r="H1112" t="str">
            <v>안흥식품 할매쌀찐빵(60g내외*16입 960g/EA)</v>
          </cell>
          <cell r="I1112" t="str">
            <v>EA</v>
          </cell>
          <cell r="J1112">
            <v>19</v>
          </cell>
          <cell r="K1112">
            <v>19</v>
          </cell>
          <cell r="L1112">
            <v>4480</v>
          </cell>
          <cell r="M1112">
            <v>85120</v>
          </cell>
          <cell r="N1112">
            <v>8512</v>
          </cell>
          <cell r="O1112">
            <v>93632</v>
          </cell>
          <cell r="P1112">
            <v>0</v>
          </cell>
          <cell r="Q1112" t="str">
            <v/>
          </cell>
          <cell r="R1112" t="str">
            <v>냉동</v>
          </cell>
          <cell r="S1112" t="str">
            <v>EA(8)</v>
          </cell>
          <cell r="T1112" t="str">
            <v/>
          </cell>
          <cell r="U1112" t="str">
            <v/>
          </cell>
          <cell r="V1112" t="str">
            <v>2019-01-04</v>
          </cell>
          <cell r="W1112" t="str">
            <v>2019-01-04 16:44:25</v>
          </cell>
          <cell r="X1112" t="str">
            <v>더바른푸드</v>
          </cell>
        </row>
        <row r="1113">
          <cell r="A1113">
            <v>1109</v>
          </cell>
          <cell r="B1113" t="str">
            <v>2019-01-09</v>
          </cell>
          <cell r="C1113" t="str">
            <v>더바른푸드</v>
          </cell>
          <cell r="D1113" t="str">
            <v>더바른푸드</v>
          </cell>
          <cell r="E1113" t="str">
            <v>일반</v>
          </cell>
          <cell r="F1113" t="str">
            <v>입고완료</v>
          </cell>
          <cell r="G1113">
            <v>259671</v>
          </cell>
          <cell r="H1113" t="str">
            <v>세준푸드 맑은식혜(유기농 125g/EA)</v>
          </cell>
          <cell r="I1113" t="str">
            <v>BOX</v>
          </cell>
          <cell r="J1113">
            <v>5</v>
          </cell>
          <cell r="K1113">
            <v>5</v>
          </cell>
          <cell r="L1113">
            <v>10320</v>
          </cell>
          <cell r="M1113">
            <v>51600</v>
          </cell>
          <cell r="N1113">
            <v>5160</v>
          </cell>
          <cell r="O1113">
            <v>56760</v>
          </cell>
          <cell r="P1113">
            <v>0</v>
          </cell>
          <cell r="Q1113" t="str">
            <v/>
          </cell>
          <cell r="R1113" t="str">
            <v>실온</v>
          </cell>
          <cell r="S1113" t="str">
            <v>EA(24)</v>
          </cell>
          <cell r="T1113" t="str">
            <v/>
          </cell>
          <cell r="U1113" t="str">
            <v/>
          </cell>
          <cell r="V1113" t="str">
            <v>2019-01-04</v>
          </cell>
          <cell r="W1113" t="str">
            <v>2019-01-04 17:00:03</v>
          </cell>
          <cell r="X1113" t="str">
            <v>더바른푸드</v>
          </cell>
        </row>
        <row r="1114">
          <cell r="A1114">
            <v>1110</v>
          </cell>
          <cell r="B1114" t="str">
            <v>2019-01-09</v>
          </cell>
          <cell r="C1114" t="str">
            <v>더바른푸드</v>
          </cell>
          <cell r="D1114" t="str">
            <v>더바른푸드</v>
          </cell>
          <cell r="E1114" t="str">
            <v>일반</v>
          </cell>
          <cell r="F1114" t="str">
            <v>입고완료</v>
          </cell>
          <cell r="G1114">
            <v>251973</v>
          </cell>
          <cell r="H1114" t="str">
            <v>냉동혼합채소2종(감자+당근 짜장용 1Kg/EA)</v>
          </cell>
          <cell r="I1114" t="str">
            <v>EA</v>
          </cell>
          <cell r="J1114">
            <v>60</v>
          </cell>
          <cell r="K1114">
            <v>60</v>
          </cell>
          <cell r="L1114">
            <v>2190</v>
          </cell>
          <cell r="M1114">
            <v>131400</v>
          </cell>
          <cell r="N1114">
            <v>13140</v>
          </cell>
          <cell r="O1114">
            <v>144540</v>
          </cell>
          <cell r="P1114">
            <v>0</v>
          </cell>
          <cell r="Q1114" t="str">
            <v>스페인</v>
          </cell>
          <cell r="R1114" t="str">
            <v>냉동</v>
          </cell>
          <cell r="S1114" t="str">
            <v>EA(1)</v>
          </cell>
          <cell r="T1114" t="str">
            <v/>
          </cell>
          <cell r="U1114" t="str">
            <v/>
          </cell>
          <cell r="V1114" t="str">
            <v>2019-01-07</v>
          </cell>
          <cell r="W1114" t="str">
            <v>2019-01-07 14:47:42</v>
          </cell>
          <cell r="X1114" t="str">
            <v>더바른푸드</v>
          </cell>
        </row>
        <row r="1115">
          <cell r="A1115">
            <v>1111</v>
          </cell>
          <cell r="B1115" t="str">
            <v>2019-01-09</v>
          </cell>
          <cell r="C1115" t="str">
            <v>더바른푸드</v>
          </cell>
          <cell r="D1115" t="str">
            <v>더바른푸드</v>
          </cell>
          <cell r="E1115" t="str">
            <v>일반</v>
          </cell>
          <cell r="F1115" t="str">
            <v>입고완료</v>
          </cell>
          <cell r="G1115">
            <v>107826</v>
          </cell>
          <cell r="H1115" t="str">
            <v>오뚜기 하이라이스(1Kg/EA)</v>
          </cell>
          <cell r="I1115" t="str">
            <v>EA</v>
          </cell>
          <cell r="J1115">
            <v>40</v>
          </cell>
          <cell r="K1115">
            <v>40</v>
          </cell>
          <cell r="L1115">
            <v>4380</v>
          </cell>
          <cell r="M1115">
            <v>175200</v>
          </cell>
          <cell r="N1115">
            <v>17520</v>
          </cell>
          <cell r="O1115">
            <v>192720</v>
          </cell>
          <cell r="P1115">
            <v>0</v>
          </cell>
          <cell r="Q1115" t="str">
            <v/>
          </cell>
          <cell r="R1115" t="str">
            <v>실온</v>
          </cell>
          <cell r="S1115" t="str">
            <v>EA(10)</v>
          </cell>
          <cell r="T1115" t="str">
            <v/>
          </cell>
          <cell r="U1115" t="str">
            <v/>
          </cell>
          <cell r="V1115" t="str">
            <v>2019-01-07</v>
          </cell>
          <cell r="W1115" t="str">
            <v>2019-01-07 14:51:44</v>
          </cell>
          <cell r="X1115" t="str">
            <v>더바른푸드</v>
          </cell>
        </row>
        <row r="1116">
          <cell r="A1116">
            <v>1112</v>
          </cell>
          <cell r="B1116" t="str">
            <v>2019-01-09</v>
          </cell>
          <cell r="C1116" t="str">
            <v>더바른푸드</v>
          </cell>
          <cell r="D1116" t="str">
            <v>더바른푸드</v>
          </cell>
          <cell r="E1116" t="str">
            <v>일반</v>
          </cell>
          <cell r="F1116" t="str">
            <v>입고완료</v>
          </cell>
          <cell r="G1116">
            <v>193090</v>
          </cell>
          <cell r="H1116" t="str">
            <v>냉동감자(절단_3~4cm 1Kg/EA)</v>
          </cell>
          <cell r="I1116" t="str">
            <v>EA</v>
          </cell>
          <cell r="J1116">
            <v>50</v>
          </cell>
          <cell r="K1116">
            <v>50</v>
          </cell>
          <cell r="L1116">
            <v>1980</v>
          </cell>
          <cell r="M1116">
            <v>99000</v>
          </cell>
          <cell r="N1116">
            <v>9900</v>
          </cell>
          <cell r="O1116">
            <v>108900</v>
          </cell>
          <cell r="P1116">
            <v>0</v>
          </cell>
          <cell r="Q1116" t="str">
            <v>중국</v>
          </cell>
          <cell r="R1116" t="str">
            <v>냉동</v>
          </cell>
          <cell r="S1116" t="str">
            <v>EA(1)</v>
          </cell>
          <cell r="T1116" t="str">
            <v/>
          </cell>
          <cell r="U1116" t="str">
            <v/>
          </cell>
          <cell r="V1116" t="str">
            <v>2019-01-07</v>
          </cell>
          <cell r="W1116" t="str">
            <v>2019-01-07 15:13:14</v>
          </cell>
          <cell r="X1116" t="str">
            <v>더바른푸드</v>
          </cell>
        </row>
        <row r="1117">
          <cell r="A1117">
            <v>1113</v>
          </cell>
          <cell r="B1117" t="str">
            <v>2019-01-09</v>
          </cell>
          <cell r="C1117" t="str">
            <v>더바른푸드</v>
          </cell>
          <cell r="D1117" t="str">
            <v>더바른푸드</v>
          </cell>
          <cell r="E1117" t="str">
            <v>일반</v>
          </cell>
          <cell r="F1117" t="str">
            <v>입고완료</v>
          </cell>
          <cell r="G1117">
            <v>192872</v>
          </cell>
          <cell r="H1117" t="str">
            <v>소이원 콩나물(곱슬이_단채 4Kg/BOX)</v>
          </cell>
          <cell r="I1117" t="str">
            <v>BOX</v>
          </cell>
          <cell r="J1117">
            <v>10</v>
          </cell>
          <cell r="K1117">
            <v>10</v>
          </cell>
          <cell r="L1117">
            <v>4240</v>
          </cell>
          <cell r="M1117">
            <v>42400</v>
          </cell>
          <cell r="N1117">
            <v>0</v>
          </cell>
          <cell r="O1117">
            <v>42400</v>
          </cell>
          <cell r="P1117">
            <v>0</v>
          </cell>
          <cell r="Q1117" t="str">
            <v>외국산</v>
          </cell>
          <cell r="R1117" t="str">
            <v>냉장</v>
          </cell>
          <cell r="S1117" t="str">
            <v>BOX(1)</v>
          </cell>
          <cell r="T1117" t="str">
            <v/>
          </cell>
          <cell r="U1117" t="str">
            <v/>
          </cell>
          <cell r="V1117" t="str">
            <v>2019-01-07</v>
          </cell>
          <cell r="W1117" t="str">
            <v>2019-01-07 15:29:42</v>
          </cell>
          <cell r="X1117" t="str">
            <v>더바른푸드</v>
          </cell>
        </row>
        <row r="1118">
          <cell r="A1118">
            <v>1114</v>
          </cell>
          <cell r="B1118" t="str">
            <v>2019-01-09</v>
          </cell>
          <cell r="C1118" t="str">
            <v>더바른푸드</v>
          </cell>
          <cell r="D1118" t="str">
            <v>더바른푸드</v>
          </cell>
          <cell r="E1118" t="str">
            <v>일반</v>
          </cell>
          <cell r="F1118" t="str">
            <v>입고완료</v>
          </cell>
          <cell r="G1118">
            <v>168257</v>
          </cell>
          <cell r="H1118" t="str">
            <v>명품 판두부(찌개용 3Kg/EA)</v>
          </cell>
          <cell r="I1118" t="str">
            <v>EA</v>
          </cell>
          <cell r="J1118">
            <v>6</v>
          </cell>
          <cell r="K1118">
            <v>6</v>
          </cell>
          <cell r="L1118">
            <v>4000</v>
          </cell>
          <cell r="M1118">
            <v>24000</v>
          </cell>
          <cell r="N1118">
            <v>0</v>
          </cell>
          <cell r="O1118">
            <v>24000</v>
          </cell>
          <cell r="P1118">
            <v>0</v>
          </cell>
          <cell r="Q1118" t="str">
            <v>수입산</v>
          </cell>
          <cell r="R1118" t="str">
            <v>냉장</v>
          </cell>
          <cell r="S1118" t="str">
            <v>EA(1)</v>
          </cell>
          <cell r="T1118" t="str">
            <v/>
          </cell>
          <cell r="U1118" t="str">
            <v/>
          </cell>
          <cell r="V1118" t="str">
            <v>2019-01-07</v>
          </cell>
          <cell r="W1118" t="str">
            <v>2019-01-07 15:31:06</v>
          </cell>
          <cell r="X1118" t="str">
            <v>더바른푸드</v>
          </cell>
        </row>
        <row r="1119">
          <cell r="A1119">
            <v>1115</v>
          </cell>
          <cell r="B1119" t="str">
            <v>2019-01-09</v>
          </cell>
          <cell r="C1119" t="str">
            <v>더바른푸드</v>
          </cell>
          <cell r="D1119" t="str">
            <v>더바른푸드</v>
          </cell>
          <cell r="E1119" t="str">
            <v>일반</v>
          </cell>
          <cell r="F1119" t="str">
            <v>입고완료</v>
          </cell>
          <cell r="G1119">
            <v>112802</v>
          </cell>
          <cell r="H1119" t="str">
            <v>맥심 커피믹스(모카골드_12g*100T 1.2Kg/EA)</v>
          </cell>
          <cell r="I1119" t="str">
            <v>EA</v>
          </cell>
          <cell r="J1119">
            <v>1</v>
          </cell>
          <cell r="K1119">
            <v>1</v>
          </cell>
          <cell r="L1119">
            <v>11900</v>
          </cell>
          <cell r="M1119">
            <v>11900</v>
          </cell>
          <cell r="N1119">
            <v>1190</v>
          </cell>
          <cell r="O1119">
            <v>13090</v>
          </cell>
          <cell r="P1119">
            <v>0</v>
          </cell>
          <cell r="Q1119" t="str">
            <v/>
          </cell>
          <cell r="R1119" t="str">
            <v>실온</v>
          </cell>
          <cell r="S1119" t="str">
            <v>EA(8)</v>
          </cell>
          <cell r="T1119" t="str">
            <v/>
          </cell>
          <cell r="U1119" t="str">
            <v/>
          </cell>
          <cell r="V1119" t="str">
            <v>2019-01-07</v>
          </cell>
          <cell r="W1119" t="str">
            <v>2019-01-07 15:47:25</v>
          </cell>
          <cell r="X1119" t="str">
            <v>더바른푸드</v>
          </cell>
        </row>
        <row r="1120">
          <cell r="A1120">
            <v>1116</v>
          </cell>
          <cell r="B1120" t="str">
            <v>2019-01-09</v>
          </cell>
          <cell r="C1120" t="str">
            <v>더바른푸드</v>
          </cell>
          <cell r="D1120" t="str">
            <v>더바른푸드</v>
          </cell>
          <cell r="E1120" t="str">
            <v>일반</v>
          </cell>
          <cell r="F1120" t="str">
            <v>입고완료</v>
          </cell>
          <cell r="G1120">
            <v>235737</v>
          </cell>
          <cell r="H1120" t="str">
            <v>이츠웰 위생장갑(실속 600매입 EA)</v>
          </cell>
          <cell r="I1120" t="str">
            <v>EA</v>
          </cell>
          <cell r="J1120">
            <v>3</v>
          </cell>
          <cell r="K1120">
            <v>3</v>
          </cell>
          <cell r="L1120">
            <v>5580</v>
          </cell>
          <cell r="M1120">
            <v>16740</v>
          </cell>
          <cell r="N1120">
            <v>1674</v>
          </cell>
          <cell r="O1120">
            <v>18414</v>
          </cell>
          <cell r="P1120">
            <v>0</v>
          </cell>
          <cell r="Q1120" t="str">
            <v/>
          </cell>
          <cell r="R1120" t="str">
            <v>실온</v>
          </cell>
          <cell r="S1120" t="str">
            <v>EA(16)</v>
          </cell>
          <cell r="T1120" t="str">
            <v/>
          </cell>
          <cell r="U1120" t="str">
            <v/>
          </cell>
          <cell r="V1120" t="str">
            <v>2019-01-07</v>
          </cell>
          <cell r="W1120" t="str">
            <v>2019-01-07 15:52:31</v>
          </cell>
          <cell r="X1120" t="str">
            <v>더바른푸드</v>
          </cell>
        </row>
        <row r="1121">
          <cell r="A1121">
            <v>1117</v>
          </cell>
          <cell r="B1121" t="str">
            <v>2019-01-09</v>
          </cell>
          <cell r="C1121" t="str">
            <v>더바른푸드</v>
          </cell>
          <cell r="D1121" t="str">
            <v>더바른푸드</v>
          </cell>
          <cell r="E1121" t="str">
            <v>일반</v>
          </cell>
          <cell r="F1121" t="str">
            <v>입고완료</v>
          </cell>
          <cell r="G1121">
            <v>520545</v>
          </cell>
          <cell r="H1121" t="str">
            <v>알로에베라 물티슈(캡형_80매 유아용 EA)</v>
          </cell>
          <cell r="I1121" t="str">
            <v>EA</v>
          </cell>
          <cell r="J1121">
            <v>10</v>
          </cell>
          <cell r="K1121">
            <v>10</v>
          </cell>
          <cell r="L1121">
            <v>1150</v>
          </cell>
          <cell r="M1121">
            <v>11500</v>
          </cell>
          <cell r="N1121">
            <v>1150</v>
          </cell>
          <cell r="O1121">
            <v>12650</v>
          </cell>
          <cell r="P1121">
            <v>0</v>
          </cell>
          <cell r="Q1121" t="str">
            <v/>
          </cell>
          <cell r="R1121" t="str">
            <v>실온</v>
          </cell>
          <cell r="S1121" t="str">
            <v>EA(1)</v>
          </cell>
          <cell r="T1121" t="str">
            <v/>
          </cell>
          <cell r="U1121" t="str">
            <v/>
          </cell>
          <cell r="V1121" t="str">
            <v>2019-01-07</v>
          </cell>
          <cell r="W1121" t="str">
            <v>2019-01-07 15:52:52</v>
          </cell>
          <cell r="X1121" t="str">
            <v>더바른푸드</v>
          </cell>
        </row>
        <row r="1122">
          <cell r="A1122">
            <v>1118</v>
          </cell>
          <cell r="B1122" t="str">
            <v>2019-01-09</v>
          </cell>
          <cell r="C1122" t="str">
            <v>더바른푸드</v>
          </cell>
          <cell r="D1122" t="str">
            <v>더바른푸드</v>
          </cell>
          <cell r="E1122" t="str">
            <v>일반</v>
          </cell>
          <cell r="F1122" t="str">
            <v>입고완료</v>
          </cell>
          <cell r="G1122">
            <v>162636</v>
          </cell>
          <cell r="H1122" t="str">
            <v>이츠웰 수수부꾸미(50±3개입 1Kg/EA)</v>
          </cell>
          <cell r="I1122" t="str">
            <v>EA</v>
          </cell>
          <cell r="J1122">
            <v>1</v>
          </cell>
          <cell r="K1122">
            <v>1</v>
          </cell>
          <cell r="L1122">
            <v>6130</v>
          </cell>
          <cell r="M1122">
            <v>6130</v>
          </cell>
          <cell r="N1122">
            <v>613</v>
          </cell>
          <cell r="O1122">
            <v>6743</v>
          </cell>
          <cell r="P1122">
            <v>0</v>
          </cell>
          <cell r="Q1122" t="str">
            <v/>
          </cell>
          <cell r="R1122" t="str">
            <v>냉동</v>
          </cell>
          <cell r="S1122" t="str">
            <v>EA(10)</v>
          </cell>
          <cell r="T1122" t="str">
            <v/>
          </cell>
          <cell r="U1122" t="str">
            <v/>
          </cell>
          <cell r="V1122" t="str">
            <v>2019-01-08</v>
          </cell>
          <cell r="W1122" t="str">
            <v>2019-01-08 12:08:30</v>
          </cell>
          <cell r="X1122" t="str">
            <v>더바른푸드</v>
          </cell>
        </row>
        <row r="1123">
          <cell r="A1123">
            <v>1119</v>
          </cell>
          <cell r="B1123" t="str">
            <v>2019-01-09</v>
          </cell>
          <cell r="C1123" t="str">
            <v>더바른푸드</v>
          </cell>
          <cell r="D1123" t="str">
            <v>더바른푸드</v>
          </cell>
          <cell r="E1123" t="str">
            <v>일반</v>
          </cell>
          <cell r="F1123" t="str">
            <v>입고완료</v>
          </cell>
          <cell r="G1123">
            <v>122935</v>
          </cell>
          <cell r="H1123" t="str">
            <v>리치스 스위트콘(2.95Kg/EA)</v>
          </cell>
          <cell r="I1123" t="str">
            <v>EA</v>
          </cell>
          <cell r="J1123">
            <v>50</v>
          </cell>
          <cell r="K1123">
            <v>50</v>
          </cell>
          <cell r="L1123">
            <v>2860</v>
          </cell>
          <cell r="M1123">
            <v>143000</v>
          </cell>
          <cell r="N1123">
            <v>14300</v>
          </cell>
          <cell r="O1123">
            <v>157300</v>
          </cell>
          <cell r="P1123">
            <v>0</v>
          </cell>
          <cell r="Q1123" t="str">
            <v>태국</v>
          </cell>
          <cell r="R1123" t="str">
            <v>실온</v>
          </cell>
          <cell r="S1123" t="str">
            <v>EA(6)</v>
          </cell>
          <cell r="T1123" t="str">
            <v/>
          </cell>
          <cell r="U1123" t="str">
            <v/>
          </cell>
          <cell r="V1123" t="str">
            <v>2019-01-08</v>
          </cell>
          <cell r="W1123" t="str">
            <v>2019-01-08 13:40:06</v>
          </cell>
          <cell r="X1123" t="str">
            <v>더바른푸드</v>
          </cell>
        </row>
        <row r="1124">
          <cell r="A1124">
            <v>1120</v>
          </cell>
          <cell r="B1124" t="str">
            <v>2019-01-09</v>
          </cell>
          <cell r="C1124" t="str">
            <v>더바른푸드</v>
          </cell>
          <cell r="D1124" t="str">
            <v>더바른푸드</v>
          </cell>
          <cell r="E1124" t="str">
            <v>일반</v>
          </cell>
          <cell r="F1124" t="str">
            <v>입고완료</v>
          </cell>
          <cell r="G1124">
            <v>107170</v>
          </cell>
          <cell r="H1124" t="str">
            <v>쿠라우닝터치 머스타드(3.78L 3.78Kg/EA)</v>
          </cell>
          <cell r="I1124" t="str">
            <v>EA</v>
          </cell>
          <cell r="J1124">
            <v>1</v>
          </cell>
          <cell r="K1124">
            <v>1</v>
          </cell>
          <cell r="L1124">
            <v>6230</v>
          </cell>
          <cell r="M1124">
            <v>6230</v>
          </cell>
          <cell r="N1124">
            <v>623</v>
          </cell>
          <cell r="O1124">
            <v>6853</v>
          </cell>
          <cell r="P1124">
            <v>0</v>
          </cell>
          <cell r="Q1124" t="str">
            <v/>
          </cell>
          <cell r="R1124" t="str">
            <v>실온</v>
          </cell>
          <cell r="S1124" t="str">
            <v>EA(4)</v>
          </cell>
          <cell r="T1124" t="str">
            <v/>
          </cell>
          <cell r="U1124" t="str">
            <v/>
          </cell>
          <cell r="V1124" t="str">
            <v>2019-01-08</v>
          </cell>
          <cell r="W1124" t="str">
            <v>2019-01-08 13:46:47</v>
          </cell>
          <cell r="X1124" t="str">
            <v>더바른푸드</v>
          </cell>
        </row>
        <row r="1125">
          <cell r="A1125">
            <v>1121</v>
          </cell>
          <cell r="B1125" t="str">
            <v>2019-01-09</v>
          </cell>
          <cell r="C1125" t="str">
            <v>더바른푸드</v>
          </cell>
          <cell r="D1125" t="str">
            <v>더바른푸드</v>
          </cell>
          <cell r="E1125" t="str">
            <v>일반</v>
          </cell>
          <cell r="F1125" t="str">
            <v>입고완료</v>
          </cell>
          <cell r="G1125">
            <v>228878</v>
          </cell>
          <cell r="H1125" t="str">
            <v>동태(내장제거_50~70g/토막 KG)</v>
          </cell>
          <cell r="I1125" t="str">
            <v>KG</v>
          </cell>
          <cell r="J1125">
            <v>4</v>
          </cell>
          <cell r="K1125">
            <v>4</v>
          </cell>
          <cell r="L1125">
            <v>3850</v>
          </cell>
          <cell r="M1125">
            <v>15400</v>
          </cell>
          <cell r="N1125">
            <v>0</v>
          </cell>
          <cell r="O1125">
            <v>15400</v>
          </cell>
          <cell r="P1125">
            <v>0</v>
          </cell>
          <cell r="Q1125" t="str">
            <v>러시아</v>
          </cell>
          <cell r="R1125" t="str">
            <v>냉동</v>
          </cell>
          <cell r="S1125" t="str">
            <v>KG(1)</v>
          </cell>
          <cell r="T1125" t="str">
            <v/>
          </cell>
          <cell r="U1125" t="str">
            <v/>
          </cell>
          <cell r="V1125" t="str">
            <v>2019-01-08</v>
          </cell>
          <cell r="W1125" t="str">
            <v>2019-01-08 14:00:24</v>
          </cell>
          <cell r="X1125" t="str">
            <v>더바른푸드</v>
          </cell>
        </row>
        <row r="1126">
          <cell r="A1126">
            <v>1122</v>
          </cell>
          <cell r="B1126" t="str">
            <v>2019-01-09</v>
          </cell>
          <cell r="C1126" t="str">
            <v>더바른푸드</v>
          </cell>
          <cell r="D1126" t="str">
            <v>더바른푸드</v>
          </cell>
          <cell r="E1126" t="str">
            <v>일반</v>
          </cell>
          <cell r="F1126" t="str">
            <v>입고완료</v>
          </cell>
          <cell r="G1126">
            <v>211696</v>
          </cell>
          <cell r="H1126" t="str">
            <v>건시래기(데친것 KG)</v>
          </cell>
          <cell r="I1126" t="str">
            <v>KG</v>
          </cell>
          <cell r="J1126">
            <v>20</v>
          </cell>
          <cell r="K1126">
            <v>20</v>
          </cell>
          <cell r="L1126">
            <v>2740</v>
          </cell>
          <cell r="M1126">
            <v>54800</v>
          </cell>
          <cell r="N1126">
            <v>0</v>
          </cell>
          <cell r="O1126">
            <v>54800</v>
          </cell>
          <cell r="P1126">
            <v>0</v>
          </cell>
          <cell r="Q1126" t="str">
            <v>한국</v>
          </cell>
          <cell r="R1126" t="str">
            <v>냉장</v>
          </cell>
          <cell r="S1126" t="str">
            <v>KG(1)</v>
          </cell>
          <cell r="T1126" t="str">
            <v/>
          </cell>
          <cell r="U1126" t="str">
            <v/>
          </cell>
          <cell r="V1126" t="str">
            <v>2019-01-08</v>
          </cell>
          <cell r="W1126" t="str">
            <v>2019-01-08 15:02:04</v>
          </cell>
          <cell r="X1126" t="str">
            <v>더바른푸드</v>
          </cell>
        </row>
        <row r="1127">
          <cell r="A1127">
            <v>1123</v>
          </cell>
          <cell r="B1127" t="str">
            <v>2019-01-09</v>
          </cell>
          <cell r="C1127" t="str">
            <v>더바른푸드</v>
          </cell>
          <cell r="D1127" t="str">
            <v>더바른푸드</v>
          </cell>
          <cell r="E1127" t="str">
            <v>일반</v>
          </cell>
          <cell r="F1127" t="str">
            <v>입고완료</v>
          </cell>
          <cell r="G1127">
            <v>160016</v>
          </cell>
          <cell r="H1127" t="str">
            <v>오뚜기 케찹(스파우트팩 3.3Kg/EA)</v>
          </cell>
          <cell r="I1127" t="str">
            <v>EA</v>
          </cell>
          <cell r="J1127">
            <v>10</v>
          </cell>
          <cell r="K1127">
            <v>10</v>
          </cell>
          <cell r="L1127">
            <v>3670</v>
          </cell>
          <cell r="M1127">
            <v>36700</v>
          </cell>
          <cell r="N1127">
            <v>3670</v>
          </cell>
          <cell r="O1127">
            <v>40370</v>
          </cell>
          <cell r="P1127">
            <v>0</v>
          </cell>
          <cell r="Q1127" t="str">
            <v/>
          </cell>
          <cell r="R1127" t="str">
            <v>실온</v>
          </cell>
          <cell r="S1127" t="str">
            <v>EA(4)</v>
          </cell>
          <cell r="T1127" t="str">
            <v/>
          </cell>
          <cell r="U1127" t="str">
            <v/>
          </cell>
          <cell r="V1127" t="str">
            <v>2019-01-08</v>
          </cell>
          <cell r="W1127" t="str">
            <v>2019-01-08 15:11:00</v>
          </cell>
          <cell r="X1127" t="str">
            <v>더바른푸드</v>
          </cell>
        </row>
        <row r="1128">
          <cell r="A1128">
            <v>1124</v>
          </cell>
          <cell r="B1128" t="str">
            <v>2019-01-09</v>
          </cell>
          <cell r="C1128" t="str">
            <v>더바른푸드</v>
          </cell>
          <cell r="D1128" t="str">
            <v>더바른푸드</v>
          </cell>
          <cell r="E1128" t="str">
            <v>일반</v>
          </cell>
          <cell r="F1128" t="str">
            <v>입고완료</v>
          </cell>
          <cell r="G1128">
            <v>106807</v>
          </cell>
          <cell r="H1128" t="str">
            <v>오뚜기 양조식초(18L 18Kg/EA)</v>
          </cell>
          <cell r="I1128" t="str">
            <v>EA</v>
          </cell>
          <cell r="J1128">
            <v>3</v>
          </cell>
          <cell r="K1128">
            <v>3</v>
          </cell>
          <cell r="L1128">
            <v>10700</v>
          </cell>
          <cell r="M1128">
            <v>32100</v>
          </cell>
          <cell r="N1128">
            <v>3210</v>
          </cell>
          <cell r="O1128">
            <v>35310</v>
          </cell>
          <cell r="P1128">
            <v>0</v>
          </cell>
          <cell r="Q1128" t="str">
            <v/>
          </cell>
          <cell r="R1128" t="str">
            <v>실온</v>
          </cell>
          <cell r="S1128" t="str">
            <v>EA(1)</v>
          </cell>
          <cell r="T1128" t="str">
            <v/>
          </cell>
          <cell r="U1128" t="str">
            <v/>
          </cell>
          <cell r="V1128" t="str">
            <v>2019-01-08</v>
          </cell>
          <cell r="W1128" t="str">
            <v>2019-01-08 15:11:41</v>
          </cell>
          <cell r="X1128" t="str">
            <v>더바른푸드</v>
          </cell>
        </row>
        <row r="1129">
          <cell r="A1129">
            <v>1125</v>
          </cell>
          <cell r="B1129" t="str">
            <v>2019-01-09</v>
          </cell>
          <cell r="C1129" t="str">
            <v>더바른푸드</v>
          </cell>
          <cell r="D1129" t="str">
            <v>더바른푸드</v>
          </cell>
          <cell r="E1129" t="str">
            <v>일반</v>
          </cell>
          <cell r="F1129" t="str">
            <v>입고완료</v>
          </cell>
          <cell r="G1129">
            <v>106212</v>
          </cell>
          <cell r="H1129" t="str">
            <v>백설 하얀설탕(15Kg/EA)</v>
          </cell>
          <cell r="I1129" t="str">
            <v>EA</v>
          </cell>
          <cell r="J1129">
            <v>2</v>
          </cell>
          <cell r="K1129">
            <v>2</v>
          </cell>
          <cell r="L1129">
            <v>15680</v>
          </cell>
          <cell r="M1129">
            <v>31360</v>
          </cell>
          <cell r="N1129">
            <v>3136</v>
          </cell>
          <cell r="O1129">
            <v>34496</v>
          </cell>
          <cell r="P1129">
            <v>0</v>
          </cell>
          <cell r="Q1129" t="str">
            <v/>
          </cell>
          <cell r="R1129" t="str">
            <v>실온</v>
          </cell>
          <cell r="S1129" t="str">
            <v>EA(1)</v>
          </cell>
          <cell r="T1129" t="str">
            <v/>
          </cell>
          <cell r="U1129" t="str">
            <v/>
          </cell>
          <cell r="V1129" t="str">
            <v>2019-01-08</v>
          </cell>
          <cell r="W1129" t="str">
            <v>2019-01-08 15:12:33</v>
          </cell>
          <cell r="X1129" t="str">
            <v>더바른푸드</v>
          </cell>
        </row>
        <row r="1130">
          <cell r="A1130">
            <v>1126</v>
          </cell>
          <cell r="B1130" t="str">
            <v>2019-01-09</v>
          </cell>
          <cell r="C1130" t="str">
            <v>더바른푸드</v>
          </cell>
          <cell r="D1130" t="str">
            <v>더바른푸드</v>
          </cell>
          <cell r="E1130" t="str">
            <v>일반</v>
          </cell>
          <cell r="F1130" t="str">
            <v>입고완료</v>
          </cell>
          <cell r="G1130">
            <v>143791</v>
          </cell>
          <cell r="H1130" t="str">
            <v>이츠웰 참기름(NEW_PET_1.8L 1.65Kg/EA)</v>
          </cell>
          <cell r="I1130" t="str">
            <v>EA</v>
          </cell>
          <cell r="J1130">
            <v>6</v>
          </cell>
          <cell r="K1130">
            <v>6</v>
          </cell>
          <cell r="L1130">
            <v>14550</v>
          </cell>
          <cell r="M1130">
            <v>87300</v>
          </cell>
          <cell r="N1130">
            <v>8730</v>
          </cell>
          <cell r="O1130">
            <v>96030</v>
          </cell>
          <cell r="P1130">
            <v>0</v>
          </cell>
          <cell r="Q1130" t="str">
            <v>베트남</v>
          </cell>
          <cell r="R1130" t="str">
            <v>실온</v>
          </cell>
          <cell r="S1130" t="str">
            <v>EA(6)</v>
          </cell>
          <cell r="T1130" t="str">
            <v/>
          </cell>
          <cell r="U1130" t="str">
            <v/>
          </cell>
          <cell r="V1130" t="str">
            <v>2019-01-08</v>
          </cell>
          <cell r="W1130" t="str">
            <v>2019-01-08 15:14:14</v>
          </cell>
          <cell r="X1130" t="str">
            <v>더바른푸드</v>
          </cell>
        </row>
        <row r="1131">
          <cell r="A1131">
            <v>1127</v>
          </cell>
          <cell r="B1131" t="str">
            <v>2019-01-09</v>
          </cell>
          <cell r="C1131" t="str">
            <v>더바른푸드</v>
          </cell>
          <cell r="D1131" t="str">
            <v>더바른푸드</v>
          </cell>
          <cell r="E1131" t="str">
            <v>일반</v>
          </cell>
          <cell r="F1131" t="str">
            <v>입고완료</v>
          </cell>
          <cell r="G1131">
            <v>313767</v>
          </cell>
          <cell r="H1131" t="str">
            <v>프레시웨이 건미역(상품 1Kg/EA)</v>
          </cell>
          <cell r="I1131" t="str">
            <v>EA</v>
          </cell>
          <cell r="J1131">
            <v>70</v>
          </cell>
          <cell r="K1131">
            <v>20</v>
          </cell>
          <cell r="L1131">
            <v>15550</v>
          </cell>
          <cell r="M1131">
            <v>1088500</v>
          </cell>
          <cell r="N1131">
            <v>0</v>
          </cell>
          <cell r="O1131">
            <v>1088500</v>
          </cell>
          <cell r="P1131">
            <v>0</v>
          </cell>
          <cell r="Q1131" t="str">
            <v>한국</v>
          </cell>
          <cell r="R1131" t="str">
            <v>실온</v>
          </cell>
          <cell r="S1131" t="str">
            <v>EA(10)</v>
          </cell>
          <cell r="T1131" t="str">
            <v/>
          </cell>
          <cell r="U1131" t="str">
            <v/>
          </cell>
          <cell r="V1131" t="str">
            <v>2019-01-08</v>
          </cell>
          <cell r="W1131" t="str">
            <v>2019-01-08 16:26:11</v>
          </cell>
          <cell r="X1131" t="str">
            <v>더바른푸드</v>
          </cell>
        </row>
        <row r="1132">
          <cell r="A1132">
            <v>1128</v>
          </cell>
          <cell r="B1132" t="str">
            <v>2019-01-08</v>
          </cell>
          <cell r="C1132">
            <v>0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</row>
        <row r="1133">
          <cell r="A1133">
            <v>1129</v>
          </cell>
          <cell r="B1133" t="str">
            <v>2019-01-08</v>
          </cell>
          <cell r="C1133" t="str">
            <v>더바른푸드</v>
          </cell>
          <cell r="D1133" t="str">
            <v>더바른푸드</v>
          </cell>
          <cell r="E1133" t="str">
            <v>일반</v>
          </cell>
          <cell r="F1133" t="str">
            <v>입고완료</v>
          </cell>
          <cell r="G1133">
            <v>135205</v>
          </cell>
          <cell r="H1133" t="str">
            <v>마더구스 베이비슈(카스타드미니_13g*36입 468g/EA)</v>
          </cell>
          <cell r="I1133" t="str">
            <v>EA</v>
          </cell>
          <cell r="J1133">
            <v>9</v>
          </cell>
          <cell r="K1133">
            <v>9</v>
          </cell>
          <cell r="L1133">
            <v>4880</v>
          </cell>
          <cell r="M1133">
            <v>43920</v>
          </cell>
          <cell r="N1133">
            <v>4392</v>
          </cell>
          <cell r="O1133">
            <v>48312</v>
          </cell>
          <cell r="P1133">
            <v>0</v>
          </cell>
          <cell r="Q1133" t="str">
            <v/>
          </cell>
          <cell r="R1133" t="str">
            <v>냉동</v>
          </cell>
          <cell r="S1133" t="str">
            <v>EA(10)</v>
          </cell>
          <cell r="T1133" t="str">
            <v/>
          </cell>
          <cell r="U1133" t="str">
            <v/>
          </cell>
          <cell r="V1133" t="str">
            <v>2019-01-04</v>
          </cell>
          <cell r="W1133" t="str">
            <v>2019-01-04 16:29:48</v>
          </cell>
          <cell r="X1133" t="str">
            <v>더바른푸드</v>
          </cell>
        </row>
        <row r="1134">
          <cell r="A1134">
            <v>1130</v>
          </cell>
          <cell r="B1134" t="str">
            <v>2019-01-08</v>
          </cell>
          <cell r="C1134" t="str">
            <v>더바른푸드</v>
          </cell>
          <cell r="D1134" t="str">
            <v>더바른푸드</v>
          </cell>
          <cell r="E1134" t="str">
            <v>일반</v>
          </cell>
          <cell r="F1134" t="str">
            <v>입고완료</v>
          </cell>
          <cell r="G1134">
            <v>160746</v>
          </cell>
          <cell r="H1134" t="str">
            <v>서울우유 바나나우유(200ml 200g/EA)</v>
          </cell>
          <cell r="I1134" t="str">
            <v>EA</v>
          </cell>
          <cell r="J1134">
            <v>194</v>
          </cell>
          <cell r="K1134">
            <v>194</v>
          </cell>
          <cell r="L1134">
            <v>490</v>
          </cell>
          <cell r="M1134">
            <v>95060</v>
          </cell>
          <cell r="N1134">
            <v>9506</v>
          </cell>
          <cell r="O1134">
            <v>104566</v>
          </cell>
          <cell r="P1134">
            <v>0</v>
          </cell>
          <cell r="Q1134" t="str">
            <v/>
          </cell>
          <cell r="R1134" t="str">
            <v>냉장</v>
          </cell>
          <cell r="S1134" t="str">
            <v>EA(1)</v>
          </cell>
          <cell r="T1134" t="str">
            <v/>
          </cell>
          <cell r="U1134" t="str">
            <v/>
          </cell>
          <cell r="V1134" t="str">
            <v>2019-01-04</v>
          </cell>
          <cell r="W1134" t="str">
            <v>2019-01-04 16:31:15</v>
          </cell>
          <cell r="X1134" t="str">
            <v>더바른푸드</v>
          </cell>
        </row>
        <row r="1135">
          <cell r="A1135">
            <v>1131</v>
          </cell>
          <cell r="B1135" t="str">
            <v>2019-01-08</v>
          </cell>
          <cell r="C1135" t="str">
            <v>더바른푸드</v>
          </cell>
          <cell r="D1135" t="str">
            <v>더바른푸드</v>
          </cell>
          <cell r="E1135" t="str">
            <v>일반</v>
          </cell>
          <cell r="F1135" t="str">
            <v>입고완료</v>
          </cell>
          <cell r="G1135">
            <v>266478</v>
          </cell>
          <cell r="H1135" t="str">
            <v>전주제과 수제초코파이(오리지널미니 40g/EA)</v>
          </cell>
          <cell r="I1135" t="str">
            <v>BOX</v>
          </cell>
          <cell r="J1135">
            <v>8</v>
          </cell>
          <cell r="K1135">
            <v>8</v>
          </cell>
          <cell r="L1135">
            <v>18800</v>
          </cell>
          <cell r="M1135">
            <v>150400</v>
          </cell>
          <cell r="N1135">
            <v>15040</v>
          </cell>
          <cell r="O1135">
            <v>165440</v>
          </cell>
          <cell r="P1135">
            <v>0</v>
          </cell>
          <cell r="Q1135" t="str">
            <v/>
          </cell>
          <cell r="R1135" t="str">
            <v>냉동</v>
          </cell>
          <cell r="S1135" t="str">
            <v>EA(40)</v>
          </cell>
          <cell r="T1135" t="str">
            <v/>
          </cell>
          <cell r="U1135" t="str">
            <v/>
          </cell>
          <cell r="V1135" t="str">
            <v>2019-01-04</v>
          </cell>
          <cell r="W1135" t="str">
            <v>2019-01-04 16:39:54</v>
          </cell>
          <cell r="X1135" t="str">
            <v>더바른푸드</v>
          </cell>
        </row>
        <row r="1136">
          <cell r="A1136">
            <v>1132</v>
          </cell>
          <cell r="B1136" t="str">
            <v>2019-01-08</v>
          </cell>
          <cell r="C1136" t="str">
            <v>더바른푸드</v>
          </cell>
          <cell r="D1136" t="str">
            <v>더바른푸드</v>
          </cell>
          <cell r="E1136" t="str">
            <v>일반</v>
          </cell>
          <cell r="F1136" t="str">
            <v>입고완료</v>
          </cell>
          <cell r="G1136">
            <v>107247</v>
          </cell>
          <cell r="H1136" t="str">
            <v>하인즈 데미그라스소스(3Kg/EA)</v>
          </cell>
          <cell r="I1136" t="str">
            <v>EA</v>
          </cell>
          <cell r="J1136">
            <v>6</v>
          </cell>
          <cell r="K1136">
            <v>6</v>
          </cell>
          <cell r="L1136">
            <v>16880</v>
          </cell>
          <cell r="M1136">
            <v>101280</v>
          </cell>
          <cell r="N1136">
            <v>10128</v>
          </cell>
          <cell r="O1136">
            <v>111408</v>
          </cell>
          <cell r="P1136">
            <v>0</v>
          </cell>
          <cell r="Q1136" t="str">
            <v/>
          </cell>
          <cell r="R1136" t="str">
            <v>실온</v>
          </cell>
          <cell r="S1136" t="str">
            <v>EA(6)</v>
          </cell>
          <cell r="T1136" t="str">
            <v/>
          </cell>
          <cell r="U1136" t="str">
            <v/>
          </cell>
          <cell r="V1136" t="str">
            <v>2019-01-07</v>
          </cell>
          <cell r="W1136" t="str">
            <v>2019-01-07 13:53:12</v>
          </cell>
          <cell r="X1136" t="str">
            <v>더바른푸드</v>
          </cell>
        </row>
        <row r="1137">
          <cell r="A1137">
            <v>1133</v>
          </cell>
          <cell r="B1137" t="str">
            <v>2019-01-08</v>
          </cell>
          <cell r="C1137" t="str">
            <v>더바른푸드</v>
          </cell>
          <cell r="D1137" t="str">
            <v>더바른푸드</v>
          </cell>
          <cell r="E1137" t="str">
            <v>일반</v>
          </cell>
          <cell r="F1137" t="str">
            <v>입고완료</v>
          </cell>
          <cell r="G1137">
            <v>208502</v>
          </cell>
          <cell r="H1137" t="str">
            <v>세척당근(3L 10Kg/EA)</v>
          </cell>
          <cell r="I1137" t="str">
            <v>EA</v>
          </cell>
          <cell r="J1137">
            <v>3</v>
          </cell>
          <cell r="K1137">
            <v>3</v>
          </cell>
          <cell r="L1137">
            <v>11980</v>
          </cell>
          <cell r="M1137">
            <v>35940</v>
          </cell>
          <cell r="N1137">
            <v>0</v>
          </cell>
          <cell r="O1137">
            <v>35940</v>
          </cell>
          <cell r="P1137">
            <v>0</v>
          </cell>
          <cell r="Q1137" t="str">
            <v>중국</v>
          </cell>
          <cell r="R1137" t="str">
            <v>실온</v>
          </cell>
          <cell r="S1137" t="str">
            <v>EA(1)</v>
          </cell>
          <cell r="T1137" t="str">
            <v/>
          </cell>
          <cell r="U1137" t="str">
            <v/>
          </cell>
          <cell r="V1137" t="str">
            <v>2019-01-07</v>
          </cell>
          <cell r="W1137" t="str">
            <v>2019-01-07 13:56:27</v>
          </cell>
          <cell r="X1137" t="str">
            <v>더바른푸드</v>
          </cell>
        </row>
        <row r="1138">
          <cell r="A1138">
            <v>1134</v>
          </cell>
          <cell r="B1138" t="str">
            <v>2019-01-08</v>
          </cell>
          <cell r="C1138" t="str">
            <v>더바른푸드</v>
          </cell>
          <cell r="D1138" t="str">
            <v>더바른푸드</v>
          </cell>
          <cell r="E1138" t="str">
            <v>일반</v>
          </cell>
          <cell r="F1138" t="str">
            <v>입고완료</v>
          </cell>
          <cell r="G1138">
            <v>130452</v>
          </cell>
          <cell r="H1138" t="str">
            <v>사조오양 스모크햄(즉석 1Kg/EA)</v>
          </cell>
          <cell r="I1138" t="str">
            <v>EA</v>
          </cell>
          <cell r="J1138">
            <v>60</v>
          </cell>
          <cell r="K1138">
            <v>60</v>
          </cell>
          <cell r="L1138">
            <v>3650</v>
          </cell>
          <cell r="M1138">
            <v>219000</v>
          </cell>
          <cell r="N1138">
            <v>21900</v>
          </cell>
          <cell r="O1138">
            <v>240900</v>
          </cell>
          <cell r="P1138">
            <v>0</v>
          </cell>
          <cell r="Q1138" t="str">
            <v/>
          </cell>
          <cell r="R1138" t="str">
            <v>냉장</v>
          </cell>
          <cell r="S1138" t="str">
            <v>EA(10)</v>
          </cell>
          <cell r="T1138" t="str">
            <v/>
          </cell>
          <cell r="U1138" t="str">
            <v/>
          </cell>
          <cell r="V1138" t="str">
            <v>2019-01-07</v>
          </cell>
          <cell r="W1138" t="str">
            <v>2019-01-07 14:06:50</v>
          </cell>
          <cell r="X1138" t="str">
            <v>더바른푸드</v>
          </cell>
        </row>
        <row r="1139">
          <cell r="A1139">
            <v>1135</v>
          </cell>
          <cell r="B1139" t="str">
            <v>2019-01-08</v>
          </cell>
          <cell r="C1139" t="str">
            <v>더바른푸드</v>
          </cell>
          <cell r="D1139" t="str">
            <v>더바른푸드</v>
          </cell>
          <cell r="E1139" t="str">
            <v>일반</v>
          </cell>
          <cell r="F1139" t="str">
            <v>입고완료</v>
          </cell>
          <cell r="G1139">
            <v>177623</v>
          </cell>
          <cell r="H1139" t="str">
            <v>이츠웰 꽁치캔(1.88Kg/EA)</v>
          </cell>
          <cell r="I1139" t="str">
            <v>EA</v>
          </cell>
          <cell r="J1139">
            <v>2</v>
          </cell>
          <cell r="K1139">
            <v>2</v>
          </cell>
          <cell r="L1139">
            <v>8820</v>
          </cell>
          <cell r="M1139">
            <v>17640</v>
          </cell>
          <cell r="N1139">
            <v>1764</v>
          </cell>
          <cell r="O1139">
            <v>19404</v>
          </cell>
          <cell r="P1139">
            <v>0</v>
          </cell>
          <cell r="Q1139" t="str">
            <v/>
          </cell>
          <cell r="R1139" t="str">
            <v>실온</v>
          </cell>
          <cell r="S1139" t="str">
            <v>EA(6)</v>
          </cell>
          <cell r="T1139" t="str">
            <v/>
          </cell>
          <cell r="U1139" t="str">
            <v/>
          </cell>
          <cell r="V1139" t="str">
            <v>2019-01-07</v>
          </cell>
          <cell r="W1139" t="str">
            <v>2019-01-07 14:09:24</v>
          </cell>
          <cell r="X1139" t="str">
            <v>더바른푸드</v>
          </cell>
        </row>
        <row r="1140">
          <cell r="A1140">
            <v>1136</v>
          </cell>
          <cell r="B1140" t="str">
            <v>2019-01-08</v>
          </cell>
          <cell r="C1140" t="str">
            <v>더바른푸드</v>
          </cell>
          <cell r="D1140" t="str">
            <v>더바른푸드</v>
          </cell>
          <cell r="E1140" t="str">
            <v>일반</v>
          </cell>
          <cell r="F1140" t="str">
            <v>입고완료</v>
          </cell>
          <cell r="G1140">
            <v>197121</v>
          </cell>
          <cell r="H1140" t="str">
            <v>종가집 맛김치(숙성 10Kg/BOX)</v>
          </cell>
          <cell r="I1140" t="str">
            <v>BOX</v>
          </cell>
          <cell r="J1140">
            <v>2</v>
          </cell>
          <cell r="K1140">
            <v>2</v>
          </cell>
          <cell r="L1140">
            <v>41980</v>
          </cell>
          <cell r="M1140">
            <v>83960</v>
          </cell>
          <cell r="N1140">
            <v>0</v>
          </cell>
          <cell r="O1140">
            <v>83960</v>
          </cell>
          <cell r="P1140">
            <v>0</v>
          </cell>
          <cell r="Q1140" t="str">
            <v>한국</v>
          </cell>
          <cell r="R1140" t="str">
            <v>냉장</v>
          </cell>
          <cell r="S1140" t="str">
            <v>BOX(1)</v>
          </cell>
          <cell r="T1140" t="str">
            <v/>
          </cell>
          <cell r="U1140" t="str">
            <v/>
          </cell>
          <cell r="V1140" t="str">
            <v>2019-01-07</v>
          </cell>
          <cell r="W1140" t="str">
            <v>2019-01-07 14:13:00</v>
          </cell>
          <cell r="X1140" t="str">
            <v>더바른푸드</v>
          </cell>
        </row>
        <row r="1141">
          <cell r="A1141">
            <v>1137</v>
          </cell>
          <cell r="B1141" t="str">
            <v>2019-01-08</v>
          </cell>
          <cell r="C1141" t="str">
            <v>더바른푸드</v>
          </cell>
          <cell r="D1141" t="str">
            <v>더바른푸드</v>
          </cell>
          <cell r="E1141" t="str">
            <v>일반</v>
          </cell>
          <cell r="F1141" t="str">
            <v>입고완료</v>
          </cell>
          <cell r="G1141">
            <v>197120</v>
          </cell>
          <cell r="H1141" t="str">
            <v>종가집 포기김치(숙성 10Kg/BOX)</v>
          </cell>
          <cell r="I1141" t="str">
            <v>BOX</v>
          </cell>
          <cell r="J1141">
            <v>10</v>
          </cell>
          <cell r="K1141">
            <v>10</v>
          </cell>
          <cell r="L1141">
            <v>31390</v>
          </cell>
          <cell r="M1141">
            <v>313900</v>
          </cell>
          <cell r="N1141">
            <v>0</v>
          </cell>
          <cell r="O1141">
            <v>313900</v>
          </cell>
          <cell r="P1141">
            <v>0</v>
          </cell>
          <cell r="Q1141" t="str">
            <v>한국</v>
          </cell>
          <cell r="R1141" t="str">
            <v>냉장</v>
          </cell>
          <cell r="S1141" t="str">
            <v>BOX(1)</v>
          </cell>
          <cell r="T1141" t="str">
            <v/>
          </cell>
          <cell r="U1141" t="str">
            <v/>
          </cell>
          <cell r="V1141" t="str">
            <v>2019-01-07</v>
          </cell>
          <cell r="W1141" t="str">
            <v>2019-01-07 14:14:30</v>
          </cell>
          <cell r="X1141" t="str">
            <v>더바른푸드</v>
          </cell>
        </row>
        <row r="1142">
          <cell r="A1142">
            <v>1138</v>
          </cell>
          <cell r="B1142" t="str">
            <v>2019-01-08</v>
          </cell>
          <cell r="C1142" t="str">
            <v>더바른푸드</v>
          </cell>
          <cell r="D1142" t="str">
            <v>더바른푸드</v>
          </cell>
          <cell r="E1142" t="str">
            <v>일반</v>
          </cell>
          <cell r="F1142" t="str">
            <v>입고완료</v>
          </cell>
          <cell r="G1142">
            <v>143791</v>
          </cell>
          <cell r="H1142" t="str">
            <v>이츠웰 참기름(NEW_PET_1.8L 1.65Kg/EA)</v>
          </cell>
          <cell r="I1142" t="str">
            <v>EA</v>
          </cell>
          <cell r="J1142">
            <v>6</v>
          </cell>
          <cell r="K1142">
            <v>6</v>
          </cell>
          <cell r="L1142">
            <v>14550</v>
          </cell>
          <cell r="M1142">
            <v>87300</v>
          </cell>
          <cell r="N1142">
            <v>8730</v>
          </cell>
          <cell r="O1142">
            <v>96030</v>
          </cell>
          <cell r="P1142">
            <v>0</v>
          </cell>
          <cell r="Q1142" t="str">
            <v>베트남</v>
          </cell>
          <cell r="R1142" t="str">
            <v>실온</v>
          </cell>
          <cell r="S1142" t="str">
            <v>EA(6)</v>
          </cell>
          <cell r="T1142" t="str">
            <v/>
          </cell>
          <cell r="U1142" t="str">
            <v/>
          </cell>
          <cell r="V1142" t="str">
            <v>2019-01-07</v>
          </cell>
          <cell r="W1142" t="str">
            <v>2019-01-07 14:15:59</v>
          </cell>
          <cell r="X1142" t="str">
            <v>더바른푸드</v>
          </cell>
        </row>
        <row r="1143">
          <cell r="A1143">
            <v>1139</v>
          </cell>
          <cell r="B1143" t="str">
            <v>2019-01-08</v>
          </cell>
          <cell r="C1143" t="str">
            <v>더바른푸드</v>
          </cell>
          <cell r="D1143" t="str">
            <v>더바른푸드</v>
          </cell>
          <cell r="E1143" t="str">
            <v>일반</v>
          </cell>
          <cell r="F1143" t="str">
            <v>입고완료</v>
          </cell>
          <cell r="G1143">
            <v>128746</v>
          </cell>
          <cell r="H1143" t="str">
            <v>이츠웰 들기름(PET_1.8L 1.65Kg/EA)</v>
          </cell>
          <cell r="I1143" t="str">
            <v>EA</v>
          </cell>
          <cell r="J1143">
            <v>6</v>
          </cell>
          <cell r="K1143">
            <v>6</v>
          </cell>
          <cell r="L1143">
            <v>23590</v>
          </cell>
          <cell r="M1143">
            <v>141540</v>
          </cell>
          <cell r="N1143">
            <v>14154</v>
          </cell>
          <cell r="O1143">
            <v>155694</v>
          </cell>
          <cell r="P1143">
            <v>0</v>
          </cell>
          <cell r="Q1143" t="str">
            <v>중국</v>
          </cell>
          <cell r="R1143" t="str">
            <v>실온</v>
          </cell>
          <cell r="S1143" t="str">
            <v>EA(6)</v>
          </cell>
          <cell r="T1143" t="str">
            <v/>
          </cell>
          <cell r="U1143" t="str">
            <v/>
          </cell>
          <cell r="V1143" t="str">
            <v>2019-01-07</v>
          </cell>
          <cell r="W1143" t="str">
            <v>2019-01-07 14:16:37</v>
          </cell>
          <cell r="X1143" t="str">
            <v>더바른푸드</v>
          </cell>
        </row>
        <row r="1144">
          <cell r="A1144">
            <v>1140</v>
          </cell>
          <cell r="B1144" t="str">
            <v>2019-01-08</v>
          </cell>
          <cell r="C1144" t="str">
            <v>더바른푸드</v>
          </cell>
          <cell r="D1144" t="str">
            <v>더바른푸드</v>
          </cell>
          <cell r="E1144" t="str">
            <v>일반</v>
          </cell>
          <cell r="F1144" t="str">
            <v>입고완료</v>
          </cell>
          <cell r="G1144">
            <v>201605</v>
          </cell>
          <cell r="H1144" t="str">
            <v>마늘쫑(상품 KG)</v>
          </cell>
          <cell r="I1144" t="str">
            <v>KG</v>
          </cell>
          <cell r="J1144">
            <v>2</v>
          </cell>
          <cell r="K1144">
            <v>2</v>
          </cell>
          <cell r="L1144">
            <v>4490</v>
          </cell>
          <cell r="M1144">
            <v>8980</v>
          </cell>
          <cell r="N1144">
            <v>0</v>
          </cell>
          <cell r="O1144">
            <v>8980</v>
          </cell>
          <cell r="P1144">
            <v>0</v>
          </cell>
          <cell r="Q1144" t="str">
            <v>중국</v>
          </cell>
          <cell r="R1144" t="str">
            <v>냉장</v>
          </cell>
          <cell r="S1144" t="str">
            <v>KG(1)</v>
          </cell>
          <cell r="T1144" t="str">
            <v/>
          </cell>
          <cell r="U1144" t="str">
            <v/>
          </cell>
          <cell r="V1144" t="str">
            <v>2019-01-07</v>
          </cell>
          <cell r="W1144" t="str">
            <v>2019-01-07 14:29:07</v>
          </cell>
          <cell r="X1144" t="str">
            <v>더바른푸드</v>
          </cell>
        </row>
        <row r="1145">
          <cell r="A1145">
            <v>1141</v>
          </cell>
          <cell r="B1145" t="str">
            <v>2019-01-08</v>
          </cell>
          <cell r="C1145" t="str">
            <v>더바른푸드</v>
          </cell>
          <cell r="D1145" t="str">
            <v>더바른푸드</v>
          </cell>
          <cell r="E1145" t="str">
            <v>일반</v>
          </cell>
          <cell r="F1145" t="str">
            <v>입고완료</v>
          </cell>
          <cell r="G1145">
            <v>206705</v>
          </cell>
          <cell r="H1145" t="str">
            <v>냉동청피망(1cm다이스 1Kg/PAC)</v>
          </cell>
          <cell r="I1145" t="str">
            <v>PAC</v>
          </cell>
          <cell r="J1145">
            <v>10</v>
          </cell>
          <cell r="K1145">
            <v>10</v>
          </cell>
          <cell r="L1145">
            <v>2110</v>
          </cell>
          <cell r="M1145">
            <v>21100</v>
          </cell>
          <cell r="N1145">
            <v>0</v>
          </cell>
          <cell r="O1145">
            <v>21100</v>
          </cell>
          <cell r="P1145">
            <v>0</v>
          </cell>
          <cell r="Q1145" t="str">
            <v>중국</v>
          </cell>
          <cell r="R1145" t="str">
            <v>냉동</v>
          </cell>
          <cell r="S1145" t="str">
            <v>PAC(1)</v>
          </cell>
          <cell r="T1145" t="str">
            <v/>
          </cell>
          <cell r="U1145" t="str">
            <v/>
          </cell>
          <cell r="V1145" t="str">
            <v>2019-01-07</v>
          </cell>
          <cell r="W1145" t="str">
            <v>2019-01-07 14:38:12</v>
          </cell>
          <cell r="X1145" t="str">
            <v>더바른푸드</v>
          </cell>
        </row>
        <row r="1146">
          <cell r="A1146">
            <v>1142</v>
          </cell>
          <cell r="B1146" t="str">
            <v>2019-01-08</v>
          </cell>
          <cell r="C1146" t="str">
            <v>더바른푸드</v>
          </cell>
          <cell r="D1146" t="str">
            <v>더바른푸드</v>
          </cell>
          <cell r="E1146" t="str">
            <v>일반</v>
          </cell>
          <cell r="F1146" t="str">
            <v>입고완료</v>
          </cell>
          <cell r="G1146">
            <v>210182</v>
          </cell>
          <cell r="H1146" t="str">
            <v>냉동홍피망(다이스 1Kg/EA)</v>
          </cell>
          <cell r="I1146" t="str">
            <v>EA</v>
          </cell>
          <cell r="J1146">
            <v>10</v>
          </cell>
          <cell r="K1146">
            <v>10</v>
          </cell>
          <cell r="L1146">
            <v>2300</v>
          </cell>
          <cell r="M1146">
            <v>23000</v>
          </cell>
          <cell r="N1146">
            <v>0</v>
          </cell>
          <cell r="O1146">
            <v>23000</v>
          </cell>
          <cell r="P1146">
            <v>0</v>
          </cell>
          <cell r="Q1146" t="str">
            <v>중국</v>
          </cell>
          <cell r="R1146" t="str">
            <v>냉동</v>
          </cell>
          <cell r="S1146" t="str">
            <v>EA(1)</v>
          </cell>
          <cell r="T1146" t="str">
            <v/>
          </cell>
          <cell r="U1146" t="str">
            <v/>
          </cell>
          <cell r="V1146" t="str">
            <v>2019-01-07</v>
          </cell>
          <cell r="W1146" t="str">
            <v>2019-01-07 14:38:48</v>
          </cell>
          <cell r="X1146" t="str">
            <v>더바른푸드</v>
          </cell>
        </row>
        <row r="1147">
          <cell r="A1147">
            <v>1143</v>
          </cell>
          <cell r="B1147" t="str">
            <v>2019-01-08</v>
          </cell>
          <cell r="C1147" t="str">
            <v>더바른푸드</v>
          </cell>
          <cell r="D1147" t="str">
            <v>더바른푸드</v>
          </cell>
          <cell r="E1147" t="str">
            <v>일반</v>
          </cell>
          <cell r="F1147" t="str">
            <v>입고완료</v>
          </cell>
          <cell r="G1147">
            <v>247931</v>
          </cell>
          <cell r="H1147" t="str">
            <v>마당발 냉동다진마늘(1Kg/EA)</v>
          </cell>
          <cell r="I1147" t="str">
            <v>EA</v>
          </cell>
          <cell r="J1147">
            <v>20</v>
          </cell>
          <cell r="K1147">
            <v>20</v>
          </cell>
          <cell r="L1147">
            <v>2710</v>
          </cell>
          <cell r="M1147">
            <v>54200</v>
          </cell>
          <cell r="N1147">
            <v>0</v>
          </cell>
          <cell r="O1147">
            <v>54200</v>
          </cell>
          <cell r="P1147">
            <v>0</v>
          </cell>
          <cell r="Q1147" t="str">
            <v>중국</v>
          </cell>
          <cell r="R1147" t="str">
            <v>냉동</v>
          </cell>
          <cell r="S1147" t="str">
            <v>EA(10)</v>
          </cell>
          <cell r="T1147" t="str">
            <v/>
          </cell>
          <cell r="U1147" t="str">
            <v/>
          </cell>
          <cell r="V1147" t="str">
            <v>2019-01-07</v>
          </cell>
          <cell r="W1147" t="str">
            <v>2019-01-07 14:39:20</v>
          </cell>
          <cell r="X1147" t="str">
            <v>더바른푸드</v>
          </cell>
        </row>
        <row r="1148">
          <cell r="A1148">
            <v>1144</v>
          </cell>
          <cell r="B1148" t="str">
            <v>2019-01-08</v>
          </cell>
          <cell r="C1148" t="str">
            <v>더바른푸드</v>
          </cell>
          <cell r="D1148" t="str">
            <v>더바른푸드</v>
          </cell>
          <cell r="E1148" t="str">
            <v>일반</v>
          </cell>
          <cell r="F1148" t="str">
            <v>입고완료</v>
          </cell>
          <cell r="G1148">
            <v>204973</v>
          </cell>
          <cell r="H1148" t="str">
            <v>냉동대파(1Kg/PAC)</v>
          </cell>
          <cell r="I1148" t="str">
            <v>PAC</v>
          </cell>
          <cell r="J1148">
            <v>20</v>
          </cell>
          <cell r="K1148">
            <v>20</v>
          </cell>
          <cell r="L1148">
            <v>1400</v>
          </cell>
          <cell r="M1148">
            <v>28000</v>
          </cell>
          <cell r="N1148">
            <v>0</v>
          </cell>
          <cell r="O1148">
            <v>28000</v>
          </cell>
          <cell r="P1148">
            <v>0</v>
          </cell>
          <cell r="Q1148" t="str">
            <v>중국</v>
          </cell>
          <cell r="R1148" t="str">
            <v>냉동</v>
          </cell>
          <cell r="S1148" t="str">
            <v>PAC(1)</v>
          </cell>
          <cell r="T1148" t="str">
            <v/>
          </cell>
          <cell r="U1148" t="str">
            <v/>
          </cell>
          <cell r="V1148" t="str">
            <v>2019-01-07</v>
          </cell>
          <cell r="W1148" t="str">
            <v>2019-01-07 14:39:49</v>
          </cell>
          <cell r="X1148" t="str">
            <v>더바른푸드</v>
          </cell>
        </row>
        <row r="1149">
          <cell r="A1149">
            <v>1145</v>
          </cell>
          <cell r="B1149" t="str">
            <v>2019-01-08</v>
          </cell>
          <cell r="C1149" t="str">
            <v>더바른푸드</v>
          </cell>
          <cell r="D1149" t="str">
            <v>더바른푸드</v>
          </cell>
          <cell r="E1149" t="str">
            <v>일반</v>
          </cell>
          <cell r="F1149" t="str">
            <v>입고완료</v>
          </cell>
          <cell r="G1149">
            <v>119764</v>
          </cell>
          <cell r="H1149" t="str">
            <v>이츠웰 사각어묵(알뜰 1Kg/EA)</v>
          </cell>
          <cell r="I1149" t="str">
            <v>EA</v>
          </cell>
          <cell r="J1149">
            <v>68</v>
          </cell>
          <cell r="K1149">
            <v>68</v>
          </cell>
          <cell r="L1149">
            <v>2850</v>
          </cell>
          <cell r="M1149">
            <v>193800</v>
          </cell>
          <cell r="N1149">
            <v>19380</v>
          </cell>
          <cell r="O1149">
            <v>213180</v>
          </cell>
          <cell r="P1149">
            <v>0</v>
          </cell>
          <cell r="Q1149" t="str">
            <v/>
          </cell>
          <cell r="R1149" t="str">
            <v>냉장</v>
          </cell>
          <cell r="S1149" t="str">
            <v>EA(10)</v>
          </cell>
          <cell r="T1149" t="str">
            <v/>
          </cell>
          <cell r="U1149" t="str">
            <v/>
          </cell>
          <cell r="V1149" t="str">
            <v>2019-01-07</v>
          </cell>
          <cell r="W1149" t="str">
            <v>2019-01-07 15:08:28</v>
          </cell>
          <cell r="X1149" t="str">
            <v>더바른푸드</v>
          </cell>
        </row>
        <row r="1150">
          <cell r="A1150">
            <v>1146</v>
          </cell>
          <cell r="B1150" t="str">
            <v>2019-01-08</v>
          </cell>
          <cell r="C1150" t="str">
            <v>더바른푸드</v>
          </cell>
          <cell r="D1150" t="str">
            <v>더바른푸드</v>
          </cell>
          <cell r="E1150" t="str">
            <v>일반</v>
          </cell>
          <cell r="F1150" t="str">
            <v>입고완료</v>
          </cell>
          <cell r="G1150">
            <v>159357</v>
          </cell>
          <cell r="H1150" t="str">
            <v>이츠웰 칼집쏙쏙비엔나소시지(1Kg/EA)</v>
          </cell>
          <cell r="I1150" t="str">
            <v>EA</v>
          </cell>
          <cell r="J1150">
            <v>5</v>
          </cell>
          <cell r="K1150">
            <v>5</v>
          </cell>
          <cell r="L1150">
            <v>5690</v>
          </cell>
          <cell r="M1150">
            <v>28450</v>
          </cell>
          <cell r="N1150">
            <v>2845</v>
          </cell>
          <cell r="O1150">
            <v>31295</v>
          </cell>
          <cell r="P1150">
            <v>0</v>
          </cell>
          <cell r="Q1150" t="str">
            <v/>
          </cell>
          <cell r="R1150" t="str">
            <v>냉장</v>
          </cell>
          <cell r="S1150" t="str">
            <v>EA(10)</v>
          </cell>
          <cell r="T1150" t="str">
            <v/>
          </cell>
          <cell r="U1150" t="str">
            <v/>
          </cell>
          <cell r="V1150" t="str">
            <v>2019-01-07</v>
          </cell>
          <cell r="W1150" t="str">
            <v>2019-01-07 15:16:08</v>
          </cell>
          <cell r="X1150" t="str">
            <v>더바른푸드</v>
          </cell>
        </row>
        <row r="1151">
          <cell r="A1151">
            <v>1147</v>
          </cell>
          <cell r="B1151" t="str">
            <v>2019-01-08</v>
          </cell>
          <cell r="C1151" t="str">
            <v>더바른푸드</v>
          </cell>
          <cell r="D1151" t="str">
            <v>더바른푸드</v>
          </cell>
          <cell r="E1151" t="str">
            <v>일반</v>
          </cell>
          <cell r="F1151" t="str">
            <v>입고완료</v>
          </cell>
          <cell r="G1151">
            <v>313767</v>
          </cell>
          <cell r="H1151" t="str">
            <v>프레시웨이 건미역(상품 1Kg/EA)</v>
          </cell>
          <cell r="I1151" t="str">
            <v>EA</v>
          </cell>
          <cell r="J1151">
            <v>3</v>
          </cell>
          <cell r="K1151">
            <v>3</v>
          </cell>
          <cell r="L1151">
            <v>15550</v>
          </cell>
          <cell r="M1151">
            <v>46650</v>
          </cell>
          <cell r="N1151">
            <v>0</v>
          </cell>
          <cell r="O1151">
            <v>46650</v>
          </cell>
          <cell r="P1151">
            <v>0</v>
          </cell>
          <cell r="Q1151" t="str">
            <v>한국</v>
          </cell>
          <cell r="R1151" t="str">
            <v>실온</v>
          </cell>
          <cell r="S1151" t="str">
            <v>EA(10)</v>
          </cell>
          <cell r="T1151" t="str">
            <v/>
          </cell>
          <cell r="U1151" t="str">
            <v/>
          </cell>
          <cell r="V1151" t="str">
            <v>2019-01-07</v>
          </cell>
          <cell r="W1151" t="str">
            <v>2019-01-07 15:18:22</v>
          </cell>
          <cell r="X1151" t="str">
            <v>더바른푸드</v>
          </cell>
        </row>
        <row r="1152">
          <cell r="A1152">
            <v>1148</v>
          </cell>
          <cell r="B1152" t="str">
            <v>2019-01-08</v>
          </cell>
          <cell r="C1152" t="str">
            <v>더바른푸드</v>
          </cell>
          <cell r="D1152" t="str">
            <v>더바른푸드</v>
          </cell>
          <cell r="E1152" t="str">
            <v>일반</v>
          </cell>
          <cell r="F1152" t="str">
            <v>입고완료</v>
          </cell>
          <cell r="G1152">
            <v>312342</v>
          </cell>
          <cell r="H1152" t="str">
            <v>냉동굴(깐것_수율90% 1Kg/EA)</v>
          </cell>
          <cell r="I1152" t="str">
            <v>EA</v>
          </cell>
          <cell r="J1152">
            <v>20</v>
          </cell>
          <cell r="K1152">
            <v>20</v>
          </cell>
          <cell r="L1152">
            <v>11120</v>
          </cell>
          <cell r="M1152">
            <v>222400</v>
          </cell>
          <cell r="N1152">
            <v>0</v>
          </cell>
          <cell r="O1152">
            <v>222400</v>
          </cell>
          <cell r="P1152">
            <v>0</v>
          </cell>
          <cell r="Q1152" t="str">
            <v>한국</v>
          </cell>
          <cell r="R1152" t="str">
            <v>냉동</v>
          </cell>
          <cell r="S1152" t="str">
            <v>EA(10)</v>
          </cell>
          <cell r="T1152" t="str">
            <v/>
          </cell>
          <cell r="U1152" t="str">
            <v/>
          </cell>
          <cell r="V1152" t="str">
            <v>2019-01-07</v>
          </cell>
          <cell r="W1152" t="str">
            <v>2019-01-07 15:19:42</v>
          </cell>
          <cell r="X1152" t="str">
            <v>더바른푸드</v>
          </cell>
        </row>
        <row r="1153">
          <cell r="A1153">
            <v>1149</v>
          </cell>
          <cell r="B1153" t="str">
            <v>2019-01-08</v>
          </cell>
          <cell r="C1153" t="str">
            <v>더바른푸드</v>
          </cell>
          <cell r="D1153" t="str">
            <v>더바른푸드</v>
          </cell>
          <cell r="E1153" t="str">
            <v>일반</v>
          </cell>
          <cell r="F1153" t="str">
            <v>입고완료</v>
          </cell>
          <cell r="G1153">
            <v>134065</v>
          </cell>
          <cell r="H1153" t="str">
            <v>이츠웰 유부(슬라이스 1Kg/EA)</v>
          </cell>
          <cell r="I1153" t="str">
            <v>EA</v>
          </cell>
          <cell r="J1153">
            <v>1</v>
          </cell>
          <cell r="K1153">
            <v>1</v>
          </cell>
          <cell r="L1153">
            <v>6750</v>
          </cell>
          <cell r="M1153">
            <v>6750</v>
          </cell>
          <cell r="N1153">
            <v>675</v>
          </cell>
          <cell r="O1153">
            <v>7425</v>
          </cell>
          <cell r="P1153">
            <v>0</v>
          </cell>
          <cell r="Q1153" t="str">
            <v>외국산</v>
          </cell>
          <cell r="R1153" t="str">
            <v>냉동</v>
          </cell>
          <cell r="S1153" t="str">
            <v>EA(8)</v>
          </cell>
          <cell r="T1153" t="str">
            <v/>
          </cell>
          <cell r="U1153" t="str">
            <v/>
          </cell>
          <cell r="V1153" t="str">
            <v>2019-01-07</v>
          </cell>
          <cell r="W1153" t="str">
            <v>2019-01-07 15:22:02</v>
          </cell>
          <cell r="X1153" t="str">
            <v>더바른푸드</v>
          </cell>
        </row>
        <row r="1154">
          <cell r="A1154">
            <v>1150</v>
          </cell>
          <cell r="B1154" t="str">
            <v>2019-01-08</v>
          </cell>
          <cell r="C1154" t="str">
            <v>더바른푸드</v>
          </cell>
          <cell r="D1154" t="str">
            <v>더바른푸드</v>
          </cell>
          <cell r="E1154" t="str">
            <v>일반</v>
          </cell>
          <cell r="F1154" t="str">
            <v>입고완료</v>
          </cell>
          <cell r="G1154">
            <v>137737</v>
          </cell>
          <cell r="H1154" t="str">
            <v>이츠웰 손만두(실속 28g*50입 1.4Kg/EA)</v>
          </cell>
          <cell r="I1154" t="str">
            <v>EA</v>
          </cell>
          <cell r="J1154">
            <v>2</v>
          </cell>
          <cell r="K1154">
            <v>2</v>
          </cell>
          <cell r="L1154">
            <v>4790</v>
          </cell>
          <cell r="M1154">
            <v>9580</v>
          </cell>
          <cell r="N1154">
            <v>958</v>
          </cell>
          <cell r="O1154">
            <v>10538</v>
          </cell>
          <cell r="P1154">
            <v>0</v>
          </cell>
          <cell r="Q1154" t="str">
            <v/>
          </cell>
          <cell r="R1154" t="str">
            <v>냉동</v>
          </cell>
          <cell r="S1154" t="str">
            <v>EA(6)</v>
          </cell>
          <cell r="T1154" t="str">
            <v/>
          </cell>
          <cell r="U1154" t="str">
            <v/>
          </cell>
          <cell r="V1154" t="str">
            <v>2019-01-07</v>
          </cell>
          <cell r="W1154" t="str">
            <v>2019-01-07 15:27:47</v>
          </cell>
          <cell r="X1154" t="str">
            <v>더바른푸드</v>
          </cell>
        </row>
        <row r="1155">
          <cell r="A1155">
            <v>1151</v>
          </cell>
          <cell r="B1155" t="str">
            <v>2019-01-08</v>
          </cell>
          <cell r="C1155" t="str">
            <v>더바른푸드</v>
          </cell>
          <cell r="D1155" t="str">
            <v>더바른푸드</v>
          </cell>
          <cell r="E1155" t="str">
            <v>일반</v>
          </cell>
          <cell r="F1155" t="str">
            <v>입고완료</v>
          </cell>
          <cell r="G1155">
            <v>211696</v>
          </cell>
          <cell r="H1155" t="str">
            <v>건시래기(데친것 KG)</v>
          </cell>
          <cell r="I1155" t="str">
            <v>KG</v>
          </cell>
          <cell r="J1155">
            <v>16</v>
          </cell>
          <cell r="K1155">
            <v>16</v>
          </cell>
          <cell r="L1155">
            <v>2740</v>
          </cell>
          <cell r="M1155">
            <v>43840</v>
          </cell>
          <cell r="N1155">
            <v>0</v>
          </cell>
          <cell r="O1155">
            <v>43840</v>
          </cell>
          <cell r="P1155">
            <v>0</v>
          </cell>
          <cell r="Q1155" t="str">
            <v>한국</v>
          </cell>
          <cell r="R1155" t="str">
            <v>냉장</v>
          </cell>
          <cell r="S1155" t="str">
            <v>KG(1)</v>
          </cell>
          <cell r="T1155" t="str">
            <v/>
          </cell>
          <cell r="U1155" t="str">
            <v/>
          </cell>
          <cell r="V1155" t="str">
            <v>2019-01-07</v>
          </cell>
          <cell r="W1155" t="str">
            <v>2019-01-07 16:25:18</v>
          </cell>
          <cell r="X1155" t="str">
            <v>더바른푸드</v>
          </cell>
        </row>
        <row r="1156">
          <cell r="A1156">
            <v>1152</v>
          </cell>
          <cell r="B1156" t="str">
            <v>2019-01-07</v>
          </cell>
          <cell r="C1156">
            <v>0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</row>
        <row r="1157">
          <cell r="A1157">
            <v>1153</v>
          </cell>
          <cell r="B1157" t="str">
            <v>2019-01-07</v>
          </cell>
          <cell r="C1157" t="str">
            <v>더바른푸드</v>
          </cell>
          <cell r="D1157" t="str">
            <v>더바른푸드</v>
          </cell>
          <cell r="E1157" t="str">
            <v>일반</v>
          </cell>
          <cell r="F1157" t="str">
            <v>입고완료</v>
          </cell>
          <cell r="G1157">
            <v>143426</v>
          </cell>
          <cell r="H1157" t="str">
            <v>이츠웰 연두부(80g/EA)</v>
          </cell>
          <cell r="I1157" t="str">
            <v>EA</v>
          </cell>
          <cell r="J1157">
            <v>2120</v>
          </cell>
          <cell r="K1157">
            <v>1958</v>
          </cell>
          <cell r="L1157">
            <v>180</v>
          </cell>
          <cell r="M1157">
            <v>381600</v>
          </cell>
          <cell r="N1157">
            <v>0</v>
          </cell>
          <cell r="O1157">
            <v>381600</v>
          </cell>
          <cell r="P1157">
            <v>0</v>
          </cell>
          <cell r="Q1157" t="str">
            <v>외국산</v>
          </cell>
          <cell r="R1157" t="str">
            <v>냉장</v>
          </cell>
          <cell r="S1157" t="str">
            <v>EA(1)</v>
          </cell>
          <cell r="T1157" t="str">
            <v/>
          </cell>
          <cell r="U1157" t="str">
            <v/>
          </cell>
          <cell r="V1157" t="str">
            <v>2019-01-04</v>
          </cell>
          <cell r="W1157" t="str">
            <v>2019-01-04 12:28:07</v>
          </cell>
          <cell r="X1157" t="str">
            <v>더바른푸드</v>
          </cell>
        </row>
        <row r="1158">
          <cell r="A1158">
            <v>1154</v>
          </cell>
          <cell r="B1158" t="str">
            <v>2019-01-07</v>
          </cell>
          <cell r="C1158" t="str">
            <v>더바른푸드</v>
          </cell>
          <cell r="D1158" t="str">
            <v>더바른푸드</v>
          </cell>
          <cell r="E1158" t="str">
            <v>일반</v>
          </cell>
          <cell r="F1158" t="str">
            <v>입고완료</v>
          </cell>
          <cell r="G1158">
            <v>312522</v>
          </cell>
          <cell r="H1158" t="str">
            <v>뱅어포(10장 120g/EA)</v>
          </cell>
          <cell r="I1158" t="str">
            <v>EA</v>
          </cell>
          <cell r="J1158">
            <v>70</v>
          </cell>
          <cell r="K1158">
            <v>70</v>
          </cell>
          <cell r="L1158">
            <v>6540</v>
          </cell>
          <cell r="M1158">
            <v>457800</v>
          </cell>
          <cell r="N1158">
            <v>0</v>
          </cell>
          <cell r="O1158">
            <v>457800</v>
          </cell>
          <cell r="P1158">
            <v>0</v>
          </cell>
          <cell r="Q1158" t="str">
            <v>한국</v>
          </cell>
          <cell r="R1158" t="str">
            <v>실온</v>
          </cell>
          <cell r="S1158" t="str">
            <v>EA(1)</v>
          </cell>
          <cell r="T1158" t="str">
            <v/>
          </cell>
          <cell r="U1158" t="str">
            <v/>
          </cell>
          <cell r="V1158" t="str">
            <v>2019-01-04</v>
          </cell>
          <cell r="W1158" t="str">
            <v>2019-01-04 14:17:11</v>
          </cell>
          <cell r="X1158" t="str">
            <v>더바른푸드</v>
          </cell>
        </row>
        <row r="1159">
          <cell r="A1159">
            <v>1155</v>
          </cell>
          <cell r="B1159" t="str">
            <v>2019-01-07</v>
          </cell>
          <cell r="C1159" t="str">
            <v>더바른푸드</v>
          </cell>
          <cell r="D1159" t="str">
            <v>더바른푸드</v>
          </cell>
          <cell r="E1159" t="str">
            <v>일반</v>
          </cell>
          <cell r="F1159" t="str">
            <v>입고완료</v>
          </cell>
          <cell r="G1159">
            <v>136708</v>
          </cell>
          <cell r="H1159" t="str">
            <v>마더구스 케익(치즈케익_80조각 700g/EA)</v>
          </cell>
          <cell r="I1159" t="str">
            <v>EA</v>
          </cell>
          <cell r="J1159">
            <v>6</v>
          </cell>
          <cell r="K1159">
            <v>6</v>
          </cell>
          <cell r="L1159">
            <v>11100</v>
          </cell>
          <cell r="M1159">
            <v>66600</v>
          </cell>
          <cell r="N1159">
            <v>6660</v>
          </cell>
          <cell r="O1159">
            <v>73260</v>
          </cell>
          <cell r="P1159">
            <v>0</v>
          </cell>
          <cell r="Q1159" t="str">
            <v/>
          </cell>
          <cell r="R1159" t="str">
            <v>냉동</v>
          </cell>
          <cell r="S1159" t="str">
            <v>EA(10)</v>
          </cell>
          <cell r="T1159" t="str">
            <v/>
          </cell>
          <cell r="U1159" t="str">
            <v/>
          </cell>
          <cell r="V1159" t="str">
            <v>2019-01-04</v>
          </cell>
          <cell r="W1159" t="str">
            <v>2019-01-04 16:17:40</v>
          </cell>
          <cell r="X1159" t="str">
            <v>더바른푸드</v>
          </cell>
        </row>
        <row r="1160">
          <cell r="A1160">
            <v>1156</v>
          </cell>
          <cell r="B1160" t="str">
            <v>2019-01-07</v>
          </cell>
          <cell r="C1160" t="str">
            <v>더바른푸드</v>
          </cell>
          <cell r="D1160" t="str">
            <v>더바른푸드</v>
          </cell>
          <cell r="E1160" t="str">
            <v>일반</v>
          </cell>
          <cell r="F1160" t="str">
            <v>입고완료</v>
          </cell>
          <cell r="G1160">
            <v>136633</v>
          </cell>
          <cell r="H1160" t="str">
            <v>이오 요구르트(80ml_유기농 80g/EA)</v>
          </cell>
          <cell r="I1160" t="str">
            <v>EA</v>
          </cell>
          <cell r="J1160">
            <v>240</v>
          </cell>
          <cell r="K1160">
            <v>240</v>
          </cell>
          <cell r="L1160">
            <v>300</v>
          </cell>
          <cell r="M1160">
            <v>72000</v>
          </cell>
          <cell r="N1160">
            <v>7200</v>
          </cell>
          <cell r="O1160">
            <v>79200</v>
          </cell>
          <cell r="P1160">
            <v>0</v>
          </cell>
          <cell r="Q1160" t="str">
            <v>한국</v>
          </cell>
          <cell r="R1160" t="str">
            <v>냉장</v>
          </cell>
          <cell r="S1160" t="str">
            <v>EA(50)</v>
          </cell>
          <cell r="T1160" t="str">
            <v/>
          </cell>
          <cell r="U1160" t="str">
            <v/>
          </cell>
          <cell r="V1160" t="str">
            <v>2019-01-04</v>
          </cell>
          <cell r="W1160" t="str">
            <v>2019-01-04 16:19:03</v>
          </cell>
          <cell r="X1160" t="str">
            <v>더바른푸드</v>
          </cell>
        </row>
        <row r="1161">
          <cell r="A1161">
            <v>1157</v>
          </cell>
          <cell r="B1161" t="str">
            <v>2019-01-07</v>
          </cell>
          <cell r="C1161" t="str">
            <v>더바른푸드</v>
          </cell>
          <cell r="D1161" t="str">
            <v>더바른푸드</v>
          </cell>
          <cell r="E1161" t="str">
            <v>일반</v>
          </cell>
          <cell r="F1161" t="str">
            <v>입고완료</v>
          </cell>
          <cell r="G1161">
            <v>166336</v>
          </cell>
          <cell r="H1161" t="str">
            <v>종로복떡방 흰바람떡(멥쌀_34입 1Kg/EA)</v>
          </cell>
          <cell r="I1161" t="str">
            <v>EA</v>
          </cell>
          <cell r="J1161">
            <v>9</v>
          </cell>
          <cell r="K1161">
            <v>9</v>
          </cell>
          <cell r="L1161">
            <v>7320</v>
          </cell>
          <cell r="M1161">
            <v>65880</v>
          </cell>
          <cell r="N1161">
            <v>6588</v>
          </cell>
          <cell r="O1161">
            <v>72468</v>
          </cell>
          <cell r="P1161">
            <v>0</v>
          </cell>
          <cell r="Q1161" t="str">
            <v/>
          </cell>
          <cell r="R1161" t="str">
            <v>냉동</v>
          </cell>
          <cell r="S1161" t="str">
            <v>EA(1)</v>
          </cell>
          <cell r="T1161" t="str">
            <v/>
          </cell>
          <cell r="U1161" t="str">
            <v/>
          </cell>
          <cell r="V1161" t="str">
            <v>2019-01-04</v>
          </cell>
          <cell r="W1161" t="str">
            <v>2019-01-04 16:35:54</v>
          </cell>
          <cell r="X1161" t="str">
            <v>더바른푸드</v>
          </cell>
        </row>
        <row r="1162">
          <cell r="A1162">
            <v>1158</v>
          </cell>
          <cell r="B1162" t="str">
            <v>2019-01-07</v>
          </cell>
          <cell r="C1162" t="str">
            <v>더바른푸드</v>
          </cell>
          <cell r="D1162" t="str">
            <v>더바른푸드</v>
          </cell>
          <cell r="E1162" t="str">
            <v>일반</v>
          </cell>
          <cell r="F1162" t="str">
            <v>입고완료</v>
          </cell>
          <cell r="G1162">
            <v>143422</v>
          </cell>
          <cell r="H1162" t="str">
            <v>이츠웰 순두부(1Kg/EA)</v>
          </cell>
          <cell r="I1162" t="str">
            <v>EA</v>
          </cell>
          <cell r="J1162">
            <v>130</v>
          </cell>
          <cell r="K1162">
            <v>130</v>
          </cell>
          <cell r="L1162">
            <v>800</v>
          </cell>
          <cell r="M1162">
            <v>104000</v>
          </cell>
          <cell r="N1162">
            <v>0</v>
          </cell>
          <cell r="O1162">
            <v>104000</v>
          </cell>
          <cell r="P1162">
            <v>0</v>
          </cell>
          <cell r="Q1162" t="str">
            <v>외국산</v>
          </cell>
          <cell r="R1162" t="str">
            <v>냉장</v>
          </cell>
          <cell r="S1162" t="str">
            <v>EA(1)</v>
          </cell>
          <cell r="T1162" t="str">
            <v/>
          </cell>
          <cell r="U1162" t="str">
            <v/>
          </cell>
          <cell r="V1162" t="str">
            <v>2019-01-04</v>
          </cell>
          <cell r="W1162" t="str">
            <v>2019-01-04 16:53:30</v>
          </cell>
          <cell r="X1162" t="str">
            <v>더바른푸드</v>
          </cell>
        </row>
        <row r="1163">
          <cell r="A1163">
            <v>1159</v>
          </cell>
          <cell r="B1163" t="str">
            <v>2019-01-07</v>
          </cell>
          <cell r="C1163" t="str">
            <v>더바른푸드</v>
          </cell>
          <cell r="D1163" t="str">
            <v>더바른푸드</v>
          </cell>
          <cell r="E1163" t="str">
            <v>일반</v>
          </cell>
          <cell r="F1163" t="str">
            <v>입고완료</v>
          </cell>
          <cell r="G1163">
            <v>420010</v>
          </cell>
          <cell r="H1163" t="str">
            <v>알로팜 계란(왕란_무항생제_68g*30입 2.04Kg/EA)</v>
          </cell>
          <cell r="I1163" t="str">
            <v>EA</v>
          </cell>
          <cell r="J1163">
            <v>20</v>
          </cell>
          <cell r="K1163">
            <v>20</v>
          </cell>
          <cell r="L1163">
            <v>4350</v>
          </cell>
          <cell r="M1163">
            <v>87000</v>
          </cell>
          <cell r="N1163">
            <v>0</v>
          </cell>
          <cell r="O1163">
            <v>87000</v>
          </cell>
          <cell r="P1163">
            <v>87000</v>
          </cell>
          <cell r="Q1163" t="str">
            <v>한국</v>
          </cell>
          <cell r="R1163" t="str">
            <v>냉장</v>
          </cell>
          <cell r="S1163" t="str">
            <v>EA(1)</v>
          </cell>
          <cell r="T1163" t="str">
            <v/>
          </cell>
          <cell r="U1163" t="str">
            <v/>
          </cell>
          <cell r="V1163" t="str">
            <v>2019-01-04</v>
          </cell>
          <cell r="W1163" t="str">
            <v>2019-01-04 16:56:07</v>
          </cell>
          <cell r="X1163" t="str">
            <v>더바른푸드</v>
          </cell>
        </row>
        <row r="1164">
          <cell r="A1164">
            <v>1160</v>
          </cell>
          <cell r="B1164" t="str">
            <v>2019-01-07</v>
          </cell>
          <cell r="C1164" t="str">
            <v>더바른푸드</v>
          </cell>
          <cell r="D1164" t="str">
            <v>더바른푸드</v>
          </cell>
          <cell r="E1164" t="str">
            <v>일반</v>
          </cell>
          <cell r="F1164" t="str">
            <v>입고완료</v>
          </cell>
          <cell r="G1164">
            <v>101787</v>
          </cell>
          <cell r="H1164" t="str">
            <v>건시래기데침(2Kg/EA)</v>
          </cell>
          <cell r="I1164" t="str">
            <v>EA</v>
          </cell>
          <cell r="J1164">
            <v>1</v>
          </cell>
          <cell r="K1164">
            <v>1</v>
          </cell>
          <cell r="L1164">
            <v>109600</v>
          </cell>
          <cell r="M1164">
            <v>109600</v>
          </cell>
          <cell r="N1164">
            <v>0</v>
          </cell>
          <cell r="O1164">
            <v>109600</v>
          </cell>
          <cell r="P1164">
            <v>0</v>
          </cell>
          <cell r="Q1164" t="str">
            <v>한국</v>
          </cell>
          <cell r="R1164" t="str">
            <v>냉장</v>
          </cell>
          <cell r="S1164" t="str">
            <v>EA(1)</v>
          </cell>
          <cell r="T1164" t="str">
            <v/>
          </cell>
          <cell r="U1164" t="str">
            <v/>
          </cell>
          <cell r="V1164" t="str">
            <v>2019-01-17</v>
          </cell>
          <cell r="W1164" t="str">
            <v>2019-01-17 11:14:01</v>
          </cell>
          <cell r="X1164" t="str">
            <v>nanee0703</v>
          </cell>
        </row>
        <row r="1165">
          <cell r="A1165">
            <v>1161</v>
          </cell>
          <cell r="B1165" t="str">
            <v>2019-01-05</v>
          </cell>
          <cell r="C1165">
            <v>0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</row>
        <row r="1166">
          <cell r="A1166">
            <v>1162</v>
          </cell>
          <cell r="B1166" t="str">
            <v>2019-01-05</v>
          </cell>
          <cell r="C1166" t="str">
            <v>더바른푸드</v>
          </cell>
          <cell r="D1166" t="str">
            <v>더바른푸드</v>
          </cell>
          <cell r="E1166" t="str">
            <v>일반</v>
          </cell>
          <cell r="F1166" t="str">
            <v>입고완료</v>
          </cell>
          <cell r="G1166">
            <v>247931</v>
          </cell>
          <cell r="H1166" t="str">
            <v>마당발 냉동다진마늘(1Kg/EA)</v>
          </cell>
          <cell r="I1166" t="str">
            <v>EA</v>
          </cell>
          <cell r="J1166">
            <v>20</v>
          </cell>
          <cell r="K1166">
            <v>20</v>
          </cell>
          <cell r="L1166">
            <v>2710</v>
          </cell>
          <cell r="M1166">
            <v>54200</v>
          </cell>
          <cell r="N1166">
            <v>0</v>
          </cell>
          <cell r="O1166">
            <v>54200</v>
          </cell>
          <cell r="P1166">
            <v>0</v>
          </cell>
          <cell r="Q1166" t="str">
            <v>중국</v>
          </cell>
          <cell r="R1166" t="str">
            <v>냉동</v>
          </cell>
          <cell r="S1166" t="str">
            <v>EA(10)</v>
          </cell>
          <cell r="T1166" t="str">
            <v/>
          </cell>
          <cell r="U1166" t="str">
            <v/>
          </cell>
          <cell r="V1166" t="str">
            <v>2019-01-04</v>
          </cell>
          <cell r="W1166" t="str">
            <v>2019-01-04 11:42:50</v>
          </cell>
          <cell r="X1166" t="str">
            <v>더바른푸드</v>
          </cell>
        </row>
        <row r="1167">
          <cell r="A1167">
            <v>1163</v>
          </cell>
          <cell r="B1167" t="str">
            <v>2019-01-05</v>
          </cell>
          <cell r="C1167" t="str">
            <v>더바른푸드</v>
          </cell>
          <cell r="D1167" t="str">
            <v>더바른푸드</v>
          </cell>
          <cell r="E1167" t="str">
            <v>일반</v>
          </cell>
          <cell r="F1167" t="str">
            <v>입고완료</v>
          </cell>
          <cell r="G1167">
            <v>204973</v>
          </cell>
          <cell r="H1167" t="str">
            <v>냉동대파(1Kg/PAC)</v>
          </cell>
          <cell r="I1167" t="str">
            <v>PAC</v>
          </cell>
          <cell r="J1167">
            <v>20</v>
          </cell>
          <cell r="K1167">
            <v>20</v>
          </cell>
          <cell r="L1167">
            <v>1400</v>
          </cell>
          <cell r="M1167">
            <v>28000</v>
          </cell>
          <cell r="N1167">
            <v>0</v>
          </cell>
          <cell r="O1167">
            <v>28000</v>
          </cell>
          <cell r="P1167">
            <v>0</v>
          </cell>
          <cell r="Q1167" t="str">
            <v>중국</v>
          </cell>
          <cell r="R1167" t="str">
            <v>냉동</v>
          </cell>
          <cell r="S1167" t="str">
            <v>PAC(1)</v>
          </cell>
          <cell r="T1167" t="str">
            <v/>
          </cell>
          <cell r="U1167" t="str">
            <v/>
          </cell>
          <cell r="V1167" t="str">
            <v>2019-01-04</v>
          </cell>
          <cell r="W1167" t="str">
            <v>2019-01-04 11:43:09</v>
          </cell>
          <cell r="X1167" t="str">
            <v>더바른푸드</v>
          </cell>
        </row>
        <row r="1168">
          <cell r="A1168">
            <v>1164</v>
          </cell>
          <cell r="B1168" t="str">
            <v>2019-01-05</v>
          </cell>
          <cell r="C1168" t="str">
            <v>더바른푸드</v>
          </cell>
          <cell r="D1168" t="str">
            <v>더바른푸드</v>
          </cell>
          <cell r="E1168" t="str">
            <v>일반</v>
          </cell>
          <cell r="F1168" t="str">
            <v>입고완료</v>
          </cell>
          <cell r="G1168">
            <v>223306</v>
          </cell>
          <cell r="H1168" t="str">
            <v>냉동근대(IQF 1Kg/EA)</v>
          </cell>
          <cell r="I1168" t="str">
            <v>EA</v>
          </cell>
          <cell r="J1168">
            <v>60</v>
          </cell>
          <cell r="K1168">
            <v>60</v>
          </cell>
          <cell r="L1168">
            <v>1670</v>
          </cell>
          <cell r="M1168">
            <v>100200</v>
          </cell>
          <cell r="N1168">
            <v>10020</v>
          </cell>
          <cell r="O1168">
            <v>110220</v>
          </cell>
          <cell r="P1168">
            <v>0</v>
          </cell>
          <cell r="Q1168" t="str">
            <v>중국</v>
          </cell>
          <cell r="R1168" t="str">
            <v>냉동</v>
          </cell>
          <cell r="S1168" t="str">
            <v>EA(1)</v>
          </cell>
          <cell r="T1168" t="str">
            <v/>
          </cell>
          <cell r="U1168" t="str">
            <v/>
          </cell>
          <cell r="V1168" t="str">
            <v>2019-01-04</v>
          </cell>
          <cell r="W1168" t="str">
            <v>2019-01-04 11:43:34</v>
          </cell>
          <cell r="X1168" t="str">
            <v>더바른푸드</v>
          </cell>
        </row>
        <row r="1169">
          <cell r="A1169">
            <v>1165</v>
          </cell>
          <cell r="B1169" t="str">
            <v>2019-01-05</v>
          </cell>
          <cell r="C1169" t="str">
            <v>더바른푸드</v>
          </cell>
          <cell r="D1169" t="str">
            <v>더바른푸드</v>
          </cell>
          <cell r="E1169" t="str">
            <v>일반</v>
          </cell>
          <cell r="F1169" t="str">
            <v>입고완료</v>
          </cell>
          <cell r="G1169">
            <v>119764</v>
          </cell>
          <cell r="H1169" t="str">
            <v>이츠웰 사각어묵(알뜰 1Kg/EA)</v>
          </cell>
          <cell r="I1169" t="str">
            <v>EA</v>
          </cell>
          <cell r="J1169">
            <v>10</v>
          </cell>
          <cell r="K1169">
            <v>10</v>
          </cell>
          <cell r="L1169">
            <v>2850</v>
          </cell>
          <cell r="M1169">
            <v>28500</v>
          </cell>
          <cell r="N1169">
            <v>2850</v>
          </cell>
          <cell r="O1169">
            <v>31350</v>
          </cell>
          <cell r="P1169">
            <v>0</v>
          </cell>
          <cell r="Q1169" t="str">
            <v/>
          </cell>
          <cell r="R1169" t="str">
            <v>냉장</v>
          </cell>
          <cell r="S1169" t="str">
            <v>EA(10)</v>
          </cell>
          <cell r="T1169" t="str">
            <v/>
          </cell>
          <cell r="U1169" t="str">
            <v/>
          </cell>
          <cell r="V1169" t="str">
            <v>2019-01-04</v>
          </cell>
          <cell r="W1169" t="str">
            <v>2019-01-04 11:43:56</v>
          </cell>
          <cell r="X1169" t="str">
            <v>더바른푸드</v>
          </cell>
        </row>
        <row r="1170">
          <cell r="A1170">
            <v>1166</v>
          </cell>
          <cell r="B1170" t="str">
            <v>2019-01-05</v>
          </cell>
          <cell r="C1170" t="str">
            <v>더바른푸드</v>
          </cell>
          <cell r="D1170" t="str">
            <v>더바른푸드</v>
          </cell>
          <cell r="E1170" t="str">
            <v>일반</v>
          </cell>
          <cell r="F1170" t="str">
            <v>입고완료</v>
          </cell>
          <cell r="G1170">
            <v>208502</v>
          </cell>
          <cell r="H1170" t="str">
            <v>세척당근(3L 10Kg/EA)</v>
          </cell>
          <cell r="I1170" t="str">
            <v>EA</v>
          </cell>
          <cell r="J1170">
            <v>1</v>
          </cell>
          <cell r="K1170">
            <v>1</v>
          </cell>
          <cell r="L1170">
            <v>11980</v>
          </cell>
          <cell r="M1170">
            <v>11980</v>
          </cell>
          <cell r="N1170">
            <v>0</v>
          </cell>
          <cell r="O1170">
            <v>11980</v>
          </cell>
          <cell r="P1170">
            <v>0</v>
          </cell>
          <cell r="Q1170" t="str">
            <v>중국</v>
          </cell>
          <cell r="R1170" t="str">
            <v>실온</v>
          </cell>
          <cell r="S1170" t="str">
            <v>EA(1)</v>
          </cell>
          <cell r="T1170" t="str">
            <v/>
          </cell>
          <cell r="U1170" t="str">
            <v/>
          </cell>
          <cell r="V1170" t="str">
            <v>2019-01-04</v>
          </cell>
          <cell r="W1170" t="str">
            <v>2019-01-04 11:44:16</v>
          </cell>
          <cell r="X1170" t="str">
            <v>더바른푸드</v>
          </cell>
        </row>
        <row r="1171">
          <cell r="A1171">
            <v>1167</v>
          </cell>
          <cell r="B1171" t="str">
            <v>2019-01-05</v>
          </cell>
          <cell r="C1171" t="str">
            <v>더바른푸드</v>
          </cell>
          <cell r="D1171" t="str">
            <v>더바른푸드</v>
          </cell>
          <cell r="E1171" t="str">
            <v>일반</v>
          </cell>
          <cell r="F1171" t="str">
            <v>입고완료</v>
          </cell>
          <cell r="G1171">
            <v>204964</v>
          </cell>
          <cell r="H1171" t="str">
            <v>냉동표고버섯(슬라이스 1Kg/PAC)</v>
          </cell>
          <cell r="I1171" t="str">
            <v>PAC</v>
          </cell>
          <cell r="J1171">
            <v>20</v>
          </cell>
          <cell r="K1171">
            <v>20</v>
          </cell>
          <cell r="L1171">
            <v>2730</v>
          </cell>
          <cell r="M1171">
            <v>54600</v>
          </cell>
          <cell r="N1171">
            <v>0</v>
          </cell>
          <cell r="O1171">
            <v>54600</v>
          </cell>
          <cell r="P1171">
            <v>0</v>
          </cell>
          <cell r="Q1171" t="str">
            <v>중국</v>
          </cell>
          <cell r="R1171" t="str">
            <v>냉동</v>
          </cell>
          <cell r="S1171" t="str">
            <v>PAC(1)</v>
          </cell>
          <cell r="T1171" t="str">
            <v/>
          </cell>
          <cell r="U1171" t="str">
            <v/>
          </cell>
          <cell r="V1171" t="str">
            <v>2019-01-04</v>
          </cell>
          <cell r="W1171" t="str">
            <v>2019-01-04 11:44:59</v>
          </cell>
          <cell r="X1171" t="str">
            <v>더바른푸드</v>
          </cell>
        </row>
        <row r="1172">
          <cell r="A1172">
            <v>1168</v>
          </cell>
          <cell r="B1172" t="str">
            <v>2019-01-05</v>
          </cell>
          <cell r="C1172" t="str">
            <v>더바른푸드</v>
          </cell>
          <cell r="D1172" t="str">
            <v>더바른푸드</v>
          </cell>
          <cell r="E1172" t="str">
            <v>일반</v>
          </cell>
          <cell r="F1172" t="str">
            <v>입고완료</v>
          </cell>
          <cell r="G1172">
            <v>226247</v>
          </cell>
          <cell r="H1172" t="str">
            <v>냉동표고버섯(1.5*1.5cm다이스 1Kg/EA)</v>
          </cell>
          <cell r="I1172" t="str">
            <v>EA</v>
          </cell>
          <cell r="J1172">
            <v>20</v>
          </cell>
          <cell r="K1172">
            <v>20</v>
          </cell>
          <cell r="L1172">
            <v>2720</v>
          </cell>
          <cell r="M1172">
            <v>54400</v>
          </cell>
          <cell r="N1172">
            <v>0</v>
          </cell>
          <cell r="O1172">
            <v>54400</v>
          </cell>
          <cell r="P1172">
            <v>0</v>
          </cell>
          <cell r="Q1172" t="str">
            <v>중국</v>
          </cell>
          <cell r="R1172" t="str">
            <v>냉동</v>
          </cell>
          <cell r="S1172" t="str">
            <v>EA(1)</v>
          </cell>
          <cell r="T1172" t="str">
            <v/>
          </cell>
          <cell r="U1172" t="str">
            <v/>
          </cell>
          <cell r="V1172" t="str">
            <v>2019-01-04</v>
          </cell>
          <cell r="W1172" t="str">
            <v>2019-01-04 11:44:59</v>
          </cell>
          <cell r="X1172" t="str">
            <v>더바른푸드</v>
          </cell>
        </row>
        <row r="1173">
          <cell r="A1173">
            <v>1169</v>
          </cell>
          <cell r="B1173" t="str">
            <v>2019-01-05</v>
          </cell>
          <cell r="C1173" t="str">
            <v>더바른푸드</v>
          </cell>
          <cell r="D1173" t="str">
            <v>더바른푸드</v>
          </cell>
          <cell r="E1173" t="str">
            <v>일반</v>
          </cell>
          <cell r="F1173" t="str">
            <v>입고완료</v>
          </cell>
          <cell r="G1173">
            <v>246968</v>
          </cell>
          <cell r="H1173" t="str">
            <v>하선정 멸치액젓(논산_알뜰형 9Kg/EA)</v>
          </cell>
          <cell r="I1173" t="str">
            <v>EA</v>
          </cell>
          <cell r="J1173">
            <v>2</v>
          </cell>
          <cell r="K1173">
            <v>2</v>
          </cell>
          <cell r="L1173">
            <v>15730</v>
          </cell>
          <cell r="M1173">
            <v>31460</v>
          </cell>
          <cell r="N1173">
            <v>3146</v>
          </cell>
          <cell r="O1173">
            <v>34606</v>
          </cell>
          <cell r="P1173">
            <v>0</v>
          </cell>
          <cell r="Q1173" t="str">
            <v/>
          </cell>
          <cell r="R1173" t="str">
            <v>실온</v>
          </cell>
          <cell r="S1173" t="str">
            <v>EA(1)</v>
          </cell>
          <cell r="T1173" t="str">
            <v/>
          </cell>
          <cell r="U1173" t="str">
            <v/>
          </cell>
          <cell r="V1173" t="str">
            <v>2019-01-04</v>
          </cell>
          <cell r="W1173" t="str">
            <v>2019-01-04 15:19:44</v>
          </cell>
          <cell r="X1173" t="str">
            <v>더바른푸드</v>
          </cell>
        </row>
        <row r="1174">
          <cell r="A1174">
            <v>1170</v>
          </cell>
          <cell r="B1174" t="str">
            <v>2019-01-05</v>
          </cell>
          <cell r="C1174" t="str">
            <v>더바른푸드</v>
          </cell>
          <cell r="D1174" t="str">
            <v>더바른푸드</v>
          </cell>
          <cell r="E1174" t="str">
            <v>일반</v>
          </cell>
          <cell r="F1174" t="str">
            <v>입고완료</v>
          </cell>
          <cell r="G1174">
            <v>105943</v>
          </cell>
          <cell r="H1174" t="str">
            <v>대상 재래된장(지함_재래식숙성 14Kg/EA)</v>
          </cell>
          <cell r="I1174" t="str">
            <v>EA</v>
          </cell>
          <cell r="J1174">
            <v>2</v>
          </cell>
          <cell r="K1174">
            <v>2</v>
          </cell>
          <cell r="L1174">
            <v>25020</v>
          </cell>
          <cell r="M1174">
            <v>50040</v>
          </cell>
          <cell r="N1174">
            <v>5004</v>
          </cell>
          <cell r="O1174">
            <v>55044</v>
          </cell>
          <cell r="P1174">
            <v>0</v>
          </cell>
          <cell r="Q1174" t="str">
            <v/>
          </cell>
          <cell r="R1174" t="str">
            <v>실온</v>
          </cell>
          <cell r="S1174" t="str">
            <v>EA(1)</v>
          </cell>
          <cell r="T1174" t="str">
            <v/>
          </cell>
          <cell r="U1174" t="str">
            <v/>
          </cell>
          <cell r="V1174" t="str">
            <v>2019-01-04</v>
          </cell>
          <cell r="W1174" t="str">
            <v>2019-01-04 15:19:44</v>
          </cell>
          <cell r="X1174" t="str">
            <v>더바른푸드</v>
          </cell>
        </row>
        <row r="1175">
          <cell r="A1175">
            <v>1171</v>
          </cell>
          <cell r="B1175" t="str">
            <v>2019-01-05</v>
          </cell>
          <cell r="C1175" t="str">
            <v>더바른푸드</v>
          </cell>
          <cell r="D1175" t="str">
            <v>더바른푸드</v>
          </cell>
          <cell r="E1175" t="str">
            <v>일반</v>
          </cell>
          <cell r="F1175" t="str">
            <v>입고완료</v>
          </cell>
          <cell r="G1175">
            <v>140438</v>
          </cell>
          <cell r="H1175" t="str">
            <v>이츠웰 이온물엿(NEW 10Kg/EA)</v>
          </cell>
          <cell r="I1175" t="str">
            <v>EA</v>
          </cell>
          <cell r="J1175">
            <v>3</v>
          </cell>
          <cell r="K1175">
            <v>3</v>
          </cell>
          <cell r="L1175">
            <v>8890</v>
          </cell>
          <cell r="M1175">
            <v>26670</v>
          </cell>
          <cell r="N1175">
            <v>2667</v>
          </cell>
          <cell r="O1175">
            <v>29337</v>
          </cell>
          <cell r="P1175">
            <v>0</v>
          </cell>
          <cell r="Q1175" t="str">
            <v/>
          </cell>
          <cell r="R1175" t="str">
            <v>실온</v>
          </cell>
          <cell r="S1175" t="str">
            <v>EA(2)</v>
          </cell>
          <cell r="T1175" t="str">
            <v/>
          </cell>
          <cell r="U1175" t="str">
            <v/>
          </cell>
          <cell r="V1175" t="str">
            <v>2019-01-04</v>
          </cell>
          <cell r="W1175" t="str">
            <v>2019-01-04 15:19:44</v>
          </cell>
          <cell r="X1175" t="str">
            <v>더바른푸드</v>
          </cell>
        </row>
        <row r="1176">
          <cell r="A1176">
            <v>1172</v>
          </cell>
          <cell r="B1176" t="str">
            <v>2019-01-05</v>
          </cell>
          <cell r="C1176" t="str">
            <v>더바른푸드</v>
          </cell>
          <cell r="D1176" t="str">
            <v>더바른푸드</v>
          </cell>
          <cell r="E1176" t="str">
            <v>일반</v>
          </cell>
          <cell r="F1176" t="str">
            <v>입고완료</v>
          </cell>
          <cell r="G1176">
            <v>142620</v>
          </cell>
          <cell r="H1176" t="str">
            <v>청학FNC 볶음검정깨(1Kg/EA)</v>
          </cell>
          <cell r="I1176" t="str">
            <v>EA</v>
          </cell>
          <cell r="J1176">
            <v>1</v>
          </cell>
          <cell r="K1176">
            <v>1</v>
          </cell>
          <cell r="L1176">
            <v>10270</v>
          </cell>
          <cell r="M1176">
            <v>10270</v>
          </cell>
          <cell r="N1176">
            <v>1027</v>
          </cell>
          <cell r="O1176">
            <v>11297</v>
          </cell>
          <cell r="P1176">
            <v>0</v>
          </cell>
          <cell r="Q1176" t="str">
            <v>중국</v>
          </cell>
          <cell r="R1176" t="str">
            <v>실온</v>
          </cell>
          <cell r="S1176" t="str">
            <v>EA(10)</v>
          </cell>
          <cell r="T1176" t="str">
            <v/>
          </cell>
          <cell r="U1176" t="str">
            <v/>
          </cell>
          <cell r="V1176" t="str">
            <v>2019-01-04</v>
          </cell>
          <cell r="W1176" t="str">
            <v>2019-01-04 15:19:44</v>
          </cell>
          <cell r="X1176" t="str">
            <v>더바른푸드</v>
          </cell>
        </row>
        <row r="1177">
          <cell r="A1177">
            <v>1173</v>
          </cell>
          <cell r="B1177" t="str">
            <v>2019-01-05</v>
          </cell>
          <cell r="C1177" t="str">
            <v>더바른푸드</v>
          </cell>
          <cell r="D1177" t="str">
            <v>더바른푸드</v>
          </cell>
          <cell r="E1177" t="str">
            <v>일반</v>
          </cell>
          <cell r="F1177" t="str">
            <v>입고완료</v>
          </cell>
          <cell r="G1177">
            <v>106931</v>
          </cell>
          <cell r="H1177" t="str">
            <v>오뚜기 미향(18L 18Kg/EA)</v>
          </cell>
          <cell r="I1177" t="str">
            <v>EA</v>
          </cell>
          <cell r="J1177">
            <v>2</v>
          </cell>
          <cell r="K1177">
            <v>2</v>
          </cell>
          <cell r="L1177">
            <v>21280</v>
          </cell>
          <cell r="M1177">
            <v>42560</v>
          </cell>
          <cell r="N1177">
            <v>4256</v>
          </cell>
          <cell r="O1177">
            <v>46816</v>
          </cell>
          <cell r="P1177">
            <v>0</v>
          </cell>
          <cell r="Q1177" t="str">
            <v/>
          </cell>
          <cell r="R1177" t="str">
            <v>실온</v>
          </cell>
          <cell r="S1177" t="str">
            <v>EA(1)</v>
          </cell>
          <cell r="T1177" t="str">
            <v/>
          </cell>
          <cell r="U1177" t="str">
            <v/>
          </cell>
          <cell r="V1177" t="str">
            <v>2019-01-04</v>
          </cell>
          <cell r="W1177" t="str">
            <v>2019-01-04 15:19:44</v>
          </cell>
          <cell r="X1177" t="str">
            <v>더바른푸드</v>
          </cell>
        </row>
        <row r="1178">
          <cell r="A1178">
            <v>1174</v>
          </cell>
          <cell r="B1178" t="str">
            <v>2019-01-05</v>
          </cell>
          <cell r="C1178" t="str">
            <v>더바른푸드</v>
          </cell>
          <cell r="D1178" t="str">
            <v>더바른푸드</v>
          </cell>
          <cell r="E1178" t="str">
            <v>일반</v>
          </cell>
          <cell r="F1178" t="str">
            <v>입고완료</v>
          </cell>
          <cell r="G1178">
            <v>118708</v>
          </cell>
          <cell r="H1178" t="str">
            <v>한라 참치액(900ml 900g/EA)</v>
          </cell>
          <cell r="I1178" t="str">
            <v>EA</v>
          </cell>
          <cell r="J1178">
            <v>2</v>
          </cell>
          <cell r="K1178">
            <v>2</v>
          </cell>
          <cell r="L1178">
            <v>12580</v>
          </cell>
          <cell r="M1178">
            <v>25160</v>
          </cell>
          <cell r="N1178">
            <v>2516</v>
          </cell>
          <cell r="O1178">
            <v>27676</v>
          </cell>
          <cell r="P1178">
            <v>0</v>
          </cell>
          <cell r="Q1178" t="str">
            <v/>
          </cell>
          <cell r="R1178" t="str">
            <v>실온</v>
          </cell>
          <cell r="S1178" t="str">
            <v>EA(20)</v>
          </cell>
          <cell r="T1178" t="str">
            <v/>
          </cell>
          <cell r="U1178" t="str">
            <v/>
          </cell>
          <cell r="V1178" t="str">
            <v>2019-01-04</v>
          </cell>
          <cell r="W1178" t="str">
            <v>2019-01-04 15:19:44</v>
          </cell>
          <cell r="X1178" t="str">
            <v>더바른푸드</v>
          </cell>
        </row>
        <row r="1179">
          <cell r="A1179">
            <v>1175</v>
          </cell>
          <cell r="B1179" t="str">
            <v>2019-01-05</v>
          </cell>
          <cell r="C1179" t="str">
            <v>더바른푸드</v>
          </cell>
          <cell r="D1179" t="str">
            <v>더바른푸드</v>
          </cell>
          <cell r="E1179" t="str">
            <v>일반</v>
          </cell>
          <cell r="F1179" t="str">
            <v>입고완료</v>
          </cell>
          <cell r="G1179">
            <v>126208</v>
          </cell>
          <cell r="H1179" t="str">
            <v>해표 꽃소금(5Kg/EA)</v>
          </cell>
          <cell r="I1179" t="str">
            <v>EA</v>
          </cell>
          <cell r="J1179">
            <v>4</v>
          </cell>
          <cell r="K1179">
            <v>4</v>
          </cell>
          <cell r="L1179">
            <v>5690</v>
          </cell>
          <cell r="M1179">
            <v>22760</v>
          </cell>
          <cell r="N1179">
            <v>0</v>
          </cell>
          <cell r="O1179">
            <v>22760</v>
          </cell>
          <cell r="P1179">
            <v>0</v>
          </cell>
          <cell r="Q1179" t="str">
            <v/>
          </cell>
          <cell r="R1179" t="str">
            <v>실온</v>
          </cell>
          <cell r="S1179" t="str">
            <v>EA(3)</v>
          </cell>
          <cell r="T1179" t="str">
            <v/>
          </cell>
          <cell r="U1179" t="str">
            <v/>
          </cell>
          <cell r="V1179" t="str">
            <v>2019-01-04</v>
          </cell>
          <cell r="W1179" t="str">
            <v>2019-01-04 15:19:44</v>
          </cell>
          <cell r="X1179" t="str">
            <v>더바른푸드</v>
          </cell>
        </row>
        <row r="1180">
          <cell r="A1180">
            <v>1176</v>
          </cell>
          <cell r="B1180" t="str">
            <v>2019-01-05</v>
          </cell>
          <cell r="C1180" t="str">
            <v>더바른푸드</v>
          </cell>
          <cell r="D1180" t="str">
            <v>더바른푸드</v>
          </cell>
          <cell r="E1180" t="str">
            <v>일반</v>
          </cell>
          <cell r="F1180" t="str">
            <v>입고완료</v>
          </cell>
          <cell r="G1180">
            <v>106127</v>
          </cell>
          <cell r="H1180" t="str">
            <v>신송식품 춘장(지함 14Kg/EA)</v>
          </cell>
          <cell r="I1180" t="str">
            <v>EA</v>
          </cell>
          <cell r="J1180">
            <v>1</v>
          </cell>
          <cell r="K1180">
            <v>1</v>
          </cell>
          <cell r="L1180">
            <v>15990</v>
          </cell>
          <cell r="M1180">
            <v>15990</v>
          </cell>
          <cell r="N1180">
            <v>1599</v>
          </cell>
          <cell r="O1180">
            <v>17589</v>
          </cell>
          <cell r="P1180">
            <v>0</v>
          </cell>
          <cell r="Q1180" t="str">
            <v/>
          </cell>
          <cell r="R1180" t="str">
            <v>실온</v>
          </cell>
          <cell r="S1180" t="str">
            <v>EA(1)</v>
          </cell>
          <cell r="T1180" t="str">
            <v/>
          </cell>
          <cell r="U1180" t="str">
            <v/>
          </cell>
          <cell r="V1180" t="str">
            <v>2019-01-04</v>
          </cell>
          <cell r="W1180" t="str">
            <v>2019-01-04 15:19:44</v>
          </cell>
          <cell r="X1180" t="str">
            <v>더바른푸드</v>
          </cell>
        </row>
        <row r="1181">
          <cell r="A1181">
            <v>1177</v>
          </cell>
          <cell r="B1181" t="str">
            <v>2019-01-05</v>
          </cell>
          <cell r="C1181" t="str">
            <v>더바른푸드</v>
          </cell>
          <cell r="D1181" t="str">
            <v>더바른푸드</v>
          </cell>
          <cell r="E1181" t="str">
            <v>일반</v>
          </cell>
          <cell r="F1181" t="str">
            <v>입고완료</v>
          </cell>
          <cell r="G1181">
            <v>125808</v>
          </cell>
          <cell r="H1181" t="str">
            <v>순창궁 찰고추장(골드 캔_태양초 14Kg/EA)</v>
          </cell>
          <cell r="I1181" t="str">
            <v>EA</v>
          </cell>
          <cell r="J1181">
            <v>1</v>
          </cell>
          <cell r="K1181">
            <v>1</v>
          </cell>
          <cell r="L1181">
            <v>26640</v>
          </cell>
          <cell r="M1181">
            <v>26640</v>
          </cell>
          <cell r="N1181">
            <v>2664</v>
          </cell>
          <cell r="O1181">
            <v>29304</v>
          </cell>
          <cell r="P1181">
            <v>0</v>
          </cell>
          <cell r="Q1181" t="str">
            <v/>
          </cell>
          <cell r="R1181" t="str">
            <v>실온</v>
          </cell>
          <cell r="S1181" t="str">
            <v>EA(1)</v>
          </cell>
          <cell r="T1181" t="str">
            <v/>
          </cell>
          <cell r="U1181" t="str">
            <v/>
          </cell>
          <cell r="V1181" t="str">
            <v>2019-01-04</v>
          </cell>
          <cell r="W1181" t="str">
            <v>2019-01-04 15:19:44</v>
          </cell>
          <cell r="X1181" t="str">
            <v>더바른푸드</v>
          </cell>
        </row>
        <row r="1182">
          <cell r="A1182">
            <v>1178</v>
          </cell>
          <cell r="B1182" t="str">
            <v>2019-01-05</v>
          </cell>
          <cell r="C1182" t="str">
            <v>더바른푸드</v>
          </cell>
          <cell r="D1182" t="str">
            <v>더바른푸드</v>
          </cell>
          <cell r="E1182" t="str">
            <v>일반</v>
          </cell>
          <cell r="F1182" t="str">
            <v>입고완료</v>
          </cell>
          <cell r="G1182">
            <v>153812</v>
          </cell>
          <cell r="H1182" t="str">
            <v>서원 흑후추분말(450g/EA)</v>
          </cell>
          <cell r="I1182" t="str">
            <v>EA</v>
          </cell>
          <cell r="J1182">
            <v>1</v>
          </cell>
          <cell r="K1182">
            <v>1</v>
          </cell>
          <cell r="L1182">
            <v>8550</v>
          </cell>
          <cell r="M1182">
            <v>8550</v>
          </cell>
          <cell r="N1182">
            <v>0</v>
          </cell>
          <cell r="O1182">
            <v>8550</v>
          </cell>
          <cell r="P1182">
            <v>0</v>
          </cell>
          <cell r="Q1182" t="str">
            <v/>
          </cell>
          <cell r="R1182" t="str">
            <v>실온</v>
          </cell>
          <cell r="S1182" t="str">
            <v>EA(20)</v>
          </cell>
          <cell r="T1182" t="str">
            <v/>
          </cell>
          <cell r="U1182" t="str">
            <v>4일결품건</v>
          </cell>
          <cell r="V1182" t="str">
            <v>2019-01-04</v>
          </cell>
          <cell r="W1182" t="str">
            <v>2019-01-04 07:59:17</v>
          </cell>
          <cell r="X1182" t="str">
            <v>juwon_shon</v>
          </cell>
        </row>
        <row r="1183">
          <cell r="A1183">
            <v>1179</v>
          </cell>
          <cell r="B1183" t="str">
            <v>2019-01-04</v>
          </cell>
          <cell r="C1183">
            <v>0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</row>
        <row r="1184">
          <cell r="A1184">
            <v>1180</v>
          </cell>
          <cell r="B1184" t="str">
            <v>2019-01-04</v>
          </cell>
          <cell r="C1184" t="str">
            <v>더바른푸드</v>
          </cell>
          <cell r="D1184" t="str">
            <v>더바른푸드</v>
          </cell>
          <cell r="E1184" t="str">
            <v>일반</v>
          </cell>
          <cell r="F1184" t="str">
            <v>입고완료</v>
          </cell>
          <cell r="G1184">
            <v>108319</v>
          </cell>
          <cell r="H1184" t="str">
            <v>연세우유 고칼슘두유(팩_200ml 200g/EA)</v>
          </cell>
          <cell r="I1184" t="str">
            <v>EA</v>
          </cell>
          <cell r="J1184">
            <v>140</v>
          </cell>
          <cell r="K1184">
            <v>140</v>
          </cell>
          <cell r="L1184">
            <v>280</v>
          </cell>
          <cell r="M1184">
            <v>39200</v>
          </cell>
          <cell r="N1184">
            <v>3920</v>
          </cell>
          <cell r="O1184">
            <v>43120</v>
          </cell>
          <cell r="P1184">
            <v>0</v>
          </cell>
          <cell r="Q1184" t="str">
            <v>한국</v>
          </cell>
          <cell r="R1184" t="str">
            <v>실온</v>
          </cell>
          <cell r="S1184" t="str">
            <v>EA(1)</v>
          </cell>
          <cell r="T1184" t="str">
            <v/>
          </cell>
          <cell r="U1184" t="str">
            <v/>
          </cell>
          <cell r="V1184" t="str">
            <v>2019-01-02</v>
          </cell>
          <cell r="W1184" t="str">
            <v>2019-01-02 16:45:16</v>
          </cell>
          <cell r="X1184" t="str">
            <v>더바른푸드</v>
          </cell>
        </row>
        <row r="1185">
          <cell r="A1185">
            <v>1181</v>
          </cell>
          <cell r="B1185" t="str">
            <v>2019-01-04</v>
          </cell>
          <cell r="C1185" t="str">
            <v>더바른푸드</v>
          </cell>
          <cell r="D1185" t="str">
            <v>더바른푸드</v>
          </cell>
          <cell r="E1185" t="str">
            <v>일반</v>
          </cell>
          <cell r="F1185" t="str">
            <v>입고완료</v>
          </cell>
          <cell r="G1185">
            <v>105336</v>
          </cell>
          <cell r="H1185" t="str">
            <v>서울우유 흰우유(카톤_200ml 200g/EA)</v>
          </cell>
          <cell r="I1185" t="str">
            <v>EA</v>
          </cell>
          <cell r="J1185">
            <v>64</v>
          </cell>
          <cell r="K1185">
            <v>64</v>
          </cell>
          <cell r="L1185">
            <v>560</v>
          </cell>
          <cell r="M1185">
            <v>35840</v>
          </cell>
          <cell r="N1185">
            <v>0</v>
          </cell>
          <cell r="O1185">
            <v>35840</v>
          </cell>
          <cell r="P1185">
            <v>0</v>
          </cell>
          <cell r="Q1185" t="str">
            <v/>
          </cell>
          <cell r="R1185" t="str">
            <v>냉장</v>
          </cell>
          <cell r="S1185" t="str">
            <v>EA(1)</v>
          </cell>
          <cell r="T1185" t="str">
            <v/>
          </cell>
          <cell r="U1185" t="str">
            <v/>
          </cell>
          <cell r="V1185" t="str">
            <v>2019-01-02</v>
          </cell>
          <cell r="W1185" t="str">
            <v>2019-01-02 16:48:33</v>
          </cell>
          <cell r="X1185" t="str">
            <v>더바른푸드</v>
          </cell>
        </row>
        <row r="1186">
          <cell r="A1186">
            <v>1182</v>
          </cell>
          <cell r="B1186" t="str">
            <v>2019-01-04</v>
          </cell>
          <cell r="C1186" t="str">
            <v>더바른푸드</v>
          </cell>
          <cell r="D1186" t="str">
            <v>더바른푸드</v>
          </cell>
          <cell r="E1186" t="str">
            <v>일반</v>
          </cell>
          <cell r="F1186" t="str">
            <v>입고완료</v>
          </cell>
          <cell r="G1186">
            <v>146368</v>
          </cell>
          <cell r="H1186" t="str">
            <v>뚜레쥬르 머핀(달콤한초코칩 55g/EA)</v>
          </cell>
          <cell r="I1186" t="str">
            <v>EA</v>
          </cell>
          <cell r="J1186">
            <v>13</v>
          </cell>
          <cell r="K1186">
            <v>13</v>
          </cell>
          <cell r="L1186">
            <v>480</v>
          </cell>
          <cell r="M1186">
            <v>6240</v>
          </cell>
          <cell r="N1186">
            <v>624</v>
          </cell>
          <cell r="O1186">
            <v>6864</v>
          </cell>
          <cell r="P1186">
            <v>0</v>
          </cell>
          <cell r="Q1186" t="str">
            <v/>
          </cell>
          <cell r="R1186" t="str">
            <v>실온</v>
          </cell>
          <cell r="S1186" t="str">
            <v>EA(1)</v>
          </cell>
          <cell r="T1186" t="str">
            <v/>
          </cell>
          <cell r="U1186" t="str">
            <v/>
          </cell>
          <cell r="V1186" t="str">
            <v>2019-01-02</v>
          </cell>
          <cell r="W1186" t="str">
            <v>2019-01-02 16:56:43</v>
          </cell>
          <cell r="X1186" t="str">
            <v>더바른푸드</v>
          </cell>
        </row>
        <row r="1187">
          <cell r="A1187">
            <v>1183</v>
          </cell>
          <cell r="B1187" t="str">
            <v>2019-01-04</v>
          </cell>
          <cell r="C1187" t="str">
            <v>더바른푸드</v>
          </cell>
          <cell r="D1187" t="str">
            <v>더바른푸드</v>
          </cell>
          <cell r="E1187" t="str">
            <v>일반</v>
          </cell>
          <cell r="F1187" t="str">
            <v>입고완료</v>
          </cell>
          <cell r="G1187">
            <v>243406</v>
          </cell>
          <cell r="H1187" t="str">
            <v>냉동시래기(1Kg/EA)</v>
          </cell>
          <cell r="I1187" t="str">
            <v>EA</v>
          </cell>
          <cell r="J1187">
            <v>10</v>
          </cell>
          <cell r="K1187">
            <v>10</v>
          </cell>
          <cell r="L1187">
            <v>2610</v>
          </cell>
          <cell r="M1187">
            <v>26100</v>
          </cell>
          <cell r="N1187">
            <v>0</v>
          </cell>
          <cell r="O1187">
            <v>26100</v>
          </cell>
          <cell r="P1187">
            <v>0</v>
          </cell>
          <cell r="Q1187" t="str">
            <v>한국</v>
          </cell>
          <cell r="R1187" t="str">
            <v>냉동</v>
          </cell>
          <cell r="S1187" t="str">
            <v>EA(1)</v>
          </cell>
          <cell r="T1187" t="str">
            <v/>
          </cell>
          <cell r="U1187" t="str">
            <v/>
          </cell>
          <cell r="V1187" t="str">
            <v>2019-01-03</v>
          </cell>
          <cell r="W1187" t="str">
            <v>2019-01-03 12:06:39</v>
          </cell>
          <cell r="X1187" t="str">
            <v>더바른푸드</v>
          </cell>
        </row>
        <row r="1188">
          <cell r="A1188">
            <v>1184</v>
          </cell>
          <cell r="B1188" t="str">
            <v>2019-01-04</v>
          </cell>
          <cell r="C1188" t="str">
            <v>더바른푸드</v>
          </cell>
          <cell r="D1188" t="str">
            <v>더바른푸드</v>
          </cell>
          <cell r="E1188" t="str">
            <v>일반</v>
          </cell>
          <cell r="F1188" t="str">
            <v>입고완료</v>
          </cell>
          <cell r="G1188">
            <v>234831</v>
          </cell>
          <cell r="H1188" t="str">
            <v>오징어실채(500g/EA)</v>
          </cell>
          <cell r="I1188" t="str">
            <v>EA</v>
          </cell>
          <cell r="J1188">
            <v>44</v>
          </cell>
          <cell r="K1188">
            <v>44</v>
          </cell>
          <cell r="L1188">
            <v>13500</v>
          </cell>
          <cell r="M1188">
            <v>594000</v>
          </cell>
          <cell r="N1188">
            <v>59400</v>
          </cell>
          <cell r="O1188">
            <v>653400</v>
          </cell>
          <cell r="P1188">
            <v>0</v>
          </cell>
          <cell r="Q1188" t="str">
            <v>페루</v>
          </cell>
          <cell r="R1188" t="str">
            <v>냉장</v>
          </cell>
          <cell r="S1188" t="str">
            <v>EA(1)</v>
          </cell>
          <cell r="T1188" t="str">
            <v/>
          </cell>
          <cell r="U1188" t="str">
            <v/>
          </cell>
          <cell r="V1188" t="str">
            <v>2019-01-03</v>
          </cell>
          <cell r="W1188" t="str">
            <v>2019-01-03 14:31:52</v>
          </cell>
          <cell r="X1188" t="str">
            <v>더바른푸드</v>
          </cell>
        </row>
        <row r="1189">
          <cell r="A1189">
            <v>1185</v>
          </cell>
          <cell r="B1189" t="str">
            <v>2019-01-04</v>
          </cell>
          <cell r="C1189" t="str">
            <v>더바른푸드</v>
          </cell>
          <cell r="D1189" t="str">
            <v>더바른푸드</v>
          </cell>
          <cell r="E1189" t="str">
            <v>일반</v>
          </cell>
          <cell r="F1189" t="str">
            <v>입고완료</v>
          </cell>
          <cell r="G1189">
            <v>193090</v>
          </cell>
          <cell r="H1189" t="str">
            <v>냉동감자(절단_3~4cm 1Kg/EA)</v>
          </cell>
          <cell r="I1189" t="str">
            <v>EA</v>
          </cell>
          <cell r="J1189">
            <v>20</v>
          </cell>
          <cell r="K1189">
            <v>20</v>
          </cell>
          <cell r="L1189">
            <v>1980</v>
          </cell>
          <cell r="M1189">
            <v>39600</v>
          </cell>
          <cell r="N1189">
            <v>3960</v>
          </cell>
          <cell r="O1189">
            <v>43560</v>
          </cell>
          <cell r="P1189">
            <v>0</v>
          </cell>
          <cell r="Q1189" t="str">
            <v>중국</v>
          </cell>
          <cell r="R1189" t="str">
            <v>냉동</v>
          </cell>
          <cell r="S1189" t="str">
            <v>EA(1)</v>
          </cell>
          <cell r="T1189" t="str">
            <v/>
          </cell>
          <cell r="U1189" t="str">
            <v/>
          </cell>
          <cell r="V1189" t="str">
            <v>2019-01-03</v>
          </cell>
          <cell r="W1189" t="str">
            <v>2019-01-03 15:18:15</v>
          </cell>
          <cell r="X1189" t="str">
            <v>더바른푸드</v>
          </cell>
        </row>
        <row r="1190">
          <cell r="A1190">
            <v>1186</v>
          </cell>
          <cell r="B1190" t="str">
            <v>2019-01-04</v>
          </cell>
          <cell r="C1190" t="str">
            <v>더바른푸드</v>
          </cell>
          <cell r="D1190" t="str">
            <v>더바른푸드</v>
          </cell>
          <cell r="E1190" t="str">
            <v>일반</v>
          </cell>
          <cell r="F1190" t="str">
            <v>입고완료</v>
          </cell>
          <cell r="G1190">
            <v>134239</v>
          </cell>
          <cell r="H1190" t="str">
            <v>사옹원 동태전(1Kg/EA)</v>
          </cell>
          <cell r="I1190" t="str">
            <v>EA</v>
          </cell>
          <cell r="J1190">
            <v>4</v>
          </cell>
          <cell r="K1190">
            <v>4</v>
          </cell>
          <cell r="L1190">
            <v>14140</v>
          </cell>
          <cell r="M1190">
            <v>56560</v>
          </cell>
          <cell r="N1190">
            <v>5656</v>
          </cell>
          <cell r="O1190">
            <v>62216</v>
          </cell>
          <cell r="P1190">
            <v>0</v>
          </cell>
          <cell r="Q1190" t="str">
            <v/>
          </cell>
          <cell r="R1190" t="str">
            <v>냉동</v>
          </cell>
          <cell r="S1190" t="str">
            <v>EA(5)</v>
          </cell>
          <cell r="T1190" t="str">
            <v/>
          </cell>
          <cell r="U1190" t="str">
            <v/>
          </cell>
          <cell r="V1190" t="str">
            <v>2019-01-03</v>
          </cell>
          <cell r="W1190" t="str">
            <v>2019-01-03 15:45:55</v>
          </cell>
          <cell r="X1190" t="str">
            <v>더바른푸드</v>
          </cell>
        </row>
        <row r="1191">
          <cell r="A1191">
            <v>1187</v>
          </cell>
          <cell r="B1191" t="str">
            <v>2019-01-04</v>
          </cell>
          <cell r="C1191" t="str">
            <v>더바른푸드</v>
          </cell>
          <cell r="D1191" t="str">
            <v>더바른푸드</v>
          </cell>
          <cell r="E1191" t="str">
            <v>일반</v>
          </cell>
          <cell r="F1191" t="str">
            <v>입고완료</v>
          </cell>
          <cell r="G1191">
            <v>172567</v>
          </cell>
          <cell r="H1191" t="str">
            <v>쉐프솔루션 치킨가라아게(1Kg/EA)</v>
          </cell>
          <cell r="I1191" t="str">
            <v>EA</v>
          </cell>
          <cell r="J1191">
            <v>10</v>
          </cell>
          <cell r="K1191">
            <v>10</v>
          </cell>
          <cell r="L1191">
            <v>7900</v>
          </cell>
          <cell r="M1191">
            <v>79000</v>
          </cell>
          <cell r="N1191">
            <v>7900</v>
          </cell>
          <cell r="O1191">
            <v>86900</v>
          </cell>
          <cell r="P1191">
            <v>0</v>
          </cell>
          <cell r="Q1191" t="str">
            <v>브라질</v>
          </cell>
          <cell r="R1191" t="str">
            <v>냉동</v>
          </cell>
          <cell r="S1191" t="str">
            <v>EA(8)</v>
          </cell>
          <cell r="T1191" t="str">
            <v/>
          </cell>
          <cell r="U1191" t="str">
            <v/>
          </cell>
          <cell r="V1191" t="str">
            <v>2019-01-03</v>
          </cell>
          <cell r="W1191" t="str">
            <v>2019-01-03 16:15:10</v>
          </cell>
          <cell r="X1191" t="str">
            <v>더바른푸드</v>
          </cell>
        </row>
        <row r="1192">
          <cell r="A1192">
            <v>1188</v>
          </cell>
          <cell r="B1192" t="str">
            <v>2019-01-04</v>
          </cell>
          <cell r="C1192" t="str">
            <v>더바른푸드</v>
          </cell>
          <cell r="D1192" t="str">
            <v>더바른푸드</v>
          </cell>
          <cell r="E1192" t="str">
            <v>일반</v>
          </cell>
          <cell r="F1192" t="str">
            <v>입고완료</v>
          </cell>
          <cell r="G1192">
            <v>197120</v>
          </cell>
          <cell r="H1192" t="str">
            <v>종가집 포기김치(숙성 10Kg/BOX)</v>
          </cell>
          <cell r="I1192" t="str">
            <v>BOX</v>
          </cell>
          <cell r="J1192">
            <v>10</v>
          </cell>
          <cell r="K1192">
            <v>10</v>
          </cell>
          <cell r="L1192">
            <v>31390</v>
          </cell>
          <cell r="M1192">
            <v>313900</v>
          </cell>
          <cell r="N1192">
            <v>0</v>
          </cell>
          <cell r="O1192">
            <v>313900</v>
          </cell>
          <cell r="P1192">
            <v>0</v>
          </cell>
          <cell r="Q1192" t="str">
            <v>한국</v>
          </cell>
          <cell r="R1192" t="str">
            <v>냉장</v>
          </cell>
          <cell r="S1192" t="str">
            <v>BOX(1)</v>
          </cell>
          <cell r="T1192" t="str">
            <v/>
          </cell>
          <cell r="U1192" t="str">
            <v/>
          </cell>
          <cell r="V1192" t="str">
            <v>2019-01-03</v>
          </cell>
          <cell r="W1192" t="str">
            <v>2019-01-03 16:54:03</v>
          </cell>
          <cell r="X1192" t="str">
            <v>더바른푸드</v>
          </cell>
        </row>
        <row r="1193">
          <cell r="A1193">
            <v>1189</v>
          </cell>
          <cell r="B1193" t="str">
            <v>2019-01-04</v>
          </cell>
          <cell r="C1193" t="str">
            <v>더바른푸드</v>
          </cell>
          <cell r="D1193" t="str">
            <v>더바른푸드</v>
          </cell>
          <cell r="E1193" t="str">
            <v>일반</v>
          </cell>
          <cell r="F1193" t="str">
            <v>입고완료</v>
          </cell>
          <cell r="G1193">
            <v>140140</v>
          </cell>
          <cell r="H1193" t="str">
            <v>신영에프에스 마늘가루(80% 500g/EA)</v>
          </cell>
          <cell r="I1193" t="str">
            <v>EA</v>
          </cell>
          <cell r="J1193">
            <v>2</v>
          </cell>
          <cell r="K1193">
            <v>2</v>
          </cell>
          <cell r="L1193">
            <v>12060</v>
          </cell>
          <cell r="M1193">
            <v>24120</v>
          </cell>
          <cell r="N1193">
            <v>2412</v>
          </cell>
          <cell r="O1193">
            <v>26532</v>
          </cell>
          <cell r="P1193">
            <v>0</v>
          </cell>
          <cell r="Q1193" t="str">
            <v>중국</v>
          </cell>
          <cell r="R1193" t="str">
            <v>실온</v>
          </cell>
          <cell r="S1193" t="str">
            <v>EA(12)</v>
          </cell>
          <cell r="T1193" t="str">
            <v/>
          </cell>
          <cell r="U1193" t="str">
            <v/>
          </cell>
          <cell r="V1193" t="str">
            <v>2019-01-03</v>
          </cell>
          <cell r="W1193" t="str">
            <v>2019-01-03 16:54:43</v>
          </cell>
          <cell r="X1193" t="str">
            <v>더바른푸드</v>
          </cell>
        </row>
        <row r="1194">
          <cell r="A1194">
            <v>1190</v>
          </cell>
          <cell r="B1194" t="str">
            <v>2019-01-04</v>
          </cell>
          <cell r="C1194" t="str">
            <v>더바른푸드</v>
          </cell>
          <cell r="D1194" t="str">
            <v>더바른푸드</v>
          </cell>
          <cell r="E1194" t="str">
            <v>일반</v>
          </cell>
          <cell r="F1194" t="str">
            <v>입고완료</v>
          </cell>
          <cell r="G1194">
            <v>401425</v>
          </cell>
          <cell r="H1194" t="str">
            <v>소앞다리(다짐육 볶음용 KG)</v>
          </cell>
          <cell r="I1194" t="str">
            <v>KG</v>
          </cell>
          <cell r="J1194">
            <v>3</v>
          </cell>
          <cell r="K1194">
            <v>3</v>
          </cell>
          <cell r="L1194">
            <v>9560</v>
          </cell>
          <cell r="M1194">
            <v>28680</v>
          </cell>
          <cell r="N1194">
            <v>0</v>
          </cell>
          <cell r="O1194">
            <v>28680</v>
          </cell>
          <cell r="P1194">
            <v>0</v>
          </cell>
          <cell r="Q1194" t="str">
            <v>호주</v>
          </cell>
          <cell r="R1194" t="str">
            <v>냉동</v>
          </cell>
          <cell r="S1194" t="str">
            <v>KG(1)</v>
          </cell>
          <cell r="T1194" t="str">
            <v>891101001185</v>
          </cell>
          <cell r="U1194" t="str">
            <v/>
          </cell>
          <cell r="V1194" t="str">
            <v>2019-01-03</v>
          </cell>
          <cell r="W1194" t="str">
            <v>2019-01-03 16:55:47</v>
          </cell>
          <cell r="X1194" t="str">
            <v>더바른푸드</v>
          </cell>
        </row>
        <row r="1195">
          <cell r="A1195">
            <v>1191</v>
          </cell>
          <cell r="B1195" t="str">
            <v>2019-01-04</v>
          </cell>
          <cell r="C1195" t="str">
            <v>더바른푸드</v>
          </cell>
          <cell r="D1195" t="str">
            <v>더바른푸드</v>
          </cell>
          <cell r="E1195" t="str">
            <v>일반</v>
          </cell>
          <cell r="F1195" t="str">
            <v>입고완료</v>
          </cell>
          <cell r="G1195">
            <v>117722</v>
          </cell>
          <cell r="H1195" t="str">
            <v>백설 올리브유(900ml_압착 822g/EA)</v>
          </cell>
          <cell r="I1195" t="str">
            <v>EA</v>
          </cell>
          <cell r="J1195">
            <v>2</v>
          </cell>
          <cell r="K1195">
            <v>2</v>
          </cell>
          <cell r="L1195">
            <v>7840</v>
          </cell>
          <cell r="M1195">
            <v>15680</v>
          </cell>
          <cell r="N1195">
            <v>1568</v>
          </cell>
          <cell r="O1195">
            <v>17248</v>
          </cell>
          <cell r="P1195">
            <v>0</v>
          </cell>
          <cell r="Q1195" t="str">
            <v>스페인</v>
          </cell>
          <cell r="R1195" t="str">
            <v>실온</v>
          </cell>
          <cell r="S1195" t="str">
            <v>EA(12)</v>
          </cell>
          <cell r="T1195" t="str">
            <v/>
          </cell>
          <cell r="U1195" t="str">
            <v/>
          </cell>
          <cell r="V1195" t="str">
            <v>2019-01-03</v>
          </cell>
          <cell r="W1195" t="str">
            <v>2019-01-03 16:56:39</v>
          </cell>
          <cell r="X1195" t="str">
            <v>더바른푸드</v>
          </cell>
        </row>
        <row r="1196">
          <cell r="A1196">
            <v>1192</v>
          </cell>
          <cell r="B1196" t="str">
            <v>2019-01-04</v>
          </cell>
          <cell r="C1196" t="str">
            <v>더바른푸드</v>
          </cell>
          <cell r="D1196" t="str">
            <v>더바른푸드</v>
          </cell>
          <cell r="E1196" t="str">
            <v>일반</v>
          </cell>
          <cell r="F1196" t="str">
            <v>입고완료</v>
          </cell>
          <cell r="G1196">
            <v>106931</v>
          </cell>
          <cell r="H1196" t="str">
            <v>오뚜기 미향(18L 18Kg/EA)</v>
          </cell>
          <cell r="I1196" t="str">
            <v>EA</v>
          </cell>
          <cell r="J1196">
            <v>1</v>
          </cell>
          <cell r="K1196">
            <v>1</v>
          </cell>
          <cell r="L1196">
            <v>21280</v>
          </cell>
          <cell r="M1196">
            <v>21280</v>
          </cell>
          <cell r="N1196">
            <v>2128</v>
          </cell>
          <cell r="O1196">
            <v>23408</v>
          </cell>
          <cell r="P1196">
            <v>0</v>
          </cell>
          <cell r="Q1196" t="str">
            <v/>
          </cell>
          <cell r="R1196" t="str">
            <v>실온</v>
          </cell>
          <cell r="S1196" t="str">
            <v>EA(1)</v>
          </cell>
          <cell r="T1196" t="str">
            <v/>
          </cell>
          <cell r="U1196" t="str">
            <v/>
          </cell>
          <cell r="V1196" t="str">
            <v>2019-01-03</v>
          </cell>
          <cell r="W1196" t="str">
            <v>2019-01-03 16:57:18</v>
          </cell>
          <cell r="X1196" t="str">
            <v>더바른푸드</v>
          </cell>
        </row>
        <row r="1197">
          <cell r="A1197">
            <v>1193</v>
          </cell>
          <cell r="B1197" t="str">
            <v>2019-01-04</v>
          </cell>
          <cell r="C1197" t="str">
            <v>더바른푸드</v>
          </cell>
          <cell r="D1197" t="str">
            <v>더바른푸드</v>
          </cell>
          <cell r="E1197" t="str">
            <v>일반</v>
          </cell>
          <cell r="F1197" t="str">
            <v>입고완료</v>
          </cell>
          <cell r="G1197">
            <v>159067</v>
          </cell>
          <cell r="H1197" t="str">
            <v>신영상회 바질(홀 500g/EA)</v>
          </cell>
          <cell r="I1197" t="str">
            <v>EA</v>
          </cell>
          <cell r="J1197">
            <v>1</v>
          </cell>
          <cell r="K1197">
            <v>1</v>
          </cell>
          <cell r="L1197">
            <v>7650</v>
          </cell>
          <cell r="M1197">
            <v>7650</v>
          </cell>
          <cell r="N1197">
            <v>765</v>
          </cell>
          <cell r="O1197">
            <v>8415</v>
          </cell>
          <cell r="P1197">
            <v>0</v>
          </cell>
          <cell r="Q1197" t="str">
            <v/>
          </cell>
          <cell r="R1197" t="str">
            <v>실온</v>
          </cell>
          <cell r="S1197" t="str">
            <v>EA(10)</v>
          </cell>
          <cell r="T1197" t="str">
            <v/>
          </cell>
          <cell r="U1197" t="str">
            <v/>
          </cell>
          <cell r="V1197" t="str">
            <v>2019-01-03</v>
          </cell>
          <cell r="W1197" t="str">
            <v>2019-01-03 16:59:14</v>
          </cell>
          <cell r="X1197" t="str">
            <v>더바른푸드</v>
          </cell>
        </row>
        <row r="1198">
          <cell r="A1198">
            <v>1194</v>
          </cell>
          <cell r="B1198" t="str">
            <v>2019-01-04</v>
          </cell>
          <cell r="C1198" t="str">
            <v>더바른푸드</v>
          </cell>
          <cell r="D1198" t="str">
            <v>더바른푸드</v>
          </cell>
          <cell r="E1198" t="str">
            <v>일반</v>
          </cell>
          <cell r="F1198" t="str">
            <v>입고완료</v>
          </cell>
          <cell r="G1198">
            <v>140314</v>
          </cell>
          <cell r="H1198" t="str">
            <v>맷돌표 생강가루(350g/EA)</v>
          </cell>
          <cell r="I1198" t="str">
            <v>EA</v>
          </cell>
          <cell r="J1198">
            <v>2</v>
          </cell>
          <cell r="K1198">
            <v>2</v>
          </cell>
          <cell r="L1198">
            <v>10110</v>
          </cell>
          <cell r="M1198">
            <v>20220</v>
          </cell>
          <cell r="N1198">
            <v>2022</v>
          </cell>
          <cell r="O1198">
            <v>22242</v>
          </cell>
          <cell r="P1198">
            <v>0</v>
          </cell>
          <cell r="Q1198" t="str">
            <v/>
          </cell>
          <cell r="R1198" t="str">
            <v>실온</v>
          </cell>
          <cell r="S1198" t="str">
            <v>EA(12)</v>
          </cell>
          <cell r="T1198" t="str">
            <v/>
          </cell>
          <cell r="U1198" t="str">
            <v/>
          </cell>
          <cell r="V1198" t="str">
            <v>2019-01-03</v>
          </cell>
          <cell r="W1198" t="str">
            <v>2019-01-03 16:59:41</v>
          </cell>
          <cell r="X1198" t="str">
            <v>더바른푸드</v>
          </cell>
        </row>
        <row r="1199">
          <cell r="A1199">
            <v>1195</v>
          </cell>
          <cell r="B1199" t="str">
            <v>2019-01-04</v>
          </cell>
          <cell r="C1199" t="str">
            <v>더바른푸드</v>
          </cell>
          <cell r="D1199" t="str">
            <v>더바른푸드</v>
          </cell>
          <cell r="E1199" t="str">
            <v>일반</v>
          </cell>
          <cell r="F1199" t="str">
            <v>입고완료</v>
          </cell>
          <cell r="G1199">
            <v>153812</v>
          </cell>
          <cell r="H1199" t="str">
            <v>서원 흑후추분말(450g/EA)</v>
          </cell>
          <cell r="I1199" t="str">
            <v>EA</v>
          </cell>
          <cell r="J1199">
            <v>2</v>
          </cell>
          <cell r="K1199">
            <v>1</v>
          </cell>
          <cell r="L1199">
            <v>8550</v>
          </cell>
          <cell r="M1199">
            <v>17100</v>
          </cell>
          <cell r="N1199">
            <v>0</v>
          </cell>
          <cell r="O1199">
            <v>17100</v>
          </cell>
          <cell r="P1199">
            <v>0</v>
          </cell>
          <cell r="Q1199" t="str">
            <v/>
          </cell>
          <cell r="R1199" t="str">
            <v>실온</v>
          </cell>
          <cell r="S1199" t="str">
            <v>EA(20)</v>
          </cell>
          <cell r="T1199" t="str">
            <v/>
          </cell>
          <cell r="U1199" t="str">
            <v>추가협의</v>
          </cell>
          <cell r="V1199" t="str">
            <v>2019-01-03</v>
          </cell>
          <cell r="W1199" t="str">
            <v>2019-01-03 17:11:00</v>
          </cell>
          <cell r="X1199" t="str">
            <v>dh7984</v>
          </cell>
        </row>
        <row r="1200">
          <cell r="A1200">
            <v>1196</v>
          </cell>
          <cell r="B1200" t="str">
            <v>2019-01-03</v>
          </cell>
          <cell r="C1200">
            <v>0</v>
          </cell>
          <cell r="D1200">
            <v>0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</row>
        <row r="1201">
          <cell r="A1201">
            <v>1197</v>
          </cell>
          <cell r="B1201" t="str">
            <v>2019-01-03</v>
          </cell>
          <cell r="C1201" t="str">
            <v>더바른푸드</v>
          </cell>
          <cell r="D1201" t="str">
            <v>더바른푸드</v>
          </cell>
          <cell r="E1201" t="str">
            <v>일반</v>
          </cell>
          <cell r="F1201" t="str">
            <v>입고완료</v>
          </cell>
          <cell r="G1201">
            <v>424239</v>
          </cell>
          <cell r="H1201" t="str">
            <v>돈등뼈(3cm두께_절단 키즈용_탕용 KG)</v>
          </cell>
          <cell r="I1201" t="str">
            <v>KG</v>
          </cell>
          <cell r="J1201">
            <v>4</v>
          </cell>
          <cell r="K1201">
            <v>4</v>
          </cell>
          <cell r="L1201">
            <v>2750</v>
          </cell>
          <cell r="M1201">
            <v>11000</v>
          </cell>
          <cell r="N1201">
            <v>0</v>
          </cell>
          <cell r="O1201">
            <v>11000</v>
          </cell>
          <cell r="P1201">
            <v>0</v>
          </cell>
          <cell r="Q1201" t="str">
            <v>한국</v>
          </cell>
          <cell r="R1201" t="str">
            <v>냉동</v>
          </cell>
          <cell r="S1201" t="str">
            <v>KG(1)</v>
          </cell>
          <cell r="T1201" t="str">
            <v>L11901023284423</v>
          </cell>
          <cell r="U1201" t="str">
            <v/>
          </cell>
          <cell r="V1201" t="str">
            <v>2019-01-02</v>
          </cell>
          <cell r="W1201" t="str">
            <v>2019-01-02 15:10:15</v>
          </cell>
          <cell r="X1201" t="str">
            <v>더바른푸드</v>
          </cell>
        </row>
        <row r="1202">
          <cell r="A1202">
            <v>1198</v>
          </cell>
          <cell r="B1202" t="str">
            <v>2019-01-03</v>
          </cell>
          <cell r="C1202" t="str">
            <v>더바른푸드</v>
          </cell>
          <cell r="D1202" t="str">
            <v>더바른푸드</v>
          </cell>
          <cell r="E1202" t="str">
            <v>일반</v>
          </cell>
          <cell r="F1202" t="str">
            <v>입고완료</v>
          </cell>
          <cell r="G1202">
            <v>126925</v>
          </cell>
          <cell r="H1202" t="str">
            <v>한성 전통떡갈비(16.5g*61±3개입 1Kg/EA)</v>
          </cell>
          <cell r="I1202" t="str">
            <v>EA</v>
          </cell>
          <cell r="J1202">
            <v>63</v>
          </cell>
          <cell r="K1202">
            <v>63</v>
          </cell>
          <cell r="L1202">
            <v>5460</v>
          </cell>
          <cell r="M1202">
            <v>343980</v>
          </cell>
          <cell r="N1202">
            <v>34398</v>
          </cell>
          <cell r="O1202">
            <v>378378</v>
          </cell>
          <cell r="P1202">
            <v>0</v>
          </cell>
          <cell r="Q1202" t="str">
            <v/>
          </cell>
          <cell r="R1202" t="str">
            <v>냉동</v>
          </cell>
          <cell r="S1202" t="str">
            <v>EA(10)</v>
          </cell>
          <cell r="T1202" t="str">
            <v/>
          </cell>
          <cell r="U1202" t="str">
            <v/>
          </cell>
          <cell r="V1202" t="str">
            <v>2019-01-02</v>
          </cell>
          <cell r="W1202" t="str">
            <v>2019-01-02 15:27:30</v>
          </cell>
          <cell r="X1202" t="str">
            <v>더바른푸드</v>
          </cell>
        </row>
        <row r="1203">
          <cell r="A1203">
            <v>1199</v>
          </cell>
          <cell r="B1203" t="str">
            <v>2019-01-03</v>
          </cell>
          <cell r="C1203" t="str">
            <v>더바른푸드</v>
          </cell>
          <cell r="D1203" t="str">
            <v>더바른푸드</v>
          </cell>
          <cell r="E1203" t="str">
            <v>일반</v>
          </cell>
          <cell r="F1203" t="str">
            <v>입고완료</v>
          </cell>
          <cell r="G1203">
            <v>319046</v>
          </cell>
          <cell r="H1203" t="str">
            <v>주일 구운파래김(100매 150g/EA)</v>
          </cell>
          <cell r="I1203" t="str">
            <v>EA</v>
          </cell>
          <cell r="J1203">
            <v>1</v>
          </cell>
          <cell r="K1203">
            <v>1</v>
          </cell>
          <cell r="L1203">
            <v>8050</v>
          </cell>
          <cell r="M1203">
            <v>8050</v>
          </cell>
          <cell r="N1203">
            <v>0</v>
          </cell>
          <cell r="O1203">
            <v>8050</v>
          </cell>
          <cell r="P1203">
            <v>0</v>
          </cell>
          <cell r="Q1203" t="str">
            <v>한국</v>
          </cell>
          <cell r="R1203" t="str">
            <v>실온</v>
          </cell>
          <cell r="S1203" t="str">
            <v>EA(1)</v>
          </cell>
          <cell r="T1203" t="str">
            <v/>
          </cell>
          <cell r="U1203" t="str">
            <v/>
          </cell>
          <cell r="V1203" t="str">
            <v>2019-01-02</v>
          </cell>
          <cell r="W1203" t="str">
            <v>2019-01-02 16:08:22</v>
          </cell>
          <cell r="X1203" t="str">
            <v>더바른푸드</v>
          </cell>
        </row>
        <row r="1204">
          <cell r="A1204">
            <v>1200</v>
          </cell>
          <cell r="B1204" t="str">
            <v>2019-01-03</v>
          </cell>
          <cell r="C1204" t="str">
            <v>더바른푸드</v>
          </cell>
          <cell r="D1204" t="str">
            <v>더바른푸드</v>
          </cell>
          <cell r="E1204" t="str">
            <v>일반</v>
          </cell>
          <cell r="F1204" t="str">
            <v>입고완료</v>
          </cell>
          <cell r="G1204">
            <v>236048</v>
          </cell>
          <cell r="H1204" t="str">
            <v>종가집 묵은지(10Kg/BOX)</v>
          </cell>
          <cell r="I1204" t="str">
            <v>BOX</v>
          </cell>
          <cell r="J1204">
            <v>1</v>
          </cell>
          <cell r="K1204">
            <v>1</v>
          </cell>
          <cell r="L1204">
            <v>32520</v>
          </cell>
          <cell r="M1204">
            <v>32520</v>
          </cell>
          <cell r="N1204">
            <v>0</v>
          </cell>
          <cell r="O1204">
            <v>32520</v>
          </cell>
          <cell r="P1204">
            <v>0</v>
          </cell>
          <cell r="Q1204" t="str">
            <v>한국</v>
          </cell>
          <cell r="R1204" t="str">
            <v>냉장</v>
          </cell>
          <cell r="S1204" t="str">
            <v>BOX(1)</v>
          </cell>
          <cell r="T1204" t="str">
            <v/>
          </cell>
          <cell r="U1204" t="str">
            <v/>
          </cell>
          <cell r="V1204" t="str">
            <v>2019-01-02</v>
          </cell>
          <cell r="W1204" t="str">
            <v>2019-01-02 16:08:22</v>
          </cell>
          <cell r="X1204" t="str">
            <v>더바른푸드</v>
          </cell>
        </row>
        <row r="1205">
          <cell r="A1205">
            <v>1201</v>
          </cell>
          <cell r="B1205" t="str">
            <v>2019-01-03</v>
          </cell>
          <cell r="C1205" t="str">
            <v>더바른푸드</v>
          </cell>
          <cell r="D1205" t="str">
            <v>더바른푸드</v>
          </cell>
          <cell r="E1205" t="str">
            <v>일반</v>
          </cell>
          <cell r="F1205" t="str">
            <v>입고완료</v>
          </cell>
          <cell r="G1205">
            <v>252892</v>
          </cell>
          <cell r="H1205" t="str">
            <v>사옹원 통통고구마튀김(45g*23입 1Kg/EA)</v>
          </cell>
          <cell r="I1205" t="str">
            <v>EA</v>
          </cell>
          <cell r="J1205">
            <v>12</v>
          </cell>
          <cell r="K1205">
            <v>12</v>
          </cell>
          <cell r="L1205">
            <v>10960</v>
          </cell>
          <cell r="M1205">
            <v>131520</v>
          </cell>
          <cell r="N1205">
            <v>13152</v>
          </cell>
          <cell r="O1205">
            <v>144672</v>
          </cell>
          <cell r="P1205">
            <v>0</v>
          </cell>
          <cell r="Q1205" t="str">
            <v/>
          </cell>
          <cell r="R1205" t="str">
            <v>냉동</v>
          </cell>
          <cell r="S1205" t="str">
            <v>EA(5)</v>
          </cell>
          <cell r="T1205" t="str">
            <v/>
          </cell>
          <cell r="U1205" t="str">
            <v/>
          </cell>
          <cell r="V1205" t="str">
            <v>2019-01-02</v>
          </cell>
          <cell r="W1205" t="str">
            <v>2019-01-02 16:34:59</v>
          </cell>
          <cell r="X1205" t="str">
            <v>더바른푸드</v>
          </cell>
        </row>
        <row r="1206">
          <cell r="A1206">
            <v>1202</v>
          </cell>
          <cell r="B1206" t="str">
            <v>2019-01-03</v>
          </cell>
          <cell r="C1206" t="str">
            <v>더바른푸드</v>
          </cell>
          <cell r="D1206" t="str">
            <v>더바른푸드</v>
          </cell>
          <cell r="E1206" t="str">
            <v>일반</v>
          </cell>
          <cell r="F1206" t="str">
            <v>입고완료</v>
          </cell>
          <cell r="G1206">
            <v>219387</v>
          </cell>
          <cell r="H1206" t="str">
            <v>냉동배추우거지(1Kg/EA)</v>
          </cell>
          <cell r="I1206" t="str">
            <v>EA</v>
          </cell>
          <cell r="J1206">
            <v>60</v>
          </cell>
          <cell r="K1206">
            <v>60</v>
          </cell>
          <cell r="L1206">
            <v>1430</v>
          </cell>
          <cell r="M1206">
            <v>85800</v>
          </cell>
          <cell r="N1206">
            <v>8580</v>
          </cell>
          <cell r="O1206">
            <v>94380</v>
          </cell>
          <cell r="P1206">
            <v>0</v>
          </cell>
          <cell r="Q1206" t="str">
            <v>중국</v>
          </cell>
          <cell r="R1206" t="str">
            <v>냉동</v>
          </cell>
          <cell r="S1206" t="str">
            <v>EA(1)</v>
          </cell>
          <cell r="T1206" t="str">
            <v/>
          </cell>
          <cell r="U1206" t="str">
            <v/>
          </cell>
          <cell r="V1206" t="str">
            <v>2019-01-02</v>
          </cell>
          <cell r="W1206" t="str">
            <v>2019-01-02 16:37:06</v>
          </cell>
          <cell r="X1206" t="str">
            <v>더바른푸드</v>
          </cell>
        </row>
        <row r="1207">
          <cell r="A1207">
            <v>1203</v>
          </cell>
          <cell r="B1207" t="str">
            <v>2019-01-03</v>
          </cell>
          <cell r="C1207" t="str">
            <v>더바른푸드</v>
          </cell>
          <cell r="D1207" t="str">
            <v>더바른푸드</v>
          </cell>
          <cell r="E1207" t="str">
            <v>일반</v>
          </cell>
          <cell r="F1207" t="str">
            <v>입고완료</v>
          </cell>
          <cell r="G1207">
            <v>256561</v>
          </cell>
          <cell r="H1207" t="str">
            <v>냉동시래기(IQF 1Kg/EA)</v>
          </cell>
          <cell r="I1207" t="str">
            <v>EA</v>
          </cell>
          <cell r="J1207">
            <v>10</v>
          </cell>
          <cell r="K1207">
            <v>10</v>
          </cell>
          <cell r="L1207">
            <v>1500</v>
          </cell>
          <cell r="M1207">
            <v>15000</v>
          </cell>
          <cell r="N1207">
            <v>1500</v>
          </cell>
          <cell r="O1207">
            <v>16500</v>
          </cell>
          <cell r="P1207">
            <v>0</v>
          </cell>
          <cell r="Q1207" t="str">
            <v>중국</v>
          </cell>
          <cell r="R1207" t="str">
            <v>냉동</v>
          </cell>
          <cell r="S1207" t="str">
            <v>EA(1)</v>
          </cell>
          <cell r="T1207" t="str">
            <v/>
          </cell>
          <cell r="U1207" t="str">
            <v/>
          </cell>
          <cell r="V1207" t="str">
            <v>2019-01-02</v>
          </cell>
          <cell r="W1207" t="str">
            <v>2019-01-02 16:38:27</v>
          </cell>
          <cell r="X1207" t="str">
            <v>더바른푸드</v>
          </cell>
        </row>
        <row r="1208">
          <cell r="A1208">
            <v>1204</v>
          </cell>
          <cell r="B1208" t="str">
            <v>2019-01-03</v>
          </cell>
          <cell r="C1208" t="str">
            <v>더바른푸드</v>
          </cell>
          <cell r="D1208" t="str">
            <v>더바른푸드</v>
          </cell>
          <cell r="E1208" t="str">
            <v>일반</v>
          </cell>
          <cell r="F1208" t="str">
            <v>입고완료</v>
          </cell>
          <cell r="G1208">
            <v>204964</v>
          </cell>
          <cell r="H1208" t="str">
            <v>냉동표고버섯(슬라이스 1Kg/PAC)</v>
          </cell>
          <cell r="I1208" t="str">
            <v>PAC</v>
          </cell>
          <cell r="J1208">
            <v>10</v>
          </cell>
          <cell r="K1208">
            <v>10</v>
          </cell>
          <cell r="L1208">
            <v>2730</v>
          </cell>
          <cell r="M1208">
            <v>27300</v>
          </cell>
          <cell r="N1208">
            <v>0</v>
          </cell>
          <cell r="O1208">
            <v>27300</v>
          </cell>
          <cell r="P1208">
            <v>0</v>
          </cell>
          <cell r="Q1208" t="str">
            <v>중국</v>
          </cell>
          <cell r="R1208" t="str">
            <v>냉동</v>
          </cell>
          <cell r="S1208" t="str">
            <v>PAC(1)</v>
          </cell>
          <cell r="T1208" t="str">
            <v/>
          </cell>
          <cell r="U1208" t="str">
            <v/>
          </cell>
          <cell r="V1208" t="str">
            <v>2019-01-02</v>
          </cell>
          <cell r="W1208" t="str">
            <v>2019-01-02 16:39:42</v>
          </cell>
          <cell r="X1208" t="str">
            <v>더바른푸드</v>
          </cell>
        </row>
        <row r="1209">
          <cell r="A1209">
            <v>1205</v>
          </cell>
          <cell r="B1209" t="str">
            <v>2019-01-03</v>
          </cell>
          <cell r="C1209" t="str">
            <v>더바른푸드</v>
          </cell>
          <cell r="D1209" t="str">
            <v>더바른푸드</v>
          </cell>
          <cell r="E1209" t="str">
            <v>일반</v>
          </cell>
          <cell r="F1209" t="str">
            <v>입고완료</v>
          </cell>
          <cell r="G1209">
            <v>226247</v>
          </cell>
          <cell r="H1209" t="str">
            <v>냉동표고버섯(1.5*1.5cm다이스 1Kg/EA)</v>
          </cell>
          <cell r="I1209" t="str">
            <v>EA</v>
          </cell>
          <cell r="J1209">
            <v>10</v>
          </cell>
          <cell r="K1209">
            <v>10</v>
          </cell>
          <cell r="L1209">
            <v>2720</v>
          </cell>
          <cell r="M1209">
            <v>27200</v>
          </cell>
          <cell r="N1209">
            <v>0</v>
          </cell>
          <cell r="O1209">
            <v>27200</v>
          </cell>
          <cell r="P1209">
            <v>0</v>
          </cell>
          <cell r="Q1209" t="str">
            <v>중국</v>
          </cell>
          <cell r="R1209" t="str">
            <v>냉동</v>
          </cell>
          <cell r="S1209" t="str">
            <v>EA(1)</v>
          </cell>
          <cell r="T1209" t="str">
            <v/>
          </cell>
          <cell r="U1209" t="str">
            <v/>
          </cell>
          <cell r="V1209" t="str">
            <v>2019-01-02</v>
          </cell>
          <cell r="W1209" t="str">
            <v>2019-01-02 16:39:42</v>
          </cell>
          <cell r="X1209" t="str">
            <v>더바른푸드</v>
          </cell>
        </row>
        <row r="1210">
          <cell r="A1210">
            <v>1206</v>
          </cell>
          <cell r="B1210" t="str">
            <v>2019-01-03</v>
          </cell>
          <cell r="C1210" t="str">
            <v>더바른푸드</v>
          </cell>
          <cell r="D1210" t="str">
            <v>더바른푸드</v>
          </cell>
          <cell r="E1210" t="str">
            <v>일반</v>
          </cell>
          <cell r="F1210" t="str">
            <v>입고완료</v>
          </cell>
          <cell r="G1210">
            <v>128182</v>
          </cell>
          <cell r="H1210" t="str">
            <v>담양한과 찹쌀약과(사각_30g*10입 300g/EA)</v>
          </cell>
          <cell r="I1210" t="str">
            <v>EA</v>
          </cell>
          <cell r="J1210">
            <v>23</v>
          </cell>
          <cell r="K1210">
            <v>23</v>
          </cell>
          <cell r="L1210">
            <v>2720</v>
          </cell>
          <cell r="M1210">
            <v>62560</v>
          </cell>
          <cell r="N1210">
            <v>6256</v>
          </cell>
          <cell r="O1210">
            <v>68816</v>
          </cell>
          <cell r="P1210">
            <v>0</v>
          </cell>
          <cell r="Q1210" t="str">
            <v/>
          </cell>
          <cell r="R1210" t="str">
            <v>실온</v>
          </cell>
          <cell r="S1210" t="str">
            <v>EA(10)</v>
          </cell>
          <cell r="T1210" t="str">
            <v/>
          </cell>
          <cell r="U1210" t="str">
            <v/>
          </cell>
          <cell r="V1210" t="str">
            <v>2019-01-02</v>
          </cell>
          <cell r="W1210" t="str">
            <v>2019-01-02 16:43:23</v>
          </cell>
          <cell r="X1210" t="str">
            <v>더바른푸드</v>
          </cell>
        </row>
        <row r="1211">
          <cell r="A1211">
            <v>1207</v>
          </cell>
          <cell r="B1211" t="str">
            <v>2019-01-03</v>
          </cell>
          <cell r="C1211" t="str">
            <v>더바른푸드</v>
          </cell>
          <cell r="D1211" t="str">
            <v>더바른푸드</v>
          </cell>
          <cell r="E1211" t="str">
            <v>일반</v>
          </cell>
          <cell r="F1211" t="str">
            <v>입고완료</v>
          </cell>
          <cell r="G1211">
            <v>212132</v>
          </cell>
          <cell r="H1211" t="str">
            <v>냉동고구마(맛탕용 1Kg/EA)</v>
          </cell>
          <cell r="I1211" t="str">
            <v>EA</v>
          </cell>
          <cell r="J1211">
            <v>4</v>
          </cell>
          <cell r="K1211">
            <v>4</v>
          </cell>
          <cell r="L1211">
            <v>2750</v>
          </cell>
          <cell r="M1211">
            <v>11000</v>
          </cell>
          <cell r="N1211">
            <v>1100</v>
          </cell>
          <cell r="O1211">
            <v>12100</v>
          </cell>
          <cell r="P1211">
            <v>0</v>
          </cell>
          <cell r="Q1211" t="str">
            <v/>
          </cell>
          <cell r="R1211" t="str">
            <v>냉동</v>
          </cell>
          <cell r="S1211" t="str">
            <v>EA(1)</v>
          </cell>
          <cell r="T1211" t="str">
            <v/>
          </cell>
          <cell r="U1211" t="str">
            <v/>
          </cell>
          <cell r="V1211" t="str">
            <v>2019-01-02</v>
          </cell>
          <cell r="W1211" t="str">
            <v>2019-01-02 16:48:06</v>
          </cell>
          <cell r="X1211" t="str">
            <v>더바른푸드</v>
          </cell>
        </row>
        <row r="1212">
          <cell r="A1212">
            <v>1208</v>
          </cell>
          <cell r="B1212" t="str">
            <v>2019-01-03</v>
          </cell>
          <cell r="C1212" t="str">
            <v>더바른푸드</v>
          </cell>
          <cell r="D1212" t="str">
            <v>더바른푸드</v>
          </cell>
          <cell r="E1212" t="str">
            <v>일반</v>
          </cell>
          <cell r="F1212" t="str">
            <v>입고완료</v>
          </cell>
          <cell r="G1212">
            <v>130283</v>
          </cell>
          <cell r="H1212" t="str">
            <v>선인 통군고구마(2Kg/EA)</v>
          </cell>
          <cell r="I1212" t="str">
            <v>EA</v>
          </cell>
          <cell r="J1212">
            <v>4</v>
          </cell>
          <cell r="K1212">
            <v>4</v>
          </cell>
          <cell r="L1212">
            <v>12240</v>
          </cell>
          <cell r="M1212">
            <v>48960</v>
          </cell>
          <cell r="N1212">
            <v>4896</v>
          </cell>
          <cell r="O1212">
            <v>53856</v>
          </cell>
          <cell r="P1212">
            <v>0</v>
          </cell>
          <cell r="Q1212" t="str">
            <v/>
          </cell>
          <cell r="R1212" t="str">
            <v>냉동</v>
          </cell>
          <cell r="S1212" t="str">
            <v>EA(10)</v>
          </cell>
          <cell r="T1212" t="str">
            <v/>
          </cell>
          <cell r="U1212" t="str">
            <v/>
          </cell>
          <cell r="V1212" t="str">
            <v>2019-01-02</v>
          </cell>
          <cell r="W1212" t="str">
            <v>2019-01-02 16:53:55</v>
          </cell>
          <cell r="X1212" t="str">
            <v>더바른푸드</v>
          </cell>
        </row>
        <row r="1213">
          <cell r="A1213">
            <v>1209</v>
          </cell>
          <cell r="B1213" t="str">
            <v>2019-01-03</v>
          </cell>
          <cell r="C1213" t="str">
            <v>더바른푸드</v>
          </cell>
          <cell r="D1213" t="str">
            <v>더바른푸드</v>
          </cell>
          <cell r="E1213" t="str">
            <v>일반</v>
          </cell>
          <cell r="F1213" t="str">
            <v>입고완료</v>
          </cell>
          <cell r="G1213">
            <v>159125</v>
          </cell>
          <cell r="H1213" t="str">
            <v>건강마을 플리또주스(100ml_유기농_오렌지 100g/EA)</v>
          </cell>
          <cell r="I1213" t="str">
            <v>BOX</v>
          </cell>
          <cell r="J1213">
            <v>150</v>
          </cell>
          <cell r="K1213">
            <v>5</v>
          </cell>
          <cell r="L1213">
            <v>17600</v>
          </cell>
          <cell r="M1213">
            <v>2640000</v>
          </cell>
          <cell r="N1213">
            <v>264000</v>
          </cell>
          <cell r="O1213">
            <v>2904000</v>
          </cell>
          <cell r="P1213">
            <v>0</v>
          </cell>
          <cell r="Q1213" t="str">
            <v/>
          </cell>
          <cell r="R1213" t="str">
            <v>실온</v>
          </cell>
          <cell r="S1213" t="str">
            <v>EA(40)</v>
          </cell>
          <cell r="T1213" t="str">
            <v/>
          </cell>
          <cell r="U1213" t="str">
            <v/>
          </cell>
          <cell r="V1213" t="str">
            <v>2019-01-02</v>
          </cell>
          <cell r="W1213" t="str">
            <v>2019-01-02 16:57:16</v>
          </cell>
          <cell r="X1213" t="str">
            <v>더바른푸드</v>
          </cell>
        </row>
        <row r="1214">
          <cell r="A1214">
            <v>1210</v>
          </cell>
          <cell r="B1214" t="str">
            <v>2019-01-03</v>
          </cell>
          <cell r="C1214" t="str">
            <v>더바른푸드</v>
          </cell>
          <cell r="D1214" t="str">
            <v>더바른푸드</v>
          </cell>
          <cell r="E1214" t="str">
            <v>일반</v>
          </cell>
          <cell r="F1214" t="str">
            <v>입고완료</v>
          </cell>
          <cell r="G1214">
            <v>313570</v>
          </cell>
          <cell r="H1214" t="str">
            <v>프레시웨이 북어채(1Kg/EA)</v>
          </cell>
          <cell r="I1214" t="str">
            <v>EA</v>
          </cell>
          <cell r="J1214">
            <v>3</v>
          </cell>
          <cell r="K1214">
            <v>3</v>
          </cell>
          <cell r="L1214">
            <v>23460</v>
          </cell>
          <cell r="M1214">
            <v>70380</v>
          </cell>
          <cell r="N1214">
            <v>0</v>
          </cell>
          <cell r="O1214">
            <v>70380</v>
          </cell>
          <cell r="P1214">
            <v>0</v>
          </cell>
          <cell r="Q1214" t="str">
            <v>러시아</v>
          </cell>
          <cell r="R1214" t="str">
            <v>냉장</v>
          </cell>
          <cell r="S1214" t="str">
            <v>EA(8)</v>
          </cell>
          <cell r="T1214" t="str">
            <v/>
          </cell>
          <cell r="U1214" t="str">
            <v/>
          </cell>
          <cell r="V1214" t="str">
            <v>2019-01-02</v>
          </cell>
          <cell r="W1214" t="str">
            <v>2019-01-02 16:59:50</v>
          </cell>
          <cell r="X1214" t="str">
            <v>더바른푸드</v>
          </cell>
        </row>
        <row r="1215">
          <cell r="A1215">
            <v>1211</v>
          </cell>
          <cell r="B1215" t="str">
            <v>2019-01-02</v>
          </cell>
          <cell r="C1215">
            <v>0</v>
          </cell>
          <cell r="D1215">
            <v>0</v>
          </cell>
          <cell r="E1215">
            <v>0</v>
          </cell>
          <cell r="F1215">
            <v>0</v>
          </cell>
          <cell r="G1215">
            <v>0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0</v>
          </cell>
        </row>
        <row r="1216">
          <cell r="A1216">
            <v>1212</v>
          </cell>
          <cell r="B1216" t="str">
            <v>2019-01-02</v>
          </cell>
          <cell r="C1216" t="str">
            <v>더바른푸드</v>
          </cell>
          <cell r="D1216" t="str">
            <v>더바른푸드</v>
          </cell>
          <cell r="E1216" t="str">
            <v>일반</v>
          </cell>
          <cell r="F1216" t="str">
            <v>입고완료</v>
          </cell>
          <cell r="G1216">
            <v>264369</v>
          </cell>
          <cell r="H1216" t="str">
            <v>롯데제과증평 미니딸기샌드(65g/EA)</v>
          </cell>
          <cell r="I1216" t="str">
            <v>EA</v>
          </cell>
          <cell r="J1216">
            <v>101</v>
          </cell>
          <cell r="K1216">
            <v>101</v>
          </cell>
          <cell r="L1216">
            <v>560</v>
          </cell>
          <cell r="M1216">
            <v>56560</v>
          </cell>
          <cell r="N1216">
            <v>5656</v>
          </cell>
          <cell r="O1216">
            <v>62216</v>
          </cell>
          <cell r="P1216">
            <v>0</v>
          </cell>
          <cell r="Q1216" t="str">
            <v/>
          </cell>
          <cell r="R1216" t="str">
            <v>실온</v>
          </cell>
          <cell r="S1216" t="str">
            <v>EA(1)</v>
          </cell>
          <cell r="T1216" t="str">
            <v/>
          </cell>
          <cell r="U1216" t="str">
            <v/>
          </cell>
          <cell r="V1216" t="str">
            <v>2018-12-28</v>
          </cell>
          <cell r="W1216" t="str">
            <v>2018-12-28 15:51:12</v>
          </cell>
          <cell r="X1216" t="str">
            <v>더바른푸드</v>
          </cell>
        </row>
        <row r="1217">
          <cell r="A1217">
            <v>1213</v>
          </cell>
          <cell r="B1217" t="str">
            <v>2019-01-02</v>
          </cell>
          <cell r="C1217" t="str">
            <v>더바른푸드</v>
          </cell>
          <cell r="D1217" t="str">
            <v>더바른푸드</v>
          </cell>
          <cell r="E1217" t="str">
            <v>일반</v>
          </cell>
          <cell r="F1217" t="str">
            <v>입고완료</v>
          </cell>
          <cell r="G1217">
            <v>136633</v>
          </cell>
          <cell r="H1217" t="str">
            <v>이오 요구르트(80ml_유기농 80g/EA)</v>
          </cell>
          <cell r="I1217" t="str">
            <v>EA</v>
          </cell>
          <cell r="J1217">
            <v>240</v>
          </cell>
          <cell r="K1217">
            <v>240</v>
          </cell>
          <cell r="L1217">
            <v>300</v>
          </cell>
          <cell r="M1217">
            <v>72000</v>
          </cell>
          <cell r="N1217">
            <v>7200</v>
          </cell>
          <cell r="O1217">
            <v>79200</v>
          </cell>
          <cell r="P1217">
            <v>0</v>
          </cell>
          <cell r="Q1217" t="str">
            <v>한국</v>
          </cell>
          <cell r="R1217" t="str">
            <v>냉장</v>
          </cell>
          <cell r="S1217" t="str">
            <v>EA(50)</v>
          </cell>
          <cell r="T1217" t="str">
            <v/>
          </cell>
          <cell r="U1217" t="str">
            <v/>
          </cell>
          <cell r="V1217" t="str">
            <v>2018-12-28</v>
          </cell>
          <cell r="W1217" t="str">
            <v>2018-12-28 15:52:20</v>
          </cell>
          <cell r="X1217" t="str">
            <v>더바른푸드</v>
          </cell>
        </row>
        <row r="1218">
          <cell r="A1218">
            <v>1214</v>
          </cell>
          <cell r="B1218" t="str">
            <v>2019-01-02</v>
          </cell>
          <cell r="C1218" t="str">
            <v>더바른푸드</v>
          </cell>
          <cell r="D1218" t="str">
            <v>더바른푸드</v>
          </cell>
          <cell r="E1218" t="str">
            <v>일반</v>
          </cell>
          <cell r="F1218" t="str">
            <v>입고완료</v>
          </cell>
          <cell r="G1218">
            <v>112116</v>
          </cell>
          <cell r="H1218" t="str">
            <v>쉐프솔루션 동그랑땡(11g/개 1Kg/PAC)</v>
          </cell>
          <cell r="I1218" t="str">
            <v>PAC</v>
          </cell>
          <cell r="J1218">
            <v>61</v>
          </cell>
          <cell r="K1218">
            <v>61</v>
          </cell>
          <cell r="L1218">
            <v>4280</v>
          </cell>
          <cell r="M1218">
            <v>261080</v>
          </cell>
          <cell r="N1218">
            <v>26108</v>
          </cell>
          <cell r="O1218">
            <v>287188</v>
          </cell>
          <cell r="P1218">
            <v>0</v>
          </cell>
          <cell r="Q1218" t="str">
            <v/>
          </cell>
          <cell r="R1218" t="str">
            <v>냉동</v>
          </cell>
          <cell r="S1218" t="str">
            <v>PAC(5)</v>
          </cell>
          <cell r="T1218" t="str">
            <v/>
          </cell>
          <cell r="U1218" t="str">
            <v/>
          </cell>
          <cell r="V1218" t="str">
            <v>2018-12-31</v>
          </cell>
          <cell r="W1218" t="str">
            <v>2018-12-31 14:32:05</v>
          </cell>
          <cell r="X1218" t="str">
            <v>더바른푸드</v>
          </cell>
        </row>
        <row r="1219">
          <cell r="A1219">
            <v>1215</v>
          </cell>
          <cell r="B1219" t="str">
            <v>2019-01-02</v>
          </cell>
          <cell r="C1219" t="str">
            <v>더바른푸드</v>
          </cell>
          <cell r="D1219" t="str">
            <v>더바른푸드</v>
          </cell>
          <cell r="E1219" t="str">
            <v>일반</v>
          </cell>
          <cell r="F1219" t="str">
            <v>입고완료</v>
          </cell>
          <cell r="G1219">
            <v>177839</v>
          </cell>
          <cell r="H1219" t="str">
            <v>이츠웰 단호박샐러드(16년리뉴얼 1Kg/EA)</v>
          </cell>
          <cell r="I1219" t="str">
            <v>EA</v>
          </cell>
          <cell r="J1219">
            <v>12</v>
          </cell>
          <cell r="K1219">
            <v>12</v>
          </cell>
          <cell r="L1219">
            <v>4430</v>
          </cell>
          <cell r="M1219">
            <v>53160</v>
          </cell>
          <cell r="N1219">
            <v>5316</v>
          </cell>
          <cell r="O1219">
            <v>58476</v>
          </cell>
          <cell r="P1219">
            <v>0</v>
          </cell>
          <cell r="Q1219" t="str">
            <v/>
          </cell>
          <cell r="R1219" t="str">
            <v>냉장</v>
          </cell>
          <cell r="S1219" t="str">
            <v>EA(10)</v>
          </cell>
          <cell r="T1219" t="str">
            <v/>
          </cell>
          <cell r="U1219" t="str">
            <v/>
          </cell>
          <cell r="V1219" t="str">
            <v>2018-12-31</v>
          </cell>
          <cell r="W1219" t="str">
            <v>2018-12-31 14:37:20</v>
          </cell>
          <cell r="X1219" t="str">
            <v>더바른푸드</v>
          </cell>
        </row>
        <row r="1220">
          <cell r="A1220">
            <v>1216</v>
          </cell>
          <cell r="B1220" t="str">
            <v>2019-01-02</v>
          </cell>
          <cell r="C1220" t="str">
            <v>더바른푸드</v>
          </cell>
          <cell r="D1220" t="str">
            <v>더바른푸드</v>
          </cell>
          <cell r="E1220" t="str">
            <v>일반</v>
          </cell>
          <cell r="F1220" t="str">
            <v>입고완료</v>
          </cell>
          <cell r="G1220">
            <v>164580</v>
          </cell>
          <cell r="H1220" t="str">
            <v>웰넛 아몬드(슬라이스 1Kg/EA)</v>
          </cell>
          <cell r="I1220" t="str">
            <v>EA</v>
          </cell>
          <cell r="J1220">
            <v>2</v>
          </cell>
          <cell r="K1220">
            <v>2</v>
          </cell>
          <cell r="L1220">
            <v>14440</v>
          </cell>
          <cell r="M1220">
            <v>28880</v>
          </cell>
          <cell r="N1220">
            <v>0</v>
          </cell>
          <cell r="O1220">
            <v>28880</v>
          </cell>
          <cell r="P1220">
            <v>0</v>
          </cell>
          <cell r="Q1220" t="str">
            <v>미국</v>
          </cell>
          <cell r="R1220" t="str">
            <v>실온</v>
          </cell>
          <cell r="S1220" t="str">
            <v>EA(12)</v>
          </cell>
          <cell r="T1220" t="str">
            <v/>
          </cell>
          <cell r="U1220" t="str">
            <v/>
          </cell>
          <cell r="V1220" t="str">
            <v>2018-12-31</v>
          </cell>
          <cell r="W1220" t="str">
            <v>2018-12-31 14:47:38</v>
          </cell>
          <cell r="X1220" t="str">
            <v>더바른푸드</v>
          </cell>
        </row>
        <row r="1221">
          <cell r="A1221">
            <v>1217</v>
          </cell>
          <cell r="B1221" t="str">
            <v>2019-01-02</v>
          </cell>
          <cell r="C1221" t="str">
            <v>더바른푸드</v>
          </cell>
          <cell r="D1221" t="str">
            <v>더바른푸드</v>
          </cell>
          <cell r="E1221" t="str">
            <v>일반</v>
          </cell>
          <cell r="F1221" t="str">
            <v>입고완료</v>
          </cell>
          <cell r="G1221">
            <v>258815</v>
          </cell>
          <cell r="H1221" t="str">
            <v>웰넛 건포도(실속 1Kg/EA)</v>
          </cell>
          <cell r="I1221" t="str">
            <v>EA</v>
          </cell>
          <cell r="J1221">
            <v>2</v>
          </cell>
          <cell r="K1221">
            <v>2</v>
          </cell>
          <cell r="L1221">
            <v>4970</v>
          </cell>
          <cell r="M1221">
            <v>9940</v>
          </cell>
          <cell r="N1221">
            <v>994</v>
          </cell>
          <cell r="O1221">
            <v>10934</v>
          </cell>
          <cell r="P1221">
            <v>0</v>
          </cell>
          <cell r="Q1221" t="str">
            <v>칠레</v>
          </cell>
          <cell r="R1221" t="str">
            <v>실온</v>
          </cell>
          <cell r="S1221" t="str">
            <v>EA(1)</v>
          </cell>
          <cell r="T1221" t="str">
            <v/>
          </cell>
          <cell r="U1221" t="str">
            <v/>
          </cell>
          <cell r="V1221" t="str">
            <v>2018-12-31</v>
          </cell>
          <cell r="W1221" t="str">
            <v>2018-12-31 14:48:43</v>
          </cell>
          <cell r="X1221" t="str">
            <v>더바른푸드</v>
          </cell>
        </row>
        <row r="1222">
          <cell r="A1222">
            <v>1218</v>
          </cell>
          <cell r="B1222" t="str">
            <v>2019-01-02</v>
          </cell>
          <cell r="C1222" t="str">
            <v>더바른푸드</v>
          </cell>
          <cell r="D1222" t="str">
            <v>더바른푸드</v>
          </cell>
          <cell r="E1222" t="str">
            <v>일반</v>
          </cell>
          <cell r="F1222" t="str">
            <v>입고완료</v>
          </cell>
          <cell r="G1222">
            <v>206705</v>
          </cell>
          <cell r="H1222" t="str">
            <v>냉동청피망(1cm다이스 1Kg/PAC)</v>
          </cell>
          <cell r="I1222" t="str">
            <v>PAC</v>
          </cell>
          <cell r="J1222">
            <v>10</v>
          </cell>
          <cell r="K1222">
            <v>0</v>
          </cell>
          <cell r="L1222">
            <v>2110</v>
          </cell>
          <cell r="M1222">
            <v>21100</v>
          </cell>
          <cell r="N1222">
            <v>0</v>
          </cell>
          <cell r="O1222">
            <v>21100</v>
          </cell>
          <cell r="P1222">
            <v>0</v>
          </cell>
          <cell r="Q1222" t="str">
            <v>중국</v>
          </cell>
          <cell r="R1222" t="str">
            <v>냉동</v>
          </cell>
          <cell r="S1222" t="str">
            <v>PAC(1)</v>
          </cell>
          <cell r="T1222" t="str">
            <v/>
          </cell>
          <cell r="U1222" t="str">
            <v/>
          </cell>
          <cell r="V1222" t="str">
            <v>2018-12-31</v>
          </cell>
          <cell r="W1222" t="str">
            <v>2018-12-31 14:50:39</v>
          </cell>
          <cell r="X1222" t="str">
            <v>더바른푸드</v>
          </cell>
        </row>
        <row r="1223">
          <cell r="A1223">
            <v>1219</v>
          </cell>
          <cell r="B1223" t="str">
            <v>2019-01-02</v>
          </cell>
          <cell r="C1223" t="str">
            <v>더바른푸드</v>
          </cell>
          <cell r="D1223" t="str">
            <v>더바른푸드</v>
          </cell>
          <cell r="E1223" t="str">
            <v>일반</v>
          </cell>
          <cell r="F1223" t="str">
            <v>입고완료</v>
          </cell>
          <cell r="G1223">
            <v>247931</v>
          </cell>
          <cell r="H1223" t="str">
            <v>마당발 냉동다진마늘(1Kg/EA)</v>
          </cell>
          <cell r="I1223" t="str">
            <v>EA</v>
          </cell>
          <cell r="J1223">
            <v>20</v>
          </cell>
          <cell r="K1223">
            <v>20</v>
          </cell>
          <cell r="L1223">
            <v>2710</v>
          </cell>
          <cell r="M1223">
            <v>54200</v>
          </cell>
          <cell r="N1223">
            <v>0</v>
          </cell>
          <cell r="O1223">
            <v>54200</v>
          </cell>
          <cell r="P1223">
            <v>0</v>
          </cell>
          <cell r="Q1223" t="str">
            <v>중국</v>
          </cell>
          <cell r="R1223" t="str">
            <v>냉동</v>
          </cell>
          <cell r="S1223" t="str">
            <v>EA(10)</v>
          </cell>
          <cell r="T1223" t="str">
            <v/>
          </cell>
          <cell r="U1223" t="str">
            <v/>
          </cell>
          <cell r="V1223" t="str">
            <v>2018-12-31</v>
          </cell>
          <cell r="W1223" t="str">
            <v>2018-12-31 14:56:34</v>
          </cell>
          <cell r="X1223" t="str">
            <v>더바른푸드</v>
          </cell>
        </row>
        <row r="1224">
          <cell r="A1224">
            <v>1220</v>
          </cell>
          <cell r="B1224" t="str">
            <v>2019-01-02</v>
          </cell>
          <cell r="C1224" t="str">
            <v>더바른푸드</v>
          </cell>
          <cell r="D1224" t="str">
            <v>더바른푸드</v>
          </cell>
          <cell r="E1224" t="str">
            <v>일반</v>
          </cell>
          <cell r="F1224" t="str">
            <v>입고완료</v>
          </cell>
          <cell r="G1224">
            <v>204973</v>
          </cell>
          <cell r="H1224" t="str">
            <v>냉동대파(1Kg/PAC)</v>
          </cell>
          <cell r="I1224" t="str">
            <v>PAC</v>
          </cell>
          <cell r="J1224">
            <v>20</v>
          </cell>
          <cell r="K1224">
            <v>20</v>
          </cell>
          <cell r="L1224">
            <v>1400</v>
          </cell>
          <cell r="M1224">
            <v>28000</v>
          </cell>
          <cell r="N1224">
            <v>0</v>
          </cell>
          <cell r="O1224">
            <v>28000</v>
          </cell>
          <cell r="P1224">
            <v>0</v>
          </cell>
          <cell r="Q1224" t="str">
            <v>중국</v>
          </cell>
          <cell r="R1224" t="str">
            <v>냉동</v>
          </cell>
          <cell r="S1224" t="str">
            <v>PAC(1)</v>
          </cell>
          <cell r="T1224" t="str">
            <v/>
          </cell>
          <cell r="U1224" t="str">
            <v/>
          </cell>
          <cell r="V1224" t="str">
            <v>2018-12-31</v>
          </cell>
          <cell r="W1224" t="str">
            <v>2018-12-31 14:57:04</v>
          </cell>
          <cell r="X1224" t="str">
            <v>더바른푸드</v>
          </cell>
        </row>
        <row r="1225">
          <cell r="A1225">
            <v>1221</v>
          </cell>
          <cell r="B1225" t="str">
            <v>2019-01-02</v>
          </cell>
          <cell r="C1225" t="str">
            <v>더바른푸드</v>
          </cell>
          <cell r="D1225" t="str">
            <v>더바른푸드</v>
          </cell>
          <cell r="E1225" t="str">
            <v>일반</v>
          </cell>
          <cell r="F1225" t="str">
            <v>입고완료</v>
          </cell>
          <cell r="G1225">
            <v>221871</v>
          </cell>
          <cell r="H1225" t="str">
            <v>냉동시금치(IQF 1Kg/EA)</v>
          </cell>
          <cell r="I1225" t="str">
            <v>EA</v>
          </cell>
          <cell r="J1225">
            <v>110</v>
          </cell>
          <cell r="K1225">
            <v>110</v>
          </cell>
          <cell r="L1225">
            <v>1680</v>
          </cell>
          <cell r="M1225">
            <v>184800</v>
          </cell>
          <cell r="N1225">
            <v>18480</v>
          </cell>
          <cell r="O1225">
            <v>203280</v>
          </cell>
          <cell r="P1225">
            <v>0</v>
          </cell>
          <cell r="Q1225" t="str">
            <v>중국</v>
          </cell>
          <cell r="R1225" t="str">
            <v>냉동</v>
          </cell>
          <cell r="S1225" t="str">
            <v>EA(1)</v>
          </cell>
          <cell r="T1225" t="str">
            <v/>
          </cell>
          <cell r="U1225" t="str">
            <v/>
          </cell>
          <cell r="V1225" t="str">
            <v>2018-12-31</v>
          </cell>
          <cell r="W1225" t="str">
            <v>2018-12-31 15:13:50</v>
          </cell>
          <cell r="X1225" t="str">
            <v>더바른푸드</v>
          </cell>
        </row>
        <row r="1226">
          <cell r="A1226">
            <v>1222</v>
          </cell>
          <cell r="B1226" t="str">
            <v>2019-01-02</v>
          </cell>
          <cell r="C1226" t="str">
            <v>더바른푸드</v>
          </cell>
          <cell r="D1226" t="str">
            <v>더바른푸드</v>
          </cell>
          <cell r="E1226" t="str">
            <v>일반</v>
          </cell>
          <cell r="F1226" t="str">
            <v>입고완료</v>
          </cell>
          <cell r="G1226">
            <v>119764</v>
          </cell>
          <cell r="H1226" t="str">
            <v>이츠웰 사각어묵(알뜰 1Kg/EA)</v>
          </cell>
          <cell r="I1226" t="str">
            <v>EA</v>
          </cell>
          <cell r="J1226">
            <v>6</v>
          </cell>
          <cell r="K1226">
            <v>6</v>
          </cell>
          <cell r="L1226">
            <v>2850</v>
          </cell>
          <cell r="M1226">
            <v>17100</v>
          </cell>
          <cell r="N1226">
            <v>1710</v>
          </cell>
          <cell r="O1226">
            <v>18810</v>
          </cell>
          <cell r="P1226">
            <v>0</v>
          </cell>
          <cell r="Q1226" t="str">
            <v/>
          </cell>
          <cell r="R1226" t="str">
            <v>냉장</v>
          </cell>
          <cell r="S1226" t="str">
            <v>EA(10)</v>
          </cell>
          <cell r="T1226" t="str">
            <v/>
          </cell>
          <cell r="U1226" t="str">
            <v/>
          </cell>
          <cell r="V1226" t="str">
            <v>2018-12-31</v>
          </cell>
          <cell r="W1226" t="str">
            <v>2018-12-31 15:22:37</v>
          </cell>
          <cell r="X1226" t="str">
            <v>더바른푸드</v>
          </cell>
        </row>
        <row r="1227">
          <cell r="A1227">
            <v>1223</v>
          </cell>
          <cell r="B1227" t="str">
            <v>2019-01-02</v>
          </cell>
          <cell r="C1227" t="str">
            <v>더바른푸드</v>
          </cell>
          <cell r="D1227" t="str">
            <v>더바른푸드</v>
          </cell>
          <cell r="E1227" t="str">
            <v>일반</v>
          </cell>
          <cell r="F1227" t="str">
            <v>입고완료</v>
          </cell>
          <cell r="G1227">
            <v>119763</v>
          </cell>
          <cell r="H1227" t="str">
            <v>이츠웰 종합어묵(알뜰 1Kg/EA)</v>
          </cell>
          <cell r="I1227" t="str">
            <v>EA</v>
          </cell>
          <cell r="J1227">
            <v>6</v>
          </cell>
          <cell r="K1227">
            <v>6</v>
          </cell>
          <cell r="L1227">
            <v>2980</v>
          </cell>
          <cell r="M1227">
            <v>17880</v>
          </cell>
          <cell r="N1227">
            <v>1788</v>
          </cell>
          <cell r="O1227">
            <v>19668</v>
          </cell>
          <cell r="P1227">
            <v>0</v>
          </cell>
          <cell r="Q1227" t="str">
            <v/>
          </cell>
          <cell r="R1227" t="str">
            <v>냉장</v>
          </cell>
          <cell r="S1227" t="str">
            <v>EA(10)</v>
          </cell>
          <cell r="T1227" t="str">
            <v/>
          </cell>
          <cell r="U1227" t="str">
            <v/>
          </cell>
          <cell r="V1227" t="str">
            <v>2018-12-31</v>
          </cell>
          <cell r="W1227" t="str">
            <v>2018-12-31 15:23:00</v>
          </cell>
          <cell r="X1227" t="str">
            <v>더바른푸드</v>
          </cell>
        </row>
        <row r="1228">
          <cell r="A1228">
            <v>1224</v>
          </cell>
          <cell r="B1228" t="str">
            <v>2019-01-02</v>
          </cell>
          <cell r="C1228" t="str">
            <v>더바른푸드</v>
          </cell>
          <cell r="D1228" t="str">
            <v>더바른푸드</v>
          </cell>
          <cell r="E1228" t="str">
            <v>일반</v>
          </cell>
          <cell r="F1228" t="str">
            <v>입고완료</v>
          </cell>
          <cell r="G1228">
            <v>208502</v>
          </cell>
          <cell r="H1228" t="str">
            <v>세척당근(3L 10Kg/EA)</v>
          </cell>
          <cell r="I1228" t="str">
            <v>EA</v>
          </cell>
          <cell r="J1228">
            <v>1</v>
          </cell>
          <cell r="K1228">
            <v>1</v>
          </cell>
          <cell r="L1228">
            <v>11980</v>
          </cell>
          <cell r="M1228">
            <v>11980</v>
          </cell>
          <cell r="N1228">
            <v>0</v>
          </cell>
          <cell r="O1228">
            <v>11980</v>
          </cell>
          <cell r="P1228">
            <v>0</v>
          </cell>
          <cell r="Q1228" t="str">
            <v>중국</v>
          </cell>
          <cell r="R1228" t="str">
            <v>실온</v>
          </cell>
          <cell r="S1228" t="str">
            <v>EA(1)</v>
          </cell>
          <cell r="T1228" t="str">
            <v/>
          </cell>
          <cell r="U1228" t="str">
            <v/>
          </cell>
          <cell r="V1228" t="str">
            <v>2018-12-31</v>
          </cell>
          <cell r="W1228" t="str">
            <v>2018-12-31 15:23:41</v>
          </cell>
          <cell r="X1228" t="str">
            <v>더바른푸드</v>
          </cell>
        </row>
        <row r="1229">
          <cell r="A1229">
            <v>1225</v>
          </cell>
          <cell r="B1229" t="str">
            <v>2019-01-02</v>
          </cell>
          <cell r="C1229" t="str">
            <v>더바른푸드</v>
          </cell>
          <cell r="D1229" t="str">
            <v>더바른푸드</v>
          </cell>
          <cell r="E1229" t="str">
            <v>일반</v>
          </cell>
          <cell r="F1229" t="str">
            <v>입고완료</v>
          </cell>
          <cell r="G1229">
            <v>206705</v>
          </cell>
          <cell r="H1229" t="str">
            <v>냉동청피망(1cm다이스 1Kg/PAC)</v>
          </cell>
          <cell r="I1229" t="str">
            <v>PAC</v>
          </cell>
          <cell r="J1229">
            <v>10</v>
          </cell>
          <cell r="K1229">
            <v>10</v>
          </cell>
          <cell r="L1229">
            <v>2110</v>
          </cell>
          <cell r="M1229">
            <v>21100</v>
          </cell>
          <cell r="N1229">
            <v>0</v>
          </cell>
          <cell r="O1229">
            <v>21100</v>
          </cell>
          <cell r="P1229">
            <v>0</v>
          </cell>
          <cell r="Q1229" t="str">
            <v>중국</v>
          </cell>
          <cell r="R1229" t="str">
            <v>냉동</v>
          </cell>
          <cell r="S1229" t="str">
            <v>PAC(1)</v>
          </cell>
          <cell r="T1229" t="str">
            <v/>
          </cell>
          <cell r="U1229" t="str">
            <v/>
          </cell>
          <cell r="V1229" t="str">
            <v>2019-01-02</v>
          </cell>
          <cell r="W1229" t="str">
            <v>2019-01-02 13:42:13</v>
          </cell>
          <cell r="X1229" t="str">
            <v>syh3917</v>
          </cell>
        </row>
        <row r="1230">
          <cell r="A1230">
            <v>1226</v>
          </cell>
          <cell r="B1230" t="str">
            <v>2019-01-01</v>
          </cell>
          <cell r="C1230">
            <v>0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</row>
        <row r="1231">
          <cell r="A1231">
            <v>1227</v>
          </cell>
          <cell r="B1231" t="str">
            <v>2019-01-01</v>
          </cell>
          <cell r="C1231" t="str">
            <v>더바른푸드</v>
          </cell>
          <cell r="D1231" t="str">
            <v>더바른푸드</v>
          </cell>
          <cell r="E1231" t="str">
            <v>일반</v>
          </cell>
          <cell r="F1231" t="str">
            <v>입고완료</v>
          </cell>
          <cell r="G1231">
            <v>205745</v>
          </cell>
          <cell r="H1231" t="str">
            <v>총알새송이버섯(실속 2Kg/BOX)</v>
          </cell>
          <cell r="I1231" t="str">
            <v>BOX</v>
          </cell>
          <cell r="J1231">
            <v>55</v>
          </cell>
          <cell r="K1231">
            <v>55</v>
          </cell>
          <cell r="L1231">
            <v>4820</v>
          </cell>
          <cell r="M1231">
            <v>265100</v>
          </cell>
          <cell r="N1231">
            <v>0</v>
          </cell>
          <cell r="O1231">
            <v>265100</v>
          </cell>
          <cell r="P1231">
            <v>0</v>
          </cell>
          <cell r="Q1231" t="str">
            <v>한국</v>
          </cell>
          <cell r="R1231" t="str">
            <v>냉장</v>
          </cell>
          <cell r="S1231" t="str">
            <v>BOX(1)</v>
          </cell>
          <cell r="T1231" t="str">
            <v/>
          </cell>
          <cell r="U1231" t="str">
            <v/>
          </cell>
          <cell r="V1231" t="str">
            <v>2018-12-31</v>
          </cell>
          <cell r="W1231" t="str">
            <v>2018-12-31 13:28:02</v>
          </cell>
          <cell r="X1231" t="str">
            <v>더바른푸드</v>
          </cell>
        </row>
        <row r="1232">
          <cell r="A1232">
            <v>1228</v>
          </cell>
          <cell r="B1232" t="str">
            <v>2019-01-01</v>
          </cell>
          <cell r="C1232" t="str">
            <v>더바른푸드</v>
          </cell>
          <cell r="D1232" t="str">
            <v>더바른푸드</v>
          </cell>
          <cell r="E1232" t="str">
            <v>일반</v>
          </cell>
          <cell r="F1232" t="str">
            <v>입고완료</v>
          </cell>
          <cell r="G1232">
            <v>200685</v>
          </cell>
          <cell r="H1232" t="str">
            <v>청피망(상품 KG)</v>
          </cell>
          <cell r="I1232" t="str">
            <v>KG</v>
          </cell>
          <cell r="J1232">
            <v>2</v>
          </cell>
          <cell r="K1232">
            <v>2</v>
          </cell>
          <cell r="L1232">
            <v>5190</v>
          </cell>
          <cell r="M1232">
            <v>10380</v>
          </cell>
          <cell r="N1232">
            <v>0</v>
          </cell>
          <cell r="O1232">
            <v>10380</v>
          </cell>
          <cell r="P1232">
            <v>0</v>
          </cell>
          <cell r="Q1232" t="str">
            <v>한국</v>
          </cell>
          <cell r="R1232" t="str">
            <v>냉장</v>
          </cell>
          <cell r="S1232" t="str">
            <v>KG(1)</v>
          </cell>
          <cell r="T1232" t="str">
            <v/>
          </cell>
          <cell r="U1232" t="str">
            <v/>
          </cell>
          <cell r="V1232" t="str">
            <v>2018-12-31</v>
          </cell>
          <cell r="W1232" t="str">
            <v>2018-12-31 14:14:52</v>
          </cell>
          <cell r="X1232" t="str">
            <v>더바른푸드</v>
          </cell>
        </row>
        <row r="1233">
          <cell r="A1233">
            <v>1229</v>
          </cell>
          <cell r="B1233" t="str">
            <v>2019-01-01</v>
          </cell>
          <cell r="C1233" t="str">
            <v>더바른푸드</v>
          </cell>
          <cell r="D1233" t="str">
            <v>더바른푸드</v>
          </cell>
          <cell r="E1233" t="str">
            <v>일반</v>
          </cell>
          <cell r="F1233" t="str">
            <v>입고완료</v>
          </cell>
          <cell r="G1233">
            <v>200704</v>
          </cell>
          <cell r="H1233" t="str">
            <v>홍피망(상품 KG)</v>
          </cell>
          <cell r="I1233" t="str">
            <v>KG</v>
          </cell>
          <cell r="J1233">
            <v>2</v>
          </cell>
          <cell r="K1233">
            <v>2</v>
          </cell>
          <cell r="L1233">
            <v>5790</v>
          </cell>
          <cell r="M1233">
            <v>11580</v>
          </cell>
          <cell r="N1233">
            <v>0</v>
          </cell>
          <cell r="O1233">
            <v>11580</v>
          </cell>
          <cell r="P1233">
            <v>0</v>
          </cell>
          <cell r="Q1233" t="str">
            <v>한국</v>
          </cell>
          <cell r="R1233" t="str">
            <v>냉장</v>
          </cell>
          <cell r="S1233" t="str">
            <v>KG(1)</v>
          </cell>
          <cell r="T1233" t="str">
            <v/>
          </cell>
          <cell r="U1233" t="str">
            <v/>
          </cell>
          <cell r="V1233" t="str">
            <v>2018-12-31</v>
          </cell>
          <cell r="W1233" t="str">
            <v>2018-12-31 14:15:47</v>
          </cell>
          <cell r="X1233" t="str">
            <v>더바른푸드</v>
          </cell>
        </row>
        <row r="1234">
          <cell r="A1234">
            <v>1230</v>
          </cell>
          <cell r="B1234" t="str">
            <v>2018-12-31</v>
          </cell>
          <cell r="C1234">
            <v>0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</row>
        <row r="1235">
          <cell r="A1235">
            <v>1231</v>
          </cell>
          <cell r="B1235" t="str">
            <v>2018-12-31</v>
          </cell>
          <cell r="C1235" t="str">
            <v>키즈락</v>
          </cell>
          <cell r="D1235">
            <v>0</v>
          </cell>
          <cell r="E1235" t="str">
            <v>일반</v>
          </cell>
          <cell r="F1235" t="str">
            <v>입고완료</v>
          </cell>
          <cell r="G1235">
            <v>165129</v>
          </cell>
          <cell r="H1235" t="str">
            <v>쉐프솔루션 비비고도톰동그랑땡(1Kg/EA)</v>
          </cell>
          <cell r="I1235" t="str">
            <v>EA</v>
          </cell>
          <cell r="J1235">
            <v>60</v>
          </cell>
          <cell r="K1235">
            <v>60</v>
          </cell>
          <cell r="L1235">
            <v>7100</v>
          </cell>
          <cell r="M1235">
            <v>426000</v>
          </cell>
          <cell r="N1235">
            <v>42600</v>
          </cell>
          <cell r="O1235">
            <v>468600</v>
          </cell>
          <cell r="P1235">
            <v>0</v>
          </cell>
          <cell r="Q1235" t="str">
            <v/>
          </cell>
          <cell r="R1235" t="str">
            <v>냉동</v>
          </cell>
          <cell r="S1235" t="str">
            <v>EA(6)</v>
          </cell>
          <cell r="T1235" t="str">
            <v/>
          </cell>
          <cell r="U1235" t="str">
            <v/>
          </cell>
          <cell r="V1235" t="str">
            <v>2018-12-27</v>
          </cell>
          <cell r="W1235" t="str">
            <v>2018-12-27 13:25:27</v>
          </cell>
          <cell r="X1235" t="str">
            <v>178921000</v>
          </cell>
        </row>
        <row r="1236">
          <cell r="A1236">
            <v>1232</v>
          </cell>
          <cell r="B1236" t="str">
            <v>2018-12-31</v>
          </cell>
          <cell r="C1236" t="str">
            <v>키즈락</v>
          </cell>
          <cell r="D1236">
            <v>0</v>
          </cell>
          <cell r="E1236" t="str">
            <v>일반</v>
          </cell>
          <cell r="F1236" t="str">
            <v>입고완료</v>
          </cell>
          <cell r="G1236">
            <v>114264</v>
          </cell>
          <cell r="H1236" t="str">
            <v>동성식품 한입쌀떡볶이떡(1Kg/EA)</v>
          </cell>
          <cell r="I1236" t="str">
            <v>EA</v>
          </cell>
          <cell r="J1236">
            <v>10</v>
          </cell>
          <cell r="K1236">
            <v>10</v>
          </cell>
          <cell r="L1236">
            <v>1340</v>
          </cell>
          <cell r="M1236">
            <v>13400</v>
          </cell>
          <cell r="N1236">
            <v>1340</v>
          </cell>
          <cell r="O1236">
            <v>14740</v>
          </cell>
          <cell r="P1236">
            <v>0</v>
          </cell>
          <cell r="Q1236" t="str">
            <v>수입산</v>
          </cell>
          <cell r="R1236" t="str">
            <v>냉장</v>
          </cell>
          <cell r="S1236" t="str">
            <v>EA(1)</v>
          </cell>
          <cell r="T1236" t="str">
            <v/>
          </cell>
          <cell r="U1236" t="str">
            <v/>
          </cell>
          <cell r="V1236" t="str">
            <v>2018-12-27</v>
          </cell>
          <cell r="W1236" t="str">
            <v>2018-12-27 14:06:04</v>
          </cell>
          <cell r="X1236" t="str">
            <v>178921000</v>
          </cell>
        </row>
        <row r="1237">
          <cell r="A1237">
            <v>1233</v>
          </cell>
          <cell r="B1237" t="str">
            <v>2018-12-31</v>
          </cell>
          <cell r="C1237" t="str">
            <v>키즈락</v>
          </cell>
          <cell r="D1237">
            <v>0</v>
          </cell>
          <cell r="E1237" t="str">
            <v>일반</v>
          </cell>
          <cell r="F1237" t="str">
            <v>입고완료</v>
          </cell>
          <cell r="G1237">
            <v>178343</v>
          </cell>
          <cell r="H1237" t="str">
            <v>딤섬 표고버섯튀김(65±5개입 1Kg/EA)</v>
          </cell>
          <cell r="I1237" t="str">
            <v>EA</v>
          </cell>
          <cell r="J1237">
            <v>10</v>
          </cell>
          <cell r="K1237">
            <v>10</v>
          </cell>
          <cell r="L1237">
            <v>5160</v>
          </cell>
          <cell r="M1237">
            <v>51600</v>
          </cell>
          <cell r="N1237">
            <v>5160</v>
          </cell>
          <cell r="O1237">
            <v>56760</v>
          </cell>
          <cell r="P1237">
            <v>0</v>
          </cell>
          <cell r="Q1237" t="str">
            <v/>
          </cell>
          <cell r="R1237" t="str">
            <v>냉동</v>
          </cell>
          <cell r="S1237" t="str">
            <v>EA(10)</v>
          </cell>
          <cell r="T1237" t="str">
            <v/>
          </cell>
          <cell r="U1237" t="str">
            <v/>
          </cell>
          <cell r="V1237" t="str">
            <v>2018-12-27</v>
          </cell>
          <cell r="W1237" t="str">
            <v>2018-12-27 14:07:10</v>
          </cell>
          <cell r="X1237" t="str">
            <v>178921000</v>
          </cell>
        </row>
        <row r="1238">
          <cell r="A1238">
            <v>1234</v>
          </cell>
          <cell r="B1238" t="str">
            <v>2018-12-31</v>
          </cell>
          <cell r="C1238" t="str">
            <v>키즈락</v>
          </cell>
          <cell r="D1238">
            <v>0</v>
          </cell>
          <cell r="E1238" t="str">
            <v>일반</v>
          </cell>
          <cell r="F1238" t="str">
            <v>입고완료</v>
          </cell>
          <cell r="G1238">
            <v>192918</v>
          </cell>
          <cell r="H1238" t="str">
            <v>양배추(겉잎제거 KG)</v>
          </cell>
          <cell r="I1238" t="str">
            <v>KG</v>
          </cell>
          <cell r="J1238">
            <v>3</v>
          </cell>
          <cell r="K1238">
            <v>3</v>
          </cell>
          <cell r="L1238">
            <v>1220</v>
          </cell>
          <cell r="M1238">
            <v>3660</v>
          </cell>
          <cell r="N1238">
            <v>0</v>
          </cell>
          <cell r="O1238">
            <v>3660</v>
          </cell>
          <cell r="P1238">
            <v>0</v>
          </cell>
          <cell r="Q1238" t="str">
            <v>중국</v>
          </cell>
          <cell r="R1238" t="str">
            <v>냉장</v>
          </cell>
          <cell r="S1238" t="str">
            <v>KG(1)</v>
          </cell>
          <cell r="T1238" t="str">
            <v/>
          </cell>
          <cell r="U1238" t="str">
            <v/>
          </cell>
          <cell r="V1238" t="str">
            <v>2018-12-27</v>
          </cell>
          <cell r="W1238" t="str">
            <v>2018-12-27 14:09:35</v>
          </cell>
          <cell r="X1238" t="str">
            <v>178921000</v>
          </cell>
        </row>
        <row r="1239">
          <cell r="A1239">
            <v>1235</v>
          </cell>
          <cell r="B1239" t="str">
            <v>2018-12-31</v>
          </cell>
          <cell r="C1239" t="str">
            <v>키즈락</v>
          </cell>
          <cell r="D1239">
            <v>0</v>
          </cell>
          <cell r="E1239" t="str">
            <v>일반</v>
          </cell>
          <cell r="F1239" t="str">
            <v>입고완료</v>
          </cell>
          <cell r="G1239">
            <v>154930</v>
          </cell>
          <cell r="H1239" t="str">
            <v>사조대림 곤약(LOW칼로리생활 2Kg/EA)</v>
          </cell>
          <cell r="I1239" t="str">
            <v>EA</v>
          </cell>
          <cell r="J1239">
            <v>4</v>
          </cell>
          <cell r="K1239">
            <v>4</v>
          </cell>
          <cell r="L1239">
            <v>3920</v>
          </cell>
          <cell r="M1239">
            <v>15680</v>
          </cell>
          <cell r="N1239">
            <v>1568</v>
          </cell>
          <cell r="O1239">
            <v>17248</v>
          </cell>
          <cell r="P1239">
            <v>0</v>
          </cell>
          <cell r="Q1239" t="str">
            <v/>
          </cell>
          <cell r="R1239" t="str">
            <v>실온</v>
          </cell>
          <cell r="S1239" t="str">
            <v>EA(6)</v>
          </cell>
          <cell r="T1239" t="str">
            <v/>
          </cell>
          <cell r="U1239" t="str">
            <v/>
          </cell>
          <cell r="V1239" t="str">
            <v>2018-12-27</v>
          </cell>
          <cell r="W1239" t="str">
            <v>2018-12-27 14:42:32</v>
          </cell>
          <cell r="X1239" t="str">
            <v>178921000</v>
          </cell>
        </row>
        <row r="1240">
          <cell r="A1240">
            <v>1236</v>
          </cell>
          <cell r="B1240" t="str">
            <v>2018-12-31</v>
          </cell>
          <cell r="C1240" t="str">
            <v>키즈락</v>
          </cell>
          <cell r="D1240">
            <v>0</v>
          </cell>
          <cell r="E1240" t="str">
            <v>일반</v>
          </cell>
          <cell r="F1240" t="str">
            <v>입고완료</v>
          </cell>
          <cell r="G1240">
            <v>175493</v>
          </cell>
          <cell r="H1240" t="str">
            <v>덴마크 흰우유(1L_클래식 1Kg/EA)</v>
          </cell>
          <cell r="I1240" t="str">
            <v>EA</v>
          </cell>
          <cell r="J1240">
            <v>2</v>
          </cell>
          <cell r="K1240">
            <v>2</v>
          </cell>
          <cell r="L1240">
            <v>1810</v>
          </cell>
          <cell r="M1240">
            <v>3620</v>
          </cell>
          <cell r="N1240">
            <v>0</v>
          </cell>
          <cell r="O1240">
            <v>3620</v>
          </cell>
          <cell r="P1240">
            <v>0</v>
          </cell>
          <cell r="Q1240" t="str">
            <v>한국</v>
          </cell>
          <cell r="R1240" t="str">
            <v>냉장</v>
          </cell>
          <cell r="S1240" t="str">
            <v>EA(1)</v>
          </cell>
          <cell r="T1240" t="str">
            <v/>
          </cell>
          <cell r="U1240" t="str">
            <v/>
          </cell>
          <cell r="V1240" t="str">
            <v>2018-12-27</v>
          </cell>
          <cell r="W1240" t="str">
            <v>2018-12-27 14:55:35</v>
          </cell>
          <cell r="X1240" t="str">
            <v>178921000</v>
          </cell>
        </row>
        <row r="1241">
          <cell r="A1241">
            <v>1237</v>
          </cell>
          <cell r="B1241" t="str">
            <v>2018-12-31</v>
          </cell>
          <cell r="C1241" t="str">
            <v>키즈락</v>
          </cell>
          <cell r="D1241">
            <v>0</v>
          </cell>
          <cell r="E1241" t="str">
            <v>일반</v>
          </cell>
          <cell r="F1241" t="str">
            <v>입고완료</v>
          </cell>
          <cell r="G1241">
            <v>108210</v>
          </cell>
          <cell r="H1241" t="str">
            <v>이츠웰 파인애플캔(프리미엄 청크 3.062Kg/EA)</v>
          </cell>
          <cell r="I1241" t="str">
            <v>EA</v>
          </cell>
          <cell r="J1241">
            <v>6</v>
          </cell>
          <cell r="K1241">
            <v>6</v>
          </cell>
          <cell r="L1241">
            <v>8140</v>
          </cell>
          <cell r="M1241">
            <v>48840</v>
          </cell>
          <cell r="N1241">
            <v>4884</v>
          </cell>
          <cell r="O1241">
            <v>53724</v>
          </cell>
          <cell r="P1241">
            <v>0</v>
          </cell>
          <cell r="Q1241" t="str">
            <v>필리핀</v>
          </cell>
          <cell r="R1241" t="str">
            <v>실온</v>
          </cell>
          <cell r="S1241" t="str">
            <v>EA(6)</v>
          </cell>
          <cell r="T1241" t="str">
            <v/>
          </cell>
          <cell r="U1241" t="str">
            <v/>
          </cell>
          <cell r="V1241" t="str">
            <v>2018-12-27</v>
          </cell>
          <cell r="W1241" t="str">
            <v>2018-12-27 14:56:29</v>
          </cell>
          <cell r="X1241" t="str">
            <v>178921000</v>
          </cell>
        </row>
        <row r="1242">
          <cell r="A1242">
            <v>1238</v>
          </cell>
          <cell r="B1242" t="str">
            <v>2018-12-31</v>
          </cell>
          <cell r="C1242" t="str">
            <v>키즈락</v>
          </cell>
          <cell r="D1242">
            <v>0</v>
          </cell>
          <cell r="E1242" t="str">
            <v>일반</v>
          </cell>
          <cell r="F1242" t="str">
            <v>입고완료</v>
          </cell>
          <cell r="G1242">
            <v>526319</v>
          </cell>
          <cell r="H1242" t="str">
            <v>면장갑(민무늬_10입 EA)</v>
          </cell>
          <cell r="I1242" t="str">
            <v>EA</v>
          </cell>
          <cell r="J1242">
            <v>10</v>
          </cell>
          <cell r="K1242">
            <v>10</v>
          </cell>
          <cell r="L1242">
            <v>2440</v>
          </cell>
          <cell r="M1242">
            <v>24400</v>
          </cell>
          <cell r="N1242">
            <v>2440</v>
          </cell>
          <cell r="O1242">
            <v>26840</v>
          </cell>
          <cell r="P1242">
            <v>0</v>
          </cell>
          <cell r="Q1242" t="str">
            <v>중국</v>
          </cell>
          <cell r="R1242" t="str">
            <v>실온</v>
          </cell>
          <cell r="S1242" t="str">
            <v>EA(1)</v>
          </cell>
          <cell r="T1242" t="str">
            <v/>
          </cell>
          <cell r="U1242" t="str">
            <v/>
          </cell>
          <cell r="V1242" t="str">
            <v>2018-12-27</v>
          </cell>
          <cell r="W1242" t="str">
            <v>2018-12-27 14:59:27</v>
          </cell>
          <cell r="X1242" t="str">
            <v>178921000</v>
          </cell>
        </row>
        <row r="1243">
          <cell r="A1243">
            <v>1239</v>
          </cell>
          <cell r="B1243" t="str">
            <v>2018-12-31</v>
          </cell>
          <cell r="C1243" t="str">
            <v>키즈락</v>
          </cell>
          <cell r="D1243">
            <v>0</v>
          </cell>
          <cell r="E1243" t="str">
            <v>일반</v>
          </cell>
          <cell r="F1243" t="str">
            <v>입고완료</v>
          </cell>
          <cell r="G1243">
            <v>227935</v>
          </cell>
          <cell r="H1243" t="str">
            <v>크린업 은사수세미(18*14cm_2입 EA)</v>
          </cell>
          <cell r="I1243" t="str">
            <v>EA</v>
          </cell>
          <cell r="J1243">
            <v>10</v>
          </cell>
          <cell r="K1243">
            <v>10</v>
          </cell>
          <cell r="L1243">
            <v>710</v>
          </cell>
          <cell r="M1243">
            <v>7100</v>
          </cell>
          <cell r="N1243">
            <v>710</v>
          </cell>
          <cell r="O1243">
            <v>7810</v>
          </cell>
          <cell r="P1243">
            <v>0</v>
          </cell>
          <cell r="Q1243" t="str">
            <v/>
          </cell>
          <cell r="R1243" t="str">
            <v>실온</v>
          </cell>
          <cell r="S1243" t="str">
            <v>EA(200)</v>
          </cell>
          <cell r="T1243" t="str">
            <v/>
          </cell>
          <cell r="U1243" t="str">
            <v/>
          </cell>
          <cell r="V1243" t="str">
            <v>2018-12-27</v>
          </cell>
          <cell r="W1243" t="str">
            <v>2018-12-27 15:00:26</v>
          </cell>
          <cell r="X1243" t="str">
            <v>178921000</v>
          </cell>
        </row>
        <row r="1244">
          <cell r="A1244">
            <v>1240</v>
          </cell>
          <cell r="B1244" t="str">
            <v>2018-12-31</v>
          </cell>
          <cell r="C1244" t="str">
            <v>키즈락</v>
          </cell>
          <cell r="D1244">
            <v>0</v>
          </cell>
          <cell r="E1244" t="str">
            <v>일반</v>
          </cell>
          <cell r="F1244" t="str">
            <v>입고완료</v>
          </cell>
          <cell r="G1244">
            <v>227936</v>
          </cell>
          <cell r="H1244" t="str">
            <v>크린업 울스텐수세미(13*9*1.5cm_2입 EA)</v>
          </cell>
          <cell r="I1244" t="str">
            <v>EA</v>
          </cell>
          <cell r="J1244">
            <v>10</v>
          </cell>
          <cell r="K1244">
            <v>10</v>
          </cell>
          <cell r="L1244">
            <v>990</v>
          </cell>
          <cell r="M1244">
            <v>9900</v>
          </cell>
          <cell r="N1244">
            <v>990</v>
          </cell>
          <cell r="O1244">
            <v>10890</v>
          </cell>
          <cell r="P1244">
            <v>0</v>
          </cell>
          <cell r="Q1244" t="str">
            <v/>
          </cell>
          <cell r="R1244" t="str">
            <v>실온</v>
          </cell>
          <cell r="S1244" t="str">
            <v>EA(200)</v>
          </cell>
          <cell r="T1244" t="str">
            <v/>
          </cell>
          <cell r="U1244" t="str">
            <v/>
          </cell>
          <cell r="V1244" t="str">
            <v>2018-12-27</v>
          </cell>
          <cell r="W1244" t="str">
            <v>2018-12-27 15:00:26</v>
          </cell>
          <cell r="X1244" t="str">
            <v>178921000</v>
          </cell>
        </row>
        <row r="1245">
          <cell r="A1245">
            <v>1241</v>
          </cell>
          <cell r="B1245" t="str">
            <v>2018-12-31</v>
          </cell>
          <cell r="C1245" t="str">
            <v>키즈락</v>
          </cell>
          <cell r="D1245">
            <v>0</v>
          </cell>
          <cell r="E1245" t="str">
            <v>일반</v>
          </cell>
          <cell r="F1245" t="str">
            <v>입고완료</v>
          </cell>
          <cell r="G1245">
            <v>314295</v>
          </cell>
          <cell r="H1245" t="str">
            <v>디포리(밴댕이 1.5Kg/BOX)</v>
          </cell>
          <cell r="I1245" t="str">
            <v>BOX</v>
          </cell>
          <cell r="J1245">
            <v>5</v>
          </cell>
          <cell r="K1245">
            <v>5</v>
          </cell>
          <cell r="L1245">
            <v>10930</v>
          </cell>
          <cell r="M1245">
            <v>54650</v>
          </cell>
          <cell r="N1245">
            <v>0</v>
          </cell>
          <cell r="O1245">
            <v>54650</v>
          </cell>
          <cell r="P1245">
            <v>0</v>
          </cell>
          <cell r="Q1245" t="str">
            <v>베트남</v>
          </cell>
          <cell r="R1245" t="str">
            <v>냉동</v>
          </cell>
          <cell r="S1245" t="str">
            <v>BOX(1)</v>
          </cell>
          <cell r="T1245" t="str">
            <v/>
          </cell>
          <cell r="U1245" t="str">
            <v/>
          </cell>
          <cell r="V1245" t="str">
            <v>2018-12-27</v>
          </cell>
          <cell r="W1245" t="str">
            <v>2018-12-27 15:00:53</v>
          </cell>
          <cell r="X1245" t="str">
            <v>178921000</v>
          </cell>
        </row>
        <row r="1246">
          <cell r="A1246">
            <v>1242</v>
          </cell>
          <cell r="B1246" t="str">
            <v>2018-12-31</v>
          </cell>
          <cell r="C1246" t="str">
            <v>키즈락</v>
          </cell>
          <cell r="D1246">
            <v>0</v>
          </cell>
          <cell r="E1246" t="str">
            <v>일반</v>
          </cell>
          <cell r="F1246" t="str">
            <v>입고완료</v>
          </cell>
          <cell r="G1246">
            <v>526201</v>
          </cell>
          <cell r="H1246" t="str">
            <v>마미손 고무장갑(빨간색_대L EA)</v>
          </cell>
          <cell r="I1246" t="str">
            <v>EA</v>
          </cell>
          <cell r="J1246">
            <v>10</v>
          </cell>
          <cell r="K1246">
            <v>10</v>
          </cell>
          <cell r="L1246">
            <v>1340</v>
          </cell>
          <cell r="M1246">
            <v>13400</v>
          </cell>
          <cell r="N1246">
            <v>1340</v>
          </cell>
          <cell r="O1246">
            <v>14740</v>
          </cell>
          <cell r="P1246">
            <v>0</v>
          </cell>
          <cell r="Q1246" t="str">
            <v/>
          </cell>
          <cell r="R1246" t="str">
            <v>실온</v>
          </cell>
          <cell r="S1246" t="str">
            <v>EA(100)</v>
          </cell>
          <cell r="T1246" t="str">
            <v/>
          </cell>
          <cell r="U1246" t="str">
            <v/>
          </cell>
          <cell r="V1246" t="str">
            <v>2018-12-27</v>
          </cell>
          <cell r="W1246" t="str">
            <v>2018-12-27 15:01:45</v>
          </cell>
          <cell r="X1246" t="str">
            <v>178921000</v>
          </cell>
        </row>
        <row r="1247">
          <cell r="A1247">
            <v>1243</v>
          </cell>
          <cell r="B1247" t="str">
            <v>2018-12-31</v>
          </cell>
          <cell r="C1247" t="str">
            <v>키즈락</v>
          </cell>
          <cell r="D1247">
            <v>0</v>
          </cell>
          <cell r="E1247" t="str">
            <v>일반</v>
          </cell>
          <cell r="F1247" t="str">
            <v>입고완료</v>
          </cell>
          <cell r="G1247">
            <v>526203</v>
          </cell>
          <cell r="H1247" t="str">
            <v>마미손 고무장갑(화이트(아이보리)_대L EA)</v>
          </cell>
          <cell r="I1247" t="str">
            <v>EA</v>
          </cell>
          <cell r="J1247">
            <v>10</v>
          </cell>
          <cell r="K1247">
            <v>10</v>
          </cell>
          <cell r="L1247">
            <v>1340</v>
          </cell>
          <cell r="M1247">
            <v>13400</v>
          </cell>
          <cell r="N1247">
            <v>1340</v>
          </cell>
          <cell r="O1247">
            <v>14740</v>
          </cell>
          <cell r="P1247">
            <v>0</v>
          </cell>
          <cell r="Q1247" t="str">
            <v/>
          </cell>
          <cell r="R1247" t="str">
            <v>실온</v>
          </cell>
          <cell r="S1247" t="str">
            <v>EA(100)</v>
          </cell>
          <cell r="T1247" t="str">
            <v/>
          </cell>
          <cell r="U1247" t="str">
            <v/>
          </cell>
          <cell r="V1247" t="str">
            <v>2018-12-27</v>
          </cell>
          <cell r="W1247" t="str">
            <v>2018-12-27 15:01:45</v>
          </cell>
          <cell r="X1247" t="str">
            <v>178921000</v>
          </cell>
        </row>
        <row r="1248">
          <cell r="A1248">
            <v>1244</v>
          </cell>
          <cell r="B1248" t="str">
            <v>2018-12-31</v>
          </cell>
          <cell r="C1248" t="str">
            <v>키즈락</v>
          </cell>
          <cell r="D1248">
            <v>0</v>
          </cell>
          <cell r="E1248" t="str">
            <v>일반</v>
          </cell>
          <cell r="F1248" t="str">
            <v>입고완료</v>
          </cell>
          <cell r="G1248">
            <v>406596</v>
          </cell>
          <cell r="H1248" t="str">
            <v>체리부로 닭윙(1등급 30±5g/개_껍질있음 KG)</v>
          </cell>
          <cell r="I1248" t="str">
            <v>KG</v>
          </cell>
          <cell r="J1248">
            <v>152</v>
          </cell>
          <cell r="K1248">
            <v>152</v>
          </cell>
          <cell r="L1248">
            <v>5930</v>
          </cell>
          <cell r="M1248">
            <v>901360</v>
          </cell>
          <cell r="N1248">
            <v>0</v>
          </cell>
          <cell r="O1248">
            <v>901360</v>
          </cell>
          <cell r="P1248">
            <v>0</v>
          </cell>
          <cell r="Q1248" t="str">
            <v>한국</v>
          </cell>
          <cell r="R1248" t="str">
            <v>냉장</v>
          </cell>
          <cell r="S1248" t="str">
            <v>KG(1)</v>
          </cell>
          <cell r="T1248" t="str">
            <v/>
          </cell>
          <cell r="U1248" t="str">
            <v/>
          </cell>
          <cell r="V1248" t="str">
            <v>2018-12-28</v>
          </cell>
          <cell r="W1248" t="str">
            <v>2018-12-28 15:22:03</v>
          </cell>
          <cell r="X1248" t="str">
            <v>178921000</v>
          </cell>
        </row>
        <row r="1249">
          <cell r="A1249">
            <v>1245</v>
          </cell>
          <cell r="B1249" t="str">
            <v>2018-12-31</v>
          </cell>
          <cell r="C1249" t="str">
            <v>키즈락</v>
          </cell>
          <cell r="D1249">
            <v>0</v>
          </cell>
          <cell r="E1249" t="str">
            <v>일반</v>
          </cell>
          <cell r="F1249" t="str">
            <v>입고완료</v>
          </cell>
          <cell r="G1249">
            <v>124292</v>
          </cell>
          <cell r="H1249" t="str">
            <v>주부유부왕 유부(슬라이스 1Kg/EA)</v>
          </cell>
          <cell r="I1249" t="str">
            <v>EA</v>
          </cell>
          <cell r="J1249">
            <v>1</v>
          </cell>
          <cell r="K1249">
            <v>1</v>
          </cell>
          <cell r="L1249">
            <v>7400</v>
          </cell>
          <cell r="M1249">
            <v>7400</v>
          </cell>
          <cell r="N1249">
            <v>740</v>
          </cell>
          <cell r="O1249">
            <v>8140</v>
          </cell>
          <cell r="P1249">
            <v>0</v>
          </cell>
          <cell r="Q1249" t="str">
            <v>외국산</v>
          </cell>
          <cell r="R1249" t="str">
            <v>냉동</v>
          </cell>
          <cell r="S1249" t="str">
            <v>EA(5)</v>
          </cell>
          <cell r="T1249" t="str">
            <v/>
          </cell>
          <cell r="U1249" t="str">
            <v/>
          </cell>
          <cell r="V1249" t="str">
            <v>2018-12-28</v>
          </cell>
          <cell r="W1249" t="str">
            <v>2018-12-28 15:26:05</v>
          </cell>
          <cell r="X1249" t="str">
            <v>178921000</v>
          </cell>
        </row>
        <row r="1250">
          <cell r="A1250">
            <v>1246</v>
          </cell>
          <cell r="B1250" t="str">
            <v>2018-12-31</v>
          </cell>
          <cell r="C1250" t="str">
            <v>키즈락</v>
          </cell>
          <cell r="D1250">
            <v>0</v>
          </cell>
          <cell r="E1250" t="str">
            <v>일반</v>
          </cell>
          <cell r="F1250" t="str">
            <v>입고완료</v>
          </cell>
          <cell r="G1250">
            <v>201152</v>
          </cell>
          <cell r="H1250" t="str">
            <v>깐도라지채(KG)</v>
          </cell>
          <cell r="I1250" t="str">
            <v>KG</v>
          </cell>
          <cell r="J1250">
            <v>2</v>
          </cell>
          <cell r="K1250">
            <v>2</v>
          </cell>
          <cell r="L1250">
            <v>5380</v>
          </cell>
          <cell r="M1250">
            <v>10760</v>
          </cell>
          <cell r="N1250">
            <v>0</v>
          </cell>
          <cell r="O1250">
            <v>10760</v>
          </cell>
          <cell r="P1250">
            <v>0</v>
          </cell>
          <cell r="Q1250" t="str">
            <v>중국</v>
          </cell>
          <cell r="R1250" t="str">
            <v>냉장</v>
          </cell>
          <cell r="S1250" t="str">
            <v>KG(1)</v>
          </cell>
          <cell r="T1250" t="str">
            <v/>
          </cell>
          <cell r="U1250" t="str">
            <v/>
          </cell>
          <cell r="V1250" t="str">
            <v>2018-12-28</v>
          </cell>
          <cell r="W1250" t="str">
            <v>2018-12-28 15:28:54</v>
          </cell>
          <cell r="X1250" t="str">
            <v>178921000</v>
          </cell>
        </row>
        <row r="1251">
          <cell r="A1251">
            <v>1247</v>
          </cell>
          <cell r="B1251" t="str">
            <v>2018-12-31</v>
          </cell>
          <cell r="C1251" t="str">
            <v>키즈락</v>
          </cell>
          <cell r="D1251">
            <v>0</v>
          </cell>
          <cell r="E1251" t="str">
            <v>일반</v>
          </cell>
          <cell r="F1251" t="str">
            <v>입고완료</v>
          </cell>
          <cell r="G1251">
            <v>118007</v>
          </cell>
          <cell r="H1251" t="str">
            <v>한성 새우젓(1Kg/EA)</v>
          </cell>
          <cell r="I1251" t="str">
            <v>EA</v>
          </cell>
          <cell r="J1251">
            <v>5</v>
          </cell>
          <cell r="K1251">
            <v>5</v>
          </cell>
          <cell r="L1251">
            <v>10250</v>
          </cell>
          <cell r="M1251">
            <v>51250</v>
          </cell>
          <cell r="N1251">
            <v>5125</v>
          </cell>
          <cell r="O1251">
            <v>56375</v>
          </cell>
          <cell r="P1251">
            <v>0</v>
          </cell>
          <cell r="Q1251" t="str">
            <v>한국</v>
          </cell>
          <cell r="R1251" t="str">
            <v>냉장</v>
          </cell>
          <cell r="S1251" t="str">
            <v>EA(1)</v>
          </cell>
          <cell r="T1251" t="str">
            <v/>
          </cell>
          <cell r="U1251" t="str">
            <v/>
          </cell>
          <cell r="V1251" t="str">
            <v>2018-12-28</v>
          </cell>
          <cell r="W1251" t="str">
            <v>2018-12-28 15:30:44</v>
          </cell>
          <cell r="X1251" t="str">
            <v>178921000</v>
          </cell>
        </row>
        <row r="1252">
          <cell r="A1252">
            <v>1248</v>
          </cell>
          <cell r="B1252" t="str">
            <v>2018-12-31</v>
          </cell>
          <cell r="C1252" t="str">
            <v>키즈락</v>
          </cell>
          <cell r="D1252">
            <v>0</v>
          </cell>
          <cell r="E1252" t="str">
            <v>일반</v>
          </cell>
          <cell r="F1252" t="str">
            <v>입고완료</v>
          </cell>
          <cell r="G1252">
            <v>135245</v>
          </cell>
          <cell r="H1252" t="str">
            <v>염전하늘 천일염(탈수 10Kg/EA)</v>
          </cell>
          <cell r="I1252" t="str">
            <v>EA</v>
          </cell>
          <cell r="J1252">
            <v>1</v>
          </cell>
          <cell r="K1252">
            <v>1</v>
          </cell>
          <cell r="L1252">
            <v>9240</v>
          </cell>
          <cell r="M1252">
            <v>9240</v>
          </cell>
          <cell r="N1252">
            <v>0</v>
          </cell>
          <cell r="O1252">
            <v>9240</v>
          </cell>
          <cell r="P1252">
            <v>0</v>
          </cell>
          <cell r="Q1252" t="str">
            <v/>
          </cell>
          <cell r="R1252" t="str">
            <v>실온</v>
          </cell>
          <cell r="S1252" t="str">
            <v>EA(10)</v>
          </cell>
          <cell r="T1252" t="str">
            <v/>
          </cell>
          <cell r="U1252" t="str">
            <v/>
          </cell>
          <cell r="V1252" t="str">
            <v>2018-12-28</v>
          </cell>
          <cell r="W1252" t="str">
            <v>2018-12-28 15:31:24</v>
          </cell>
          <cell r="X1252" t="str">
            <v>178921000</v>
          </cell>
        </row>
        <row r="1253">
          <cell r="A1253">
            <v>1249</v>
          </cell>
          <cell r="B1253" t="str">
            <v>2018-12-31</v>
          </cell>
          <cell r="C1253" t="str">
            <v>키즈락</v>
          </cell>
          <cell r="D1253">
            <v>0</v>
          </cell>
          <cell r="E1253" t="str">
            <v>일반</v>
          </cell>
          <cell r="F1253" t="str">
            <v>입고완료</v>
          </cell>
          <cell r="G1253">
            <v>106212</v>
          </cell>
          <cell r="H1253" t="str">
            <v>백설 하얀설탕(15Kg/EA)</v>
          </cell>
          <cell r="I1253" t="str">
            <v>EA</v>
          </cell>
          <cell r="J1253">
            <v>1</v>
          </cell>
          <cell r="K1253">
            <v>1</v>
          </cell>
          <cell r="L1253">
            <v>15680</v>
          </cell>
          <cell r="M1253">
            <v>15680</v>
          </cell>
          <cell r="N1253">
            <v>1568</v>
          </cell>
          <cell r="O1253">
            <v>17248</v>
          </cell>
          <cell r="P1253">
            <v>0</v>
          </cell>
          <cell r="Q1253" t="str">
            <v/>
          </cell>
          <cell r="R1253" t="str">
            <v>실온</v>
          </cell>
          <cell r="S1253" t="str">
            <v>EA(1)</v>
          </cell>
          <cell r="T1253" t="str">
            <v/>
          </cell>
          <cell r="U1253" t="str">
            <v/>
          </cell>
          <cell r="V1253" t="str">
            <v>2018-12-28</v>
          </cell>
          <cell r="W1253" t="str">
            <v>2018-12-28 15:33:15</v>
          </cell>
          <cell r="X1253" t="str">
            <v>178921000</v>
          </cell>
        </row>
        <row r="1254">
          <cell r="A1254">
            <v>1250</v>
          </cell>
          <cell r="B1254" t="str">
            <v>2018-12-31</v>
          </cell>
          <cell r="C1254" t="str">
            <v>키즈락</v>
          </cell>
          <cell r="D1254">
            <v>0</v>
          </cell>
          <cell r="E1254" t="str">
            <v>일반</v>
          </cell>
          <cell r="F1254" t="str">
            <v>입고완료</v>
          </cell>
          <cell r="G1254">
            <v>228510</v>
          </cell>
          <cell r="H1254" t="str">
            <v>롯데제과 야채호빵(NEW_90g*4입 360g/EA)</v>
          </cell>
          <cell r="I1254" t="str">
            <v>EA</v>
          </cell>
          <cell r="J1254">
            <v>33</v>
          </cell>
          <cell r="K1254">
            <v>33</v>
          </cell>
          <cell r="L1254">
            <v>2460</v>
          </cell>
          <cell r="M1254">
            <v>81180</v>
          </cell>
          <cell r="N1254">
            <v>8118</v>
          </cell>
          <cell r="O1254">
            <v>89298</v>
          </cell>
          <cell r="P1254">
            <v>0</v>
          </cell>
          <cell r="Q1254" t="str">
            <v/>
          </cell>
          <cell r="R1254" t="str">
            <v>실온</v>
          </cell>
          <cell r="S1254" t="str">
            <v>EA(8)</v>
          </cell>
          <cell r="T1254" t="str">
            <v/>
          </cell>
          <cell r="U1254" t="str">
            <v/>
          </cell>
          <cell r="V1254" t="str">
            <v>2018-12-28</v>
          </cell>
          <cell r="W1254" t="str">
            <v>2018-12-28 15:36:06</v>
          </cell>
          <cell r="X1254" t="str">
            <v>178921000</v>
          </cell>
        </row>
        <row r="1255">
          <cell r="A1255">
            <v>1251</v>
          </cell>
          <cell r="B1255" t="str">
            <v>2018-12-31</v>
          </cell>
          <cell r="C1255" t="str">
            <v>키즈락</v>
          </cell>
          <cell r="D1255">
            <v>0</v>
          </cell>
          <cell r="E1255" t="str">
            <v>일반</v>
          </cell>
          <cell r="F1255" t="str">
            <v>입고완료</v>
          </cell>
          <cell r="G1255">
            <v>166334</v>
          </cell>
          <cell r="H1255" t="str">
            <v>종로복떡방 흰꿀떡(멥쌀_20G*50입 1Kg/EA)</v>
          </cell>
          <cell r="I1255" t="str">
            <v>EA</v>
          </cell>
          <cell r="J1255">
            <v>1</v>
          </cell>
          <cell r="K1255">
            <v>1</v>
          </cell>
          <cell r="L1255">
            <v>6750</v>
          </cell>
          <cell r="M1255">
            <v>6750</v>
          </cell>
          <cell r="N1255">
            <v>675</v>
          </cell>
          <cell r="O1255">
            <v>7425</v>
          </cell>
          <cell r="P1255">
            <v>0</v>
          </cell>
          <cell r="Q1255" t="str">
            <v/>
          </cell>
          <cell r="R1255" t="str">
            <v>냉동</v>
          </cell>
          <cell r="S1255" t="str">
            <v>EA(1)</v>
          </cell>
          <cell r="T1255" t="str">
            <v/>
          </cell>
          <cell r="U1255" t="str">
            <v/>
          </cell>
          <cell r="V1255" t="str">
            <v>2018-12-28</v>
          </cell>
          <cell r="W1255" t="str">
            <v>2018-12-28 15:39:19</v>
          </cell>
          <cell r="X1255" t="str">
            <v>178921000</v>
          </cell>
        </row>
        <row r="1256">
          <cell r="A1256">
            <v>1252</v>
          </cell>
          <cell r="B1256" t="str">
            <v>2018-12-29</v>
          </cell>
          <cell r="C1256">
            <v>0</v>
          </cell>
          <cell r="D1256">
            <v>0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</row>
        <row r="1257">
          <cell r="A1257">
            <v>1253</v>
          </cell>
          <cell r="B1257" t="str">
            <v>2018-12-29</v>
          </cell>
          <cell r="C1257" t="str">
            <v>키즈락</v>
          </cell>
          <cell r="D1257">
            <v>0</v>
          </cell>
          <cell r="E1257" t="str">
            <v>일반</v>
          </cell>
          <cell r="F1257" t="str">
            <v>입고완료</v>
          </cell>
          <cell r="G1257">
            <v>197120</v>
          </cell>
          <cell r="H1257" t="str">
            <v>종가집 포기김치(숙성 10Kg/BOX)</v>
          </cell>
          <cell r="I1257" t="str">
            <v>BOX</v>
          </cell>
          <cell r="J1257">
            <v>8</v>
          </cell>
          <cell r="K1257">
            <v>8</v>
          </cell>
          <cell r="L1257">
            <v>31390</v>
          </cell>
          <cell r="M1257">
            <v>251120</v>
          </cell>
          <cell r="N1257">
            <v>0</v>
          </cell>
          <cell r="O1257">
            <v>251120</v>
          </cell>
          <cell r="P1257">
            <v>0</v>
          </cell>
          <cell r="Q1257" t="str">
            <v>한국</v>
          </cell>
          <cell r="R1257" t="str">
            <v>냉장</v>
          </cell>
          <cell r="S1257" t="str">
            <v>BOX(1)</v>
          </cell>
          <cell r="T1257" t="str">
            <v/>
          </cell>
          <cell r="U1257" t="str">
            <v/>
          </cell>
          <cell r="V1257" t="str">
            <v>2018-12-28</v>
          </cell>
          <cell r="W1257" t="str">
            <v>2018-12-28 15:27:18</v>
          </cell>
          <cell r="X1257" t="str">
            <v>178921000</v>
          </cell>
        </row>
        <row r="1258">
          <cell r="A1258">
            <v>1254</v>
          </cell>
          <cell r="B1258" t="str">
            <v>2018-12-28</v>
          </cell>
          <cell r="C1258">
            <v>0</v>
          </cell>
          <cell r="D1258">
            <v>0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</row>
        <row r="1259">
          <cell r="A1259">
            <v>1255</v>
          </cell>
          <cell r="B1259" t="str">
            <v>2018-12-28</v>
          </cell>
          <cell r="C1259" t="str">
            <v>키즈락</v>
          </cell>
          <cell r="D1259">
            <v>0</v>
          </cell>
          <cell r="E1259" t="str">
            <v>일반</v>
          </cell>
          <cell r="F1259" t="str">
            <v>입고완료</v>
          </cell>
          <cell r="G1259">
            <v>130817</v>
          </cell>
          <cell r="H1259" t="str">
            <v>이츠웰 해물모양떡(하얀색 1Kg/EA)</v>
          </cell>
          <cell r="I1259" t="str">
            <v>EA</v>
          </cell>
          <cell r="J1259">
            <v>16</v>
          </cell>
          <cell r="K1259">
            <v>16</v>
          </cell>
          <cell r="L1259">
            <v>1480</v>
          </cell>
          <cell r="M1259">
            <v>23680</v>
          </cell>
          <cell r="N1259">
            <v>2368</v>
          </cell>
          <cell r="O1259">
            <v>26048</v>
          </cell>
          <cell r="P1259">
            <v>0</v>
          </cell>
          <cell r="Q1259" t="str">
            <v>외국산</v>
          </cell>
          <cell r="R1259" t="str">
            <v>냉장</v>
          </cell>
          <cell r="S1259" t="str">
            <v>EA(10)</v>
          </cell>
          <cell r="T1259" t="str">
            <v/>
          </cell>
          <cell r="U1259" t="str">
            <v/>
          </cell>
          <cell r="V1259" t="str">
            <v>2018-12-26</v>
          </cell>
          <cell r="W1259" t="str">
            <v>2018-12-26 10:38:57</v>
          </cell>
          <cell r="X1259" t="str">
            <v>178921000</v>
          </cell>
        </row>
        <row r="1260">
          <cell r="A1260">
            <v>1256</v>
          </cell>
          <cell r="B1260" t="str">
            <v>2018-12-28</v>
          </cell>
          <cell r="C1260" t="str">
            <v>키즈락</v>
          </cell>
          <cell r="D1260">
            <v>0</v>
          </cell>
          <cell r="E1260" t="str">
            <v>일반</v>
          </cell>
          <cell r="F1260" t="str">
            <v>입고완료</v>
          </cell>
          <cell r="G1260">
            <v>411038</v>
          </cell>
          <cell r="H1260" t="str">
            <v>누리웰 깐메추리알(1Kg/EA)</v>
          </cell>
          <cell r="I1260" t="str">
            <v>EA</v>
          </cell>
          <cell r="J1260">
            <v>28</v>
          </cell>
          <cell r="K1260">
            <v>28</v>
          </cell>
          <cell r="L1260">
            <v>4960</v>
          </cell>
          <cell r="M1260">
            <v>138880</v>
          </cell>
          <cell r="N1260">
            <v>13888</v>
          </cell>
          <cell r="O1260">
            <v>152768</v>
          </cell>
          <cell r="P1260">
            <v>0</v>
          </cell>
          <cell r="Q1260" t="str">
            <v>한국</v>
          </cell>
          <cell r="R1260" t="str">
            <v>냉장</v>
          </cell>
          <cell r="S1260" t="str">
            <v>EA(10)</v>
          </cell>
          <cell r="T1260" t="str">
            <v/>
          </cell>
          <cell r="U1260" t="str">
            <v/>
          </cell>
          <cell r="V1260" t="str">
            <v>2018-12-26</v>
          </cell>
          <cell r="W1260" t="str">
            <v>2018-12-26 10:42:39</v>
          </cell>
          <cell r="X1260" t="str">
            <v>178921000</v>
          </cell>
        </row>
        <row r="1261">
          <cell r="A1261">
            <v>1257</v>
          </cell>
          <cell r="B1261" t="str">
            <v>2018-12-28</v>
          </cell>
          <cell r="C1261" t="str">
            <v>키즈락</v>
          </cell>
          <cell r="D1261">
            <v>0</v>
          </cell>
          <cell r="E1261" t="str">
            <v>일반</v>
          </cell>
          <cell r="F1261" t="str">
            <v>입고완료</v>
          </cell>
          <cell r="G1261">
            <v>211037</v>
          </cell>
          <cell r="H1261" t="str">
            <v>느타리버섯(실속 균상 2Kg/EA)</v>
          </cell>
          <cell r="I1261" t="str">
            <v>BOX</v>
          </cell>
          <cell r="J1261">
            <v>4</v>
          </cell>
          <cell r="K1261">
            <v>4</v>
          </cell>
          <cell r="L1261">
            <v>7650</v>
          </cell>
          <cell r="M1261">
            <v>30600</v>
          </cell>
          <cell r="N1261">
            <v>0</v>
          </cell>
          <cell r="O1261">
            <v>30600</v>
          </cell>
          <cell r="P1261">
            <v>0</v>
          </cell>
          <cell r="Q1261" t="str">
            <v>한국</v>
          </cell>
          <cell r="R1261" t="str">
            <v>냉장</v>
          </cell>
          <cell r="S1261" t="str">
            <v>EA(1)</v>
          </cell>
          <cell r="T1261" t="str">
            <v/>
          </cell>
          <cell r="U1261" t="str">
            <v/>
          </cell>
          <cell r="V1261" t="str">
            <v>2018-12-26</v>
          </cell>
          <cell r="W1261" t="str">
            <v>2018-12-26 13:37:24</v>
          </cell>
          <cell r="X1261" t="str">
            <v>178921000</v>
          </cell>
        </row>
        <row r="1262">
          <cell r="A1262">
            <v>1258</v>
          </cell>
          <cell r="B1262" t="str">
            <v>2018-12-28</v>
          </cell>
          <cell r="C1262" t="str">
            <v>키즈락</v>
          </cell>
          <cell r="D1262">
            <v>0</v>
          </cell>
          <cell r="E1262" t="str">
            <v>일반</v>
          </cell>
          <cell r="F1262" t="str">
            <v>입고완료</v>
          </cell>
          <cell r="G1262">
            <v>214113</v>
          </cell>
          <cell r="H1262" t="str">
            <v>아이누리 팽이버섯(1Kg/EA)</v>
          </cell>
          <cell r="I1262" t="str">
            <v>EA</v>
          </cell>
          <cell r="J1262">
            <v>2</v>
          </cell>
          <cell r="K1262">
            <v>2</v>
          </cell>
          <cell r="L1262">
            <v>2780</v>
          </cell>
          <cell r="M1262">
            <v>5560</v>
          </cell>
          <cell r="N1262">
            <v>0</v>
          </cell>
          <cell r="O1262">
            <v>5560</v>
          </cell>
          <cell r="P1262">
            <v>0</v>
          </cell>
          <cell r="Q1262" t="str">
            <v>한국</v>
          </cell>
          <cell r="R1262" t="str">
            <v>냉장</v>
          </cell>
          <cell r="S1262" t="str">
            <v>EA(1)</v>
          </cell>
          <cell r="T1262" t="str">
            <v/>
          </cell>
          <cell r="U1262" t="str">
            <v/>
          </cell>
          <cell r="V1262" t="str">
            <v>2018-12-26</v>
          </cell>
          <cell r="W1262" t="str">
            <v>2018-12-26 13:37:24</v>
          </cell>
          <cell r="X1262" t="str">
            <v>178921000</v>
          </cell>
        </row>
        <row r="1263">
          <cell r="A1263">
            <v>1259</v>
          </cell>
          <cell r="B1263" t="str">
            <v>2018-12-28</v>
          </cell>
          <cell r="C1263" t="str">
            <v>키즈락</v>
          </cell>
          <cell r="D1263">
            <v>0</v>
          </cell>
          <cell r="E1263" t="str">
            <v>일반</v>
          </cell>
          <cell r="F1263" t="str">
            <v>입고완료</v>
          </cell>
          <cell r="G1263">
            <v>239195</v>
          </cell>
          <cell r="H1263" t="str">
            <v>이츠웰 스위트칠리소스(PET_2017년리뉴얼 2.05Kg/EA)</v>
          </cell>
          <cell r="I1263" t="str">
            <v>EA</v>
          </cell>
          <cell r="J1263">
            <v>3</v>
          </cell>
          <cell r="K1263">
            <v>3</v>
          </cell>
          <cell r="L1263">
            <v>5190</v>
          </cell>
          <cell r="M1263">
            <v>15570</v>
          </cell>
          <cell r="N1263">
            <v>1557</v>
          </cell>
          <cell r="O1263">
            <v>17127</v>
          </cell>
          <cell r="P1263">
            <v>0</v>
          </cell>
          <cell r="Q1263" t="str">
            <v/>
          </cell>
          <cell r="R1263" t="str">
            <v>실온</v>
          </cell>
          <cell r="S1263" t="str">
            <v>EA(6)</v>
          </cell>
          <cell r="T1263" t="str">
            <v/>
          </cell>
          <cell r="U1263" t="str">
            <v/>
          </cell>
          <cell r="V1263" t="str">
            <v>2018-12-26</v>
          </cell>
          <cell r="W1263" t="str">
            <v>2018-12-26 13:39:15</v>
          </cell>
          <cell r="X1263" t="str">
            <v>178921000</v>
          </cell>
        </row>
        <row r="1264">
          <cell r="A1264">
            <v>1260</v>
          </cell>
          <cell r="B1264" t="str">
            <v>2018-12-28</v>
          </cell>
          <cell r="C1264" t="str">
            <v>키즈락</v>
          </cell>
          <cell r="D1264">
            <v>0</v>
          </cell>
          <cell r="E1264" t="str">
            <v>일반</v>
          </cell>
          <cell r="F1264" t="str">
            <v>입고완료</v>
          </cell>
          <cell r="G1264">
            <v>219387</v>
          </cell>
          <cell r="H1264" t="str">
            <v>냉동배추우거지(1Kg/EA)</v>
          </cell>
          <cell r="I1264" t="str">
            <v>EA</v>
          </cell>
          <cell r="J1264">
            <v>20</v>
          </cell>
          <cell r="K1264">
            <v>20</v>
          </cell>
          <cell r="L1264">
            <v>1430</v>
          </cell>
          <cell r="M1264">
            <v>28600</v>
          </cell>
          <cell r="N1264">
            <v>2860</v>
          </cell>
          <cell r="O1264">
            <v>31460</v>
          </cell>
          <cell r="P1264">
            <v>0</v>
          </cell>
          <cell r="Q1264" t="str">
            <v>중국</v>
          </cell>
          <cell r="R1264" t="str">
            <v>냉동</v>
          </cell>
          <cell r="S1264" t="str">
            <v>EA(1)</v>
          </cell>
          <cell r="T1264" t="str">
            <v/>
          </cell>
          <cell r="U1264" t="str">
            <v/>
          </cell>
          <cell r="V1264" t="str">
            <v>2018-12-26</v>
          </cell>
          <cell r="W1264" t="str">
            <v>2018-12-26 13:39:53</v>
          </cell>
          <cell r="X1264" t="str">
            <v>178921000</v>
          </cell>
        </row>
        <row r="1265">
          <cell r="A1265">
            <v>1261</v>
          </cell>
          <cell r="B1265" t="str">
            <v>2018-12-28</v>
          </cell>
          <cell r="C1265" t="str">
            <v>키즈락</v>
          </cell>
          <cell r="D1265">
            <v>0</v>
          </cell>
          <cell r="E1265" t="str">
            <v>일반</v>
          </cell>
          <cell r="F1265" t="str">
            <v>입고완료</v>
          </cell>
          <cell r="G1265">
            <v>408799</v>
          </cell>
          <cell r="H1265" t="str">
            <v>이츠웰 오리훈제(슬라이스_무항생제오리로만든 1Kg/PAC)</v>
          </cell>
          <cell r="I1265" t="str">
            <v>PAC</v>
          </cell>
          <cell r="J1265">
            <v>13</v>
          </cell>
          <cell r="K1265">
            <v>13</v>
          </cell>
          <cell r="L1265">
            <v>11890</v>
          </cell>
          <cell r="M1265">
            <v>154570</v>
          </cell>
          <cell r="N1265">
            <v>15457</v>
          </cell>
          <cell r="O1265">
            <v>170027</v>
          </cell>
          <cell r="P1265">
            <v>170027</v>
          </cell>
          <cell r="Q1265" t="str">
            <v>한국</v>
          </cell>
          <cell r="R1265" t="str">
            <v>냉장</v>
          </cell>
          <cell r="S1265" t="str">
            <v>PAC(1)</v>
          </cell>
          <cell r="T1265" t="str">
            <v/>
          </cell>
          <cell r="U1265" t="str">
            <v/>
          </cell>
          <cell r="V1265" t="str">
            <v>2018-12-26</v>
          </cell>
          <cell r="W1265" t="str">
            <v>2018-12-26 13:42:31</v>
          </cell>
          <cell r="X1265" t="str">
            <v>178921000</v>
          </cell>
        </row>
        <row r="1266">
          <cell r="A1266">
            <v>1262</v>
          </cell>
          <cell r="B1266" t="str">
            <v>2018-12-28</v>
          </cell>
          <cell r="C1266" t="str">
            <v>키즈락</v>
          </cell>
          <cell r="D1266">
            <v>0</v>
          </cell>
          <cell r="E1266" t="str">
            <v>일반</v>
          </cell>
          <cell r="F1266" t="str">
            <v>입고완료</v>
          </cell>
          <cell r="G1266">
            <v>135871</v>
          </cell>
          <cell r="H1266" t="str">
            <v>이츠웰 대두유(18L 16.506Kg/EA)</v>
          </cell>
          <cell r="I1266" t="str">
            <v>EA</v>
          </cell>
          <cell r="J1266">
            <v>2</v>
          </cell>
          <cell r="K1266">
            <v>2</v>
          </cell>
          <cell r="L1266">
            <v>28710</v>
          </cell>
          <cell r="M1266">
            <v>57420</v>
          </cell>
          <cell r="N1266">
            <v>5742</v>
          </cell>
          <cell r="O1266">
            <v>63162</v>
          </cell>
          <cell r="P1266">
            <v>0</v>
          </cell>
          <cell r="Q1266" t="str">
            <v/>
          </cell>
          <cell r="R1266" t="str">
            <v>실온</v>
          </cell>
          <cell r="S1266" t="str">
            <v>EA(1)</v>
          </cell>
          <cell r="T1266" t="str">
            <v/>
          </cell>
          <cell r="U1266" t="str">
            <v/>
          </cell>
          <cell r="V1266" t="str">
            <v>2018-12-27</v>
          </cell>
          <cell r="W1266" t="str">
            <v>2018-12-27 12:02:14</v>
          </cell>
          <cell r="X1266" t="str">
            <v>178921000</v>
          </cell>
        </row>
        <row r="1267">
          <cell r="A1267">
            <v>1263</v>
          </cell>
          <cell r="B1267" t="str">
            <v>2018-12-28</v>
          </cell>
          <cell r="C1267" t="str">
            <v>키즈락</v>
          </cell>
          <cell r="D1267">
            <v>0</v>
          </cell>
          <cell r="E1267" t="str">
            <v>일반</v>
          </cell>
          <cell r="F1267" t="str">
            <v>입고완료</v>
          </cell>
          <cell r="G1267">
            <v>247824</v>
          </cell>
          <cell r="H1267" t="str">
            <v>주일 건다시마(실속 1Kg/EA)</v>
          </cell>
          <cell r="I1267" t="str">
            <v>EA</v>
          </cell>
          <cell r="J1267">
            <v>3</v>
          </cell>
          <cell r="K1267">
            <v>3</v>
          </cell>
          <cell r="L1267">
            <v>11100</v>
          </cell>
          <cell r="M1267">
            <v>33300</v>
          </cell>
          <cell r="N1267">
            <v>0</v>
          </cell>
          <cell r="O1267">
            <v>33300</v>
          </cell>
          <cell r="P1267">
            <v>0</v>
          </cell>
          <cell r="Q1267" t="str">
            <v>한국</v>
          </cell>
          <cell r="R1267" t="str">
            <v>실온</v>
          </cell>
          <cell r="S1267" t="str">
            <v>EA(20)</v>
          </cell>
          <cell r="T1267" t="str">
            <v/>
          </cell>
          <cell r="U1267" t="str">
            <v/>
          </cell>
          <cell r="V1267" t="str">
            <v>2018-12-27</v>
          </cell>
          <cell r="W1267" t="str">
            <v>2018-12-27 12:03:36</v>
          </cell>
          <cell r="X1267" t="str">
            <v>178921000</v>
          </cell>
        </row>
        <row r="1268">
          <cell r="A1268">
            <v>1264</v>
          </cell>
          <cell r="B1268" t="str">
            <v>2018-12-28</v>
          </cell>
          <cell r="C1268" t="str">
            <v>키즈락</v>
          </cell>
          <cell r="D1268">
            <v>0</v>
          </cell>
          <cell r="E1268" t="str">
            <v>일반</v>
          </cell>
          <cell r="F1268" t="str">
            <v>입고완료</v>
          </cell>
          <cell r="G1268">
            <v>208502</v>
          </cell>
          <cell r="H1268" t="str">
            <v>세척당근(3L 10Kg/EA)</v>
          </cell>
          <cell r="I1268" t="str">
            <v>EA</v>
          </cell>
          <cell r="J1268">
            <v>1</v>
          </cell>
          <cell r="K1268">
            <v>1</v>
          </cell>
          <cell r="L1268">
            <v>11980</v>
          </cell>
          <cell r="M1268">
            <v>11980</v>
          </cell>
          <cell r="N1268">
            <v>0</v>
          </cell>
          <cell r="O1268">
            <v>11980</v>
          </cell>
          <cell r="P1268">
            <v>0</v>
          </cell>
          <cell r="Q1268" t="str">
            <v>중국</v>
          </cell>
          <cell r="R1268" t="str">
            <v>실온</v>
          </cell>
          <cell r="S1268" t="str">
            <v>EA(1)</v>
          </cell>
          <cell r="T1268" t="str">
            <v/>
          </cell>
          <cell r="U1268" t="str">
            <v/>
          </cell>
          <cell r="V1268" t="str">
            <v>2018-12-27</v>
          </cell>
          <cell r="W1268" t="str">
            <v>2018-12-27 12:52:58</v>
          </cell>
          <cell r="X1268" t="str">
            <v>178921000</v>
          </cell>
        </row>
        <row r="1269">
          <cell r="A1269">
            <v>1265</v>
          </cell>
          <cell r="B1269" t="str">
            <v>2018-12-28</v>
          </cell>
          <cell r="C1269" t="str">
            <v>키즈락</v>
          </cell>
          <cell r="D1269">
            <v>0</v>
          </cell>
          <cell r="E1269" t="str">
            <v>일반</v>
          </cell>
          <cell r="F1269" t="str">
            <v>입고완료</v>
          </cell>
          <cell r="G1269">
            <v>107250</v>
          </cell>
          <cell r="H1269" t="str">
            <v>이금기 굴소스(팬더 2.268Kg/EA)</v>
          </cell>
          <cell r="I1269" t="str">
            <v>EA</v>
          </cell>
          <cell r="J1269">
            <v>6</v>
          </cell>
          <cell r="K1269">
            <v>6</v>
          </cell>
          <cell r="L1269">
            <v>8030</v>
          </cell>
          <cell r="M1269">
            <v>48180</v>
          </cell>
          <cell r="N1269">
            <v>4818</v>
          </cell>
          <cell r="O1269">
            <v>52998</v>
          </cell>
          <cell r="P1269">
            <v>0</v>
          </cell>
          <cell r="Q1269" t="str">
            <v>홍콩</v>
          </cell>
          <cell r="R1269" t="str">
            <v>실온</v>
          </cell>
          <cell r="S1269" t="str">
            <v>EA(6)</v>
          </cell>
          <cell r="T1269" t="str">
            <v/>
          </cell>
          <cell r="U1269" t="str">
            <v/>
          </cell>
          <cell r="V1269" t="str">
            <v>2018-12-27</v>
          </cell>
          <cell r="W1269" t="str">
            <v>2018-12-27 12:53:38</v>
          </cell>
          <cell r="X1269" t="str">
            <v>178921000</v>
          </cell>
        </row>
        <row r="1270">
          <cell r="A1270">
            <v>1266</v>
          </cell>
          <cell r="B1270" t="str">
            <v>2018-12-28</v>
          </cell>
          <cell r="C1270" t="str">
            <v>키즈락</v>
          </cell>
          <cell r="D1270">
            <v>0</v>
          </cell>
          <cell r="E1270" t="str">
            <v>일반</v>
          </cell>
          <cell r="F1270" t="str">
            <v>입고완료</v>
          </cell>
          <cell r="G1270">
            <v>234831</v>
          </cell>
          <cell r="H1270" t="str">
            <v>오징어실채(500g/EA)</v>
          </cell>
          <cell r="I1270" t="str">
            <v>EA</v>
          </cell>
          <cell r="J1270">
            <v>8</v>
          </cell>
          <cell r="K1270">
            <v>8</v>
          </cell>
          <cell r="L1270">
            <v>13500</v>
          </cell>
          <cell r="M1270">
            <v>108000</v>
          </cell>
          <cell r="N1270">
            <v>10800</v>
          </cell>
          <cell r="O1270">
            <v>118800</v>
          </cell>
          <cell r="P1270">
            <v>0</v>
          </cell>
          <cell r="Q1270" t="str">
            <v>페루</v>
          </cell>
          <cell r="R1270" t="str">
            <v>냉장</v>
          </cell>
          <cell r="S1270" t="str">
            <v>EA(1)</v>
          </cell>
          <cell r="T1270" t="str">
            <v/>
          </cell>
          <cell r="U1270" t="str">
            <v/>
          </cell>
          <cell r="V1270" t="str">
            <v>2018-12-27</v>
          </cell>
          <cell r="W1270" t="str">
            <v>2018-12-27 12:58:15</v>
          </cell>
          <cell r="X1270" t="str">
            <v>178921000</v>
          </cell>
        </row>
        <row r="1271">
          <cell r="A1271">
            <v>1267</v>
          </cell>
          <cell r="B1271" t="str">
            <v>2018-12-28</v>
          </cell>
          <cell r="C1271" t="str">
            <v>키즈락</v>
          </cell>
          <cell r="D1271">
            <v>0</v>
          </cell>
          <cell r="E1271" t="str">
            <v>일반</v>
          </cell>
          <cell r="F1271" t="str">
            <v>입고완료</v>
          </cell>
          <cell r="G1271">
            <v>420010</v>
          </cell>
          <cell r="H1271" t="str">
            <v>알로팜 계란(왕란_무항생제_68g*30입 2.04Kg/EA)</v>
          </cell>
          <cell r="I1271" t="str">
            <v>EA</v>
          </cell>
          <cell r="J1271">
            <v>30</v>
          </cell>
          <cell r="K1271">
            <v>30</v>
          </cell>
          <cell r="L1271">
            <v>4610</v>
          </cell>
          <cell r="M1271">
            <v>138300</v>
          </cell>
          <cell r="N1271">
            <v>0</v>
          </cell>
          <cell r="O1271">
            <v>138300</v>
          </cell>
          <cell r="P1271">
            <v>138300</v>
          </cell>
          <cell r="Q1271" t="str">
            <v>한국</v>
          </cell>
          <cell r="R1271" t="str">
            <v>냉장</v>
          </cell>
          <cell r="S1271" t="str">
            <v>EA(1)</v>
          </cell>
          <cell r="T1271" t="str">
            <v/>
          </cell>
          <cell r="U1271" t="str">
            <v/>
          </cell>
          <cell r="V1271" t="str">
            <v>2018-12-27</v>
          </cell>
          <cell r="W1271" t="str">
            <v>2018-12-27 13:26:52</v>
          </cell>
          <cell r="X1271" t="str">
            <v>178921000</v>
          </cell>
        </row>
        <row r="1272">
          <cell r="A1272">
            <v>1268</v>
          </cell>
          <cell r="B1272" t="str">
            <v>2018-12-28</v>
          </cell>
          <cell r="C1272" t="str">
            <v>키즈락</v>
          </cell>
          <cell r="D1272">
            <v>0</v>
          </cell>
          <cell r="E1272" t="str">
            <v>일반</v>
          </cell>
          <cell r="F1272" t="str">
            <v>입고완료</v>
          </cell>
          <cell r="G1272">
            <v>400662</v>
          </cell>
          <cell r="H1272" t="str">
            <v>통닭(900±50g/마리_껍질있음 900g/EA)</v>
          </cell>
          <cell r="I1272" t="str">
            <v>EA</v>
          </cell>
          <cell r="J1272">
            <v>7</v>
          </cell>
          <cell r="K1272">
            <v>7</v>
          </cell>
          <cell r="L1272">
            <v>3270</v>
          </cell>
          <cell r="M1272">
            <v>22890</v>
          </cell>
          <cell r="N1272">
            <v>0</v>
          </cell>
          <cell r="O1272">
            <v>22890</v>
          </cell>
          <cell r="P1272">
            <v>0</v>
          </cell>
          <cell r="Q1272" t="str">
            <v>한국</v>
          </cell>
          <cell r="R1272" t="str">
            <v>냉장</v>
          </cell>
          <cell r="S1272" t="str">
            <v>EA(1)</v>
          </cell>
          <cell r="T1272" t="str">
            <v/>
          </cell>
          <cell r="U1272" t="str">
            <v/>
          </cell>
          <cell r="V1272" t="str">
            <v>2018-12-27</v>
          </cell>
          <cell r="W1272" t="str">
            <v>2018-12-27 13:52:34</v>
          </cell>
          <cell r="X1272" t="str">
            <v>178921000</v>
          </cell>
        </row>
        <row r="1273">
          <cell r="A1273">
            <v>1269</v>
          </cell>
          <cell r="B1273" t="str">
            <v>2018-12-28</v>
          </cell>
          <cell r="C1273" t="str">
            <v>키즈락</v>
          </cell>
          <cell r="D1273">
            <v>0</v>
          </cell>
          <cell r="E1273" t="str">
            <v>일반</v>
          </cell>
          <cell r="F1273" t="str">
            <v>입고완료</v>
          </cell>
          <cell r="G1273">
            <v>400278</v>
          </cell>
          <cell r="H1273" t="str">
            <v>닭가슴살(140±10g/덩어리_껍질있음 KG)</v>
          </cell>
          <cell r="I1273" t="str">
            <v>KG</v>
          </cell>
          <cell r="J1273">
            <v>3</v>
          </cell>
          <cell r="K1273">
            <v>3</v>
          </cell>
          <cell r="L1273">
            <v>4520</v>
          </cell>
          <cell r="M1273">
            <v>13560</v>
          </cell>
          <cell r="N1273">
            <v>0</v>
          </cell>
          <cell r="O1273">
            <v>13560</v>
          </cell>
          <cell r="P1273">
            <v>0</v>
          </cell>
          <cell r="Q1273" t="str">
            <v>한국</v>
          </cell>
          <cell r="R1273" t="str">
            <v>냉장</v>
          </cell>
          <cell r="S1273" t="str">
            <v>KG(1)</v>
          </cell>
          <cell r="T1273" t="str">
            <v/>
          </cell>
          <cell r="U1273" t="str">
            <v/>
          </cell>
          <cell r="V1273" t="str">
            <v>2018-12-27</v>
          </cell>
          <cell r="W1273" t="str">
            <v>2018-12-27 13:55:26</v>
          </cell>
          <cell r="X1273" t="str">
            <v>178921000</v>
          </cell>
        </row>
        <row r="1274">
          <cell r="A1274">
            <v>1270</v>
          </cell>
          <cell r="B1274" t="str">
            <v>2018-12-28</v>
          </cell>
          <cell r="C1274" t="str">
            <v>키즈락</v>
          </cell>
          <cell r="D1274">
            <v>0</v>
          </cell>
          <cell r="E1274" t="str">
            <v>일반</v>
          </cell>
          <cell r="F1274" t="str">
            <v>입고완료</v>
          </cell>
          <cell r="G1274">
            <v>400677</v>
          </cell>
          <cell r="H1274" t="str">
            <v>닭안심(30±5g/조각_껍질없음 KG)</v>
          </cell>
          <cell r="I1274" t="str">
            <v>KG</v>
          </cell>
          <cell r="J1274">
            <v>2</v>
          </cell>
          <cell r="K1274">
            <v>2</v>
          </cell>
          <cell r="L1274">
            <v>5800</v>
          </cell>
          <cell r="M1274">
            <v>11600</v>
          </cell>
          <cell r="N1274">
            <v>0</v>
          </cell>
          <cell r="O1274">
            <v>11600</v>
          </cell>
          <cell r="P1274">
            <v>0</v>
          </cell>
          <cell r="Q1274" t="str">
            <v>한국</v>
          </cell>
          <cell r="R1274" t="str">
            <v>냉장</v>
          </cell>
          <cell r="S1274" t="str">
            <v>KG(1)</v>
          </cell>
          <cell r="T1274" t="str">
            <v/>
          </cell>
          <cell r="U1274" t="str">
            <v/>
          </cell>
          <cell r="V1274" t="str">
            <v>2018-12-27</v>
          </cell>
          <cell r="W1274" t="str">
            <v>2018-12-27 13:55:26</v>
          </cell>
          <cell r="X1274" t="str">
            <v>178921000</v>
          </cell>
        </row>
        <row r="1275">
          <cell r="A1275">
            <v>1271</v>
          </cell>
          <cell r="B1275" t="str">
            <v>2018-12-28</v>
          </cell>
          <cell r="C1275" t="str">
            <v>키즈락</v>
          </cell>
          <cell r="D1275">
            <v>0</v>
          </cell>
          <cell r="E1275" t="str">
            <v>일반</v>
          </cell>
          <cell r="F1275" t="str">
            <v>입고완료</v>
          </cell>
          <cell r="G1275">
            <v>192878</v>
          </cell>
          <cell r="H1275" t="str">
            <v>소이원 콩나물(곱슬이_단채 KG)</v>
          </cell>
          <cell r="I1275" t="str">
            <v>KG</v>
          </cell>
          <cell r="J1275">
            <v>1</v>
          </cell>
          <cell r="K1275">
            <v>1</v>
          </cell>
          <cell r="L1275">
            <v>930</v>
          </cell>
          <cell r="M1275">
            <v>930</v>
          </cell>
          <cell r="N1275">
            <v>0</v>
          </cell>
          <cell r="O1275">
            <v>930</v>
          </cell>
          <cell r="P1275">
            <v>0</v>
          </cell>
          <cell r="Q1275" t="str">
            <v>외국산</v>
          </cell>
          <cell r="R1275" t="str">
            <v>냉장</v>
          </cell>
          <cell r="S1275" t="str">
            <v>KG(1)</v>
          </cell>
          <cell r="T1275" t="str">
            <v/>
          </cell>
          <cell r="U1275" t="str">
            <v/>
          </cell>
          <cell r="V1275" t="str">
            <v>2018-12-27</v>
          </cell>
          <cell r="W1275" t="str">
            <v>2018-12-27 14:14:17</v>
          </cell>
          <cell r="X1275" t="str">
            <v>178921000</v>
          </cell>
        </row>
        <row r="1276">
          <cell r="A1276">
            <v>1272</v>
          </cell>
          <cell r="B1276" t="str">
            <v>2018-12-28</v>
          </cell>
          <cell r="C1276" t="str">
            <v>키즈락</v>
          </cell>
          <cell r="D1276">
            <v>0</v>
          </cell>
          <cell r="E1276" t="str">
            <v>일반</v>
          </cell>
          <cell r="F1276" t="str">
            <v>입고완료</v>
          </cell>
          <cell r="G1276">
            <v>228824</v>
          </cell>
          <cell r="H1276" t="str">
            <v>고등어(내장제거_90~110g/토막_평균100g 구이용 100g/EA)</v>
          </cell>
          <cell r="I1276" t="str">
            <v>EA</v>
          </cell>
          <cell r="J1276">
            <v>25</v>
          </cell>
          <cell r="K1276">
            <v>25</v>
          </cell>
          <cell r="L1276">
            <v>460</v>
          </cell>
          <cell r="M1276">
            <v>11500</v>
          </cell>
          <cell r="N1276">
            <v>0</v>
          </cell>
          <cell r="O1276">
            <v>11500</v>
          </cell>
          <cell r="P1276">
            <v>0</v>
          </cell>
          <cell r="Q1276" t="str">
            <v>한국</v>
          </cell>
          <cell r="R1276" t="str">
            <v>냉동</v>
          </cell>
          <cell r="S1276" t="str">
            <v>EA(1)</v>
          </cell>
          <cell r="T1276" t="str">
            <v/>
          </cell>
          <cell r="U1276" t="str">
            <v/>
          </cell>
          <cell r="V1276" t="str">
            <v>2018-12-27</v>
          </cell>
          <cell r="W1276" t="str">
            <v>2018-12-27 14:16:32</v>
          </cell>
          <cell r="X1276" t="str">
            <v>178921000</v>
          </cell>
        </row>
        <row r="1277">
          <cell r="A1277">
            <v>1273</v>
          </cell>
          <cell r="B1277" t="str">
            <v>2018-12-28</v>
          </cell>
          <cell r="C1277" t="str">
            <v>키즈락</v>
          </cell>
          <cell r="D1277">
            <v>0</v>
          </cell>
          <cell r="E1277" t="str">
            <v>일반</v>
          </cell>
          <cell r="F1277" t="str">
            <v>입고완료</v>
          </cell>
          <cell r="G1277">
            <v>142562</v>
          </cell>
          <cell r="H1277" t="str">
            <v>반찬단지 양념깻잎지(1Kg/EA)</v>
          </cell>
          <cell r="I1277" t="str">
            <v>EA</v>
          </cell>
          <cell r="J1277">
            <v>1</v>
          </cell>
          <cell r="K1277">
            <v>1</v>
          </cell>
          <cell r="L1277">
            <v>4390</v>
          </cell>
          <cell r="M1277">
            <v>4390</v>
          </cell>
          <cell r="N1277">
            <v>439</v>
          </cell>
          <cell r="O1277">
            <v>4829</v>
          </cell>
          <cell r="P1277">
            <v>0</v>
          </cell>
          <cell r="Q1277" t="str">
            <v>중국</v>
          </cell>
          <cell r="R1277" t="str">
            <v>냉장</v>
          </cell>
          <cell r="S1277" t="str">
            <v>EA(10)</v>
          </cell>
          <cell r="T1277" t="str">
            <v/>
          </cell>
          <cell r="U1277" t="str">
            <v/>
          </cell>
          <cell r="V1277" t="str">
            <v>2018-12-27</v>
          </cell>
          <cell r="W1277" t="str">
            <v>2018-12-27 14:18:30</v>
          </cell>
          <cell r="X1277" t="str">
            <v>178921000</v>
          </cell>
        </row>
        <row r="1278">
          <cell r="A1278">
            <v>1274</v>
          </cell>
          <cell r="B1278" t="str">
            <v>2018-12-28</v>
          </cell>
          <cell r="C1278" t="str">
            <v>키즈락</v>
          </cell>
          <cell r="D1278">
            <v>0</v>
          </cell>
          <cell r="E1278" t="str">
            <v>일반</v>
          </cell>
          <cell r="F1278" t="str">
            <v>입고완료</v>
          </cell>
          <cell r="G1278">
            <v>106019</v>
          </cell>
          <cell r="H1278" t="str">
            <v>샘표 진간장(15L_덕용 15Kg/EA)</v>
          </cell>
          <cell r="I1278" t="str">
            <v>EA</v>
          </cell>
          <cell r="J1278">
            <v>2</v>
          </cell>
          <cell r="K1278">
            <v>2</v>
          </cell>
          <cell r="L1278">
            <v>20300</v>
          </cell>
          <cell r="M1278">
            <v>40600</v>
          </cell>
          <cell r="N1278">
            <v>4060</v>
          </cell>
          <cell r="O1278">
            <v>44660</v>
          </cell>
          <cell r="P1278">
            <v>0</v>
          </cell>
          <cell r="Q1278" t="str">
            <v/>
          </cell>
          <cell r="R1278" t="str">
            <v>실온</v>
          </cell>
          <cell r="S1278" t="str">
            <v>EA(1)</v>
          </cell>
          <cell r="T1278" t="str">
            <v/>
          </cell>
          <cell r="U1278" t="str">
            <v/>
          </cell>
          <cell r="V1278" t="str">
            <v>2018-12-27</v>
          </cell>
          <cell r="W1278" t="str">
            <v>2018-12-27 14:18:47</v>
          </cell>
          <cell r="X1278" t="str">
            <v>178921000</v>
          </cell>
        </row>
        <row r="1279">
          <cell r="A1279">
            <v>1275</v>
          </cell>
          <cell r="B1279" t="str">
            <v>2018-12-27</v>
          </cell>
          <cell r="C1279">
            <v>0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</row>
        <row r="1280">
          <cell r="A1280">
            <v>1276</v>
          </cell>
          <cell r="B1280" t="str">
            <v>2018-12-27</v>
          </cell>
          <cell r="C1280" t="str">
            <v>키즈락</v>
          </cell>
          <cell r="D1280">
            <v>0</v>
          </cell>
          <cell r="E1280" t="str">
            <v>일반</v>
          </cell>
          <cell r="F1280" t="str">
            <v>입고완료</v>
          </cell>
          <cell r="G1280">
            <v>237791</v>
          </cell>
          <cell r="H1280" t="str">
            <v>종로복떡방 백설기(찜용 1Kg/EA)</v>
          </cell>
          <cell r="I1280" t="str">
            <v>EA</v>
          </cell>
          <cell r="J1280">
            <v>6</v>
          </cell>
          <cell r="K1280">
            <v>6</v>
          </cell>
          <cell r="L1280">
            <v>8130</v>
          </cell>
          <cell r="M1280">
            <v>48780</v>
          </cell>
          <cell r="N1280">
            <v>4878</v>
          </cell>
          <cell r="O1280">
            <v>53658</v>
          </cell>
          <cell r="P1280">
            <v>0</v>
          </cell>
          <cell r="Q1280" t="str">
            <v/>
          </cell>
          <cell r="R1280" t="str">
            <v>냉동</v>
          </cell>
          <cell r="S1280" t="str">
            <v>EA(1)</v>
          </cell>
          <cell r="T1280" t="str">
            <v/>
          </cell>
          <cell r="U1280" t="str">
            <v/>
          </cell>
          <cell r="V1280" t="str">
            <v>2018-12-19</v>
          </cell>
          <cell r="W1280" t="str">
            <v>2018-12-19 14:55:23</v>
          </cell>
          <cell r="X1280" t="str">
            <v>178921000</v>
          </cell>
        </row>
        <row r="1281">
          <cell r="A1281">
            <v>1277</v>
          </cell>
          <cell r="B1281" t="str">
            <v>2018-12-27</v>
          </cell>
          <cell r="C1281" t="str">
            <v>키즈락</v>
          </cell>
          <cell r="D1281">
            <v>0</v>
          </cell>
          <cell r="E1281" t="str">
            <v>일반</v>
          </cell>
          <cell r="F1281" t="str">
            <v>입고완료</v>
          </cell>
          <cell r="G1281">
            <v>160072</v>
          </cell>
          <cell r="H1281" t="str">
            <v>하림 멘치까스(80g*10입 800g/EA)</v>
          </cell>
          <cell r="I1281" t="str">
            <v>EA</v>
          </cell>
          <cell r="J1281">
            <v>50</v>
          </cell>
          <cell r="K1281">
            <v>50</v>
          </cell>
          <cell r="L1281">
            <v>5340</v>
          </cell>
          <cell r="M1281">
            <v>267000</v>
          </cell>
          <cell r="N1281">
            <v>26700</v>
          </cell>
          <cell r="O1281">
            <v>293700</v>
          </cell>
          <cell r="P1281">
            <v>0</v>
          </cell>
          <cell r="Q1281" t="str">
            <v/>
          </cell>
          <cell r="R1281" t="str">
            <v>냉동</v>
          </cell>
          <cell r="S1281" t="str">
            <v>EA(10)</v>
          </cell>
          <cell r="T1281" t="str">
            <v/>
          </cell>
          <cell r="U1281" t="str">
            <v/>
          </cell>
          <cell r="V1281" t="str">
            <v>2018-12-24</v>
          </cell>
          <cell r="W1281" t="str">
            <v>2018-12-24 14:03:46</v>
          </cell>
          <cell r="X1281" t="str">
            <v>178921000</v>
          </cell>
        </row>
        <row r="1282">
          <cell r="A1282">
            <v>1278</v>
          </cell>
          <cell r="B1282" t="str">
            <v>2018-12-27</v>
          </cell>
          <cell r="C1282" t="str">
            <v>키즈락</v>
          </cell>
          <cell r="D1282">
            <v>0</v>
          </cell>
          <cell r="E1282" t="str">
            <v>일반</v>
          </cell>
          <cell r="F1282" t="str">
            <v>입고완료</v>
          </cell>
          <cell r="G1282">
            <v>259494</v>
          </cell>
          <cell r="H1282" t="str">
            <v>참손푸드 크런치통살새우까스(60g*10입 600g/EA)</v>
          </cell>
          <cell r="I1282" t="str">
            <v>EA</v>
          </cell>
          <cell r="J1282">
            <v>1</v>
          </cell>
          <cell r="K1282">
            <v>1</v>
          </cell>
          <cell r="L1282">
            <v>5520</v>
          </cell>
          <cell r="M1282">
            <v>5520</v>
          </cell>
          <cell r="N1282">
            <v>552</v>
          </cell>
          <cell r="O1282">
            <v>6072</v>
          </cell>
          <cell r="P1282">
            <v>0</v>
          </cell>
          <cell r="Q1282" t="str">
            <v/>
          </cell>
          <cell r="R1282" t="str">
            <v>냉동</v>
          </cell>
          <cell r="S1282" t="str">
            <v>EA(10)</v>
          </cell>
          <cell r="T1282" t="str">
            <v/>
          </cell>
          <cell r="U1282" t="str">
            <v/>
          </cell>
          <cell r="V1282" t="str">
            <v>2018-12-26</v>
          </cell>
          <cell r="W1282" t="str">
            <v>2018-12-26 10:23:53</v>
          </cell>
          <cell r="X1282" t="str">
            <v>178921000</v>
          </cell>
        </row>
        <row r="1283">
          <cell r="A1283">
            <v>1279</v>
          </cell>
          <cell r="B1283" t="str">
            <v>2018-12-27</v>
          </cell>
          <cell r="C1283" t="str">
            <v>키즈락</v>
          </cell>
          <cell r="D1283">
            <v>0</v>
          </cell>
          <cell r="E1283" t="str">
            <v>일반</v>
          </cell>
          <cell r="F1283" t="str">
            <v>입고완료</v>
          </cell>
          <cell r="G1283">
            <v>130603</v>
          </cell>
          <cell r="H1283" t="str">
            <v>이츠웰 탱글탱글새우까스(60g*10입 600g/EA)</v>
          </cell>
          <cell r="I1283" t="str">
            <v>EA</v>
          </cell>
          <cell r="J1283">
            <v>1</v>
          </cell>
          <cell r="K1283">
            <v>1</v>
          </cell>
          <cell r="L1283">
            <v>6400</v>
          </cell>
          <cell r="M1283">
            <v>6400</v>
          </cell>
          <cell r="N1283">
            <v>640</v>
          </cell>
          <cell r="O1283">
            <v>7040</v>
          </cell>
          <cell r="P1283">
            <v>0</v>
          </cell>
          <cell r="Q1283" t="str">
            <v/>
          </cell>
          <cell r="R1283" t="str">
            <v>냉동</v>
          </cell>
          <cell r="S1283" t="str">
            <v>EA(10)</v>
          </cell>
          <cell r="T1283" t="str">
            <v/>
          </cell>
          <cell r="U1283" t="str">
            <v/>
          </cell>
          <cell r="V1283" t="str">
            <v>2018-12-26</v>
          </cell>
          <cell r="W1283" t="str">
            <v>2018-12-26 10:23:53</v>
          </cell>
          <cell r="X1283" t="str">
            <v>178921000</v>
          </cell>
        </row>
        <row r="1284">
          <cell r="A1284">
            <v>1280</v>
          </cell>
          <cell r="B1284" t="str">
            <v>2018-12-27</v>
          </cell>
          <cell r="C1284" t="str">
            <v>키즈락</v>
          </cell>
          <cell r="D1284">
            <v>0</v>
          </cell>
          <cell r="E1284" t="str">
            <v>일반</v>
          </cell>
          <cell r="F1284" t="str">
            <v>입고완료</v>
          </cell>
          <cell r="G1284">
            <v>159357</v>
          </cell>
          <cell r="H1284" t="str">
            <v>이츠웰 칼집쏙쏙비엔나소시지(1Kg/EA)</v>
          </cell>
          <cell r="I1284" t="str">
            <v>EA</v>
          </cell>
          <cell r="J1284">
            <v>21</v>
          </cell>
          <cell r="K1284">
            <v>21</v>
          </cell>
          <cell r="L1284">
            <v>5690</v>
          </cell>
          <cell r="M1284">
            <v>119490</v>
          </cell>
          <cell r="N1284">
            <v>11949</v>
          </cell>
          <cell r="O1284">
            <v>131439</v>
          </cell>
          <cell r="P1284">
            <v>0</v>
          </cell>
          <cell r="Q1284" t="str">
            <v/>
          </cell>
          <cell r="R1284" t="str">
            <v>냉장</v>
          </cell>
          <cell r="S1284" t="str">
            <v>EA(10)</v>
          </cell>
          <cell r="T1284" t="str">
            <v/>
          </cell>
          <cell r="U1284" t="str">
            <v/>
          </cell>
          <cell r="V1284" t="str">
            <v>2018-12-26</v>
          </cell>
          <cell r="W1284" t="str">
            <v>2018-12-26 10:35:09</v>
          </cell>
          <cell r="X1284" t="str">
            <v>178921000</v>
          </cell>
        </row>
        <row r="1285">
          <cell r="A1285">
            <v>1281</v>
          </cell>
          <cell r="B1285" t="str">
            <v>2018-12-27</v>
          </cell>
          <cell r="C1285" t="str">
            <v>키즈락</v>
          </cell>
          <cell r="D1285">
            <v>0</v>
          </cell>
          <cell r="E1285" t="str">
            <v>일반</v>
          </cell>
          <cell r="F1285" t="str">
            <v>입고완료</v>
          </cell>
          <cell r="G1285">
            <v>154930</v>
          </cell>
          <cell r="H1285" t="str">
            <v>사조대림 곤약(LOW칼로리생활 2Kg/EA)</v>
          </cell>
          <cell r="I1285" t="str">
            <v>EA</v>
          </cell>
          <cell r="J1285">
            <v>2</v>
          </cell>
          <cell r="K1285">
            <v>2</v>
          </cell>
          <cell r="L1285">
            <v>3920</v>
          </cell>
          <cell r="M1285">
            <v>7840</v>
          </cell>
          <cell r="N1285">
            <v>784</v>
          </cell>
          <cell r="O1285">
            <v>8624</v>
          </cell>
          <cell r="P1285">
            <v>0</v>
          </cell>
          <cell r="Q1285" t="str">
            <v/>
          </cell>
          <cell r="R1285" t="str">
            <v>실온</v>
          </cell>
          <cell r="S1285" t="str">
            <v>EA(6)</v>
          </cell>
          <cell r="T1285" t="str">
            <v/>
          </cell>
          <cell r="U1285" t="str">
            <v/>
          </cell>
          <cell r="V1285" t="str">
            <v>2018-12-26</v>
          </cell>
          <cell r="W1285" t="str">
            <v>2018-12-26 10:46:00</v>
          </cell>
          <cell r="X1285" t="str">
            <v>178921000</v>
          </cell>
        </row>
        <row r="1286">
          <cell r="A1286">
            <v>1282</v>
          </cell>
          <cell r="B1286" t="str">
            <v>2018-12-27</v>
          </cell>
          <cell r="C1286" t="str">
            <v>키즈락</v>
          </cell>
          <cell r="D1286">
            <v>0</v>
          </cell>
          <cell r="E1286" t="str">
            <v>일반</v>
          </cell>
          <cell r="F1286" t="str">
            <v>입고완료</v>
          </cell>
          <cell r="G1286">
            <v>198579</v>
          </cell>
          <cell r="H1286" t="str">
            <v>PRIDE 통새우(바나메이_41~50미 500g/EA)</v>
          </cell>
          <cell r="I1286" t="str">
            <v>EA</v>
          </cell>
          <cell r="J1286">
            <v>2</v>
          </cell>
          <cell r="K1286">
            <v>2</v>
          </cell>
          <cell r="L1286">
            <v>5670</v>
          </cell>
          <cell r="M1286">
            <v>11340</v>
          </cell>
          <cell r="N1286">
            <v>0</v>
          </cell>
          <cell r="O1286">
            <v>11340</v>
          </cell>
          <cell r="P1286">
            <v>0</v>
          </cell>
          <cell r="Q1286" t="str">
            <v>태국</v>
          </cell>
          <cell r="R1286" t="str">
            <v>냉동</v>
          </cell>
          <cell r="S1286" t="str">
            <v>EA(10)</v>
          </cell>
          <cell r="T1286" t="str">
            <v/>
          </cell>
          <cell r="U1286" t="str">
            <v/>
          </cell>
          <cell r="V1286" t="str">
            <v>2018-12-26</v>
          </cell>
          <cell r="W1286" t="str">
            <v>2018-12-26 13:36:00</v>
          </cell>
          <cell r="X1286" t="str">
            <v>178921000</v>
          </cell>
        </row>
        <row r="1287">
          <cell r="A1287">
            <v>1283</v>
          </cell>
          <cell r="B1287" t="str">
            <v>2018-12-27</v>
          </cell>
          <cell r="C1287" t="str">
            <v>키즈락</v>
          </cell>
          <cell r="D1287">
            <v>0</v>
          </cell>
          <cell r="E1287" t="str">
            <v>일반</v>
          </cell>
          <cell r="F1287" t="str">
            <v>입고완료</v>
          </cell>
          <cell r="G1287">
            <v>168257</v>
          </cell>
          <cell r="H1287" t="str">
            <v>명품 판두부(찌개용 3Kg/EA)</v>
          </cell>
          <cell r="I1287" t="str">
            <v>EA</v>
          </cell>
          <cell r="J1287">
            <v>3</v>
          </cell>
          <cell r="K1287">
            <v>3</v>
          </cell>
          <cell r="L1287">
            <v>4000</v>
          </cell>
          <cell r="M1287">
            <v>12000</v>
          </cell>
          <cell r="N1287">
            <v>0</v>
          </cell>
          <cell r="O1287">
            <v>12000</v>
          </cell>
          <cell r="P1287">
            <v>0</v>
          </cell>
          <cell r="Q1287" t="str">
            <v>수입산</v>
          </cell>
          <cell r="R1287" t="str">
            <v>냉장</v>
          </cell>
          <cell r="S1287" t="str">
            <v>EA(1)</v>
          </cell>
          <cell r="T1287" t="str">
            <v/>
          </cell>
          <cell r="U1287" t="str">
            <v/>
          </cell>
          <cell r="V1287" t="str">
            <v>2018-12-26</v>
          </cell>
          <cell r="W1287" t="str">
            <v>2018-12-26 13:40:14</v>
          </cell>
          <cell r="X1287" t="str">
            <v>178921000</v>
          </cell>
        </row>
        <row r="1288">
          <cell r="A1288">
            <v>1284</v>
          </cell>
          <cell r="B1288" t="str">
            <v>2018-12-27</v>
          </cell>
          <cell r="C1288" t="str">
            <v>키즈락</v>
          </cell>
          <cell r="D1288">
            <v>0</v>
          </cell>
          <cell r="E1288" t="str">
            <v>일반</v>
          </cell>
          <cell r="F1288" t="str">
            <v>입고완료</v>
          </cell>
          <cell r="G1288">
            <v>201651</v>
          </cell>
          <cell r="H1288" t="str">
            <v>브로컬리(상품 KG)</v>
          </cell>
          <cell r="I1288" t="str">
            <v>KG</v>
          </cell>
          <cell r="J1288">
            <v>2</v>
          </cell>
          <cell r="K1288">
            <v>2</v>
          </cell>
          <cell r="L1288">
            <v>2500</v>
          </cell>
          <cell r="M1288">
            <v>5000</v>
          </cell>
          <cell r="N1288">
            <v>0</v>
          </cell>
          <cell r="O1288">
            <v>5000</v>
          </cell>
          <cell r="P1288">
            <v>0</v>
          </cell>
          <cell r="Q1288" t="str">
            <v>중국</v>
          </cell>
          <cell r="R1288" t="str">
            <v>냉장</v>
          </cell>
          <cell r="S1288" t="str">
            <v>KG(1)</v>
          </cell>
          <cell r="T1288" t="str">
            <v/>
          </cell>
          <cell r="U1288" t="str">
            <v/>
          </cell>
          <cell r="V1288" t="str">
            <v>2018-12-26</v>
          </cell>
          <cell r="W1288" t="str">
            <v>2018-12-26 13:47:43</v>
          </cell>
          <cell r="X1288" t="str">
            <v>178921000</v>
          </cell>
        </row>
        <row r="1289">
          <cell r="A1289">
            <v>1285</v>
          </cell>
          <cell r="B1289" t="str">
            <v>2018-12-27</v>
          </cell>
          <cell r="C1289" t="str">
            <v>키즈락</v>
          </cell>
          <cell r="D1289">
            <v>0</v>
          </cell>
          <cell r="E1289" t="str">
            <v>일반</v>
          </cell>
          <cell r="F1289" t="str">
            <v>입고완료</v>
          </cell>
          <cell r="G1289">
            <v>168258</v>
          </cell>
          <cell r="H1289" t="str">
            <v>명품 판두부(부침용 3Kg/EA)</v>
          </cell>
          <cell r="I1289" t="str">
            <v>EA</v>
          </cell>
          <cell r="J1289">
            <v>2</v>
          </cell>
          <cell r="K1289">
            <v>2</v>
          </cell>
          <cell r="L1289">
            <v>4000</v>
          </cell>
          <cell r="M1289">
            <v>8000</v>
          </cell>
          <cell r="N1289">
            <v>0</v>
          </cell>
          <cell r="O1289">
            <v>8000</v>
          </cell>
          <cell r="P1289">
            <v>0</v>
          </cell>
          <cell r="Q1289" t="str">
            <v>수입산</v>
          </cell>
          <cell r="R1289" t="str">
            <v>냉장</v>
          </cell>
          <cell r="S1289" t="str">
            <v>EA(1)</v>
          </cell>
          <cell r="T1289" t="str">
            <v/>
          </cell>
          <cell r="U1289" t="str">
            <v/>
          </cell>
          <cell r="V1289" t="str">
            <v>2018-12-26</v>
          </cell>
          <cell r="W1289" t="str">
            <v>2018-12-26 13:48:06</v>
          </cell>
          <cell r="X1289" t="str">
            <v>178921000</v>
          </cell>
        </row>
        <row r="1290">
          <cell r="A1290">
            <v>1286</v>
          </cell>
          <cell r="B1290" t="str">
            <v>2018-12-27</v>
          </cell>
          <cell r="C1290" t="str">
            <v>키즈락</v>
          </cell>
          <cell r="D1290">
            <v>0</v>
          </cell>
          <cell r="E1290" t="str">
            <v>일반</v>
          </cell>
          <cell r="F1290" t="str">
            <v>입고완료</v>
          </cell>
          <cell r="G1290">
            <v>219387</v>
          </cell>
          <cell r="H1290" t="str">
            <v>냉동배추우거지(1Kg/EA)</v>
          </cell>
          <cell r="I1290" t="str">
            <v>EA</v>
          </cell>
          <cell r="J1290">
            <v>10</v>
          </cell>
          <cell r="K1290">
            <v>10</v>
          </cell>
          <cell r="L1290">
            <v>1430</v>
          </cell>
          <cell r="M1290">
            <v>14300</v>
          </cell>
          <cell r="N1290">
            <v>1430</v>
          </cell>
          <cell r="O1290">
            <v>15730</v>
          </cell>
          <cell r="P1290">
            <v>0</v>
          </cell>
          <cell r="Q1290" t="str">
            <v>중국</v>
          </cell>
          <cell r="R1290" t="str">
            <v>냉동</v>
          </cell>
          <cell r="S1290" t="str">
            <v>EA(1)</v>
          </cell>
          <cell r="T1290" t="str">
            <v/>
          </cell>
          <cell r="U1290" t="str">
            <v/>
          </cell>
          <cell r="V1290" t="str">
            <v>2018-12-26</v>
          </cell>
          <cell r="W1290" t="str">
            <v>2018-12-26 13:48:51</v>
          </cell>
          <cell r="X1290" t="str">
            <v>178921000</v>
          </cell>
        </row>
        <row r="1291">
          <cell r="A1291">
            <v>1287</v>
          </cell>
          <cell r="B1291" t="str">
            <v>2018-12-26</v>
          </cell>
          <cell r="C1291">
            <v>0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</row>
        <row r="1292">
          <cell r="A1292">
            <v>1288</v>
          </cell>
          <cell r="B1292" t="str">
            <v>2018-12-26</v>
          </cell>
          <cell r="C1292" t="str">
            <v>키즈락</v>
          </cell>
          <cell r="D1292">
            <v>0</v>
          </cell>
          <cell r="E1292" t="str">
            <v>일반</v>
          </cell>
          <cell r="F1292" t="str">
            <v>입고완료</v>
          </cell>
          <cell r="G1292">
            <v>144756</v>
          </cell>
          <cell r="H1292" t="str">
            <v>삼립식품 미니와플(30g*40입 1.2Kg/BOX)</v>
          </cell>
          <cell r="I1292" t="str">
            <v>BOX</v>
          </cell>
          <cell r="J1292">
            <v>3</v>
          </cell>
          <cell r="K1292">
            <v>3</v>
          </cell>
          <cell r="L1292">
            <v>9310</v>
          </cell>
          <cell r="M1292">
            <v>27930</v>
          </cell>
          <cell r="N1292">
            <v>2793</v>
          </cell>
          <cell r="O1292">
            <v>30723</v>
          </cell>
          <cell r="P1292">
            <v>0</v>
          </cell>
          <cell r="Q1292" t="str">
            <v/>
          </cell>
          <cell r="R1292" t="str">
            <v>냉동</v>
          </cell>
          <cell r="S1292" t="str">
            <v>BOX(1)</v>
          </cell>
          <cell r="T1292" t="str">
            <v/>
          </cell>
          <cell r="U1292" t="str">
            <v/>
          </cell>
          <cell r="V1292" t="str">
            <v>2018-12-19</v>
          </cell>
          <cell r="W1292" t="str">
            <v>2018-12-19 14:50:28</v>
          </cell>
          <cell r="X1292" t="str">
            <v>178921000</v>
          </cell>
        </row>
        <row r="1293">
          <cell r="A1293">
            <v>1289</v>
          </cell>
          <cell r="B1293" t="str">
            <v>2018-12-26</v>
          </cell>
          <cell r="C1293" t="str">
            <v>키즈락</v>
          </cell>
          <cell r="D1293">
            <v>0</v>
          </cell>
          <cell r="E1293" t="str">
            <v>일반</v>
          </cell>
          <cell r="F1293" t="str">
            <v>입고완료</v>
          </cell>
          <cell r="G1293">
            <v>136633</v>
          </cell>
          <cell r="H1293" t="str">
            <v>이오 요구르트(80ml_유기농 80g/EA)</v>
          </cell>
          <cell r="I1293" t="str">
            <v>EA</v>
          </cell>
          <cell r="J1293">
            <v>62</v>
          </cell>
          <cell r="K1293">
            <v>62</v>
          </cell>
          <cell r="L1293">
            <v>300</v>
          </cell>
          <cell r="M1293">
            <v>18600</v>
          </cell>
          <cell r="N1293">
            <v>1860</v>
          </cell>
          <cell r="O1293">
            <v>20460</v>
          </cell>
          <cell r="P1293">
            <v>0</v>
          </cell>
          <cell r="Q1293" t="str">
            <v>한국</v>
          </cell>
          <cell r="R1293" t="str">
            <v>냉장</v>
          </cell>
          <cell r="S1293" t="str">
            <v>EA(50)</v>
          </cell>
          <cell r="T1293" t="str">
            <v/>
          </cell>
          <cell r="U1293" t="str">
            <v/>
          </cell>
          <cell r="V1293" t="str">
            <v>2018-12-19</v>
          </cell>
          <cell r="W1293" t="str">
            <v>2018-12-19 14:51:15</v>
          </cell>
          <cell r="X1293" t="str">
            <v>178921000</v>
          </cell>
        </row>
        <row r="1294">
          <cell r="A1294">
            <v>1290</v>
          </cell>
          <cell r="B1294" t="str">
            <v>2018-12-26</v>
          </cell>
          <cell r="C1294" t="str">
            <v>키즈락</v>
          </cell>
          <cell r="D1294">
            <v>0</v>
          </cell>
          <cell r="E1294" t="str">
            <v>일반</v>
          </cell>
          <cell r="F1294" t="str">
            <v>입고완료</v>
          </cell>
          <cell r="G1294">
            <v>201152</v>
          </cell>
          <cell r="H1294" t="str">
            <v>깐도라지채(KG)</v>
          </cell>
          <cell r="I1294" t="str">
            <v>KG</v>
          </cell>
          <cell r="J1294">
            <v>4</v>
          </cell>
          <cell r="K1294">
            <v>4</v>
          </cell>
          <cell r="L1294">
            <v>5380</v>
          </cell>
          <cell r="M1294">
            <v>21520</v>
          </cell>
          <cell r="N1294">
            <v>0</v>
          </cell>
          <cell r="O1294">
            <v>21520</v>
          </cell>
          <cell r="P1294">
            <v>0</v>
          </cell>
          <cell r="Q1294" t="str">
            <v>중국</v>
          </cell>
          <cell r="R1294" t="str">
            <v>냉장</v>
          </cell>
          <cell r="S1294" t="str">
            <v>KG(1)</v>
          </cell>
          <cell r="T1294" t="str">
            <v/>
          </cell>
          <cell r="U1294" t="str">
            <v/>
          </cell>
          <cell r="V1294" t="str">
            <v>2018-12-24</v>
          </cell>
          <cell r="W1294" t="str">
            <v>2018-12-24 14:25:24</v>
          </cell>
          <cell r="X1294" t="str">
            <v>178921000</v>
          </cell>
        </row>
        <row r="1295">
          <cell r="A1295">
            <v>1291</v>
          </cell>
          <cell r="B1295" t="str">
            <v>2018-12-26</v>
          </cell>
          <cell r="C1295" t="str">
            <v>키즈락</v>
          </cell>
          <cell r="D1295">
            <v>0</v>
          </cell>
          <cell r="E1295" t="str">
            <v>일반</v>
          </cell>
          <cell r="F1295" t="str">
            <v>입고완료</v>
          </cell>
          <cell r="G1295">
            <v>221871</v>
          </cell>
          <cell r="H1295" t="str">
            <v>냉동시금치(IQF 1Kg/EA)</v>
          </cell>
          <cell r="I1295" t="str">
            <v>EA</v>
          </cell>
          <cell r="J1295">
            <v>10</v>
          </cell>
          <cell r="K1295">
            <v>10</v>
          </cell>
          <cell r="L1295">
            <v>1680</v>
          </cell>
          <cell r="M1295">
            <v>16800</v>
          </cell>
          <cell r="N1295">
            <v>1680</v>
          </cell>
          <cell r="O1295">
            <v>18480</v>
          </cell>
          <cell r="P1295">
            <v>0</v>
          </cell>
          <cell r="Q1295" t="str">
            <v>중국</v>
          </cell>
          <cell r="R1295" t="str">
            <v>냉동</v>
          </cell>
          <cell r="S1295" t="str">
            <v>EA(1)</v>
          </cell>
          <cell r="T1295" t="str">
            <v/>
          </cell>
          <cell r="U1295" t="str">
            <v/>
          </cell>
          <cell r="V1295" t="str">
            <v>2018-12-24</v>
          </cell>
          <cell r="W1295" t="str">
            <v>2018-12-24 14:59:14</v>
          </cell>
          <cell r="X1295" t="str">
            <v>178921000</v>
          </cell>
        </row>
        <row r="1296">
          <cell r="A1296">
            <v>1292</v>
          </cell>
          <cell r="B1296" t="str">
            <v>2018-12-24</v>
          </cell>
          <cell r="C1296">
            <v>0</v>
          </cell>
          <cell r="D1296">
            <v>0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</row>
        <row r="1297">
          <cell r="A1297">
            <v>1293</v>
          </cell>
          <cell r="B1297" t="str">
            <v>2018-12-24</v>
          </cell>
          <cell r="C1297" t="str">
            <v>키즈락</v>
          </cell>
          <cell r="D1297">
            <v>0</v>
          </cell>
          <cell r="E1297" t="str">
            <v>일반</v>
          </cell>
          <cell r="F1297" t="str">
            <v>입고완료</v>
          </cell>
          <cell r="G1297">
            <v>420010</v>
          </cell>
          <cell r="H1297" t="str">
            <v>알로팜 계란(왕란_무항생제_68g*30입 2.04Kg/EA)</v>
          </cell>
          <cell r="I1297" t="str">
            <v>EA</v>
          </cell>
          <cell r="J1297">
            <v>5</v>
          </cell>
          <cell r="K1297">
            <v>5</v>
          </cell>
          <cell r="L1297">
            <v>4610</v>
          </cell>
          <cell r="M1297">
            <v>23050</v>
          </cell>
          <cell r="N1297">
            <v>0</v>
          </cell>
          <cell r="O1297">
            <v>23050</v>
          </cell>
          <cell r="P1297">
            <v>23050</v>
          </cell>
          <cell r="Q1297" t="str">
            <v>한국</v>
          </cell>
          <cell r="R1297" t="str">
            <v>냉장</v>
          </cell>
          <cell r="S1297" t="str">
            <v>EA(1)</v>
          </cell>
          <cell r="T1297" t="str">
            <v/>
          </cell>
          <cell r="U1297" t="str">
            <v/>
          </cell>
          <cell r="V1297" t="str">
            <v>2018-12-20</v>
          </cell>
          <cell r="W1297" t="str">
            <v>2018-12-20 14:27:36</v>
          </cell>
          <cell r="X1297" t="str">
            <v>178921000</v>
          </cell>
        </row>
        <row r="1298">
          <cell r="A1298">
            <v>1294</v>
          </cell>
          <cell r="B1298" t="str">
            <v>2018-12-24</v>
          </cell>
          <cell r="C1298" t="str">
            <v>키즈락</v>
          </cell>
          <cell r="D1298">
            <v>0</v>
          </cell>
          <cell r="E1298" t="str">
            <v>일반</v>
          </cell>
          <cell r="F1298" t="str">
            <v>입고완료</v>
          </cell>
          <cell r="G1298">
            <v>165939</v>
          </cell>
          <cell r="H1298" t="str">
            <v>이츠웰 통살어니언피시크로켓(22G*45±1입 1Kg/EA)</v>
          </cell>
          <cell r="I1298" t="str">
            <v>EA</v>
          </cell>
          <cell r="J1298">
            <v>18</v>
          </cell>
          <cell r="K1298">
            <v>18</v>
          </cell>
          <cell r="L1298">
            <v>7570</v>
          </cell>
          <cell r="M1298">
            <v>136260</v>
          </cell>
          <cell r="N1298">
            <v>13626</v>
          </cell>
          <cell r="O1298">
            <v>149886</v>
          </cell>
          <cell r="P1298">
            <v>0</v>
          </cell>
          <cell r="Q1298" t="str">
            <v/>
          </cell>
          <cell r="R1298" t="str">
            <v>냉동</v>
          </cell>
          <cell r="S1298" t="str">
            <v>EA(6)</v>
          </cell>
          <cell r="T1298" t="str">
            <v/>
          </cell>
          <cell r="U1298" t="str">
            <v/>
          </cell>
          <cell r="V1298" t="str">
            <v>2018-12-20</v>
          </cell>
          <cell r="W1298" t="str">
            <v>2018-12-20 14:31:12</v>
          </cell>
          <cell r="X1298" t="str">
            <v>178921000</v>
          </cell>
        </row>
        <row r="1299">
          <cell r="A1299">
            <v>1295</v>
          </cell>
          <cell r="B1299" t="str">
            <v>2018-12-24</v>
          </cell>
          <cell r="C1299" t="str">
            <v>키즈락</v>
          </cell>
          <cell r="D1299">
            <v>0</v>
          </cell>
          <cell r="E1299" t="str">
            <v>일반</v>
          </cell>
          <cell r="F1299" t="str">
            <v>입고완료</v>
          </cell>
          <cell r="G1299">
            <v>312189</v>
          </cell>
          <cell r="H1299" t="str">
            <v>명엽채(1Kg/EA)</v>
          </cell>
          <cell r="I1299" t="str">
            <v>EA</v>
          </cell>
          <cell r="J1299">
            <v>6</v>
          </cell>
          <cell r="K1299">
            <v>6</v>
          </cell>
          <cell r="L1299">
            <v>7660</v>
          </cell>
          <cell r="M1299">
            <v>45960</v>
          </cell>
          <cell r="N1299">
            <v>4596</v>
          </cell>
          <cell r="O1299">
            <v>50556</v>
          </cell>
          <cell r="P1299">
            <v>0</v>
          </cell>
          <cell r="Q1299" t="str">
            <v>베트남</v>
          </cell>
          <cell r="R1299" t="str">
            <v>냉장</v>
          </cell>
          <cell r="S1299" t="str">
            <v>EA(10)</v>
          </cell>
          <cell r="T1299" t="str">
            <v/>
          </cell>
          <cell r="U1299" t="str">
            <v/>
          </cell>
          <cell r="V1299" t="str">
            <v>2018-12-20</v>
          </cell>
          <cell r="W1299" t="str">
            <v>2018-12-20 14:34:30</v>
          </cell>
          <cell r="X1299" t="str">
            <v>178921000</v>
          </cell>
        </row>
        <row r="1300">
          <cell r="A1300">
            <v>1296</v>
          </cell>
          <cell r="B1300" t="str">
            <v>2018-12-24</v>
          </cell>
          <cell r="C1300" t="str">
            <v>키즈락</v>
          </cell>
          <cell r="D1300">
            <v>0</v>
          </cell>
          <cell r="E1300" t="str">
            <v>일반</v>
          </cell>
          <cell r="F1300" t="str">
            <v>입고완료</v>
          </cell>
          <cell r="G1300">
            <v>130633</v>
          </cell>
          <cell r="H1300" t="str">
            <v>쉐프솔루션 미트볼(NEW_100±5개입 1Kg/EA)</v>
          </cell>
          <cell r="I1300" t="str">
            <v>EA</v>
          </cell>
          <cell r="J1300">
            <v>12</v>
          </cell>
          <cell r="K1300">
            <v>12</v>
          </cell>
          <cell r="L1300">
            <v>4340</v>
          </cell>
          <cell r="M1300">
            <v>52080</v>
          </cell>
          <cell r="N1300">
            <v>5208</v>
          </cell>
          <cell r="O1300">
            <v>57288</v>
          </cell>
          <cell r="P1300">
            <v>0</v>
          </cell>
          <cell r="Q1300" t="str">
            <v/>
          </cell>
          <cell r="R1300" t="str">
            <v>냉동</v>
          </cell>
          <cell r="S1300" t="str">
            <v>EA(5)</v>
          </cell>
          <cell r="T1300" t="str">
            <v/>
          </cell>
          <cell r="U1300" t="str">
            <v/>
          </cell>
          <cell r="V1300" t="str">
            <v>2018-12-20</v>
          </cell>
          <cell r="W1300" t="str">
            <v>2018-12-20 15:14:53</v>
          </cell>
          <cell r="X1300" t="str">
            <v>178921000</v>
          </cell>
        </row>
        <row r="1301">
          <cell r="A1301">
            <v>1297</v>
          </cell>
          <cell r="B1301" t="str">
            <v>2018-12-24</v>
          </cell>
          <cell r="C1301" t="str">
            <v>키즈락</v>
          </cell>
          <cell r="D1301">
            <v>0</v>
          </cell>
          <cell r="E1301" t="str">
            <v>일반</v>
          </cell>
          <cell r="F1301" t="str">
            <v>입고완료</v>
          </cell>
          <cell r="G1301">
            <v>236048</v>
          </cell>
          <cell r="H1301" t="str">
            <v>종가집 묵은지(10Kg/BOX)</v>
          </cell>
          <cell r="I1301" t="str">
            <v>BOX</v>
          </cell>
          <cell r="J1301">
            <v>1</v>
          </cell>
          <cell r="K1301">
            <v>1</v>
          </cell>
          <cell r="L1301">
            <v>32520</v>
          </cell>
          <cell r="M1301">
            <v>32520</v>
          </cell>
          <cell r="N1301">
            <v>0</v>
          </cell>
          <cell r="O1301">
            <v>32520</v>
          </cell>
          <cell r="P1301">
            <v>0</v>
          </cell>
          <cell r="Q1301" t="str">
            <v>한국</v>
          </cell>
          <cell r="R1301" t="str">
            <v>냉장</v>
          </cell>
          <cell r="S1301" t="str">
            <v>BOX(1)</v>
          </cell>
          <cell r="T1301" t="str">
            <v/>
          </cell>
          <cell r="U1301" t="str">
            <v/>
          </cell>
          <cell r="V1301" t="str">
            <v>2018-12-21</v>
          </cell>
          <cell r="W1301" t="str">
            <v>2018-12-21 12:21:17</v>
          </cell>
          <cell r="X1301" t="str">
            <v>178921000</v>
          </cell>
        </row>
        <row r="1302">
          <cell r="A1302">
            <v>1298</v>
          </cell>
          <cell r="B1302" t="str">
            <v>2018-12-24</v>
          </cell>
          <cell r="C1302" t="str">
            <v>키즈락</v>
          </cell>
          <cell r="D1302">
            <v>0</v>
          </cell>
          <cell r="E1302" t="str">
            <v>일반</v>
          </cell>
          <cell r="F1302" t="str">
            <v>입고완료</v>
          </cell>
          <cell r="G1302">
            <v>256984</v>
          </cell>
          <cell r="H1302" t="str">
            <v>늘만나 맛김치(적숙_일반 10Kg/BOX)</v>
          </cell>
          <cell r="I1302" t="str">
            <v>BOX</v>
          </cell>
          <cell r="J1302">
            <v>3</v>
          </cell>
          <cell r="K1302">
            <v>3</v>
          </cell>
          <cell r="L1302">
            <v>32900</v>
          </cell>
          <cell r="M1302">
            <v>98700</v>
          </cell>
          <cell r="N1302">
            <v>0</v>
          </cell>
          <cell r="O1302">
            <v>98700</v>
          </cell>
          <cell r="P1302">
            <v>0</v>
          </cell>
          <cell r="Q1302" t="str">
            <v/>
          </cell>
          <cell r="R1302" t="str">
            <v>냉장</v>
          </cell>
          <cell r="S1302" t="str">
            <v>BOX(1)</v>
          </cell>
          <cell r="T1302" t="str">
            <v/>
          </cell>
          <cell r="U1302" t="str">
            <v/>
          </cell>
          <cell r="V1302" t="str">
            <v>2018-12-21</v>
          </cell>
          <cell r="W1302" t="str">
            <v>2018-12-21 13:21:08</v>
          </cell>
          <cell r="X1302" t="str">
            <v>178921000</v>
          </cell>
        </row>
        <row r="1303">
          <cell r="A1303">
            <v>1299</v>
          </cell>
          <cell r="B1303" t="str">
            <v>2018-12-24</v>
          </cell>
          <cell r="C1303" t="str">
            <v>키즈락</v>
          </cell>
          <cell r="D1303">
            <v>0</v>
          </cell>
          <cell r="E1303" t="str">
            <v>일반</v>
          </cell>
          <cell r="F1303" t="str">
            <v>입고완료</v>
          </cell>
          <cell r="G1303">
            <v>197123</v>
          </cell>
          <cell r="H1303" t="str">
            <v>종가집 깍두기(숙성_2*2cm 10Kg/BOX)</v>
          </cell>
          <cell r="I1303" t="str">
            <v>BOX</v>
          </cell>
          <cell r="J1303">
            <v>1</v>
          </cell>
          <cell r="K1303">
            <v>1</v>
          </cell>
          <cell r="L1303">
            <v>33290</v>
          </cell>
          <cell r="M1303">
            <v>33290</v>
          </cell>
          <cell r="N1303">
            <v>0</v>
          </cell>
          <cell r="O1303">
            <v>33290</v>
          </cell>
          <cell r="P1303">
            <v>0</v>
          </cell>
          <cell r="Q1303" t="str">
            <v>한국</v>
          </cell>
          <cell r="R1303" t="str">
            <v>냉장</v>
          </cell>
          <cell r="S1303" t="str">
            <v>BOX(1)</v>
          </cell>
          <cell r="T1303" t="str">
            <v/>
          </cell>
          <cell r="U1303" t="str">
            <v/>
          </cell>
          <cell r="V1303" t="str">
            <v>2018-12-21</v>
          </cell>
          <cell r="W1303" t="str">
            <v>2018-12-21 13:23:25</v>
          </cell>
          <cell r="X1303" t="str">
            <v>178921000</v>
          </cell>
        </row>
        <row r="1304">
          <cell r="A1304">
            <v>1300</v>
          </cell>
          <cell r="B1304" t="str">
            <v>2018-12-24</v>
          </cell>
          <cell r="C1304" t="str">
            <v>키즈락</v>
          </cell>
          <cell r="D1304">
            <v>0</v>
          </cell>
          <cell r="E1304" t="str">
            <v>일반</v>
          </cell>
          <cell r="F1304" t="str">
            <v>입고완료</v>
          </cell>
          <cell r="G1304">
            <v>314295</v>
          </cell>
          <cell r="H1304" t="str">
            <v>디포리(밴댕이 1.5Kg/BOX)</v>
          </cell>
          <cell r="I1304" t="str">
            <v>BOX</v>
          </cell>
          <cell r="J1304">
            <v>5</v>
          </cell>
          <cell r="K1304">
            <v>5</v>
          </cell>
          <cell r="L1304">
            <v>10930</v>
          </cell>
          <cell r="M1304">
            <v>54650</v>
          </cell>
          <cell r="N1304">
            <v>0</v>
          </cell>
          <cell r="O1304">
            <v>54650</v>
          </cell>
          <cell r="P1304">
            <v>0</v>
          </cell>
          <cell r="Q1304" t="str">
            <v>베트남</v>
          </cell>
          <cell r="R1304" t="str">
            <v>냉동</v>
          </cell>
          <cell r="S1304" t="str">
            <v>BOX(1)</v>
          </cell>
          <cell r="T1304" t="str">
            <v/>
          </cell>
          <cell r="U1304" t="str">
            <v/>
          </cell>
          <cell r="V1304" t="str">
            <v>2018-12-21</v>
          </cell>
          <cell r="W1304" t="str">
            <v>2018-12-21 13:23:41</v>
          </cell>
          <cell r="X1304" t="str">
            <v>178921000</v>
          </cell>
        </row>
        <row r="1305">
          <cell r="A1305">
            <v>1301</v>
          </cell>
          <cell r="B1305" t="str">
            <v>2018-12-24</v>
          </cell>
          <cell r="C1305" t="str">
            <v>키즈락</v>
          </cell>
          <cell r="D1305">
            <v>0</v>
          </cell>
          <cell r="E1305" t="str">
            <v>일반</v>
          </cell>
          <cell r="F1305" t="str">
            <v>입고완료</v>
          </cell>
          <cell r="G1305">
            <v>197120</v>
          </cell>
          <cell r="H1305" t="str">
            <v>종가집 포기김치(숙성 10Kg/BOX)</v>
          </cell>
          <cell r="I1305" t="str">
            <v>BOX</v>
          </cell>
          <cell r="J1305">
            <v>4</v>
          </cell>
          <cell r="K1305">
            <v>4</v>
          </cell>
          <cell r="L1305">
            <v>31390</v>
          </cell>
          <cell r="M1305">
            <v>125560</v>
          </cell>
          <cell r="N1305">
            <v>0</v>
          </cell>
          <cell r="O1305">
            <v>125560</v>
          </cell>
          <cell r="P1305">
            <v>0</v>
          </cell>
          <cell r="Q1305" t="str">
            <v>한국</v>
          </cell>
          <cell r="R1305" t="str">
            <v>냉장</v>
          </cell>
          <cell r="S1305" t="str">
            <v>BOX(1)</v>
          </cell>
          <cell r="T1305" t="str">
            <v/>
          </cell>
          <cell r="U1305" t="str">
            <v/>
          </cell>
          <cell r="V1305" t="str">
            <v>2018-12-21</v>
          </cell>
          <cell r="W1305" t="str">
            <v>2018-12-21 13:24:45</v>
          </cell>
          <cell r="X1305" t="str">
            <v>178921000</v>
          </cell>
        </row>
        <row r="1306">
          <cell r="A1306">
            <v>1302</v>
          </cell>
          <cell r="B1306" t="str">
            <v>2018-12-24</v>
          </cell>
          <cell r="C1306" t="str">
            <v>키즈락</v>
          </cell>
          <cell r="D1306">
            <v>0</v>
          </cell>
          <cell r="E1306" t="str">
            <v>일반</v>
          </cell>
          <cell r="F1306" t="str">
            <v>입고완료</v>
          </cell>
          <cell r="G1306">
            <v>317997</v>
          </cell>
          <cell r="H1306" t="str">
            <v>바지락살(자숙_100/200 250g/EA)</v>
          </cell>
          <cell r="I1306" t="str">
            <v>EA</v>
          </cell>
          <cell r="J1306">
            <v>15</v>
          </cell>
          <cell r="K1306">
            <v>15</v>
          </cell>
          <cell r="L1306">
            <v>1200</v>
          </cell>
          <cell r="M1306">
            <v>18000</v>
          </cell>
          <cell r="N1306">
            <v>1800</v>
          </cell>
          <cell r="O1306">
            <v>19800</v>
          </cell>
          <cell r="P1306">
            <v>0</v>
          </cell>
          <cell r="Q1306" t="str">
            <v>중국</v>
          </cell>
          <cell r="R1306" t="str">
            <v>냉동</v>
          </cell>
          <cell r="S1306" t="str">
            <v>EA(10)</v>
          </cell>
          <cell r="T1306" t="str">
            <v/>
          </cell>
          <cell r="U1306" t="str">
            <v/>
          </cell>
          <cell r="V1306" t="str">
            <v>2018-12-21</v>
          </cell>
          <cell r="W1306" t="str">
            <v>2018-12-21 13:28:04</v>
          </cell>
          <cell r="X1306" t="str">
            <v>178921000</v>
          </cell>
        </row>
        <row r="1307">
          <cell r="A1307">
            <v>1303</v>
          </cell>
          <cell r="B1307" t="str">
            <v>2018-12-24</v>
          </cell>
          <cell r="C1307" t="str">
            <v>키즈락</v>
          </cell>
          <cell r="D1307">
            <v>0</v>
          </cell>
          <cell r="E1307" t="str">
            <v>일반</v>
          </cell>
          <cell r="F1307" t="str">
            <v>입고완료</v>
          </cell>
          <cell r="G1307">
            <v>192918</v>
          </cell>
          <cell r="H1307" t="str">
            <v>양배추(겉잎제거 KG)</v>
          </cell>
          <cell r="I1307" t="str">
            <v>KG</v>
          </cell>
          <cell r="J1307">
            <v>5</v>
          </cell>
          <cell r="K1307">
            <v>5</v>
          </cell>
          <cell r="L1307">
            <v>1220</v>
          </cell>
          <cell r="M1307">
            <v>6100</v>
          </cell>
          <cell r="N1307">
            <v>0</v>
          </cell>
          <cell r="O1307">
            <v>6100</v>
          </cell>
          <cell r="P1307">
            <v>0</v>
          </cell>
          <cell r="Q1307" t="str">
            <v>중국</v>
          </cell>
          <cell r="R1307" t="str">
            <v>냉장</v>
          </cell>
          <cell r="S1307" t="str">
            <v>KG(1)</v>
          </cell>
          <cell r="T1307" t="str">
            <v/>
          </cell>
          <cell r="U1307" t="str">
            <v/>
          </cell>
          <cell r="V1307" t="str">
            <v>2018-12-21</v>
          </cell>
          <cell r="W1307" t="str">
            <v>2018-12-21 13:38:33</v>
          </cell>
          <cell r="X1307" t="str">
            <v>178921000</v>
          </cell>
        </row>
        <row r="1308">
          <cell r="A1308">
            <v>1304</v>
          </cell>
          <cell r="B1308" t="str">
            <v>2018-12-24</v>
          </cell>
          <cell r="C1308" t="str">
            <v>키즈락</v>
          </cell>
          <cell r="D1308">
            <v>0</v>
          </cell>
          <cell r="E1308" t="str">
            <v>일반</v>
          </cell>
          <cell r="F1308" t="str">
            <v>입고완료</v>
          </cell>
          <cell r="G1308">
            <v>210218</v>
          </cell>
          <cell r="H1308" t="str">
            <v>사과(상품 51~60과_250g내외*4개입 1Kg/EA)</v>
          </cell>
          <cell r="I1308" t="str">
            <v>EA</v>
          </cell>
          <cell r="J1308">
            <v>5</v>
          </cell>
          <cell r="K1308">
            <v>5</v>
          </cell>
          <cell r="L1308">
            <v>5620</v>
          </cell>
          <cell r="M1308">
            <v>28100</v>
          </cell>
          <cell r="N1308">
            <v>0</v>
          </cell>
          <cell r="O1308">
            <v>28100</v>
          </cell>
          <cell r="P1308">
            <v>0</v>
          </cell>
          <cell r="Q1308" t="str">
            <v>한국</v>
          </cell>
          <cell r="R1308" t="str">
            <v>실온</v>
          </cell>
          <cell r="S1308" t="str">
            <v>EA(1)</v>
          </cell>
          <cell r="T1308" t="str">
            <v/>
          </cell>
          <cell r="U1308" t="str">
            <v/>
          </cell>
          <cell r="V1308" t="str">
            <v>2018-12-21</v>
          </cell>
          <cell r="W1308" t="str">
            <v>2018-12-21 13:39:52</v>
          </cell>
          <cell r="X1308" t="str">
            <v>178921000</v>
          </cell>
        </row>
        <row r="1309">
          <cell r="A1309">
            <v>1305</v>
          </cell>
          <cell r="B1309" t="str">
            <v>2018-12-24</v>
          </cell>
          <cell r="C1309" t="str">
            <v>키즈락</v>
          </cell>
          <cell r="D1309">
            <v>0</v>
          </cell>
          <cell r="E1309" t="str">
            <v>일반</v>
          </cell>
          <cell r="F1309" t="str">
            <v>입고완료</v>
          </cell>
          <cell r="G1309">
            <v>130452</v>
          </cell>
          <cell r="H1309" t="str">
            <v>사조오양 스모크햄(즉석 1Kg/EA)</v>
          </cell>
          <cell r="I1309" t="str">
            <v>EA</v>
          </cell>
          <cell r="J1309">
            <v>3</v>
          </cell>
          <cell r="K1309">
            <v>3</v>
          </cell>
          <cell r="L1309">
            <v>3650</v>
          </cell>
          <cell r="M1309">
            <v>10950</v>
          </cell>
          <cell r="N1309">
            <v>1095</v>
          </cell>
          <cell r="O1309">
            <v>12045</v>
          </cell>
          <cell r="P1309">
            <v>0</v>
          </cell>
          <cell r="Q1309" t="str">
            <v/>
          </cell>
          <cell r="R1309" t="str">
            <v>냉장</v>
          </cell>
          <cell r="S1309" t="str">
            <v>EA(10)</v>
          </cell>
          <cell r="T1309" t="str">
            <v/>
          </cell>
          <cell r="U1309" t="str">
            <v/>
          </cell>
          <cell r="V1309" t="str">
            <v>2018-12-21</v>
          </cell>
          <cell r="W1309" t="str">
            <v>2018-12-21 13:40:20</v>
          </cell>
          <cell r="X1309" t="str">
            <v>178921000</v>
          </cell>
        </row>
        <row r="1310">
          <cell r="A1310">
            <v>1306</v>
          </cell>
          <cell r="B1310" t="str">
            <v>2018-12-24</v>
          </cell>
          <cell r="C1310" t="str">
            <v>키즈락</v>
          </cell>
          <cell r="D1310">
            <v>0</v>
          </cell>
          <cell r="E1310" t="str">
            <v>일반</v>
          </cell>
          <cell r="F1310" t="str">
            <v>입고완료</v>
          </cell>
          <cell r="G1310">
            <v>137856</v>
          </cell>
          <cell r="H1310" t="str">
            <v>레이지 레몬주스(1L_원액 1Kg/EA)</v>
          </cell>
          <cell r="I1310" t="str">
            <v>EA</v>
          </cell>
          <cell r="J1310">
            <v>1</v>
          </cell>
          <cell r="K1310">
            <v>1</v>
          </cell>
          <cell r="L1310">
            <v>6140</v>
          </cell>
          <cell r="M1310">
            <v>6140</v>
          </cell>
          <cell r="N1310">
            <v>614</v>
          </cell>
          <cell r="O1310">
            <v>6754</v>
          </cell>
          <cell r="P1310">
            <v>0</v>
          </cell>
          <cell r="Q1310" t="str">
            <v/>
          </cell>
          <cell r="R1310" t="str">
            <v>실온</v>
          </cell>
          <cell r="S1310" t="str">
            <v>EA(6)</v>
          </cell>
          <cell r="T1310" t="str">
            <v/>
          </cell>
          <cell r="U1310" t="str">
            <v/>
          </cell>
          <cell r="V1310" t="str">
            <v>2018-12-21</v>
          </cell>
          <cell r="W1310" t="str">
            <v>2018-12-21 13:40:48</v>
          </cell>
          <cell r="X1310" t="str">
            <v>178921000</v>
          </cell>
        </row>
        <row r="1311">
          <cell r="A1311">
            <v>1307</v>
          </cell>
          <cell r="B1311" t="str">
            <v>2018-12-24</v>
          </cell>
          <cell r="C1311" t="str">
            <v>키즈락</v>
          </cell>
          <cell r="D1311">
            <v>0</v>
          </cell>
          <cell r="E1311" t="str">
            <v>일반</v>
          </cell>
          <cell r="F1311" t="str">
            <v>입고완료</v>
          </cell>
          <cell r="G1311">
            <v>406597</v>
          </cell>
          <cell r="H1311" t="str">
            <v>체리부로 닭봉(1등급 45±5g/개_껍질있음 KG)</v>
          </cell>
          <cell r="I1311" t="str">
            <v>KG</v>
          </cell>
          <cell r="J1311">
            <v>50</v>
          </cell>
          <cell r="K1311">
            <v>50</v>
          </cell>
          <cell r="L1311">
            <v>5930</v>
          </cell>
          <cell r="M1311">
            <v>296500</v>
          </cell>
          <cell r="N1311">
            <v>0</v>
          </cell>
          <cell r="O1311">
            <v>296500</v>
          </cell>
          <cell r="P1311">
            <v>0</v>
          </cell>
          <cell r="Q1311" t="str">
            <v>한국</v>
          </cell>
          <cell r="R1311" t="str">
            <v>냉장</v>
          </cell>
          <cell r="S1311" t="str">
            <v>KG(1)</v>
          </cell>
          <cell r="T1311" t="str">
            <v/>
          </cell>
          <cell r="U1311" t="str">
            <v/>
          </cell>
          <cell r="V1311" t="str">
            <v>2018-12-21</v>
          </cell>
          <cell r="W1311" t="str">
            <v>2018-12-21 14:20:33</v>
          </cell>
          <cell r="X1311" t="str">
            <v>178921000</v>
          </cell>
        </row>
        <row r="1312">
          <cell r="A1312">
            <v>1308</v>
          </cell>
          <cell r="B1312" t="str">
            <v>2018-12-24</v>
          </cell>
          <cell r="C1312" t="str">
            <v>키즈락</v>
          </cell>
          <cell r="D1312">
            <v>0</v>
          </cell>
          <cell r="E1312" t="str">
            <v>일반</v>
          </cell>
          <cell r="F1312" t="str">
            <v>입고완료</v>
          </cell>
          <cell r="G1312">
            <v>168384</v>
          </cell>
          <cell r="H1312" t="str">
            <v>사조대림 사각어묵(알뜰 1Kg/EA)</v>
          </cell>
          <cell r="I1312" t="str">
            <v>EA</v>
          </cell>
          <cell r="J1312">
            <v>22</v>
          </cell>
          <cell r="K1312">
            <v>22</v>
          </cell>
          <cell r="L1312">
            <v>2220</v>
          </cell>
          <cell r="M1312">
            <v>48840</v>
          </cell>
          <cell r="N1312">
            <v>4884</v>
          </cell>
          <cell r="O1312">
            <v>53724</v>
          </cell>
          <cell r="P1312">
            <v>0</v>
          </cell>
          <cell r="Q1312" t="str">
            <v/>
          </cell>
          <cell r="R1312" t="str">
            <v>냉장</v>
          </cell>
          <cell r="S1312" t="str">
            <v>EA(1)</v>
          </cell>
          <cell r="T1312" t="str">
            <v/>
          </cell>
          <cell r="U1312" t="str">
            <v/>
          </cell>
          <cell r="V1312" t="str">
            <v>2018-12-21</v>
          </cell>
          <cell r="W1312" t="str">
            <v>2018-12-21 14:24:19</v>
          </cell>
          <cell r="X1312" t="str">
            <v>178921000</v>
          </cell>
        </row>
        <row r="1313">
          <cell r="A1313">
            <v>1309</v>
          </cell>
          <cell r="B1313" t="str">
            <v>2018-12-24</v>
          </cell>
          <cell r="C1313" t="str">
            <v>키즈락</v>
          </cell>
          <cell r="D1313">
            <v>0</v>
          </cell>
          <cell r="E1313" t="str">
            <v>일반</v>
          </cell>
          <cell r="F1313" t="str">
            <v>입고완료</v>
          </cell>
          <cell r="G1313">
            <v>220651</v>
          </cell>
          <cell r="H1313" t="str">
            <v>아이누리 혼합파프리카(빨강+노랑 350g/EA)</v>
          </cell>
          <cell r="I1313" t="str">
            <v>EA</v>
          </cell>
          <cell r="J1313">
            <v>3</v>
          </cell>
          <cell r="K1313">
            <v>3</v>
          </cell>
          <cell r="L1313">
            <v>2860</v>
          </cell>
          <cell r="M1313">
            <v>8580</v>
          </cell>
          <cell r="N1313">
            <v>0</v>
          </cell>
          <cell r="O1313">
            <v>8580</v>
          </cell>
          <cell r="P1313">
            <v>0</v>
          </cell>
          <cell r="Q1313" t="str">
            <v>한국</v>
          </cell>
          <cell r="R1313" t="str">
            <v>냉장</v>
          </cell>
          <cell r="S1313" t="str">
            <v>EA(1)</v>
          </cell>
          <cell r="T1313" t="str">
            <v/>
          </cell>
          <cell r="U1313" t="str">
            <v/>
          </cell>
          <cell r="V1313" t="str">
            <v>2018-12-21</v>
          </cell>
          <cell r="W1313" t="str">
            <v>2018-12-21 15:07:32</v>
          </cell>
          <cell r="X1313" t="str">
            <v>178921000</v>
          </cell>
        </row>
        <row r="1314">
          <cell r="A1314">
            <v>1310</v>
          </cell>
          <cell r="B1314" t="str">
            <v>2018-12-21</v>
          </cell>
          <cell r="C1314">
            <v>0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</row>
        <row r="1315">
          <cell r="A1315">
            <v>1311</v>
          </cell>
          <cell r="B1315" t="str">
            <v>2018-12-21</v>
          </cell>
          <cell r="C1315" t="str">
            <v>키즈락</v>
          </cell>
          <cell r="D1315">
            <v>0</v>
          </cell>
          <cell r="E1315" t="str">
            <v>일반</v>
          </cell>
          <cell r="F1315" t="str">
            <v>입고완료</v>
          </cell>
          <cell r="G1315">
            <v>174871</v>
          </cell>
          <cell r="H1315" t="str">
            <v>정남식품 콩비지(1Kg/EA)</v>
          </cell>
          <cell r="I1315" t="str">
            <v>EA</v>
          </cell>
          <cell r="J1315">
            <v>5</v>
          </cell>
          <cell r="K1315">
            <v>5</v>
          </cell>
          <cell r="L1315">
            <v>2720</v>
          </cell>
          <cell r="M1315">
            <v>13600</v>
          </cell>
          <cell r="N1315">
            <v>0</v>
          </cell>
          <cell r="O1315">
            <v>13600</v>
          </cell>
          <cell r="P1315">
            <v>0</v>
          </cell>
          <cell r="Q1315" t="str">
            <v>외국산</v>
          </cell>
          <cell r="R1315" t="str">
            <v>냉장</v>
          </cell>
          <cell r="S1315" t="str">
            <v>EA(1)</v>
          </cell>
          <cell r="T1315" t="str">
            <v/>
          </cell>
          <cell r="U1315" t="str">
            <v/>
          </cell>
          <cell r="V1315" t="str">
            <v>2018-12-19</v>
          </cell>
          <cell r="W1315" t="str">
            <v>2018-12-19 13:24:12</v>
          </cell>
          <cell r="X1315" t="str">
            <v>178921000</v>
          </cell>
        </row>
        <row r="1316">
          <cell r="A1316">
            <v>1312</v>
          </cell>
          <cell r="B1316" t="str">
            <v>2018-12-21</v>
          </cell>
          <cell r="C1316" t="str">
            <v>키즈락</v>
          </cell>
          <cell r="D1316">
            <v>0</v>
          </cell>
          <cell r="E1316" t="str">
            <v>일반</v>
          </cell>
          <cell r="F1316" t="str">
            <v>입고완료</v>
          </cell>
          <cell r="G1316">
            <v>125921</v>
          </cell>
          <cell r="H1316" t="str">
            <v>튼튼스쿨 쥬시햄벅스테이크(60g*16입 960g/EA)</v>
          </cell>
          <cell r="I1316" t="str">
            <v>EA</v>
          </cell>
          <cell r="J1316">
            <v>27</v>
          </cell>
          <cell r="K1316">
            <v>27</v>
          </cell>
          <cell r="L1316">
            <v>8850</v>
          </cell>
          <cell r="M1316">
            <v>238950</v>
          </cell>
          <cell r="N1316">
            <v>23895</v>
          </cell>
          <cell r="O1316">
            <v>262845</v>
          </cell>
          <cell r="P1316">
            <v>0</v>
          </cell>
          <cell r="Q1316" t="str">
            <v/>
          </cell>
          <cell r="R1316" t="str">
            <v>냉동</v>
          </cell>
          <cell r="S1316" t="str">
            <v>EA(6)</v>
          </cell>
          <cell r="T1316" t="str">
            <v/>
          </cell>
          <cell r="U1316" t="str">
            <v/>
          </cell>
          <cell r="V1316" t="str">
            <v>2018-12-19</v>
          </cell>
          <cell r="W1316" t="str">
            <v>2018-12-19 13:55:43</v>
          </cell>
          <cell r="X1316" t="str">
            <v>178921000</v>
          </cell>
        </row>
        <row r="1317">
          <cell r="A1317">
            <v>1313</v>
          </cell>
          <cell r="B1317" t="str">
            <v>2018-12-21</v>
          </cell>
          <cell r="C1317" t="str">
            <v>키즈락</v>
          </cell>
          <cell r="D1317">
            <v>0</v>
          </cell>
          <cell r="E1317" t="str">
            <v>일반</v>
          </cell>
          <cell r="F1317" t="str">
            <v>입고완료</v>
          </cell>
          <cell r="G1317">
            <v>107247</v>
          </cell>
          <cell r="H1317" t="str">
            <v>하인즈 데미그라스소스(3Kg/EA)</v>
          </cell>
          <cell r="I1317" t="str">
            <v>EA</v>
          </cell>
          <cell r="J1317">
            <v>3</v>
          </cell>
          <cell r="K1317">
            <v>3</v>
          </cell>
          <cell r="L1317">
            <v>16880</v>
          </cell>
          <cell r="M1317">
            <v>50640</v>
          </cell>
          <cell r="N1317">
            <v>5064</v>
          </cell>
          <cell r="O1317">
            <v>55704</v>
          </cell>
          <cell r="P1317">
            <v>0</v>
          </cell>
          <cell r="Q1317" t="str">
            <v/>
          </cell>
          <cell r="R1317" t="str">
            <v>실온</v>
          </cell>
          <cell r="S1317" t="str">
            <v>EA(6)</v>
          </cell>
          <cell r="T1317" t="str">
            <v/>
          </cell>
          <cell r="U1317" t="str">
            <v/>
          </cell>
          <cell r="V1317" t="str">
            <v>2018-12-19</v>
          </cell>
          <cell r="W1317" t="str">
            <v>2018-12-19 13:56:40</v>
          </cell>
          <cell r="X1317" t="str">
            <v>178921000</v>
          </cell>
        </row>
        <row r="1318">
          <cell r="A1318">
            <v>1314</v>
          </cell>
          <cell r="B1318" t="str">
            <v>2018-12-21</v>
          </cell>
          <cell r="C1318" t="str">
            <v>키즈락</v>
          </cell>
          <cell r="D1318">
            <v>0</v>
          </cell>
          <cell r="E1318" t="str">
            <v>일반</v>
          </cell>
          <cell r="F1318" t="str">
            <v>입고완료</v>
          </cell>
          <cell r="G1318">
            <v>197120</v>
          </cell>
          <cell r="H1318" t="str">
            <v>종가집 포기김치(숙성 10Kg/BOX)</v>
          </cell>
          <cell r="I1318" t="str">
            <v>BOX</v>
          </cell>
          <cell r="J1318">
            <v>2</v>
          </cell>
          <cell r="K1318">
            <v>2</v>
          </cell>
          <cell r="L1318">
            <v>31390</v>
          </cell>
          <cell r="M1318">
            <v>62780</v>
          </cell>
          <cell r="N1318">
            <v>0</v>
          </cell>
          <cell r="O1318">
            <v>62780</v>
          </cell>
          <cell r="P1318">
            <v>0</v>
          </cell>
          <cell r="Q1318" t="str">
            <v>한국</v>
          </cell>
          <cell r="R1318" t="str">
            <v>냉장</v>
          </cell>
          <cell r="S1318" t="str">
            <v>BOX(1)</v>
          </cell>
          <cell r="T1318" t="str">
            <v/>
          </cell>
          <cell r="U1318" t="str">
            <v/>
          </cell>
          <cell r="V1318" t="str">
            <v>2018-12-19</v>
          </cell>
          <cell r="W1318" t="str">
            <v>2018-12-19 14:00:00</v>
          </cell>
          <cell r="X1318" t="str">
            <v>178921000</v>
          </cell>
        </row>
        <row r="1319">
          <cell r="A1319">
            <v>1315</v>
          </cell>
          <cell r="B1319" t="str">
            <v>2018-12-21</v>
          </cell>
          <cell r="C1319" t="str">
            <v>키즈락</v>
          </cell>
          <cell r="D1319">
            <v>0</v>
          </cell>
          <cell r="E1319" t="str">
            <v>일반</v>
          </cell>
          <cell r="F1319" t="str">
            <v>입고완료</v>
          </cell>
          <cell r="G1319">
            <v>155522</v>
          </cell>
          <cell r="H1319" t="str">
            <v>에어로탑 휘핑크림(1L 1Kg/EA)</v>
          </cell>
          <cell r="I1319" t="str">
            <v>EA</v>
          </cell>
          <cell r="J1319">
            <v>1</v>
          </cell>
          <cell r="K1319">
            <v>1</v>
          </cell>
          <cell r="L1319">
            <v>3880</v>
          </cell>
          <cell r="M1319">
            <v>3880</v>
          </cell>
          <cell r="N1319">
            <v>388</v>
          </cell>
          <cell r="O1319">
            <v>4268</v>
          </cell>
          <cell r="P1319">
            <v>0</v>
          </cell>
          <cell r="Q1319" t="str">
            <v/>
          </cell>
          <cell r="R1319" t="str">
            <v>냉장</v>
          </cell>
          <cell r="S1319" t="str">
            <v>EA(12)</v>
          </cell>
          <cell r="T1319" t="str">
            <v/>
          </cell>
          <cell r="U1319" t="str">
            <v/>
          </cell>
          <cell r="V1319" t="str">
            <v>2018-12-20</v>
          </cell>
          <cell r="W1319" t="str">
            <v>2018-12-20 07:57:18</v>
          </cell>
          <cell r="X1319" t="str">
            <v>178921000</v>
          </cell>
        </row>
        <row r="1320">
          <cell r="A1320">
            <v>1316</v>
          </cell>
          <cell r="B1320" t="str">
            <v>2018-12-21</v>
          </cell>
          <cell r="C1320" t="str">
            <v>키즈락</v>
          </cell>
          <cell r="D1320">
            <v>0</v>
          </cell>
          <cell r="E1320" t="str">
            <v>일반</v>
          </cell>
          <cell r="F1320" t="str">
            <v>입고완료</v>
          </cell>
          <cell r="G1320">
            <v>145381</v>
          </cell>
          <cell r="H1320" t="str">
            <v>밀크마스터 흰우유(1L 1Kg/EA)</v>
          </cell>
          <cell r="I1320" t="str">
            <v>EA</v>
          </cell>
          <cell r="J1320">
            <v>1</v>
          </cell>
          <cell r="K1320">
            <v>1</v>
          </cell>
          <cell r="L1320">
            <v>1990</v>
          </cell>
          <cell r="M1320">
            <v>1990</v>
          </cell>
          <cell r="N1320">
            <v>0</v>
          </cell>
          <cell r="O1320">
            <v>1990</v>
          </cell>
          <cell r="P1320">
            <v>0</v>
          </cell>
          <cell r="Q1320" t="str">
            <v>한국</v>
          </cell>
          <cell r="R1320" t="str">
            <v>냉장</v>
          </cell>
          <cell r="S1320" t="str">
            <v>EA(16)</v>
          </cell>
          <cell r="T1320" t="str">
            <v/>
          </cell>
          <cell r="U1320" t="str">
            <v/>
          </cell>
          <cell r="V1320" t="str">
            <v>2018-12-20</v>
          </cell>
          <cell r="W1320" t="str">
            <v>2018-12-20 07:57:18</v>
          </cell>
          <cell r="X1320" t="str">
            <v>178921000</v>
          </cell>
        </row>
        <row r="1321">
          <cell r="A1321">
            <v>1317</v>
          </cell>
          <cell r="B1321" t="str">
            <v>2018-12-21</v>
          </cell>
          <cell r="C1321" t="str">
            <v>키즈락</v>
          </cell>
          <cell r="D1321">
            <v>0</v>
          </cell>
          <cell r="E1321" t="str">
            <v>일반</v>
          </cell>
          <cell r="F1321" t="str">
            <v>입고완료</v>
          </cell>
          <cell r="G1321">
            <v>221871</v>
          </cell>
          <cell r="H1321" t="str">
            <v>냉동시금치(IQF 1Kg/EA)</v>
          </cell>
          <cell r="I1321" t="str">
            <v>EA</v>
          </cell>
          <cell r="J1321">
            <v>30</v>
          </cell>
          <cell r="K1321">
            <v>30</v>
          </cell>
          <cell r="L1321">
            <v>1680</v>
          </cell>
          <cell r="M1321">
            <v>50400</v>
          </cell>
          <cell r="N1321">
            <v>5040</v>
          </cell>
          <cell r="O1321">
            <v>55440</v>
          </cell>
          <cell r="P1321">
            <v>0</v>
          </cell>
          <cell r="Q1321" t="str">
            <v>중국</v>
          </cell>
          <cell r="R1321" t="str">
            <v>냉동</v>
          </cell>
          <cell r="S1321" t="str">
            <v>EA(1)</v>
          </cell>
          <cell r="T1321" t="str">
            <v/>
          </cell>
          <cell r="U1321" t="str">
            <v/>
          </cell>
          <cell r="V1321" t="str">
            <v>2018-12-20</v>
          </cell>
          <cell r="W1321" t="str">
            <v>2018-12-20 12:59:22</v>
          </cell>
          <cell r="X1321" t="str">
            <v>178921000</v>
          </cell>
        </row>
        <row r="1322">
          <cell r="A1322">
            <v>1318</v>
          </cell>
          <cell r="B1322" t="str">
            <v>2018-12-21</v>
          </cell>
          <cell r="C1322" t="str">
            <v>키즈락</v>
          </cell>
          <cell r="D1322">
            <v>0</v>
          </cell>
          <cell r="E1322" t="str">
            <v>일반</v>
          </cell>
          <cell r="F1322" t="str">
            <v>입고완료</v>
          </cell>
          <cell r="G1322">
            <v>204964</v>
          </cell>
          <cell r="H1322" t="str">
            <v>냉동표고버섯(슬라이스 1Kg/PAC)</v>
          </cell>
          <cell r="I1322" t="str">
            <v>PAC</v>
          </cell>
          <cell r="J1322">
            <v>10</v>
          </cell>
          <cell r="K1322">
            <v>10</v>
          </cell>
          <cell r="L1322">
            <v>2730</v>
          </cell>
          <cell r="M1322">
            <v>27300</v>
          </cell>
          <cell r="N1322">
            <v>0</v>
          </cell>
          <cell r="O1322">
            <v>27300</v>
          </cell>
          <cell r="P1322">
            <v>0</v>
          </cell>
          <cell r="Q1322" t="str">
            <v>중국</v>
          </cell>
          <cell r="R1322" t="str">
            <v>냉동</v>
          </cell>
          <cell r="S1322" t="str">
            <v>PAC(1)</v>
          </cell>
          <cell r="T1322" t="str">
            <v/>
          </cell>
          <cell r="U1322" t="str">
            <v/>
          </cell>
          <cell r="V1322" t="str">
            <v>2018-12-20</v>
          </cell>
          <cell r="W1322" t="str">
            <v>2018-12-20 13:54:02</v>
          </cell>
          <cell r="X1322" t="str">
            <v>178921000</v>
          </cell>
        </row>
        <row r="1323">
          <cell r="A1323">
            <v>1319</v>
          </cell>
          <cell r="B1323" t="str">
            <v>2018-12-21</v>
          </cell>
          <cell r="C1323" t="str">
            <v>키즈락</v>
          </cell>
          <cell r="D1323">
            <v>0</v>
          </cell>
          <cell r="E1323" t="str">
            <v>일반</v>
          </cell>
          <cell r="F1323" t="str">
            <v>입고완료</v>
          </cell>
          <cell r="G1323">
            <v>211027</v>
          </cell>
          <cell r="H1323" t="str">
            <v>팽이버섯(상품 150g*5개입 750g/EA)</v>
          </cell>
          <cell r="I1323" t="str">
            <v>EA</v>
          </cell>
          <cell r="J1323">
            <v>1</v>
          </cell>
          <cell r="K1323">
            <v>1</v>
          </cell>
          <cell r="L1323">
            <v>1780</v>
          </cell>
          <cell r="M1323">
            <v>1780</v>
          </cell>
          <cell r="N1323">
            <v>0</v>
          </cell>
          <cell r="O1323">
            <v>1780</v>
          </cell>
          <cell r="P1323">
            <v>0</v>
          </cell>
          <cell r="Q1323" t="str">
            <v>한국</v>
          </cell>
          <cell r="R1323" t="str">
            <v>냉장</v>
          </cell>
          <cell r="S1323" t="str">
            <v>EA(1)</v>
          </cell>
          <cell r="T1323" t="str">
            <v/>
          </cell>
          <cell r="U1323" t="str">
            <v/>
          </cell>
          <cell r="V1323" t="str">
            <v>2018-12-20</v>
          </cell>
          <cell r="W1323" t="str">
            <v>2018-12-20 13:55:59</v>
          </cell>
          <cell r="X1323" t="str">
            <v>178921000</v>
          </cell>
        </row>
        <row r="1324">
          <cell r="A1324">
            <v>1320</v>
          </cell>
          <cell r="B1324" t="str">
            <v>2018-12-21</v>
          </cell>
          <cell r="C1324" t="str">
            <v>키즈락</v>
          </cell>
          <cell r="D1324">
            <v>0</v>
          </cell>
          <cell r="E1324" t="str">
            <v>일반</v>
          </cell>
          <cell r="F1324" t="str">
            <v>입고완료</v>
          </cell>
          <cell r="G1324">
            <v>208502</v>
          </cell>
          <cell r="H1324" t="str">
            <v>세척당근(3L 10Kg/EA)</v>
          </cell>
          <cell r="I1324" t="str">
            <v>EA</v>
          </cell>
          <cell r="J1324">
            <v>1</v>
          </cell>
          <cell r="K1324">
            <v>1</v>
          </cell>
          <cell r="L1324">
            <v>11980</v>
          </cell>
          <cell r="M1324">
            <v>11980</v>
          </cell>
          <cell r="N1324">
            <v>0</v>
          </cell>
          <cell r="O1324">
            <v>11980</v>
          </cell>
          <cell r="P1324">
            <v>0</v>
          </cell>
          <cell r="Q1324" t="str">
            <v>중국</v>
          </cell>
          <cell r="R1324" t="str">
            <v>실온</v>
          </cell>
          <cell r="S1324" t="str">
            <v>EA(1)</v>
          </cell>
          <cell r="T1324" t="str">
            <v/>
          </cell>
          <cell r="U1324" t="str">
            <v/>
          </cell>
          <cell r="V1324" t="str">
            <v>2018-12-20</v>
          </cell>
          <cell r="W1324" t="str">
            <v>2018-12-20 13:56:33</v>
          </cell>
          <cell r="X1324" t="str">
            <v>178921000</v>
          </cell>
        </row>
        <row r="1325">
          <cell r="A1325">
            <v>1321</v>
          </cell>
          <cell r="B1325" t="str">
            <v>2018-12-21</v>
          </cell>
          <cell r="C1325" t="str">
            <v>키즈락</v>
          </cell>
          <cell r="D1325">
            <v>0</v>
          </cell>
          <cell r="E1325" t="str">
            <v>일반</v>
          </cell>
          <cell r="F1325" t="str">
            <v>입고완료</v>
          </cell>
          <cell r="G1325">
            <v>159357</v>
          </cell>
          <cell r="H1325" t="str">
            <v>이츠웰 칼집쏙쏙비엔나소시지(1Kg/EA)</v>
          </cell>
          <cell r="I1325" t="str">
            <v>EA</v>
          </cell>
          <cell r="J1325">
            <v>5</v>
          </cell>
          <cell r="K1325">
            <v>5</v>
          </cell>
          <cell r="L1325">
            <v>5690</v>
          </cell>
          <cell r="M1325">
            <v>28450</v>
          </cell>
          <cell r="N1325">
            <v>2845</v>
          </cell>
          <cell r="O1325">
            <v>31295</v>
          </cell>
          <cell r="P1325">
            <v>0</v>
          </cell>
          <cell r="Q1325" t="str">
            <v/>
          </cell>
          <cell r="R1325" t="str">
            <v>냉장</v>
          </cell>
          <cell r="S1325" t="str">
            <v>EA(10)</v>
          </cell>
          <cell r="T1325" t="str">
            <v/>
          </cell>
          <cell r="U1325" t="str">
            <v/>
          </cell>
          <cell r="V1325" t="str">
            <v>2018-12-20</v>
          </cell>
          <cell r="W1325" t="str">
            <v>2018-12-20 14:01:34</v>
          </cell>
          <cell r="X1325" t="str">
            <v>178921000</v>
          </cell>
        </row>
        <row r="1326">
          <cell r="A1326">
            <v>1322</v>
          </cell>
          <cell r="B1326" t="str">
            <v>2018-12-21</v>
          </cell>
          <cell r="C1326" t="str">
            <v>키즈락</v>
          </cell>
          <cell r="D1326">
            <v>0</v>
          </cell>
          <cell r="E1326" t="str">
            <v>일반</v>
          </cell>
          <cell r="F1326" t="str">
            <v>입고완료</v>
          </cell>
          <cell r="G1326">
            <v>130817</v>
          </cell>
          <cell r="H1326" t="str">
            <v>이츠웰 해물모양떡(하얀색 1Kg/EA)</v>
          </cell>
          <cell r="I1326" t="str">
            <v>EA</v>
          </cell>
          <cell r="J1326">
            <v>1</v>
          </cell>
          <cell r="K1326">
            <v>1</v>
          </cell>
          <cell r="L1326">
            <v>1480</v>
          </cell>
          <cell r="M1326">
            <v>1480</v>
          </cell>
          <cell r="N1326">
            <v>148</v>
          </cell>
          <cell r="O1326">
            <v>1628</v>
          </cell>
          <cell r="P1326">
            <v>0</v>
          </cell>
          <cell r="Q1326" t="str">
            <v>외국산</v>
          </cell>
          <cell r="R1326" t="str">
            <v>냉장</v>
          </cell>
          <cell r="S1326" t="str">
            <v>EA(10)</v>
          </cell>
          <cell r="T1326" t="str">
            <v/>
          </cell>
          <cell r="U1326" t="str">
            <v/>
          </cell>
          <cell r="V1326" t="str">
            <v>2018-12-20</v>
          </cell>
          <cell r="W1326" t="str">
            <v>2018-12-20 14:01:34</v>
          </cell>
          <cell r="X1326" t="str">
            <v>178921000</v>
          </cell>
        </row>
        <row r="1327">
          <cell r="A1327">
            <v>1323</v>
          </cell>
          <cell r="B1327" t="str">
            <v>2018-12-21</v>
          </cell>
          <cell r="C1327" t="str">
            <v>키즈락</v>
          </cell>
          <cell r="D1327">
            <v>0</v>
          </cell>
          <cell r="E1327" t="str">
            <v>일반</v>
          </cell>
          <cell r="F1327" t="str">
            <v>입고완료</v>
          </cell>
          <cell r="G1327">
            <v>411038</v>
          </cell>
          <cell r="H1327" t="str">
            <v>누리웰 깐메추리알(1Kg/EA)</v>
          </cell>
          <cell r="I1327" t="str">
            <v>EA</v>
          </cell>
          <cell r="J1327">
            <v>12</v>
          </cell>
          <cell r="K1327">
            <v>12</v>
          </cell>
          <cell r="L1327">
            <v>4960</v>
          </cell>
          <cell r="M1327">
            <v>59520</v>
          </cell>
          <cell r="N1327">
            <v>5952</v>
          </cell>
          <cell r="O1327">
            <v>65472</v>
          </cell>
          <cell r="P1327">
            <v>0</v>
          </cell>
          <cell r="Q1327" t="str">
            <v>한국</v>
          </cell>
          <cell r="R1327" t="str">
            <v>냉장</v>
          </cell>
          <cell r="S1327" t="str">
            <v>EA(10)</v>
          </cell>
          <cell r="T1327" t="str">
            <v/>
          </cell>
          <cell r="U1327" t="str">
            <v/>
          </cell>
          <cell r="V1327" t="str">
            <v>2018-12-20</v>
          </cell>
          <cell r="W1327" t="str">
            <v>2018-12-20 14:02:22</v>
          </cell>
          <cell r="X1327" t="str">
            <v>178921000</v>
          </cell>
        </row>
        <row r="1328">
          <cell r="A1328">
            <v>1324</v>
          </cell>
          <cell r="B1328" t="str">
            <v>2018-12-21</v>
          </cell>
          <cell r="C1328" t="str">
            <v>키즈락</v>
          </cell>
          <cell r="D1328">
            <v>0</v>
          </cell>
          <cell r="E1328" t="str">
            <v>일반</v>
          </cell>
          <cell r="F1328" t="str">
            <v>입고완료</v>
          </cell>
          <cell r="G1328">
            <v>154930</v>
          </cell>
          <cell r="H1328" t="str">
            <v>사조대림 곤약(LOW칼로리생활 2Kg/EA)</v>
          </cell>
          <cell r="I1328" t="str">
            <v>EA</v>
          </cell>
          <cell r="J1328">
            <v>1</v>
          </cell>
          <cell r="K1328">
            <v>1</v>
          </cell>
          <cell r="L1328">
            <v>3920</v>
          </cell>
          <cell r="M1328">
            <v>3920</v>
          </cell>
          <cell r="N1328">
            <v>392</v>
          </cell>
          <cell r="O1328">
            <v>4312</v>
          </cell>
          <cell r="P1328">
            <v>0</v>
          </cell>
          <cell r="Q1328" t="str">
            <v/>
          </cell>
          <cell r="R1328" t="str">
            <v>실온</v>
          </cell>
          <cell r="S1328" t="str">
            <v>EA(6)</v>
          </cell>
          <cell r="T1328" t="str">
            <v/>
          </cell>
          <cell r="U1328" t="str">
            <v/>
          </cell>
          <cell r="V1328" t="str">
            <v>2018-12-20</v>
          </cell>
          <cell r="W1328" t="str">
            <v>2018-12-20 14:02:39</v>
          </cell>
          <cell r="X1328" t="str">
            <v>178921000</v>
          </cell>
        </row>
        <row r="1329">
          <cell r="A1329">
            <v>1325</v>
          </cell>
          <cell r="B1329" t="str">
            <v>2018-12-21</v>
          </cell>
          <cell r="C1329" t="str">
            <v>키즈락</v>
          </cell>
          <cell r="D1329">
            <v>0</v>
          </cell>
          <cell r="E1329" t="str">
            <v>일반</v>
          </cell>
          <cell r="F1329" t="str">
            <v>입고완료</v>
          </cell>
          <cell r="G1329">
            <v>168258</v>
          </cell>
          <cell r="H1329" t="str">
            <v>명품 판두부(부침용 3Kg/EA)</v>
          </cell>
          <cell r="I1329" t="str">
            <v>EA</v>
          </cell>
          <cell r="J1329">
            <v>4</v>
          </cell>
          <cell r="K1329">
            <v>4</v>
          </cell>
          <cell r="L1329">
            <v>4000</v>
          </cell>
          <cell r="M1329">
            <v>16000</v>
          </cell>
          <cell r="N1329">
            <v>0</v>
          </cell>
          <cell r="O1329">
            <v>16000</v>
          </cell>
          <cell r="P1329">
            <v>0</v>
          </cell>
          <cell r="Q1329" t="str">
            <v>수입산</v>
          </cell>
          <cell r="R1329" t="str">
            <v>냉장</v>
          </cell>
          <cell r="S1329" t="str">
            <v>EA(1)</v>
          </cell>
          <cell r="T1329" t="str">
            <v/>
          </cell>
          <cell r="U1329" t="str">
            <v/>
          </cell>
          <cell r="V1329" t="str">
            <v>2018-12-20</v>
          </cell>
          <cell r="W1329" t="str">
            <v>2018-12-20 14:03:38</v>
          </cell>
          <cell r="X1329" t="str">
            <v>178921000</v>
          </cell>
        </row>
        <row r="1330">
          <cell r="A1330">
            <v>1326</v>
          </cell>
          <cell r="B1330" t="str">
            <v>2018-12-21</v>
          </cell>
          <cell r="C1330" t="str">
            <v>키즈락</v>
          </cell>
          <cell r="D1330">
            <v>0</v>
          </cell>
          <cell r="E1330" t="str">
            <v>일반</v>
          </cell>
          <cell r="F1330" t="str">
            <v>입고완료</v>
          </cell>
          <cell r="G1330">
            <v>138570</v>
          </cell>
          <cell r="H1330" t="str">
            <v>면사랑 멸치육수(1.8L_보급형 1.8Kg/EA)</v>
          </cell>
          <cell r="I1330" t="str">
            <v>EA</v>
          </cell>
          <cell r="J1330">
            <v>12</v>
          </cell>
          <cell r="K1330">
            <v>12</v>
          </cell>
          <cell r="L1330">
            <v>5560</v>
          </cell>
          <cell r="M1330">
            <v>66720</v>
          </cell>
          <cell r="N1330">
            <v>6672</v>
          </cell>
          <cell r="O1330">
            <v>73392</v>
          </cell>
          <cell r="P1330">
            <v>0</v>
          </cell>
          <cell r="Q1330" t="str">
            <v/>
          </cell>
          <cell r="R1330" t="str">
            <v>실온</v>
          </cell>
          <cell r="S1330" t="str">
            <v>EA(6)</v>
          </cell>
          <cell r="T1330" t="str">
            <v/>
          </cell>
          <cell r="U1330" t="str">
            <v/>
          </cell>
          <cell r="V1330" t="str">
            <v>2018-12-20</v>
          </cell>
          <cell r="W1330" t="str">
            <v>2018-12-20 14:07:25</v>
          </cell>
          <cell r="X1330" t="str">
            <v>178921000</v>
          </cell>
        </row>
        <row r="1331">
          <cell r="A1331">
            <v>1327</v>
          </cell>
          <cell r="B1331" t="str">
            <v>2018-12-21</v>
          </cell>
          <cell r="C1331" t="str">
            <v>키즈락</v>
          </cell>
          <cell r="D1331">
            <v>0</v>
          </cell>
          <cell r="E1331" t="str">
            <v>일반</v>
          </cell>
          <cell r="F1331" t="str">
            <v>입고완료</v>
          </cell>
          <cell r="G1331">
            <v>118007</v>
          </cell>
          <cell r="H1331" t="str">
            <v>한성 새우젓(1Kg/EA)</v>
          </cell>
          <cell r="I1331" t="str">
            <v>EA</v>
          </cell>
          <cell r="J1331">
            <v>2</v>
          </cell>
          <cell r="K1331">
            <v>2</v>
          </cell>
          <cell r="L1331">
            <v>10250</v>
          </cell>
          <cell r="M1331">
            <v>20500</v>
          </cell>
          <cell r="N1331">
            <v>2050</v>
          </cell>
          <cell r="O1331">
            <v>22550</v>
          </cell>
          <cell r="P1331">
            <v>0</v>
          </cell>
          <cell r="Q1331" t="str">
            <v>한국</v>
          </cell>
          <cell r="R1331" t="str">
            <v>냉장</v>
          </cell>
          <cell r="S1331" t="str">
            <v>EA(1)</v>
          </cell>
          <cell r="T1331" t="str">
            <v/>
          </cell>
          <cell r="U1331" t="str">
            <v/>
          </cell>
          <cell r="V1331" t="str">
            <v>2018-12-20</v>
          </cell>
          <cell r="W1331" t="str">
            <v>2018-12-20 14:11:35</v>
          </cell>
          <cell r="X1331" t="str">
            <v>178921000</v>
          </cell>
        </row>
        <row r="1332">
          <cell r="A1332">
            <v>1328</v>
          </cell>
          <cell r="B1332" t="str">
            <v>2018-12-21</v>
          </cell>
          <cell r="C1332" t="str">
            <v>키즈락</v>
          </cell>
          <cell r="D1332">
            <v>0</v>
          </cell>
          <cell r="E1332" t="str">
            <v>일반</v>
          </cell>
          <cell r="F1332" t="str">
            <v>입고완료</v>
          </cell>
          <cell r="G1332">
            <v>260308</v>
          </cell>
          <cell r="H1332" t="str">
            <v>청아띠 자연담은고춧가루(양념용 1Kg/EA)</v>
          </cell>
          <cell r="I1332" t="str">
            <v>EA</v>
          </cell>
          <cell r="J1332">
            <v>3</v>
          </cell>
          <cell r="K1332">
            <v>3</v>
          </cell>
          <cell r="L1332">
            <v>26690</v>
          </cell>
          <cell r="M1332">
            <v>80070</v>
          </cell>
          <cell r="N1332">
            <v>0</v>
          </cell>
          <cell r="O1332">
            <v>80070</v>
          </cell>
          <cell r="P1332">
            <v>0</v>
          </cell>
          <cell r="Q1332" t="str">
            <v>한국</v>
          </cell>
          <cell r="R1332" t="str">
            <v>실온</v>
          </cell>
          <cell r="S1332" t="str">
            <v>EA(10)</v>
          </cell>
          <cell r="T1332" t="str">
            <v/>
          </cell>
          <cell r="U1332" t="str">
            <v/>
          </cell>
          <cell r="V1332" t="str">
            <v>2018-12-20</v>
          </cell>
          <cell r="W1332" t="str">
            <v>2018-12-20 14:13:41</v>
          </cell>
          <cell r="X1332" t="str">
            <v>178921000</v>
          </cell>
        </row>
        <row r="1333">
          <cell r="A1333">
            <v>1329</v>
          </cell>
          <cell r="B1333" t="str">
            <v>2018-12-21</v>
          </cell>
          <cell r="C1333" t="str">
            <v>키즈락</v>
          </cell>
          <cell r="D1333">
            <v>0</v>
          </cell>
          <cell r="E1333" t="str">
            <v>일반</v>
          </cell>
          <cell r="F1333" t="str">
            <v>입고완료</v>
          </cell>
          <cell r="G1333">
            <v>247504</v>
          </cell>
          <cell r="H1333" t="str">
            <v>청아띠 자연담은고춧가루(순한맛 양념용 1Kg/EA)</v>
          </cell>
          <cell r="I1333" t="str">
            <v>EA</v>
          </cell>
          <cell r="J1333">
            <v>2</v>
          </cell>
          <cell r="K1333">
            <v>2</v>
          </cell>
          <cell r="L1333">
            <v>33650</v>
          </cell>
          <cell r="M1333">
            <v>67300</v>
          </cell>
          <cell r="N1333">
            <v>0</v>
          </cell>
          <cell r="O1333">
            <v>67300</v>
          </cell>
          <cell r="P1333">
            <v>0</v>
          </cell>
          <cell r="Q1333" t="str">
            <v>한국</v>
          </cell>
          <cell r="R1333" t="str">
            <v>실온</v>
          </cell>
          <cell r="S1333" t="str">
            <v>EA(10)</v>
          </cell>
          <cell r="T1333" t="str">
            <v/>
          </cell>
          <cell r="U1333" t="str">
            <v/>
          </cell>
          <cell r="V1333" t="str">
            <v>2018-12-20</v>
          </cell>
          <cell r="W1333" t="str">
            <v>2018-12-20 14:13:41</v>
          </cell>
          <cell r="X1333" t="str">
            <v>178921000</v>
          </cell>
        </row>
        <row r="1334">
          <cell r="A1334">
            <v>1330</v>
          </cell>
          <cell r="B1334" t="str">
            <v>2018-12-21</v>
          </cell>
          <cell r="C1334" t="str">
            <v>키즈락</v>
          </cell>
          <cell r="D1334">
            <v>0</v>
          </cell>
          <cell r="E1334" t="str">
            <v>일반</v>
          </cell>
          <cell r="F1334" t="str">
            <v>입고완료</v>
          </cell>
          <cell r="G1334">
            <v>252267</v>
          </cell>
          <cell r="H1334" t="str">
            <v>이츠웰 주방세제(리뉴얼_그린알로_13kg EA)</v>
          </cell>
          <cell r="I1334" t="str">
            <v>EA</v>
          </cell>
          <cell r="J1334">
            <v>2</v>
          </cell>
          <cell r="K1334">
            <v>2</v>
          </cell>
          <cell r="L1334">
            <v>11190</v>
          </cell>
          <cell r="M1334">
            <v>22380</v>
          </cell>
          <cell r="N1334">
            <v>2238</v>
          </cell>
          <cell r="O1334">
            <v>24618</v>
          </cell>
          <cell r="P1334">
            <v>0</v>
          </cell>
          <cell r="Q1334" t="str">
            <v/>
          </cell>
          <cell r="R1334" t="str">
            <v>실온</v>
          </cell>
          <cell r="S1334" t="str">
            <v>EA(1)</v>
          </cell>
          <cell r="T1334" t="str">
            <v/>
          </cell>
          <cell r="U1334" t="str">
            <v/>
          </cell>
          <cell r="V1334" t="str">
            <v>2018-12-20</v>
          </cell>
          <cell r="W1334" t="str">
            <v>2018-12-20 14:14:15</v>
          </cell>
          <cell r="X1334" t="str">
            <v>178921000</v>
          </cell>
        </row>
        <row r="1335">
          <cell r="A1335">
            <v>1331</v>
          </cell>
          <cell r="B1335" t="str">
            <v>2018-12-21</v>
          </cell>
          <cell r="C1335" t="str">
            <v>키즈락</v>
          </cell>
          <cell r="D1335">
            <v>0</v>
          </cell>
          <cell r="E1335" t="str">
            <v>일반</v>
          </cell>
          <cell r="F1335" t="str">
            <v>입고완료</v>
          </cell>
          <cell r="G1335">
            <v>210897</v>
          </cell>
          <cell r="H1335" t="str">
            <v>수수(일반 1Kg/EA)</v>
          </cell>
          <cell r="I1335" t="str">
            <v>EA</v>
          </cell>
          <cell r="J1335">
            <v>5</v>
          </cell>
          <cell r="K1335">
            <v>5</v>
          </cell>
          <cell r="L1335">
            <v>9160</v>
          </cell>
          <cell r="M1335">
            <v>45800</v>
          </cell>
          <cell r="N1335">
            <v>0</v>
          </cell>
          <cell r="O1335">
            <v>45800</v>
          </cell>
          <cell r="P1335">
            <v>0</v>
          </cell>
          <cell r="Q1335" t="str">
            <v>한국</v>
          </cell>
          <cell r="R1335" t="str">
            <v>실온</v>
          </cell>
          <cell r="S1335" t="str">
            <v>EA(1)</v>
          </cell>
          <cell r="T1335" t="str">
            <v/>
          </cell>
          <cell r="U1335" t="str">
            <v/>
          </cell>
          <cell r="V1335" t="str">
            <v>2018-12-20</v>
          </cell>
          <cell r="W1335" t="str">
            <v>2018-12-20 14:16:28</v>
          </cell>
          <cell r="X1335" t="str">
            <v>178921000</v>
          </cell>
        </row>
        <row r="1336">
          <cell r="A1336">
            <v>1332</v>
          </cell>
          <cell r="B1336" t="str">
            <v>2018-12-21</v>
          </cell>
          <cell r="C1336" t="str">
            <v>키즈락</v>
          </cell>
          <cell r="D1336">
            <v>0</v>
          </cell>
          <cell r="E1336" t="str">
            <v>일반</v>
          </cell>
          <cell r="F1336" t="str">
            <v>입고완료</v>
          </cell>
          <cell r="G1336">
            <v>193090</v>
          </cell>
          <cell r="H1336" t="str">
            <v>냉동감자(절단_3~4cm 1Kg/EA)</v>
          </cell>
          <cell r="I1336" t="str">
            <v>EA</v>
          </cell>
          <cell r="J1336">
            <v>20</v>
          </cell>
          <cell r="K1336">
            <v>20</v>
          </cell>
          <cell r="L1336">
            <v>1980</v>
          </cell>
          <cell r="M1336">
            <v>39600</v>
          </cell>
          <cell r="N1336">
            <v>3960</v>
          </cell>
          <cell r="O1336">
            <v>43560</v>
          </cell>
          <cell r="P1336">
            <v>0</v>
          </cell>
          <cell r="Q1336" t="str">
            <v>중국</v>
          </cell>
          <cell r="R1336" t="str">
            <v>냉동</v>
          </cell>
          <cell r="S1336" t="str">
            <v>EA(1)</v>
          </cell>
          <cell r="T1336" t="str">
            <v/>
          </cell>
          <cell r="U1336" t="str">
            <v/>
          </cell>
          <cell r="V1336" t="str">
            <v>2018-12-20</v>
          </cell>
          <cell r="W1336" t="str">
            <v>2018-12-20 14:26:53</v>
          </cell>
          <cell r="X1336" t="str">
            <v>178921000</v>
          </cell>
        </row>
        <row r="1337">
          <cell r="A1337">
            <v>1333</v>
          </cell>
          <cell r="B1337" t="str">
            <v>2018-12-21</v>
          </cell>
          <cell r="C1337" t="str">
            <v>키즈락</v>
          </cell>
          <cell r="D1337">
            <v>0</v>
          </cell>
          <cell r="E1337" t="str">
            <v>일반</v>
          </cell>
          <cell r="F1337" t="str">
            <v>입고완료</v>
          </cell>
          <cell r="G1337">
            <v>211037</v>
          </cell>
          <cell r="H1337" t="str">
            <v>느타리버섯(실속 균상 2Kg/EA)</v>
          </cell>
          <cell r="I1337" t="str">
            <v>BOX</v>
          </cell>
          <cell r="J1337">
            <v>3</v>
          </cell>
          <cell r="K1337">
            <v>3</v>
          </cell>
          <cell r="L1337">
            <v>7650</v>
          </cell>
          <cell r="M1337">
            <v>22950</v>
          </cell>
          <cell r="N1337">
            <v>0</v>
          </cell>
          <cell r="O1337">
            <v>22950</v>
          </cell>
          <cell r="P1337">
            <v>0</v>
          </cell>
          <cell r="Q1337" t="str">
            <v>한국</v>
          </cell>
          <cell r="R1337" t="str">
            <v>냉장</v>
          </cell>
          <cell r="S1337" t="str">
            <v>EA(1)</v>
          </cell>
          <cell r="T1337" t="str">
            <v/>
          </cell>
          <cell r="U1337" t="str">
            <v/>
          </cell>
          <cell r="V1337" t="str">
            <v>2018-12-20</v>
          </cell>
          <cell r="W1337" t="str">
            <v>2018-12-20 14:36:02</v>
          </cell>
          <cell r="X1337" t="str">
            <v>178921000</v>
          </cell>
        </row>
        <row r="1338">
          <cell r="A1338">
            <v>1334</v>
          </cell>
          <cell r="B1338" t="str">
            <v>2018-12-20</v>
          </cell>
          <cell r="C1338">
            <v>0</v>
          </cell>
          <cell r="D1338">
            <v>0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</row>
        <row r="1339">
          <cell r="A1339">
            <v>1335</v>
          </cell>
          <cell r="B1339" t="str">
            <v>2018-12-20</v>
          </cell>
          <cell r="C1339" t="str">
            <v>키즈락</v>
          </cell>
          <cell r="D1339">
            <v>0</v>
          </cell>
          <cell r="E1339" t="str">
            <v>일반</v>
          </cell>
          <cell r="F1339" t="str">
            <v>입고완료</v>
          </cell>
          <cell r="G1339">
            <v>159989</v>
          </cell>
          <cell r="H1339" t="str">
            <v>이츠웰 한입깐쇼새우(1Kg/EA)</v>
          </cell>
          <cell r="I1339" t="str">
            <v>EA</v>
          </cell>
          <cell r="J1339">
            <v>45</v>
          </cell>
          <cell r="K1339">
            <v>45</v>
          </cell>
          <cell r="L1339">
            <v>10750</v>
          </cell>
          <cell r="M1339">
            <v>483750</v>
          </cell>
          <cell r="N1339">
            <v>48375</v>
          </cell>
          <cell r="O1339">
            <v>532125</v>
          </cell>
          <cell r="P1339">
            <v>0</v>
          </cell>
          <cell r="Q1339" t="str">
            <v>베트남</v>
          </cell>
          <cell r="R1339" t="str">
            <v>냉동</v>
          </cell>
          <cell r="S1339" t="str">
            <v>EA(10)</v>
          </cell>
          <cell r="T1339" t="str">
            <v/>
          </cell>
          <cell r="U1339" t="str">
            <v/>
          </cell>
          <cell r="V1339" t="str">
            <v>2018-12-18</v>
          </cell>
          <cell r="W1339" t="str">
            <v>2018-12-18 12:13:29</v>
          </cell>
          <cell r="X1339" t="str">
            <v>178921000</v>
          </cell>
        </row>
        <row r="1340">
          <cell r="A1340">
            <v>1336</v>
          </cell>
          <cell r="B1340" t="str">
            <v>2018-12-20</v>
          </cell>
          <cell r="C1340" t="str">
            <v>키즈락</v>
          </cell>
          <cell r="D1340">
            <v>0</v>
          </cell>
          <cell r="E1340" t="str">
            <v>일반</v>
          </cell>
          <cell r="F1340" t="str">
            <v>입고완료</v>
          </cell>
          <cell r="G1340">
            <v>155522</v>
          </cell>
          <cell r="H1340" t="str">
            <v>에어로탑 휘핑크림(1L 1Kg/EA)</v>
          </cell>
          <cell r="I1340" t="str">
            <v>EA</v>
          </cell>
          <cell r="J1340">
            <v>2</v>
          </cell>
          <cell r="K1340">
            <v>2</v>
          </cell>
          <cell r="L1340">
            <v>3880</v>
          </cell>
          <cell r="M1340">
            <v>7760</v>
          </cell>
          <cell r="N1340">
            <v>776</v>
          </cell>
          <cell r="O1340">
            <v>8536</v>
          </cell>
          <cell r="P1340">
            <v>0</v>
          </cell>
          <cell r="Q1340" t="str">
            <v/>
          </cell>
          <cell r="R1340" t="str">
            <v>냉장</v>
          </cell>
          <cell r="S1340" t="str">
            <v>EA(12)</v>
          </cell>
          <cell r="T1340" t="str">
            <v/>
          </cell>
          <cell r="U1340" t="str">
            <v/>
          </cell>
          <cell r="V1340" t="str">
            <v>2018-12-18</v>
          </cell>
          <cell r="W1340" t="str">
            <v>2018-12-18 12:14:57</v>
          </cell>
          <cell r="X1340" t="str">
            <v>178921000</v>
          </cell>
        </row>
        <row r="1341">
          <cell r="A1341">
            <v>1337</v>
          </cell>
          <cell r="B1341" t="str">
            <v>2018-12-20</v>
          </cell>
          <cell r="C1341" t="str">
            <v>키즈락</v>
          </cell>
          <cell r="D1341">
            <v>0</v>
          </cell>
          <cell r="E1341" t="str">
            <v>일반</v>
          </cell>
          <cell r="F1341" t="str">
            <v>입고완료</v>
          </cell>
          <cell r="G1341">
            <v>135999</v>
          </cell>
          <cell r="H1341" t="str">
            <v>반찬단지 무말랭이무침(4Kg/EA)</v>
          </cell>
          <cell r="I1341" t="str">
            <v>EA</v>
          </cell>
          <cell r="J1341">
            <v>1</v>
          </cell>
          <cell r="K1341">
            <v>1</v>
          </cell>
          <cell r="L1341">
            <v>11600</v>
          </cell>
          <cell r="M1341">
            <v>11600</v>
          </cell>
          <cell r="N1341">
            <v>1160</v>
          </cell>
          <cell r="O1341">
            <v>12760</v>
          </cell>
          <cell r="P1341">
            <v>0</v>
          </cell>
          <cell r="Q1341" t="str">
            <v>중국</v>
          </cell>
          <cell r="R1341" t="str">
            <v>냉장</v>
          </cell>
          <cell r="S1341" t="str">
            <v>EA(4)</v>
          </cell>
          <cell r="T1341" t="str">
            <v/>
          </cell>
          <cell r="U1341" t="str">
            <v/>
          </cell>
          <cell r="V1341" t="str">
            <v>2018-12-19</v>
          </cell>
          <cell r="W1341" t="str">
            <v>2018-12-19 13:22:34</v>
          </cell>
          <cell r="X1341" t="str">
            <v>178921000</v>
          </cell>
        </row>
        <row r="1342">
          <cell r="A1342">
            <v>1338</v>
          </cell>
          <cell r="B1342" t="str">
            <v>2018-12-20</v>
          </cell>
          <cell r="C1342" t="str">
            <v>키즈락</v>
          </cell>
          <cell r="D1342">
            <v>0</v>
          </cell>
          <cell r="E1342" t="str">
            <v>일반</v>
          </cell>
          <cell r="F1342" t="str">
            <v>입고완료</v>
          </cell>
          <cell r="G1342">
            <v>159993</v>
          </cell>
          <cell r="H1342" t="str">
            <v>반찬단지 무말랭이(NEW 1Kg/EA)</v>
          </cell>
          <cell r="I1342" t="str">
            <v>EA</v>
          </cell>
          <cell r="J1342">
            <v>2</v>
          </cell>
          <cell r="K1342">
            <v>2</v>
          </cell>
          <cell r="L1342">
            <v>4040</v>
          </cell>
          <cell r="M1342">
            <v>8080</v>
          </cell>
          <cell r="N1342">
            <v>808</v>
          </cell>
          <cell r="O1342">
            <v>8888</v>
          </cell>
          <cell r="P1342">
            <v>0</v>
          </cell>
          <cell r="Q1342" t="str">
            <v>중국</v>
          </cell>
          <cell r="R1342" t="str">
            <v>냉장</v>
          </cell>
          <cell r="S1342" t="str">
            <v>EA(10)</v>
          </cell>
          <cell r="T1342" t="str">
            <v/>
          </cell>
          <cell r="U1342" t="str">
            <v/>
          </cell>
          <cell r="V1342" t="str">
            <v>2018-12-19</v>
          </cell>
          <cell r="W1342" t="str">
            <v>2018-12-19 13:22:34</v>
          </cell>
          <cell r="X1342" t="str">
            <v>178921000</v>
          </cell>
        </row>
        <row r="1343">
          <cell r="A1343">
            <v>1339</v>
          </cell>
          <cell r="B1343" t="str">
            <v>2018-12-20</v>
          </cell>
          <cell r="C1343" t="str">
            <v>키즈락</v>
          </cell>
          <cell r="D1343">
            <v>0</v>
          </cell>
          <cell r="E1343" t="str">
            <v>일반</v>
          </cell>
          <cell r="F1343" t="str">
            <v>입고완료</v>
          </cell>
          <cell r="G1343">
            <v>236048</v>
          </cell>
          <cell r="H1343" t="str">
            <v>종가집 묵은지(10Kg/BOX)</v>
          </cell>
          <cell r="I1343" t="str">
            <v>BOX</v>
          </cell>
          <cell r="J1343">
            <v>2</v>
          </cell>
          <cell r="K1343">
            <v>2</v>
          </cell>
          <cell r="L1343">
            <v>32520</v>
          </cell>
          <cell r="M1343">
            <v>65040</v>
          </cell>
          <cell r="N1343">
            <v>0</v>
          </cell>
          <cell r="O1343">
            <v>65040</v>
          </cell>
          <cell r="P1343">
            <v>0</v>
          </cell>
          <cell r="Q1343" t="str">
            <v>한국</v>
          </cell>
          <cell r="R1343" t="str">
            <v>냉장</v>
          </cell>
          <cell r="S1343" t="str">
            <v>BOX(1)</v>
          </cell>
          <cell r="T1343" t="str">
            <v/>
          </cell>
          <cell r="U1343" t="str">
            <v/>
          </cell>
          <cell r="V1343" t="str">
            <v>2018-12-19</v>
          </cell>
          <cell r="W1343" t="str">
            <v>2018-12-19 13:23:04</v>
          </cell>
          <cell r="X1343" t="str">
            <v>178921000</v>
          </cell>
        </row>
        <row r="1344">
          <cell r="A1344">
            <v>1340</v>
          </cell>
          <cell r="B1344" t="str">
            <v>2018-12-20</v>
          </cell>
          <cell r="C1344" t="str">
            <v>키즈락</v>
          </cell>
          <cell r="D1344">
            <v>0</v>
          </cell>
          <cell r="E1344" t="str">
            <v>일반</v>
          </cell>
          <cell r="F1344" t="str">
            <v>입고완료</v>
          </cell>
          <cell r="G1344">
            <v>228884</v>
          </cell>
          <cell r="H1344" t="str">
            <v>코다리(내장제거_70~90g/토막_평균80g 80g/EA)</v>
          </cell>
          <cell r="I1344" t="str">
            <v>EA</v>
          </cell>
          <cell r="J1344">
            <v>50</v>
          </cell>
          <cell r="K1344">
            <v>50</v>
          </cell>
          <cell r="L1344">
            <v>460</v>
          </cell>
          <cell r="M1344">
            <v>23000</v>
          </cell>
          <cell r="N1344">
            <v>0</v>
          </cell>
          <cell r="O1344">
            <v>23000</v>
          </cell>
          <cell r="P1344">
            <v>0</v>
          </cell>
          <cell r="Q1344" t="str">
            <v>러시아</v>
          </cell>
          <cell r="R1344" t="str">
            <v>냉동</v>
          </cell>
          <cell r="S1344" t="str">
            <v>EA(1)</v>
          </cell>
          <cell r="T1344" t="str">
            <v/>
          </cell>
          <cell r="U1344" t="str">
            <v/>
          </cell>
          <cell r="V1344" t="str">
            <v>2018-12-19</v>
          </cell>
          <cell r="W1344" t="str">
            <v>2018-12-19 13:28:00</v>
          </cell>
          <cell r="X1344" t="str">
            <v>178921000</v>
          </cell>
        </row>
        <row r="1345">
          <cell r="A1345">
            <v>1341</v>
          </cell>
          <cell r="B1345" t="str">
            <v>2018-12-20</v>
          </cell>
          <cell r="C1345" t="str">
            <v>키즈락</v>
          </cell>
          <cell r="D1345">
            <v>0</v>
          </cell>
          <cell r="E1345" t="str">
            <v>일반</v>
          </cell>
          <cell r="F1345" t="str">
            <v>입고완료</v>
          </cell>
          <cell r="G1345">
            <v>219387</v>
          </cell>
          <cell r="H1345" t="str">
            <v>냉동배추우거지(1Kg/EA)</v>
          </cell>
          <cell r="I1345" t="str">
            <v>EA</v>
          </cell>
          <cell r="J1345">
            <v>8</v>
          </cell>
          <cell r="K1345">
            <v>8</v>
          </cell>
          <cell r="L1345">
            <v>1430</v>
          </cell>
          <cell r="M1345">
            <v>11440</v>
          </cell>
          <cell r="N1345">
            <v>1144</v>
          </cell>
          <cell r="O1345">
            <v>12584</v>
          </cell>
          <cell r="P1345">
            <v>0</v>
          </cell>
          <cell r="Q1345" t="str">
            <v>중국</v>
          </cell>
          <cell r="R1345" t="str">
            <v>냉동</v>
          </cell>
          <cell r="S1345" t="str">
            <v>EA(1)</v>
          </cell>
          <cell r="T1345" t="str">
            <v/>
          </cell>
          <cell r="U1345" t="str">
            <v/>
          </cell>
          <cell r="V1345" t="str">
            <v>2018-12-19</v>
          </cell>
          <cell r="W1345" t="str">
            <v>2018-12-19 13:41:22</v>
          </cell>
          <cell r="X1345" t="str">
            <v>178921000</v>
          </cell>
        </row>
        <row r="1346">
          <cell r="A1346">
            <v>1342</v>
          </cell>
          <cell r="B1346" t="str">
            <v>2018-12-20</v>
          </cell>
          <cell r="C1346" t="str">
            <v>키즈락</v>
          </cell>
          <cell r="D1346">
            <v>0</v>
          </cell>
          <cell r="E1346" t="str">
            <v>일반</v>
          </cell>
          <cell r="F1346" t="str">
            <v>입고완료</v>
          </cell>
          <cell r="G1346">
            <v>168257</v>
          </cell>
          <cell r="H1346" t="str">
            <v>명품 판두부(찌개용 3Kg/EA)</v>
          </cell>
          <cell r="I1346" t="str">
            <v>EA</v>
          </cell>
          <cell r="J1346">
            <v>1</v>
          </cell>
          <cell r="K1346">
            <v>1</v>
          </cell>
          <cell r="L1346">
            <v>4000</v>
          </cell>
          <cell r="M1346">
            <v>4000</v>
          </cell>
          <cell r="N1346">
            <v>0</v>
          </cell>
          <cell r="O1346">
            <v>4000</v>
          </cell>
          <cell r="P1346">
            <v>0</v>
          </cell>
          <cell r="Q1346" t="str">
            <v>수입산</v>
          </cell>
          <cell r="R1346" t="str">
            <v>냉장</v>
          </cell>
          <cell r="S1346" t="str">
            <v>EA(1)</v>
          </cell>
          <cell r="T1346" t="str">
            <v/>
          </cell>
          <cell r="U1346" t="str">
            <v/>
          </cell>
          <cell r="V1346" t="str">
            <v>2018-12-19</v>
          </cell>
          <cell r="W1346" t="str">
            <v>2018-12-19 13:41:47</v>
          </cell>
          <cell r="X1346" t="str">
            <v>178921000</v>
          </cell>
        </row>
        <row r="1347">
          <cell r="A1347">
            <v>1343</v>
          </cell>
          <cell r="B1347" t="str">
            <v>2018-12-20</v>
          </cell>
          <cell r="C1347" t="str">
            <v>키즈락</v>
          </cell>
          <cell r="D1347">
            <v>0</v>
          </cell>
          <cell r="E1347" t="str">
            <v>일반</v>
          </cell>
          <cell r="F1347" t="str">
            <v>입고완료</v>
          </cell>
          <cell r="G1347">
            <v>201290</v>
          </cell>
          <cell r="H1347" t="str">
            <v>건무말랭이(KG)</v>
          </cell>
          <cell r="I1347" t="str">
            <v>KG</v>
          </cell>
          <cell r="J1347">
            <v>6</v>
          </cell>
          <cell r="K1347">
            <v>6</v>
          </cell>
          <cell r="L1347">
            <v>5580</v>
          </cell>
          <cell r="M1347">
            <v>33480</v>
          </cell>
          <cell r="N1347">
            <v>0</v>
          </cell>
          <cell r="O1347">
            <v>33480</v>
          </cell>
          <cell r="P1347">
            <v>0</v>
          </cell>
          <cell r="Q1347" t="str">
            <v>중국</v>
          </cell>
          <cell r="R1347" t="str">
            <v>실온</v>
          </cell>
          <cell r="S1347" t="str">
            <v>KG(1)</v>
          </cell>
          <cell r="T1347" t="str">
            <v/>
          </cell>
          <cell r="U1347" t="str">
            <v/>
          </cell>
          <cell r="V1347" t="str">
            <v>2018-12-19</v>
          </cell>
          <cell r="W1347" t="str">
            <v>2018-12-19 13:53:13</v>
          </cell>
          <cell r="X1347" t="str">
            <v>178921000</v>
          </cell>
        </row>
        <row r="1348">
          <cell r="A1348">
            <v>1344</v>
          </cell>
          <cell r="B1348" t="str">
            <v>2018-12-19</v>
          </cell>
          <cell r="C1348">
            <v>0</v>
          </cell>
          <cell r="D1348">
            <v>0</v>
          </cell>
          <cell r="E1348">
            <v>0</v>
          </cell>
          <cell r="F1348">
            <v>0</v>
          </cell>
          <cell r="G1348">
            <v>0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</row>
        <row r="1349">
          <cell r="A1349">
            <v>1345</v>
          </cell>
          <cell r="B1349" t="str">
            <v>2018-12-19</v>
          </cell>
          <cell r="C1349" t="str">
            <v>키즈락</v>
          </cell>
          <cell r="D1349">
            <v>0</v>
          </cell>
          <cell r="E1349" t="str">
            <v>일반</v>
          </cell>
          <cell r="F1349" t="str">
            <v>입고완료</v>
          </cell>
          <cell r="G1349">
            <v>136633</v>
          </cell>
          <cell r="H1349" t="str">
            <v>이오 요구르트(80ml_유기농 80g/EA)</v>
          </cell>
          <cell r="I1349" t="str">
            <v>EA</v>
          </cell>
          <cell r="J1349">
            <v>182</v>
          </cell>
          <cell r="K1349">
            <v>182</v>
          </cell>
          <cell r="L1349">
            <v>300</v>
          </cell>
          <cell r="M1349">
            <v>54600</v>
          </cell>
          <cell r="N1349">
            <v>5460</v>
          </cell>
          <cell r="O1349">
            <v>60060</v>
          </cell>
          <cell r="P1349">
            <v>0</v>
          </cell>
          <cell r="Q1349" t="str">
            <v>한국</v>
          </cell>
          <cell r="R1349" t="str">
            <v>냉장</v>
          </cell>
          <cell r="S1349" t="str">
            <v>EA(50)</v>
          </cell>
          <cell r="T1349" t="str">
            <v/>
          </cell>
          <cell r="U1349" t="str">
            <v/>
          </cell>
          <cell r="V1349" t="str">
            <v>2018-12-14</v>
          </cell>
          <cell r="W1349" t="str">
            <v>2018-12-14 12:28:13</v>
          </cell>
          <cell r="X1349" t="str">
            <v>178921000</v>
          </cell>
        </row>
        <row r="1350">
          <cell r="A1350">
            <v>1346</v>
          </cell>
          <cell r="B1350" t="str">
            <v>2018-12-19</v>
          </cell>
          <cell r="C1350" t="str">
            <v>키즈락</v>
          </cell>
          <cell r="D1350">
            <v>0</v>
          </cell>
          <cell r="E1350" t="str">
            <v>일반</v>
          </cell>
          <cell r="F1350" t="str">
            <v>입고완료</v>
          </cell>
          <cell r="G1350">
            <v>269671</v>
          </cell>
          <cell r="H1350" t="str">
            <v>이츠웰 우리밀허니버터카스테라(개별포장_35g*30입 1.05Kg/BOX)</v>
          </cell>
          <cell r="I1350" t="str">
            <v>BOX</v>
          </cell>
          <cell r="J1350">
            <v>9</v>
          </cell>
          <cell r="K1350">
            <v>9</v>
          </cell>
          <cell r="L1350">
            <v>12810</v>
          </cell>
          <cell r="M1350">
            <v>115290</v>
          </cell>
          <cell r="N1350">
            <v>11529</v>
          </cell>
          <cell r="O1350">
            <v>126819</v>
          </cell>
          <cell r="P1350">
            <v>0</v>
          </cell>
          <cell r="Q1350" t="str">
            <v/>
          </cell>
          <cell r="R1350" t="str">
            <v>냉동</v>
          </cell>
          <cell r="S1350" t="str">
            <v>BOX(1)</v>
          </cell>
          <cell r="T1350" t="str">
            <v/>
          </cell>
          <cell r="U1350" t="str">
            <v/>
          </cell>
          <cell r="V1350" t="str">
            <v>2018-12-14</v>
          </cell>
          <cell r="W1350" t="str">
            <v>2018-12-14 12:28:43</v>
          </cell>
          <cell r="X1350" t="str">
            <v>178921000</v>
          </cell>
        </row>
        <row r="1351">
          <cell r="A1351">
            <v>1347</v>
          </cell>
          <cell r="B1351" t="str">
            <v>2018-12-19</v>
          </cell>
          <cell r="C1351" t="str">
            <v>키즈락</v>
          </cell>
          <cell r="D1351">
            <v>0</v>
          </cell>
          <cell r="E1351" t="str">
            <v>일반</v>
          </cell>
          <cell r="F1351" t="str">
            <v>입고완료</v>
          </cell>
          <cell r="G1351">
            <v>145349</v>
          </cell>
          <cell r="H1351" t="str">
            <v>이츠웰 사골엑기스(1Kg/EA)</v>
          </cell>
          <cell r="I1351" t="str">
            <v>EA</v>
          </cell>
          <cell r="J1351">
            <v>3</v>
          </cell>
          <cell r="K1351">
            <v>3</v>
          </cell>
          <cell r="L1351">
            <v>6080</v>
          </cell>
          <cell r="M1351">
            <v>18240</v>
          </cell>
          <cell r="N1351">
            <v>1824</v>
          </cell>
          <cell r="O1351">
            <v>20064</v>
          </cell>
          <cell r="P1351">
            <v>0</v>
          </cell>
          <cell r="Q1351" t="str">
            <v>호주</v>
          </cell>
          <cell r="R1351" t="str">
            <v>실온</v>
          </cell>
          <cell r="S1351" t="str">
            <v>EA(10)</v>
          </cell>
          <cell r="T1351" t="str">
            <v/>
          </cell>
          <cell r="U1351" t="str">
            <v/>
          </cell>
          <cell r="V1351" t="str">
            <v>2018-12-17</v>
          </cell>
          <cell r="W1351" t="str">
            <v>2018-12-17 14:45:48</v>
          </cell>
          <cell r="X1351" t="str">
            <v>178921000</v>
          </cell>
        </row>
        <row r="1352">
          <cell r="A1352">
            <v>1348</v>
          </cell>
          <cell r="B1352" t="str">
            <v>2018-12-19</v>
          </cell>
          <cell r="C1352" t="str">
            <v>키즈락</v>
          </cell>
          <cell r="D1352">
            <v>0</v>
          </cell>
          <cell r="E1352" t="str">
            <v>일반</v>
          </cell>
          <cell r="F1352" t="str">
            <v>입고완료</v>
          </cell>
          <cell r="G1352">
            <v>130817</v>
          </cell>
          <cell r="H1352" t="str">
            <v>이츠웰 해물모양떡(하얀색 1Kg/EA)</v>
          </cell>
          <cell r="I1352" t="str">
            <v>EA</v>
          </cell>
          <cell r="J1352">
            <v>3</v>
          </cell>
          <cell r="K1352">
            <v>3</v>
          </cell>
          <cell r="L1352">
            <v>1480</v>
          </cell>
          <cell r="M1352">
            <v>4440</v>
          </cell>
          <cell r="N1352">
            <v>444</v>
          </cell>
          <cell r="O1352">
            <v>4884</v>
          </cell>
          <cell r="P1352">
            <v>0</v>
          </cell>
          <cell r="Q1352" t="str">
            <v>외국산</v>
          </cell>
          <cell r="R1352" t="str">
            <v>냉장</v>
          </cell>
          <cell r="S1352" t="str">
            <v>EA(10)</v>
          </cell>
          <cell r="T1352" t="str">
            <v/>
          </cell>
          <cell r="U1352" t="str">
            <v/>
          </cell>
          <cell r="V1352" t="str">
            <v>2018-12-18</v>
          </cell>
          <cell r="W1352" t="str">
            <v>2018-12-18 12:43:28</v>
          </cell>
          <cell r="X1352" t="str">
            <v>178921000</v>
          </cell>
        </row>
        <row r="1353">
          <cell r="A1353">
            <v>1349</v>
          </cell>
          <cell r="B1353" t="str">
            <v>2018-12-19</v>
          </cell>
          <cell r="C1353" t="str">
            <v>키즈락</v>
          </cell>
          <cell r="D1353">
            <v>0</v>
          </cell>
          <cell r="E1353" t="str">
            <v>일반</v>
          </cell>
          <cell r="F1353" t="str">
            <v>입고완료</v>
          </cell>
          <cell r="G1353">
            <v>401420</v>
          </cell>
          <cell r="H1353" t="str">
            <v>소앞다리(5*0.5*0.5cm 잡채용 KG)</v>
          </cell>
          <cell r="I1353" t="str">
            <v>KG</v>
          </cell>
          <cell r="J1353">
            <v>2</v>
          </cell>
          <cell r="K1353">
            <v>2</v>
          </cell>
          <cell r="L1353">
            <v>9620</v>
          </cell>
          <cell r="M1353">
            <v>19240</v>
          </cell>
          <cell r="N1353">
            <v>0</v>
          </cell>
          <cell r="O1353">
            <v>19240</v>
          </cell>
          <cell r="P1353">
            <v>0</v>
          </cell>
          <cell r="Q1353" t="str">
            <v>호주</v>
          </cell>
          <cell r="R1353" t="str">
            <v>냉동</v>
          </cell>
          <cell r="S1353" t="str">
            <v>KG(1)</v>
          </cell>
          <cell r="T1353" t="str">
            <v>893901004853</v>
          </cell>
          <cell r="U1353" t="str">
            <v/>
          </cell>
          <cell r="V1353" t="str">
            <v>2018-12-18</v>
          </cell>
          <cell r="W1353" t="str">
            <v>2018-12-18 13:23:11</v>
          </cell>
          <cell r="X1353" t="str">
            <v>178921000</v>
          </cell>
        </row>
        <row r="1354">
          <cell r="A1354">
            <v>1350</v>
          </cell>
          <cell r="B1354" t="str">
            <v>2018-12-19</v>
          </cell>
          <cell r="C1354" t="str">
            <v>키즈락</v>
          </cell>
          <cell r="D1354">
            <v>0</v>
          </cell>
          <cell r="E1354" t="str">
            <v>일반</v>
          </cell>
          <cell r="F1354" t="str">
            <v>입고완료</v>
          </cell>
          <cell r="G1354">
            <v>228884</v>
          </cell>
          <cell r="H1354" t="str">
            <v>코다리(내장제거_70~90g/토막_평균80g 80g/EA)</v>
          </cell>
          <cell r="I1354" t="str">
            <v>EA</v>
          </cell>
          <cell r="J1354">
            <v>50</v>
          </cell>
          <cell r="K1354">
            <v>50</v>
          </cell>
          <cell r="L1354">
            <v>460</v>
          </cell>
          <cell r="M1354">
            <v>23000</v>
          </cell>
          <cell r="N1354">
            <v>0</v>
          </cell>
          <cell r="O1354">
            <v>23000</v>
          </cell>
          <cell r="P1354">
            <v>0</v>
          </cell>
          <cell r="Q1354" t="str">
            <v>러시아</v>
          </cell>
          <cell r="R1354" t="str">
            <v>냉동</v>
          </cell>
          <cell r="S1354" t="str">
            <v>EA(1)</v>
          </cell>
          <cell r="T1354" t="str">
            <v/>
          </cell>
          <cell r="U1354" t="str">
            <v/>
          </cell>
          <cell r="V1354" t="str">
            <v>2018-12-18</v>
          </cell>
          <cell r="W1354" t="str">
            <v>2018-12-18 13:26:34</v>
          </cell>
          <cell r="X1354" t="str">
            <v>178921000</v>
          </cell>
        </row>
        <row r="1355">
          <cell r="A1355">
            <v>1351</v>
          </cell>
          <cell r="B1355" t="str">
            <v>2018-12-19</v>
          </cell>
          <cell r="C1355" t="str">
            <v>키즈락</v>
          </cell>
          <cell r="D1355">
            <v>0</v>
          </cell>
          <cell r="E1355" t="str">
            <v>일반</v>
          </cell>
          <cell r="F1355" t="str">
            <v>입고완료</v>
          </cell>
          <cell r="G1355">
            <v>193090</v>
          </cell>
          <cell r="H1355" t="str">
            <v>냉동감자(절단_3~4cm 1Kg/EA)</v>
          </cell>
          <cell r="I1355" t="str">
            <v>EA</v>
          </cell>
          <cell r="J1355">
            <v>10</v>
          </cell>
          <cell r="K1355">
            <v>10</v>
          </cell>
          <cell r="L1355">
            <v>1980</v>
          </cell>
          <cell r="M1355">
            <v>19800</v>
          </cell>
          <cell r="N1355">
            <v>1980</v>
          </cell>
          <cell r="O1355">
            <v>21780</v>
          </cell>
          <cell r="P1355">
            <v>0</v>
          </cell>
          <cell r="Q1355" t="str">
            <v>중국</v>
          </cell>
          <cell r="R1355" t="str">
            <v>냉동</v>
          </cell>
          <cell r="S1355" t="str">
            <v>EA(1)</v>
          </cell>
          <cell r="T1355" t="str">
            <v/>
          </cell>
          <cell r="U1355" t="str">
            <v/>
          </cell>
          <cell r="V1355" t="str">
            <v>2018-12-18</v>
          </cell>
          <cell r="W1355" t="str">
            <v>2018-12-18 13:41:26</v>
          </cell>
          <cell r="X1355" t="str">
            <v>178921000</v>
          </cell>
        </row>
        <row r="1356">
          <cell r="A1356">
            <v>1352</v>
          </cell>
          <cell r="B1356" t="str">
            <v>2018-12-19</v>
          </cell>
          <cell r="C1356" t="str">
            <v>키즈락</v>
          </cell>
          <cell r="D1356">
            <v>0</v>
          </cell>
          <cell r="E1356" t="str">
            <v>일반</v>
          </cell>
          <cell r="F1356" t="str">
            <v>입고완료</v>
          </cell>
          <cell r="G1356">
            <v>210182</v>
          </cell>
          <cell r="H1356" t="str">
            <v>냉동홍피망(다이스 1Kg/EA)</v>
          </cell>
          <cell r="I1356" t="str">
            <v>EA</v>
          </cell>
          <cell r="J1356">
            <v>10</v>
          </cell>
          <cell r="K1356">
            <v>10</v>
          </cell>
          <cell r="L1356">
            <v>2300</v>
          </cell>
          <cell r="M1356">
            <v>23000</v>
          </cell>
          <cell r="N1356">
            <v>0</v>
          </cell>
          <cell r="O1356">
            <v>23000</v>
          </cell>
          <cell r="P1356">
            <v>0</v>
          </cell>
          <cell r="Q1356" t="str">
            <v>중국</v>
          </cell>
          <cell r="R1356" t="str">
            <v>냉동</v>
          </cell>
          <cell r="S1356" t="str">
            <v>EA(1)</v>
          </cell>
          <cell r="T1356" t="str">
            <v/>
          </cell>
          <cell r="U1356" t="str">
            <v/>
          </cell>
          <cell r="V1356" t="str">
            <v>2018-12-18</v>
          </cell>
          <cell r="W1356" t="str">
            <v>2018-12-18 13:41:26</v>
          </cell>
          <cell r="X1356" t="str">
            <v>178921000</v>
          </cell>
        </row>
        <row r="1357">
          <cell r="A1357">
            <v>1353</v>
          </cell>
          <cell r="B1357" t="str">
            <v>2018-12-19</v>
          </cell>
          <cell r="C1357" t="str">
            <v>키즈락</v>
          </cell>
          <cell r="D1357">
            <v>0</v>
          </cell>
          <cell r="E1357" t="str">
            <v>일반</v>
          </cell>
          <cell r="F1357" t="str">
            <v>입고완료</v>
          </cell>
          <cell r="G1357">
            <v>206705</v>
          </cell>
          <cell r="H1357" t="str">
            <v>냉동청피망(1cm다이스 1Kg/PAC)</v>
          </cell>
          <cell r="I1357" t="str">
            <v>PAC</v>
          </cell>
          <cell r="J1357">
            <v>10</v>
          </cell>
          <cell r="K1357">
            <v>10</v>
          </cell>
          <cell r="L1357">
            <v>2110</v>
          </cell>
          <cell r="M1357">
            <v>21100</v>
          </cell>
          <cell r="N1357">
            <v>0</v>
          </cell>
          <cell r="O1357">
            <v>21100</v>
          </cell>
          <cell r="P1357">
            <v>0</v>
          </cell>
          <cell r="Q1357" t="str">
            <v>중국</v>
          </cell>
          <cell r="R1357" t="str">
            <v>냉동</v>
          </cell>
          <cell r="S1357" t="str">
            <v>PAC(1)</v>
          </cell>
          <cell r="T1357" t="str">
            <v/>
          </cell>
          <cell r="U1357" t="str">
            <v/>
          </cell>
          <cell r="V1357" t="str">
            <v>2018-12-18</v>
          </cell>
          <cell r="W1357" t="str">
            <v>2018-12-18 13:41:26</v>
          </cell>
          <cell r="X1357" t="str">
            <v>178921000</v>
          </cell>
        </row>
        <row r="1358">
          <cell r="A1358">
            <v>1354</v>
          </cell>
          <cell r="B1358" t="str">
            <v>2018-12-19</v>
          </cell>
          <cell r="C1358" t="str">
            <v>키즈락</v>
          </cell>
          <cell r="D1358">
            <v>0</v>
          </cell>
          <cell r="E1358" t="str">
            <v>일반</v>
          </cell>
          <cell r="F1358" t="str">
            <v>입고완료</v>
          </cell>
          <cell r="G1358">
            <v>319720</v>
          </cell>
          <cell r="H1358" t="str">
            <v>건파래(찢은것 500g/EA)</v>
          </cell>
          <cell r="I1358" t="str">
            <v>EA</v>
          </cell>
          <cell r="J1358">
            <v>2</v>
          </cell>
          <cell r="K1358">
            <v>2</v>
          </cell>
          <cell r="L1358">
            <v>18830</v>
          </cell>
          <cell r="M1358">
            <v>37660</v>
          </cell>
          <cell r="N1358">
            <v>0</v>
          </cell>
          <cell r="O1358">
            <v>37660</v>
          </cell>
          <cell r="P1358">
            <v>0</v>
          </cell>
          <cell r="Q1358" t="str">
            <v>한국</v>
          </cell>
          <cell r="R1358" t="str">
            <v>실온</v>
          </cell>
          <cell r="S1358" t="str">
            <v>EA(14)</v>
          </cell>
          <cell r="T1358" t="str">
            <v/>
          </cell>
          <cell r="U1358" t="str">
            <v/>
          </cell>
          <cell r="V1358" t="str">
            <v>2018-12-18</v>
          </cell>
          <cell r="W1358" t="str">
            <v>2018-12-18 13:44:33</v>
          </cell>
          <cell r="X1358" t="str">
            <v>178921000</v>
          </cell>
        </row>
        <row r="1359">
          <cell r="A1359">
            <v>1355</v>
          </cell>
          <cell r="B1359" t="str">
            <v>2018-12-19</v>
          </cell>
          <cell r="C1359" t="str">
            <v>키즈락</v>
          </cell>
          <cell r="D1359">
            <v>0</v>
          </cell>
          <cell r="E1359" t="str">
            <v>일반</v>
          </cell>
          <cell r="F1359" t="str">
            <v>입고완료</v>
          </cell>
          <cell r="G1359">
            <v>111912</v>
          </cell>
          <cell r="H1359" t="str">
            <v>이츠웰 찰당면(14Kg/EA)</v>
          </cell>
          <cell r="I1359" t="str">
            <v>BOX</v>
          </cell>
          <cell r="J1359">
            <v>1</v>
          </cell>
          <cell r="K1359">
            <v>1</v>
          </cell>
          <cell r="L1359">
            <v>34750</v>
          </cell>
          <cell r="M1359">
            <v>34750</v>
          </cell>
          <cell r="N1359">
            <v>3475</v>
          </cell>
          <cell r="O1359">
            <v>38225</v>
          </cell>
          <cell r="P1359">
            <v>0</v>
          </cell>
          <cell r="Q1359" t="str">
            <v>중국</v>
          </cell>
          <cell r="R1359" t="str">
            <v>실온</v>
          </cell>
          <cell r="S1359" t="str">
            <v>EA(1)</v>
          </cell>
          <cell r="T1359" t="str">
            <v/>
          </cell>
          <cell r="U1359" t="str">
            <v/>
          </cell>
          <cell r="V1359" t="str">
            <v>2018-12-18</v>
          </cell>
          <cell r="W1359" t="str">
            <v>2018-12-18 13:46:20</v>
          </cell>
          <cell r="X1359" t="str">
            <v>178921000</v>
          </cell>
        </row>
        <row r="1360">
          <cell r="A1360">
            <v>1356</v>
          </cell>
          <cell r="B1360" t="str">
            <v>2018-12-19</v>
          </cell>
          <cell r="C1360" t="str">
            <v>키즈락</v>
          </cell>
          <cell r="D1360">
            <v>0</v>
          </cell>
          <cell r="E1360" t="str">
            <v>일반</v>
          </cell>
          <cell r="F1360" t="str">
            <v>입고완료</v>
          </cell>
          <cell r="G1360">
            <v>200685</v>
          </cell>
          <cell r="H1360" t="str">
            <v>청피망(상품 KG)</v>
          </cell>
          <cell r="I1360" t="str">
            <v>KG</v>
          </cell>
          <cell r="J1360">
            <v>3</v>
          </cell>
          <cell r="K1360">
            <v>3</v>
          </cell>
          <cell r="L1360">
            <v>4100</v>
          </cell>
          <cell r="M1360">
            <v>12300</v>
          </cell>
          <cell r="N1360">
            <v>0</v>
          </cell>
          <cell r="O1360">
            <v>12300</v>
          </cell>
          <cell r="P1360">
            <v>0</v>
          </cell>
          <cell r="Q1360" t="str">
            <v>한국</v>
          </cell>
          <cell r="R1360" t="str">
            <v>냉장</v>
          </cell>
          <cell r="S1360" t="str">
            <v>KG(1)</v>
          </cell>
          <cell r="T1360" t="str">
            <v/>
          </cell>
          <cell r="U1360" t="str">
            <v/>
          </cell>
          <cell r="V1360" t="str">
            <v>2018-12-18</v>
          </cell>
          <cell r="W1360" t="str">
            <v>2018-12-18 13:49:12</v>
          </cell>
          <cell r="X1360" t="str">
            <v>178921000</v>
          </cell>
        </row>
        <row r="1361">
          <cell r="A1361">
            <v>1357</v>
          </cell>
          <cell r="B1361" t="str">
            <v>2018-12-19</v>
          </cell>
          <cell r="C1361" t="str">
            <v>키즈락</v>
          </cell>
          <cell r="D1361">
            <v>0</v>
          </cell>
          <cell r="E1361" t="str">
            <v>일반</v>
          </cell>
          <cell r="F1361" t="str">
            <v>입고완료</v>
          </cell>
          <cell r="G1361">
            <v>201001</v>
          </cell>
          <cell r="H1361" t="str">
            <v>빨강파프리카(상품 KG)</v>
          </cell>
          <cell r="I1361" t="str">
            <v>KG</v>
          </cell>
          <cell r="J1361">
            <v>2</v>
          </cell>
          <cell r="K1361">
            <v>2</v>
          </cell>
          <cell r="L1361">
            <v>4930</v>
          </cell>
          <cell r="M1361">
            <v>9860</v>
          </cell>
          <cell r="N1361">
            <v>0</v>
          </cell>
          <cell r="O1361">
            <v>9860</v>
          </cell>
          <cell r="P1361">
            <v>0</v>
          </cell>
          <cell r="Q1361" t="str">
            <v>한국</v>
          </cell>
          <cell r="R1361" t="str">
            <v>냉장</v>
          </cell>
          <cell r="S1361" t="str">
            <v>KG(1)</v>
          </cell>
          <cell r="T1361" t="str">
            <v/>
          </cell>
          <cell r="U1361" t="str">
            <v/>
          </cell>
          <cell r="V1361" t="str">
            <v>2018-12-18</v>
          </cell>
          <cell r="W1361" t="str">
            <v>2018-12-18 13:49:12</v>
          </cell>
          <cell r="X1361" t="str">
            <v>178921000</v>
          </cell>
        </row>
        <row r="1362">
          <cell r="A1362">
            <v>1358</v>
          </cell>
          <cell r="B1362" t="str">
            <v>2018-12-19</v>
          </cell>
          <cell r="C1362" t="str">
            <v>키즈락</v>
          </cell>
          <cell r="D1362">
            <v>0</v>
          </cell>
          <cell r="E1362" t="str">
            <v>일반</v>
          </cell>
          <cell r="F1362" t="str">
            <v>입고완료</v>
          </cell>
          <cell r="G1362">
            <v>197120</v>
          </cell>
          <cell r="H1362" t="str">
            <v>종가집 포기김치(숙성 10Kg/BOX)</v>
          </cell>
          <cell r="I1362" t="str">
            <v>BOX</v>
          </cell>
          <cell r="J1362">
            <v>2</v>
          </cell>
          <cell r="K1362">
            <v>2</v>
          </cell>
          <cell r="L1362">
            <v>31390</v>
          </cell>
          <cell r="M1362">
            <v>62780</v>
          </cell>
          <cell r="N1362">
            <v>0</v>
          </cell>
          <cell r="O1362">
            <v>62780</v>
          </cell>
          <cell r="P1362">
            <v>0</v>
          </cell>
          <cell r="Q1362" t="str">
            <v>한국</v>
          </cell>
          <cell r="R1362" t="str">
            <v>냉장</v>
          </cell>
          <cell r="S1362" t="str">
            <v>BOX(1)</v>
          </cell>
          <cell r="T1362" t="str">
            <v/>
          </cell>
          <cell r="U1362" t="str">
            <v/>
          </cell>
          <cell r="V1362" t="str">
            <v>2018-12-18</v>
          </cell>
          <cell r="W1362" t="str">
            <v>2018-12-18 14:03:42</v>
          </cell>
          <cell r="X1362" t="str">
            <v>178921000</v>
          </cell>
        </row>
        <row r="1363">
          <cell r="A1363">
            <v>1359</v>
          </cell>
          <cell r="B1363" t="str">
            <v>2018-12-19</v>
          </cell>
          <cell r="C1363" t="str">
            <v>키즈락</v>
          </cell>
          <cell r="D1363">
            <v>0</v>
          </cell>
          <cell r="E1363" t="str">
            <v>일반</v>
          </cell>
          <cell r="F1363" t="str">
            <v>입고완료</v>
          </cell>
          <cell r="G1363">
            <v>105943</v>
          </cell>
          <cell r="H1363" t="str">
            <v>대상 재래된장(지함_재래식숙성 14Kg/EA)</v>
          </cell>
          <cell r="I1363" t="str">
            <v>EA</v>
          </cell>
          <cell r="J1363">
            <v>2</v>
          </cell>
          <cell r="K1363">
            <v>2</v>
          </cell>
          <cell r="L1363">
            <v>25020</v>
          </cell>
          <cell r="M1363">
            <v>50040</v>
          </cell>
          <cell r="N1363">
            <v>5004</v>
          </cell>
          <cell r="O1363">
            <v>55044</v>
          </cell>
          <cell r="P1363">
            <v>0</v>
          </cell>
          <cell r="Q1363" t="str">
            <v/>
          </cell>
          <cell r="R1363" t="str">
            <v>실온</v>
          </cell>
          <cell r="S1363" t="str">
            <v>EA(1)</v>
          </cell>
          <cell r="T1363" t="str">
            <v/>
          </cell>
          <cell r="U1363" t="str">
            <v/>
          </cell>
          <cell r="V1363" t="str">
            <v>2018-12-18</v>
          </cell>
          <cell r="W1363" t="str">
            <v>2018-12-18 14:29:35</v>
          </cell>
          <cell r="X1363" t="str">
            <v>178921000</v>
          </cell>
        </row>
        <row r="1364">
          <cell r="A1364">
            <v>1360</v>
          </cell>
          <cell r="B1364" t="str">
            <v>2018-12-19</v>
          </cell>
          <cell r="C1364" t="str">
            <v>키즈락</v>
          </cell>
          <cell r="D1364">
            <v>0</v>
          </cell>
          <cell r="E1364" t="str">
            <v>일반</v>
          </cell>
          <cell r="F1364" t="str">
            <v>입고완료</v>
          </cell>
          <cell r="G1364">
            <v>512178</v>
          </cell>
          <cell r="H1364" t="str">
            <v>이츠웰 페이퍼타올(실속 핸드타올_4500매 BOX)</v>
          </cell>
          <cell r="I1364" t="str">
            <v>BOX</v>
          </cell>
          <cell r="J1364">
            <v>1</v>
          </cell>
          <cell r="K1364">
            <v>1</v>
          </cell>
          <cell r="L1364">
            <v>19720</v>
          </cell>
          <cell r="M1364">
            <v>19720</v>
          </cell>
          <cell r="N1364">
            <v>1972</v>
          </cell>
          <cell r="O1364">
            <v>21692</v>
          </cell>
          <cell r="P1364">
            <v>0</v>
          </cell>
          <cell r="Q1364" t="str">
            <v/>
          </cell>
          <cell r="R1364" t="str">
            <v>실온</v>
          </cell>
          <cell r="S1364" t="str">
            <v>BOX(1)</v>
          </cell>
          <cell r="T1364" t="str">
            <v/>
          </cell>
          <cell r="U1364" t="str">
            <v/>
          </cell>
          <cell r="V1364" t="str">
            <v>2018-12-18</v>
          </cell>
          <cell r="W1364" t="str">
            <v>2018-12-18 14:53:56</v>
          </cell>
          <cell r="X1364" t="str">
            <v>178921000</v>
          </cell>
        </row>
        <row r="1365">
          <cell r="A1365">
            <v>1361</v>
          </cell>
          <cell r="B1365" t="str">
            <v>2018-12-18</v>
          </cell>
          <cell r="C1365">
            <v>0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</row>
        <row r="1366">
          <cell r="A1366">
            <v>1362</v>
          </cell>
          <cell r="B1366" t="str">
            <v>2018-12-18</v>
          </cell>
          <cell r="C1366" t="str">
            <v>키즈락</v>
          </cell>
          <cell r="D1366">
            <v>0</v>
          </cell>
          <cell r="E1366" t="str">
            <v>일반</v>
          </cell>
          <cell r="F1366" t="str">
            <v>입고완료</v>
          </cell>
          <cell r="G1366">
            <v>252628</v>
          </cell>
          <cell r="H1366" t="str">
            <v>세척사과(210~250g내외/개 230g/EA)</v>
          </cell>
          <cell r="I1366" t="str">
            <v>EA</v>
          </cell>
          <cell r="J1366">
            <v>12</v>
          </cell>
          <cell r="K1366">
            <v>12</v>
          </cell>
          <cell r="L1366">
            <v>1000</v>
          </cell>
          <cell r="M1366">
            <v>12000</v>
          </cell>
          <cell r="N1366">
            <v>0</v>
          </cell>
          <cell r="O1366">
            <v>12000</v>
          </cell>
          <cell r="P1366">
            <v>0</v>
          </cell>
          <cell r="Q1366" t="str">
            <v>한국</v>
          </cell>
          <cell r="R1366" t="str">
            <v>냉장</v>
          </cell>
          <cell r="S1366" t="str">
            <v>EA(1)</v>
          </cell>
          <cell r="T1366" t="str">
            <v/>
          </cell>
          <cell r="U1366" t="str">
            <v/>
          </cell>
          <cell r="V1366" t="str">
            <v>2018-12-14</v>
          </cell>
          <cell r="W1366" t="str">
            <v>2018-12-14 12:18:43</v>
          </cell>
          <cell r="X1366" t="str">
            <v>178921000</v>
          </cell>
        </row>
        <row r="1367">
          <cell r="A1367">
            <v>1363</v>
          </cell>
          <cell r="B1367" t="str">
            <v>2018-12-18</v>
          </cell>
          <cell r="C1367" t="str">
            <v>키즈락</v>
          </cell>
          <cell r="D1367">
            <v>0</v>
          </cell>
          <cell r="E1367" t="str">
            <v>일반</v>
          </cell>
          <cell r="F1367" t="str">
            <v>입고완료</v>
          </cell>
          <cell r="G1367">
            <v>408633</v>
          </cell>
          <cell r="H1367" t="str">
            <v>자연애찬 구운계란(35g*30입 1.05Kg/PAC)</v>
          </cell>
          <cell r="I1367" t="str">
            <v>PAC</v>
          </cell>
          <cell r="J1367">
            <v>11</v>
          </cell>
          <cell r="K1367">
            <v>11</v>
          </cell>
          <cell r="L1367">
            <v>5000</v>
          </cell>
          <cell r="M1367">
            <v>55000</v>
          </cell>
          <cell r="N1367">
            <v>5500</v>
          </cell>
          <cell r="O1367">
            <v>60500</v>
          </cell>
          <cell r="P1367">
            <v>0</v>
          </cell>
          <cell r="Q1367" t="str">
            <v>한국</v>
          </cell>
          <cell r="R1367" t="str">
            <v>실온</v>
          </cell>
          <cell r="S1367" t="str">
            <v>PAC(1)</v>
          </cell>
          <cell r="T1367" t="str">
            <v/>
          </cell>
          <cell r="U1367" t="str">
            <v/>
          </cell>
          <cell r="V1367" t="str">
            <v>2018-12-14</v>
          </cell>
          <cell r="W1367" t="str">
            <v>2018-12-14 12:23:16</v>
          </cell>
          <cell r="X1367" t="str">
            <v>178921000</v>
          </cell>
        </row>
        <row r="1368">
          <cell r="A1368">
            <v>1364</v>
          </cell>
          <cell r="B1368" t="str">
            <v>2018-12-18</v>
          </cell>
          <cell r="C1368" t="str">
            <v>키즈락</v>
          </cell>
          <cell r="D1368">
            <v>0</v>
          </cell>
          <cell r="E1368" t="str">
            <v>일반</v>
          </cell>
          <cell r="F1368" t="str">
            <v>입고완료</v>
          </cell>
          <cell r="G1368">
            <v>159126</v>
          </cell>
          <cell r="H1368" t="str">
            <v>건강마을 플리또주스(100ml_유기농_포도 100g/EA)</v>
          </cell>
          <cell r="I1368" t="str">
            <v>BOX</v>
          </cell>
          <cell r="J1368">
            <v>6</v>
          </cell>
          <cell r="K1368">
            <v>6</v>
          </cell>
          <cell r="L1368">
            <v>17600</v>
          </cell>
          <cell r="M1368">
            <v>105600</v>
          </cell>
          <cell r="N1368">
            <v>10560</v>
          </cell>
          <cell r="O1368">
            <v>116160</v>
          </cell>
          <cell r="P1368">
            <v>0</v>
          </cell>
          <cell r="Q1368" t="str">
            <v/>
          </cell>
          <cell r="R1368" t="str">
            <v>실온</v>
          </cell>
          <cell r="S1368" t="str">
            <v>EA(40)</v>
          </cell>
          <cell r="T1368" t="str">
            <v/>
          </cell>
          <cell r="U1368" t="str">
            <v/>
          </cell>
          <cell r="V1368" t="str">
            <v>2018-12-14</v>
          </cell>
          <cell r="W1368" t="str">
            <v>2018-12-14 12:24:38</v>
          </cell>
          <cell r="X1368" t="str">
            <v>178921000</v>
          </cell>
        </row>
        <row r="1369">
          <cell r="A1369">
            <v>1365</v>
          </cell>
          <cell r="B1369" t="str">
            <v>2018-12-18</v>
          </cell>
          <cell r="C1369" t="str">
            <v>키즈락</v>
          </cell>
          <cell r="D1369">
            <v>0</v>
          </cell>
          <cell r="E1369" t="str">
            <v>일반</v>
          </cell>
          <cell r="F1369" t="str">
            <v>입고완료</v>
          </cell>
          <cell r="G1369">
            <v>190365</v>
          </cell>
          <cell r="H1369" t="str">
            <v>상하목장 떠먹는요거트(유기농_플레인 400g/EA)</v>
          </cell>
          <cell r="I1369" t="str">
            <v>EA</v>
          </cell>
          <cell r="J1369">
            <v>5</v>
          </cell>
          <cell r="K1369">
            <v>5</v>
          </cell>
          <cell r="L1369">
            <v>2490</v>
          </cell>
          <cell r="M1369">
            <v>12450</v>
          </cell>
          <cell r="N1369">
            <v>1245</v>
          </cell>
          <cell r="O1369">
            <v>13695</v>
          </cell>
          <cell r="P1369">
            <v>0</v>
          </cell>
          <cell r="Q1369" t="str">
            <v/>
          </cell>
          <cell r="R1369" t="str">
            <v>냉장</v>
          </cell>
          <cell r="S1369" t="str">
            <v>EA(1)</v>
          </cell>
          <cell r="T1369" t="str">
            <v/>
          </cell>
          <cell r="U1369" t="str">
            <v/>
          </cell>
          <cell r="V1369" t="str">
            <v>2018-12-14</v>
          </cell>
          <cell r="W1369" t="str">
            <v>2018-12-14 12:26:33</v>
          </cell>
          <cell r="X1369" t="str">
            <v>178921000</v>
          </cell>
        </row>
        <row r="1370">
          <cell r="A1370">
            <v>1366</v>
          </cell>
          <cell r="B1370" t="str">
            <v>2018-12-18</v>
          </cell>
          <cell r="C1370" t="str">
            <v>키즈락</v>
          </cell>
          <cell r="D1370">
            <v>0</v>
          </cell>
          <cell r="E1370" t="str">
            <v>일반</v>
          </cell>
          <cell r="F1370" t="str">
            <v>입고완료</v>
          </cell>
          <cell r="G1370">
            <v>206572</v>
          </cell>
          <cell r="H1370" t="str">
            <v>깐밤(상품 1Kg/PAC)</v>
          </cell>
          <cell r="I1370" t="str">
            <v>PAC</v>
          </cell>
          <cell r="J1370">
            <v>8</v>
          </cell>
          <cell r="K1370">
            <v>8</v>
          </cell>
          <cell r="L1370">
            <v>12850</v>
          </cell>
          <cell r="M1370">
            <v>102800</v>
          </cell>
          <cell r="N1370">
            <v>0</v>
          </cell>
          <cell r="O1370">
            <v>102800</v>
          </cell>
          <cell r="P1370">
            <v>0</v>
          </cell>
          <cell r="Q1370" t="str">
            <v>한국</v>
          </cell>
          <cell r="R1370" t="str">
            <v>냉장</v>
          </cell>
          <cell r="S1370" t="str">
            <v>PAC(1)</v>
          </cell>
          <cell r="T1370" t="str">
            <v/>
          </cell>
          <cell r="U1370" t="str">
            <v/>
          </cell>
          <cell r="V1370" t="str">
            <v>2018-12-17</v>
          </cell>
          <cell r="W1370" t="str">
            <v>2018-12-17 10:54:56</v>
          </cell>
          <cell r="X1370" t="str">
            <v>178921000</v>
          </cell>
        </row>
        <row r="1371">
          <cell r="A1371">
            <v>1367</v>
          </cell>
          <cell r="B1371" t="str">
            <v>2018-12-18</v>
          </cell>
          <cell r="C1371" t="str">
            <v>키즈락</v>
          </cell>
          <cell r="D1371">
            <v>0</v>
          </cell>
          <cell r="E1371" t="str">
            <v>일반</v>
          </cell>
          <cell r="F1371" t="str">
            <v>입고완료</v>
          </cell>
          <cell r="G1371">
            <v>195425</v>
          </cell>
          <cell r="H1371" t="str">
            <v>세미원푸드 고구마야채튀김(55±5g*50±5개입 3Kg/EA)</v>
          </cell>
          <cell r="I1371" t="str">
            <v>EA</v>
          </cell>
          <cell r="J1371">
            <v>3</v>
          </cell>
          <cell r="K1371">
            <v>3</v>
          </cell>
          <cell r="L1371">
            <v>17400</v>
          </cell>
          <cell r="M1371">
            <v>52200</v>
          </cell>
          <cell r="N1371">
            <v>5220</v>
          </cell>
          <cell r="O1371">
            <v>57420</v>
          </cell>
          <cell r="P1371">
            <v>0</v>
          </cell>
          <cell r="Q1371" t="str">
            <v>한국</v>
          </cell>
          <cell r="R1371" t="str">
            <v>냉동</v>
          </cell>
          <cell r="S1371" t="str">
            <v>EA(1)</v>
          </cell>
          <cell r="T1371" t="str">
            <v/>
          </cell>
          <cell r="U1371" t="str">
            <v/>
          </cell>
          <cell r="V1371" t="str">
            <v>2018-12-17</v>
          </cell>
          <cell r="W1371" t="str">
            <v>2018-12-17 10:57:57</v>
          </cell>
          <cell r="X1371" t="str">
            <v>178921000</v>
          </cell>
        </row>
        <row r="1372">
          <cell r="A1372">
            <v>1368</v>
          </cell>
          <cell r="B1372" t="str">
            <v>2018-12-18</v>
          </cell>
          <cell r="C1372" t="str">
            <v>키즈락</v>
          </cell>
          <cell r="D1372">
            <v>0</v>
          </cell>
          <cell r="E1372" t="str">
            <v>일반</v>
          </cell>
          <cell r="F1372" t="str">
            <v>입고완료</v>
          </cell>
          <cell r="G1372">
            <v>223307</v>
          </cell>
          <cell r="H1372" t="str">
            <v>냉동얼갈이(IQF 1Kg/EA)</v>
          </cell>
          <cell r="I1372" t="str">
            <v>EA</v>
          </cell>
          <cell r="J1372">
            <v>90</v>
          </cell>
          <cell r="K1372">
            <v>90</v>
          </cell>
          <cell r="L1372">
            <v>1630</v>
          </cell>
          <cell r="M1372">
            <v>146700</v>
          </cell>
          <cell r="N1372">
            <v>14670</v>
          </cell>
          <cell r="O1372">
            <v>161370</v>
          </cell>
          <cell r="P1372">
            <v>0</v>
          </cell>
          <cell r="Q1372" t="str">
            <v>중국</v>
          </cell>
          <cell r="R1372" t="str">
            <v>냉동</v>
          </cell>
          <cell r="S1372" t="str">
            <v>EA(1)</v>
          </cell>
          <cell r="T1372" t="str">
            <v/>
          </cell>
          <cell r="U1372" t="str">
            <v/>
          </cell>
          <cell r="V1372" t="str">
            <v>2018-12-17</v>
          </cell>
          <cell r="W1372" t="str">
            <v>2018-12-17 10:59:10</v>
          </cell>
          <cell r="X1372" t="str">
            <v>178921000</v>
          </cell>
        </row>
        <row r="1373">
          <cell r="A1373">
            <v>1369</v>
          </cell>
          <cell r="B1373" t="str">
            <v>2018-12-18</v>
          </cell>
          <cell r="C1373" t="str">
            <v>키즈락</v>
          </cell>
          <cell r="D1373">
            <v>0</v>
          </cell>
          <cell r="E1373" t="str">
            <v>일반</v>
          </cell>
          <cell r="F1373" t="str">
            <v>입고완료</v>
          </cell>
          <cell r="G1373">
            <v>193090</v>
          </cell>
          <cell r="H1373" t="str">
            <v>냉동감자(절단_3~4cm 1Kg/EA)</v>
          </cell>
          <cell r="I1373" t="str">
            <v>EA</v>
          </cell>
          <cell r="J1373">
            <v>10</v>
          </cell>
          <cell r="K1373">
            <v>10</v>
          </cell>
          <cell r="L1373">
            <v>1980</v>
          </cell>
          <cell r="M1373">
            <v>19800</v>
          </cell>
          <cell r="N1373">
            <v>1980</v>
          </cell>
          <cell r="O1373">
            <v>21780</v>
          </cell>
          <cell r="P1373">
            <v>0</v>
          </cell>
          <cell r="Q1373" t="str">
            <v>중국</v>
          </cell>
          <cell r="R1373" t="str">
            <v>냉동</v>
          </cell>
          <cell r="S1373" t="str">
            <v>EA(1)</v>
          </cell>
          <cell r="T1373" t="str">
            <v/>
          </cell>
          <cell r="U1373" t="str">
            <v/>
          </cell>
          <cell r="V1373" t="str">
            <v>2018-12-17</v>
          </cell>
          <cell r="W1373" t="str">
            <v>2018-12-17 11:41:33</v>
          </cell>
          <cell r="X1373" t="str">
            <v>178921000</v>
          </cell>
        </row>
        <row r="1374">
          <cell r="A1374">
            <v>1370</v>
          </cell>
          <cell r="B1374" t="str">
            <v>2018-12-18</v>
          </cell>
          <cell r="C1374" t="str">
            <v>키즈락</v>
          </cell>
          <cell r="D1374">
            <v>0</v>
          </cell>
          <cell r="E1374" t="str">
            <v>일반</v>
          </cell>
          <cell r="F1374" t="str">
            <v>입고완료</v>
          </cell>
          <cell r="G1374">
            <v>204973</v>
          </cell>
          <cell r="H1374" t="str">
            <v>냉동대파(1Kg/PAC)</v>
          </cell>
          <cell r="I1374" t="str">
            <v>PAC</v>
          </cell>
          <cell r="J1374">
            <v>20</v>
          </cell>
          <cell r="K1374">
            <v>20</v>
          </cell>
          <cell r="L1374">
            <v>1400</v>
          </cell>
          <cell r="M1374">
            <v>28000</v>
          </cell>
          <cell r="N1374">
            <v>0</v>
          </cell>
          <cell r="O1374">
            <v>28000</v>
          </cell>
          <cell r="P1374">
            <v>0</v>
          </cell>
          <cell r="Q1374" t="str">
            <v>중국</v>
          </cell>
          <cell r="R1374" t="str">
            <v>냉동</v>
          </cell>
          <cell r="S1374" t="str">
            <v>PAC(1)</v>
          </cell>
          <cell r="T1374" t="str">
            <v/>
          </cell>
          <cell r="U1374" t="str">
            <v/>
          </cell>
          <cell r="V1374" t="str">
            <v>2018-12-17</v>
          </cell>
          <cell r="W1374" t="str">
            <v>2018-12-17 11:42:08</v>
          </cell>
          <cell r="X1374" t="str">
            <v>178921000</v>
          </cell>
        </row>
        <row r="1375">
          <cell r="A1375">
            <v>1371</v>
          </cell>
          <cell r="B1375" t="str">
            <v>2018-12-18</v>
          </cell>
          <cell r="C1375" t="str">
            <v>키즈락</v>
          </cell>
          <cell r="D1375">
            <v>0</v>
          </cell>
          <cell r="E1375" t="str">
            <v>일반</v>
          </cell>
          <cell r="F1375" t="str">
            <v>입고완료</v>
          </cell>
          <cell r="G1375">
            <v>215857</v>
          </cell>
          <cell r="H1375" t="str">
            <v>냉동다진마늘(1Kg/EA)</v>
          </cell>
          <cell r="I1375" t="str">
            <v>EA</v>
          </cell>
          <cell r="J1375">
            <v>20</v>
          </cell>
          <cell r="K1375">
            <v>20</v>
          </cell>
          <cell r="L1375">
            <v>2730</v>
          </cell>
          <cell r="M1375">
            <v>54600</v>
          </cell>
          <cell r="N1375">
            <v>0</v>
          </cell>
          <cell r="O1375">
            <v>54600</v>
          </cell>
          <cell r="P1375">
            <v>0</v>
          </cell>
          <cell r="Q1375" t="str">
            <v>중국</v>
          </cell>
          <cell r="R1375" t="str">
            <v>냉동</v>
          </cell>
          <cell r="S1375" t="str">
            <v>EA(10)</v>
          </cell>
          <cell r="T1375" t="str">
            <v/>
          </cell>
          <cell r="U1375" t="str">
            <v/>
          </cell>
          <cell r="V1375" t="str">
            <v>2018-12-17</v>
          </cell>
          <cell r="W1375" t="str">
            <v>2018-12-17 11:42:08</v>
          </cell>
          <cell r="X1375" t="str">
            <v>178921000</v>
          </cell>
        </row>
        <row r="1376">
          <cell r="A1376">
            <v>1372</v>
          </cell>
          <cell r="B1376" t="str">
            <v>2018-12-18</v>
          </cell>
          <cell r="C1376" t="str">
            <v>키즈락</v>
          </cell>
          <cell r="D1376">
            <v>0</v>
          </cell>
          <cell r="E1376" t="str">
            <v>일반</v>
          </cell>
          <cell r="F1376" t="str">
            <v>입고완료</v>
          </cell>
          <cell r="G1376">
            <v>100111</v>
          </cell>
          <cell r="H1376" t="str">
            <v>백설 밀가루(중력_2등 20Kg/EA)</v>
          </cell>
          <cell r="I1376" t="str">
            <v>EA</v>
          </cell>
          <cell r="J1376">
            <v>1</v>
          </cell>
          <cell r="K1376">
            <v>1</v>
          </cell>
          <cell r="L1376">
            <v>9890</v>
          </cell>
          <cell r="M1376">
            <v>9890</v>
          </cell>
          <cell r="N1376">
            <v>0</v>
          </cell>
          <cell r="O1376">
            <v>9890</v>
          </cell>
          <cell r="P1376">
            <v>0</v>
          </cell>
          <cell r="Q1376" t="str">
            <v/>
          </cell>
          <cell r="R1376" t="str">
            <v>실온</v>
          </cell>
          <cell r="S1376" t="str">
            <v>EA(1)</v>
          </cell>
          <cell r="T1376" t="str">
            <v/>
          </cell>
          <cell r="U1376" t="str">
            <v/>
          </cell>
          <cell r="V1376" t="str">
            <v>2018-12-17</v>
          </cell>
          <cell r="W1376" t="str">
            <v>2018-12-17 11:43:35</v>
          </cell>
          <cell r="X1376" t="str">
            <v>178921000</v>
          </cell>
        </row>
        <row r="1377">
          <cell r="A1377">
            <v>1373</v>
          </cell>
          <cell r="B1377" t="str">
            <v>2018-12-18</v>
          </cell>
          <cell r="C1377" t="str">
            <v>키즈락</v>
          </cell>
          <cell r="D1377">
            <v>0</v>
          </cell>
          <cell r="E1377" t="str">
            <v>일반</v>
          </cell>
          <cell r="F1377" t="str">
            <v>입고완료</v>
          </cell>
          <cell r="G1377">
            <v>109654</v>
          </cell>
          <cell r="H1377" t="str">
            <v>백설 부침가루(2Kg/EA)</v>
          </cell>
          <cell r="I1377" t="str">
            <v>EA</v>
          </cell>
          <cell r="J1377">
            <v>10</v>
          </cell>
          <cell r="K1377">
            <v>10</v>
          </cell>
          <cell r="L1377">
            <v>2760</v>
          </cell>
          <cell r="M1377">
            <v>27600</v>
          </cell>
          <cell r="N1377">
            <v>2760</v>
          </cell>
          <cell r="O1377">
            <v>30360</v>
          </cell>
          <cell r="P1377">
            <v>0</v>
          </cell>
          <cell r="Q1377" t="str">
            <v/>
          </cell>
          <cell r="R1377" t="str">
            <v>실온</v>
          </cell>
          <cell r="S1377" t="str">
            <v>EA(6)</v>
          </cell>
          <cell r="T1377" t="str">
            <v/>
          </cell>
          <cell r="U1377" t="str">
            <v/>
          </cell>
          <cell r="V1377" t="str">
            <v>2018-12-17</v>
          </cell>
          <cell r="W1377" t="str">
            <v>2018-12-17 11:43:56</v>
          </cell>
          <cell r="X1377" t="str">
            <v>178921000</v>
          </cell>
        </row>
        <row r="1378">
          <cell r="A1378">
            <v>1374</v>
          </cell>
          <cell r="B1378" t="str">
            <v>2018-12-18</v>
          </cell>
          <cell r="C1378" t="str">
            <v>키즈락</v>
          </cell>
          <cell r="D1378">
            <v>0</v>
          </cell>
          <cell r="E1378" t="str">
            <v>일반</v>
          </cell>
          <cell r="F1378" t="str">
            <v>입고완료</v>
          </cell>
          <cell r="G1378">
            <v>172183</v>
          </cell>
          <cell r="H1378" t="str">
            <v>이츠웰 미니돈까스(72±5입 1Kg/EA)</v>
          </cell>
          <cell r="I1378" t="str">
            <v>EA</v>
          </cell>
          <cell r="J1378">
            <v>30</v>
          </cell>
          <cell r="K1378">
            <v>30</v>
          </cell>
          <cell r="L1378">
            <v>2770</v>
          </cell>
          <cell r="M1378">
            <v>83100</v>
          </cell>
          <cell r="N1378">
            <v>8310</v>
          </cell>
          <cell r="O1378">
            <v>91410</v>
          </cell>
          <cell r="P1378">
            <v>0</v>
          </cell>
          <cell r="Q1378" t="str">
            <v/>
          </cell>
          <cell r="R1378" t="str">
            <v>냉동</v>
          </cell>
          <cell r="S1378" t="str">
            <v>EA(10)</v>
          </cell>
          <cell r="T1378" t="str">
            <v/>
          </cell>
          <cell r="U1378" t="str">
            <v/>
          </cell>
          <cell r="V1378" t="str">
            <v>2018-12-17</v>
          </cell>
          <cell r="W1378" t="str">
            <v>2018-12-17 11:51:45</v>
          </cell>
          <cell r="X1378" t="str">
            <v>178921000</v>
          </cell>
        </row>
        <row r="1379">
          <cell r="A1379">
            <v>1375</v>
          </cell>
          <cell r="B1379" t="str">
            <v>2018-12-18</v>
          </cell>
          <cell r="C1379" t="str">
            <v>키즈락</v>
          </cell>
          <cell r="D1379">
            <v>0</v>
          </cell>
          <cell r="E1379" t="str">
            <v>일반</v>
          </cell>
          <cell r="F1379" t="str">
            <v>입고완료</v>
          </cell>
          <cell r="G1379">
            <v>197120</v>
          </cell>
          <cell r="H1379" t="str">
            <v>종가집 포기김치(숙성 10Kg/BOX)</v>
          </cell>
          <cell r="I1379" t="str">
            <v>BOX</v>
          </cell>
          <cell r="J1379">
            <v>2</v>
          </cell>
          <cell r="K1379">
            <v>2</v>
          </cell>
          <cell r="L1379">
            <v>31390</v>
          </cell>
          <cell r="M1379">
            <v>62780</v>
          </cell>
          <cell r="N1379">
            <v>0</v>
          </cell>
          <cell r="O1379">
            <v>62780</v>
          </cell>
          <cell r="P1379">
            <v>0</v>
          </cell>
          <cell r="Q1379" t="str">
            <v>한국</v>
          </cell>
          <cell r="R1379" t="str">
            <v>냉장</v>
          </cell>
          <cell r="S1379" t="str">
            <v>BOX(1)</v>
          </cell>
          <cell r="T1379" t="str">
            <v/>
          </cell>
          <cell r="U1379" t="str">
            <v/>
          </cell>
          <cell r="V1379" t="str">
            <v>2018-12-17</v>
          </cell>
          <cell r="W1379" t="str">
            <v>2018-12-17 12:01:47</v>
          </cell>
          <cell r="X1379" t="str">
            <v>178921000</v>
          </cell>
        </row>
        <row r="1380">
          <cell r="A1380">
            <v>1376</v>
          </cell>
          <cell r="B1380" t="str">
            <v>2018-12-18</v>
          </cell>
          <cell r="C1380" t="str">
            <v>키즈락</v>
          </cell>
          <cell r="D1380">
            <v>0</v>
          </cell>
          <cell r="E1380" t="str">
            <v>일반</v>
          </cell>
          <cell r="F1380" t="str">
            <v>입고완료</v>
          </cell>
          <cell r="G1380">
            <v>142565</v>
          </cell>
          <cell r="H1380" t="str">
            <v>반찬단지 고들빼기무침(1Kg/EA)</v>
          </cell>
          <cell r="I1380" t="str">
            <v>EA</v>
          </cell>
          <cell r="J1380">
            <v>2</v>
          </cell>
          <cell r="K1380">
            <v>2</v>
          </cell>
          <cell r="L1380">
            <v>4220</v>
          </cell>
          <cell r="M1380">
            <v>8440</v>
          </cell>
          <cell r="N1380">
            <v>844</v>
          </cell>
          <cell r="O1380">
            <v>9284</v>
          </cell>
          <cell r="P1380">
            <v>0</v>
          </cell>
          <cell r="Q1380" t="str">
            <v>중국</v>
          </cell>
          <cell r="R1380" t="str">
            <v>냉장</v>
          </cell>
          <cell r="S1380" t="str">
            <v>EA(10)</v>
          </cell>
          <cell r="T1380" t="str">
            <v/>
          </cell>
          <cell r="U1380" t="str">
            <v/>
          </cell>
          <cell r="V1380" t="str">
            <v>2018-12-17</v>
          </cell>
          <cell r="W1380" t="str">
            <v>2018-12-17 13:20:56</v>
          </cell>
          <cell r="X1380" t="str">
            <v>178921000</v>
          </cell>
        </row>
        <row r="1381">
          <cell r="A1381">
            <v>1377</v>
          </cell>
          <cell r="B1381" t="str">
            <v>2018-12-18</v>
          </cell>
          <cell r="C1381" t="str">
            <v>키즈락</v>
          </cell>
          <cell r="D1381">
            <v>0</v>
          </cell>
          <cell r="E1381" t="str">
            <v>일반</v>
          </cell>
          <cell r="F1381" t="str">
            <v>입고완료</v>
          </cell>
          <cell r="G1381">
            <v>123868</v>
          </cell>
          <cell r="H1381" t="str">
            <v>염장연근(슬라이스 KG)</v>
          </cell>
          <cell r="I1381" t="str">
            <v>KG</v>
          </cell>
          <cell r="J1381">
            <v>2</v>
          </cell>
          <cell r="K1381">
            <v>2</v>
          </cell>
          <cell r="L1381">
            <v>3370</v>
          </cell>
          <cell r="M1381">
            <v>6740</v>
          </cell>
          <cell r="N1381">
            <v>674</v>
          </cell>
          <cell r="O1381">
            <v>7414</v>
          </cell>
          <cell r="P1381">
            <v>0</v>
          </cell>
          <cell r="Q1381" t="str">
            <v>중국</v>
          </cell>
          <cell r="R1381" t="str">
            <v>냉장</v>
          </cell>
          <cell r="S1381" t="str">
            <v>KG(1)</v>
          </cell>
          <cell r="T1381" t="str">
            <v/>
          </cell>
          <cell r="U1381" t="str">
            <v/>
          </cell>
          <cell r="V1381" t="str">
            <v>2018-12-17</v>
          </cell>
          <cell r="W1381" t="str">
            <v>2018-12-17 13:22:35</v>
          </cell>
          <cell r="X1381" t="str">
            <v>178921000</v>
          </cell>
        </row>
        <row r="1382">
          <cell r="A1382">
            <v>1378</v>
          </cell>
          <cell r="B1382" t="str">
            <v>2018-12-18</v>
          </cell>
          <cell r="C1382" t="str">
            <v>키즈락</v>
          </cell>
          <cell r="D1382">
            <v>0</v>
          </cell>
          <cell r="E1382" t="str">
            <v>일반</v>
          </cell>
          <cell r="F1382" t="str">
            <v>입고완료</v>
          </cell>
          <cell r="G1382">
            <v>192878</v>
          </cell>
          <cell r="H1382" t="str">
            <v>소이원 콩나물(곱슬이_단채 KG)</v>
          </cell>
          <cell r="I1382" t="str">
            <v>KG</v>
          </cell>
          <cell r="J1382">
            <v>1</v>
          </cell>
          <cell r="K1382">
            <v>1</v>
          </cell>
          <cell r="L1382">
            <v>930</v>
          </cell>
          <cell r="M1382">
            <v>930</v>
          </cell>
          <cell r="N1382">
            <v>0</v>
          </cell>
          <cell r="O1382">
            <v>930</v>
          </cell>
          <cell r="P1382">
            <v>0</v>
          </cell>
          <cell r="Q1382" t="str">
            <v>외국산</v>
          </cell>
          <cell r="R1382" t="str">
            <v>냉장</v>
          </cell>
          <cell r="S1382" t="str">
            <v>KG(1)</v>
          </cell>
          <cell r="T1382" t="str">
            <v/>
          </cell>
          <cell r="U1382" t="str">
            <v/>
          </cell>
          <cell r="V1382" t="str">
            <v>2018-12-17</v>
          </cell>
          <cell r="W1382" t="str">
            <v>2018-12-17 13:26:23</v>
          </cell>
          <cell r="X1382" t="str">
            <v>178921000</v>
          </cell>
        </row>
        <row r="1383">
          <cell r="A1383">
            <v>1379</v>
          </cell>
          <cell r="B1383" t="str">
            <v>2018-12-18</v>
          </cell>
          <cell r="C1383" t="str">
            <v>키즈락</v>
          </cell>
          <cell r="D1383">
            <v>0</v>
          </cell>
          <cell r="E1383" t="str">
            <v>일반</v>
          </cell>
          <cell r="F1383" t="str">
            <v>입고완료</v>
          </cell>
          <cell r="G1383">
            <v>114208</v>
          </cell>
          <cell r="H1383" t="str">
            <v>오뚜기 고추맛기름(1.5L 1.375Kg/EA)</v>
          </cell>
          <cell r="I1383" t="str">
            <v>EA</v>
          </cell>
          <cell r="J1383">
            <v>1</v>
          </cell>
          <cell r="K1383">
            <v>1</v>
          </cell>
          <cell r="L1383">
            <v>7440</v>
          </cell>
          <cell r="M1383">
            <v>7440</v>
          </cell>
          <cell r="N1383">
            <v>744</v>
          </cell>
          <cell r="O1383">
            <v>8184</v>
          </cell>
          <cell r="P1383">
            <v>0</v>
          </cell>
          <cell r="Q1383" t="str">
            <v/>
          </cell>
          <cell r="R1383" t="str">
            <v>실온</v>
          </cell>
          <cell r="S1383" t="str">
            <v>EA(12)</v>
          </cell>
          <cell r="T1383" t="str">
            <v/>
          </cell>
          <cell r="U1383" t="str">
            <v/>
          </cell>
          <cell r="V1383" t="str">
            <v>2018-12-17</v>
          </cell>
          <cell r="W1383" t="str">
            <v>2018-12-17 13:28:44</v>
          </cell>
          <cell r="X1383" t="str">
            <v>178921000</v>
          </cell>
        </row>
        <row r="1384">
          <cell r="A1384">
            <v>1380</v>
          </cell>
          <cell r="B1384" t="str">
            <v>2018-12-18</v>
          </cell>
          <cell r="C1384" t="str">
            <v>키즈락</v>
          </cell>
          <cell r="D1384">
            <v>0</v>
          </cell>
          <cell r="E1384" t="str">
            <v>일반</v>
          </cell>
          <cell r="F1384" t="str">
            <v>입고완료</v>
          </cell>
          <cell r="G1384">
            <v>208502</v>
          </cell>
          <cell r="H1384" t="str">
            <v>세척당근(3L 10Kg/EA)</v>
          </cell>
          <cell r="I1384" t="str">
            <v>EA</v>
          </cell>
          <cell r="J1384">
            <v>1</v>
          </cell>
          <cell r="K1384">
            <v>1</v>
          </cell>
          <cell r="L1384">
            <v>11980</v>
          </cell>
          <cell r="M1384">
            <v>11980</v>
          </cell>
          <cell r="N1384">
            <v>0</v>
          </cell>
          <cell r="O1384">
            <v>11980</v>
          </cell>
          <cell r="P1384">
            <v>0</v>
          </cell>
          <cell r="Q1384" t="str">
            <v>중국</v>
          </cell>
          <cell r="R1384" t="str">
            <v>실온</v>
          </cell>
          <cell r="S1384" t="str">
            <v>EA(1)</v>
          </cell>
          <cell r="T1384" t="str">
            <v/>
          </cell>
          <cell r="U1384" t="str">
            <v/>
          </cell>
          <cell r="V1384" t="str">
            <v>2018-12-17</v>
          </cell>
          <cell r="W1384" t="str">
            <v>2018-12-17 13:34:35</v>
          </cell>
          <cell r="X1384" t="str">
            <v>178921000</v>
          </cell>
        </row>
        <row r="1385">
          <cell r="A1385">
            <v>1381</v>
          </cell>
          <cell r="B1385" t="str">
            <v>2018-12-18</v>
          </cell>
          <cell r="C1385" t="str">
            <v>키즈락</v>
          </cell>
          <cell r="D1385">
            <v>0</v>
          </cell>
          <cell r="E1385" t="str">
            <v>일반</v>
          </cell>
          <cell r="F1385" t="str">
            <v>입고완료</v>
          </cell>
          <cell r="G1385">
            <v>140438</v>
          </cell>
          <cell r="H1385" t="str">
            <v>이츠웰 이온물엿(NEW 10Kg/EA)</v>
          </cell>
          <cell r="I1385" t="str">
            <v>EA</v>
          </cell>
          <cell r="J1385">
            <v>3</v>
          </cell>
          <cell r="K1385">
            <v>3</v>
          </cell>
          <cell r="L1385">
            <v>8890</v>
          </cell>
          <cell r="M1385">
            <v>26670</v>
          </cell>
          <cell r="N1385">
            <v>2667</v>
          </cell>
          <cell r="O1385">
            <v>29337</v>
          </cell>
          <cell r="P1385">
            <v>0</v>
          </cell>
          <cell r="Q1385" t="str">
            <v/>
          </cell>
          <cell r="R1385" t="str">
            <v>실온</v>
          </cell>
          <cell r="S1385" t="str">
            <v>EA(2)</v>
          </cell>
          <cell r="T1385" t="str">
            <v/>
          </cell>
          <cell r="U1385" t="str">
            <v/>
          </cell>
          <cell r="V1385" t="str">
            <v>2018-12-17</v>
          </cell>
          <cell r="W1385" t="str">
            <v>2018-12-17 13:57:07</v>
          </cell>
          <cell r="X1385" t="str">
            <v>178921000</v>
          </cell>
        </row>
        <row r="1386">
          <cell r="A1386">
            <v>1382</v>
          </cell>
          <cell r="B1386" t="str">
            <v>2018-12-18</v>
          </cell>
          <cell r="C1386" t="str">
            <v>키즈락</v>
          </cell>
          <cell r="D1386">
            <v>0</v>
          </cell>
          <cell r="E1386" t="str">
            <v>일반</v>
          </cell>
          <cell r="F1386" t="str">
            <v>입고완료</v>
          </cell>
          <cell r="G1386">
            <v>168257</v>
          </cell>
          <cell r="H1386" t="str">
            <v>명품 판두부(찌개용 3Kg/EA)</v>
          </cell>
          <cell r="I1386" t="str">
            <v>EA</v>
          </cell>
          <cell r="J1386">
            <v>3</v>
          </cell>
          <cell r="K1386">
            <v>3</v>
          </cell>
          <cell r="L1386">
            <v>4000</v>
          </cell>
          <cell r="M1386">
            <v>12000</v>
          </cell>
          <cell r="N1386">
            <v>0</v>
          </cell>
          <cell r="O1386">
            <v>12000</v>
          </cell>
          <cell r="P1386">
            <v>0</v>
          </cell>
          <cell r="Q1386" t="str">
            <v>수입산</v>
          </cell>
          <cell r="R1386" t="str">
            <v>냉장</v>
          </cell>
          <cell r="S1386" t="str">
            <v>EA(1)</v>
          </cell>
          <cell r="T1386" t="str">
            <v/>
          </cell>
          <cell r="U1386" t="str">
            <v/>
          </cell>
          <cell r="V1386" t="str">
            <v>2018-12-17</v>
          </cell>
          <cell r="W1386" t="str">
            <v>2018-12-17 14:48:36</v>
          </cell>
          <cell r="X1386" t="str">
            <v>178921000</v>
          </cell>
        </row>
        <row r="1387">
          <cell r="A1387">
            <v>1383</v>
          </cell>
          <cell r="B1387" t="str">
            <v>2018-12-18</v>
          </cell>
          <cell r="C1387" t="str">
            <v>키즈락</v>
          </cell>
          <cell r="D1387">
            <v>0</v>
          </cell>
          <cell r="E1387" t="str">
            <v>일반</v>
          </cell>
          <cell r="F1387" t="str">
            <v>입고완료</v>
          </cell>
          <cell r="G1387">
            <v>211037</v>
          </cell>
          <cell r="H1387" t="str">
            <v>느타리버섯(실속 균상 2Kg/EA)</v>
          </cell>
          <cell r="I1387" t="str">
            <v>BOX</v>
          </cell>
          <cell r="J1387">
            <v>7</v>
          </cell>
          <cell r="K1387">
            <v>7</v>
          </cell>
          <cell r="L1387">
            <v>7650</v>
          </cell>
          <cell r="M1387">
            <v>53550</v>
          </cell>
          <cell r="N1387">
            <v>0</v>
          </cell>
          <cell r="O1387">
            <v>53550</v>
          </cell>
          <cell r="P1387">
            <v>0</v>
          </cell>
          <cell r="Q1387" t="str">
            <v>한국</v>
          </cell>
          <cell r="R1387" t="str">
            <v>냉장</v>
          </cell>
          <cell r="S1387" t="str">
            <v>EA(1)</v>
          </cell>
          <cell r="T1387" t="str">
            <v/>
          </cell>
          <cell r="U1387" t="str">
            <v/>
          </cell>
          <cell r="V1387" t="str">
            <v>2018-12-17</v>
          </cell>
          <cell r="W1387" t="str">
            <v>2018-12-17 14:48:36</v>
          </cell>
          <cell r="X1387" t="str">
            <v>178921000</v>
          </cell>
        </row>
        <row r="1388">
          <cell r="A1388">
            <v>1384</v>
          </cell>
          <cell r="B1388" t="str">
            <v>2018-12-18</v>
          </cell>
          <cell r="C1388" t="str">
            <v>키즈락</v>
          </cell>
          <cell r="D1388">
            <v>0</v>
          </cell>
          <cell r="E1388" t="str">
            <v>일반</v>
          </cell>
          <cell r="F1388" t="str">
            <v>입고완료</v>
          </cell>
          <cell r="G1388">
            <v>208625</v>
          </cell>
          <cell r="H1388" t="str">
            <v>새송이버섯(실속 2Kg/EA)</v>
          </cell>
          <cell r="I1388" t="str">
            <v>EA</v>
          </cell>
          <cell r="J1388">
            <v>3</v>
          </cell>
          <cell r="K1388">
            <v>3</v>
          </cell>
          <cell r="L1388">
            <v>8020</v>
          </cell>
          <cell r="M1388">
            <v>24060</v>
          </cell>
          <cell r="N1388">
            <v>0</v>
          </cell>
          <cell r="O1388">
            <v>24060</v>
          </cell>
          <cell r="P1388">
            <v>0</v>
          </cell>
          <cell r="Q1388" t="str">
            <v>한국</v>
          </cell>
          <cell r="R1388" t="str">
            <v>냉장</v>
          </cell>
          <cell r="S1388" t="str">
            <v>EA(1)</v>
          </cell>
          <cell r="T1388" t="str">
            <v/>
          </cell>
          <cell r="U1388" t="str">
            <v/>
          </cell>
          <cell r="V1388" t="str">
            <v>2018-12-17</v>
          </cell>
          <cell r="W1388" t="str">
            <v>2018-12-17 14:48:36</v>
          </cell>
          <cell r="X1388" t="str">
            <v>178921000</v>
          </cell>
        </row>
        <row r="1389">
          <cell r="A1389">
            <v>1385</v>
          </cell>
          <cell r="B1389" t="str">
            <v>2018-12-17</v>
          </cell>
          <cell r="C1389">
            <v>0</v>
          </cell>
          <cell r="D1389">
            <v>0</v>
          </cell>
          <cell r="E1389">
            <v>0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</row>
        <row r="1390">
          <cell r="A1390">
            <v>1386</v>
          </cell>
          <cell r="B1390" t="str">
            <v>2018-12-17</v>
          </cell>
          <cell r="C1390" t="str">
            <v>키즈락</v>
          </cell>
          <cell r="D1390">
            <v>0</v>
          </cell>
          <cell r="E1390" t="str">
            <v>일반</v>
          </cell>
          <cell r="F1390" t="str">
            <v>입고완료</v>
          </cell>
          <cell r="G1390">
            <v>167858</v>
          </cell>
          <cell r="H1390" t="str">
            <v>사조 참치캔(3Kg/EA)</v>
          </cell>
          <cell r="I1390" t="str">
            <v>EA</v>
          </cell>
          <cell r="J1390">
            <v>6</v>
          </cell>
          <cell r="K1390">
            <v>6</v>
          </cell>
          <cell r="L1390">
            <v>19200</v>
          </cell>
          <cell r="M1390">
            <v>115200</v>
          </cell>
          <cell r="N1390">
            <v>11520</v>
          </cell>
          <cell r="O1390">
            <v>126720</v>
          </cell>
          <cell r="P1390">
            <v>0</v>
          </cell>
          <cell r="Q1390" t="str">
            <v/>
          </cell>
          <cell r="R1390" t="str">
            <v>실온</v>
          </cell>
          <cell r="S1390" t="str">
            <v>EA(6)</v>
          </cell>
          <cell r="T1390" t="str">
            <v/>
          </cell>
          <cell r="U1390" t="str">
            <v/>
          </cell>
          <cell r="V1390" t="str">
            <v>2018-12-13</v>
          </cell>
          <cell r="W1390" t="str">
            <v>2018-12-13 14:40:47</v>
          </cell>
          <cell r="X1390" t="str">
            <v>178921000</v>
          </cell>
        </row>
        <row r="1391">
          <cell r="A1391">
            <v>1387</v>
          </cell>
          <cell r="B1391" t="str">
            <v>2018-12-17</v>
          </cell>
          <cell r="C1391" t="str">
            <v>키즈락</v>
          </cell>
          <cell r="D1391">
            <v>0</v>
          </cell>
          <cell r="E1391" t="str">
            <v>일반</v>
          </cell>
          <cell r="F1391" t="str">
            <v>입고완료</v>
          </cell>
          <cell r="G1391">
            <v>136633</v>
          </cell>
          <cell r="H1391" t="str">
            <v>이오 요구르트(80ml_유기농 80g/EA)</v>
          </cell>
          <cell r="I1391" t="str">
            <v>EA</v>
          </cell>
          <cell r="J1391">
            <v>45</v>
          </cell>
          <cell r="K1391">
            <v>45</v>
          </cell>
          <cell r="L1391">
            <v>300</v>
          </cell>
          <cell r="M1391">
            <v>13500</v>
          </cell>
          <cell r="N1391">
            <v>1350</v>
          </cell>
          <cell r="O1391">
            <v>14850</v>
          </cell>
          <cell r="P1391">
            <v>0</v>
          </cell>
          <cell r="Q1391" t="str">
            <v>한국</v>
          </cell>
          <cell r="R1391" t="str">
            <v>냉장</v>
          </cell>
          <cell r="S1391" t="str">
            <v>EA(50)</v>
          </cell>
          <cell r="T1391" t="str">
            <v/>
          </cell>
          <cell r="U1391" t="str">
            <v/>
          </cell>
          <cell r="V1391" t="str">
            <v>2018-12-13</v>
          </cell>
          <cell r="W1391" t="str">
            <v>2018-12-13 14:59:36</v>
          </cell>
          <cell r="X1391" t="str">
            <v>178921000</v>
          </cell>
        </row>
        <row r="1392">
          <cell r="A1392">
            <v>1388</v>
          </cell>
          <cell r="B1392" t="str">
            <v>2018-12-17</v>
          </cell>
          <cell r="C1392" t="str">
            <v>키즈락</v>
          </cell>
          <cell r="D1392">
            <v>0</v>
          </cell>
          <cell r="E1392" t="str">
            <v>일반</v>
          </cell>
          <cell r="F1392" t="str">
            <v>입고완료</v>
          </cell>
          <cell r="G1392">
            <v>176382</v>
          </cell>
          <cell r="H1392" t="str">
            <v>서울식품공업 미니크로와상(완제품_19g*50입 950g/EA)</v>
          </cell>
          <cell r="I1392" t="str">
            <v>EA</v>
          </cell>
          <cell r="J1392">
            <v>8</v>
          </cell>
          <cell r="K1392">
            <v>8</v>
          </cell>
          <cell r="L1392">
            <v>12700</v>
          </cell>
          <cell r="M1392">
            <v>101600</v>
          </cell>
          <cell r="N1392">
            <v>10160</v>
          </cell>
          <cell r="O1392">
            <v>111760</v>
          </cell>
          <cell r="P1392">
            <v>0</v>
          </cell>
          <cell r="Q1392" t="str">
            <v/>
          </cell>
          <cell r="R1392" t="str">
            <v>냉동</v>
          </cell>
          <cell r="S1392" t="str">
            <v>EA(2)</v>
          </cell>
          <cell r="T1392" t="str">
            <v/>
          </cell>
          <cell r="U1392" t="str">
            <v/>
          </cell>
          <cell r="V1392" t="str">
            <v>2018-12-13</v>
          </cell>
          <cell r="W1392" t="str">
            <v>2018-12-13 15:02:26</v>
          </cell>
          <cell r="X1392" t="str">
            <v>178921000</v>
          </cell>
        </row>
        <row r="1393">
          <cell r="A1393">
            <v>1389</v>
          </cell>
          <cell r="B1393" t="str">
            <v>2018-12-17</v>
          </cell>
          <cell r="C1393" t="str">
            <v>키즈락</v>
          </cell>
          <cell r="D1393">
            <v>0</v>
          </cell>
          <cell r="E1393" t="str">
            <v>일반</v>
          </cell>
          <cell r="F1393" t="str">
            <v>입고완료</v>
          </cell>
          <cell r="G1393">
            <v>136600</v>
          </cell>
          <cell r="H1393" t="str">
            <v>상하목장 흰우유(750ml_유기농 750g/EA)</v>
          </cell>
          <cell r="I1393" t="str">
            <v>EA</v>
          </cell>
          <cell r="J1393">
            <v>6</v>
          </cell>
          <cell r="K1393">
            <v>6</v>
          </cell>
          <cell r="L1393">
            <v>4680</v>
          </cell>
          <cell r="M1393">
            <v>28080</v>
          </cell>
          <cell r="N1393">
            <v>0</v>
          </cell>
          <cell r="O1393">
            <v>28080</v>
          </cell>
          <cell r="P1393">
            <v>28080</v>
          </cell>
          <cell r="Q1393" t="str">
            <v>한국</v>
          </cell>
          <cell r="R1393" t="str">
            <v>냉장</v>
          </cell>
          <cell r="S1393" t="str">
            <v>EA(12)</v>
          </cell>
          <cell r="T1393" t="str">
            <v/>
          </cell>
          <cell r="U1393" t="str">
            <v/>
          </cell>
          <cell r="V1393" t="str">
            <v>2018-12-14</v>
          </cell>
          <cell r="W1393" t="str">
            <v>2018-12-14 11:51:55</v>
          </cell>
          <cell r="X1393" t="str">
            <v>178921000</v>
          </cell>
        </row>
        <row r="1394">
          <cell r="A1394">
            <v>1390</v>
          </cell>
          <cell r="B1394" t="str">
            <v>2018-12-17</v>
          </cell>
          <cell r="C1394" t="str">
            <v>키즈락</v>
          </cell>
          <cell r="D1394">
            <v>0</v>
          </cell>
          <cell r="E1394" t="str">
            <v>일반</v>
          </cell>
          <cell r="F1394" t="str">
            <v>입고완료</v>
          </cell>
          <cell r="G1394">
            <v>241204</v>
          </cell>
          <cell r="H1394" t="str">
            <v>이츠웰 콘시리얼함께해바(견과바_15g*12개 180g/EA)</v>
          </cell>
          <cell r="I1394" t="str">
            <v>EA</v>
          </cell>
          <cell r="J1394">
            <v>28</v>
          </cell>
          <cell r="K1394">
            <v>28</v>
          </cell>
          <cell r="L1394">
            <v>4370</v>
          </cell>
          <cell r="M1394">
            <v>122360</v>
          </cell>
          <cell r="N1394">
            <v>12236</v>
          </cell>
          <cell r="O1394">
            <v>134596</v>
          </cell>
          <cell r="P1394">
            <v>0</v>
          </cell>
          <cell r="Q1394" t="str">
            <v>외국산</v>
          </cell>
          <cell r="R1394" t="str">
            <v>실온</v>
          </cell>
          <cell r="S1394" t="str">
            <v>EA(8)</v>
          </cell>
          <cell r="T1394" t="str">
            <v/>
          </cell>
          <cell r="U1394" t="str">
            <v/>
          </cell>
          <cell r="V1394" t="str">
            <v>2018-12-14</v>
          </cell>
          <cell r="W1394" t="str">
            <v>2018-12-14 11:53:40</v>
          </cell>
          <cell r="X1394" t="str">
            <v>178921000</v>
          </cell>
        </row>
        <row r="1395">
          <cell r="A1395">
            <v>1391</v>
          </cell>
          <cell r="B1395" t="str">
            <v>2018-12-17</v>
          </cell>
          <cell r="C1395" t="str">
            <v>키즈락</v>
          </cell>
          <cell r="D1395">
            <v>0</v>
          </cell>
          <cell r="E1395" t="str">
            <v>일반</v>
          </cell>
          <cell r="F1395" t="str">
            <v>입고완료</v>
          </cell>
          <cell r="G1395">
            <v>200711</v>
          </cell>
          <cell r="H1395" t="str">
            <v>꽈리고추(상품 KG)</v>
          </cell>
          <cell r="I1395" t="str">
            <v>KG</v>
          </cell>
          <cell r="J1395">
            <v>1</v>
          </cell>
          <cell r="K1395">
            <v>1</v>
          </cell>
          <cell r="L1395">
            <v>6080</v>
          </cell>
          <cell r="M1395">
            <v>6080</v>
          </cell>
          <cell r="N1395">
            <v>0</v>
          </cell>
          <cell r="O1395">
            <v>6080</v>
          </cell>
          <cell r="P1395">
            <v>0</v>
          </cell>
          <cell r="Q1395" t="str">
            <v>한국</v>
          </cell>
          <cell r="R1395" t="str">
            <v>냉장</v>
          </cell>
          <cell r="S1395" t="str">
            <v>KG(1)</v>
          </cell>
          <cell r="T1395" t="str">
            <v/>
          </cell>
          <cell r="U1395" t="str">
            <v/>
          </cell>
          <cell r="V1395" t="str">
            <v>2018-12-14</v>
          </cell>
          <cell r="W1395" t="str">
            <v>2018-12-14 14:02:47</v>
          </cell>
          <cell r="X1395" t="str">
            <v>178921000</v>
          </cell>
        </row>
        <row r="1396">
          <cell r="A1396">
            <v>1392</v>
          </cell>
          <cell r="B1396" t="str">
            <v>2018-12-17</v>
          </cell>
          <cell r="C1396" t="str">
            <v>키즈락</v>
          </cell>
          <cell r="D1396">
            <v>0</v>
          </cell>
          <cell r="E1396" t="str">
            <v>일반</v>
          </cell>
          <cell r="F1396" t="str">
            <v>입고완료</v>
          </cell>
          <cell r="G1396">
            <v>239717</v>
          </cell>
          <cell r="H1396" t="str">
            <v>녹선 참오징어젓(1Kg/EA)</v>
          </cell>
          <cell r="I1396" t="str">
            <v>EA</v>
          </cell>
          <cell r="J1396">
            <v>2</v>
          </cell>
          <cell r="K1396">
            <v>2</v>
          </cell>
          <cell r="L1396">
            <v>6630</v>
          </cell>
          <cell r="M1396">
            <v>13260</v>
          </cell>
          <cell r="N1396">
            <v>1326</v>
          </cell>
          <cell r="O1396">
            <v>14586</v>
          </cell>
          <cell r="P1396">
            <v>0</v>
          </cell>
          <cell r="Q1396" t="str">
            <v>중국</v>
          </cell>
          <cell r="R1396" t="str">
            <v>냉장</v>
          </cell>
          <cell r="S1396" t="str">
            <v>EA(1)</v>
          </cell>
          <cell r="T1396" t="str">
            <v/>
          </cell>
          <cell r="U1396" t="str">
            <v/>
          </cell>
          <cell r="V1396" t="str">
            <v>2018-12-14</v>
          </cell>
          <cell r="W1396" t="str">
            <v>2018-12-14 14:17:26</v>
          </cell>
          <cell r="X1396" t="str">
            <v>178921000</v>
          </cell>
        </row>
        <row r="1397">
          <cell r="A1397">
            <v>1393</v>
          </cell>
          <cell r="B1397" t="str">
            <v>2018-12-17</v>
          </cell>
          <cell r="C1397" t="str">
            <v>키즈락</v>
          </cell>
          <cell r="D1397">
            <v>0</v>
          </cell>
          <cell r="E1397" t="str">
            <v>일반</v>
          </cell>
          <cell r="F1397" t="str">
            <v>입고완료</v>
          </cell>
          <cell r="G1397">
            <v>141229</v>
          </cell>
          <cell r="H1397" t="str">
            <v>더건강한 후랑크소시지(500g/EA)</v>
          </cell>
          <cell r="I1397" t="str">
            <v>EA</v>
          </cell>
          <cell r="J1397">
            <v>1</v>
          </cell>
          <cell r="K1397">
            <v>1</v>
          </cell>
          <cell r="L1397">
            <v>4120</v>
          </cell>
          <cell r="M1397">
            <v>4120</v>
          </cell>
          <cell r="N1397">
            <v>412</v>
          </cell>
          <cell r="O1397">
            <v>4532</v>
          </cell>
          <cell r="P1397">
            <v>0</v>
          </cell>
          <cell r="Q1397" t="str">
            <v/>
          </cell>
          <cell r="R1397" t="str">
            <v>냉장</v>
          </cell>
          <cell r="S1397" t="str">
            <v>EA(8)</v>
          </cell>
          <cell r="T1397" t="str">
            <v/>
          </cell>
          <cell r="U1397" t="str">
            <v/>
          </cell>
          <cell r="V1397" t="str">
            <v>2018-12-14</v>
          </cell>
          <cell r="W1397" t="str">
            <v>2018-12-14 14:23:24</v>
          </cell>
          <cell r="X1397" t="str">
            <v>178921000</v>
          </cell>
        </row>
        <row r="1398">
          <cell r="A1398">
            <v>1394</v>
          </cell>
          <cell r="B1398" t="str">
            <v>2018-12-17</v>
          </cell>
          <cell r="C1398" t="str">
            <v>키즈락</v>
          </cell>
          <cell r="D1398">
            <v>0</v>
          </cell>
          <cell r="E1398" t="str">
            <v>일반</v>
          </cell>
          <cell r="F1398" t="str">
            <v>입고완료</v>
          </cell>
          <cell r="G1398">
            <v>411771</v>
          </cell>
          <cell r="H1398" t="str">
            <v>프레시웨이 돈뒷다리(다짐육 1Kg/EA)</v>
          </cell>
          <cell r="I1398" t="str">
            <v>EA</v>
          </cell>
          <cell r="J1398">
            <v>1</v>
          </cell>
          <cell r="K1398">
            <v>1</v>
          </cell>
          <cell r="L1398">
            <v>4340</v>
          </cell>
          <cell r="M1398">
            <v>4340</v>
          </cell>
          <cell r="N1398">
            <v>0</v>
          </cell>
          <cell r="O1398">
            <v>4340</v>
          </cell>
          <cell r="P1398">
            <v>0</v>
          </cell>
          <cell r="Q1398" t="str">
            <v>한국</v>
          </cell>
          <cell r="R1398" t="str">
            <v>냉동</v>
          </cell>
          <cell r="S1398" t="str">
            <v>EA(1)</v>
          </cell>
          <cell r="T1398" t="str">
            <v>L11811265541001</v>
          </cell>
          <cell r="U1398" t="str">
            <v/>
          </cell>
          <cell r="V1398" t="str">
            <v>2018-12-14</v>
          </cell>
          <cell r="W1398" t="str">
            <v>2018-12-14 14:28:04</v>
          </cell>
          <cell r="X1398" t="str">
            <v>178921000</v>
          </cell>
        </row>
        <row r="1399">
          <cell r="A1399">
            <v>1395</v>
          </cell>
          <cell r="B1399" t="str">
            <v>2018-12-17</v>
          </cell>
          <cell r="C1399" t="str">
            <v>키즈락</v>
          </cell>
          <cell r="D1399">
            <v>0</v>
          </cell>
          <cell r="E1399" t="str">
            <v>일반</v>
          </cell>
          <cell r="F1399" t="str">
            <v>입고완료</v>
          </cell>
          <cell r="G1399">
            <v>200675</v>
          </cell>
          <cell r="H1399" t="str">
            <v>쥬키니호박(상품 KG)</v>
          </cell>
          <cell r="I1399" t="str">
            <v>KG</v>
          </cell>
          <cell r="J1399">
            <v>3</v>
          </cell>
          <cell r="K1399">
            <v>3</v>
          </cell>
          <cell r="L1399">
            <v>1990</v>
          </cell>
          <cell r="M1399">
            <v>5970</v>
          </cell>
          <cell r="N1399">
            <v>0</v>
          </cell>
          <cell r="O1399">
            <v>5970</v>
          </cell>
          <cell r="P1399">
            <v>0</v>
          </cell>
          <cell r="Q1399" t="str">
            <v>한국</v>
          </cell>
          <cell r="R1399" t="str">
            <v>냉장</v>
          </cell>
          <cell r="S1399" t="str">
            <v>KG(1)</v>
          </cell>
          <cell r="T1399" t="str">
            <v/>
          </cell>
          <cell r="U1399" t="str">
            <v/>
          </cell>
          <cell r="V1399" t="str">
            <v>2018-12-14</v>
          </cell>
          <cell r="W1399" t="str">
            <v>2018-12-14 14:32:07</v>
          </cell>
          <cell r="X1399" t="str">
            <v>178921000</v>
          </cell>
        </row>
        <row r="1400">
          <cell r="A1400">
            <v>1396</v>
          </cell>
          <cell r="B1400" t="str">
            <v>2018-12-14</v>
          </cell>
          <cell r="C1400">
            <v>0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</row>
        <row r="1401">
          <cell r="A1401">
            <v>1397</v>
          </cell>
          <cell r="B1401" t="str">
            <v>2018-12-14</v>
          </cell>
          <cell r="C1401" t="str">
            <v>키즈락</v>
          </cell>
          <cell r="D1401">
            <v>0</v>
          </cell>
          <cell r="E1401" t="str">
            <v>일반</v>
          </cell>
          <cell r="F1401" t="str">
            <v>입고완료</v>
          </cell>
          <cell r="G1401">
            <v>259671</v>
          </cell>
          <cell r="H1401" t="str">
            <v>세준푸드 맑은식혜(유기농 125g/EA)</v>
          </cell>
          <cell r="I1401" t="str">
            <v>BOX</v>
          </cell>
          <cell r="J1401">
            <v>10</v>
          </cell>
          <cell r="K1401">
            <v>10</v>
          </cell>
          <cell r="L1401">
            <v>10320</v>
          </cell>
          <cell r="M1401">
            <v>103200</v>
          </cell>
          <cell r="N1401">
            <v>10320</v>
          </cell>
          <cell r="O1401">
            <v>113520</v>
          </cell>
          <cell r="P1401">
            <v>0</v>
          </cell>
          <cell r="Q1401" t="str">
            <v/>
          </cell>
          <cell r="R1401" t="str">
            <v>실온</v>
          </cell>
          <cell r="S1401" t="str">
            <v>EA(24)</v>
          </cell>
          <cell r="T1401" t="str">
            <v/>
          </cell>
          <cell r="U1401" t="str">
            <v/>
          </cell>
          <cell r="V1401" t="str">
            <v>2018-12-10</v>
          </cell>
          <cell r="W1401" t="str">
            <v>2018-12-10 12:02:31</v>
          </cell>
          <cell r="X1401" t="str">
            <v>178921000</v>
          </cell>
        </row>
        <row r="1402">
          <cell r="A1402">
            <v>1398</v>
          </cell>
          <cell r="B1402" t="str">
            <v>2018-12-14</v>
          </cell>
          <cell r="C1402" t="str">
            <v>키즈락</v>
          </cell>
          <cell r="D1402">
            <v>0</v>
          </cell>
          <cell r="E1402" t="str">
            <v>일반</v>
          </cell>
          <cell r="F1402" t="str">
            <v>입고완료</v>
          </cell>
          <cell r="G1402">
            <v>136633</v>
          </cell>
          <cell r="H1402" t="str">
            <v>이오 요구르트(80ml_유기농 80g/EA)</v>
          </cell>
          <cell r="I1402" t="str">
            <v>EA</v>
          </cell>
          <cell r="J1402">
            <v>5</v>
          </cell>
          <cell r="K1402">
            <v>5</v>
          </cell>
          <cell r="L1402">
            <v>300</v>
          </cell>
          <cell r="M1402">
            <v>1500</v>
          </cell>
          <cell r="N1402">
            <v>150</v>
          </cell>
          <cell r="O1402">
            <v>1650</v>
          </cell>
          <cell r="P1402">
            <v>0</v>
          </cell>
          <cell r="Q1402" t="str">
            <v>한국</v>
          </cell>
          <cell r="R1402" t="str">
            <v>냉장</v>
          </cell>
          <cell r="S1402" t="str">
            <v>EA(50)</v>
          </cell>
          <cell r="T1402" t="str">
            <v/>
          </cell>
          <cell r="U1402" t="str">
            <v/>
          </cell>
          <cell r="V1402" t="str">
            <v>2018-12-12</v>
          </cell>
          <cell r="W1402" t="str">
            <v>2018-12-12 14:04:28</v>
          </cell>
          <cell r="X1402" t="str">
            <v>178921000</v>
          </cell>
        </row>
        <row r="1403">
          <cell r="A1403">
            <v>1399</v>
          </cell>
          <cell r="B1403" t="str">
            <v>2018-12-14</v>
          </cell>
          <cell r="C1403" t="str">
            <v>키즈락</v>
          </cell>
          <cell r="D1403">
            <v>0</v>
          </cell>
          <cell r="E1403" t="str">
            <v>일반</v>
          </cell>
          <cell r="F1403" t="str">
            <v>입고완료</v>
          </cell>
          <cell r="G1403">
            <v>164076</v>
          </cell>
          <cell r="H1403" t="str">
            <v>풍림푸드 계란구이(오믈렛골드_50g*20개입 1Kg/EA)</v>
          </cell>
          <cell r="I1403" t="str">
            <v>EA</v>
          </cell>
          <cell r="J1403">
            <v>14</v>
          </cell>
          <cell r="K1403">
            <v>14</v>
          </cell>
          <cell r="L1403">
            <v>6660</v>
          </cell>
          <cell r="M1403">
            <v>93240</v>
          </cell>
          <cell r="N1403">
            <v>9324</v>
          </cell>
          <cell r="O1403">
            <v>102564</v>
          </cell>
          <cell r="P1403">
            <v>0</v>
          </cell>
          <cell r="Q1403" t="str">
            <v>한국</v>
          </cell>
          <cell r="R1403" t="str">
            <v>냉동</v>
          </cell>
          <cell r="S1403" t="str">
            <v>EA(1)</v>
          </cell>
          <cell r="T1403" t="str">
            <v/>
          </cell>
          <cell r="U1403" t="str">
            <v/>
          </cell>
          <cell r="V1403" t="str">
            <v>2018-12-12</v>
          </cell>
          <cell r="W1403" t="str">
            <v>2018-12-12 14:23:51</v>
          </cell>
          <cell r="X1403" t="str">
            <v>178921000</v>
          </cell>
        </row>
        <row r="1404">
          <cell r="A1404">
            <v>1400</v>
          </cell>
          <cell r="B1404" t="str">
            <v>2018-12-14</v>
          </cell>
          <cell r="C1404" t="str">
            <v>키즈락</v>
          </cell>
          <cell r="D1404">
            <v>0</v>
          </cell>
          <cell r="E1404" t="str">
            <v>일반</v>
          </cell>
          <cell r="F1404" t="str">
            <v>입고완료</v>
          </cell>
          <cell r="G1404">
            <v>166334</v>
          </cell>
          <cell r="H1404" t="str">
            <v>종로복떡방 흰꿀떡(멥쌀_20G*50입 1Kg/EA)</v>
          </cell>
          <cell r="I1404" t="str">
            <v>EA</v>
          </cell>
          <cell r="J1404">
            <v>3</v>
          </cell>
          <cell r="K1404">
            <v>3</v>
          </cell>
          <cell r="L1404">
            <v>6750</v>
          </cell>
          <cell r="M1404">
            <v>20250</v>
          </cell>
          <cell r="N1404">
            <v>2025</v>
          </cell>
          <cell r="O1404">
            <v>22275</v>
          </cell>
          <cell r="P1404">
            <v>0</v>
          </cell>
          <cell r="Q1404" t="str">
            <v/>
          </cell>
          <cell r="R1404" t="str">
            <v>냉동</v>
          </cell>
          <cell r="S1404" t="str">
            <v>EA(1)</v>
          </cell>
          <cell r="T1404" t="str">
            <v/>
          </cell>
          <cell r="U1404" t="str">
            <v/>
          </cell>
          <cell r="V1404" t="str">
            <v>2018-12-13</v>
          </cell>
          <cell r="W1404" t="str">
            <v>2018-12-13 11:35:10</v>
          </cell>
          <cell r="X1404" t="str">
            <v>178921000</v>
          </cell>
        </row>
        <row r="1405">
          <cell r="A1405">
            <v>1401</v>
          </cell>
          <cell r="B1405" t="str">
            <v>2018-12-14</v>
          </cell>
          <cell r="C1405" t="str">
            <v>키즈락</v>
          </cell>
          <cell r="D1405">
            <v>0</v>
          </cell>
          <cell r="E1405" t="str">
            <v>일반</v>
          </cell>
          <cell r="F1405" t="str">
            <v>입고완료</v>
          </cell>
          <cell r="G1405">
            <v>136708</v>
          </cell>
          <cell r="H1405" t="str">
            <v>마더구스 케익(치즈케익_80조각 700g/EA)</v>
          </cell>
          <cell r="I1405" t="str">
            <v>EA</v>
          </cell>
          <cell r="J1405">
            <v>2</v>
          </cell>
          <cell r="K1405">
            <v>2</v>
          </cell>
          <cell r="L1405">
            <v>11100</v>
          </cell>
          <cell r="M1405">
            <v>22200</v>
          </cell>
          <cell r="N1405">
            <v>2220</v>
          </cell>
          <cell r="O1405">
            <v>24420</v>
          </cell>
          <cell r="P1405">
            <v>0</v>
          </cell>
          <cell r="Q1405" t="str">
            <v/>
          </cell>
          <cell r="R1405" t="str">
            <v>냉동</v>
          </cell>
          <cell r="S1405" t="str">
            <v>EA(10)</v>
          </cell>
          <cell r="T1405" t="str">
            <v/>
          </cell>
          <cell r="U1405" t="str">
            <v/>
          </cell>
          <cell r="V1405" t="str">
            <v>2018-12-13</v>
          </cell>
          <cell r="W1405" t="str">
            <v>2018-12-13 11:37:37</v>
          </cell>
          <cell r="X1405" t="str">
            <v>178921000</v>
          </cell>
        </row>
        <row r="1406">
          <cell r="A1406">
            <v>1402</v>
          </cell>
          <cell r="B1406" t="str">
            <v>2018-12-14</v>
          </cell>
          <cell r="C1406" t="str">
            <v>키즈락</v>
          </cell>
          <cell r="D1406">
            <v>0</v>
          </cell>
          <cell r="E1406" t="str">
            <v>일반</v>
          </cell>
          <cell r="F1406" t="str">
            <v>입고완료</v>
          </cell>
          <cell r="G1406">
            <v>173174</v>
          </cell>
          <cell r="H1406" t="str">
            <v>이츠웰 치킨너겟(골든 55±3개입 1Kg/EA)</v>
          </cell>
          <cell r="I1406" t="str">
            <v>EA</v>
          </cell>
          <cell r="J1406">
            <v>3</v>
          </cell>
          <cell r="K1406">
            <v>3</v>
          </cell>
          <cell r="L1406">
            <v>4700</v>
          </cell>
          <cell r="M1406">
            <v>14100</v>
          </cell>
          <cell r="N1406">
            <v>1410</v>
          </cell>
          <cell r="O1406">
            <v>15510</v>
          </cell>
          <cell r="P1406">
            <v>0</v>
          </cell>
          <cell r="Q1406" t="str">
            <v>한국</v>
          </cell>
          <cell r="R1406" t="str">
            <v>냉동</v>
          </cell>
          <cell r="S1406" t="str">
            <v>EA(10)</v>
          </cell>
          <cell r="T1406" t="str">
            <v/>
          </cell>
          <cell r="U1406" t="str">
            <v/>
          </cell>
          <cell r="V1406" t="str">
            <v>2018-12-13</v>
          </cell>
          <cell r="W1406" t="str">
            <v>2018-12-13 11:38:54</v>
          </cell>
          <cell r="X1406" t="str">
            <v>178921000</v>
          </cell>
        </row>
        <row r="1407">
          <cell r="A1407">
            <v>1403</v>
          </cell>
          <cell r="B1407" t="str">
            <v>2018-12-14</v>
          </cell>
          <cell r="C1407" t="str">
            <v>키즈락</v>
          </cell>
          <cell r="D1407">
            <v>0</v>
          </cell>
          <cell r="E1407" t="str">
            <v>일반</v>
          </cell>
          <cell r="F1407" t="str">
            <v>입고완료</v>
          </cell>
          <cell r="G1407">
            <v>206876</v>
          </cell>
          <cell r="H1407" t="str">
            <v>바나나(1송이_17~21개입 2Kg/PAC)</v>
          </cell>
          <cell r="I1407" t="str">
            <v>PAC</v>
          </cell>
          <cell r="J1407">
            <v>2</v>
          </cell>
          <cell r="K1407">
            <v>2</v>
          </cell>
          <cell r="L1407">
            <v>5380</v>
          </cell>
          <cell r="M1407">
            <v>10760</v>
          </cell>
          <cell r="N1407">
            <v>0</v>
          </cell>
          <cell r="O1407">
            <v>10760</v>
          </cell>
          <cell r="P1407">
            <v>0</v>
          </cell>
          <cell r="Q1407" t="str">
            <v>필리핀</v>
          </cell>
          <cell r="R1407" t="str">
            <v>실온</v>
          </cell>
          <cell r="S1407" t="str">
            <v>PAC(1)</v>
          </cell>
          <cell r="T1407" t="str">
            <v/>
          </cell>
          <cell r="U1407" t="str">
            <v/>
          </cell>
          <cell r="V1407" t="str">
            <v>2018-12-13</v>
          </cell>
          <cell r="W1407" t="str">
            <v>2018-12-13 11:39:47</v>
          </cell>
          <cell r="X1407" t="str">
            <v>178921000</v>
          </cell>
        </row>
        <row r="1408">
          <cell r="A1408">
            <v>1404</v>
          </cell>
          <cell r="B1408" t="str">
            <v>2018-12-14</v>
          </cell>
          <cell r="C1408" t="str">
            <v>키즈락</v>
          </cell>
          <cell r="D1408">
            <v>0</v>
          </cell>
          <cell r="E1408" t="str">
            <v>일반</v>
          </cell>
          <cell r="F1408" t="str">
            <v>입고완료</v>
          </cell>
          <cell r="G1408">
            <v>249240</v>
          </cell>
          <cell r="H1408" t="str">
            <v>파스타빌라 스파게티(500g/EA)</v>
          </cell>
          <cell r="I1408" t="str">
            <v>EA</v>
          </cell>
          <cell r="J1408">
            <v>6</v>
          </cell>
          <cell r="K1408">
            <v>6</v>
          </cell>
          <cell r="L1408">
            <v>690</v>
          </cell>
          <cell r="M1408">
            <v>4140</v>
          </cell>
          <cell r="N1408">
            <v>414</v>
          </cell>
          <cell r="O1408">
            <v>4554</v>
          </cell>
          <cell r="P1408">
            <v>0</v>
          </cell>
          <cell r="Q1408" t="str">
            <v>터키</v>
          </cell>
          <cell r="R1408" t="str">
            <v>실온</v>
          </cell>
          <cell r="S1408" t="str">
            <v>EA(20)</v>
          </cell>
          <cell r="T1408" t="str">
            <v/>
          </cell>
          <cell r="U1408" t="str">
            <v/>
          </cell>
          <cell r="V1408" t="str">
            <v>2018-12-13</v>
          </cell>
          <cell r="W1408" t="str">
            <v>2018-12-13 11:49:50</v>
          </cell>
          <cell r="X1408" t="str">
            <v>178921000</v>
          </cell>
        </row>
        <row r="1409">
          <cell r="A1409">
            <v>1405</v>
          </cell>
          <cell r="B1409" t="str">
            <v>2018-12-14</v>
          </cell>
          <cell r="C1409" t="str">
            <v>키즈락</v>
          </cell>
          <cell r="D1409">
            <v>0</v>
          </cell>
          <cell r="E1409" t="str">
            <v>일반</v>
          </cell>
          <cell r="F1409" t="str">
            <v>입고완료</v>
          </cell>
          <cell r="G1409">
            <v>221871</v>
          </cell>
          <cell r="H1409" t="str">
            <v>냉동시금치(IQF 1Kg/EA)</v>
          </cell>
          <cell r="I1409" t="str">
            <v>EA</v>
          </cell>
          <cell r="J1409">
            <v>40</v>
          </cell>
          <cell r="K1409">
            <v>40</v>
          </cell>
          <cell r="L1409">
            <v>1680</v>
          </cell>
          <cell r="M1409">
            <v>67200</v>
          </cell>
          <cell r="N1409">
            <v>6720</v>
          </cell>
          <cell r="O1409">
            <v>73920</v>
          </cell>
          <cell r="P1409">
            <v>0</v>
          </cell>
          <cell r="Q1409" t="str">
            <v>중국</v>
          </cell>
          <cell r="R1409" t="str">
            <v>냉동</v>
          </cell>
          <cell r="S1409" t="str">
            <v>EA(1)</v>
          </cell>
          <cell r="T1409" t="str">
            <v/>
          </cell>
          <cell r="U1409" t="str">
            <v/>
          </cell>
          <cell r="V1409" t="str">
            <v>2018-12-13</v>
          </cell>
          <cell r="W1409" t="str">
            <v>2018-12-13 12:14:29</v>
          </cell>
          <cell r="X1409" t="str">
            <v>178921000</v>
          </cell>
        </row>
        <row r="1410">
          <cell r="A1410">
            <v>1406</v>
          </cell>
          <cell r="B1410" t="str">
            <v>2018-12-14</v>
          </cell>
          <cell r="C1410" t="str">
            <v>키즈락</v>
          </cell>
          <cell r="D1410">
            <v>0</v>
          </cell>
          <cell r="E1410" t="str">
            <v>일반</v>
          </cell>
          <cell r="F1410" t="str">
            <v>입고완료</v>
          </cell>
          <cell r="G1410">
            <v>266412</v>
          </cell>
          <cell r="H1410" t="str">
            <v>한미식품 유부(슬라이스 1Kg/EA)</v>
          </cell>
          <cell r="I1410" t="str">
            <v>EA</v>
          </cell>
          <cell r="J1410">
            <v>2</v>
          </cell>
          <cell r="K1410">
            <v>2</v>
          </cell>
          <cell r="L1410">
            <v>6550</v>
          </cell>
          <cell r="M1410">
            <v>13100</v>
          </cell>
          <cell r="N1410">
            <v>1310</v>
          </cell>
          <cell r="O1410">
            <v>14410</v>
          </cell>
          <cell r="P1410">
            <v>0</v>
          </cell>
          <cell r="Q1410" t="str">
            <v>외국산</v>
          </cell>
          <cell r="R1410" t="str">
            <v>냉동</v>
          </cell>
          <cell r="S1410" t="str">
            <v>EA(4)</v>
          </cell>
          <cell r="T1410" t="str">
            <v/>
          </cell>
          <cell r="U1410" t="str">
            <v/>
          </cell>
          <cell r="V1410" t="str">
            <v>2018-12-13</v>
          </cell>
          <cell r="W1410" t="str">
            <v>2018-12-13 12:15:42</v>
          </cell>
          <cell r="X1410" t="str">
            <v>178921000</v>
          </cell>
        </row>
        <row r="1411">
          <cell r="A1411">
            <v>1407</v>
          </cell>
          <cell r="B1411" t="str">
            <v>2018-12-14</v>
          </cell>
          <cell r="C1411" t="str">
            <v>키즈락</v>
          </cell>
          <cell r="D1411">
            <v>0</v>
          </cell>
          <cell r="E1411" t="str">
            <v>일반</v>
          </cell>
          <cell r="F1411" t="str">
            <v>입고완료</v>
          </cell>
          <cell r="G1411">
            <v>197120</v>
          </cell>
          <cell r="H1411" t="str">
            <v>종가집 포기김치(숙성 10Kg/BOX)</v>
          </cell>
          <cell r="I1411" t="str">
            <v>BOX</v>
          </cell>
          <cell r="J1411">
            <v>2</v>
          </cell>
          <cell r="K1411">
            <v>2</v>
          </cell>
          <cell r="L1411">
            <v>31390</v>
          </cell>
          <cell r="M1411">
            <v>62780</v>
          </cell>
          <cell r="N1411">
            <v>0</v>
          </cell>
          <cell r="O1411">
            <v>62780</v>
          </cell>
          <cell r="P1411">
            <v>0</v>
          </cell>
          <cell r="Q1411" t="str">
            <v>한국</v>
          </cell>
          <cell r="R1411" t="str">
            <v>냉장</v>
          </cell>
          <cell r="S1411" t="str">
            <v>BOX(1)</v>
          </cell>
          <cell r="T1411" t="str">
            <v/>
          </cell>
          <cell r="U1411" t="str">
            <v/>
          </cell>
          <cell r="V1411" t="str">
            <v>2018-12-13</v>
          </cell>
          <cell r="W1411" t="str">
            <v>2018-12-13 12:22:41</v>
          </cell>
          <cell r="X1411" t="str">
            <v>178921000</v>
          </cell>
        </row>
        <row r="1412">
          <cell r="A1412">
            <v>1408</v>
          </cell>
          <cell r="B1412" t="str">
            <v>2018-12-14</v>
          </cell>
          <cell r="C1412" t="str">
            <v>키즈락</v>
          </cell>
          <cell r="D1412">
            <v>0</v>
          </cell>
          <cell r="E1412" t="str">
            <v>일반</v>
          </cell>
          <cell r="F1412" t="str">
            <v>입고완료</v>
          </cell>
          <cell r="G1412">
            <v>411038</v>
          </cell>
          <cell r="H1412" t="str">
            <v>누리웰 깐메추리알(1Kg/EA)</v>
          </cell>
          <cell r="I1412" t="str">
            <v>EA</v>
          </cell>
          <cell r="J1412">
            <v>3</v>
          </cell>
          <cell r="K1412">
            <v>3</v>
          </cell>
          <cell r="L1412">
            <v>4960</v>
          </cell>
          <cell r="M1412">
            <v>14880</v>
          </cell>
          <cell r="N1412">
            <v>1488</v>
          </cell>
          <cell r="O1412">
            <v>16368</v>
          </cell>
          <cell r="P1412">
            <v>0</v>
          </cell>
          <cell r="Q1412" t="str">
            <v>한국</v>
          </cell>
          <cell r="R1412" t="str">
            <v>냉장</v>
          </cell>
          <cell r="S1412" t="str">
            <v>EA(10)</v>
          </cell>
          <cell r="T1412" t="str">
            <v/>
          </cell>
          <cell r="U1412" t="str">
            <v/>
          </cell>
          <cell r="V1412" t="str">
            <v>2018-12-13</v>
          </cell>
          <cell r="W1412" t="str">
            <v>2018-12-13 12:48:46</v>
          </cell>
          <cell r="X1412" t="str">
            <v>178921000</v>
          </cell>
        </row>
        <row r="1413">
          <cell r="A1413">
            <v>1409</v>
          </cell>
          <cell r="B1413" t="str">
            <v>2018-12-14</v>
          </cell>
          <cell r="C1413" t="str">
            <v>키즈락</v>
          </cell>
          <cell r="D1413">
            <v>0</v>
          </cell>
          <cell r="E1413" t="str">
            <v>일반</v>
          </cell>
          <cell r="F1413" t="str">
            <v>입고완료</v>
          </cell>
          <cell r="G1413">
            <v>130452</v>
          </cell>
          <cell r="H1413" t="str">
            <v>사조오양 스모크햄(즉석 1Kg/EA)</v>
          </cell>
          <cell r="I1413" t="str">
            <v>EA</v>
          </cell>
          <cell r="J1413">
            <v>2</v>
          </cell>
          <cell r="K1413">
            <v>2</v>
          </cell>
          <cell r="L1413">
            <v>3650</v>
          </cell>
          <cell r="M1413">
            <v>7300</v>
          </cell>
          <cell r="N1413">
            <v>730</v>
          </cell>
          <cell r="O1413">
            <v>8030</v>
          </cell>
          <cell r="P1413">
            <v>0</v>
          </cell>
          <cell r="Q1413" t="str">
            <v/>
          </cell>
          <cell r="R1413" t="str">
            <v>냉장</v>
          </cell>
          <cell r="S1413" t="str">
            <v>EA(10)</v>
          </cell>
          <cell r="T1413" t="str">
            <v/>
          </cell>
          <cell r="U1413" t="str">
            <v/>
          </cell>
          <cell r="V1413" t="str">
            <v>2018-12-13</v>
          </cell>
          <cell r="W1413" t="str">
            <v>2018-12-13 12:49:10</v>
          </cell>
          <cell r="X1413" t="str">
            <v>178921000</v>
          </cell>
        </row>
        <row r="1414">
          <cell r="A1414">
            <v>1410</v>
          </cell>
          <cell r="B1414" t="str">
            <v>2018-12-14</v>
          </cell>
          <cell r="C1414" t="str">
            <v>키즈락</v>
          </cell>
          <cell r="D1414">
            <v>0</v>
          </cell>
          <cell r="E1414" t="str">
            <v>일반</v>
          </cell>
          <cell r="F1414" t="str">
            <v>입고완료</v>
          </cell>
          <cell r="G1414">
            <v>108471</v>
          </cell>
          <cell r="H1414" t="str">
            <v>로스팜 햄캔(1.8Kg/EA)</v>
          </cell>
          <cell r="I1414" t="str">
            <v>EA</v>
          </cell>
          <cell r="J1414">
            <v>12</v>
          </cell>
          <cell r="K1414">
            <v>12</v>
          </cell>
          <cell r="L1414">
            <v>15140</v>
          </cell>
          <cell r="M1414">
            <v>181680</v>
          </cell>
          <cell r="N1414">
            <v>18168</v>
          </cell>
          <cell r="O1414">
            <v>199848</v>
          </cell>
          <cell r="P1414">
            <v>0</v>
          </cell>
          <cell r="Q1414" t="str">
            <v>수입산</v>
          </cell>
          <cell r="R1414" t="str">
            <v>실온</v>
          </cell>
          <cell r="S1414" t="str">
            <v>EA(1)</v>
          </cell>
          <cell r="T1414" t="str">
            <v/>
          </cell>
          <cell r="U1414" t="str">
            <v/>
          </cell>
          <cell r="V1414" t="str">
            <v>2018-12-13</v>
          </cell>
          <cell r="W1414" t="str">
            <v>2018-12-13 12:57:52</v>
          </cell>
          <cell r="X1414" t="str">
            <v>178921000</v>
          </cell>
        </row>
        <row r="1415">
          <cell r="A1415">
            <v>1411</v>
          </cell>
          <cell r="B1415" t="str">
            <v>2018-12-14</v>
          </cell>
          <cell r="C1415" t="str">
            <v>키즈락</v>
          </cell>
          <cell r="D1415">
            <v>0</v>
          </cell>
          <cell r="E1415" t="str">
            <v>일반</v>
          </cell>
          <cell r="F1415" t="str">
            <v>입고완료</v>
          </cell>
          <cell r="G1415">
            <v>137759</v>
          </cell>
          <cell r="H1415" t="str">
            <v>이츠웰 토마토스파게티소스(NEW 2Kg/EA)</v>
          </cell>
          <cell r="I1415" t="str">
            <v>EA</v>
          </cell>
          <cell r="J1415">
            <v>6</v>
          </cell>
          <cell r="K1415">
            <v>6</v>
          </cell>
          <cell r="L1415">
            <v>7180</v>
          </cell>
          <cell r="M1415">
            <v>43080</v>
          </cell>
          <cell r="N1415">
            <v>4308</v>
          </cell>
          <cell r="O1415">
            <v>47388</v>
          </cell>
          <cell r="P1415">
            <v>0</v>
          </cell>
          <cell r="Q1415" t="str">
            <v/>
          </cell>
          <cell r="R1415" t="str">
            <v>냉장</v>
          </cell>
          <cell r="S1415" t="str">
            <v>EA(6)</v>
          </cell>
          <cell r="T1415" t="str">
            <v/>
          </cell>
          <cell r="U1415" t="str">
            <v/>
          </cell>
          <cell r="V1415" t="str">
            <v>2018-12-13</v>
          </cell>
          <cell r="W1415" t="str">
            <v>2018-12-13 14:06:11</v>
          </cell>
          <cell r="X1415" t="str">
            <v>178921000</v>
          </cell>
        </row>
        <row r="1416">
          <cell r="A1416">
            <v>1412</v>
          </cell>
          <cell r="B1416" t="str">
            <v>2018-12-14</v>
          </cell>
          <cell r="C1416" t="str">
            <v>키즈락</v>
          </cell>
          <cell r="D1416">
            <v>0</v>
          </cell>
          <cell r="E1416" t="str">
            <v>일반</v>
          </cell>
          <cell r="F1416" t="str">
            <v>입고완료</v>
          </cell>
          <cell r="G1416">
            <v>107250</v>
          </cell>
          <cell r="H1416" t="str">
            <v>이금기 굴소스(팬더 2.268Kg/EA)</v>
          </cell>
          <cell r="I1416" t="str">
            <v>EA</v>
          </cell>
          <cell r="J1416">
            <v>6</v>
          </cell>
          <cell r="K1416">
            <v>6</v>
          </cell>
          <cell r="L1416">
            <v>8030</v>
          </cell>
          <cell r="M1416">
            <v>48180</v>
          </cell>
          <cell r="N1416">
            <v>4818</v>
          </cell>
          <cell r="O1416">
            <v>52998</v>
          </cell>
          <cell r="P1416">
            <v>0</v>
          </cell>
          <cell r="Q1416" t="str">
            <v>홍콩</v>
          </cell>
          <cell r="R1416" t="str">
            <v>실온</v>
          </cell>
          <cell r="S1416" t="str">
            <v>EA(6)</v>
          </cell>
          <cell r="T1416" t="str">
            <v/>
          </cell>
          <cell r="U1416" t="str">
            <v/>
          </cell>
          <cell r="V1416" t="str">
            <v>2018-12-13</v>
          </cell>
          <cell r="W1416" t="str">
            <v>2018-12-13 14:06:52</v>
          </cell>
          <cell r="X1416" t="str">
            <v>178921000</v>
          </cell>
        </row>
        <row r="1417">
          <cell r="A1417">
            <v>1413</v>
          </cell>
          <cell r="B1417" t="str">
            <v>2018-12-14</v>
          </cell>
          <cell r="C1417" t="str">
            <v>키즈락</v>
          </cell>
          <cell r="D1417">
            <v>0</v>
          </cell>
          <cell r="E1417" t="str">
            <v>일반</v>
          </cell>
          <cell r="F1417" t="str">
            <v>입고완료</v>
          </cell>
          <cell r="G1417">
            <v>126873</v>
          </cell>
          <cell r="H1417" t="str">
            <v>해찬들 사계절쌈장(6.5Kg/EA)</v>
          </cell>
          <cell r="I1417" t="str">
            <v>EA</v>
          </cell>
          <cell r="J1417">
            <v>1</v>
          </cell>
          <cell r="K1417">
            <v>1</v>
          </cell>
          <cell r="L1417">
            <v>13130</v>
          </cell>
          <cell r="M1417">
            <v>13130</v>
          </cell>
          <cell r="N1417">
            <v>1313</v>
          </cell>
          <cell r="O1417">
            <v>14443</v>
          </cell>
          <cell r="P1417">
            <v>0</v>
          </cell>
          <cell r="Q1417" t="str">
            <v/>
          </cell>
          <cell r="R1417" t="str">
            <v>실온</v>
          </cell>
          <cell r="S1417" t="str">
            <v>EA(2)</v>
          </cell>
          <cell r="T1417" t="str">
            <v/>
          </cell>
          <cell r="U1417" t="str">
            <v/>
          </cell>
          <cell r="V1417" t="str">
            <v>2018-12-13</v>
          </cell>
          <cell r="W1417" t="str">
            <v>2018-12-13 14:07:21</v>
          </cell>
          <cell r="X1417" t="str">
            <v>178921000</v>
          </cell>
        </row>
        <row r="1418">
          <cell r="A1418">
            <v>1414</v>
          </cell>
          <cell r="B1418" t="str">
            <v>2018-12-14</v>
          </cell>
          <cell r="C1418" t="str">
            <v>키즈락</v>
          </cell>
          <cell r="D1418">
            <v>0</v>
          </cell>
          <cell r="E1418" t="str">
            <v>일반</v>
          </cell>
          <cell r="F1418" t="str">
            <v>입고완료</v>
          </cell>
          <cell r="G1418">
            <v>247824</v>
          </cell>
          <cell r="H1418" t="str">
            <v>주일 건다시마(실속 1Kg/EA)</v>
          </cell>
          <cell r="I1418" t="str">
            <v>EA</v>
          </cell>
          <cell r="J1418">
            <v>3</v>
          </cell>
          <cell r="K1418">
            <v>3</v>
          </cell>
          <cell r="L1418">
            <v>11100</v>
          </cell>
          <cell r="M1418">
            <v>33300</v>
          </cell>
          <cell r="N1418">
            <v>0</v>
          </cell>
          <cell r="O1418">
            <v>33300</v>
          </cell>
          <cell r="P1418">
            <v>0</v>
          </cell>
          <cell r="Q1418" t="str">
            <v>한국</v>
          </cell>
          <cell r="R1418" t="str">
            <v>실온</v>
          </cell>
          <cell r="S1418" t="str">
            <v>EA(20)</v>
          </cell>
          <cell r="T1418" t="str">
            <v/>
          </cell>
          <cell r="U1418" t="str">
            <v/>
          </cell>
          <cell r="V1418" t="str">
            <v>2018-12-13</v>
          </cell>
          <cell r="W1418" t="str">
            <v>2018-12-13 14:07:21</v>
          </cell>
          <cell r="X1418" t="str">
            <v>178921000</v>
          </cell>
        </row>
        <row r="1419">
          <cell r="A1419">
            <v>1415</v>
          </cell>
          <cell r="B1419" t="str">
            <v>2018-12-14</v>
          </cell>
          <cell r="C1419" t="str">
            <v>키즈락</v>
          </cell>
          <cell r="D1419">
            <v>0</v>
          </cell>
          <cell r="E1419" t="str">
            <v>일반</v>
          </cell>
          <cell r="F1419" t="str">
            <v>입고완료</v>
          </cell>
          <cell r="G1419">
            <v>145381</v>
          </cell>
          <cell r="H1419" t="str">
            <v>밀크마스터 흰우유(1L 1Kg/EA)</v>
          </cell>
          <cell r="I1419" t="str">
            <v>EA</v>
          </cell>
          <cell r="J1419">
            <v>2</v>
          </cell>
          <cell r="K1419">
            <v>2</v>
          </cell>
          <cell r="L1419">
            <v>1990</v>
          </cell>
          <cell r="M1419">
            <v>3980</v>
          </cell>
          <cell r="N1419">
            <v>0</v>
          </cell>
          <cell r="O1419">
            <v>3980</v>
          </cell>
          <cell r="P1419">
            <v>0</v>
          </cell>
          <cell r="Q1419" t="str">
            <v>한국</v>
          </cell>
          <cell r="R1419" t="str">
            <v>냉장</v>
          </cell>
          <cell r="S1419" t="str">
            <v>EA(16)</v>
          </cell>
          <cell r="T1419" t="str">
            <v/>
          </cell>
          <cell r="U1419" t="str">
            <v/>
          </cell>
          <cell r="V1419" t="str">
            <v>2018-12-13</v>
          </cell>
          <cell r="W1419" t="str">
            <v>2018-12-13 14:09:24</v>
          </cell>
          <cell r="X1419" t="str">
            <v>178921000</v>
          </cell>
        </row>
        <row r="1420">
          <cell r="A1420">
            <v>1416</v>
          </cell>
          <cell r="B1420" t="str">
            <v>2018-12-14</v>
          </cell>
          <cell r="C1420" t="str">
            <v>키즈락</v>
          </cell>
          <cell r="D1420">
            <v>0</v>
          </cell>
          <cell r="E1420" t="str">
            <v>일반</v>
          </cell>
          <cell r="F1420" t="str">
            <v>입고완료</v>
          </cell>
          <cell r="G1420">
            <v>526202</v>
          </cell>
          <cell r="H1420" t="str">
            <v>마미손 고무장갑(분홍색_대L EA)</v>
          </cell>
          <cell r="I1420" t="str">
            <v>EA</v>
          </cell>
          <cell r="J1420">
            <v>10</v>
          </cell>
          <cell r="K1420">
            <v>10</v>
          </cell>
          <cell r="L1420">
            <v>1340</v>
          </cell>
          <cell r="M1420">
            <v>13400</v>
          </cell>
          <cell r="N1420">
            <v>1340</v>
          </cell>
          <cell r="O1420">
            <v>14740</v>
          </cell>
          <cell r="P1420">
            <v>0</v>
          </cell>
          <cell r="Q1420" t="str">
            <v/>
          </cell>
          <cell r="R1420" t="str">
            <v>실온</v>
          </cell>
          <cell r="S1420" t="str">
            <v>EA(100)</v>
          </cell>
          <cell r="T1420" t="str">
            <v/>
          </cell>
          <cell r="U1420" t="str">
            <v/>
          </cell>
          <cell r="V1420" t="str">
            <v>2018-12-13</v>
          </cell>
          <cell r="W1420" t="str">
            <v>2018-12-13 14:11:00</v>
          </cell>
          <cell r="X1420" t="str">
            <v>178921000</v>
          </cell>
        </row>
        <row r="1421">
          <cell r="A1421">
            <v>1417</v>
          </cell>
          <cell r="B1421" t="str">
            <v>2018-12-14</v>
          </cell>
          <cell r="C1421" t="str">
            <v>키즈락</v>
          </cell>
          <cell r="D1421">
            <v>0</v>
          </cell>
          <cell r="E1421" t="str">
            <v>일반</v>
          </cell>
          <cell r="F1421" t="str">
            <v>입고완료</v>
          </cell>
          <cell r="G1421">
            <v>526200</v>
          </cell>
          <cell r="H1421" t="str">
            <v>마미손 고무장갑(화이트(아이보리)_특대XL EA)</v>
          </cell>
          <cell r="I1421" t="str">
            <v>EA</v>
          </cell>
          <cell r="J1421">
            <v>10</v>
          </cell>
          <cell r="K1421">
            <v>10</v>
          </cell>
          <cell r="L1421">
            <v>1440</v>
          </cell>
          <cell r="M1421">
            <v>14400</v>
          </cell>
          <cell r="N1421">
            <v>1440</v>
          </cell>
          <cell r="O1421">
            <v>15840</v>
          </cell>
          <cell r="P1421">
            <v>0</v>
          </cell>
          <cell r="Q1421" t="str">
            <v/>
          </cell>
          <cell r="R1421" t="str">
            <v>실온</v>
          </cell>
          <cell r="S1421" t="str">
            <v>EA(100)</v>
          </cell>
          <cell r="T1421" t="str">
            <v/>
          </cell>
          <cell r="U1421" t="str">
            <v/>
          </cell>
          <cell r="V1421" t="str">
            <v>2018-12-13</v>
          </cell>
          <cell r="W1421" t="str">
            <v>2018-12-13 14:11:00</v>
          </cell>
          <cell r="X1421" t="str">
            <v>178921000</v>
          </cell>
        </row>
        <row r="1422">
          <cell r="A1422">
            <v>1418</v>
          </cell>
          <cell r="B1422" t="str">
            <v>2018-12-14</v>
          </cell>
          <cell r="C1422" t="str">
            <v>키즈락</v>
          </cell>
          <cell r="D1422">
            <v>0</v>
          </cell>
          <cell r="E1422" t="str">
            <v>일반</v>
          </cell>
          <cell r="F1422" t="str">
            <v>입고완료</v>
          </cell>
          <cell r="G1422">
            <v>308188</v>
          </cell>
          <cell r="H1422" t="str">
            <v>조기(무염_70~90g/마리 80g/EA)</v>
          </cell>
          <cell r="I1422" t="str">
            <v>EA</v>
          </cell>
          <cell r="J1422">
            <v>50</v>
          </cell>
          <cell r="K1422">
            <v>50</v>
          </cell>
          <cell r="L1422">
            <v>990</v>
          </cell>
          <cell r="M1422">
            <v>49500</v>
          </cell>
          <cell r="N1422">
            <v>0</v>
          </cell>
          <cell r="O1422">
            <v>49500</v>
          </cell>
          <cell r="P1422">
            <v>0</v>
          </cell>
          <cell r="Q1422" t="str">
            <v>중국</v>
          </cell>
          <cell r="R1422" t="str">
            <v>냉동</v>
          </cell>
          <cell r="S1422" t="str">
            <v>EA(1)</v>
          </cell>
          <cell r="T1422" t="str">
            <v/>
          </cell>
          <cell r="U1422" t="str">
            <v/>
          </cell>
          <cell r="V1422" t="str">
            <v>2018-12-13</v>
          </cell>
          <cell r="W1422" t="str">
            <v>2018-12-13 14:15:49</v>
          </cell>
          <cell r="X1422" t="str">
            <v>178921000</v>
          </cell>
        </row>
        <row r="1423">
          <cell r="A1423">
            <v>1419</v>
          </cell>
          <cell r="B1423" t="str">
            <v>2018-12-14</v>
          </cell>
          <cell r="C1423" t="str">
            <v>키즈락</v>
          </cell>
          <cell r="D1423">
            <v>0</v>
          </cell>
          <cell r="E1423" t="str">
            <v>일반</v>
          </cell>
          <cell r="F1423" t="str">
            <v>입고완료</v>
          </cell>
          <cell r="G1423">
            <v>204973</v>
          </cell>
          <cell r="H1423" t="str">
            <v>냉동대파(1Kg/PAC)</v>
          </cell>
          <cell r="I1423" t="str">
            <v>PAC</v>
          </cell>
          <cell r="J1423">
            <v>20</v>
          </cell>
          <cell r="K1423">
            <v>20</v>
          </cell>
          <cell r="L1423">
            <v>1400</v>
          </cell>
          <cell r="M1423">
            <v>28000</v>
          </cell>
          <cell r="N1423">
            <v>0</v>
          </cell>
          <cell r="O1423">
            <v>28000</v>
          </cell>
          <cell r="P1423">
            <v>0</v>
          </cell>
          <cell r="Q1423" t="str">
            <v>중국</v>
          </cell>
          <cell r="R1423" t="str">
            <v>냉동</v>
          </cell>
          <cell r="S1423" t="str">
            <v>PAC(1)</v>
          </cell>
          <cell r="T1423" t="str">
            <v/>
          </cell>
          <cell r="U1423" t="str">
            <v/>
          </cell>
          <cell r="V1423" t="str">
            <v>2018-12-13</v>
          </cell>
          <cell r="W1423" t="str">
            <v>2018-12-13 14:19:27</v>
          </cell>
          <cell r="X1423" t="str">
            <v>178921000</v>
          </cell>
        </row>
        <row r="1424">
          <cell r="A1424">
            <v>1420</v>
          </cell>
          <cell r="B1424" t="str">
            <v>2018-12-14</v>
          </cell>
          <cell r="C1424" t="str">
            <v>키즈락</v>
          </cell>
          <cell r="D1424">
            <v>0</v>
          </cell>
          <cell r="E1424" t="str">
            <v>일반</v>
          </cell>
          <cell r="F1424" t="str">
            <v>입고완료</v>
          </cell>
          <cell r="G1424">
            <v>198262</v>
          </cell>
          <cell r="H1424" t="str">
            <v>새송이버섯(상품 15일단가주기용 500g/EA)</v>
          </cell>
          <cell r="I1424" t="str">
            <v>EA</v>
          </cell>
          <cell r="J1424">
            <v>2</v>
          </cell>
          <cell r="K1424">
            <v>2</v>
          </cell>
          <cell r="L1424">
            <v>2460</v>
          </cell>
          <cell r="M1424">
            <v>4920</v>
          </cell>
          <cell r="N1424">
            <v>0</v>
          </cell>
          <cell r="O1424">
            <v>4920</v>
          </cell>
          <cell r="P1424">
            <v>0</v>
          </cell>
          <cell r="Q1424" t="str">
            <v>한국</v>
          </cell>
          <cell r="R1424" t="str">
            <v>냉장</v>
          </cell>
          <cell r="S1424" t="str">
            <v>EA(1)</v>
          </cell>
          <cell r="T1424" t="str">
            <v/>
          </cell>
          <cell r="U1424" t="str">
            <v/>
          </cell>
          <cell r="V1424" t="str">
            <v>2018-12-13</v>
          </cell>
          <cell r="W1424" t="str">
            <v>2018-12-13 14:23:57</v>
          </cell>
          <cell r="X1424" t="str">
            <v>178921000</v>
          </cell>
        </row>
        <row r="1425">
          <cell r="A1425">
            <v>1421</v>
          </cell>
          <cell r="B1425" t="str">
            <v>2018-12-14</v>
          </cell>
          <cell r="C1425" t="str">
            <v>키즈락</v>
          </cell>
          <cell r="D1425">
            <v>0</v>
          </cell>
          <cell r="E1425" t="str">
            <v>일반</v>
          </cell>
          <cell r="F1425" t="str">
            <v>입고완료</v>
          </cell>
          <cell r="G1425">
            <v>203294</v>
          </cell>
          <cell r="H1425" t="str">
            <v>느타리버섯(상품 다발 KG)</v>
          </cell>
          <cell r="I1425" t="str">
            <v>KG</v>
          </cell>
          <cell r="J1425">
            <v>1</v>
          </cell>
          <cell r="K1425">
            <v>1</v>
          </cell>
          <cell r="L1425">
            <v>3120</v>
          </cell>
          <cell r="M1425">
            <v>3120</v>
          </cell>
          <cell r="N1425">
            <v>0</v>
          </cell>
          <cell r="O1425">
            <v>3120</v>
          </cell>
          <cell r="P1425">
            <v>0</v>
          </cell>
          <cell r="Q1425" t="str">
            <v>한국</v>
          </cell>
          <cell r="R1425" t="str">
            <v>냉장</v>
          </cell>
          <cell r="S1425" t="str">
            <v>KG(1)</v>
          </cell>
          <cell r="T1425" t="str">
            <v/>
          </cell>
          <cell r="U1425" t="str">
            <v/>
          </cell>
          <cell r="V1425" t="str">
            <v>2018-12-13</v>
          </cell>
          <cell r="W1425" t="str">
            <v>2018-12-13 14:23:57</v>
          </cell>
          <cell r="X1425" t="str">
            <v>178921000</v>
          </cell>
        </row>
        <row r="1426">
          <cell r="A1426">
            <v>1422</v>
          </cell>
          <cell r="B1426" t="str">
            <v>2018-12-14</v>
          </cell>
          <cell r="C1426" t="str">
            <v>키즈락</v>
          </cell>
          <cell r="D1426">
            <v>0</v>
          </cell>
          <cell r="E1426" t="str">
            <v>일반</v>
          </cell>
          <cell r="F1426" t="str">
            <v>입고완료</v>
          </cell>
          <cell r="G1426">
            <v>225867</v>
          </cell>
          <cell r="H1426" t="str">
            <v>프레시웨이 절단낙지(M 500g/EA)</v>
          </cell>
          <cell r="I1426" t="str">
            <v>EA</v>
          </cell>
          <cell r="J1426">
            <v>4</v>
          </cell>
          <cell r="K1426">
            <v>4</v>
          </cell>
          <cell r="L1426">
            <v>5520</v>
          </cell>
          <cell r="M1426">
            <v>22080</v>
          </cell>
          <cell r="N1426">
            <v>0</v>
          </cell>
          <cell r="O1426">
            <v>22080</v>
          </cell>
          <cell r="P1426">
            <v>0</v>
          </cell>
          <cell r="Q1426" t="str">
            <v>베트남</v>
          </cell>
          <cell r="R1426" t="str">
            <v>냉동</v>
          </cell>
          <cell r="S1426" t="str">
            <v>EA(6)</v>
          </cell>
          <cell r="T1426" t="str">
            <v/>
          </cell>
          <cell r="U1426" t="str">
            <v/>
          </cell>
          <cell r="V1426" t="str">
            <v>2018-12-13</v>
          </cell>
          <cell r="W1426" t="str">
            <v>2018-12-13 14:25:25</v>
          </cell>
          <cell r="X1426" t="str">
            <v>178921000</v>
          </cell>
        </row>
        <row r="1427">
          <cell r="A1427">
            <v>1423</v>
          </cell>
          <cell r="B1427" t="str">
            <v>2018-12-14</v>
          </cell>
          <cell r="C1427" t="str">
            <v>키즈락</v>
          </cell>
          <cell r="D1427">
            <v>0</v>
          </cell>
          <cell r="E1427" t="str">
            <v>일반</v>
          </cell>
          <cell r="F1427" t="str">
            <v>입고완료</v>
          </cell>
          <cell r="G1427">
            <v>141158</v>
          </cell>
          <cell r="H1427" t="str">
            <v>사조대림 종합어묵(선 1Kg/EA)</v>
          </cell>
          <cell r="I1427" t="str">
            <v>EA</v>
          </cell>
          <cell r="J1427">
            <v>2</v>
          </cell>
          <cell r="K1427">
            <v>2</v>
          </cell>
          <cell r="L1427">
            <v>3950</v>
          </cell>
          <cell r="M1427">
            <v>7900</v>
          </cell>
          <cell r="N1427">
            <v>790</v>
          </cell>
          <cell r="O1427">
            <v>8690</v>
          </cell>
          <cell r="P1427">
            <v>0</v>
          </cell>
          <cell r="Q1427" t="str">
            <v/>
          </cell>
          <cell r="R1427" t="str">
            <v>냉장</v>
          </cell>
          <cell r="S1427" t="str">
            <v>EA(10)</v>
          </cell>
          <cell r="T1427" t="str">
            <v/>
          </cell>
          <cell r="U1427" t="str">
            <v/>
          </cell>
          <cell r="V1427" t="str">
            <v>2018-12-13</v>
          </cell>
          <cell r="W1427" t="str">
            <v>2018-12-13 14:26:59</v>
          </cell>
          <cell r="X1427" t="str">
            <v>178921000</v>
          </cell>
        </row>
        <row r="1428">
          <cell r="A1428">
            <v>1424</v>
          </cell>
          <cell r="B1428" t="str">
            <v>2018-12-14</v>
          </cell>
          <cell r="C1428" t="str">
            <v>키즈락</v>
          </cell>
          <cell r="D1428">
            <v>0</v>
          </cell>
          <cell r="E1428" t="str">
            <v>일반</v>
          </cell>
          <cell r="F1428" t="str">
            <v>입고완료</v>
          </cell>
          <cell r="G1428">
            <v>244614</v>
          </cell>
          <cell r="H1428" t="str">
            <v>돈전지(0.3cm두께 불고기용 KG)</v>
          </cell>
          <cell r="I1428" t="str">
            <v>KG</v>
          </cell>
          <cell r="J1428">
            <v>1</v>
          </cell>
          <cell r="K1428">
            <v>1</v>
          </cell>
          <cell r="L1428">
            <v>4800</v>
          </cell>
          <cell r="M1428">
            <v>4800</v>
          </cell>
          <cell r="N1428">
            <v>0</v>
          </cell>
          <cell r="O1428">
            <v>4800</v>
          </cell>
          <cell r="P1428">
            <v>0</v>
          </cell>
          <cell r="Q1428" t="str">
            <v>미국</v>
          </cell>
          <cell r="R1428" t="str">
            <v>냉동</v>
          </cell>
          <cell r="S1428" t="str">
            <v>KG(1)</v>
          </cell>
          <cell r="T1428" t="str">
            <v>HDMULBKR3505279</v>
          </cell>
          <cell r="U1428" t="str">
            <v/>
          </cell>
          <cell r="V1428" t="str">
            <v>2018-12-13</v>
          </cell>
          <cell r="W1428" t="str">
            <v>2018-12-13 14:30:06</v>
          </cell>
          <cell r="X1428" t="str">
            <v>178921000</v>
          </cell>
        </row>
        <row r="1429">
          <cell r="A1429">
            <v>1425</v>
          </cell>
          <cell r="B1429" t="str">
            <v>2018-12-14</v>
          </cell>
          <cell r="C1429" t="str">
            <v>키즈락</v>
          </cell>
          <cell r="D1429">
            <v>0</v>
          </cell>
          <cell r="E1429" t="str">
            <v>일반</v>
          </cell>
          <cell r="F1429" t="str">
            <v>입고완료</v>
          </cell>
          <cell r="G1429">
            <v>319698</v>
          </cell>
          <cell r="H1429" t="str">
            <v>전장김(25g/EA)</v>
          </cell>
          <cell r="I1429" t="str">
            <v>EA</v>
          </cell>
          <cell r="J1429">
            <v>24</v>
          </cell>
          <cell r="K1429">
            <v>24</v>
          </cell>
          <cell r="L1429">
            <v>760</v>
          </cell>
          <cell r="M1429">
            <v>18240</v>
          </cell>
          <cell r="N1429">
            <v>1824</v>
          </cell>
          <cell r="O1429">
            <v>20064</v>
          </cell>
          <cell r="P1429">
            <v>0</v>
          </cell>
          <cell r="Q1429" t="str">
            <v>한국</v>
          </cell>
          <cell r="R1429" t="str">
            <v>실온</v>
          </cell>
          <cell r="S1429" t="str">
            <v>EA(40)</v>
          </cell>
          <cell r="T1429" t="str">
            <v/>
          </cell>
          <cell r="U1429" t="str">
            <v/>
          </cell>
          <cell r="V1429" t="str">
            <v>2018-12-13</v>
          </cell>
          <cell r="W1429" t="str">
            <v>2018-12-13 14:32:35</v>
          </cell>
          <cell r="X1429" t="str">
            <v>178921000</v>
          </cell>
        </row>
        <row r="1430">
          <cell r="A1430">
            <v>1426</v>
          </cell>
          <cell r="B1430" t="str">
            <v>2018-12-14</v>
          </cell>
          <cell r="C1430" t="str">
            <v>키즈락</v>
          </cell>
          <cell r="D1430">
            <v>0</v>
          </cell>
          <cell r="E1430" t="str">
            <v>일반</v>
          </cell>
          <cell r="F1430" t="str">
            <v>입고완료</v>
          </cell>
          <cell r="G1430">
            <v>247439</v>
          </cell>
          <cell r="H1430" t="str">
            <v>웰넛 건포도(1Kg/EA)</v>
          </cell>
          <cell r="I1430" t="str">
            <v>EA</v>
          </cell>
          <cell r="J1430">
            <v>2</v>
          </cell>
          <cell r="K1430">
            <v>2</v>
          </cell>
          <cell r="L1430">
            <v>6000</v>
          </cell>
          <cell r="M1430">
            <v>12000</v>
          </cell>
          <cell r="N1430">
            <v>1200</v>
          </cell>
          <cell r="O1430">
            <v>13200</v>
          </cell>
          <cell r="P1430">
            <v>0</v>
          </cell>
          <cell r="Q1430" t="str">
            <v>미국</v>
          </cell>
          <cell r="R1430" t="str">
            <v>실온</v>
          </cell>
          <cell r="S1430" t="str">
            <v>EA(1)</v>
          </cell>
          <cell r="T1430" t="str">
            <v/>
          </cell>
          <cell r="U1430" t="str">
            <v/>
          </cell>
          <cell r="V1430" t="str">
            <v>2018-12-13</v>
          </cell>
          <cell r="W1430" t="str">
            <v>2018-12-13 14:34:12</v>
          </cell>
          <cell r="X1430" t="str">
            <v>178921000</v>
          </cell>
        </row>
        <row r="1431">
          <cell r="A1431">
            <v>1427</v>
          </cell>
          <cell r="B1431" t="str">
            <v>2018-12-14</v>
          </cell>
          <cell r="C1431" t="str">
            <v>키즈락</v>
          </cell>
          <cell r="D1431">
            <v>0</v>
          </cell>
          <cell r="E1431" t="str">
            <v>일반</v>
          </cell>
          <cell r="F1431" t="str">
            <v>입고완료</v>
          </cell>
          <cell r="G1431">
            <v>197504</v>
          </cell>
          <cell r="H1431" t="str">
            <v>종가집 백김치(숙성 5Kg/BOX)</v>
          </cell>
          <cell r="I1431" t="str">
            <v>BOX</v>
          </cell>
          <cell r="J1431">
            <v>6</v>
          </cell>
          <cell r="K1431">
            <v>6</v>
          </cell>
          <cell r="L1431">
            <v>16380</v>
          </cell>
          <cell r="M1431">
            <v>98280</v>
          </cell>
          <cell r="N1431">
            <v>0</v>
          </cell>
          <cell r="O1431">
            <v>98280</v>
          </cell>
          <cell r="P1431">
            <v>0</v>
          </cell>
          <cell r="Q1431" t="str">
            <v>한국</v>
          </cell>
          <cell r="R1431" t="str">
            <v>냉장</v>
          </cell>
          <cell r="S1431" t="str">
            <v>BOX(1)</v>
          </cell>
          <cell r="T1431" t="str">
            <v/>
          </cell>
          <cell r="U1431" t="str">
            <v/>
          </cell>
          <cell r="V1431" t="str">
            <v>2018-12-13</v>
          </cell>
          <cell r="W1431" t="str">
            <v>2018-12-13 14:39:37</v>
          </cell>
          <cell r="X1431" t="str">
            <v>178921000</v>
          </cell>
        </row>
        <row r="1432">
          <cell r="A1432">
            <v>1428</v>
          </cell>
          <cell r="B1432" t="str">
            <v>2018-12-14</v>
          </cell>
          <cell r="C1432" t="str">
            <v>키즈락</v>
          </cell>
          <cell r="D1432">
            <v>0</v>
          </cell>
          <cell r="E1432" t="str">
            <v>일반</v>
          </cell>
          <cell r="F1432" t="str">
            <v>입고완료</v>
          </cell>
          <cell r="G1432">
            <v>192878</v>
          </cell>
          <cell r="H1432" t="str">
            <v>소이원 콩나물(곱슬이_단채 KG)</v>
          </cell>
          <cell r="I1432" t="str">
            <v>KG</v>
          </cell>
          <cell r="J1432">
            <v>8</v>
          </cell>
          <cell r="K1432">
            <v>8</v>
          </cell>
          <cell r="L1432">
            <v>930</v>
          </cell>
          <cell r="M1432">
            <v>7440</v>
          </cell>
          <cell r="N1432">
            <v>0</v>
          </cell>
          <cell r="O1432">
            <v>7440</v>
          </cell>
          <cell r="P1432">
            <v>0</v>
          </cell>
          <cell r="Q1432" t="str">
            <v>외국산</v>
          </cell>
          <cell r="R1432" t="str">
            <v>냉장</v>
          </cell>
          <cell r="S1432" t="str">
            <v>KG(1)</v>
          </cell>
          <cell r="T1432" t="str">
            <v/>
          </cell>
          <cell r="U1432" t="str">
            <v/>
          </cell>
          <cell r="V1432" t="str">
            <v>2018-12-13</v>
          </cell>
          <cell r="W1432" t="str">
            <v>2018-12-13 14:42:35</v>
          </cell>
          <cell r="X1432" t="str">
            <v>178921000</v>
          </cell>
        </row>
        <row r="1433">
          <cell r="A1433">
            <v>1429</v>
          </cell>
          <cell r="B1433" t="str">
            <v>2018-12-14</v>
          </cell>
          <cell r="C1433" t="str">
            <v>키즈락</v>
          </cell>
          <cell r="D1433">
            <v>0</v>
          </cell>
          <cell r="E1433" t="str">
            <v>일반</v>
          </cell>
          <cell r="F1433" t="str">
            <v>입고완료</v>
          </cell>
          <cell r="G1433">
            <v>200711</v>
          </cell>
          <cell r="H1433" t="str">
            <v>꽈리고추(상품 KG)</v>
          </cell>
          <cell r="I1433" t="str">
            <v>KG</v>
          </cell>
          <cell r="J1433">
            <v>1</v>
          </cell>
          <cell r="K1433">
            <v>1</v>
          </cell>
          <cell r="L1433">
            <v>7060</v>
          </cell>
          <cell r="M1433">
            <v>7060</v>
          </cell>
          <cell r="N1433">
            <v>0</v>
          </cell>
          <cell r="O1433">
            <v>7060</v>
          </cell>
          <cell r="P1433">
            <v>0</v>
          </cell>
          <cell r="Q1433" t="str">
            <v>한국</v>
          </cell>
          <cell r="R1433" t="str">
            <v>냉장</v>
          </cell>
          <cell r="S1433" t="str">
            <v>KG(1)</v>
          </cell>
          <cell r="T1433" t="str">
            <v/>
          </cell>
          <cell r="U1433" t="str">
            <v/>
          </cell>
          <cell r="V1433" t="str">
            <v>2018-12-13</v>
          </cell>
          <cell r="W1433" t="str">
            <v>2018-12-13 14:46:48</v>
          </cell>
          <cell r="X1433" t="str">
            <v>178921000</v>
          </cell>
        </row>
        <row r="1434">
          <cell r="A1434">
            <v>1430</v>
          </cell>
          <cell r="B1434" t="str">
            <v>2018-12-14</v>
          </cell>
          <cell r="C1434" t="str">
            <v>키즈락</v>
          </cell>
          <cell r="D1434">
            <v>0</v>
          </cell>
          <cell r="E1434" t="str">
            <v>일반</v>
          </cell>
          <cell r="F1434" t="str">
            <v>입고완료</v>
          </cell>
          <cell r="G1434">
            <v>125921</v>
          </cell>
          <cell r="H1434" t="str">
            <v>튼튼스쿨 쥬시햄벅스테이크(60g*16입 960g/EA)</v>
          </cell>
          <cell r="I1434" t="str">
            <v>EA</v>
          </cell>
          <cell r="J1434">
            <v>12</v>
          </cell>
          <cell r="K1434">
            <v>12</v>
          </cell>
          <cell r="L1434">
            <v>8850</v>
          </cell>
          <cell r="M1434">
            <v>106200</v>
          </cell>
          <cell r="N1434">
            <v>10620</v>
          </cell>
          <cell r="O1434">
            <v>116820</v>
          </cell>
          <cell r="P1434">
            <v>0</v>
          </cell>
          <cell r="Q1434" t="str">
            <v/>
          </cell>
          <cell r="R1434" t="str">
            <v>냉동</v>
          </cell>
          <cell r="S1434" t="str">
            <v>EA(6)</v>
          </cell>
          <cell r="T1434" t="str">
            <v/>
          </cell>
          <cell r="U1434" t="str">
            <v/>
          </cell>
          <cell r="V1434" t="str">
            <v>2018-12-13</v>
          </cell>
          <cell r="W1434" t="str">
            <v>2018-12-13 14:55:38</v>
          </cell>
          <cell r="X1434" t="str">
            <v>178921000</v>
          </cell>
        </row>
        <row r="1435">
          <cell r="A1435">
            <v>1431</v>
          </cell>
          <cell r="B1435" t="str">
            <v>2018-12-13</v>
          </cell>
          <cell r="C1435">
            <v>0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</row>
        <row r="1436">
          <cell r="A1436">
            <v>1432</v>
          </cell>
          <cell r="B1436" t="str">
            <v>2018-12-13</v>
          </cell>
          <cell r="C1436" t="str">
            <v>키즈락</v>
          </cell>
          <cell r="D1436">
            <v>0</v>
          </cell>
          <cell r="E1436" t="str">
            <v>일반</v>
          </cell>
          <cell r="F1436" t="str">
            <v>입고완료</v>
          </cell>
          <cell r="G1436">
            <v>160746</v>
          </cell>
          <cell r="H1436" t="str">
            <v>서울우유 바나나우유(200ml 200g/EA)</v>
          </cell>
          <cell r="I1436" t="str">
            <v>EA</v>
          </cell>
          <cell r="J1436">
            <v>57</v>
          </cell>
          <cell r="K1436">
            <v>57</v>
          </cell>
          <cell r="L1436">
            <v>490</v>
          </cell>
          <cell r="M1436">
            <v>27930</v>
          </cell>
          <cell r="N1436">
            <v>2793</v>
          </cell>
          <cell r="O1436">
            <v>30723</v>
          </cell>
          <cell r="P1436">
            <v>0</v>
          </cell>
          <cell r="Q1436" t="str">
            <v/>
          </cell>
          <cell r="R1436" t="str">
            <v>냉장</v>
          </cell>
          <cell r="S1436" t="str">
            <v>EA(1)</v>
          </cell>
          <cell r="T1436" t="str">
            <v/>
          </cell>
          <cell r="U1436" t="str">
            <v/>
          </cell>
          <cell r="V1436" t="str">
            <v>2018-12-07</v>
          </cell>
          <cell r="W1436" t="str">
            <v>2018-12-07 14:19:21</v>
          </cell>
          <cell r="X1436" t="str">
            <v>178921000</v>
          </cell>
        </row>
        <row r="1437">
          <cell r="A1437">
            <v>1433</v>
          </cell>
          <cell r="B1437" t="str">
            <v>2018-12-13</v>
          </cell>
          <cell r="C1437" t="str">
            <v>키즈락</v>
          </cell>
          <cell r="D1437">
            <v>0</v>
          </cell>
          <cell r="E1437" t="str">
            <v>일반</v>
          </cell>
          <cell r="F1437" t="str">
            <v>입고완료</v>
          </cell>
          <cell r="G1437">
            <v>146368</v>
          </cell>
          <cell r="H1437" t="str">
            <v>뚜레쥬르 머핀(달콤한초코칩 55g/EA)</v>
          </cell>
          <cell r="I1437" t="str">
            <v>EA</v>
          </cell>
          <cell r="J1437">
            <v>80</v>
          </cell>
          <cell r="K1437">
            <v>80</v>
          </cell>
          <cell r="L1437">
            <v>480</v>
          </cell>
          <cell r="M1437">
            <v>38400</v>
          </cell>
          <cell r="N1437">
            <v>3840</v>
          </cell>
          <cell r="O1437">
            <v>42240</v>
          </cell>
          <cell r="P1437">
            <v>0</v>
          </cell>
          <cell r="Q1437" t="str">
            <v/>
          </cell>
          <cell r="R1437" t="str">
            <v>실온</v>
          </cell>
          <cell r="S1437" t="str">
            <v>EA(1)</v>
          </cell>
          <cell r="T1437" t="str">
            <v/>
          </cell>
          <cell r="U1437" t="str">
            <v/>
          </cell>
          <cell r="V1437" t="str">
            <v>2018-12-07</v>
          </cell>
          <cell r="W1437" t="str">
            <v>2018-12-07 14:19:50</v>
          </cell>
          <cell r="X1437" t="str">
            <v>178921000</v>
          </cell>
        </row>
        <row r="1438">
          <cell r="A1438">
            <v>1434</v>
          </cell>
          <cell r="B1438" t="str">
            <v>2018-12-13</v>
          </cell>
          <cell r="C1438" t="str">
            <v>키즈락</v>
          </cell>
          <cell r="D1438">
            <v>0</v>
          </cell>
          <cell r="E1438" t="str">
            <v>일반</v>
          </cell>
          <cell r="F1438" t="str">
            <v>입고완료</v>
          </cell>
          <cell r="G1438">
            <v>410402</v>
          </cell>
          <cell r="H1438" t="str">
            <v>체리부로 닭다리살(무항생_깍둑썰기_껍질있음 KG)</v>
          </cell>
          <cell r="I1438" t="str">
            <v>KG</v>
          </cell>
          <cell r="J1438">
            <v>86</v>
          </cell>
          <cell r="K1438">
            <v>86</v>
          </cell>
          <cell r="L1438">
            <v>7080</v>
          </cell>
          <cell r="M1438">
            <v>608880</v>
          </cell>
          <cell r="N1438">
            <v>0</v>
          </cell>
          <cell r="O1438">
            <v>608880</v>
          </cell>
          <cell r="P1438">
            <v>608880</v>
          </cell>
          <cell r="Q1438" t="str">
            <v>한국</v>
          </cell>
          <cell r="R1438" t="str">
            <v>냉장</v>
          </cell>
          <cell r="S1438" t="str">
            <v>KG(1)</v>
          </cell>
          <cell r="T1438" t="str">
            <v/>
          </cell>
          <cell r="U1438" t="str">
            <v/>
          </cell>
          <cell r="V1438" t="str">
            <v>2018-12-11</v>
          </cell>
          <cell r="W1438" t="str">
            <v>2018-12-11 10:53:55</v>
          </cell>
          <cell r="X1438" t="str">
            <v>178921000</v>
          </cell>
        </row>
        <row r="1439">
          <cell r="A1439">
            <v>1435</v>
          </cell>
          <cell r="B1439" t="str">
            <v>2018-12-13</v>
          </cell>
          <cell r="C1439" t="str">
            <v>키즈락</v>
          </cell>
          <cell r="D1439">
            <v>0</v>
          </cell>
          <cell r="E1439" t="str">
            <v>일반</v>
          </cell>
          <cell r="F1439" t="str">
            <v>입고완료</v>
          </cell>
          <cell r="G1439">
            <v>134238</v>
          </cell>
          <cell r="H1439" t="str">
            <v>사옹원 궁중녹두전(900g/EA)</v>
          </cell>
          <cell r="I1439" t="str">
            <v>EA</v>
          </cell>
          <cell r="J1439">
            <v>32</v>
          </cell>
          <cell r="K1439">
            <v>32</v>
          </cell>
          <cell r="L1439">
            <v>8320</v>
          </cell>
          <cell r="M1439">
            <v>266240</v>
          </cell>
          <cell r="N1439">
            <v>26624</v>
          </cell>
          <cell r="O1439">
            <v>292864</v>
          </cell>
          <cell r="P1439">
            <v>0</v>
          </cell>
          <cell r="Q1439" t="str">
            <v/>
          </cell>
          <cell r="R1439" t="str">
            <v>냉동</v>
          </cell>
          <cell r="S1439" t="str">
            <v>EA(12)</v>
          </cell>
          <cell r="T1439" t="str">
            <v/>
          </cell>
          <cell r="U1439" t="str">
            <v/>
          </cell>
          <cell r="V1439" t="str">
            <v>2018-12-11</v>
          </cell>
          <cell r="W1439" t="str">
            <v>2018-12-11 11:46:15</v>
          </cell>
          <cell r="X1439" t="str">
            <v>178921000</v>
          </cell>
        </row>
        <row r="1440">
          <cell r="A1440">
            <v>1436</v>
          </cell>
          <cell r="B1440" t="str">
            <v>2018-12-13</v>
          </cell>
          <cell r="C1440" t="str">
            <v>키즈락</v>
          </cell>
          <cell r="D1440">
            <v>0</v>
          </cell>
          <cell r="E1440" t="str">
            <v>일반</v>
          </cell>
          <cell r="F1440" t="str">
            <v>입고완료</v>
          </cell>
          <cell r="G1440">
            <v>122935</v>
          </cell>
          <cell r="H1440" t="str">
            <v>리치스 스위트콘(2.95Kg/EA)</v>
          </cell>
          <cell r="I1440" t="str">
            <v>EA</v>
          </cell>
          <cell r="J1440">
            <v>12</v>
          </cell>
          <cell r="K1440">
            <v>12</v>
          </cell>
          <cell r="L1440">
            <v>2860</v>
          </cell>
          <cell r="M1440">
            <v>34320</v>
          </cell>
          <cell r="N1440">
            <v>3432</v>
          </cell>
          <cell r="O1440">
            <v>37752</v>
          </cell>
          <cell r="P1440">
            <v>0</v>
          </cell>
          <cell r="Q1440" t="str">
            <v>태국</v>
          </cell>
          <cell r="R1440" t="str">
            <v>실온</v>
          </cell>
          <cell r="S1440" t="str">
            <v>EA(6)</v>
          </cell>
          <cell r="T1440" t="str">
            <v/>
          </cell>
          <cell r="U1440" t="str">
            <v/>
          </cell>
          <cell r="V1440" t="str">
            <v>2018-12-11</v>
          </cell>
          <cell r="W1440" t="str">
            <v>2018-12-11 12:00:22</v>
          </cell>
          <cell r="X1440" t="str">
            <v>178921000</v>
          </cell>
        </row>
        <row r="1441">
          <cell r="A1441">
            <v>1437</v>
          </cell>
          <cell r="B1441" t="str">
            <v>2018-12-13</v>
          </cell>
          <cell r="C1441" t="str">
            <v>키즈락</v>
          </cell>
          <cell r="D1441">
            <v>0</v>
          </cell>
          <cell r="E1441" t="str">
            <v>일반</v>
          </cell>
          <cell r="F1441" t="str">
            <v>입고완료</v>
          </cell>
          <cell r="G1441">
            <v>257634</v>
          </cell>
          <cell r="H1441" t="str">
            <v>이음푸드 오복지(1Kg/EA)</v>
          </cell>
          <cell r="I1441" t="str">
            <v>EA</v>
          </cell>
          <cell r="J1441">
            <v>45</v>
          </cell>
          <cell r="K1441">
            <v>45</v>
          </cell>
          <cell r="L1441">
            <v>2500</v>
          </cell>
          <cell r="M1441">
            <v>112500</v>
          </cell>
          <cell r="N1441">
            <v>11250</v>
          </cell>
          <cell r="O1441">
            <v>123750</v>
          </cell>
          <cell r="P1441">
            <v>0</v>
          </cell>
          <cell r="Q1441" t="str">
            <v/>
          </cell>
          <cell r="R1441" t="str">
            <v>냉장</v>
          </cell>
          <cell r="S1441" t="str">
            <v>EA(12)</v>
          </cell>
          <cell r="T1441" t="str">
            <v/>
          </cell>
          <cell r="U1441" t="str">
            <v/>
          </cell>
          <cell r="V1441" t="str">
            <v>2018-12-11</v>
          </cell>
          <cell r="W1441" t="str">
            <v>2018-12-11 12:10:09</v>
          </cell>
          <cell r="X1441" t="str">
            <v>178921000</v>
          </cell>
        </row>
        <row r="1442">
          <cell r="A1442">
            <v>1438</v>
          </cell>
          <cell r="B1442" t="str">
            <v>2018-12-13</v>
          </cell>
          <cell r="C1442" t="str">
            <v>키즈락</v>
          </cell>
          <cell r="D1442">
            <v>0</v>
          </cell>
          <cell r="E1442" t="str">
            <v>일반</v>
          </cell>
          <cell r="F1442" t="str">
            <v>입고완료</v>
          </cell>
          <cell r="G1442">
            <v>193090</v>
          </cell>
          <cell r="H1442" t="str">
            <v>냉동감자(절단_3~4cm 1Kg/EA)</v>
          </cell>
          <cell r="I1442" t="str">
            <v>EA</v>
          </cell>
          <cell r="J1442">
            <v>20</v>
          </cell>
          <cell r="K1442">
            <v>20</v>
          </cell>
          <cell r="L1442">
            <v>1980</v>
          </cell>
          <cell r="M1442">
            <v>39600</v>
          </cell>
          <cell r="N1442">
            <v>3960</v>
          </cell>
          <cell r="O1442">
            <v>43560</v>
          </cell>
          <cell r="P1442">
            <v>0</v>
          </cell>
          <cell r="Q1442" t="str">
            <v>중국</v>
          </cell>
          <cell r="R1442" t="str">
            <v>냉동</v>
          </cell>
          <cell r="S1442" t="str">
            <v>EA(1)</v>
          </cell>
          <cell r="T1442" t="str">
            <v/>
          </cell>
          <cell r="U1442" t="str">
            <v/>
          </cell>
          <cell r="V1442" t="str">
            <v>2018-12-12</v>
          </cell>
          <cell r="W1442" t="str">
            <v>2018-12-12 14:24:31</v>
          </cell>
          <cell r="X1442" t="str">
            <v>178921000</v>
          </cell>
        </row>
        <row r="1443">
          <cell r="A1443">
            <v>1439</v>
          </cell>
          <cell r="B1443" t="str">
            <v>2018-12-13</v>
          </cell>
          <cell r="C1443" t="str">
            <v>키즈락</v>
          </cell>
          <cell r="D1443">
            <v>0</v>
          </cell>
          <cell r="E1443" t="str">
            <v>일반</v>
          </cell>
          <cell r="F1443" t="str">
            <v>입고완료</v>
          </cell>
          <cell r="G1443">
            <v>420010</v>
          </cell>
          <cell r="H1443" t="str">
            <v>알로팜 계란(왕란_무항생제_68g*30입 2.04Kg/EA)</v>
          </cell>
          <cell r="I1443" t="str">
            <v>EA</v>
          </cell>
          <cell r="J1443">
            <v>20</v>
          </cell>
          <cell r="K1443">
            <v>20</v>
          </cell>
          <cell r="L1443">
            <v>4730</v>
          </cell>
          <cell r="M1443">
            <v>94600</v>
          </cell>
          <cell r="N1443">
            <v>0</v>
          </cell>
          <cell r="O1443">
            <v>94600</v>
          </cell>
          <cell r="P1443">
            <v>94600</v>
          </cell>
          <cell r="Q1443" t="str">
            <v>한국</v>
          </cell>
          <cell r="R1443" t="str">
            <v>냉장</v>
          </cell>
          <cell r="S1443" t="str">
            <v>EA(1)</v>
          </cell>
          <cell r="T1443" t="str">
            <v/>
          </cell>
          <cell r="U1443" t="str">
            <v/>
          </cell>
          <cell r="V1443" t="str">
            <v>2018-12-12</v>
          </cell>
          <cell r="W1443" t="str">
            <v>2018-12-12 14:25:05</v>
          </cell>
          <cell r="X1443" t="str">
            <v>178921000</v>
          </cell>
        </row>
        <row r="1444">
          <cell r="A1444">
            <v>1440</v>
          </cell>
          <cell r="B1444" t="str">
            <v>2018-12-13</v>
          </cell>
          <cell r="C1444" t="str">
            <v>키즈락</v>
          </cell>
          <cell r="D1444">
            <v>0</v>
          </cell>
          <cell r="E1444" t="str">
            <v>일반</v>
          </cell>
          <cell r="F1444" t="str">
            <v>입고완료</v>
          </cell>
          <cell r="G1444">
            <v>119763</v>
          </cell>
          <cell r="H1444" t="str">
            <v>이츠웰 종합어묵(알뜰 1Kg/EA)</v>
          </cell>
          <cell r="I1444" t="str">
            <v>EA</v>
          </cell>
          <cell r="J1444">
            <v>3</v>
          </cell>
          <cell r="K1444">
            <v>3</v>
          </cell>
          <cell r="L1444">
            <v>2760</v>
          </cell>
          <cell r="M1444">
            <v>8280</v>
          </cell>
          <cell r="N1444">
            <v>828</v>
          </cell>
          <cell r="O1444">
            <v>9108</v>
          </cell>
          <cell r="P1444">
            <v>0</v>
          </cell>
          <cell r="Q1444" t="str">
            <v/>
          </cell>
          <cell r="R1444" t="str">
            <v>냉장</v>
          </cell>
          <cell r="S1444" t="str">
            <v>EA(10)</v>
          </cell>
          <cell r="T1444" t="str">
            <v/>
          </cell>
          <cell r="U1444" t="str">
            <v/>
          </cell>
          <cell r="V1444" t="str">
            <v>2018-12-12</v>
          </cell>
          <cell r="W1444" t="str">
            <v>2018-12-12 14:46:30</v>
          </cell>
          <cell r="X1444" t="str">
            <v>178921000</v>
          </cell>
        </row>
        <row r="1445">
          <cell r="A1445">
            <v>1441</v>
          </cell>
          <cell r="B1445" t="str">
            <v>2018-12-13</v>
          </cell>
          <cell r="C1445" t="str">
            <v>키즈락</v>
          </cell>
          <cell r="D1445">
            <v>0</v>
          </cell>
          <cell r="E1445" t="str">
            <v>일반</v>
          </cell>
          <cell r="F1445" t="str">
            <v>입고완료</v>
          </cell>
          <cell r="G1445">
            <v>256410</v>
          </cell>
          <cell r="H1445" t="str">
            <v>이츠웰 오징어채(무라사키_껍질있음 1Kg/EA)</v>
          </cell>
          <cell r="I1445" t="str">
            <v>EA</v>
          </cell>
          <cell r="J1445">
            <v>5</v>
          </cell>
          <cell r="K1445">
            <v>5</v>
          </cell>
          <cell r="L1445">
            <v>6530</v>
          </cell>
          <cell r="M1445">
            <v>32650</v>
          </cell>
          <cell r="N1445">
            <v>0</v>
          </cell>
          <cell r="O1445">
            <v>32650</v>
          </cell>
          <cell r="P1445">
            <v>0</v>
          </cell>
          <cell r="Q1445" t="str">
            <v>원양산</v>
          </cell>
          <cell r="R1445" t="str">
            <v>냉동</v>
          </cell>
          <cell r="S1445" t="str">
            <v>EA(10)</v>
          </cell>
          <cell r="T1445" t="str">
            <v/>
          </cell>
          <cell r="U1445" t="str">
            <v/>
          </cell>
          <cell r="V1445" t="str">
            <v>2018-12-12</v>
          </cell>
          <cell r="W1445" t="str">
            <v>2018-12-12 15:02:33</v>
          </cell>
          <cell r="X1445" t="str">
            <v>178921000</v>
          </cell>
        </row>
        <row r="1446">
          <cell r="A1446">
            <v>1442</v>
          </cell>
          <cell r="B1446" t="str">
            <v>2018-12-13</v>
          </cell>
          <cell r="C1446" t="str">
            <v>키즈락</v>
          </cell>
          <cell r="D1446">
            <v>0</v>
          </cell>
          <cell r="E1446" t="str">
            <v>일반</v>
          </cell>
          <cell r="F1446" t="str">
            <v>입고완료</v>
          </cell>
          <cell r="G1446">
            <v>192878</v>
          </cell>
          <cell r="H1446" t="str">
            <v>소이원 콩나물(곱슬이_단채 KG)</v>
          </cell>
          <cell r="I1446" t="str">
            <v>KG</v>
          </cell>
          <cell r="J1446">
            <v>4</v>
          </cell>
          <cell r="K1446">
            <v>4</v>
          </cell>
          <cell r="L1446">
            <v>930</v>
          </cell>
          <cell r="M1446">
            <v>3720</v>
          </cell>
          <cell r="N1446">
            <v>0</v>
          </cell>
          <cell r="O1446">
            <v>3720</v>
          </cell>
          <cell r="P1446">
            <v>0</v>
          </cell>
          <cell r="Q1446" t="str">
            <v>외국산</v>
          </cell>
          <cell r="R1446" t="str">
            <v>냉장</v>
          </cell>
          <cell r="S1446" t="str">
            <v>KG(1)</v>
          </cell>
          <cell r="T1446" t="str">
            <v/>
          </cell>
          <cell r="U1446" t="str">
            <v/>
          </cell>
          <cell r="V1446" t="str">
            <v>2018-12-12</v>
          </cell>
          <cell r="W1446" t="str">
            <v>2018-12-12 15:02:54</v>
          </cell>
          <cell r="X1446" t="str">
            <v>178921000</v>
          </cell>
        </row>
        <row r="1447">
          <cell r="A1447">
            <v>1443</v>
          </cell>
          <cell r="B1447" t="str">
            <v>2018-12-13</v>
          </cell>
          <cell r="C1447" t="str">
            <v>키즈락</v>
          </cell>
          <cell r="D1447">
            <v>0</v>
          </cell>
          <cell r="E1447" t="str">
            <v>일반</v>
          </cell>
          <cell r="F1447" t="str">
            <v>입고완료</v>
          </cell>
          <cell r="G1447">
            <v>105597</v>
          </cell>
          <cell r="H1447" t="str">
            <v>웰가 홈버터(홈랜드 4.5Kg/EA)</v>
          </cell>
          <cell r="I1447" t="str">
            <v>EA</v>
          </cell>
          <cell r="J1447">
            <v>1</v>
          </cell>
          <cell r="K1447">
            <v>1</v>
          </cell>
          <cell r="L1447">
            <v>18000</v>
          </cell>
          <cell r="M1447">
            <v>18000</v>
          </cell>
          <cell r="N1447">
            <v>1800</v>
          </cell>
          <cell r="O1447">
            <v>19800</v>
          </cell>
          <cell r="P1447">
            <v>0</v>
          </cell>
          <cell r="Q1447" t="str">
            <v/>
          </cell>
          <cell r="R1447" t="str">
            <v>실온</v>
          </cell>
          <cell r="S1447" t="str">
            <v>EA(1)</v>
          </cell>
          <cell r="T1447" t="str">
            <v/>
          </cell>
          <cell r="U1447" t="str">
            <v/>
          </cell>
          <cell r="V1447" t="str">
            <v>2018-12-12</v>
          </cell>
          <cell r="W1447" t="str">
            <v>2018-12-12 15:04:03</v>
          </cell>
          <cell r="X1447" t="str">
            <v>178921000</v>
          </cell>
        </row>
        <row r="1448">
          <cell r="A1448">
            <v>1444</v>
          </cell>
          <cell r="B1448" t="str">
            <v>2018-12-12</v>
          </cell>
          <cell r="C1448">
            <v>0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</row>
        <row r="1449">
          <cell r="A1449">
            <v>1445</v>
          </cell>
          <cell r="B1449" t="str">
            <v>2018-12-12</v>
          </cell>
          <cell r="C1449" t="str">
            <v>키즈락</v>
          </cell>
          <cell r="D1449">
            <v>0</v>
          </cell>
          <cell r="E1449" t="str">
            <v>일반</v>
          </cell>
          <cell r="F1449" t="str">
            <v>입고완료</v>
          </cell>
          <cell r="G1449">
            <v>258414</v>
          </cell>
          <cell r="H1449" t="str">
            <v>청우식품 밥풀과자(8개내외 100g/EA)</v>
          </cell>
          <cell r="I1449" t="str">
            <v>EA</v>
          </cell>
          <cell r="J1449">
            <v>40</v>
          </cell>
          <cell r="K1449">
            <v>40</v>
          </cell>
          <cell r="L1449">
            <v>840</v>
          </cell>
          <cell r="M1449">
            <v>33600</v>
          </cell>
          <cell r="N1449">
            <v>3360</v>
          </cell>
          <cell r="O1449">
            <v>36960</v>
          </cell>
          <cell r="P1449">
            <v>0</v>
          </cell>
          <cell r="Q1449" t="str">
            <v/>
          </cell>
          <cell r="R1449" t="str">
            <v>실온</v>
          </cell>
          <cell r="S1449" t="str">
            <v>EA(1)</v>
          </cell>
          <cell r="T1449" t="str">
            <v/>
          </cell>
          <cell r="U1449" t="str">
            <v/>
          </cell>
          <cell r="V1449" t="str">
            <v>2018-12-07</v>
          </cell>
          <cell r="W1449" t="str">
            <v>2018-12-07 14:18:08</v>
          </cell>
          <cell r="X1449" t="str">
            <v>178921000</v>
          </cell>
        </row>
        <row r="1450">
          <cell r="A1450">
            <v>1446</v>
          </cell>
          <cell r="B1450" t="str">
            <v>2018-12-12</v>
          </cell>
          <cell r="C1450" t="str">
            <v>키즈락</v>
          </cell>
          <cell r="D1450">
            <v>0</v>
          </cell>
          <cell r="E1450" t="str">
            <v>일반</v>
          </cell>
          <cell r="F1450" t="str">
            <v>입고완료</v>
          </cell>
          <cell r="G1450">
            <v>136633</v>
          </cell>
          <cell r="H1450" t="str">
            <v>이오 요구르트(80ml_유기농 80g/EA)</v>
          </cell>
          <cell r="I1450" t="str">
            <v>EA</v>
          </cell>
          <cell r="J1450">
            <v>180</v>
          </cell>
          <cell r="K1450">
            <v>180</v>
          </cell>
          <cell r="L1450">
            <v>300</v>
          </cell>
          <cell r="M1450">
            <v>54000</v>
          </cell>
          <cell r="N1450">
            <v>5400</v>
          </cell>
          <cell r="O1450">
            <v>59400</v>
          </cell>
          <cell r="P1450">
            <v>0</v>
          </cell>
          <cell r="Q1450" t="str">
            <v>한국</v>
          </cell>
          <cell r="R1450" t="str">
            <v>냉장</v>
          </cell>
          <cell r="S1450" t="str">
            <v>EA(50)</v>
          </cell>
          <cell r="T1450" t="str">
            <v/>
          </cell>
          <cell r="U1450" t="str">
            <v/>
          </cell>
          <cell r="V1450" t="str">
            <v>2018-12-07</v>
          </cell>
          <cell r="W1450" t="str">
            <v>2018-12-07 14:18:42</v>
          </cell>
          <cell r="X1450" t="str">
            <v>178921000</v>
          </cell>
        </row>
        <row r="1451">
          <cell r="A1451">
            <v>1447</v>
          </cell>
          <cell r="B1451" t="str">
            <v>2018-12-12</v>
          </cell>
          <cell r="C1451" t="str">
            <v>키즈락</v>
          </cell>
          <cell r="D1451">
            <v>0</v>
          </cell>
          <cell r="E1451" t="str">
            <v>일반</v>
          </cell>
          <cell r="F1451" t="str">
            <v>입고완료</v>
          </cell>
          <cell r="G1451">
            <v>410402</v>
          </cell>
          <cell r="H1451" t="str">
            <v>체리부로 닭다리살(무항생_깍둑썰기_껍질있음 KG)</v>
          </cell>
          <cell r="I1451" t="str">
            <v>KG</v>
          </cell>
          <cell r="J1451">
            <v>3</v>
          </cell>
          <cell r="K1451">
            <v>3</v>
          </cell>
          <cell r="L1451">
            <v>7080</v>
          </cell>
          <cell r="M1451">
            <v>21240</v>
          </cell>
          <cell r="N1451">
            <v>0</v>
          </cell>
          <cell r="O1451">
            <v>21240</v>
          </cell>
          <cell r="P1451">
            <v>21240</v>
          </cell>
          <cell r="Q1451" t="str">
            <v>한국</v>
          </cell>
          <cell r="R1451" t="str">
            <v>냉장</v>
          </cell>
          <cell r="S1451" t="str">
            <v>KG(1)</v>
          </cell>
          <cell r="T1451" t="str">
            <v/>
          </cell>
          <cell r="U1451" t="str">
            <v/>
          </cell>
          <cell r="V1451" t="str">
            <v>2018-12-10</v>
          </cell>
          <cell r="W1451" t="str">
            <v>2018-12-10 13:45:49</v>
          </cell>
          <cell r="X1451" t="str">
            <v>178921000</v>
          </cell>
        </row>
        <row r="1452">
          <cell r="A1452">
            <v>1448</v>
          </cell>
          <cell r="B1452" t="str">
            <v>2018-12-12</v>
          </cell>
          <cell r="C1452" t="str">
            <v>키즈락</v>
          </cell>
          <cell r="D1452">
            <v>0</v>
          </cell>
          <cell r="E1452" t="str">
            <v>일반</v>
          </cell>
          <cell r="F1452" t="str">
            <v>입고완료</v>
          </cell>
          <cell r="G1452">
            <v>175493</v>
          </cell>
          <cell r="H1452" t="str">
            <v>덴마크 흰우유(1L_클래식 1Kg/EA)</v>
          </cell>
          <cell r="I1452" t="str">
            <v>EA</v>
          </cell>
          <cell r="J1452">
            <v>3</v>
          </cell>
          <cell r="K1452">
            <v>3</v>
          </cell>
          <cell r="L1452">
            <v>1810</v>
          </cell>
          <cell r="M1452">
            <v>5430</v>
          </cell>
          <cell r="N1452">
            <v>0</v>
          </cell>
          <cell r="O1452">
            <v>5430</v>
          </cell>
          <cell r="P1452">
            <v>0</v>
          </cell>
          <cell r="Q1452" t="str">
            <v>한국</v>
          </cell>
          <cell r="R1452" t="str">
            <v>냉장</v>
          </cell>
          <cell r="S1452" t="str">
            <v>EA(1)</v>
          </cell>
          <cell r="T1452" t="str">
            <v/>
          </cell>
          <cell r="U1452" t="str">
            <v/>
          </cell>
          <cell r="V1452" t="str">
            <v>2018-12-10</v>
          </cell>
          <cell r="W1452" t="str">
            <v>2018-12-10 14:07:31</v>
          </cell>
          <cell r="X1452" t="str">
            <v>178921000</v>
          </cell>
        </row>
        <row r="1453">
          <cell r="A1453">
            <v>1449</v>
          </cell>
          <cell r="B1453" t="str">
            <v>2018-12-12</v>
          </cell>
          <cell r="C1453" t="str">
            <v>키즈락</v>
          </cell>
          <cell r="D1453">
            <v>0</v>
          </cell>
          <cell r="E1453" t="str">
            <v>일반</v>
          </cell>
          <cell r="F1453" t="str">
            <v>입고완료</v>
          </cell>
          <cell r="G1453">
            <v>219387</v>
          </cell>
          <cell r="H1453" t="str">
            <v>냉동배추우거지(1Kg/EA)</v>
          </cell>
          <cell r="I1453" t="str">
            <v>EA</v>
          </cell>
          <cell r="J1453">
            <v>50</v>
          </cell>
          <cell r="K1453">
            <v>50</v>
          </cell>
          <cell r="L1453">
            <v>1430</v>
          </cell>
          <cell r="M1453">
            <v>71500</v>
          </cell>
          <cell r="N1453">
            <v>7150</v>
          </cell>
          <cell r="O1453">
            <v>78650</v>
          </cell>
          <cell r="P1453">
            <v>0</v>
          </cell>
          <cell r="Q1453" t="str">
            <v>중국</v>
          </cell>
          <cell r="R1453" t="str">
            <v>냉동</v>
          </cell>
          <cell r="S1453" t="str">
            <v>EA(1)</v>
          </cell>
          <cell r="T1453" t="str">
            <v/>
          </cell>
          <cell r="U1453" t="str">
            <v/>
          </cell>
          <cell r="V1453" t="str">
            <v>2018-12-10</v>
          </cell>
          <cell r="W1453" t="str">
            <v>2018-12-10 14:19:00</v>
          </cell>
          <cell r="X1453" t="str">
            <v>178921000</v>
          </cell>
        </row>
        <row r="1454">
          <cell r="A1454">
            <v>1450</v>
          </cell>
          <cell r="B1454" t="str">
            <v>2018-12-12</v>
          </cell>
          <cell r="C1454" t="str">
            <v>키즈락</v>
          </cell>
          <cell r="D1454">
            <v>0</v>
          </cell>
          <cell r="E1454" t="str">
            <v>일반</v>
          </cell>
          <cell r="F1454" t="str">
            <v>입고완료</v>
          </cell>
          <cell r="G1454">
            <v>155941</v>
          </cell>
          <cell r="H1454" t="str">
            <v>CJ씨푸드 맛있는새우까스(600g/EA)</v>
          </cell>
          <cell r="I1454" t="str">
            <v>EA</v>
          </cell>
          <cell r="J1454">
            <v>65</v>
          </cell>
          <cell r="K1454">
            <v>65</v>
          </cell>
          <cell r="L1454">
            <v>2880</v>
          </cell>
          <cell r="M1454">
            <v>187200</v>
          </cell>
          <cell r="N1454">
            <v>18720</v>
          </cell>
          <cell r="O1454">
            <v>205920</v>
          </cell>
          <cell r="P1454">
            <v>0</v>
          </cell>
          <cell r="Q1454" t="str">
            <v/>
          </cell>
          <cell r="R1454" t="str">
            <v>냉동</v>
          </cell>
          <cell r="S1454" t="str">
            <v>EA(10)</v>
          </cell>
          <cell r="T1454" t="str">
            <v/>
          </cell>
          <cell r="U1454" t="str">
            <v/>
          </cell>
          <cell r="V1454" t="str">
            <v>2018-12-10</v>
          </cell>
          <cell r="W1454" t="str">
            <v>2018-12-10 14:19:55</v>
          </cell>
          <cell r="X1454" t="str">
            <v>178921000</v>
          </cell>
        </row>
        <row r="1455">
          <cell r="A1455">
            <v>1451</v>
          </cell>
          <cell r="B1455" t="str">
            <v>2018-12-12</v>
          </cell>
          <cell r="C1455" t="str">
            <v>키즈락</v>
          </cell>
          <cell r="D1455">
            <v>0</v>
          </cell>
          <cell r="E1455" t="str">
            <v>일반</v>
          </cell>
          <cell r="F1455" t="str">
            <v>입고완료</v>
          </cell>
          <cell r="G1455">
            <v>168257</v>
          </cell>
          <cell r="H1455" t="str">
            <v>명품 판두부(찌개용 3Kg/EA)</v>
          </cell>
          <cell r="I1455" t="str">
            <v>EA</v>
          </cell>
          <cell r="J1455">
            <v>4</v>
          </cell>
          <cell r="K1455">
            <v>4</v>
          </cell>
          <cell r="L1455">
            <v>4000</v>
          </cell>
          <cell r="M1455">
            <v>16000</v>
          </cell>
          <cell r="N1455">
            <v>0</v>
          </cell>
          <cell r="O1455">
            <v>16000</v>
          </cell>
          <cell r="P1455">
            <v>0</v>
          </cell>
          <cell r="Q1455" t="str">
            <v>수입산</v>
          </cell>
          <cell r="R1455" t="str">
            <v>냉장</v>
          </cell>
          <cell r="S1455" t="str">
            <v>EA(1)</v>
          </cell>
          <cell r="T1455" t="str">
            <v/>
          </cell>
          <cell r="U1455" t="str">
            <v/>
          </cell>
          <cell r="V1455" t="str">
            <v>2018-12-11</v>
          </cell>
          <cell r="W1455" t="str">
            <v>2018-12-11 12:49:45</v>
          </cell>
          <cell r="X1455" t="str">
            <v>178921000</v>
          </cell>
        </row>
        <row r="1456">
          <cell r="A1456">
            <v>1452</v>
          </cell>
          <cell r="B1456" t="str">
            <v>2018-12-12</v>
          </cell>
          <cell r="C1456" t="str">
            <v>키즈락</v>
          </cell>
          <cell r="D1456">
            <v>0</v>
          </cell>
          <cell r="E1456" t="str">
            <v>일반</v>
          </cell>
          <cell r="F1456" t="str">
            <v>입고완료</v>
          </cell>
          <cell r="G1456">
            <v>211037</v>
          </cell>
          <cell r="H1456" t="str">
            <v>느타리버섯(실속 균상 2Kg/EA)</v>
          </cell>
          <cell r="I1456" t="str">
            <v>BOX</v>
          </cell>
          <cell r="J1456">
            <v>3</v>
          </cell>
          <cell r="K1456">
            <v>3</v>
          </cell>
          <cell r="L1456">
            <v>7650</v>
          </cell>
          <cell r="M1456">
            <v>22950</v>
          </cell>
          <cell r="N1456">
            <v>0</v>
          </cell>
          <cell r="O1456">
            <v>22950</v>
          </cell>
          <cell r="P1456">
            <v>0</v>
          </cell>
          <cell r="Q1456" t="str">
            <v>한국</v>
          </cell>
          <cell r="R1456" t="str">
            <v>냉장</v>
          </cell>
          <cell r="S1456" t="str">
            <v>EA(1)</v>
          </cell>
          <cell r="T1456" t="str">
            <v/>
          </cell>
          <cell r="U1456" t="str">
            <v/>
          </cell>
          <cell r="V1456" t="str">
            <v>2018-12-11</v>
          </cell>
          <cell r="W1456" t="str">
            <v>2018-12-11 12:50:05</v>
          </cell>
          <cell r="X1456" t="str">
            <v>178921000</v>
          </cell>
        </row>
        <row r="1457">
          <cell r="A1457">
            <v>1453</v>
          </cell>
          <cell r="B1457" t="str">
            <v>2018-12-12</v>
          </cell>
          <cell r="C1457" t="str">
            <v>키즈락</v>
          </cell>
          <cell r="D1457">
            <v>0</v>
          </cell>
          <cell r="E1457" t="str">
            <v>일반</v>
          </cell>
          <cell r="F1457" t="str">
            <v>입고완료</v>
          </cell>
          <cell r="G1457">
            <v>193090</v>
          </cell>
          <cell r="H1457" t="str">
            <v>냉동감자(절단_3~4cm 1Kg/EA)</v>
          </cell>
          <cell r="I1457" t="str">
            <v>EA</v>
          </cell>
          <cell r="J1457">
            <v>10</v>
          </cell>
          <cell r="K1457">
            <v>10</v>
          </cell>
          <cell r="L1457">
            <v>1980</v>
          </cell>
          <cell r="M1457">
            <v>19800</v>
          </cell>
          <cell r="N1457">
            <v>1980</v>
          </cell>
          <cell r="O1457">
            <v>21780</v>
          </cell>
          <cell r="P1457">
            <v>0</v>
          </cell>
          <cell r="Q1457" t="str">
            <v>중국</v>
          </cell>
          <cell r="R1457" t="str">
            <v>냉동</v>
          </cell>
          <cell r="S1457" t="str">
            <v>EA(1)</v>
          </cell>
          <cell r="T1457" t="str">
            <v/>
          </cell>
          <cell r="U1457" t="str">
            <v/>
          </cell>
          <cell r="V1457" t="str">
            <v>2018-12-11</v>
          </cell>
          <cell r="W1457" t="str">
            <v>2018-12-11 13:43:07</v>
          </cell>
          <cell r="X1457" t="str">
            <v>178921000</v>
          </cell>
        </row>
        <row r="1458">
          <cell r="A1458">
            <v>1454</v>
          </cell>
          <cell r="B1458" t="str">
            <v>2018-12-12</v>
          </cell>
          <cell r="C1458" t="str">
            <v>키즈락</v>
          </cell>
          <cell r="D1458">
            <v>0</v>
          </cell>
          <cell r="E1458" t="str">
            <v>일반</v>
          </cell>
          <cell r="F1458" t="str">
            <v>입고완료</v>
          </cell>
          <cell r="G1458">
            <v>123913</v>
          </cell>
          <cell r="H1458" t="str">
            <v>쉐프솔루션 타르타르드레싱(2Kg/EA)</v>
          </cell>
          <cell r="I1458" t="str">
            <v>EA</v>
          </cell>
          <cell r="J1458">
            <v>3</v>
          </cell>
          <cell r="K1458">
            <v>3</v>
          </cell>
          <cell r="L1458">
            <v>5460</v>
          </cell>
          <cell r="M1458">
            <v>16380</v>
          </cell>
          <cell r="N1458">
            <v>1638</v>
          </cell>
          <cell r="O1458">
            <v>18018</v>
          </cell>
          <cell r="P1458">
            <v>0</v>
          </cell>
          <cell r="Q1458" t="str">
            <v/>
          </cell>
          <cell r="R1458" t="str">
            <v>냉장</v>
          </cell>
          <cell r="S1458" t="str">
            <v>EA(6)</v>
          </cell>
          <cell r="T1458" t="str">
            <v/>
          </cell>
          <cell r="U1458" t="str">
            <v/>
          </cell>
          <cell r="V1458" t="str">
            <v>2018-12-11</v>
          </cell>
          <cell r="W1458" t="str">
            <v>2018-12-11 13:44:44</v>
          </cell>
          <cell r="X1458" t="str">
            <v>178921000</v>
          </cell>
        </row>
        <row r="1459">
          <cell r="A1459">
            <v>1455</v>
          </cell>
          <cell r="B1459" t="str">
            <v>2018-12-12</v>
          </cell>
          <cell r="C1459" t="str">
            <v>키즈락</v>
          </cell>
          <cell r="D1459">
            <v>0</v>
          </cell>
          <cell r="E1459" t="str">
            <v>일반</v>
          </cell>
          <cell r="F1459" t="str">
            <v>입고완료</v>
          </cell>
          <cell r="G1459">
            <v>197120</v>
          </cell>
          <cell r="H1459" t="str">
            <v>종가집 포기김치(숙성 10Kg/BOX)</v>
          </cell>
          <cell r="I1459" t="str">
            <v>BOX</v>
          </cell>
          <cell r="J1459">
            <v>2</v>
          </cell>
          <cell r="K1459">
            <v>2</v>
          </cell>
          <cell r="L1459">
            <v>31390</v>
          </cell>
          <cell r="M1459">
            <v>62780</v>
          </cell>
          <cell r="N1459">
            <v>0</v>
          </cell>
          <cell r="O1459">
            <v>62780</v>
          </cell>
          <cell r="P1459">
            <v>0</v>
          </cell>
          <cell r="Q1459" t="str">
            <v>한국</v>
          </cell>
          <cell r="R1459" t="str">
            <v>냉장</v>
          </cell>
          <cell r="S1459" t="str">
            <v>BOX(1)</v>
          </cell>
          <cell r="T1459" t="str">
            <v/>
          </cell>
          <cell r="U1459" t="str">
            <v/>
          </cell>
          <cell r="V1459" t="str">
            <v>2018-12-11</v>
          </cell>
          <cell r="W1459" t="str">
            <v>2018-12-11 14:30:49</v>
          </cell>
          <cell r="X1459" t="str">
            <v>178921000</v>
          </cell>
        </row>
        <row r="1460">
          <cell r="A1460">
            <v>1456</v>
          </cell>
          <cell r="B1460" t="str">
            <v>2018-12-11</v>
          </cell>
          <cell r="C1460">
            <v>0</v>
          </cell>
          <cell r="D1460">
            <v>0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</row>
        <row r="1461">
          <cell r="A1461">
            <v>1457</v>
          </cell>
          <cell r="B1461" t="str">
            <v>2018-12-11</v>
          </cell>
          <cell r="C1461" t="str">
            <v>키즈락</v>
          </cell>
          <cell r="D1461">
            <v>0</v>
          </cell>
          <cell r="E1461" t="str">
            <v>일반</v>
          </cell>
          <cell r="F1461" t="str">
            <v>입고완료</v>
          </cell>
          <cell r="G1461">
            <v>103604</v>
          </cell>
          <cell r="H1461" t="str">
            <v>이츠웰 깐계란(1Kg/EA)</v>
          </cell>
          <cell r="I1461" t="str">
            <v>EA</v>
          </cell>
          <cell r="J1461">
            <v>9</v>
          </cell>
          <cell r="K1461">
            <v>9</v>
          </cell>
          <cell r="L1461">
            <v>4600</v>
          </cell>
          <cell r="M1461">
            <v>41400</v>
          </cell>
          <cell r="N1461">
            <v>4140</v>
          </cell>
          <cell r="O1461">
            <v>45540</v>
          </cell>
          <cell r="P1461">
            <v>0</v>
          </cell>
          <cell r="Q1461" t="str">
            <v>한국</v>
          </cell>
          <cell r="R1461" t="str">
            <v>냉장</v>
          </cell>
          <cell r="S1461" t="str">
            <v>EA(6)</v>
          </cell>
          <cell r="T1461" t="str">
            <v/>
          </cell>
          <cell r="U1461" t="str">
            <v/>
          </cell>
          <cell r="V1461" t="str">
            <v>2018-12-10</v>
          </cell>
          <cell r="W1461" t="str">
            <v>2018-12-10 12:18:23</v>
          </cell>
          <cell r="X1461" t="str">
            <v>178921000</v>
          </cell>
        </row>
        <row r="1462">
          <cell r="A1462">
            <v>1458</v>
          </cell>
          <cell r="B1462" t="str">
            <v>2018-12-11</v>
          </cell>
          <cell r="C1462" t="str">
            <v>키즈락</v>
          </cell>
          <cell r="D1462">
            <v>0</v>
          </cell>
          <cell r="E1462" t="str">
            <v>일반</v>
          </cell>
          <cell r="F1462" t="str">
            <v>입고완료</v>
          </cell>
          <cell r="G1462">
            <v>256563</v>
          </cell>
          <cell r="H1462" t="str">
            <v>냉동열무(IQF_절단4~5cm 1Kg/EA)</v>
          </cell>
          <cell r="I1462" t="str">
            <v>EA</v>
          </cell>
          <cell r="J1462">
            <v>50</v>
          </cell>
          <cell r="K1462">
            <v>50</v>
          </cell>
          <cell r="L1462">
            <v>1670</v>
          </cell>
          <cell r="M1462">
            <v>83500</v>
          </cell>
          <cell r="N1462">
            <v>8350</v>
          </cell>
          <cell r="O1462">
            <v>91850</v>
          </cell>
          <cell r="P1462">
            <v>0</v>
          </cell>
          <cell r="Q1462" t="str">
            <v>중국</v>
          </cell>
          <cell r="R1462" t="str">
            <v>냉동</v>
          </cell>
          <cell r="S1462" t="str">
            <v>EA(1)</v>
          </cell>
          <cell r="T1462" t="str">
            <v/>
          </cell>
          <cell r="U1462" t="str">
            <v/>
          </cell>
          <cell r="V1462" t="str">
            <v>2018-12-10</v>
          </cell>
          <cell r="W1462" t="str">
            <v>2018-12-10 12:22:00</v>
          </cell>
          <cell r="X1462" t="str">
            <v>178921000</v>
          </cell>
        </row>
        <row r="1463">
          <cell r="A1463">
            <v>1459</v>
          </cell>
          <cell r="B1463" t="str">
            <v>2018-12-11</v>
          </cell>
          <cell r="C1463" t="str">
            <v>키즈락</v>
          </cell>
          <cell r="D1463">
            <v>0</v>
          </cell>
          <cell r="E1463" t="str">
            <v>일반</v>
          </cell>
          <cell r="F1463" t="str">
            <v>입고완료</v>
          </cell>
          <cell r="G1463">
            <v>114835</v>
          </cell>
          <cell r="H1463" t="str">
            <v>오뚜기 짜장분말(1Kg/EA)</v>
          </cell>
          <cell r="I1463" t="str">
            <v>EA</v>
          </cell>
          <cell r="J1463">
            <v>10</v>
          </cell>
          <cell r="K1463">
            <v>10</v>
          </cell>
          <cell r="L1463">
            <v>6430</v>
          </cell>
          <cell r="M1463">
            <v>64300</v>
          </cell>
          <cell r="N1463">
            <v>6430</v>
          </cell>
          <cell r="O1463">
            <v>70730</v>
          </cell>
          <cell r="P1463">
            <v>0</v>
          </cell>
          <cell r="Q1463" t="str">
            <v/>
          </cell>
          <cell r="R1463" t="str">
            <v>실온</v>
          </cell>
          <cell r="S1463" t="str">
            <v>EA(10)</v>
          </cell>
          <cell r="T1463" t="str">
            <v/>
          </cell>
          <cell r="U1463" t="str">
            <v/>
          </cell>
          <cell r="V1463" t="str">
            <v>2018-12-10</v>
          </cell>
          <cell r="W1463" t="str">
            <v>2018-12-10 13:34:40</v>
          </cell>
          <cell r="X1463" t="str">
            <v>178921000</v>
          </cell>
        </row>
        <row r="1464">
          <cell r="A1464">
            <v>1460</v>
          </cell>
          <cell r="B1464" t="str">
            <v>2018-12-11</v>
          </cell>
          <cell r="C1464" t="str">
            <v>키즈락</v>
          </cell>
          <cell r="D1464">
            <v>0</v>
          </cell>
          <cell r="E1464" t="str">
            <v>일반</v>
          </cell>
          <cell r="F1464" t="str">
            <v>입고완료</v>
          </cell>
          <cell r="G1464">
            <v>251973</v>
          </cell>
          <cell r="H1464" t="str">
            <v>냉동혼합채소2종(감자+당근 짜장용 1Kg/EA)</v>
          </cell>
          <cell r="I1464" t="str">
            <v>EA</v>
          </cell>
          <cell r="J1464">
            <v>10</v>
          </cell>
          <cell r="K1464">
            <v>10</v>
          </cell>
          <cell r="L1464">
            <v>2190</v>
          </cell>
          <cell r="M1464">
            <v>21900</v>
          </cell>
          <cell r="N1464">
            <v>2190</v>
          </cell>
          <cell r="O1464">
            <v>24090</v>
          </cell>
          <cell r="P1464">
            <v>0</v>
          </cell>
          <cell r="Q1464" t="str">
            <v>스페인</v>
          </cell>
          <cell r="R1464" t="str">
            <v>냉동</v>
          </cell>
          <cell r="S1464" t="str">
            <v>EA(1)</v>
          </cell>
          <cell r="T1464" t="str">
            <v/>
          </cell>
          <cell r="U1464" t="str">
            <v/>
          </cell>
          <cell r="V1464" t="str">
            <v>2018-12-10</v>
          </cell>
          <cell r="W1464" t="str">
            <v>2018-12-10 13:40:07</v>
          </cell>
          <cell r="X1464" t="str">
            <v>178921000</v>
          </cell>
        </row>
        <row r="1465">
          <cell r="A1465">
            <v>1461</v>
          </cell>
          <cell r="B1465" t="str">
            <v>2018-12-11</v>
          </cell>
          <cell r="C1465" t="str">
            <v>키즈락</v>
          </cell>
          <cell r="D1465">
            <v>0</v>
          </cell>
          <cell r="E1465" t="str">
            <v>일반</v>
          </cell>
          <cell r="F1465" t="str">
            <v>입고완료</v>
          </cell>
          <cell r="G1465">
            <v>138570</v>
          </cell>
          <cell r="H1465" t="str">
            <v>면사랑 멸치육수(1.8L_보급형 1.8Kg/EA)</v>
          </cell>
          <cell r="I1465" t="str">
            <v>EA</v>
          </cell>
          <cell r="J1465">
            <v>6</v>
          </cell>
          <cell r="K1465">
            <v>6</v>
          </cell>
          <cell r="L1465">
            <v>5560</v>
          </cell>
          <cell r="M1465">
            <v>33360</v>
          </cell>
          <cell r="N1465">
            <v>3336</v>
          </cell>
          <cell r="O1465">
            <v>36696</v>
          </cell>
          <cell r="P1465">
            <v>0</v>
          </cell>
          <cell r="Q1465" t="str">
            <v/>
          </cell>
          <cell r="R1465" t="str">
            <v>실온</v>
          </cell>
          <cell r="S1465" t="str">
            <v>EA(6)</v>
          </cell>
          <cell r="T1465" t="str">
            <v/>
          </cell>
          <cell r="U1465" t="str">
            <v/>
          </cell>
          <cell r="V1465" t="str">
            <v>2018-12-10</v>
          </cell>
          <cell r="W1465" t="str">
            <v>2018-12-10 13:41:33</v>
          </cell>
          <cell r="X1465" t="str">
            <v>178921000</v>
          </cell>
        </row>
        <row r="1466">
          <cell r="A1466">
            <v>1462</v>
          </cell>
          <cell r="B1466" t="str">
            <v>2018-12-11</v>
          </cell>
          <cell r="C1466" t="str">
            <v>키즈락</v>
          </cell>
          <cell r="D1466">
            <v>0</v>
          </cell>
          <cell r="E1466" t="str">
            <v>일반</v>
          </cell>
          <cell r="F1466" t="str">
            <v>입고완료</v>
          </cell>
          <cell r="G1466">
            <v>193090</v>
          </cell>
          <cell r="H1466" t="str">
            <v>냉동감자(절단_3~4cm 1Kg/EA)</v>
          </cell>
          <cell r="I1466" t="str">
            <v>EA</v>
          </cell>
          <cell r="J1466">
            <v>30</v>
          </cell>
          <cell r="K1466">
            <v>30</v>
          </cell>
          <cell r="L1466">
            <v>1980</v>
          </cell>
          <cell r="M1466">
            <v>59400</v>
          </cell>
          <cell r="N1466">
            <v>5940</v>
          </cell>
          <cell r="O1466">
            <v>65340</v>
          </cell>
          <cell r="P1466">
            <v>0</v>
          </cell>
          <cell r="Q1466" t="str">
            <v>중국</v>
          </cell>
          <cell r="R1466" t="str">
            <v>냉동</v>
          </cell>
          <cell r="S1466" t="str">
            <v>EA(1)</v>
          </cell>
          <cell r="T1466" t="str">
            <v/>
          </cell>
          <cell r="U1466" t="str">
            <v/>
          </cell>
          <cell r="V1466" t="str">
            <v>2018-12-10</v>
          </cell>
          <cell r="W1466" t="str">
            <v>2018-12-10 13:43:48</v>
          </cell>
          <cell r="X1466" t="str">
            <v>178921000</v>
          </cell>
        </row>
        <row r="1467">
          <cell r="A1467">
            <v>1463</v>
          </cell>
          <cell r="B1467" t="str">
            <v>2018-12-11</v>
          </cell>
          <cell r="C1467" t="str">
            <v>키즈락</v>
          </cell>
          <cell r="D1467">
            <v>0</v>
          </cell>
          <cell r="E1467" t="str">
            <v>일반</v>
          </cell>
          <cell r="F1467" t="str">
            <v>입고완료</v>
          </cell>
          <cell r="G1467">
            <v>420010</v>
          </cell>
          <cell r="H1467" t="str">
            <v>알로팜 계란(왕란_무항생제_68g*30입 2.04Kg/EA)</v>
          </cell>
          <cell r="I1467" t="str">
            <v>EA</v>
          </cell>
          <cell r="J1467">
            <v>20</v>
          </cell>
          <cell r="K1467">
            <v>20</v>
          </cell>
          <cell r="L1467">
            <v>4730</v>
          </cell>
          <cell r="M1467">
            <v>94600</v>
          </cell>
          <cell r="N1467">
            <v>0</v>
          </cell>
          <cell r="O1467">
            <v>94600</v>
          </cell>
          <cell r="P1467">
            <v>94600</v>
          </cell>
          <cell r="Q1467" t="str">
            <v>한국</v>
          </cell>
          <cell r="R1467" t="str">
            <v>냉장</v>
          </cell>
          <cell r="S1467" t="str">
            <v>EA(1)</v>
          </cell>
          <cell r="T1467" t="str">
            <v/>
          </cell>
          <cell r="U1467" t="str">
            <v/>
          </cell>
          <cell r="V1467" t="str">
            <v>2018-12-10</v>
          </cell>
          <cell r="W1467" t="str">
            <v>2018-12-10 14:06:51</v>
          </cell>
          <cell r="X1467" t="str">
            <v>178921000</v>
          </cell>
        </row>
        <row r="1468">
          <cell r="A1468">
            <v>1464</v>
          </cell>
          <cell r="B1468" t="str">
            <v>2018-12-11</v>
          </cell>
          <cell r="C1468" t="str">
            <v>키즈락</v>
          </cell>
          <cell r="D1468">
            <v>0</v>
          </cell>
          <cell r="E1468" t="str">
            <v>일반</v>
          </cell>
          <cell r="F1468" t="str">
            <v>입고완료</v>
          </cell>
          <cell r="G1468">
            <v>193502</v>
          </cell>
          <cell r="H1468" t="str">
            <v>소차돌박이(0.15cm두께 KG)</v>
          </cell>
          <cell r="I1468" t="str">
            <v>KG</v>
          </cell>
          <cell r="J1468">
            <v>1</v>
          </cell>
          <cell r="K1468">
            <v>1</v>
          </cell>
          <cell r="L1468">
            <v>12550</v>
          </cell>
          <cell r="M1468">
            <v>12550</v>
          </cell>
          <cell r="N1468">
            <v>0</v>
          </cell>
          <cell r="O1468">
            <v>12550</v>
          </cell>
          <cell r="P1468">
            <v>0</v>
          </cell>
          <cell r="Q1468" t="str">
            <v>미국</v>
          </cell>
          <cell r="R1468" t="str">
            <v>냉동</v>
          </cell>
          <cell r="S1468" t="str">
            <v>KG(1)</v>
          </cell>
          <cell r="T1468" t="str">
            <v/>
          </cell>
          <cell r="U1468" t="str">
            <v/>
          </cell>
          <cell r="V1468" t="str">
            <v>2018-12-10</v>
          </cell>
          <cell r="W1468" t="str">
            <v>2018-12-10 14:31:07</v>
          </cell>
          <cell r="X1468" t="str">
            <v>178921000</v>
          </cell>
        </row>
        <row r="1469">
          <cell r="A1469">
            <v>1465</v>
          </cell>
          <cell r="B1469" t="str">
            <v>2018-12-11</v>
          </cell>
          <cell r="C1469" t="str">
            <v>키즈락</v>
          </cell>
          <cell r="D1469">
            <v>0</v>
          </cell>
          <cell r="E1469" t="str">
            <v>일반</v>
          </cell>
          <cell r="F1469" t="str">
            <v>입고완료</v>
          </cell>
          <cell r="G1469">
            <v>200646</v>
          </cell>
          <cell r="H1469" t="str">
            <v>다다기오이(상품 KG)</v>
          </cell>
          <cell r="I1469" t="str">
            <v>KG</v>
          </cell>
          <cell r="J1469">
            <v>4</v>
          </cell>
          <cell r="K1469">
            <v>4</v>
          </cell>
          <cell r="L1469">
            <v>3440</v>
          </cell>
          <cell r="M1469">
            <v>13760</v>
          </cell>
          <cell r="N1469">
            <v>0</v>
          </cell>
          <cell r="O1469">
            <v>13760</v>
          </cell>
          <cell r="P1469">
            <v>0</v>
          </cell>
          <cell r="Q1469" t="str">
            <v>한국</v>
          </cell>
          <cell r="R1469" t="str">
            <v>냉장</v>
          </cell>
          <cell r="S1469" t="str">
            <v>KG(1)</v>
          </cell>
          <cell r="T1469" t="str">
            <v/>
          </cell>
          <cell r="U1469" t="str">
            <v/>
          </cell>
          <cell r="V1469" t="str">
            <v>2018-12-10</v>
          </cell>
          <cell r="W1469" t="str">
            <v>2018-12-10 14:33:33</v>
          </cell>
          <cell r="X1469" t="str">
            <v>178921000</v>
          </cell>
        </row>
        <row r="1470">
          <cell r="A1470">
            <v>1466</v>
          </cell>
          <cell r="B1470" t="str">
            <v>2018-12-11</v>
          </cell>
          <cell r="C1470" t="str">
            <v>키즈락</v>
          </cell>
          <cell r="D1470">
            <v>0</v>
          </cell>
          <cell r="E1470" t="str">
            <v>일반</v>
          </cell>
          <cell r="F1470" t="str">
            <v>입고완료</v>
          </cell>
          <cell r="G1470">
            <v>225572</v>
          </cell>
          <cell r="H1470" t="str">
            <v>아이누리 부추(500g/EA)</v>
          </cell>
          <cell r="I1470" t="str">
            <v>EA</v>
          </cell>
          <cell r="J1470">
            <v>1</v>
          </cell>
          <cell r="K1470">
            <v>1</v>
          </cell>
          <cell r="L1470">
            <v>3570</v>
          </cell>
          <cell r="M1470">
            <v>3570</v>
          </cell>
          <cell r="N1470">
            <v>0</v>
          </cell>
          <cell r="O1470">
            <v>3570</v>
          </cell>
          <cell r="P1470">
            <v>0</v>
          </cell>
          <cell r="Q1470" t="str">
            <v>한국</v>
          </cell>
          <cell r="R1470" t="str">
            <v>냉장</v>
          </cell>
          <cell r="S1470" t="str">
            <v>EA(1)</v>
          </cell>
          <cell r="T1470" t="str">
            <v/>
          </cell>
          <cell r="U1470" t="str">
            <v/>
          </cell>
          <cell r="V1470" t="str">
            <v>2018-12-10</v>
          </cell>
          <cell r="W1470" t="str">
            <v>2018-12-10 14:34:29</v>
          </cell>
          <cell r="X1470" t="str">
            <v>178921000</v>
          </cell>
        </row>
        <row r="1471">
          <cell r="A1471">
            <v>1467</v>
          </cell>
          <cell r="B1471" t="str">
            <v>2018-12-11</v>
          </cell>
          <cell r="C1471" t="str">
            <v>키즈락</v>
          </cell>
          <cell r="D1471">
            <v>0</v>
          </cell>
          <cell r="E1471" t="str">
            <v>일반</v>
          </cell>
          <cell r="F1471" t="str">
            <v>입고완료</v>
          </cell>
          <cell r="G1471">
            <v>106019</v>
          </cell>
          <cell r="H1471" t="str">
            <v>샘표 진간장(15L_덕용 15Kg/EA)</v>
          </cell>
          <cell r="I1471" t="str">
            <v>EA</v>
          </cell>
          <cell r="J1471">
            <v>3</v>
          </cell>
          <cell r="K1471">
            <v>3</v>
          </cell>
          <cell r="L1471">
            <v>20300</v>
          </cell>
          <cell r="M1471">
            <v>60900</v>
          </cell>
          <cell r="N1471">
            <v>6090</v>
          </cell>
          <cell r="O1471">
            <v>66990</v>
          </cell>
          <cell r="P1471">
            <v>0</v>
          </cell>
          <cell r="Q1471" t="str">
            <v/>
          </cell>
          <cell r="R1471" t="str">
            <v>실온</v>
          </cell>
          <cell r="S1471" t="str">
            <v>EA(1)</v>
          </cell>
          <cell r="T1471" t="str">
            <v/>
          </cell>
          <cell r="U1471" t="str">
            <v/>
          </cell>
          <cell r="V1471" t="str">
            <v>2018-12-10</v>
          </cell>
          <cell r="W1471" t="str">
            <v>2018-12-10 14:37:54</v>
          </cell>
          <cell r="X1471" t="str">
            <v>178921000</v>
          </cell>
        </row>
        <row r="1472">
          <cell r="A1472">
            <v>1468</v>
          </cell>
          <cell r="B1472" t="str">
            <v>2018-12-11</v>
          </cell>
          <cell r="C1472" t="str">
            <v>키즈락</v>
          </cell>
          <cell r="D1472">
            <v>0</v>
          </cell>
          <cell r="E1472" t="str">
            <v>일반</v>
          </cell>
          <cell r="F1472" t="str">
            <v>입고완료</v>
          </cell>
          <cell r="G1472">
            <v>146442</v>
          </cell>
          <cell r="H1472" t="str">
            <v>삼양식품 국간장(14L 14Kg/EA)</v>
          </cell>
          <cell r="I1472" t="str">
            <v>EA</v>
          </cell>
          <cell r="J1472">
            <v>2</v>
          </cell>
          <cell r="K1472">
            <v>2</v>
          </cell>
          <cell r="L1472">
            <v>11010</v>
          </cell>
          <cell r="M1472">
            <v>22020</v>
          </cell>
          <cell r="N1472">
            <v>2202</v>
          </cell>
          <cell r="O1472">
            <v>24222</v>
          </cell>
          <cell r="P1472">
            <v>0</v>
          </cell>
          <cell r="Q1472" t="str">
            <v/>
          </cell>
          <cell r="R1472" t="str">
            <v>실온</v>
          </cell>
          <cell r="S1472" t="str">
            <v>EA(1)</v>
          </cell>
          <cell r="T1472" t="str">
            <v/>
          </cell>
          <cell r="U1472" t="str">
            <v/>
          </cell>
          <cell r="V1472" t="str">
            <v>2018-12-10</v>
          </cell>
          <cell r="W1472" t="str">
            <v>2018-12-10 14:39:28</v>
          </cell>
          <cell r="X1472" t="str">
            <v>178921000</v>
          </cell>
        </row>
        <row r="1473">
          <cell r="A1473">
            <v>1469</v>
          </cell>
          <cell r="B1473" t="str">
            <v>2018-12-11</v>
          </cell>
          <cell r="C1473" t="str">
            <v>키즈락</v>
          </cell>
          <cell r="D1473">
            <v>0</v>
          </cell>
          <cell r="E1473" t="str">
            <v>일반</v>
          </cell>
          <cell r="F1473" t="str">
            <v>입고완료</v>
          </cell>
          <cell r="G1473">
            <v>504655</v>
          </cell>
          <cell r="H1473" t="str">
            <v>유한양행 락스(20kg 주방용 EA)</v>
          </cell>
          <cell r="I1473" t="str">
            <v>EA</v>
          </cell>
          <cell r="J1473">
            <v>2</v>
          </cell>
          <cell r="K1473">
            <v>2</v>
          </cell>
          <cell r="L1473">
            <v>12600</v>
          </cell>
          <cell r="M1473">
            <v>25200</v>
          </cell>
          <cell r="N1473">
            <v>2520</v>
          </cell>
          <cell r="O1473">
            <v>27720</v>
          </cell>
          <cell r="P1473">
            <v>0</v>
          </cell>
          <cell r="Q1473" t="str">
            <v/>
          </cell>
          <cell r="R1473" t="str">
            <v>실온</v>
          </cell>
          <cell r="S1473" t="str">
            <v>EA(1)</v>
          </cell>
          <cell r="T1473" t="str">
            <v/>
          </cell>
          <cell r="U1473" t="str">
            <v/>
          </cell>
          <cell r="V1473" t="str">
            <v>2018-12-10</v>
          </cell>
          <cell r="W1473" t="str">
            <v>2018-12-10 14:45:30</v>
          </cell>
          <cell r="X1473" t="str">
            <v>178921000</v>
          </cell>
        </row>
        <row r="1474">
          <cell r="A1474">
            <v>1470</v>
          </cell>
          <cell r="B1474" t="str">
            <v>2018-12-11</v>
          </cell>
          <cell r="C1474" t="str">
            <v>키즈락</v>
          </cell>
          <cell r="D1474">
            <v>0</v>
          </cell>
          <cell r="E1474" t="str">
            <v>일반</v>
          </cell>
          <cell r="F1474" t="str">
            <v>입고완료</v>
          </cell>
          <cell r="G1474">
            <v>208301</v>
          </cell>
          <cell r="H1474" t="str">
            <v>양파(특품 180~240g/개 1Kg/EA)</v>
          </cell>
          <cell r="I1474" t="str">
            <v>EA</v>
          </cell>
          <cell r="J1474">
            <v>20</v>
          </cell>
          <cell r="K1474">
            <v>20</v>
          </cell>
          <cell r="L1474">
            <v>1190</v>
          </cell>
          <cell r="M1474">
            <v>23800</v>
          </cell>
          <cell r="N1474">
            <v>0</v>
          </cell>
          <cell r="O1474">
            <v>23800</v>
          </cell>
          <cell r="P1474">
            <v>0</v>
          </cell>
          <cell r="Q1474" t="str">
            <v>한국</v>
          </cell>
          <cell r="R1474" t="str">
            <v>냉장</v>
          </cell>
          <cell r="S1474" t="str">
            <v>EA(10)</v>
          </cell>
          <cell r="T1474" t="str">
            <v/>
          </cell>
          <cell r="U1474" t="str">
            <v/>
          </cell>
          <cell r="V1474" t="str">
            <v>2018-12-10</v>
          </cell>
          <cell r="W1474" t="str">
            <v>2018-12-10 14:49:07</v>
          </cell>
          <cell r="X1474" t="str">
            <v>178921000</v>
          </cell>
        </row>
        <row r="1475">
          <cell r="A1475">
            <v>1471</v>
          </cell>
          <cell r="B1475" t="str">
            <v>2018-12-10</v>
          </cell>
          <cell r="C1475">
            <v>0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</row>
        <row r="1476">
          <cell r="A1476">
            <v>1472</v>
          </cell>
          <cell r="B1476" t="str">
            <v>2018-12-10</v>
          </cell>
          <cell r="C1476" t="str">
            <v>키즈락</v>
          </cell>
          <cell r="D1476">
            <v>0</v>
          </cell>
          <cell r="E1476" t="str">
            <v>일반</v>
          </cell>
          <cell r="F1476" t="str">
            <v>입고완료</v>
          </cell>
          <cell r="G1476">
            <v>160746</v>
          </cell>
          <cell r="H1476" t="str">
            <v>서울우유 바나나우유(200ml 200g/EA)</v>
          </cell>
          <cell r="I1476" t="str">
            <v>EA</v>
          </cell>
          <cell r="J1476">
            <v>62</v>
          </cell>
          <cell r="K1476">
            <v>62</v>
          </cell>
          <cell r="L1476">
            <v>490</v>
          </cell>
          <cell r="M1476">
            <v>30380</v>
          </cell>
          <cell r="N1476">
            <v>3038</v>
          </cell>
          <cell r="O1476">
            <v>33418</v>
          </cell>
          <cell r="P1476">
            <v>0</v>
          </cell>
          <cell r="Q1476" t="str">
            <v/>
          </cell>
          <cell r="R1476" t="str">
            <v>냉장</v>
          </cell>
          <cell r="S1476" t="str">
            <v>EA(1)</v>
          </cell>
          <cell r="T1476" t="str">
            <v/>
          </cell>
          <cell r="U1476" t="str">
            <v/>
          </cell>
          <cell r="V1476" t="str">
            <v>2018-12-06</v>
          </cell>
          <cell r="W1476" t="str">
            <v>2018-12-06 15:14:15</v>
          </cell>
          <cell r="X1476" t="str">
            <v>178921000</v>
          </cell>
        </row>
        <row r="1477">
          <cell r="A1477">
            <v>1473</v>
          </cell>
          <cell r="B1477" t="str">
            <v>2018-12-10</v>
          </cell>
          <cell r="C1477" t="str">
            <v>키즈락</v>
          </cell>
          <cell r="D1477">
            <v>0</v>
          </cell>
          <cell r="E1477" t="str">
            <v>일반</v>
          </cell>
          <cell r="F1477" t="str">
            <v>입고완료</v>
          </cell>
          <cell r="G1477">
            <v>136633</v>
          </cell>
          <cell r="H1477" t="str">
            <v>이오 요구르트(80ml_유기농 80g/EA)</v>
          </cell>
          <cell r="I1477" t="str">
            <v>EA</v>
          </cell>
          <cell r="J1477">
            <v>45</v>
          </cell>
          <cell r="K1477">
            <v>45</v>
          </cell>
          <cell r="L1477">
            <v>300</v>
          </cell>
          <cell r="M1477">
            <v>13500</v>
          </cell>
          <cell r="N1477">
            <v>1350</v>
          </cell>
          <cell r="O1477">
            <v>14850</v>
          </cell>
          <cell r="P1477">
            <v>0</v>
          </cell>
          <cell r="Q1477" t="str">
            <v>한국</v>
          </cell>
          <cell r="R1477" t="str">
            <v>냉장</v>
          </cell>
          <cell r="S1477" t="str">
            <v>EA(50)</v>
          </cell>
          <cell r="T1477" t="str">
            <v/>
          </cell>
          <cell r="U1477" t="str">
            <v/>
          </cell>
          <cell r="V1477" t="str">
            <v>2018-12-06</v>
          </cell>
          <cell r="W1477" t="str">
            <v>2018-12-06 15:14:38</v>
          </cell>
          <cell r="X1477" t="str">
            <v>178921000</v>
          </cell>
        </row>
        <row r="1478">
          <cell r="A1478">
            <v>1474</v>
          </cell>
          <cell r="B1478" t="str">
            <v>2018-12-10</v>
          </cell>
          <cell r="C1478" t="str">
            <v>키즈락</v>
          </cell>
          <cell r="D1478">
            <v>0</v>
          </cell>
          <cell r="E1478" t="str">
            <v>일반</v>
          </cell>
          <cell r="F1478" t="str">
            <v>입고완료</v>
          </cell>
          <cell r="G1478">
            <v>146368</v>
          </cell>
          <cell r="H1478" t="str">
            <v>뚜레쥬르 머핀(달콤한초코칩 55g/EA)</v>
          </cell>
          <cell r="I1478" t="str">
            <v>EA</v>
          </cell>
          <cell r="J1478">
            <v>260</v>
          </cell>
          <cell r="K1478">
            <v>260</v>
          </cell>
          <cell r="L1478">
            <v>480</v>
          </cell>
          <cell r="M1478">
            <v>124800</v>
          </cell>
          <cell r="N1478">
            <v>12480</v>
          </cell>
          <cell r="O1478">
            <v>137280</v>
          </cell>
          <cell r="P1478">
            <v>0</v>
          </cell>
          <cell r="Q1478" t="str">
            <v/>
          </cell>
          <cell r="R1478" t="str">
            <v>실온</v>
          </cell>
          <cell r="S1478" t="str">
            <v>EA(1)</v>
          </cell>
          <cell r="T1478" t="str">
            <v/>
          </cell>
          <cell r="U1478" t="str">
            <v/>
          </cell>
          <cell r="V1478" t="str">
            <v>2018-12-06</v>
          </cell>
          <cell r="W1478" t="str">
            <v>2018-12-06 15:16:19</v>
          </cell>
          <cell r="X1478" t="str">
            <v>178921000</v>
          </cell>
        </row>
        <row r="1479">
          <cell r="A1479">
            <v>1475</v>
          </cell>
          <cell r="B1479" t="str">
            <v>2018-12-10</v>
          </cell>
          <cell r="C1479" t="str">
            <v>키즈락</v>
          </cell>
          <cell r="D1479">
            <v>0</v>
          </cell>
          <cell r="E1479" t="str">
            <v>일반</v>
          </cell>
          <cell r="F1479" t="str">
            <v>입고완료</v>
          </cell>
          <cell r="G1479">
            <v>260295</v>
          </cell>
          <cell r="H1479" t="str">
            <v>아이누리 사과(215g내외*6개 1.29Kg/EA)</v>
          </cell>
          <cell r="I1479" t="str">
            <v>EA</v>
          </cell>
          <cell r="J1479">
            <v>1</v>
          </cell>
          <cell r="K1479">
            <v>1</v>
          </cell>
          <cell r="L1479">
            <v>7700</v>
          </cell>
          <cell r="M1479">
            <v>7700</v>
          </cell>
          <cell r="N1479">
            <v>0</v>
          </cell>
          <cell r="O1479">
            <v>7700</v>
          </cell>
          <cell r="P1479">
            <v>0</v>
          </cell>
          <cell r="Q1479" t="str">
            <v>한국</v>
          </cell>
          <cell r="R1479" t="str">
            <v>냉장</v>
          </cell>
          <cell r="S1479" t="str">
            <v>EA(1)</v>
          </cell>
          <cell r="T1479" t="str">
            <v/>
          </cell>
          <cell r="U1479" t="str">
            <v/>
          </cell>
          <cell r="V1479" t="str">
            <v>2018-12-07</v>
          </cell>
          <cell r="W1479" t="str">
            <v>2018-12-07 12:21:18</v>
          </cell>
          <cell r="X1479" t="str">
            <v>178921000</v>
          </cell>
        </row>
        <row r="1480">
          <cell r="A1480">
            <v>1476</v>
          </cell>
          <cell r="B1480" t="str">
            <v>2018-12-10</v>
          </cell>
          <cell r="C1480" t="str">
            <v>키즈락</v>
          </cell>
          <cell r="D1480">
            <v>0</v>
          </cell>
          <cell r="E1480" t="str">
            <v>일반</v>
          </cell>
          <cell r="F1480" t="str">
            <v>입고완료</v>
          </cell>
          <cell r="G1480">
            <v>130817</v>
          </cell>
          <cell r="H1480" t="str">
            <v>이츠웰 해물모양떡(하얀색 1Kg/EA)</v>
          </cell>
          <cell r="I1480" t="str">
            <v>EA</v>
          </cell>
          <cell r="J1480">
            <v>32</v>
          </cell>
          <cell r="K1480">
            <v>32</v>
          </cell>
          <cell r="L1480">
            <v>1480</v>
          </cell>
          <cell r="M1480">
            <v>47360</v>
          </cell>
          <cell r="N1480">
            <v>4736</v>
          </cell>
          <cell r="O1480">
            <v>52096</v>
          </cell>
          <cell r="P1480">
            <v>0</v>
          </cell>
          <cell r="Q1480" t="str">
            <v>외국산</v>
          </cell>
          <cell r="R1480" t="str">
            <v>냉장</v>
          </cell>
          <cell r="S1480" t="str">
            <v>EA(10)</v>
          </cell>
          <cell r="T1480" t="str">
            <v/>
          </cell>
          <cell r="U1480" t="str">
            <v/>
          </cell>
          <cell r="V1480" t="str">
            <v>2018-12-07</v>
          </cell>
          <cell r="W1480" t="str">
            <v>2018-12-07 12:28:32</v>
          </cell>
          <cell r="X1480" t="str">
            <v>178921000</v>
          </cell>
        </row>
        <row r="1481">
          <cell r="A1481">
            <v>1477</v>
          </cell>
          <cell r="B1481" t="str">
            <v>2018-12-10</v>
          </cell>
          <cell r="C1481" t="str">
            <v>키즈락</v>
          </cell>
          <cell r="D1481">
            <v>0</v>
          </cell>
          <cell r="E1481" t="str">
            <v>일반</v>
          </cell>
          <cell r="F1481" t="str">
            <v>입고완료</v>
          </cell>
          <cell r="G1481">
            <v>192872</v>
          </cell>
          <cell r="H1481" t="str">
            <v>소이원 콩나물(곱슬이_단채 4Kg/BOX)</v>
          </cell>
          <cell r="I1481" t="str">
            <v>BOX</v>
          </cell>
          <cell r="J1481">
            <v>12</v>
          </cell>
          <cell r="K1481">
            <v>12</v>
          </cell>
          <cell r="L1481">
            <v>4240</v>
          </cell>
          <cell r="M1481">
            <v>50880</v>
          </cell>
          <cell r="N1481">
            <v>0</v>
          </cell>
          <cell r="O1481">
            <v>50880</v>
          </cell>
          <cell r="P1481">
            <v>0</v>
          </cell>
          <cell r="Q1481" t="str">
            <v>외국산</v>
          </cell>
          <cell r="R1481" t="str">
            <v>냉장</v>
          </cell>
          <cell r="S1481" t="str">
            <v>BOX(1)</v>
          </cell>
          <cell r="T1481" t="str">
            <v/>
          </cell>
          <cell r="U1481" t="str">
            <v/>
          </cell>
          <cell r="V1481" t="str">
            <v>2018-12-07</v>
          </cell>
          <cell r="W1481" t="str">
            <v>2018-12-07 12:33:24</v>
          </cell>
          <cell r="X1481" t="str">
            <v>178921000</v>
          </cell>
        </row>
        <row r="1482">
          <cell r="A1482">
            <v>1478</v>
          </cell>
          <cell r="B1482" t="str">
            <v>2018-12-10</v>
          </cell>
          <cell r="C1482" t="str">
            <v>키즈락</v>
          </cell>
          <cell r="D1482">
            <v>0</v>
          </cell>
          <cell r="E1482" t="str">
            <v>일반</v>
          </cell>
          <cell r="F1482" t="str">
            <v>입고완료</v>
          </cell>
          <cell r="G1482">
            <v>245786</v>
          </cell>
          <cell r="H1482" t="str">
            <v>종로복떡방 앙금절편(25g*40개 1Kg/BOX)</v>
          </cell>
          <cell r="I1482" t="str">
            <v>BOX</v>
          </cell>
          <cell r="J1482">
            <v>10</v>
          </cell>
          <cell r="K1482">
            <v>10</v>
          </cell>
          <cell r="L1482">
            <v>8750</v>
          </cell>
          <cell r="M1482">
            <v>87500</v>
          </cell>
          <cell r="N1482">
            <v>8750</v>
          </cell>
          <cell r="O1482">
            <v>96250</v>
          </cell>
          <cell r="P1482">
            <v>0</v>
          </cell>
          <cell r="Q1482" t="str">
            <v>한국</v>
          </cell>
          <cell r="R1482" t="str">
            <v>냉동</v>
          </cell>
          <cell r="S1482" t="str">
            <v>BOX(1)</v>
          </cell>
          <cell r="T1482" t="str">
            <v/>
          </cell>
          <cell r="U1482" t="str">
            <v/>
          </cell>
          <cell r="V1482" t="str">
            <v>2018-12-07</v>
          </cell>
          <cell r="W1482" t="str">
            <v>2018-12-07 13:08:32</v>
          </cell>
          <cell r="X1482" t="str">
            <v>178921000</v>
          </cell>
        </row>
        <row r="1483">
          <cell r="A1483">
            <v>1479</v>
          </cell>
          <cell r="B1483" t="str">
            <v>2018-12-10</v>
          </cell>
          <cell r="C1483" t="str">
            <v>키즈락</v>
          </cell>
          <cell r="D1483">
            <v>0</v>
          </cell>
          <cell r="E1483" t="str">
            <v>일반</v>
          </cell>
          <cell r="F1483" t="str">
            <v>입고완료</v>
          </cell>
          <cell r="G1483">
            <v>165821</v>
          </cell>
          <cell r="H1483" t="str">
            <v>녹선 더덕무침(1Kg/EA)</v>
          </cell>
          <cell r="I1483" t="str">
            <v>EA</v>
          </cell>
          <cell r="J1483">
            <v>1</v>
          </cell>
          <cell r="K1483">
            <v>1</v>
          </cell>
          <cell r="L1483">
            <v>8070</v>
          </cell>
          <cell r="M1483">
            <v>8070</v>
          </cell>
          <cell r="N1483">
            <v>807</v>
          </cell>
          <cell r="O1483">
            <v>8877</v>
          </cell>
          <cell r="P1483">
            <v>0</v>
          </cell>
          <cell r="Q1483" t="str">
            <v>중국</v>
          </cell>
          <cell r="R1483" t="str">
            <v>냉장</v>
          </cell>
          <cell r="S1483" t="str">
            <v>EA(1)</v>
          </cell>
          <cell r="T1483" t="str">
            <v/>
          </cell>
          <cell r="U1483" t="str">
            <v/>
          </cell>
          <cell r="V1483" t="str">
            <v>2018-12-07</v>
          </cell>
          <cell r="W1483" t="str">
            <v>2018-12-07 14:24:13</v>
          </cell>
          <cell r="X1483" t="str">
            <v>178921000</v>
          </cell>
        </row>
        <row r="1484">
          <cell r="A1484">
            <v>1480</v>
          </cell>
          <cell r="B1484" t="str">
            <v>2018-12-10</v>
          </cell>
          <cell r="C1484" t="str">
            <v>키즈락</v>
          </cell>
          <cell r="D1484">
            <v>0</v>
          </cell>
          <cell r="E1484" t="str">
            <v>일반</v>
          </cell>
          <cell r="F1484" t="str">
            <v>입고완료</v>
          </cell>
          <cell r="G1484">
            <v>130452</v>
          </cell>
          <cell r="H1484" t="str">
            <v>사조오양 스모크햄(즉석 1Kg/EA)</v>
          </cell>
          <cell r="I1484" t="str">
            <v>EA</v>
          </cell>
          <cell r="J1484">
            <v>10</v>
          </cell>
          <cell r="K1484">
            <v>10</v>
          </cell>
          <cell r="L1484">
            <v>3650</v>
          </cell>
          <cell r="M1484">
            <v>36500</v>
          </cell>
          <cell r="N1484">
            <v>3650</v>
          </cell>
          <cell r="O1484">
            <v>40150</v>
          </cell>
          <cell r="P1484">
            <v>0</v>
          </cell>
          <cell r="Q1484" t="str">
            <v/>
          </cell>
          <cell r="R1484" t="str">
            <v>냉장</v>
          </cell>
          <cell r="S1484" t="str">
            <v>EA(10)</v>
          </cell>
          <cell r="T1484" t="str">
            <v/>
          </cell>
          <cell r="U1484" t="str">
            <v/>
          </cell>
          <cell r="V1484" t="str">
            <v>2018-12-07</v>
          </cell>
          <cell r="W1484" t="str">
            <v>2018-12-07 14:52:45</v>
          </cell>
          <cell r="X1484" t="str">
            <v>178921000</v>
          </cell>
        </row>
        <row r="1485">
          <cell r="A1485">
            <v>1481</v>
          </cell>
          <cell r="B1485" t="str">
            <v>2018-12-10</v>
          </cell>
          <cell r="C1485" t="str">
            <v>키즈락</v>
          </cell>
          <cell r="D1485">
            <v>0</v>
          </cell>
          <cell r="E1485" t="str">
            <v>일반</v>
          </cell>
          <cell r="F1485" t="str">
            <v>입고완료</v>
          </cell>
          <cell r="G1485">
            <v>140667</v>
          </cell>
          <cell r="H1485" t="str">
            <v>이츠웰 코코넛순살돈까스(100g*10입 1Kg/EA)</v>
          </cell>
          <cell r="I1485" t="str">
            <v>EA</v>
          </cell>
          <cell r="J1485">
            <v>40</v>
          </cell>
          <cell r="K1485">
            <v>40</v>
          </cell>
          <cell r="L1485">
            <v>5690</v>
          </cell>
          <cell r="M1485">
            <v>227600</v>
          </cell>
          <cell r="N1485">
            <v>22760</v>
          </cell>
          <cell r="O1485">
            <v>250360</v>
          </cell>
          <cell r="P1485">
            <v>0</v>
          </cell>
          <cell r="Q1485" t="str">
            <v/>
          </cell>
          <cell r="R1485" t="str">
            <v>냉동</v>
          </cell>
          <cell r="S1485" t="str">
            <v>EA(6)</v>
          </cell>
          <cell r="T1485" t="str">
            <v/>
          </cell>
          <cell r="U1485" t="str">
            <v/>
          </cell>
          <cell r="V1485" t="str">
            <v>2018-12-07</v>
          </cell>
          <cell r="W1485" t="str">
            <v>2018-12-07 15:12:26</v>
          </cell>
          <cell r="X1485" t="str">
            <v>178921000</v>
          </cell>
        </row>
        <row r="1486">
          <cell r="A1486">
            <v>1482</v>
          </cell>
          <cell r="B1486" t="str">
            <v>2018-12-10</v>
          </cell>
          <cell r="C1486" t="str">
            <v>키즈락</v>
          </cell>
          <cell r="D1486">
            <v>0</v>
          </cell>
          <cell r="E1486" t="str">
            <v>일반</v>
          </cell>
          <cell r="F1486" t="str">
            <v>입고완료</v>
          </cell>
          <cell r="G1486">
            <v>231156</v>
          </cell>
          <cell r="H1486" t="str">
            <v>종가집 포기김치(중숙 10Kg/BOX)</v>
          </cell>
          <cell r="I1486" t="str">
            <v>BOX</v>
          </cell>
          <cell r="J1486">
            <v>2</v>
          </cell>
          <cell r="K1486">
            <v>2</v>
          </cell>
          <cell r="L1486">
            <v>31390</v>
          </cell>
          <cell r="M1486">
            <v>62780</v>
          </cell>
          <cell r="N1486">
            <v>0</v>
          </cell>
          <cell r="O1486">
            <v>62780</v>
          </cell>
          <cell r="P1486">
            <v>0</v>
          </cell>
          <cell r="Q1486" t="str">
            <v>한국</v>
          </cell>
          <cell r="R1486" t="str">
            <v>냉장</v>
          </cell>
          <cell r="S1486" t="str">
            <v>BOX(1)</v>
          </cell>
          <cell r="T1486" t="str">
            <v/>
          </cell>
          <cell r="U1486" t="str">
            <v/>
          </cell>
          <cell r="V1486" t="str">
            <v>2018-12-07</v>
          </cell>
          <cell r="W1486" t="str">
            <v>2018-12-07 15:25:23</v>
          </cell>
          <cell r="X1486" t="str">
            <v>178921000</v>
          </cell>
        </row>
        <row r="1487">
          <cell r="A1487">
            <v>1483</v>
          </cell>
          <cell r="B1487" t="str">
            <v>2018-12-10</v>
          </cell>
          <cell r="C1487" t="str">
            <v>키즈락</v>
          </cell>
          <cell r="D1487">
            <v>0</v>
          </cell>
          <cell r="E1487" t="str">
            <v>일반</v>
          </cell>
          <cell r="F1487" t="str">
            <v>입고완료</v>
          </cell>
          <cell r="G1487">
            <v>127529</v>
          </cell>
          <cell r="H1487" t="str">
            <v>칠갑농산 꼬마쌀떡볶이떡(1Kg/EA)</v>
          </cell>
          <cell r="I1487" t="str">
            <v>EA</v>
          </cell>
          <cell r="J1487">
            <v>3</v>
          </cell>
          <cell r="K1487">
            <v>3</v>
          </cell>
          <cell r="L1487">
            <v>1340</v>
          </cell>
          <cell r="M1487">
            <v>4020</v>
          </cell>
          <cell r="N1487">
            <v>402</v>
          </cell>
          <cell r="O1487">
            <v>4422</v>
          </cell>
          <cell r="P1487">
            <v>0</v>
          </cell>
          <cell r="Q1487" t="str">
            <v/>
          </cell>
          <cell r="R1487" t="str">
            <v>냉장</v>
          </cell>
          <cell r="S1487" t="str">
            <v>EA(10)</v>
          </cell>
          <cell r="T1487" t="str">
            <v/>
          </cell>
          <cell r="U1487" t="str">
            <v/>
          </cell>
          <cell r="V1487" t="str">
            <v>2018-12-07</v>
          </cell>
          <cell r="W1487" t="str">
            <v>2018-12-07 15:33:10</v>
          </cell>
          <cell r="X1487" t="str">
            <v>178921000</v>
          </cell>
        </row>
        <row r="1488">
          <cell r="A1488">
            <v>1484</v>
          </cell>
          <cell r="B1488" t="str">
            <v>2018-12-10</v>
          </cell>
          <cell r="C1488" t="str">
            <v>키즈락</v>
          </cell>
          <cell r="D1488">
            <v>0</v>
          </cell>
          <cell r="E1488" t="str">
            <v>일반</v>
          </cell>
          <cell r="F1488" t="str">
            <v>입고완료</v>
          </cell>
          <cell r="G1488">
            <v>107255</v>
          </cell>
          <cell r="H1488" t="str">
            <v>오뚜기 돈까스소스(PET 2.1Kg/EA)</v>
          </cell>
          <cell r="I1488" t="str">
            <v>EA</v>
          </cell>
          <cell r="J1488">
            <v>6</v>
          </cell>
          <cell r="K1488">
            <v>6</v>
          </cell>
          <cell r="L1488">
            <v>4360</v>
          </cell>
          <cell r="M1488">
            <v>26160</v>
          </cell>
          <cell r="N1488">
            <v>2616</v>
          </cell>
          <cell r="O1488">
            <v>28776</v>
          </cell>
          <cell r="P1488">
            <v>0</v>
          </cell>
          <cell r="Q1488" t="str">
            <v/>
          </cell>
          <cell r="R1488" t="str">
            <v>실온</v>
          </cell>
          <cell r="S1488" t="str">
            <v>EA(6)</v>
          </cell>
          <cell r="T1488" t="str">
            <v/>
          </cell>
          <cell r="U1488" t="str">
            <v/>
          </cell>
          <cell r="V1488" t="str">
            <v>2018-12-07</v>
          </cell>
          <cell r="W1488" t="str">
            <v>2018-12-07 15:42:57</v>
          </cell>
          <cell r="X1488" t="str">
            <v>178921000</v>
          </cell>
        </row>
        <row r="1489">
          <cell r="A1489">
            <v>1485</v>
          </cell>
          <cell r="B1489" t="str">
            <v>2018-12-07</v>
          </cell>
          <cell r="C1489">
            <v>0</v>
          </cell>
          <cell r="D1489">
            <v>0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</row>
        <row r="1490">
          <cell r="A1490">
            <v>1486</v>
          </cell>
          <cell r="B1490" t="str">
            <v>2018-12-07</v>
          </cell>
          <cell r="C1490" t="str">
            <v>키즈락</v>
          </cell>
          <cell r="D1490">
            <v>0</v>
          </cell>
          <cell r="E1490" t="str">
            <v>일반</v>
          </cell>
          <cell r="F1490" t="str">
            <v>입고완료</v>
          </cell>
          <cell r="G1490">
            <v>108319</v>
          </cell>
          <cell r="H1490" t="str">
            <v>연세우유 고칼슘두유(팩_200ml 200g/EA)</v>
          </cell>
          <cell r="I1490" t="str">
            <v>EA</v>
          </cell>
          <cell r="J1490">
            <v>120</v>
          </cell>
          <cell r="K1490">
            <v>120</v>
          </cell>
          <cell r="L1490">
            <v>280</v>
          </cell>
          <cell r="M1490">
            <v>33600</v>
          </cell>
          <cell r="N1490">
            <v>3360</v>
          </cell>
          <cell r="O1490">
            <v>36960</v>
          </cell>
          <cell r="P1490">
            <v>0</v>
          </cell>
          <cell r="Q1490" t="str">
            <v>한국</v>
          </cell>
          <cell r="R1490" t="str">
            <v>실온</v>
          </cell>
          <cell r="S1490" t="str">
            <v>EA(1)</v>
          </cell>
          <cell r="T1490" t="str">
            <v/>
          </cell>
          <cell r="U1490" t="str">
            <v/>
          </cell>
          <cell r="V1490" t="str">
            <v>2018-11-29</v>
          </cell>
          <cell r="W1490" t="str">
            <v>2018-11-29 12:53:08</v>
          </cell>
          <cell r="X1490" t="str">
            <v>178921000</v>
          </cell>
        </row>
        <row r="1491">
          <cell r="A1491">
            <v>1487</v>
          </cell>
          <cell r="B1491" t="str">
            <v>2018-12-07</v>
          </cell>
          <cell r="C1491" t="str">
            <v>키즈락</v>
          </cell>
          <cell r="D1491">
            <v>0</v>
          </cell>
          <cell r="E1491" t="str">
            <v>일반</v>
          </cell>
          <cell r="F1491" t="str">
            <v>입고완료</v>
          </cell>
          <cell r="G1491">
            <v>167560</v>
          </cell>
          <cell r="H1491" t="str">
            <v>쉐프솔루션 파지베이컨(실속 1Kg/EA)</v>
          </cell>
          <cell r="I1491" t="str">
            <v>EA</v>
          </cell>
          <cell r="J1491">
            <v>1</v>
          </cell>
          <cell r="K1491">
            <v>1</v>
          </cell>
          <cell r="L1491">
            <v>8720</v>
          </cell>
          <cell r="M1491">
            <v>8720</v>
          </cell>
          <cell r="N1491">
            <v>872</v>
          </cell>
          <cell r="O1491">
            <v>9592</v>
          </cell>
          <cell r="P1491">
            <v>0</v>
          </cell>
          <cell r="Q1491" t="str">
            <v>수입산</v>
          </cell>
          <cell r="R1491" t="str">
            <v>냉동</v>
          </cell>
          <cell r="S1491" t="str">
            <v>EA(5)</v>
          </cell>
          <cell r="T1491" t="str">
            <v/>
          </cell>
          <cell r="U1491" t="str">
            <v/>
          </cell>
          <cell r="V1491" t="str">
            <v>2018-12-05</v>
          </cell>
          <cell r="W1491" t="str">
            <v>2018-12-05 12:58:50</v>
          </cell>
          <cell r="X1491" t="str">
            <v>178921000</v>
          </cell>
        </row>
        <row r="1492">
          <cell r="A1492">
            <v>1488</v>
          </cell>
          <cell r="B1492" t="str">
            <v>2018-12-07</v>
          </cell>
          <cell r="C1492" t="str">
            <v>키즈락</v>
          </cell>
          <cell r="D1492">
            <v>0</v>
          </cell>
          <cell r="E1492" t="str">
            <v>일반</v>
          </cell>
          <cell r="F1492" t="str">
            <v>입고완료</v>
          </cell>
          <cell r="G1492">
            <v>170336</v>
          </cell>
          <cell r="H1492" t="str">
            <v>이츠웰 탕수육(1Kg/EA)</v>
          </cell>
          <cell r="I1492" t="str">
            <v>EA</v>
          </cell>
          <cell r="J1492">
            <v>30</v>
          </cell>
          <cell r="K1492">
            <v>30</v>
          </cell>
          <cell r="L1492">
            <v>5210</v>
          </cell>
          <cell r="M1492">
            <v>156300</v>
          </cell>
          <cell r="N1492">
            <v>15630</v>
          </cell>
          <cell r="O1492">
            <v>171930</v>
          </cell>
          <cell r="P1492">
            <v>0</v>
          </cell>
          <cell r="Q1492" t="str">
            <v/>
          </cell>
          <cell r="R1492" t="str">
            <v>냉동</v>
          </cell>
          <cell r="S1492" t="str">
            <v>EA(10)</v>
          </cell>
          <cell r="T1492" t="str">
            <v/>
          </cell>
          <cell r="U1492" t="str">
            <v/>
          </cell>
          <cell r="V1492" t="str">
            <v>2018-12-05</v>
          </cell>
          <cell r="W1492" t="str">
            <v>2018-12-05 13:57:37</v>
          </cell>
          <cell r="X1492" t="str">
            <v>178921000</v>
          </cell>
        </row>
        <row r="1493">
          <cell r="A1493">
            <v>1489</v>
          </cell>
          <cell r="B1493" t="str">
            <v>2018-12-07</v>
          </cell>
          <cell r="C1493" t="str">
            <v>키즈락</v>
          </cell>
          <cell r="D1493">
            <v>0</v>
          </cell>
          <cell r="E1493" t="str">
            <v>일반</v>
          </cell>
          <cell r="F1493" t="str">
            <v>입고완료</v>
          </cell>
          <cell r="G1493">
            <v>264369</v>
          </cell>
          <cell r="H1493" t="str">
            <v>롯데제과증평 미니딸기샌드(65g/EA)</v>
          </cell>
          <cell r="I1493" t="str">
            <v>EA</v>
          </cell>
          <cell r="J1493">
            <v>5</v>
          </cell>
          <cell r="K1493">
            <v>5</v>
          </cell>
          <cell r="L1493">
            <v>580</v>
          </cell>
          <cell r="M1493">
            <v>2900</v>
          </cell>
          <cell r="N1493">
            <v>290</v>
          </cell>
          <cell r="O1493">
            <v>3190</v>
          </cell>
          <cell r="P1493">
            <v>0</v>
          </cell>
          <cell r="Q1493" t="str">
            <v/>
          </cell>
          <cell r="R1493" t="str">
            <v>실온</v>
          </cell>
          <cell r="S1493" t="str">
            <v>EA(1)</v>
          </cell>
          <cell r="T1493" t="str">
            <v/>
          </cell>
          <cell r="U1493" t="str">
            <v/>
          </cell>
          <cell r="V1493" t="str">
            <v>2018-12-05</v>
          </cell>
          <cell r="W1493" t="str">
            <v>2018-12-05 14:08:45</v>
          </cell>
          <cell r="X1493" t="str">
            <v>178921000</v>
          </cell>
        </row>
        <row r="1494">
          <cell r="A1494">
            <v>1490</v>
          </cell>
          <cell r="B1494" t="str">
            <v>2018-12-07</v>
          </cell>
          <cell r="C1494" t="str">
            <v>키즈락</v>
          </cell>
          <cell r="D1494">
            <v>0</v>
          </cell>
          <cell r="E1494" t="str">
            <v>일반</v>
          </cell>
          <cell r="F1494" t="str">
            <v>입고완료</v>
          </cell>
          <cell r="G1494">
            <v>133911</v>
          </cell>
          <cell r="H1494" t="str">
            <v>세미원푸드 피쉬볼샌드위치(15±1g/개 500g/EA)</v>
          </cell>
          <cell r="I1494" t="str">
            <v>EA</v>
          </cell>
          <cell r="J1494">
            <v>28</v>
          </cell>
          <cell r="K1494">
            <v>28</v>
          </cell>
          <cell r="L1494">
            <v>5590</v>
          </cell>
          <cell r="M1494">
            <v>156520</v>
          </cell>
          <cell r="N1494">
            <v>15652</v>
          </cell>
          <cell r="O1494">
            <v>172172</v>
          </cell>
          <cell r="P1494">
            <v>0</v>
          </cell>
          <cell r="Q1494" t="str">
            <v/>
          </cell>
          <cell r="R1494" t="str">
            <v>냉동</v>
          </cell>
          <cell r="S1494" t="str">
            <v>EA(12)</v>
          </cell>
          <cell r="T1494" t="str">
            <v/>
          </cell>
          <cell r="U1494" t="str">
            <v/>
          </cell>
          <cell r="V1494" t="str">
            <v>2018-12-06</v>
          </cell>
          <cell r="W1494" t="str">
            <v>2018-12-06 13:23:06</v>
          </cell>
          <cell r="X1494" t="str">
            <v>178921000</v>
          </cell>
        </row>
        <row r="1495">
          <cell r="A1495">
            <v>1491</v>
          </cell>
          <cell r="B1495" t="str">
            <v>2018-12-07</v>
          </cell>
          <cell r="C1495" t="str">
            <v>키즈락</v>
          </cell>
          <cell r="D1495">
            <v>0</v>
          </cell>
          <cell r="E1495" t="str">
            <v>일반</v>
          </cell>
          <cell r="F1495" t="str">
            <v>입고완료</v>
          </cell>
          <cell r="G1495">
            <v>201296</v>
          </cell>
          <cell r="H1495" t="str">
            <v>건고사리(데친것 KG)</v>
          </cell>
          <cell r="I1495" t="str">
            <v>KG</v>
          </cell>
          <cell r="J1495">
            <v>14</v>
          </cell>
          <cell r="K1495">
            <v>14</v>
          </cell>
          <cell r="L1495">
            <v>3910</v>
          </cell>
          <cell r="M1495">
            <v>54740</v>
          </cell>
          <cell r="N1495">
            <v>0</v>
          </cell>
          <cell r="O1495">
            <v>54740</v>
          </cell>
          <cell r="P1495">
            <v>0</v>
          </cell>
          <cell r="Q1495" t="str">
            <v>중국</v>
          </cell>
          <cell r="R1495" t="str">
            <v>냉장</v>
          </cell>
          <cell r="S1495" t="str">
            <v>KG(1)</v>
          </cell>
          <cell r="T1495" t="str">
            <v/>
          </cell>
          <cell r="U1495" t="str">
            <v/>
          </cell>
          <cell r="V1495" t="str">
            <v>2018-12-06</v>
          </cell>
          <cell r="W1495" t="str">
            <v>2018-12-06 13:25:34</v>
          </cell>
          <cell r="X1495" t="str">
            <v>178921000</v>
          </cell>
        </row>
        <row r="1496">
          <cell r="A1496">
            <v>1492</v>
          </cell>
          <cell r="B1496" t="str">
            <v>2018-12-07</v>
          </cell>
          <cell r="C1496" t="str">
            <v>키즈락</v>
          </cell>
          <cell r="D1496">
            <v>0</v>
          </cell>
          <cell r="E1496" t="str">
            <v>일반</v>
          </cell>
          <cell r="F1496" t="str">
            <v>입고완료</v>
          </cell>
          <cell r="G1496">
            <v>101925</v>
          </cell>
          <cell r="H1496" t="str">
            <v>사조대림 조미유부(10g*60개입 600g/EA)</v>
          </cell>
          <cell r="I1496" t="str">
            <v>EA</v>
          </cell>
          <cell r="J1496">
            <v>3</v>
          </cell>
          <cell r="K1496">
            <v>3</v>
          </cell>
          <cell r="L1496">
            <v>4390</v>
          </cell>
          <cell r="M1496">
            <v>13170</v>
          </cell>
          <cell r="N1496">
            <v>1317</v>
          </cell>
          <cell r="O1496">
            <v>14487</v>
          </cell>
          <cell r="P1496">
            <v>0</v>
          </cell>
          <cell r="Q1496" t="str">
            <v>외국산</v>
          </cell>
          <cell r="R1496" t="str">
            <v>냉장</v>
          </cell>
          <cell r="S1496" t="str">
            <v>EA(1)</v>
          </cell>
          <cell r="T1496" t="str">
            <v/>
          </cell>
          <cell r="U1496" t="str">
            <v/>
          </cell>
          <cell r="V1496" t="str">
            <v>2018-12-06</v>
          </cell>
          <cell r="W1496" t="str">
            <v>2018-12-06 13:30:00</v>
          </cell>
          <cell r="X1496" t="str">
            <v>178921000</v>
          </cell>
        </row>
        <row r="1497">
          <cell r="A1497">
            <v>1493</v>
          </cell>
          <cell r="B1497" t="str">
            <v>2018-12-07</v>
          </cell>
          <cell r="C1497" t="str">
            <v>키즈락</v>
          </cell>
          <cell r="D1497">
            <v>0</v>
          </cell>
          <cell r="E1497" t="str">
            <v>일반</v>
          </cell>
          <cell r="F1497" t="str">
            <v>입고완료</v>
          </cell>
          <cell r="G1497">
            <v>249240</v>
          </cell>
          <cell r="H1497" t="str">
            <v>파스타빌라 스파게티(500g/EA)</v>
          </cell>
          <cell r="I1497" t="str">
            <v>EA</v>
          </cell>
          <cell r="J1497">
            <v>7</v>
          </cell>
          <cell r="K1497">
            <v>7</v>
          </cell>
          <cell r="L1497">
            <v>690</v>
          </cell>
          <cell r="M1497">
            <v>4830</v>
          </cell>
          <cell r="N1497">
            <v>483</v>
          </cell>
          <cell r="O1497">
            <v>5313</v>
          </cell>
          <cell r="P1497">
            <v>0</v>
          </cell>
          <cell r="Q1497" t="str">
            <v>터키</v>
          </cell>
          <cell r="R1497" t="str">
            <v>실온</v>
          </cell>
          <cell r="S1497" t="str">
            <v>EA(20)</v>
          </cell>
          <cell r="T1497" t="str">
            <v/>
          </cell>
          <cell r="U1497" t="str">
            <v/>
          </cell>
          <cell r="V1497" t="str">
            <v>2018-12-06</v>
          </cell>
          <cell r="W1497" t="str">
            <v>2018-12-06 13:31:07</v>
          </cell>
          <cell r="X1497" t="str">
            <v>178921000</v>
          </cell>
        </row>
        <row r="1498">
          <cell r="A1498">
            <v>1494</v>
          </cell>
          <cell r="B1498" t="str">
            <v>2018-12-07</v>
          </cell>
          <cell r="C1498" t="str">
            <v>키즈락</v>
          </cell>
          <cell r="D1498">
            <v>0</v>
          </cell>
          <cell r="E1498" t="str">
            <v>일반</v>
          </cell>
          <cell r="F1498" t="str">
            <v>입고완료</v>
          </cell>
          <cell r="G1498">
            <v>173174</v>
          </cell>
          <cell r="H1498" t="str">
            <v>이츠웰 치킨너겟(골든 55±3개입 1Kg/EA)</v>
          </cell>
          <cell r="I1498" t="str">
            <v>EA</v>
          </cell>
          <cell r="J1498">
            <v>3</v>
          </cell>
          <cell r="K1498">
            <v>3</v>
          </cell>
          <cell r="L1498">
            <v>4700</v>
          </cell>
          <cell r="M1498">
            <v>14100</v>
          </cell>
          <cell r="N1498">
            <v>1410</v>
          </cell>
          <cell r="O1498">
            <v>15510</v>
          </cell>
          <cell r="P1498">
            <v>0</v>
          </cell>
          <cell r="Q1498" t="str">
            <v>한국</v>
          </cell>
          <cell r="R1498" t="str">
            <v>냉동</v>
          </cell>
          <cell r="S1498" t="str">
            <v>EA(10)</v>
          </cell>
          <cell r="T1498" t="str">
            <v/>
          </cell>
          <cell r="U1498" t="str">
            <v/>
          </cell>
          <cell r="V1498" t="str">
            <v>2018-12-06</v>
          </cell>
          <cell r="W1498" t="str">
            <v>2018-12-06 13:31:26</v>
          </cell>
          <cell r="X1498" t="str">
            <v>178921000</v>
          </cell>
        </row>
        <row r="1499">
          <cell r="A1499">
            <v>1495</v>
          </cell>
          <cell r="B1499" t="str">
            <v>2018-12-07</v>
          </cell>
          <cell r="C1499" t="str">
            <v>키즈락</v>
          </cell>
          <cell r="D1499">
            <v>0</v>
          </cell>
          <cell r="E1499" t="str">
            <v>일반</v>
          </cell>
          <cell r="F1499" t="str">
            <v>입고완료</v>
          </cell>
          <cell r="G1499">
            <v>206876</v>
          </cell>
          <cell r="H1499" t="str">
            <v>바나나(1송이_17~21개입 2Kg/PAC)</v>
          </cell>
          <cell r="I1499" t="str">
            <v>PAC</v>
          </cell>
          <cell r="J1499">
            <v>2</v>
          </cell>
          <cell r="K1499">
            <v>2</v>
          </cell>
          <cell r="L1499">
            <v>5380</v>
          </cell>
          <cell r="M1499">
            <v>10760</v>
          </cell>
          <cell r="N1499">
            <v>0</v>
          </cell>
          <cell r="O1499">
            <v>10760</v>
          </cell>
          <cell r="P1499">
            <v>0</v>
          </cell>
          <cell r="Q1499" t="str">
            <v>필리핀</v>
          </cell>
          <cell r="R1499" t="str">
            <v>실온</v>
          </cell>
          <cell r="S1499" t="str">
            <v>PAC(1)</v>
          </cell>
          <cell r="T1499" t="str">
            <v/>
          </cell>
          <cell r="U1499" t="str">
            <v/>
          </cell>
          <cell r="V1499" t="str">
            <v>2018-12-06</v>
          </cell>
          <cell r="W1499" t="str">
            <v>2018-12-06 13:35:24</v>
          </cell>
          <cell r="X1499" t="str">
            <v>178921000</v>
          </cell>
        </row>
        <row r="1500">
          <cell r="A1500">
            <v>1496</v>
          </cell>
          <cell r="B1500" t="str">
            <v>2018-12-07</v>
          </cell>
          <cell r="C1500" t="str">
            <v>키즈락</v>
          </cell>
          <cell r="D1500">
            <v>0</v>
          </cell>
          <cell r="E1500" t="str">
            <v>일반</v>
          </cell>
          <cell r="F1500" t="str">
            <v>입고완료</v>
          </cell>
          <cell r="G1500">
            <v>166045</v>
          </cell>
          <cell r="H1500" t="str">
            <v>종로복떡방 삼색경단떡(50입 1Kg/EA)</v>
          </cell>
          <cell r="I1500" t="str">
            <v>EA</v>
          </cell>
          <cell r="J1500">
            <v>3</v>
          </cell>
          <cell r="K1500">
            <v>3</v>
          </cell>
          <cell r="L1500">
            <v>8130</v>
          </cell>
          <cell r="M1500">
            <v>24390</v>
          </cell>
          <cell r="N1500">
            <v>2439</v>
          </cell>
          <cell r="O1500">
            <v>26829</v>
          </cell>
          <cell r="P1500">
            <v>0</v>
          </cell>
          <cell r="Q1500" t="str">
            <v/>
          </cell>
          <cell r="R1500" t="str">
            <v>냉동</v>
          </cell>
          <cell r="S1500" t="str">
            <v>EA(1)</v>
          </cell>
          <cell r="T1500" t="str">
            <v/>
          </cell>
          <cell r="U1500" t="str">
            <v/>
          </cell>
          <cell r="V1500" t="str">
            <v>2018-12-06</v>
          </cell>
          <cell r="W1500" t="str">
            <v>2018-12-06 13:38:59</v>
          </cell>
          <cell r="X1500" t="str">
            <v>178921000</v>
          </cell>
        </row>
        <row r="1501">
          <cell r="A1501">
            <v>1497</v>
          </cell>
          <cell r="B1501" t="str">
            <v>2018-12-07</v>
          </cell>
          <cell r="C1501" t="str">
            <v>키즈락</v>
          </cell>
          <cell r="D1501">
            <v>0</v>
          </cell>
          <cell r="E1501" t="str">
            <v>일반</v>
          </cell>
          <cell r="F1501" t="str">
            <v>입고완료</v>
          </cell>
          <cell r="G1501">
            <v>229519</v>
          </cell>
          <cell r="H1501" t="str">
            <v>이츠웰 아사삭(80ml_사과바나나 80g/EA)</v>
          </cell>
          <cell r="I1501" t="str">
            <v>BOX</v>
          </cell>
          <cell r="J1501">
            <v>2</v>
          </cell>
          <cell r="K1501">
            <v>2</v>
          </cell>
          <cell r="L1501">
            <v>14850</v>
          </cell>
          <cell r="M1501">
            <v>29700</v>
          </cell>
          <cell r="N1501">
            <v>2970</v>
          </cell>
          <cell r="O1501">
            <v>32670</v>
          </cell>
          <cell r="P1501">
            <v>0</v>
          </cell>
          <cell r="Q1501" t="str">
            <v/>
          </cell>
          <cell r="R1501" t="str">
            <v>실온</v>
          </cell>
          <cell r="S1501" t="str">
            <v>EA(45)</v>
          </cell>
          <cell r="T1501" t="str">
            <v/>
          </cell>
          <cell r="U1501" t="str">
            <v/>
          </cell>
          <cell r="V1501" t="str">
            <v>2018-12-06</v>
          </cell>
          <cell r="W1501" t="str">
            <v>2018-12-06 13:41:40</v>
          </cell>
          <cell r="X1501" t="str">
            <v>178921000</v>
          </cell>
        </row>
        <row r="1502">
          <cell r="A1502">
            <v>1498</v>
          </cell>
          <cell r="B1502" t="str">
            <v>2018-12-07</v>
          </cell>
          <cell r="C1502" t="str">
            <v>키즈락</v>
          </cell>
          <cell r="D1502">
            <v>0</v>
          </cell>
          <cell r="E1502" t="str">
            <v>일반</v>
          </cell>
          <cell r="F1502" t="str">
            <v>입고완료</v>
          </cell>
          <cell r="G1502">
            <v>228745</v>
          </cell>
          <cell r="H1502" t="str">
            <v>임연수(내장제거_90~110g/토막 구이용 KG)</v>
          </cell>
          <cell r="I1502" t="str">
            <v>KG</v>
          </cell>
          <cell r="J1502">
            <v>4</v>
          </cell>
          <cell r="K1502">
            <v>4</v>
          </cell>
          <cell r="L1502">
            <v>8780</v>
          </cell>
          <cell r="M1502">
            <v>35120</v>
          </cell>
          <cell r="N1502">
            <v>0</v>
          </cell>
          <cell r="O1502">
            <v>35120</v>
          </cell>
          <cell r="P1502">
            <v>0</v>
          </cell>
          <cell r="Q1502" t="str">
            <v>미국</v>
          </cell>
          <cell r="R1502" t="str">
            <v>냉동</v>
          </cell>
          <cell r="S1502" t="str">
            <v>KG(1)</v>
          </cell>
          <cell r="T1502" t="str">
            <v/>
          </cell>
          <cell r="U1502" t="str">
            <v/>
          </cell>
          <cell r="V1502" t="str">
            <v>2018-12-06</v>
          </cell>
          <cell r="W1502" t="str">
            <v>2018-12-06 14:00:23</v>
          </cell>
          <cell r="X1502" t="str">
            <v>178921000</v>
          </cell>
        </row>
        <row r="1503">
          <cell r="A1503">
            <v>1499</v>
          </cell>
          <cell r="B1503" t="str">
            <v>2018-12-07</v>
          </cell>
          <cell r="C1503" t="str">
            <v>키즈락</v>
          </cell>
          <cell r="D1503">
            <v>0</v>
          </cell>
          <cell r="E1503" t="str">
            <v>일반</v>
          </cell>
          <cell r="F1503" t="str">
            <v>입고완료</v>
          </cell>
          <cell r="G1503">
            <v>256889</v>
          </cell>
          <cell r="H1503" t="str">
            <v>늘만나 맛김치(적숙_일반 1Kg/BOX)</v>
          </cell>
          <cell r="I1503" t="str">
            <v>BOX</v>
          </cell>
          <cell r="J1503">
            <v>10</v>
          </cell>
          <cell r="K1503">
            <v>10</v>
          </cell>
          <cell r="L1503">
            <v>3290</v>
          </cell>
          <cell r="M1503">
            <v>32900</v>
          </cell>
          <cell r="N1503">
            <v>0</v>
          </cell>
          <cell r="O1503">
            <v>32900</v>
          </cell>
          <cell r="P1503">
            <v>0</v>
          </cell>
          <cell r="Q1503" t="str">
            <v/>
          </cell>
          <cell r="R1503" t="str">
            <v>냉장</v>
          </cell>
          <cell r="S1503" t="str">
            <v>BOX(1)</v>
          </cell>
          <cell r="T1503" t="str">
            <v/>
          </cell>
          <cell r="U1503" t="str">
            <v/>
          </cell>
          <cell r="V1503" t="str">
            <v>2018-12-06</v>
          </cell>
          <cell r="W1503" t="str">
            <v>2018-12-06 14:20:44</v>
          </cell>
          <cell r="X1503" t="str">
            <v>178921000</v>
          </cell>
        </row>
        <row r="1504">
          <cell r="A1504">
            <v>1500</v>
          </cell>
          <cell r="B1504" t="str">
            <v>2018-12-07</v>
          </cell>
          <cell r="C1504" t="str">
            <v>키즈락</v>
          </cell>
          <cell r="D1504">
            <v>0</v>
          </cell>
          <cell r="E1504" t="str">
            <v>일반</v>
          </cell>
          <cell r="F1504" t="str">
            <v>입고완료</v>
          </cell>
          <cell r="G1504">
            <v>236048</v>
          </cell>
          <cell r="H1504" t="str">
            <v>종가집 묵은지(10Kg/BOX)</v>
          </cell>
          <cell r="I1504" t="str">
            <v>BOX</v>
          </cell>
          <cell r="J1504">
            <v>1</v>
          </cell>
          <cell r="K1504">
            <v>1</v>
          </cell>
          <cell r="L1504">
            <v>32520</v>
          </cell>
          <cell r="M1504">
            <v>32520</v>
          </cell>
          <cell r="N1504">
            <v>0</v>
          </cell>
          <cell r="O1504">
            <v>32520</v>
          </cell>
          <cell r="P1504">
            <v>0</v>
          </cell>
          <cell r="Q1504" t="str">
            <v>한국</v>
          </cell>
          <cell r="R1504" t="str">
            <v>냉장</v>
          </cell>
          <cell r="S1504" t="str">
            <v>BOX(1)</v>
          </cell>
          <cell r="T1504" t="str">
            <v/>
          </cell>
          <cell r="U1504" t="str">
            <v/>
          </cell>
          <cell r="V1504" t="str">
            <v>2018-12-06</v>
          </cell>
          <cell r="W1504" t="str">
            <v>2018-12-06 14:21:02</v>
          </cell>
          <cell r="X1504" t="str">
            <v>178921000</v>
          </cell>
        </row>
        <row r="1505">
          <cell r="A1505">
            <v>1501</v>
          </cell>
          <cell r="B1505" t="str">
            <v>2018-12-07</v>
          </cell>
          <cell r="C1505" t="str">
            <v>키즈락</v>
          </cell>
          <cell r="D1505">
            <v>0</v>
          </cell>
          <cell r="E1505" t="str">
            <v>일반</v>
          </cell>
          <cell r="F1505" t="str">
            <v>입고완료</v>
          </cell>
          <cell r="G1505">
            <v>228830</v>
          </cell>
          <cell r="H1505" t="str">
            <v>고등어(내장미제거_70~90g/토막 조림용 KG)</v>
          </cell>
          <cell r="I1505" t="str">
            <v>KG</v>
          </cell>
          <cell r="J1505">
            <v>1</v>
          </cell>
          <cell r="K1505">
            <v>1</v>
          </cell>
          <cell r="L1505">
            <v>3200</v>
          </cell>
          <cell r="M1505">
            <v>3200</v>
          </cell>
          <cell r="N1505">
            <v>0</v>
          </cell>
          <cell r="O1505">
            <v>3200</v>
          </cell>
          <cell r="P1505">
            <v>0</v>
          </cell>
          <cell r="Q1505" t="str">
            <v>한국</v>
          </cell>
          <cell r="R1505" t="str">
            <v>냉동</v>
          </cell>
          <cell r="S1505" t="str">
            <v>KG(1)</v>
          </cell>
          <cell r="T1505" t="str">
            <v/>
          </cell>
          <cell r="U1505" t="str">
            <v/>
          </cell>
          <cell r="V1505" t="str">
            <v>2018-12-06</v>
          </cell>
          <cell r="W1505" t="str">
            <v>2018-12-06 14:22:12</v>
          </cell>
          <cell r="X1505" t="str">
            <v>178921000</v>
          </cell>
        </row>
        <row r="1506">
          <cell r="A1506">
            <v>1502</v>
          </cell>
          <cell r="B1506" t="str">
            <v>2018-12-07</v>
          </cell>
          <cell r="C1506" t="str">
            <v>키즈락</v>
          </cell>
          <cell r="D1506">
            <v>0</v>
          </cell>
          <cell r="E1506" t="str">
            <v>일반</v>
          </cell>
          <cell r="F1506" t="str">
            <v>입고완료</v>
          </cell>
          <cell r="G1506">
            <v>211037</v>
          </cell>
          <cell r="H1506" t="str">
            <v>느타리버섯(실속 균상 2Kg/EA)</v>
          </cell>
          <cell r="I1506" t="str">
            <v>BOX</v>
          </cell>
          <cell r="J1506">
            <v>1</v>
          </cell>
          <cell r="K1506">
            <v>1</v>
          </cell>
          <cell r="L1506">
            <v>7650</v>
          </cell>
          <cell r="M1506">
            <v>7650</v>
          </cell>
          <cell r="N1506">
            <v>0</v>
          </cell>
          <cell r="O1506">
            <v>7650</v>
          </cell>
          <cell r="P1506">
            <v>0</v>
          </cell>
          <cell r="Q1506" t="str">
            <v>한국</v>
          </cell>
          <cell r="R1506" t="str">
            <v>냉장</v>
          </cell>
          <cell r="S1506" t="str">
            <v>EA(1)</v>
          </cell>
          <cell r="T1506" t="str">
            <v/>
          </cell>
          <cell r="U1506" t="str">
            <v/>
          </cell>
          <cell r="V1506" t="str">
            <v>2018-12-06</v>
          </cell>
          <cell r="W1506" t="str">
            <v>2018-12-06 14:26:16</v>
          </cell>
          <cell r="X1506" t="str">
            <v>178921000</v>
          </cell>
        </row>
        <row r="1507">
          <cell r="A1507">
            <v>1503</v>
          </cell>
          <cell r="B1507" t="str">
            <v>2018-12-07</v>
          </cell>
          <cell r="C1507" t="str">
            <v>키즈락</v>
          </cell>
          <cell r="D1507">
            <v>0</v>
          </cell>
          <cell r="E1507" t="str">
            <v>일반</v>
          </cell>
          <cell r="F1507" t="str">
            <v>입고완료</v>
          </cell>
          <cell r="G1507">
            <v>107191</v>
          </cell>
          <cell r="H1507" t="str">
            <v>오뚜기 겨자분말(300g/EA)</v>
          </cell>
          <cell r="I1507" t="str">
            <v>EA</v>
          </cell>
          <cell r="J1507">
            <v>1</v>
          </cell>
          <cell r="K1507">
            <v>1</v>
          </cell>
          <cell r="L1507">
            <v>1830</v>
          </cell>
          <cell r="M1507">
            <v>1830</v>
          </cell>
          <cell r="N1507">
            <v>183</v>
          </cell>
          <cell r="O1507">
            <v>2013</v>
          </cell>
          <cell r="P1507">
            <v>0</v>
          </cell>
          <cell r="Q1507" t="str">
            <v/>
          </cell>
          <cell r="R1507" t="str">
            <v>실온</v>
          </cell>
          <cell r="S1507" t="str">
            <v>EA(12)</v>
          </cell>
          <cell r="T1507" t="str">
            <v/>
          </cell>
          <cell r="U1507" t="str">
            <v/>
          </cell>
          <cell r="V1507" t="str">
            <v>2018-12-06</v>
          </cell>
          <cell r="W1507" t="str">
            <v>2018-12-06 14:29:03</v>
          </cell>
          <cell r="X1507" t="str">
            <v>178921000</v>
          </cell>
        </row>
        <row r="1508">
          <cell r="A1508">
            <v>1504</v>
          </cell>
          <cell r="B1508" t="str">
            <v>2018-12-07</v>
          </cell>
          <cell r="C1508" t="str">
            <v>키즈락</v>
          </cell>
          <cell r="D1508">
            <v>0</v>
          </cell>
          <cell r="E1508" t="str">
            <v>일반</v>
          </cell>
          <cell r="F1508" t="str">
            <v>입고완료</v>
          </cell>
          <cell r="G1508">
            <v>119483</v>
          </cell>
          <cell r="H1508" t="str">
            <v>이츠웰 게맛살(1Kg/EA)</v>
          </cell>
          <cell r="I1508" t="str">
            <v>EA</v>
          </cell>
          <cell r="J1508">
            <v>1</v>
          </cell>
          <cell r="K1508">
            <v>1</v>
          </cell>
          <cell r="L1508">
            <v>2790</v>
          </cell>
          <cell r="M1508">
            <v>2790</v>
          </cell>
          <cell r="N1508">
            <v>279</v>
          </cell>
          <cell r="O1508">
            <v>3069</v>
          </cell>
          <cell r="P1508">
            <v>0</v>
          </cell>
          <cell r="Q1508" t="str">
            <v/>
          </cell>
          <cell r="R1508" t="str">
            <v>냉장</v>
          </cell>
          <cell r="S1508" t="str">
            <v>EA(10)</v>
          </cell>
          <cell r="T1508" t="str">
            <v/>
          </cell>
          <cell r="U1508" t="str">
            <v/>
          </cell>
          <cell r="V1508" t="str">
            <v>2018-12-06</v>
          </cell>
          <cell r="W1508" t="str">
            <v>2018-12-06 14:32:30</v>
          </cell>
          <cell r="X1508" t="str">
            <v>178921000</v>
          </cell>
        </row>
        <row r="1509">
          <cell r="A1509">
            <v>1505</v>
          </cell>
          <cell r="B1509" t="str">
            <v>2018-12-07</v>
          </cell>
          <cell r="C1509" t="str">
            <v>키즈락</v>
          </cell>
          <cell r="D1509">
            <v>0</v>
          </cell>
          <cell r="E1509" t="str">
            <v>일반</v>
          </cell>
          <cell r="F1509" t="str">
            <v>입고완료</v>
          </cell>
          <cell r="G1509">
            <v>126208</v>
          </cell>
          <cell r="H1509" t="str">
            <v>해표 꽃소금(5Kg/EA)</v>
          </cell>
          <cell r="I1509" t="str">
            <v>EA</v>
          </cell>
          <cell r="J1509">
            <v>1</v>
          </cell>
          <cell r="K1509">
            <v>1</v>
          </cell>
          <cell r="L1509">
            <v>5690</v>
          </cell>
          <cell r="M1509">
            <v>5690</v>
          </cell>
          <cell r="N1509">
            <v>0</v>
          </cell>
          <cell r="O1509">
            <v>5690</v>
          </cell>
          <cell r="P1509">
            <v>0</v>
          </cell>
          <cell r="Q1509" t="str">
            <v/>
          </cell>
          <cell r="R1509" t="str">
            <v>실온</v>
          </cell>
          <cell r="S1509" t="str">
            <v>EA(3)</v>
          </cell>
          <cell r="T1509" t="str">
            <v/>
          </cell>
          <cell r="U1509" t="str">
            <v/>
          </cell>
          <cell r="V1509" t="str">
            <v>2018-12-06</v>
          </cell>
          <cell r="W1509" t="str">
            <v>2018-12-06 14:33:33</v>
          </cell>
          <cell r="X1509" t="str">
            <v>178921000</v>
          </cell>
        </row>
        <row r="1510">
          <cell r="A1510">
            <v>1506</v>
          </cell>
          <cell r="B1510" t="str">
            <v>2018-12-07</v>
          </cell>
          <cell r="C1510" t="str">
            <v>키즈락</v>
          </cell>
          <cell r="D1510">
            <v>0</v>
          </cell>
          <cell r="E1510" t="str">
            <v>일반</v>
          </cell>
          <cell r="F1510" t="str">
            <v>입고완료</v>
          </cell>
          <cell r="G1510">
            <v>204973</v>
          </cell>
          <cell r="H1510" t="str">
            <v>냉동대파(1Kg/PAC)</v>
          </cell>
          <cell r="I1510" t="str">
            <v>PAC</v>
          </cell>
          <cell r="J1510">
            <v>20</v>
          </cell>
          <cell r="K1510">
            <v>20</v>
          </cell>
          <cell r="L1510">
            <v>1400</v>
          </cell>
          <cell r="M1510">
            <v>28000</v>
          </cell>
          <cell r="N1510">
            <v>0</v>
          </cell>
          <cell r="O1510">
            <v>28000</v>
          </cell>
          <cell r="P1510">
            <v>0</v>
          </cell>
          <cell r="Q1510" t="str">
            <v>중국</v>
          </cell>
          <cell r="R1510" t="str">
            <v>냉동</v>
          </cell>
          <cell r="S1510" t="str">
            <v>PAC(1)</v>
          </cell>
          <cell r="T1510" t="str">
            <v/>
          </cell>
          <cell r="U1510" t="str">
            <v/>
          </cell>
          <cell r="V1510" t="str">
            <v>2018-12-06</v>
          </cell>
          <cell r="W1510" t="str">
            <v>2018-12-06 14:34:50</v>
          </cell>
          <cell r="X1510" t="str">
            <v>178921000</v>
          </cell>
        </row>
        <row r="1511">
          <cell r="A1511">
            <v>1507</v>
          </cell>
          <cell r="B1511" t="str">
            <v>2018-12-07</v>
          </cell>
          <cell r="C1511" t="str">
            <v>키즈락</v>
          </cell>
          <cell r="D1511">
            <v>0</v>
          </cell>
          <cell r="E1511" t="str">
            <v>일반</v>
          </cell>
          <cell r="F1511" t="str">
            <v>입고완료</v>
          </cell>
          <cell r="G1511">
            <v>215857</v>
          </cell>
          <cell r="H1511" t="str">
            <v>냉동다진마늘(1Kg/EA)</v>
          </cell>
          <cell r="I1511" t="str">
            <v>EA</v>
          </cell>
          <cell r="J1511">
            <v>20</v>
          </cell>
          <cell r="K1511">
            <v>20</v>
          </cell>
          <cell r="L1511">
            <v>2730</v>
          </cell>
          <cell r="M1511">
            <v>54600</v>
          </cell>
          <cell r="N1511">
            <v>0</v>
          </cell>
          <cell r="O1511">
            <v>54600</v>
          </cell>
          <cell r="P1511">
            <v>0</v>
          </cell>
          <cell r="Q1511" t="str">
            <v>중국</v>
          </cell>
          <cell r="R1511" t="str">
            <v>냉동</v>
          </cell>
          <cell r="S1511" t="str">
            <v>EA(10)</v>
          </cell>
          <cell r="T1511" t="str">
            <v/>
          </cell>
          <cell r="U1511" t="str">
            <v/>
          </cell>
          <cell r="V1511" t="str">
            <v>2018-12-06</v>
          </cell>
          <cell r="W1511" t="str">
            <v>2018-12-06 14:34:50</v>
          </cell>
          <cell r="X1511" t="str">
            <v>178921000</v>
          </cell>
        </row>
        <row r="1512">
          <cell r="A1512">
            <v>1508</v>
          </cell>
          <cell r="B1512" t="str">
            <v>2018-12-07</v>
          </cell>
          <cell r="C1512" t="str">
            <v>키즈락</v>
          </cell>
          <cell r="D1512">
            <v>0</v>
          </cell>
          <cell r="E1512" t="str">
            <v>일반</v>
          </cell>
          <cell r="F1512" t="str">
            <v>입고완료</v>
          </cell>
          <cell r="G1512">
            <v>200840</v>
          </cell>
          <cell r="H1512" t="str">
            <v>깐우엉채(KG)</v>
          </cell>
          <cell r="I1512" t="str">
            <v>KG</v>
          </cell>
          <cell r="J1512">
            <v>9</v>
          </cell>
          <cell r="K1512">
            <v>9</v>
          </cell>
          <cell r="L1512">
            <v>3260</v>
          </cell>
          <cell r="M1512">
            <v>29340</v>
          </cell>
          <cell r="N1512">
            <v>0</v>
          </cell>
          <cell r="O1512">
            <v>29340</v>
          </cell>
          <cell r="P1512">
            <v>0</v>
          </cell>
          <cell r="Q1512" t="str">
            <v>중국</v>
          </cell>
          <cell r="R1512" t="str">
            <v>냉장</v>
          </cell>
          <cell r="S1512" t="str">
            <v>KG(1)</v>
          </cell>
          <cell r="T1512" t="str">
            <v/>
          </cell>
          <cell r="U1512" t="str">
            <v/>
          </cell>
          <cell r="V1512" t="str">
            <v>2018-12-06</v>
          </cell>
          <cell r="W1512" t="str">
            <v>2018-12-06 14:37:46</v>
          </cell>
          <cell r="X1512" t="str">
            <v>178921000</v>
          </cell>
        </row>
        <row r="1513">
          <cell r="A1513">
            <v>1509</v>
          </cell>
          <cell r="B1513" t="str">
            <v>2018-12-07</v>
          </cell>
          <cell r="C1513" t="str">
            <v>키즈락</v>
          </cell>
          <cell r="D1513">
            <v>0</v>
          </cell>
          <cell r="E1513" t="str">
            <v>일반</v>
          </cell>
          <cell r="F1513" t="str">
            <v>입고완료</v>
          </cell>
          <cell r="G1513">
            <v>420010</v>
          </cell>
          <cell r="H1513" t="str">
            <v>알로팜 계란(왕란_무항생제_68g*30입 2.04Kg/EA)</v>
          </cell>
          <cell r="I1513" t="str">
            <v>EA</v>
          </cell>
          <cell r="J1513">
            <v>5</v>
          </cell>
          <cell r="K1513">
            <v>5</v>
          </cell>
          <cell r="L1513">
            <v>4730</v>
          </cell>
          <cell r="M1513">
            <v>23650</v>
          </cell>
          <cell r="N1513">
            <v>0</v>
          </cell>
          <cell r="O1513">
            <v>23650</v>
          </cell>
          <cell r="P1513">
            <v>23650</v>
          </cell>
          <cell r="Q1513" t="str">
            <v>한국</v>
          </cell>
          <cell r="R1513" t="str">
            <v>냉장</v>
          </cell>
          <cell r="S1513" t="str">
            <v>EA(1)</v>
          </cell>
          <cell r="T1513" t="str">
            <v/>
          </cell>
          <cell r="U1513" t="str">
            <v/>
          </cell>
          <cell r="V1513" t="str">
            <v>2018-12-06</v>
          </cell>
          <cell r="W1513" t="str">
            <v>2018-12-06 14:41:44</v>
          </cell>
          <cell r="X1513" t="str">
            <v>178921000</v>
          </cell>
        </row>
        <row r="1514">
          <cell r="A1514">
            <v>1510</v>
          </cell>
          <cell r="B1514" t="str">
            <v>2018-12-07</v>
          </cell>
          <cell r="C1514" t="str">
            <v>키즈락</v>
          </cell>
          <cell r="D1514">
            <v>0</v>
          </cell>
          <cell r="E1514" t="str">
            <v>일반</v>
          </cell>
          <cell r="F1514" t="str">
            <v>입고완료</v>
          </cell>
          <cell r="G1514">
            <v>306349</v>
          </cell>
          <cell r="H1514" t="str">
            <v>해파리채(염장_수율95% KG)</v>
          </cell>
          <cell r="I1514" t="str">
            <v>KG</v>
          </cell>
          <cell r="J1514">
            <v>1</v>
          </cell>
          <cell r="K1514">
            <v>1</v>
          </cell>
          <cell r="L1514">
            <v>6720</v>
          </cell>
          <cell r="M1514">
            <v>6720</v>
          </cell>
          <cell r="N1514">
            <v>0</v>
          </cell>
          <cell r="O1514">
            <v>6720</v>
          </cell>
          <cell r="P1514">
            <v>0</v>
          </cell>
          <cell r="Q1514" t="str">
            <v>태국</v>
          </cell>
          <cell r="R1514" t="str">
            <v>냉장</v>
          </cell>
          <cell r="S1514" t="str">
            <v>KG(1)</v>
          </cell>
          <cell r="T1514" t="str">
            <v/>
          </cell>
          <cell r="U1514" t="str">
            <v/>
          </cell>
          <cell r="V1514" t="str">
            <v>2018-12-06</v>
          </cell>
          <cell r="W1514" t="str">
            <v>2018-12-06 14:49:24</v>
          </cell>
          <cell r="X1514" t="str">
            <v>178921000</v>
          </cell>
        </row>
        <row r="1515">
          <cell r="A1515">
            <v>1511</v>
          </cell>
          <cell r="B1515" t="str">
            <v>2018-12-07</v>
          </cell>
          <cell r="C1515" t="str">
            <v>키즈락</v>
          </cell>
          <cell r="D1515">
            <v>0</v>
          </cell>
          <cell r="E1515" t="str">
            <v>일반</v>
          </cell>
          <cell r="F1515" t="str">
            <v>입고완료</v>
          </cell>
          <cell r="G1515">
            <v>193090</v>
          </cell>
          <cell r="H1515" t="str">
            <v>냉동감자(절단_3~4cm 1Kg/EA)</v>
          </cell>
          <cell r="I1515" t="str">
            <v>EA</v>
          </cell>
          <cell r="J1515">
            <v>20</v>
          </cell>
          <cell r="K1515">
            <v>20</v>
          </cell>
          <cell r="L1515">
            <v>1980</v>
          </cell>
          <cell r="M1515">
            <v>39600</v>
          </cell>
          <cell r="N1515">
            <v>3960</v>
          </cell>
          <cell r="O1515">
            <v>43560</v>
          </cell>
          <cell r="P1515">
            <v>0</v>
          </cell>
          <cell r="Q1515" t="str">
            <v>중국</v>
          </cell>
          <cell r="R1515" t="str">
            <v>냉동</v>
          </cell>
          <cell r="S1515" t="str">
            <v>EA(1)</v>
          </cell>
          <cell r="T1515" t="str">
            <v/>
          </cell>
          <cell r="U1515" t="str">
            <v/>
          </cell>
          <cell r="V1515" t="str">
            <v>2018-12-06</v>
          </cell>
          <cell r="W1515" t="str">
            <v>2018-12-06 15:00:44</v>
          </cell>
          <cell r="X1515" t="str">
            <v>178921000</v>
          </cell>
        </row>
        <row r="1516">
          <cell r="A1516">
            <v>1512</v>
          </cell>
          <cell r="B1516" t="str">
            <v>2018-12-07</v>
          </cell>
          <cell r="C1516" t="str">
            <v>키즈락</v>
          </cell>
          <cell r="D1516">
            <v>0</v>
          </cell>
          <cell r="E1516" t="str">
            <v>일반</v>
          </cell>
          <cell r="F1516" t="str">
            <v>입고완료</v>
          </cell>
          <cell r="G1516">
            <v>168258</v>
          </cell>
          <cell r="H1516" t="str">
            <v>명품 판두부(부침용 3Kg/EA)</v>
          </cell>
          <cell r="I1516" t="str">
            <v>EA</v>
          </cell>
          <cell r="J1516">
            <v>6</v>
          </cell>
          <cell r="K1516">
            <v>6</v>
          </cell>
          <cell r="L1516">
            <v>4000</v>
          </cell>
          <cell r="M1516">
            <v>24000</v>
          </cell>
          <cell r="N1516">
            <v>0</v>
          </cell>
          <cell r="O1516">
            <v>24000</v>
          </cell>
          <cell r="P1516">
            <v>0</v>
          </cell>
          <cell r="Q1516" t="str">
            <v>수입산</v>
          </cell>
          <cell r="R1516" t="str">
            <v>냉장</v>
          </cell>
          <cell r="S1516" t="str">
            <v>EA(1)</v>
          </cell>
          <cell r="T1516" t="str">
            <v/>
          </cell>
          <cell r="U1516" t="str">
            <v/>
          </cell>
          <cell r="V1516" t="str">
            <v>2018-12-06</v>
          </cell>
          <cell r="W1516" t="str">
            <v>2018-12-06 15:02:19</v>
          </cell>
          <cell r="X1516" t="str">
            <v>178921000</v>
          </cell>
        </row>
        <row r="1517">
          <cell r="A1517">
            <v>1513</v>
          </cell>
          <cell r="B1517" t="str">
            <v>2018-12-07</v>
          </cell>
          <cell r="C1517" t="str">
            <v>키즈락</v>
          </cell>
          <cell r="D1517">
            <v>0</v>
          </cell>
          <cell r="E1517" t="str">
            <v>일반</v>
          </cell>
          <cell r="F1517" t="str">
            <v>입고완료</v>
          </cell>
          <cell r="G1517">
            <v>208502</v>
          </cell>
          <cell r="H1517" t="str">
            <v>세척당근(3L 10Kg/EA)</v>
          </cell>
          <cell r="I1517" t="str">
            <v>EA</v>
          </cell>
          <cell r="J1517">
            <v>1</v>
          </cell>
          <cell r="K1517">
            <v>1</v>
          </cell>
          <cell r="L1517">
            <v>11980</v>
          </cell>
          <cell r="M1517">
            <v>11980</v>
          </cell>
          <cell r="N1517">
            <v>0</v>
          </cell>
          <cell r="O1517">
            <v>11980</v>
          </cell>
          <cell r="P1517">
            <v>0</v>
          </cell>
          <cell r="Q1517" t="str">
            <v>중국</v>
          </cell>
          <cell r="R1517" t="str">
            <v>실온</v>
          </cell>
          <cell r="S1517" t="str">
            <v>EA(1)</v>
          </cell>
          <cell r="T1517" t="str">
            <v/>
          </cell>
          <cell r="U1517" t="str">
            <v/>
          </cell>
          <cell r="V1517" t="str">
            <v>2018-12-06</v>
          </cell>
          <cell r="W1517" t="str">
            <v>2018-12-06 15:28:29</v>
          </cell>
          <cell r="X1517" t="str">
            <v>178921000</v>
          </cell>
        </row>
        <row r="1518">
          <cell r="A1518">
            <v>1514</v>
          </cell>
          <cell r="B1518" t="str">
            <v>2018-12-06</v>
          </cell>
          <cell r="C1518">
            <v>0</v>
          </cell>
          <cell r="D1518">
            <v>0</v>
          </cell>
          <cell r="E1518">
            <v>0</v>
          </cell>
          <cell r="F1518">
            <v>0</v>
          </cell>
          <cell r="G1518">
            <v>0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</row>
        <row r="1519">
          <cell r="A1519">
            <v>1515</v>
          </cell>
          <cell r="B1519" t="str">
            <v>2018-12-06</v>
          </cell>
          <cell r="C1519" t="str">
            <v>키즈락</v>
          </cell>
          <cell r="D1519">
            <v>0</v>
          </cell>
          <cell r="E1519" t="str">
            <v>일반</v>
          </cell>
          <cell r="F1519" t="str">
            <v>입고완료</v>
          </cell>
          <cell r="G1519">
            <v>234169</v>
          </cell>
          <cell r="H1519" t="str">
            <v>삼립식품 생크림파운드(미니_개별포장_10개입 360g/EA)</v>
          </cell>
          <cell r="I1519" t="str">
            <v>EA</v>
          </cell>
          <cell r="J1519">
            <v>26</v>
          </cell>
          <cell r="K1519">
            <v>26</v>
          </cell>
          <cell r="L1519">
            <v>4280</v>
          </cell>
          <cell r="M1519">
            <v>111280</v>
          </cell>
          <cell r="N1519">
            <v>11128</v>
          </cell>
          <cell r="O1519">
            <v>122408</v>
          </cell>
          <cell r="P1519">
            <v>0</v>
          </cell>
          <cell r="Q1519" t="str">
            <v/>
          </cell>
          <cell r="R1519" t="str">
            <v>실온</v>
          </cell>
          <cell r="S1519" t="str">
            <v>EA(3)</v>
          </cell>
          <cell r="T1519" t="str">
            <v/>
          </cell>
          <cell r="U1519" t="str">
            <v/>
          </cell>
          <cell r="V1519" t="str">
            <v>2018-11-29</v>
          </cell>
          <cell r="W1519" t="str">
            <v>2018-11-29 12:51:48</v>
          </cell>
          <cell r="X1519" t="str">
            <v>178921000</v>
          </cell>
        </row>
        <row r="1520">
          <cell r="A1520">
            <v>1516</v>
          </cell>
          <cell r="B1520" t="str">
            <v>2018-12-06</v>
          </cell>
          <cell r="C1520" t="str">
            <v>키즈락</v>
          </cell>
          <cell r="D1520">
            <v>0</v>
          </cell>
          <cell r="E1520" t="str">
            <v>일반</v>
          </cell>
          <cell r="F1520" t="str">
            <v>입고완료</v>
          </cell>
          <cell r="G1520">
            <v>242743</v>
          </cell>
          <cell r="H1520" t="str">
            <v>이츠웰 메밀전병(곤드레나물_60g*20입 1.2Kg/EA)</v>
          </cell>
          <cell r="I1520" t="str">
            <v>EA</v>
          </cell>
          <cell r="J1520">
            <v>36</v>
          </cell>
          <cell r="K1520">
            <v>36</v>
          </cell>
          <cell r="L1520">
            <v>7690</v>
          </cell>
          <cell r="M1520">
            <v>276840</v>
          </cell>
          <cell r="N1520">
            <v>27684</v>
          </cell>
          <cell r="O1520">
            <v>304524</v>
          </cell>
          <cell r="P1520">
            <v>0</v>
          </cell>
          <cell r="Q1520" t="str">
            <v/>
          </cell>
          <cell r="R1520" t="str">
            <v>냉동</v>
          </cell>
          <cell r="S1520" t="str">
            <v>EA(6)</v>
          </cell>
          <cell r="T1520" t="str">
            <v/>
          </cell>
          <cell r="U1520" t="str">
            <v/>
          </cell>
          <cell r="V1520" t="str">
            <v>2018-12-05</v>
          </cell>
          <cell r="W1520" t="str">
            <v>2018-12-05 13:31:22</v>
          </cell>
          <cell r="X1520" t="str">
            <v>178921000</v>
          </cell>
        </row>
        <row r="1521">
          <cell r="A1521">
            <v>1517</v>
          </cell>
          <cell r="B1521" t="str">
            <v>2018-12-06</v>
          </cell>
          <cell r="C1521" t="str">
            <v>키즈락</v>
          </cell>
          <cell r="D1521">
            <v>0</v>
          </cell>
          <cell r="E1521" t="str">
            <v>일반</v>
          </cell>
          <cell r="F1521" t="str">
            <v>입고완료</v>
          </cell>
          <cell r="G1521">
            <v>168258</v>
          </cell>
          <cell r="H1521" t="str">
            <v>명품 판두부(부침용 3Kg/EA)</v>
          </cell>
          <cell r="I1521" t="str">
            <v>EA</v>
          </cell>
          <cell r="J1521">
            <v>3</v>
          </cell>
          <cell r="K1521">
            <v>3</v>
          </cell>
          <cell r="L1521">
            <v>4000</v>
          </cell>
          <cell r="M1521">
            <v>12000</v>
          </cell>
          <cell r="N1521">
            <v>0</v>
          </cell>
          <cell r="O1521">
            <v>12000</v>
          </cell>
          <cell r="P1521">
            <v>0</v>
          </cell>
          <cell r="Q1521" t="str">
            <v>수입산</v>
          </cell>
          <cell r="R1521" t="str">
            <v>냉장</v>
          </cell>
          <cell r="S1521" t="str">
            <v>EA(1)</v>
          </cell>
          <cell r="T1521" t="str">
            <v/>
          </cell>
          <cell r="U1521" t="str">
            <v/>
          </cell>
          <cell r="V1521" t="str">
            <v>2018-12-05</v>
          </cell>
          <cell r="W1521" t="str">
            <v>2018-12-05 13:39:44</v>
          </cell>
          <cell r="X1521" t="str">
            <v>178921000</v>
          </cell>
        </row>
        <row r="1522">
          <cell r="A1522">
            <v>1518</v>
          </cell>
          <cell r="B1522" t="str">
            <v>2018-12-06</v>
          </cell>
          <cell r="C1522" t="str">
            <v>키즈락</v>
          </cell>
          <cell r="D1522">
            <v>0</v>
          </cell>
          <cell r="E1522" t="str">
            <v>일반</v>
          </cell>
          <cell r="F1522" t="str">
            <v>입고완료</v>
          </cell>
          <cell r="G1522">
            <v>211019</v>
          </cell>
          <cell r="H1522" t="str">
            <v>고구마(상품 250~400g/개 튀김용 1Kg/EA)</v>
          </cell>
          <cell r="I1522" t="str">
            <v>EA</v>
          </cell>
          <cell r="J1522">
            <v>3</v>
          </cell>
          <cell r="K1522">
            <v>3</v>
          </cell>
          <cell r="L1522">
            <v>4300</v>
          </cell>
          <cell r="M1522">
            <v>12900</v>
          </cell>
          <cell r="N1522">
            <v>0</v>
          </cell>
          <cell r="O1522">
            <v>12900</v>
          </cell>
          <cell r="P1522">
            <v>0</v>
          </cell>
          <cell r="Q1522" t="str">
            <v>한국</v>
          </cell>
          <cell r="R1522" t="str">
            <v>냉장</v>
          </cell>
          <cell r="S1522" t="str">
            <v>EA(1)</v>
          </cell>
          <cell r="T1522" t="str">
            <v/>
          </cell>
          <cell r="U1522" t="str">
            <v/>
          </cell>
          <cell r="V1522" t="str">
            <v>2018-12-05</v>
          </cell>
          <cell r="W1522" t="str">
            <v>2018-12-05 14:38:14</v>
          </cell>
          <cell r="X1522" t="str">
            <v>178921000</v>
          </cell>
        </row>
        <row r="1523">
          <cell r="A1523">
            <v>1519</v>
          </cell>
          <cell r="B1523" t="str">
            <v>2018-12-06</v>
          </cell>
          <cell r="C1523" t="str">
            <v>키즈락</v>
          </cell>
          <cell r="D1523">
            <v>0</v>
          </cell>
          <cell r="E1523" t="str">
            <v>일반</v>
          </cell>
          <cell r="F1523" t="str">
            <v>입고완료</v>
          </cell>
          <cell r="G1523">
            <v>140438</v>
          </cell>
          <cell r="H1523" t="str">
            <v>이츠웰 이온물엿(NEW 10Kg/EA)</v>
          </cell>
          <cell r="I1523" t="str">
            <v>EA</v>
          </cell>
          <cell r="J1523">
            <v>2</v>
          </cell>
          <cell r="K1523">
            <v>2</v>
          </cell>
          <cell r="L1523">
            <v>8890</v>
          </cell>
          <cell r="M1523">
            <v>17780</v>
          </cell>
          <cell r="N1523">
            <v>1778</v>
          </cell>
          <cell r="O1523">
            <v>19558</v>
          </cell>
          <cell r="P1523">
            <v>0</v>
          </cell>
          <cell r="Q1523" t="str">
            <v/>
          </cell>
          <cell r="R1523" t="str">
            <v>실온</v>
          </cell>
          <cell r="S1523" t="str">
            <v>EA(2)</v>
          </cell>
          <cell r="T1523" t="str">
            <v/>
          </cell>
          <cell r="U1523" t="str">
            <v/>
          </cell>
          <cell r="V1523" t="str">
            <v>2018-12-05</v>
          </cell>
          <cell r="W1523" t="str">
            <v>2018-12-05 14:40:31</v>
          </cell>
          <cell r="X1523" t="str">
            <v>178921000</v>
          </cell>
        </row>
        <row r="1524">
          <cell r="A1524">
            <v>1520</v>
          </cell>
          <cell r="B1524" t="str">
            <v>2018-12-06</v>
          </cell>
          <cell r="C1524" t="str">
            <v>키즈락</v>
          </cell>
          <cell r="D1524">
            <v>0</v>
          </cell>
          <cell r="E1524" t="str">
            <v>일반</v>
          </cell>
          <cell r="F1524" t="str">
            <v>입고완료</v>
          </cell>
          <cell r="G1524">
            <v>127015</v>
          </cell>
          <cell r="H1524" t="str">
            <v>이슬나라 생강분말(450g/EA)</v>
          </cell>
          <cell r="I1524" t="str">
            <v>EA</v>
          </cell>
          <cell r="J1524">
            <v>2</v>
          </cell>
          <cell r="K1524">
            <v>2</v>
          </cell>
          <cell r="L1524">
            <v>5080</v>
          </cell>
          <cell r="M1524">
            <v>10160</v>
          </cell>
          <cell r="N1524">
            <v>1016</v>
          </cell>
          <cell r="O1524">
            <v>11176</v>
          </cell>
          <cell r="P1524">
            <v>0</v>
          </cell>
          <cell r="Q1524" t="str">
            <v/>
          </cell>
          <cell r="R1524" t="str">
            <v>실온</v>
          </cell>
          <cell r="S1524" t="str">
            <v>EA(12)</v>
          </cell>
          <cell r="T1524" t="str">
            <v/>
          </cell>
          <cell r="U1524" t="str">
            <v/>
          </cell>
          <cell r="V1524" t="str">
            <v>2018-12-05</v>
          </cell>
          <cell r="W1524" t="str">
            <v>2018-12-05 14:41:58</v>
          </cell>
          <cell r="X1524" t="str">
            <v>178921000</v>
          </cell>
        </row>
        <row r="1525">
          <cell r="A1525">
            <v>1521</v>
          </cell>
          <cell r="B1525" t="str">
            <v>2018-12-06</v>
          </cell>
          <cell r="C1525" t="str">
            <v>키즈락</v>
          </cell>
          <cell r="D1525">
            <v>0</v>
          </cell>
          <cell r="E1525" t="str">
            <v>일반</v>
          </cell>
          <cell r="F1525" t="str">
            <v>입고완료</v>
          </cell>
          <cell r="G1525">
            <v>145349</v>
          </cell>
          <cell r="H1525" t="str">
            <v>이츠웰 사골엑기스(1Kg/EA)</v>
          </cell>
          <cell r="I1525" t="str">
            <v>EA</v>
          </cell>
          <cell r="J1525">
            <v>1</v>
          </cell>
          <cell r="K1525">
            <v>1</v>
          </cell>
          <cell r="L1525">
            <v>6080</v>
          </cell>
          <cell r="M1525">
            <v>6080</v>
          </cell>
          <cell r="N1525">
            <v>608</v>
          </cell>
          <cell r="O1525">
            <v>6688</v>
          </cell>
          <cell r="P1525">
            <v>0</v>
          </cell>
          <cell r="Q1525" t="str">
            <v>호주</v>
          </cell>
          <cell r="R1525" t="str">
            <v>실온</v>
          </cell>
          <cell r="S1525" t="str">
            <v>EA(10)</v>
          </cell>
          <cell r="T1525" t="str">
            <v/>
          </cell>
          <cell r="U1525" t="str">
            <v/>
          </cell>
          <cell r="V1525" t="str">
            <v>2018-12-05</v>
          </cell>
          <cell r="W1525" t="str">
            <v>2018-12-05 14:43:57</v>
          </cell>
          <cell r="X1525" t="str">
            <v>178921000</v>
          </cell>
        </row>
        <row r="1526">
          <cell r="A1526">
            <v>1522</v>
          </cell>
          <cell r="B1526" t="str">
            <v>2018-12-06</v>
          </cell>
          <cell r="C1526" t="str">
            <v>키즈락</v>
          </cell>
          <cell r="D1526">
            <v>0</v>
          </cell>
          <cell r="E1526" t="str">
            <v>일반</v>
          </cell>
          <cell r="F1526" t="str">
            <v>입고완료</v>
          </cell>
          <cell r="G1526">
            <v>119764</v>
          </cell>
          <cell r="H1526" t="str">
            <v>이츠웰 사각어묵(알뜰 1Kg/EA)</v>
          </cell>
          <cell r="I1526" t="str">
            <v>EA</v>
          </cell>
          <cell r="J1526">
            <v>2</v>
          </cell>
          <cell r="K1526">
            <v>2</v>
          </cell>
          <cell r="L1526">
            <v>2640</v>
          </cell>
          <cell r="M1526">
            <v>5280</v>
          </cell>
          <cell r="N1526">
            <v>528</v>
          </cell>
          <cell r="O1526">
            <v>5808</v>
          </cell>
          <cell r="P1526">
            <v>0</v>
          </cell>
          <cell r="Q1526" t="str">
            <v/>
          </cell>
          <cell r="R1526" t="str">
            <v>냉장</v>
          </cell>
          <cell r="S1526" t="str">
            <v>EA(10)</v>
          </cell>
          <cell r="T1526" t="str">
            <v/>
          </cell>
          <cell r="U1526" t="str">
            <v/>
          </cell>
          <cell r="V1526" t="str">
            <v>2018-12-05</v>
          </cell>
          <cell r="W1526" t="str">
            <v>2018-12-05 14:45:30</v>
          </cell>
          <cell r="X1526" t="str">
            <v>178921000</v>
          </cell>
        </row>
        <row r="1527">
          <cell r="A1527">
            <v>1523</v>
          </cell>
          <cell r="B1527" t="str">
            <v>2018-12-06</v>
          </cell>
          <cell r="C1527" t="str">
            <v>키즈락</v>
          </cell>
          <cell r="D1527">
            <v>0</v>
          </cell>
          <cell r="E1527" t="str">
            <v>일반</v>
          </cell>
          <cell r="F1527" t="str">
            <v>입고완료</v>
          </cell>
          <cell r="G1527">
            <v>119763</v>
          </cell>
          <cell r="H1527" t="str">
            <v>이츠웰 종합어묵(알뜰 1Kg/EA)</v>
          </cell>
          <cell r="I1527" t="str">
            <v>EA</v>
          </cell>
          <cell r="J1527">
            <v>2</v>
          </cell>
          <cell r="K1527">
            <v>2</v>
          </cell>
          <cell r="L1527">
            <v>2760</v>
          </cell>
          <cell r="M1527">
            <v>5520</v>
          </cell>
          <cell r="N1527">
            <v>552</v>
          </cell>
          <cell r="O1527">
            <v>6072</v>
          </cell>
          <cell r="P1527">
            <v>0</v>
          </cell>
          <cell r="Q1527" t="str">
            <v/>
          </cell>
          <cell r="R1527" t="str">
            <v>냉장</v>
          </cell>
          <cell r="S1527" t="str">
            <v>EA(10)</v>
          </cell>
          <cell r="T1527" t="str">
            <v/>
          </cell>
          <cell r="U1527" t="str">
            <v/>
          </cell>
          <cell r="V1527" t="str">
            <v>2018-12-05</v>
          </cell>
          <cell r="W1527" t="str">
            <v>2018-12-05 14:45:30</v>
          </cell>
          <cell r="X1527" t="str">
            <v>178921000</v>
          </cell>
        </row>
        <row r="1528">
          <cell r="A1528">
            <v>1524</v>
          </cell>
          <cell r="B1528" t="str">
            <v>2018-12-06</v>
          </cell>
          <cell r="C1528" t="str">
            <v>키즈락</v>
          </cell>
          <cell r="D1528">
            <v>0</v>
          </cell>
          <cell r="E1528" t="str">
            <v>일반</v>
          </cell>
          <cell r="F1528" t="str">
            <v>입고완료</v>
          </cell>
          <cell r="G1528">
            <v>112165</v>
          </cell>
          <cell r="H1528" t="str">
            <v>이금기 두반장(중화 2.04Kg/EA)</v>
          </cell>
          <cell r="I1528" t="str">
            <v>EA</v>
          </cell>
          <cell r="J1528">
            <v>2</v>
          </cell>
          <cell r="K1528">
            <v>2</v>
          </cell>
          <cell r="L1528">
            <v>17330</v>
          </cell>
          <cell r="M1528">
            <v>34660</v>
          </cell>
          <cell r="N1528">
            <v>3466</v>
          </cell>
          <cell r="O1528">
            <v>38126</v>
          </cell>
          <cell r="P1528">
            <v>0</v>
          </cell>
          <cell r="Q1528" t="str">
            <v/>
          </cell>
          <cell r="R1528" t="str">
            <v>실온</v>
          </cell>
          <cell r="S1528" t="str">
            <v>EA(6)</v>
          </cell>
          <cell r="T1528" t="str">
            <v/>
          </cell>
          <cell r="U1528" t="str">
            <v/>
          </cell>
          <cell r="V1528" t="str">
            <v>2018-12-05</v>
          </cell>
          <cell r="W1528" t="str">
            <v>2018-12-05 14:50:46</v>
          </cell>
          <cell r="X1528" t="str">
            <v>178921000</v>
          </cell>
        </row>
        <row r="1529">
          <cell r="A1529">
            <v>1525</v>
          </cell>
          <cell r="B1529" t="str">
            <v>2018-12-06</v>
          </cell>
          <cell r="C1529" t="str">
            <v>키즈락</v>
          </cell>
          <cell r="D1529">
            <v>0</v>
          </cell>
          <cell r="E1529" t="str">
            <v>일반</v>
          </cell>
          <cell r="F1529" t="str">
            <v>입고완료</v>
          </cell>
          <cell r="G1529">
            <v>420010</v>
          </cell>
          <cell r="H1529" t="str">
            <v>알로팜 계란(왕란_무항생제_68g*30입 2.04Kg/EA)</v>
          </cell>
          <cell r="I1529" t="str">
            <v>EA</v>
          </cell>
          <cell r="J1529">
            <v>5</v>
          </cell>
          <cell r="K1529">
            <v>5</v>
          </cell>
          <cell r="L1529">
            <v>4730</v>
          </cell>
          <cell r="M1529">
            <v>23650</v>
          </cell>
          <cell r="N1529">
            <v>0</v>
          </cell>
          <cell r="O1529">
            <v>23650</v>
          </cell>
          <cell r="P1529">
            <v>23650</v>
          </cell>
          <cell r="Q1529" t="str">
            <v>한국</v>
          </cell>
          <cell r="R1529" t="str">
            <v>냉장</v>
          </cell>
          <cell r="S1529" t="str">
            <v>EA(1)</v>
          </cell>
          <cell r="T1529" t="str">
            <v/>
          </cell>
          <cell r="U1529" t="str">
            <v/>
          </cell>
          <cell r="V1529" t="str">
            <v>2018-12-05</v>
          </cell>
          <cell r="W1529" t="str">
            <v>2018-12-05 14:58:40</v>
          </cell>
          <cell r="X1529" t="str">
            <v>178921000</v>
          </cell>
        </row>
        <row r="1530">
          <cell r="A1530">
            <v>1526</v>
          </cell>
          <cell r="B1530" t="str">
            <v>2018-12-06</v>
          </cell>
          <cell r="C1530" t="str">
            <v>키즈락</v>
          </cell>
          <cell r="D1530">
            <v>0</v>
          </cell>
          <cell r="E1530" t="str">
            <v>일반</v>
          </cell>
          <cell r="F1530" t="str">
            <v>입고완료</v>
          </cell>
          <cell r="G1530">
            <v>145345</v>
          </cell>
          <cell r="H1530" t="str">
            <v>이츠웰 우리밀촉촉마들렌(개별포장_15g*30입 450g/EA)</v>
          </cell>
          <cell r="I1530" t="str">
            <v>EA</v>
          </cell>
          <cell r="J1530">
            <v>1</v>
          </cell>
          <cell r="K1530">
            <v>1</v>
          </cell>
          <cell r="L1530">
            <v>6190</v>
          </cell>
          <cell r="M1530">
            <v>6190</v>
          </cell>
          <cell r="N1530">
            <v>619</v>
          </cell>
          <cell r="O1530">
            <v>6809</v>
          </cell>
          <cell r="P1530">
            <v>0</v>
          </cell>
          <cell r="Q1530" t="str">
            <v>한국</v>
          </cell>
          <cell r="R1530" t="str">
            <v>냉동</v>
          </cell>
          <cell r="S1530" t="str">
            <v>EA(10)</v>
          </cell>
          <cell r="T1530" t="str">
            <v/>
          </cell>
          <cell r="U1530" t="str">
            <v/>
          </cell>
          <cell r="V1530" t="str">
            <v>2018-12-05</v>
          </cell>
          <cell r="W1530" t="str">
            <v>2018-12-05 16:12:34</v>
          </cell>
          <cell r="X1530" t="str">
            <v>178921000</v>
          </cell>
        </row>
        <row r="1531">
          <cell r="A1531">
            <v>1527</v>
          </cell>
          <cell r="B1531" t="str">
            <v>2018-12-05</v>
          </cell>
          <cell r="C1531">
            <v>0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</row>
        <row r="1532">
          <cell r="A1532">
            <v>1528</v>
          </cell>
          <cell r="B1532" t="str">
            <v>2018-12-05</v>
          </cell>
          <cell r="C1532" t="str">
            <v>키즈락</v>
          </cell>
          <cell r="D1532">
            <v>0</v>
          </cell>
          <cell r="E1532" t="str">
            <v>일반</v>
          </cell>
          <cell r="F1532" t="str">
            <v>입고완료</v>
          </cell>
          <cell r="G1532">
            <v>270329</v>
          </cell>
          <cell r="H1532" t="str">
            <v>안흥식품 할매쌀찐빵(60g내외*16입 960g/EA)</v>
          </cell>
          <cell r="I1532" t="str">
            <v>EA</v>
          </cell>
          <cell r="J1532">
            <v>7</v>
          </cell>
          <cell r="K1532">
            <v>7</v>
          </cell>
          <cell r="L1532">
            <v>4480</v>
          </cell>
          <cell r="M1532">
            <v>31360</v>
          </cell>
          <cell r="N1532">
            <v>3136</v>
          </cell>
          <cell r="O1532">
            <v>34496</v>
          </cell>
          <cell r="P1532">
            <v>0</v>
          </cell>
          <cell r="Q1532" t="str">
            <v/>
          </cell>
          <cell r="R1532" t="str">
            <v>냉동</v>
          </cell>
          <cell r="S1532" t="str">
            <v>EA(8)</v>
          </cell>
          <cell r="T1532" t="str">
            <v/>
          </cell>
          <cell r="U1532" t="str">
            <v/>
          </cell>
          <cell r="V1532" t="str">
            <v>2018-11-29</v>
          </cell>
          <cell r="W1532" t="str">
            <v>2018-11-29 12:47:31</v>
          </cell>
          <cell r="X1532" t="str">
            <v>178921000</v>
          </cell>
        </row>
        <row r="1533">
          <cell r="A1533">
            <v>1529</v>
          </cell>
          <cell r="B1533" t="str">
            <v>2018-12-05</v>
          </cell>
          <cell r="C1533" t="str">
            <v>키즈락</v>
          </cell>
          <cell r="D1533">
            <v>0</v>
          </cell>
          <cell r="E1533" t="str">
            <v>일반</v>
          </cell>
          <cell r="F1533" t="str">
            <v>입고완료</v>
          </cell>
          <cell r="G1533">
            <v>136633</v>
          </cell>
          <cell r="H1533" t="str">
            <v>이오 요구르트(80ml_유기농 80g/EA)</v>
          </cell>
          <cell r="I1533" t="str">
            <v>EA</v>
          </cell>
          <cell r="J1533">
            <v>180</v>
          </cell>
          <cell r="K1533">
            <v>180</v>
          </cell>
          <cell r="L1533">
            <v>300</v>
          </cell>
          <cell r="M1533">
            <v>54000</v>
          </cell>
          <cell r="N1533">
            <v>5400</v>
          </cell>
          <cell r="O1533">
            <v>59400</v>
          </cell>
          <cell r="P1533">
            <v>0</v>
          </cell>
          <cell r="Q1533" t="str">
            <v>한국</v>
          </cell>
          <cell r="R1533" t="str">
            <v>냉장</v>
          </cell>
          <cell r="S1533" t="str">
            <v>EA(50)</v>
          </cell>
          <cell r="T1533" t="str">
            <v/>
          </cell>
          <cell r="U1533" t="str">
            <v/>
          </cell>
          <cell r="V1533" t="str">
            <v>2018-11-29</v>
          </cell>
          <cell r="W1533" t="str">
            <v>2018-11-29 12:47:55</v>
          </cell>
          <cell r="X1533" t="str">
            <v>178921000</v>
          </cell>
        </row>
        <row r="1534">
          <cell r="A1534">
            <v>1530</v>
          </cell>
          <cell r="B1534" t="str">
            <v>2018-12-05</v>
          </cell>
          <cell r="C1534" t="str">
            <v>키즈락</v>
          </cell>
          <cell r="D1534">
            <v>0</v>
          </cell>
          <cell r="E1534" t="str">
            <v>일반</v>
          </cell>
          <cell r="F1534" t="str">
            <v>입고완료</v>
          </cell>
          <cell r="G1534">
            <v>256410</v>
          </cell>
          <cell r="H1534" t="str">
            <v>이츠웰 오징어채(무라사키_껍질있음 1Kg/EA)</v>
          </cell>
          <cell r="I1534" t="str">
            <v>EA</v>
          </cell>
          <cell r="J1534">
            <v>12</v>
          </cell>
          <cell r="K1534">
            <v>12</v>
          </cell>
          <cell r="L1534">
            <v>6530</v>
          </cell>
          <cell r="M1534">
            <v>78360</v>
          </cell>
          <cell r="N1534">
            <v>0</v>
          </cell>
          <cell r="O1534">
            <v>78360</v>
          </cell>
          <cell r="P1534">
            <v>0</v>
          </cell>
          <cell r="Q1534" t="str">
            <v>원양산</v>
          </cell>
          <cell r="R1534" t="str">
            <v>냉동</v>
          </cell>
          <cell r="S1534" t="str">
            <v>EA(10)</v>
          </cell>
          <cell r="T1534" t="str">
            <v/>
          </cell>
          <cell r="U1534" t="str">
            <v/>
          </cell>
          <cell r="V1534" t="str">
            <v>2018-12-04</v>
          </cell>
          <cell r="W1534" t="str">
            <v>2018-12-04 12:25:23</v>
          </cell>
          <cell r="X1534" t="str">
            <v>178921000</v>
          </cell>
        </row>
        <row r="1535">
          <cell r="A1535">
            <v>1531</v>
          </cell>
          <cell r="B1535" t="str">
            <v>2018-12-05</v>
          </cell>
          <cell r="C1535" t="str">
            <v>키즈락</v>
          </cell>
          <cell r="D1535">
            <v>0</v>
          </cell>
          <cell r="E1535" t="str">
            <v>일반</v>
          </cell>
          <cell r="F1535" t="str">
            <v>입고완료</v>
          </cell>
          <cell r="G1535">
            <v>219387</v>
          </cell>
          <cell r="H1535" t="str">
            <v>냉동배추우거지(1Kg/EA)</v>
          </cell>
          <cell r="I1535" t="str">
            <v>EA</v>
          </cell>
          <cell r="J1535">
            <v>15</v>
          </cell>
          <cell r="K1535">
            <v>15</v>
          </cell>
          <cell r="L1535">
            <v>1430</v>
          </cell>
          <cell r="M1535">
            <v>21450</v>
          </cell>
          <cell r="N1535">
            <v>2145</v>
          </cell>
          <cell r="O1535">
            <v>23595</v>
          </cell>
          <cell r="P1535">
            <v>0</v>
          </cell>
          <cell r="Q1535" t="str">
            <v>중국</v>
          </cell>
          <cell r="R1535" t="str">
            <v>냉동</v>
          </cell>
          <cell r="S1535" t="str">
            <v>EA(1)</v>
          </cell>
          <cell r="T1535" t="str">
            <v/>
          </cell>
          <cell r="U1535" t="str">
            <v/>
          </cell>
          <cell r="V1535" t="str">
            <v>2018-12-04</v>
          </cell>
          <cell r="W1535" t="str">
            <v>2018-12-04 12:25:23</v>
          </cell>
          <cell r="X1535" t="str">
            <v>178921000</v>
          </cell>
        </row>
        <row r="1536">
          <cell r="A1536">
            <v>1532</v>
          </cell>
          <cell r="B1536" t="str">
            <v>2018-12-05</v>
          </cell>
          <cell r="C1536" t="str">
            <v>키즈락</v>
          </cell>
          <cell r="D1536">
            <v>0</v>
          </cell>
          <cell r="E1536" t="str">
            <v>일반</v>
          </cell>
          <cell r="F1536" t="str">
            <v>입고완료</v>
          </cell>
          <cell r="G1536">
            <v>168257</v>
          </cell>
          <cell r="H1536" t="str">
            <v>명품 판두부(찌개용 3Kg/EA)</v>
          </cell>
          <cell r="I1536" t="str">
            <v>EA</v>
          </cell>
          <cell r="J1536">
            <v>4</v>
          </cell>
          <cell r="K1536">
            <v>4</v>
          </cell>
          <cell r="L1536">
            <v>4000</v>
          </cell>
          <cell r="M1536">
            <v>16000</v>
          </cell>
          <cell r="N1536">
            <v>0</v>
          </cell>
          <cell r="O1536">
            <v>16000</v>
          </cell>
          <cell r="P1536">
            <v>0</v>
          </cell>
          <cell r="Q1536" t="str">
            <v>수입산</v>
          </cell>
          <cell r="R1536" t="str">
            <v>냉장</v>
          </cell>
          <cell r="S1536" t="str">
            <v>EA(1)</v>
          </cell>
          <cell r="T1536" t="str">
            <v/>
          </cell>
          <cell r="U1536" t="str">
            <v/>
          </cell>
          <cell r="V1536" t="str">
            <v>2018-12-04</v>
          </cell>
          <cell r="W1536" t="str">
            <v>2018-12-04 12:26:01</v>
          </cell>
          <cell r="X1536" t="str">
            <v>178921000</v>
          </cell>
        </row>
        <row r="1537">
          <cell r="A1537">
            <v>1533</v>
          </cell>
          <cell r="B1537" t="str">
            <v>2018-12-05</v>
          </cell>
          <cell r="C1537" t="str">
            <v>키즈락</v>
          </cell>
          <cell r="D1537">
            <v>0</v>
          </cell>
          <cell r="E1537" t="str">
            <v>일반</v>
          </cell>
          <cell r="F1537" t="str">
            <v>입고완료</v>
          </cell>
          <cell r="G1537">
            <v>221830</v>
          </cell>
          <cell r="H1537" t="str">
            <v>그린키위(85g내외*5입 425g/EA)</v>
          </cell>
          <cell r="I1537" t="str">
            <v>EA</v>
          </cell>
          <cell r="J1537">
            <v>1</v>
          </cell>
          <cell r="K1537">
            <v>1</v>
          </cell>
          <cell r="L1537">
            <v>2790</v>
          </cell>
          <cell r="M1537">
            <v>2790</v>
          </cell>
          <cell r="N1537">
            <v>0</v>
          </cell>
          <cell r="O1537">
            <v>2790</v>
          </cell>
          <cell r="P1537">
            <v>0</v>
          </cell>
          <cell r="Q1537" t="str">
            <v>뉴질랜드</v>
          </cell>
          <cell r="R1537" t="str">
            <v>실온</v>
          </cell>
          <cell r="S1537" t="str">
            <v>EA(1)</v>
          </cell>
          <cell r="T1537" t="str">
            <v/>
          </cell>
          <cell r="U1537" t="str">
            <v/>
          </cell>
          <cell r="V1537" t="str">
            <v>2018-12-04</v>
          </cell>
          <cell r="W1537" t="str">
            <v>2018-12-04 12:37:56</v>
          </cell>
          <cell r="X1537" t="str">
            <v>178921000</v>
          </cell>
        </row>
        <row r="1538">
          <cell r="A1538">
            <v>1534</v>
          </cell>
          <cell r="B1538" t="str">
            <v>2018-12-05</v>
          </cell>
          <cell r="C1538" t="str">
            <v>키즈락</v>
          </cell>
          <cell r="D1538">
            <v>0</v>
          </cell>
          <cell r="E1538" t="str">
            <v>일반</v>
          </cell>
          <cell r="F1538" t="str">
            <v>입고완료</v>
          </cell>
          <cell r="G1538">
            <v>319720</v>
          </cell>
          <cell r="H1538" t="str">
            <v>건파래(찢은것 500g/EA)</v>
          </cell>
          <cell r="I1538" t="str">
            <v>EA</v>
          </cell>
          <cell r="J1538">
            <v>2</v>
          </cell>
          <cell r="K1538">
            <v>2</v>
          </cell>
          <cell r="L1538">
            <v>18830</v>
          </cell>
          <cell r="M1538">
            <v>37660</v>
          </cell>
          <cell r="N1538">
            <v>0</v>
          </cell>
          <cell r="O1538">
            <v>37660</v>
          </cell>
          <cell r="P1538">
            <v>0</v>
          </cell>
          <cell r="Q1538" t="str">
            <v>한국</v>
          </cell>
          <cell r="R1538" t="str">
            <v>실온</v>
          </cell>
          <cell r="S1538" t="str">
            <v>EA(14)</v>
          </cell>
          <cell r="T1538" t="str">
            <v/>
          </cell>
          <cell r="U1538" t="str">
            <v/>
          </cell>
          <cell r="V1538" t="str">
            <v>2018-12-04</v>
          </cell>
          <cell r="W1538" t="str">
            <v>2018-12-04 12:40:51</v>
          </cell>
          <cell r="X1538" t="str">
            <v>178921000</v>
          </cell>
        </row>
        <row r="1539">
          <cell r="A1539">
            <v>1535</v>
          </cell>
          <cell r="B1539" t="str">
            <v>2018-12-05</v>
          </cell>
          <cell r="C1539" t="str">
            <v>키즈락</v>
          </cell>
          <cell r="D1539">
            <v>0</v>
          </cell>
          <cell r="E1539" t="str">
            <v>일반</v>
          </cell>
          <cell r="F1539" t="str">
            <v>입고완료</v>
          </cell>
          <cell r="G1539">
            <v>197123</v>
          </cell>
          <cell r="H1539" t="str">
            <v>종가집 깍두기(숙성_2*2cm 10Kg/BOX)</v>
          </cell>
          <cell r="I1539" t="str">
            <v>BOX</v>
          </cell>
          <cell r="J1539">
            <v>1</v>
          </cell>
          <cell r="K1539">
            <v>1</v>
          </cell>
          <cell r="L1539">
            <v>33290</v>
          </cell>
          <cell r="M1539">
            <v>33290</v>
          </cell>
          <cell r="N1539">
            <v>0</v>
          </cell>
          <cell r="O1539">
            <v>33290</v>
          </cell>
          <cell r="P1539">
            <v>0</v>
          </cell>
          <cell r="Q1539" t="str">
            <v>한국</v>
          </cell>
          <cell r="R1539" t="str">
            <v>냉장</v>
          </cell>
          <cell r="S1539" t="str">
            <v>BOX(1)</v>
          </cell>
          <cell r="T1539" t="str">
            <v/>
          </cell>
          <cell r="U1539" t="str">
            <v/>
          </cell>
          <cell r="V1539" t="str">
            <v>2018-12-04</v>
          </cell>
          <cell r="W1539" t="str">
            <v>2018-12-04 12:49:51</v>
          </cell>
          <cell r="X1539" t="str">
            <v>178921000</v>
          </cell>
        </row>
        <row r="1540">
          <cell r="A1540">
            <v>1536</v>
          </cell>
          <cell r="B1540" t="str">
            <v>2018-12-05</v>
          </cell>
          <cell r="C1540" t="str">
            <v>키즈락</v>
          </cell>
          <cell r="D1540">
            <v>0</v>
          </cell>
          <cell r="E1540" t="str">
            <v>일반</v>
          </cell>
          <cell r="F1540" t="str">
            <v>입고완료</v>
          </cell>
          <cell r="G1540">
            <v>168258</v>
          </cell>
          <cell r="H1540" t="str">
            <v>명품 판두부(부침용 3Kg/EA)</v>
          </cell>
          <cell r="I1540" t="str">
            <v>EA</v>
          </cell>
          <cell r="J1540">
            <v>10</v>
          </cell>
          <cell r="K1540">
            <v>10</v>
          </cell>
          <cell r="L1540">
            <v>4000</v>
          </cell>
          <cell r="M1540">
            <v>40000</v>
          </cell>
          <cell r="N1540">
            <v>0</v>
          </cell>
          <cell r="O1540">
            <v>40000</v>
          </cell>
          <cell r="P1540">
            <v>0</v>
          </cell>
          <cell r="Q1540" t="str">
            <v>수입산</v>
          </cell>
          <cell r="R1540" t="str">
            <v>냉장</v>
          </cell>
          <cell r="S1540" t="str">
            <v>EA(1)</v>
          </cell>
          <cell r="T1540" t="str">
            <v/>
          </cell>
          <cell r="U1540" t="str">
            <v/>
          </cell>
          <cell r="V1540" t="str">
            <v>2018-12-04</v>
          </cell>
          <cell r="W1540" t="str">
            <v>2018-12-04 12:51:11</v>
          </cell>
          <cell r="X1540" t="str">
            <v>178921000</v>
          </cell>
        </row>
        <row r="1541">
          <cell r="A1541">
            <v>1537</v>
          </cell>
          <cell r="B1541" t="str">
            <v>2018-12-05</v>
          </cell>
          <cell r="C1541" t="str">
            <v>키즈락</v>
          </cell>
          <cell r="D1541">
            <v>0</v>
          </cell>
          <cell r="E1541" t="str">
            <v>일반</v>
          </cell>
          <cell r="F1541" t="str">
            <v>입고완료</v>
          </cell>
          <cell r="G1541">
            <v>145806</v>
          </cell>
          <cell r="H1541" t="str">
            <v>진주햄 더블햄(슬라이스_26장 500g/EA)</v>
          </cell>
          <cell r="I1541" t="str">
            <v>EA</v>
          </cell>
          <cell r="J1541">
            <v>14</v>
          </cell>
          <cell r="K1541">
            <v>14</v>
          </cell>
          <cell r="L1541">
            <v>3560</v>
          </cell>
          <cell r="M1541">
            <v>49840</v>
          </cell>
          <cell r="N1541">
            <v>4984</v>
          </cell>
          <cell r="O1541">
            <v>54824</v>
          </cell>
          <cell r="P1541">
            <v>0</v>
          </cell>
          <cell r="Q1541" t="str">
            <v/>
          </cell>
          <cell r="R1541" t="str">
            <v>냉장</v>
          </cell>
          <cell r="S1541" t="str">
            <v>EA(20)</v>
          </cell>
          <cell r="T1541" t="str">
            <v/>
          </cell>
          <cell r="U1541" t="str">
            <v/>
          </cell>
          <cell r="V1541" t="str">
            <v>2018-12-04</v>
          </cell>
          <cell r="W1541" t="str">
            <v>2018-12-04 12:53:48</v>
          </cell>
          <cell r="X1541" t="str">
            <v>178921000</v>
          </cell>
        </row>
        <row r="1542">
          <cell r="A1542">
            <v>1538</v>
          </cell>
          <cell r="B1542" t="str">
            <v>2018-12-05</v>
          </cell>
          <cell r="C1542" t="str">
            <v>키즈락</v>
          </cell>
          <cell r="D1542">
            <v>0</v>
          </cell>
          <cell r="E1542" t="str">
            <v>일반</v>
          </cell>
          <cell r="F1542" t="str">
            <v>입고완료</v>
          </cell>
          <cell r="G1542">
            <v>420010</v>
          </cell>
          <cell r="H1542" t="str">
            <v>알로팜 계란(왕란_무항생제_68g*30입 2.04Kg/EA)</v>
          </cell>
          <cell r="I1542" t="str">
            <v>EA</v>
          </cell>
          <cell r="J1542">
            <v>10</v>
          </cell>
          <cell r="K1542">
            <v>10</v>
          </cell>
          <cell r="L1542">
            <v>4730</v>
          </cell>
          <cell r="M1542">
            <v>47300</v>
          </cell>
          <cell r="N1542">
            <v>0</v>
          </cell>
          <cell r="O1542">
            <v>47300</v>
          </cell>
          <cell r="P1542">
            <v>47300</v>
          </cell>
          <cell r="Q1542" t="str">
            <v>한국</v>
          </cell>
          <cell r="R1542" t="str">
            <v>냉장</v>
          </cell>
          <cell r="S1542" t="str">
            <v>EA(1)</v>
          </cell>
          <cell r="T1542" t="str">
            <v/>
          </cell>
          <cell r="U1542" t="str">
            <v/>
          </cell>
          <cell r="V1542" t="str">
            <v>2018-12-04</v>
          </cell>
          <cell r="W1542" t="str">
            <v>2018-12-04 12:55:01</v>
          </cell>
          <cell r="X1542" t="str">
            <v>178921000</v>
          </cell>
        </row>
        <row r="1543">
          <cell r="A1543">
            <v>1539</v>
          </cell>
          <cell r="B1543" t="str">
            <v>2018-12-05</v>
          </cell>
          <cell r="C1543" t="str">
            <v>키즈락</v>
          </cell>
          <cell r="D1543">
            <v>0</v>
          </cell>
          <cell r="E1543" t="str">
            <v>일반</v>
          </cell>
          <cell r="F1543" t="str">
            <v>입고완료</v>
          </cell>
          <cell r="G1543">
            <v>199437</v>
          </cell>
          <cell r="H1543" t="str">
            <v>삼계탕재료세트(황기+대추+당귀+헛개나무+엄나무+오가피 80g/EA)</v>
          </cell>
          <cell r="I1543" t="str">
            <v>EA</v>
          </cell>
          <cell r="J1543">
            <v>2</v>
          </cell>
          <cell r="K1543">
            <v>2</v>
          </cell>
          <cell r="L1543">
            <v>2020</v>
          </cell>
          <cell r="M1543">
            <v>4040</v>
          </cell>
          <cell r="N1543">
            <v>0</v>
          </cell>
          <cell r="O1543">
            <v>4040</v>
          </cell>
          <cell r="P1543">
            <v>0</v>
          </cell>
          <cell r="Q1543" t="str">
            <v>한국</v>
          </cell>
          <cell r="R1543" t="str">
            <v>냉장</v>
          </cell>
          <cell r="S1543" t="str">
            <v>EA(1)</v>
          </cell>
          <cell r="T1543" t="str">
            <v/>
          </cell>
          <cell r="U1543" t="str">
            <v/>
          </cell>
          <cell r="V1543" t="str">
            <v>2018-12-04</v>
          </cell>
          <cell r="W1543" t="str">
            <v>2018-12-04 13:46:31</v>
          </cell>
          <cell r="X1543" t="str">
            <v>178921000</v>
          </cell>
        </row>
        <row r="1544">
          <cell r="A1544">
            <v>1540</v>
          </cell>
          <cell r="B1544" t="str">
            <v>2018-12-05</v>
          </cell>
          <cell r="C1544" t="str">
            <v>키즈락</v>
          </cell>
          <cell r="D1544">
            <v>0</v>
          </cell>
          <cell r="E1544" t="str">
            <v>일반</v>
          </cell>
          <cell r="F1544" t="str">
            <v>입고완료</v>
          </cell>
          <cell r="G1544">
            <v>211019</v>
          </cell>
          <cell r="H1544" t="str">
            <v>고구마(상품 250~400g/개 튀김용 1Kg/EA)</v>
          </cell>
          <cell r="I1544" t="str">
            <v>EA</v>
          </cell>
          <cell r="J1544">
            <v>4</v>
          </cell>
          <cell r="K1544">
            <v>4</v>
          </cell>
          <cell r="L1544">
            <v>4300</v>
          </cell>
          <cell r="M1544">
            <v>17200</v>
          </cell>
          <cell r="N1544">
            <v>0</v>
          </cell>
          <cell r="O1544">
            <v>17200</v>
          </cell>
          <cell r="P1544">
            <v>0</v>
          </cell>
          <cell r="Q1544" t="str">
            <v>한국</v>
          </cell>
          <cell r="R1544" t="str">
            <v>냉장</v>
          </cell>
          <cell r="S1544" t="str">
            <v>EA(1)</v>
          </cell>
          <cell r="T1544" t="str">
            <v/>
          </cell>
          <cell r="U1544" t="str">
            <v/>
          </cell>
          <cell r="V1544" t="str">
            <v>2018-12-04</v>
          </cell>
          <cell r="W1544" t="str">
            <v>2018-12-04 14:23:27</v>
          </cell>
          <cell r="X1544" t="str">
            <v>178921000</v>
          </cell>
        </row>
        <row r="1545">
          <cell r="A1545">
            <v>1541</v>
          </cell>
          <cell r="B1545" t="str">
            <v>2018-12-04</v>
          </cell>
          <cell r="C1545">
            <v>0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</row>
        <row r="1546">
          <cell r="A1546">
            <v>1542</v>
          </cell>
          <cell r="B1546" t="str">
            <v>2018-12-04</v>
          </cell>
          <cell r="C1546" t="str">
            <v>키즈락</v>
          </cell>
          <cell r="D1546">
            <v>0</v>
          </cell>
          <cell r="E1546" t="str">
            <v>일반</v>
          </cell>
          <cell r="F1546" t="str">
            <v>입고완료</v>
          </cell>
          <cell r="G1546">
            <v>190365</v>
          </cell>
          <cell r="H1546" t="str">
            <v>상하목장 떠먹는요거트(유기농_플레인 400g/EA)</v>
          </cell>
          <cell r="I1546" t="str">
            <v>EA</v>
          </cell>
          <cell r="J1546">
            <v>5</v>
          </cell>
          <cell r="K1546">
            <v>5</v>
          </cell>
          <cell r="L1546">
            <v>2490</v>
          </cell>
          <cell r="M1546">
            <v>12450</v>
          </cell>
          <cell r="N1546">
            <v>1245</v>
          </cell>
          <cell r="O1546">
            <v>13695</v>
          </cell>
          <cell r="P1546">
            <v>0</v>
          </cell>
          <cell r="Q1546" t="str">
            <v/>
          </cell>
          <cell r="R1546" t="str">
            <v>냉장</v>
          </cell>
          <cell r="S1546" t="str">
            <v>EA(1)</v>
          </cell>
          <cell r="T1546" t="str">
            <v/>
          </cell>
          <cell r="U1546" t="str">
            <v/>
          </cell>
          <cell r="V1546" t="str">
            <v>2018-11-28</v>
          </cell>
          <cell r="W1546" t="str">
            <v>2018-11-28 15:03:04</v>
          </cell>
          <cell r="X1546" t="str">
            <v>178921000</v>
          </cell>
        </row>
        <row r="1547">
          <cell r="A1547">
            <v>1543</v>
          </cell>
          <cell r="B1547" t="str">
            <v>2018-12-04</v>
          </cell>
          <cell r="C1547" t="str">
            <v>키즈락</v>
          </cell>
          <cell r="D1547">
            <v>0</v>
          </cell>
          <cell r="E1547" t="str">
            <v>일반</v>
          </cell>
          <cell r="F1547" t="str">
            <v>입고완료</v>
          </cell>
          <cell r="G1547">
            <v>234169</v>
          </cell>
          <cell r="H1547" t="str">
            <v>삼립식품 생크림파운드(미니_개별포장_10개입 360g/EA)</v>
          </cell>
          <cell r="I1547" t="str">
            <v>EA</v>
          </cell>
          <cell r="J1547">
            <v>9</v>
          </cell>
          <cell r="K1547">
            <v>9</v>
          </cell>
          <cell r="L1547">
            <v>4280</v>
          </cell>
          <cell r="M1547">
            <v>38520</v>
          </cell>
          <cell r="N1547">
            <v>3852</v>
          </cell>
          <cell r="O1547">
            <v>42372</v>
          </cell>
          <cell r="P1547">
            <v>0</v>
          </cell>
          <cell r="Q1547" t="str">
            <v/>
          </cell>
          <cell r="R1547" t="str">
            <v>실온</v>
          </cell>
          <cell r="S1547" t="str">
            <v>EA(3)</v>
          </cell>
          <cell r="T1547" t="str">
            <v/>
          </cell>
          <cell r="U1547" t="str">
            <v/>
          </cell>
          <cell r="V1547" t="str">
            <v>2018-11-28</v>
          </cell>
          <cell r="W1547" t="str">
            <v>2018-11-28 15:07:49</v>
          </cell>
          <cell r="X1547" t="str">
            <v>178921000</v>
          </cell>
        </row>
        <row r="1548">
          <cell r="A1548">
            <v>1544</v>
          </cell>
          <cell r="B1548" t="str">
            <v>2018-12-04</v>
          </cell>
          <cell r="C1548" t="str">
            <v>키즈락</v>
          </cell>
          <cell r="D1548">
            <v>0</v>
          </cell>
          <cell r="E1548" t="str">
            <v>일반</v>
          </cell>
          <cell r="F1548" t="str">
            <v>입고완료</v>
          </cell>
          <cell r="G1548">
            <v>159126</v>
          </cell>
          <cell r="H1548" t="str">
            <v>건강마을 플리또주스(100ml_유기농_포도 100g/EA)</v>
          </cell>
          <cell r="I1548" t="str">
            <v>BOX</v>
          </cell>
          <cell r="J1548">
            <v>6</v>
          </cell>
          <cell r="K1548">
            <v>6</v>
          </cell>
          <cell r="L1548">
            <v>17600</v>
          </cell>
          <cell r="M1548">
            <v>105600</v>
          </cell>
          <cell r="N1548">
            <v>10560</v>
          </cell>
          <cell r="O1548">
            <v>116160</v>
          </cell>
          <cell r="P1548">
            <v>0</v>
          </cell>
          <cell r="Q1548" t="str">
            <v/>
          </cell>
          <cell r="R1548" t="str">
            <v>실온</v>
          </cell>
          <cell r="S1548" t="str">
            <v>EA(40)</v>
          </cell>
          <cell r="T1548" t="str">
            <v/>
          </cell>
          <cell r="U1548" t="str">
            <v/>
          </cell>
          <cell r="V1548" t="str">
            <v>2018-11-29</v>
          </cell>
          <cell r="W1548" t="str">
            <v>2018-11-29 12:44:08</v>
          </cell>
          <cell r="X1548" t="str">
            <v>178921000</v>
          </cell>
        </row>
        <row r="1549">
          <cell r="A1549">
            <v>1545</v>
          </cell>
          <cell r="B1549" t="str">
            <v>2018-12-04</v>
          </cell>
          <cell r="C1549" t="str">
            <v>키즈락</v>
          </cell>
          <cell r="D1549">
            <v>0</v>
          </cell>
          <cell r="E1549" t="str">
            <v>일반</v>
          </cell>
          <cell r="F1549" t="str">
            <v>입고완료</v>
          </cell>
          <cell r="G1549">
            <v>195184</v>
          </cell>
          <cell r="H1549" t="str">
            <v>감자(40g이하/개 조림용 KG)</v>
          </cell>
          <cell r="I1549" t="str">
            <v>KG</v>
          </cell>
          <cell r="J1549">
            <v>10</v>
          </cell>
          <cell r="K1549">
            <v>10</v>
          </cell>
          <cell r="L1549">
            <v>4310</v>
          </cell>
          <cell r="M1549">
            <v>43100</v>
          </cell>
          <cell r="N1549">
            <v>0</v>
          </cell>
          <cell r="O1549">
            <v>43100</v>
          </cell>
          <cell r="P1549">
            <v>0</v>
          </cell>
          <cell r="Q1549" t="str">
            <v>한국</v>
          </cell>
          <cell r="R1549" t="str">
            <v>냉장</v>
          </cell>
          <cell r="S1549" t="str">
            <v>KG(1)</v>
          </cell>
          <cell r="T1549" t="str">
            <v/>
          </cell>
          <cell r="U1549" t="str">
            <v/>
          </cell>
          <cell r="V1549" t="str">
            <v>2018-11-29</v>
          </cell>
          <cell r="W1549" t="str">
            <v>2018-11-29 12:50:33</v>
          </cell>
          <cell r="X1549" t="str">
            <v>178921000</v>
          </cell>
        </row>
        <row r="1550">
          <cell r="A1550">
            <v>1546</v>
          </cell>
          <cell r="B1550" t="str">
            <v>2018-12-04</v>
          </cell>
          <cell r="C1550" t="str">
            <v>키즈락</v>
          </cell>
          <cell r="D1550">
            <v>0</v>
          </cell>
          <cell r="E1550" t="str">
            <v>일반</v>
          </cell>
          <cell r="F1550" t="str">
            <v>입고완료</v>
          </cell>
          <cell r="G1550">
            <v>146370</v>
          </cell>
          <cell r="H1550" t="str">
            <v>뚜레쥬르 식빵(사각_겉장포함24쪽 토스트용 750g/EA)</v>
          </cell>
          <cell r="I1550" t="str">
            <v>EA</v>
          </cell>
          <cell r="J1550">
            <v>20</v>
          </cell>
          <cell r="K1550">
            <v>20</v>
          </cell>
          <cell r="L1550">
            <v>1420</v>
          </cell>
          <cell r="M1550">
            <v>28400</v>
          </cell>
          <cell r="N1550">
            <v>2840</v>
          </cell>
          <cell r="O1550">
            <v>31240</v>
          </cell>
          <cell r="P1550">
            <v>0</v>
          </cell>
          <cell r="Q1550" t="str">
            <v/>
          </cell>
          <cell r="R1550" t="str">
            <v>실온</v>
          </cell>
          <cell r="S1550" t="str">
            <v>EA(1)</v>
          </cell>
          <cell r="T1550" t="str">
            <v/>
          </cell>
          <cell r="U1550" t="str">
            <v/>
          </cell>
          <cell r="V1550" t="str">
            <v>2018-11-30</v>
          </cell>
          <cell r="W1550" t="str">
            <v>2018-11-30 13:30:46</v>
          </cell>
          <cell r="X1550" t="str">
            <v>178921000</v>
          </cell>
        </row>
        <row r="1551">
          <cell r="A1551">
            <v>1547</v>
          </cell>
          <cell r="B1551" t="str">
            <v>2018-12-04</v>
          </cell>
          <cell r="C1551" t="str">
            <v>키즈락</v>
          </cell>
          <cell r="D1551">
            <v>0</v>
          </cell>
          <cell r="E1551" t="str">
            <v>일반</v>
          </cell>
          <cell r="F1551" t="str">
            <v>입고완료</v>
          </cell>
          <cell r="G1551">
            <v>108361</v>
          </cell>
          <cell r="H1551" t="str">
            <v>리치스 올리브(블랙_슬라이스 3.05Kg/EA)</v>
          </cell>
          <cell r="I1551" t="str">
            <v>EA</v>
          </cell>
          <cell r="J1551">
            <v>1</v>
          </cell>
          <cell r="K1551">
            <v>1</v>
          </cell>
          <cell r="L1551">
            <v>6690</v>
          </cell>
          <cell r="M1551">
            <v>6690</v>
          </cell>
          <cell r="N1551">
            <v>669</v>
          </cell>
          <cell r="O1551">
            <v>7359</v>
          </cell>
          <cell r="P1551">
            <v>0</v>
          </cell>
          <cell r="Q1551" t="str">
            <v>스페인</v>
          </cell>
          <cell r="R1551" t="str">
            <v>실온</v>
          </cell>
          <cell r="S1551" t="str">
            <v>EA(6)</v>
          </cell>
          <cell r="T1551" t="str">
            <v/>
          </cell>
          <cell r="U1551" t="str">
            <v/>
          </cell>
          <cell r="V1551" t="str">
            <v>2018-11-30</v>
          </cell>
          <cell r="W1551" t="str">
            <v>2018-11-30 13:33:01</v>
          </cell>
          <cell r="X1551" t="str">
            <v>178921000</v>
          </cell>
        </row>
        <row r="1552">
          <cell r="A1552">
            <v>1548</v>
          </cell>
          <cell r="B1552" t="str">
            <v>2018-12-04</v>
          </cell>
          <cell r="C1552" t="str">
            <v>키즈락</v>
          </cell>
          <cell r="D1552">
            <v>0</v>
          </cell>
          <cell r="E1552" t="str">
            <v>일반</v>
          </cell>
          <cell r="F1552" t="str">
            <v>입고완료</v>
          </cell>
          <cell r="G1552">
            <v>154294</v>
          </cell>
          <cell r="H1552" t="str">
            <v>이츠웰 피자치즈(실속 자연산50% 2.5Kg/EA)</v>
          </cell>
          <cell r="I1552" t="str">
            <v>EA</v>
          </cell>
          <cell r="J1552">
            <v>6</v>
          </cell>
          <cell r="K1552">
            <v>6</v>
          </cell>
          <cell r="L1552">
            <v>16000</v>
          </cell>
          <cell r="M1552">
            <v>96000</v>
          </cell>
          <cell r="N1552">
            <v>9600</v>
          </cell>
          <cell r="O1552">
            <v>105600</v>
          </cell>
          <cell r="P1552">
            <v>0</v>
          </cell>
          <cell r="Q1552" t="str">
            <v/>
          </cell>
          <cell r="R1552" t="str">
            <v>냉장</v>
          </cell>
          <cell r="S1552" t="str">
            <v>EA(4)</v>
          </cell>
          <cell r="T1552" t="str">
            <v/>
          </cell>
          <cell r="U1552" t="str">
            <v/>
          </cell>
          <cell r="V1552" t="str">
            <v>2018-11-30</v>
          </cell>
          <cell r="W1552" t="str">
            <v>2018-11-30 13:37:09</v>
          </cell>
          <cell r="X1552" t="str">
            <v>178921000</v>
          </cell>
        </row>
        <row r="1553">
          <cell r="A1553">
            <v>1549</v>
          </cell>
          <cell r="B1553" t="str">
            <v>2018-12-04</v>
          </cell>
          <cell r="C1553" t="str">
            <v>키즈락</v>
          </cell>
          <cell r="D1553">
            <v>0</v>
          </cell>
          <cell r="E1553" t="str">
            <v>일반</v>
          </cell>
          <cell r="F1553" t="str">
            <v>입고완료</v>
          </cell>
          <cell r="G1553">
            <v>247872</v>
          </cell>
          <cell r="H1553" t="str">
            <v>사조오양 치킨텐더(급식용 1Kg/EA)</v>
          </cell>
          <cell r="I1553" t="str">
            <v>EA</v>
          </cell>
          <cell r="J1553">
            <v>5</v>
          </cell>
          <cell r="K1553">
            <v>5</v>
          </cell>
          <cell r="L1553">
            <v>6970</v>
          </cell>
          <cell r="M1553">
            <v>34850</v>
          </cell>
          <cell r="N1553">
            <v>3485</v>
          </cell>
          <cell r="O1553">
            <v>38335</v>
          </cell>
          <cell r="P1553">
            <v>0</v>
          </cell>
          <cell r="Q1553" t="str">
            <v>한국</v>
          </cell>
          <cell r="R1553" t="str">
            <v>냉동</v>
          </cell>
          <cell r="S1553" t="str">
            <v>EA(10)</v>
          </cell>
          <cell r="T1553" t="str">
            <v/>
          </cell>
          <cell r="U1553" t="str">
            <v/>
          </cell>
          <cell r="V1553" t="str">
            <v>2018-11-30</v>
          </cell>
          <cell r="W1553" t="str">
            <v>2018-11-30 13:38:50</v>
          </cell>
          <cell r="X1553" t="str">
            <v>178921000</v>
          </cell>
        </row>
        <row r="1554">
          <cell r="A1554">
            <v>1550</v>
          </cell>
          <cell r="B1554" t="str">
            <v>2018-12-04</v>
          </cell>
          <cell r="C1554" t="str">
            <v>키즈락</v>
          </cell>
          <cell r="D1554">
            <v>0</v>
          </cell>
          <cell r="E1554" t="str">
            <v>일반</v>
          </cell>
          <cell r="F1554" t="str">
            <v>입고완료</v>
          </cell>
          <cell r="G1554">
            <v>232486</v>
          </cell>
          <cell r="H1554" t="str">
            <v>백화수복 청주(병_1.8L_2017년 1.8Kg/EA)</v>
          </cell>
          <cell r="I1554" t="str">
            <v>BOX</v>
          </cell>
          <cell r="J1554">
            <v>1</v>
          </cell>
          <cell r="K1554">
            <v>1</v>
          </cell>
          <cell r="L1554">
            <v>72720</v>
          </cell>
          <cell r="M1554">
            <v>72720</v>
          </cell>
          <cell r="N1554">
            <v>7272</v>
          </cell>
          <cell r="O1554">
            <v>79992</v>
          </cell>
          <cell r="P1554">
            <v>0</v>
          </cell>
          <cell r="Q1554" t="str">
            <v>한국</v>
          </cell>
          <cell r="R1554" t="str">
            <v>실온</v>
          </cell>
          <cell r="S1554" t="str">
            <v>EA(8)</v>
          </cell>
          <cell r="T1554" t="str">
            <v/>
          </cell>
          <cell r="U1554" t="str">
            <v/>
          </cell>
          <cell r="V1554" t="str">
            <v>2018-12-03</v>
          </cell>
          <cell r="W1554" t="str">
            <v>2018-12-03 15:19:20</v>
          </cell>
          <cell r="X1554" t="str">
            <v>178921000</v>
          </cell>
        </row>
        <row r="1555">
          <cell r="A1555">
            <v>1551</v>
          </cell>
          <cell r="B1555" t="str">
            <v>2018-12-04</v>
          </cell>
          <cell r="C1555" t="str">
            <v>키즈락</v>
          </cell>
          <cell r="D1555">
            <v>0</v>
          </cell>
          <cell r="E1555" t="str">
            <v>일반</v>
          </cell>
          <cell r="F1555" t="str">
            <v>입고완료</v>
          </cell>
          <cell r="G1555">
            <v>204973</v>
          </cell>
          <cell r="H1555" t="str">
            <v>냉동대파(1Kg/PAC)</v>
          </cell>
          <cell r="I1555" t="str">
            <v>PAC</v>
          </cell>
          <cell r="J1555">
            <v>10</v>
          </cell>
          <cell r="K1555">
            <v>10</v>
          </cell>
          <cell r="L1555">
            <v>1400</v>
          </cell>
          <cell r="M1555">
            <v>14000</v>
          </cell>
          <cell r="N1555">
            <v>0</v>
          </cell>
          <cell r="O1555">
            <v>14000</v>
          </cell>
          <cell r="P1555">
            <v>0</v>
          </cell>
          <cell r="Q1555" t="str">
            <v>중국</v>
          </cell>
          <cell r="R1555" t="str">
            <v>냉동</v>
          </cell>
          <cell r="S1555" t="str">
            <v>PAC(1)</v>
          </cell>
          <cell r="T1555" t="str">
            <v/>
          </cell>
          <cell r="U1555" t="str">
            <v/>
          </cell>
          <cell r="V1555" t="str">
            <v>2018-12-03</v>
          </cell>
          <cell r="W1555" t="str">
            <v>2018-12-03 15:19:52</v>
          </cell>
          <cell r="X1555" t="str">
            <v>178921000</v>
          </cell>
        </row>
        <row r="1556">
          <cell r="A1556">
            <v>1552</v>
          </cell>
          <cell r="B1556" t="str">
            <v>2018-12-04</v>
          </cell>
          <cell r="C1556" t="str">
            <v>키즈락</v>
          </cell>
          <cell r="D1556">
            <v>0</v>
          </cell>
          <cell r="E1556" t="str">
            <v>일반</v>
          </cell>
          <cell r="F1556" t="str">
            <v>입고완료</v>
          </cell>
          <cell r="G1556">
            <v>314295</v>
          </cell>
          <cell r="H1556" t="str">
            <v>디포리(밴댕이 1.5Kg/BOX)</v>
          </cell>
          <cell r="I1556" t="str">
            <v>BOX</v>
          </cell>
          <cell r="J1556">
            <v>3</v>
          </cell>
          <cell r="K1556">
            <v>3</v>
          </cell>
          <cell r="L1556">
            <v>10930</v>
          </cell>
          <cell r="M1556">
            <v>32790</v>
          </cell>
          <cell r="N1556">
            <v>0</v>
          </cell>
          <cell r="O1556">
            <v>32790</v>
          </cell>
          <cell r="P1556">
            <v>0</v>
          </cell>
          <cell r="Q1556" t="str">
            <v>베트남</v>
          </cell>
          <cell r="R1556" t="str">
            <v>냉동</v>
          </cell>
          <cell r="S1556" t="str">
            <v>BOX(1)</v>
          </cell>
          <cell r="T1556" t="str">
            <v/>
          </cell>
          <cell r="U1556" t="str">
            <v/>
          </cell>
          <cell r="V1556" t="str">
            <v>2018-12-03</v>
          </cell>
          <cell r="W1556" t="str">
            <v>2018-12-03 15:20:47</v>
          </cell>
          <cell r="X1556" t="str">
            <v>178921000</v>
          </cell>
        </row>
        <row r="1557">
          <cell r="A1557">
            <v>1553</v>
          </cell>
          <cell r="B1557" t="str">
            <v>2018-12-04</v>
          </cell>
          <cell r="C1557" t="str">
            <v>키즈락</v>
          </cell>
          <cell r="D1557">
            <v>0</v>
          </cell>
          <cell r="E1557" t="str">
            <v>일반</v>
          </cell>
          <cell r="F1557" t="str">
            <v>입고완료</v>
          </cell>
          <cell r="G1557">
            <v>145875</v>
          </cell>
          <cell r="H1557" t="str">
            <v>용표 감자전분(99% 5Kg/EA)</v>
          </cell>
          <cell r="I1557" t="str">
            <v>EA</v>
          </cell>
          <cell r="J1557">
            <v>1</v>
          </cell>
          <cell r="K1557">
            <v>1</v>
          </cell>
          <cell r="L1557">
            <v>10050</v>
          </cell>
          <cell r="M1557">
            <v>10050</v>
          </cell>
          <cell r="N1557">
            <v>1005</v>
          </cell>
          <cell r="O1557">
            <v>11055</v>
          </cell>
          <cell r="P1557">
            <v>0</v>
          </cell>
          <cell r="Q1557" t="str">
            <v/>
          </cell>
          <cell r="R1557" t="str">
            <v>실온</v>
          </cell>
          <cell r="S1557" t="str">
            <v>EA(2)</v>
          </cell>
          <cell r="T1557" t="str">
            <v/>
          </cell>
          <cell r="U1557" t="str">
            <v/>
          </cell>
          <cell r="V1557" t="str">
            <v>2018-12-03</v>
          </cell>
          <cell r="W1557" t="str">
            <v>2018-12-03 15:20:47</v>
          </cell>
          <cell r="X1557" t="str">
            <v>178921000</v>
          </cell>
        </row>
        <row r="1558">
          <cell r="A1558">
            <v>1554</v>
          </cell>
          <cell r="B1558" t="str">
            <v>2018-12-04</v>
          </cell>
          <cell r="C1558" t="str">
            <v>키즈락</v>
          </cell>
          <cell r="D1558">
            <v>0</v>
          </cell>
          <cell r="E1558" t="str">
            <v>일반</v>
          </cell>
          <cell r="F1558" t="str">
            <v>입고완료</v>
          </cell>
          <cell r="G1558">
            <v>205273</v>
          </cell>
          <cell r="H1558" t="str">
            <v>건고구마순(데친것 KG)</v>
          </cell>
          <cell r="I1558" t="str">
            <v>KG</v>
          </cell>
          <cell r="J1558">
            <v>20</v>
          </cell>
          <cell r="K1558">
            <v>20</v>
          </cell>
          <cell r="L1558">
            <v>2990</v>
          </cell>
          <cell r="M1558">
            <v>59800</v>
          </cell>
          <cell r="N1558">
            <v>0</v>
          </cell>
          <cell r="O1558">
            <v>59800</v>
          </cell>
          <cell r="P1558">
            <v>0</v>
          </cell>
          <cell r="Q1558" t="str">
            <v>중국</v>
          </cell>
          <cell r="R1558" t="str">
            <v>냉장</v>
          </cell>
          <cell r="S1558" t="str">
            <v>KG(1)</v>
          </cell>
          <cell r="T1558" t="str">
            <v/>
          </cell>
          <cell r="U1558" t="str">
            <v/>
          </cell>
          <cell r="V1558" t="str">
            <v>2018-12-03</v>
          </cell>
          <cell r="W1558" t="str">
            <v>2018-12-03 15:21:06</v>
          </cell>
          <cell r="X1558" t="str">
            <v>178921000</v>
          </cell>
        </row>
        <row r="1559">
          <cell r="A1559">
            <v>1555</v>
          </cell>
          <cell r="B1559" t="str">
            <v>2018-12-04</v>
          </cell>
          <cell r="C1559" t="str">
            <v>키즈락</v>
          </cell>
          <cell r="D1559">
            <v>0</v>
          </cell>
          <cell r="E1559" t="str">
            <v>일반</v>
          </cell>
          <cell r="F1559" t="str">
            <v>입고완료</v>
          </cell>
          <cell r="G1559">
            <v>137759</v>
          </cell>
          <cell r="H1559" t="str">
            <v>이츠웰 토마토스파게티소스(NEW 2Kg/EA)</v>
          </cell>
          <cell r="I1559" t="str">
            <v>EA</v>
          </cell>
          <cell r="J1559">
            <v>6</v>
          </cell>
          <cell r="K1559">
            <v>6</v>
          </cell>
          <cell r="L1559">
            <v>7180</v>
          </cell>
          <cell r="M1559">
            <v>43080</v>
          </cell>
          <cell r="N1559">
            <v>4308</v>
          </cell>
          <cell r="O1559">
            <v>47388</v>
          </cell>
          <cell r="P1559">
            <v>0</v>
          </cell>
          <cell r="Q1559" t="str">
            <v/>
          </cell>
          <cell r="R1559" t="str">
            <v>냉장</v>
          </cell>
          <cell r="S1559" t="str">
            <v>EA(6)</v>
          </cell>
          <cell r="T1559" t="str">
            <v/>
          </cell>
          <cell r="U1559" t="str">
            <v/>
          </cell>
          <cell r="V1559" t="str">
            <v>2018-12-03</v>
          </cell>
          <cell r="W1559" t="str">
            <v>2018-12-03 15:23:15</v>
          </cell>
          <cell r="X1559" t="str">
            <v>178921000</v>
          </cell>
        </row>
        <row r="1560">
          <cell r="A1560">
            <v>1556</v>
          </cell>
          <cell r="B1560" t="str">
            <v>2018-12-04</v>
          </cell>
          <cell r="C1560" t="str">
            <v>키즈락</v>
          </cell>
          <cell r="D1560">
            <v>0</v>
          </cell>
          <cell r="E1560" t="str">
            <v>일반</v>
          </cell>
          <cell r="F1560" t="str">
            <v>입고완료</v>
          </cell>
          <cell r="G1560">
            <v>241732</v>
          </cell>
          <cell r="H1560" t="str">
            <v>이츠웰 케이준드레싱(NEW_2017리뉴얼 2Kg/EA)</v>
          </cell>
          <cell r="I1560" t="str">
            <v>EA</v>
          </cell>
          <cell r="J1560">
            <v>2</v>
          </cell>
          <cell r="K1560">
            <v>2</v>
          </cell>
          <cell r="L1560">
            <v>6330</v>
          </cell>
          <cell r="M1560">
            <v>12660</v>
          </cell>
          <cell r="N1560">
            <v>1266</v>
          </cell>
          <cell r="O1560">
            <v>13926</v>
          </cell>
          <cell r="P1560">
            <v>0</v>
          </cell>
          <cell r="Q1560" t="str">
            <v/>
          </cell>
          <cell r="R1560" t="str">
            <v>냉장</v>
          </cell>
          <cell r="S1560" t="str">
            <v>EA(5)</v>
          </cell>
          <cell r="T1560" t="str">
            <v/>
          </cell>
          <cell r="U1560" t="str">
            <v/>
          </cell>
          <cell r="V1560" t="str">
            <v>2018-12-03</v>
          </cell>
          <cell r="W1560" t="str">
            <v>2018-12-03 15:24:16</v>
          </cell>
          <cell r="X1560" t="str">
            <v>178921000</v>
          </cell>
        </row>
        <row r="1561">
          <cell r="A1561">
            <v>1557</v>
          </cell>
          <cell r="B1561" t="str">
            <v>2018-12-03</v>
          </cell>
          <cell r="C1561">
            <v>0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</row>
        <row r="1562">
          <cell r="A1562">
            <v>1558</v>
          </cell>
          <cell r="B1562" t="str">
            <v>2018-12-03</v>
          </cell>
          <cell r="C1562" t="str">
            <v>키즈락</v>
          </cell>
          <cell r="D1562">
            <v>0</v>
          </cell>
          <cell r="E1562" t="str">
            <v>일반</v>
          </cell>
          <cell r="F1562" t="str">
            <v>입고완료</v>
          </cell>
          <cell r="G1562">
            <v>136633</v>
          </cell>
          <cell r="H1562" t="str">
            <v>이오 요구르트(80ml_유기농 80g/EA)</v>
          </cell>
          <cell r="I1562" t="str">
            <v>EA</v>
          </cell>
          <cell r="J1562">
            <v>45</v>
          </cell>
          <cell r="K1562">
            <v>45</v>
          </cell>
          <cell r="L1562">
            <v>300</v>
          </cell>
          <cell r="M1562">
            <v>13500</v>
          </cell>
          <cell r="N1562">
            <v>1350</v>
          </cell>
          <cell r="O1562">
            <v>14850</v>
          </cell>
          <cell r="P1562">
            <v>0</v>
          </cell>
          <cell r="Q1562" t="str">
            <v>한국</v>
          </cell>
          <cell r="R1562" t="str">
            <v>냉장</v>
          </cell>
          <cell r="S1562" t="str">
            <v>EA(50)</v>
          </cell>
          <cell r="T1562" t="str">
            <v/>
          </cell>
          <cell r="U1562" t="str">
            <v/>
          </cell>
          <cell r="V1562" t="str">
            <v>2018-11-27</v>
          </cell>
          <cell r="W1562" t="str">
            <v>2018-11-27 13:39:07</v>
          </cell>
          <cell r="X1562" t="str">
            <v>178921000</v>
          </cell>
        </row>
        <row r="1563">
          <cell r="A1563">
            <v>1559</v>
          </cell>
          <cell r="B1563" t="str">
            <v>2018-12-03</v>
          </cell>
          <cell r="C1563" t="str">
            <v>키즈락</v>
          </cell>
          <cell r="D1563">
            <v>0</v>
          </cell>
          <cell r="E1563" t="str">
            <v>일반</v>
          </cell>
          <cell r="F1563" t="str">
            <v>입고완료</v>
          </cell>
          <cell r="G1563">
            <v>136600</v>
          </cell>
          <cell r="H1563" t="str">
            <v>상하목장 흰우유(750ml_유기농 750g/EA)</v>
          </cell>
          <cell r="I1563" t="str">
            <v>EA</v>
          </cell>
          <cell r="J1563">
            <v>6</v>
          </cell>
          <cell r="K1563">
            <v>6</v>
          </cell>
          <cell r="L1563">
            <v>4680</v>
          </cell>
          <cell r="M1563">
            <v>28080</v>
          </cell>
          <cell r="N1563">
            <v>0</v>
          </cell>
          <cell r="O1563">
            <v>28080</v>
          </cell>
          <cell r="P1563">
            <v>28080</v>
          </cell>
          <cell r="Q1563" t="str">
            <v>한국</v>
          </cell>
          <cell r="R1563" t="str">
            <v>냉장</v>
          </cell>
          <cell r="S1563" t="str">
            <v>EA(12)</v>
          </cell>
          <cell r="T1563" t="str">
            <v/>
          </cell>
          <cell r="U1563" t="str">
            <v/>
          </cell>
          <cell r="V1563" t="str">
            <v>2018-11-28</v>
          </cell>
          <cell r="W1563" t="str">
            <v>2018-11-28 15:01:34</v>
          </cell>
          <cell r="X1563" t="str">
            <v>178921000</v>
          </cell>
        </row>
        <row r="1564">
          <cell r="A1564">
            <v>1560</v>
          </cell>
          <cell r="B1564" t="str">
            <v>2018-12-03</v>
          </cell>
          <cell r="C1564" t="str">
            <v>키즈락</v>
          </cell>
          <cell r="D1564">
            <v>0</v>
          </cell>
          <cell r="E1564" t="str">
            <v>일반</v>
          </cell>
          <cell r="F1564" t="str">
            <v>입고완료</v>
          </cell>
          <cell r="G1564">
            <v>145345</v>
          </cell>
          <cell r="H1564" t="str">
            <v>이츠웰 우리밀촉촉마들렌(개별포장_15g*30입 450g/EA)</v>
          </cell>
          <cell r="I1564" t="str">
            <v>EA</v>
          </cell>
          <cell r="J1564">
            <v>23</v>
          </cell>
          <cell r="K1564">
            <v>23</v>
          </cell>
          <cell r="L1564">
            <v>6190</v>
          </cell>
          <cell r="M1564">
            <v>142370</v>
          </cell>
          <cell r="N1564">
            <v>14237</v>
          </cell>
          <cell r="O1564">
            <v>156607</v>
          </cell>
          <cell r="P1564">
            <v>0</v>
          </cell>
          <cell r="Q1564" t="str">
            <v>한국</v>
          </cell>
          <cell r="R1564" t="str">
            <v>냉동</v>
          </cell>
          <cell r="S1564" t="str">
            <v>EA(10)</v>
          </cell>
          <cell r="T1564" t="str">
            <v/>
          </cell>
          <cell r="U1564" t="str">
            <v/>
          </cell>
          <cell r="V1564" t="str">
            <v>2018-11-29</v>
          </cell>
          <cell r="W1564" t="str">
            <v>2018-11-29 12:23:15</v>
          </cell>
          <cell r="X1564" t="str">
            <v>178921000</v>
          </cell>
        </row>
        <row r="1565">
          <cell r="A1565">
            <v>1561</v>
          </cell>
          <cell r="B1565" t="str">
            <v>2018-12-03</v>
          </cell>
          <cell r="C1565" t="str">
            <v>키즈락</v>
          </cell>
          <cell r="D1565">
            <v>0</v>
          </cell>
          <cell r="E1565" t="str">
            <v>일반</v>
          </cell>
          <cell r="F1565" t="str">
            <v>입고완료</v>
          </cell>
          <cell r="G1565">
            <v>143910</v>
          </cell>
          <cell r="H1565" t="str">
            <v>종로복떡방 인절미(50개입 1Kg/EA)</v>
          </cell>
          <cell r="I1565" t="str">
            <v>EA</v>
          </cell>
          <cell r="J1565">
            <v>13</v>
          </cell>
          <cell r="K1565">
            <v>13</v>
          </cell>
          <cell r="L1565">
            <v>9740</v>
          </cell>
          <cell r="M1565">
            <v>126620</v>
          </cell>
          <cell r="N1565">
            <v>12662</v>
          </cell>
          <cell r="O1565">
            <v>139282</v>
          </cell>
          <cell r="P1565">
            <v>0</v>
          </cell>
          <cell r="Q1565" t="str">
            <v/>
          </cell>
          <cell r="R1565" t="str">
            <v>냉동</v>
          </cell>
          <cell r="S1565" t="str">
            <v>EA(1)</v>
          </cell>
          <cell r="T1565" t="str">
            <v/>
          </cell>
          <cell r="U1565" t="str">
            <v/>
          </cell>
          <cell r="V1565" t="str">
            <v>2018-11-29</v>
          </cell>
          <cell r="W1565" t="str">
            <v>2018-11-29 12:37:45</v>
          </cell>
          <cell r="X1565" t="str">
            <v>178921000</v>
          </cell>
        </row>
        <row r="1566">
          <cell r="A1566">
            <v>1562</v>
          </cell>
          <cell r="B1566" t="str">
            <v>2018-12-03</v>
          </cell>
          <cell r="C1566" t="str">
            <v>키즈락</v>
          </cell>
          <cell r="D1566">
            <v>0</v>
          </cell>
          <cell r="E1566" t="str">
            <v>일반</v>
          </cell>
          <cell r="F1566" t="str">
            <v>입고완료</v>
          </cell>
          <cell r="G1566">
            <v>211037</v>
          </cell>
          <cell r="H1566" t="str">
            <v>느타리버섯(실속 균상 2Kg/EA)</v>
          </cell>
          <cell r="I1566" t="str">
            <v>BOX</v>
          </cell>
          <cell r="J1566">
            <v>15</v>
          </cell>
          <cell r="K1566">
            <v>15</v>
          </cell>
          <cell r="L1566">
            <v>7650</v>
          </cell>
          <cell r="M1566">
            <v>114750</v>
          </cell>
          <cell r="N1566">
            <v>0</v>
          </cell>
          <cell r="O1566">
            <v>114750</v>
          </cell>
          <cell r="P1566">
            <v>0</v>
          </cell>
          <cell r="Q1566" t="str">
            <v>한국</v>
          </cell>
          <cell r="R1566" t="str">
            <v>냉장</v>
          </cell>
          <cell r="S1566" t="str">
            <v>EA(1)</v>
          </cell>
          <cell r="T1566" t="str">
            <v/>
          </cell>
          <cell r="U1566" t="str">
            <v/>
          </cell>
          <cell r="V1566" t="str">
            <v>2018-11-29</v>
          </cell>
          <cell r="W1566" t="str">
            <v>2018-11-29 14:11:39</v>
          </cell>
          <cell r="X1566" t="str">
            <v>178921000</v>
          </cell>
        </row>
        <row r="1567">
          <cell r="A1567">
            <v>1563</v>
          </cell>
          <cell r="B1567" t="str">
            <v>2018-12-03</v>
          </cell>
          <cell r="C1567" t="str">
            <v>키즈락</v>
          </cell>
          <cell r="D1567">
            <v>0</v>
          </cell>
          <cell r="E1567" t="str">
            <v>일반</v>
          </cell>
          <cell r="F1567" t="str">
            <v>입고완료</v>
          </cell>
          <cell r="G1567">
            <v>130549</v>
          </cell>
          <cell r="H1567" t="str">
            <v>이츠웰 흰살생선까스(60g*100입 6Kg/EA)</v>
          </cell>
          <cell r="I1567" t="str">
            <v>BOX</v>
          </cell>
          <cell r="J1567">
            <v>7</v>
          </cell>
          <cell r="K1567">
            <v>7</v>
          </cell>
          <cell r="L1567">
            <v>35320</v>
          </cell>
          <cell r="M1567">
            <v>247240</v>
          </cell>
          <cell r="N1567">
            <v>24724</v>
          </cell>
          <cell r="O1567">
            <v>271964</v>
          </cell>
          <cell r="P1567">
            <v>0</v>
          </cell>
          <cell r="Q1567" t="str">
            <v/>
          </cell>
          <cell r="R1567" t="str">
            <v>냉동</v>
          </cell>
          <cell r="S1567" t="str">
            <v>EA(1)</v>
          </cell>
          <cell r="T1567" t="str">
            <v/>
          </cell>
          <cell r="U1567" t="str">
            <v/>
          </cell>
          <cell r="V1567" t="str">
            <v>2018-11-30</v>
          </cell>
          <cell r="W1567" t="str">
            <v>2018-11-30 12:16:04</v>
          </cell>
          <cell r="X1567" t="str">
            <v>178921000</v>
          </cell>
        </row>
        <row r="1568">
          <cell r="A1568">
            <v>1564</v>
          </cell>
          <cell r="B1568" t="str">
            <v>2018-12-03</v>
          </cell>
          <cell r="C1568" t="str">
            <v>키즈락</v>
          </cell>
          <cell r="D1568">
            <v>0</v>
          </cell>
          <cell r="E1568" t="str">
            <v>일반</v>
          </cell>
          <cell r="F1568" t="str">
            <v>입고완료</v>
          </cell>
          <cell r="G1568">
            <v>107250</v>
          </cell>
          <cell r="H1568" t="str">
            <v>이금기 굴소스(팬더 2.268Kg/EA)</v>
          </cell>
          <cell r="I1568" t="str">
            <v>EA</v>
          </cell>
          <cell r="J1568">
            <v>3</v>
          </cell>
          <cell r="K1568">
            <v>3</v>
          </cell>
          <cell r="L1568">
            <v>8030</v>
          </cell>
          <cell r="M1568">
            <v>24090</v>
          </cell>
          <cell r="N1568">
            <v>2409</v>
          </cell>
          <cell r="O1568">
            <v>26499</v>
          </cell>
          <cell r="P1568">
            <v>0</v>
          </cell>
          <cell r="Q1568" t="str">
            <v>홍콩</v>
          </cell>
          <cell r="R1568" t="str">
            <v>실온</v>
          </cell>
          <cell r="S1568" t="str">
            <v>EA(6)</v>
          </cell>
          <cell r="T1568" t="str">
            <v/>
          </cell>
          <cell r="U1568" t="str">
            <v/>
          </cell>
          <cell r="V1568" t="str">
            <v>2018-11-30</v>
          </cell>
          <cell r="W1568" t="str">
            <v>2018-11-30 12:35:14</v>
          </cell>
          <cell r="X1568" t="str">
            <v>178921000</v>
          </cell>
        </row>
        <row r="1569">
          <cell r="A1569">
            <v>1565</v>
          </cell>
          <cell r="B1569" t="str">
            <v>2018-12-03</v>
          </cell>
          <cell r="C1569" t="str">
            <v>키즈락</v>
          </cell>
          <cell r="D1569">
            <v>0</v>
          </cell>
          <cell r="E1569" t="str">
            <v>일반</v>
          </cell>
          <cell r="F1569" t="str">
            <v>입고완료</v>
          </cell>
          <cell r="G1569">
            <v>130633</v>
          </cell>
          <cell r="H1569" t="str">
            <v>쉐프솔루션 미트볼(NEW_100±5개입 1Kg/EA)</v>
          </cell>
          <cell r="I1569" t="str">
            <v>EA</v>
          </cell>
          <cell r="J1569">
            <v>32</v>
          </cell>
          <cell r="K1569">
            <v>32</v>
          </cell>
          <cell r="L1569">
            <v>4340</v>
          </cell>
          <cell r="M1569">
            <v>138880</v>
          </cell>
          <cell r="N1569">
            <v>13888</v>
          </cell>
          <cell r="O1569">
            <v>152768</v>
          </cell>
          <cell r="P1569">
            <v>0</v>
          </cell>
          <cell r="Q1569" t="str">
            <v/>
          </cell>
          <cell r="R1569" t="str">
            <v>냉동</v>
          </cell>
          <cell r="S1569" t="str">
            <v>EA(5)</v>
          </cell>
          <cell r="T1569" t="str">
            <v/>
          </cell>
          <cell r="U1569" t="str">
            <v/>
          </cell>
          <cell r="V1569" t="str">
            <v>2018-11-30</v>
          </cell>
          <cell r="W1569" t="str">
            <v>2018-11-30 13:14:04</v>
          </cell>
          <cell r="X1569" t="str">
            <v>178921000</v>
          </cell>
        </row>
        <row r="1570">
          <cell r="A1570">
            <v>1566</v>
          </cell>
          <cell r="B1570" t="str">
            <v>2018-12-03</v>
          </cell>
          <cell r="C1570" t="str">
            <v>키즈락</v>
          </cell>
          <cell r="D1570">
            <v>0</v>
          </cell>
          <cell r="E1570" t="str">
            <v>일반</v>
          </cell>
          <cell r="F1570" t="str">
            <v>입고완료</v>
          </cell>
          <cell r="G1570">
            <v>137759</v>
          </cell>
          <cell r="H1570" t="str">
            <v>이츠웰 토마토스파게티소스(NEW 2Kg/EA)</v>
          </cell>
          <cell r="I1570" t="str">
            <v>EA</v>
          </cell>
          <cell r="J1570">
            <v>6</v>
          </cell>
          <cell r="K1570">
            <v>6</v>
          </cell>
          <cell r="L1570">
            <v>7180</v>
          </cell>
          <cell r="M1570">
            <v>43080</v>
          </cell>
          <cell r="N1570">
            <v>4308</v>
          </cell>
          <cell r="O1570">
            <v>47388</v>
          </cell>
          <cell r="P1570">
            <v>0</v>
          </cell>
          <cell r="Q1570" t="str">
            <v/>
          </cell>
          <cell r="R1570" t="str">
            <v>냉장</v>
          </cell>
          <cell r="S1570" t="str">
            <v>EA(6)</v>
          </cell>
          <cell r="T1570" t="str">
            <v/>
          </cell>
          <cell r="U1570" t="str">
            <v/>
          </cell>
          <cell r="V1570" t="str">
            <v>2018-11-30</v>
          </cell>
          <cell r="W1570" t="str">
            <v>2018-11-30 13:15:43</v>
          </cell>
          <cell r="X1570" t="str">
            <v>178921000</v>
          </cell>
        </row>
        <row r="1571">
          <cell r="A1571">
            <v>1567</v>
          </cell>
          <cell r="B1571" t="str">
            <v>2018-12-03</v>
          </cell>
          <cell r="C1571" t="str">
            <v>키즈락</v>
          </cell>
          <cell r="D1571">
            <v>0</v>
          </cell>
          <cell r="E1571" t="str">
            <v>일반</v>
          </cell>
          <cell r="F1571" t="str">
            <v>입고완료</v>
          </cell>
          <cell r="G1571">
            <v>168258</v>
          </cell>
          <cell r="H1571" t="str">
            <v>명품 판두부(부침용 3Kg/EA)</v>
          </cell>
          <cell r="I1571" t="str">
            <v>EA</v>
          </cell>
          <cell r="J1571">
            <v>1</v>
          </cell>
          <cell r="K1571">
            <v>1</v>
          </cell>
          <cell r="L1571">
            <v>4000</v>
          </cell>
          <cell r="M1571">
            <v>4000</v>
          </cell>
          <cell r="N1571">
            <v>0</v>
          </cell>
          <cell r="O1571">
            <v>4000</v>
          </cell>
          <cell r="P1571">
            <v>0</v>
          </cell>
          <cell r="Q1571" t="str">
            <v>수입산</v>
          </cell>
          <cell r="R1571" t="str">
            <v>냉장</v>
          </cell>
          <cell r="S1571" t="str">
            <v>EA(1)</v>
          </cell>
          <cell r="T1571" t="str">
            <v/>
          </cell>
          <cell r="U1571" t="str">
            <v/>
          </cell>
          <cell r="V1571" t="str">
            <v>2018-11-30</v>
          </cell>
          <cell r="W1571" t="str">
            <v>2018-11-30 13:23:08</v>
          </cell>
          <cell r="X1571" t="str">
            <v>178921000</v>
          </cell>
        </row>
        <row r="1572">
          <cell r="A1572">
            <v>1568</v>
          </cell>
          <cell r="B1572" t="str">
            <v>2018-12-03</v>
          </cell>
          <cell r="C1572" t="str">
            <v>키즈락</v>
          </cell>
          <cell r="D1572">
            <v>0</v>
          </cell>
          <cell r="E1572" t="str">
            <v>일반</v>
          </cell>
          <cell r="F1572" t="str">
            <v>입고완료</v>
          </cell>
          <cell r="G1572">
            <v>252292</v>
          </cell>
          <cell r="H1572" t="str">
            <v>청아띠 자연담은고춧가루(매운맛 양념용 1Kg/EA)</v>
          </cell>
          <cell r="I1572" t="str">
            <v>EA</v>
          </cell>
          <cell r="J1572">
            <v>2</v>
          </cell>
          <cell r="K1572">
            <v>2</v>
          </cell>
          <cell r="L1572">
            <v>24100</v>
          </cell>
          <cell r="M1572">
            <v>48200</v>
          </cell>
          <cell r="N1572">
            <v>0</v>
          </cell>
          <cell r="O1572">
            <v>48200</v>
          </cell>
          <cell r="P1572">
            <v>0</v>
          </cell>
          <cell r="Q1572" t="str">
            <v>한국</v>
          </cell>
          <cell r="R1572" t="str">
            <v>실온</v>
          </cell>
          <cell r="S1572" t="str">
            <v>EA(10)</v>
          </cell>
          <cell r="T1572" t="str">
            <v/>
          </cell>
          <cell r="U1572" t="str">
            <v/>
          </cell>
          <cell r="V1572" t="str">
            <v>2018-11-30</v>
          </cell>
          <cell r="W1572" t="str">
            <v>2018-11-30 13:24:31</v>
          </cell>
          <cell r="X1572" t="str">
            <v>178921000</v>
          </cell>
        </row>
        <row r="1573">
          <cell r="A1573">
            <v>1569</v>
          </cell>
          <cell r="B1573" t="str">
            <v>2018-12-03</v>
          </cell>
          <cell r="C1573" t="str">
            <v>키즈락</v>
          </cell>
          <cell r="D1573">
            <v>0</v>
          </cell>
          <cell r="E1573" t="str">
            <v>일반</v>
          </cell>
          <cell r="F1573" t="str">
            <v>입고완료</v>
          </cell>
          <cell r="G1573">
            <v>252293</v>
          </cell>
          <cell r="H1573" t="str">
            <v>청아띠 자연담은고춧가루(장용 1Kg/EA)</v>
          </cell>
          <cell r="I1573" t="str">
            <v>EA</v>
          </cell>
          <cell r="J1573">
            <v>2</v>
          </cell>
          <cell r="K1573">
            <v>2</v>
          </cell>
          <cell r="L1573">
            <v>24420</v>
          </cell>
          <cell r="M1573">
            <v>48840</v>
          </cell>
          <cell r="N1573">
            <v>0</v>
          </cell>
          <cell r="O1573">
            <v>48840</v>
          </cell>
          <cell r="P1573">
            <v>0</v>
          </cell>
          <cell r="Q1573" t="str">
            <v>한국</v>
          </cell>
          <cell r="R1573" t="str">
            <v>실온</v>
          </cell>
          <cell r="S1573" t="str">
            <v>EA(10)</v>
          </cell>
          <cell r="T1573" t="str">
            <v/>
          </cell>
          <cell r="U1573" t="str">
            <v/>
          </cell>
          <cell r="V1573" t="str">
            <v>2018-11-30</v>
          </cell>
          <cell r="W1573" t="str">
            <v>2018-11-30 13:24:31</v>
          </cell>
          <cell r="X1573" t="str">
            <v>178921000</v>
          </cell>
        </row>
        <row r="1574">
          <cell r="A1574">
            <v>1570</v>
          </cell>
          <cell r="B1574" t="str">
            <v>2018-12-03</v>
          </cell>
          <cell r="C1574" t="str">
            <v>키즈락</v>
          </cell>
          <cell r="D1574">
            <v>0</v>
          </cell>
          <cell r="E1574" t="str">
            <v>일반</v>
          </cell>
          <cell r="F1574" t="str">
            <v>입고완료</v>
          </cell>
          <cell r="G1574">
            <v>210182</v>
          </cell>
          <cell r="H1574" t="str">
            <v>냉동홍피망(다이스 1Kg/EA)</v>
          </cell>
          <cell r="I1574" t="str">
            <v>EA</v>
          </cell>
          <cell r="J1574">
            <v>10</v>
          </cell>
          <cell r="K1574">
            <v>10</v>
          </cell>
          <cell r="L1574">
            <v>2300</v>
          </cell>
          <cell r="M1574">
            <v>23000</v>
          </cell>
          <cell r="N1574">
            <v>0</v>
          </cell>
          <cell r="O1574">
            <v>23000</v>
          </cell>
          <cell r="P1574">
            <v>0</v>
          </cell>
          <cell r="Q1574" t="str">
            <v>중국</v>
          </cell>
          <cell r="R1574" t="str">
            <v>냉동</v>
          </cell>
          <cell r="S1574" t="str">
            <v>EA(1)</v>
          </cell>
          <cell r="T1574" t="str">
            <v/>
          </cell>
          <cell r="U1574" t="str">
            <v/>
          </cell>
          <cell r="V1574" t="str">
            <v>2018-11-30</v>
          </cell>
          <cell r="W1574" t="str">
            <v>2018-11-30 13:28:40</v>
          </cell>
          <cell r="X1574" t="str">
            <v>178921000</v>
          </cell>
        </row>
        <row r="1575">
          <cell r="A1575">
            <v>1571</v>
          </cell>
          <cell r="B1575" t="str">
            <v>2018-12-03</v>
          </cell>
          <cell r="C1575" t="str">
            <v>키즈락</v>
          </cell>
          <cell r="D1575">
            <v>0</v>
          </cell>
          <cell r="E1575" t="str">
            <v>일반</v>
          </cell>
          <cell r="F1575" t="str">
            <v>입고완료</v>
          </cell>
          <cell r="G1575">
            <v>312193</v>
          </cell>
          <cell r="H1575" t="str">
            <v>염장미역줄기(수율70%이상 1Kg/EA)</v>
          </cell>
          <cell r="I1575" t="str">
            <v>EA</v>
          </cell>
          <cell r="J1575">
            <v>23</v>
          </cell>
          <cell r="K1575">
            <v>23</v>
          </cell>
          <cell r="L1575">
            <v>2330</v>
          </cell>
          <cell r="M1575">
            <v>53590</v>
          </cell>
          <cell r="N1575">
            <v>0</v>
          </cell>
          <cell r="O1575">
            <v>53590</v>
          </cell>
          <cell r="P1575">
            <v>0</v>
          </cell>
          <cell r="Q1575" t="str">
            <v>한국</v>
          </cell>
          <cell r="R1575" t="str">
            <v>냉장</v>
          </cell>
          <cell r="S1575" t="str">
            <v>EA(10)</v>
          </cell>
          <cell r="T1575" t="str">
            <v/>
          </cell>
          <cell r="U1575" t="str">
            <v/>
          </cell>
          <cell r="V1575" t="str">
            <v>2018-11-30</v>
          </cell>
          <cell r="W1575" t="str">
            <v>2018-11-30 13:53:47</v>
          </cell>
          <cell r="X1575" t="str">
            <v>178921000</v>
          </cell>
        </row>
        <row r="1576">
          <cell r="A1576">
            <v>1572</v>
          </cell>
          <cell r="B1576" t="str">
            <v>2018-12-03</v>
          </cell>
          <cell r="C1576" t="str">
            <v>키즈락</v>
          </cell>
          <cell r="D1576">
            <v>0</v>
          </cell>
          <cell r="E1576" t="str">
            <v>일반</v>
          </cell>
          <cell r="F1576" t="str">
            <v>입고완료</v>
          </cell>
          <cell r="G1576">
            <v>123913</v>
          </cell>
          <cell r="H1576" t="str">
            <v>쉐프솔루션 타르타르드레싱(2Kg/EA)</v>
          </cell>
          <cell r="I1576" t="str">
            <v>EA</v>
          </cell>
          <cell r="J1576">
            <v>6</v>
          </cell>
          <cell r="K1576">
            <v>6</v>
          </cell>
          <cell r="L1576">
            <v>5460</v>
          </cell>
          <cell r="M1576">
            <v>32760</v>
          </cell>
          <cell r="N1576">
            <v>3276</v>
          </cell>
          <cell r="O1576">
            <v>36036</v>
          </cell>
          <cell r="P1576">
            <v>0</v>
          </cell>
          <cell r="Q1576" t="str">
            <v/>
          </cell>
          <cell r="R1576" t="str">
            <v>냉장</v>
          </cell>
          <cell r="S1576" t="str">
            <v>EA(6)</v>
          </cell>
          <cell r="T1576" t="str">
            <v/>
          </cell>
          <cell r="U1576" t="str">
            <v/>
          </cell>
          <cell r="V1576" t="str">
            <v>2018-11-30</v>
          </cell>
          <cell r="W1576" t="str">
            <v>2018-11-30 14:52:40</v>
          </cell>
          <cell r="X1576" t="str">
            <v>178921000</v>
          </cell>
        </row>
        <row r="1577">
          <cell r="A1577">
            <v>1573</v>
          </cell>
          <cell r="B1577" t="str">
            <v>2018-12-03</v>
          </cell>
          <cell r="C1577" t="str">
            <v>키즈락</v>
          </cell>
          <cell r="D1577">
            <v>0</v>
          </cell>
          <cell r="E1577" t="str">
            <v>일반</v>
          </cell>
          <cell r="F1577" t="str">
            <v>입고완료</v>
          </cell>
          <cell r="G1577">
            <v>138696</v>
          </cell>
          <cell r="H1577" t="str">
            <v>이츠웰 레귤러핫도그(NEW_50g*20입 1Kg/EA)</v>
          </cell>
          <cell r="I1577" t="str">
            <v>EA</v>
          </cell>
          <cell r="J1577">
            <v>17</v>
          </cell>
          <cell r="K1577">
            <v>17</v>
          </cell>
          <cell r="L1577">
            <v>6130</v>
          </cell>
          <cell r="M1577">
            <v>104210</v>
          </cell>
          <cell r="N1577">
            <v>10421</v>
          </cell>
          <cell r="O1577">
            <v>114631</v>
          </cell>
          <cell r="P1577">
            <v>0</v>
          </cell>
          <cell r="Q1577" t="str">
            <v>한국</v>
          </cell>
          <cell r="R1577" t="str">
            <v>냉동</v>
          </cell>
          <cell r="S1577" t="str">
            <v>EA(6)</v>
          </cell>
          <cell r="T1577" t="str">
            <v/>
          </cell>
          <cell r="U1577" t="str">
            <v>*</v>
          </cell>
          <cell r="V1577" t="str">
            <v>2018-11-30</v>
          </cell>
          <cell r="W1577" t="str">
            <v>2018-11-30 16:30:52</v>
          </cell>
          <cell r="X1577" t="str">
            <v>syh3917</v>
          </cell>
        </row>
        <row r="1578">
          <cell r="A1578">
            <v>1574</v>
          </cell>
          <cell r="B1578" t="str">
            <v>2018-12-03</v>
          </cell>
          <cell r="C1578" t="str">
            <v>키즈락</v>
          </cell>
          <cell r="D1578">
            <v>0</v>
          </cell>
          <cell r="E1578" t="str">
            <v>일반</v>
          </cell>
          <cell r="F1578" t="str">
            <v>입고완료</v>
          </cell>
          <cell r="G1578">
            <v>106019</v>
          </cell>
          <cell r="H1578" t="str">
            <v>샘표 진간장(15L_덕용 15Kg/EA)</v>
          </cell>
          <cell r="I1578" t="str">
            <v>EA</v>
          </cell>
          <cell r="J1578">
            <v>1</v>
          </cell>
          <cell r="K1578">
            <v>1</v>
          </cell>
          <cell r="L1578">
            <v>20300</v>
          </cell>
          <cell r="M1578">
            <v>20300</v>
          </cell>
          <cell r="N1578">
            <v>2030</v>
          </cell>
          <cell r="O1578">
            <v>22330</v>
          </cell>
          <cell r="P1578">
            <v>0</v>
          </cell>
          <cell r="Q1578" t="str">
            <v/>
          </cell>
          <cell r="R1578" t="str">
            <v>실온</v>
          </cell>
          <cell r="S1578" t="str">
            <v>EA(1)</v>
          </cell>
          <cell r="T1578" t="str">
            <v/>
          </cell>
          <cell r="U1578" t="str">
            <v/>
          </cell>
          <cell r="V1578" t="str">
            <v>2018-11-30</v>
          </cell>
          <cell r="W1578" t="str">
            <v>2018-11-30 18:17:32</v>
          </cell>
          <cell r="X1578" t="str">
            <v>178921000</v>
          </cell>
        </row>
        <row r="1579">
          <cell r="A1579">
            <v>1575</v>
          </cell>
          <cell r="B1579" t="str">
            <v>2018-12-03</v>
          </cell>
          <cell r="C1579" t="str">
            <v>키즈락</v>
          </cell>
          <cell r="D1579">
            <v>0</v>
          </cell>
          <cell r="E1579" t="str">
            <v>일반</v>
          </cell>
          <cell r="F1579" t="str">
            <v>입고완료</v>
          </cell>
          <cell r="G1579">
            <v>246968</v>
          </cell>
          <cell r="H1579" t="str">
            <v>하선정 멸치액젓(논산_알뜰형 9Kg/EA)</v>
          </cell>
          <cell r="I1579" t="str">
            <v>EA</v>
          </cell>
          <cell r="J1579">
            <v>1</v>
          </cell>
          <cell r="K1579">
            <v>1</v>
          </cell>
          <cell r="L1579">
            <v>15730</v>
          </cell>
          <cell r="M1579">
            <v>15730</v>
          </cell>
          <cell r="N1579">
            <v>1573</v>
          </cell>
          <cell r="O1579">
            <v>17303</v>
          </cell>
          <cell r="P1579">
            <v>0</v>
          </cell>
          <cell r="Q1579" t="str">
            <v/>
          </cell>
          <cell r="R1579" t="str">
            <v>실온</v>
          </cell>
          <cell r="S1579" t="str">
            <v>EA(1)</v>
          </cell>
          <cell r="T1579" t="str">
            <v/>
          </cell>
          <cell r="U1579" t="str">
            <v/>
          </cell>
          <cell r="V1579" t="str">
            <v>2018-11-30</v>
          </cell>
          <cell r="W1579" t="str">
            <v>2018-11-30 19:09:40</v>
          </cell>
          <cell r="X1579" t="str">
            <v>178921000</v>
          </cell>
        </row>
        <row r="1580">
          <cell r="A1580">
            <v>1576</v>
          </cell>
          <cell r="B1580" t="str">
            <v>2018-11-30</v>
          </cell>
          <cell r="C1580">
            <v>0</v>
          </cell>
          <cell r="D1580">
            <v>0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</row>
        <row r="1581">
          <cell r="A1581">
            <v>1577</v>
          </cell>
          <cell r="B1581" t="str">
            <v>2018-11-30</v>
          </cell>
          <cell r="C1581" t="str">
            <v>키즈락</v>
          </cell>
          <cell r="D1581">
            <v>0</v>
          </cell>
          <cell r="E1581" t="str">
            <v>일반</v>
          </cell>
          <cell r="F1581" t="str">
            <v>입고완료</v>
          </cell>
          <cell r="G1581">
            <v>231156</v>
          </cell>
          <cell r="H1581" t="str">
            <v>종가집 포기김치(중숙 10Kg/BOX)</v>
          </cell>
          <cell r="I1581" t="str">
            <v>BOX</v>
          </cell>
          <cell r="J1581">
            <v>7</v>
          </cell>
          <cell r="K1581">
            <v>7</v>
          </cell>
          <cell r="L1581">
            <v>31390</v>
          </cell>
          <cell r="M1581">
            <v>219730</v>
          </cell>
          <cell r="N1581">
            <v>0</v>
          </cell>
          <cell r="O1581">
            <v>219730</v>
          </cell>
          <cell r="P1581">
            <v>0</v>
          </cell>
          <cell r="Q1581" t="str">
            <v>한국</v>
          </cell>
          <cell r="R1581" t="str">
            <v>냉장</v>
          </cell>
          <cell r="S1581" t="str">
            <v>BOX(1)</v>
          </cell>
          <cell r="T1581" t="str">
            <v/>
          </cell>
          <cell r="U1581" t="str">
            <v/>
          </cell>
          <cell r="V1581" t="str">
            <v>2018-11-07</v>
          </cell>
          <cell r="W1581" t="str">
            <v>2018-11-07 12:57:11</v>
          </cell>
          <cell r="X1581" t="str">
            <v>178921000</v>
          </cell>
        </row>
        <row r="1582">
          <cell r="A1582">
            <v>1578</v>
          </cell>
          <cell r="B1582" t="str">
            <v>2018-11-30</v>
          </cell>
          <cell r="C1582" t="str">
            <v>키즈락</v>
          </cell>
          <cell r="D1582">
            <v>0</v>
          </cell>
          <cell r="E1582" t="str">
            <v>일반</v>
          </cell>
          <cell r="F1582" t="str">
            <v>입고완료</v>
          </cell>
          <cell r="G1582">
            <v>211037</v>
          </cell>
          <cell r="H1582" t="str">
            <v>느타리버섯(실속 균상 2Kg/EA)</v>
          </cell>
          <cell r="I1582" t="str">
            <v>BOX</v>
          </cell>
          <cell r="J1582">
            <v>3</v>
          </cell>
          <cell r="K1582">
            <v>3</v>
          </cell>
          <cell r="L1582">
            <v>7650</v>
          </cell>
          <cell r="M1582">
            <v>22950</v>
          </cell>
          <cell r="N1582">
            <v>0</v>
          </cell>
          <cell r="O1582">
            <v>22950</v>
          </cell>
          <cell r="P1582">
            <v>0</v>
          </cell>
          <cell r="Q1582" t="str">
            <v>한국</v>
          </cell>
          <cell r="R1582" t="str">
            <v>냉장</v>
          </cell>
          <cell r="S1582" t="str">
            <v>EA(1)</v>
          </cell>
          <cell r="T1582" t="str">
            <v/>
          </cell>
          <cell r="U1582" t="str">
            <v/>
          </cell>
          <cell r="V1582" t="str">
            <v>2018-11-27</v>
          </cell>
          <cell r="W1582" t="str">
            <v>2018-11-27 13:12:40</v>
          </cell>
          <cell r="X1582" t="str">
            <v>178921000</v>
          </cell>
        </row>
        <row r="1583">
          <cell r="A1583">
            <v>1579</v>
          </cell>
          <cell r="B1583" t="str">
            <v>2018-11-30</v>
          </cell>
          <cell r="C1583" t="str">
            <v>키즈락</v>
          </cell>
          <cell r="D1583">
            <v>0</v>
          </cell>
          <cell r="E1583" t="str">
            <v>일반</v>
          </cell>
          <cell r="F1583" t="str">
            <v>입고완료</v>
          </cell>
          <cell r="G1583">
            <v>411038</v>
          </cell>
          <cell r="H1583" t="str">
            <v>누리웰 깐메추리알(1Kg/EA)</v>
          </cell>
          <cell r="I1583" t="str">
            <v>EA</v>
          </cell>
          <cell r="J1583">
            <v>18</v>
          </cell>
          <cell r="K1583">
            <v>18</v>
          </cell>
          <cell r="L1583">
            <v>4960</v>
          </cell>
          <cell r="M1583">
            <v>89280</v>
          </cell>
          <cell r="N1583">
            <v>8928</v>
          </cell>
          <cell r="O1583">
            <v>98208</v>
          </cell>
          <cell r="P1583">
            <v>0</v>
          </cell>
          <cell r="Q1583" t="str">
            <v>한국</v>
          </cell>
          <cell r="R1583" t="str">
            <v>냉장</v>
          </cell>
          <cell r="S1583" t="str">
            <v>EA(10)</v>
          </cell>
          <cell r="T1583" t="str">
            <v/>
          </cell>
          <cell r="U1583" t="str">
            <v/>
          </cell>
          <cell r="V1583" t="str">
            <v>2018-11-28</v>
          </cell>
          <cell r="W1583" t="str">
            <v>2018-11-28 12:36:14</v>
          </cell>
          <cell r="X1583" t="str">
            <v>178921000</v>
          </cell>
        </row>
        <row r="1584">
          <cell r="A1584">
            <v>1580</v>
          </cell>
          <cell r="B1584" t="str">
            <v>2018-11-30</v>
          </cell>
          <cell r="C1584" t="str">
            <v>키즈락</v>
          </cell>
          <cell r="D1584">
            <v>0</v>
          </cell>
          <cell r="E1584" t="str">
            <v>일반</v>
          </cell>
          <cell r="F1584" t="str">
            <v>입고완료</v>
          </cell>
          <cell r="G1584">
            <v>221871</v>
          </cell>
          <cell r="H1584" t="str">
            <v>냉동시금치(IQF 1Kg/EA)</v>
          </cell>
          <cell r="I1584" t="str">
            <v>EA</v>
          </cell>
          <cell r="J1584">
            <v>30</v>
          </cell>
          <cell r="K1584">
            <v>30</v>
          </cell>
          <cell r="L1584">
            <v>1680</v>
          </cell>
          <cell r="M1584">
            <v>50400</v>
          </cell>
          <cell r="N1584">
            <v>5040</v>
          </cell>
          <cell r="O1584">
            <v>55440</v>
          </cell>
          <cell r="P1584">
            <v>0</v>
          </cell>
          <cell r="Q1584" t="str">
            <v>중국</v>
          </cell>
          <cell r="R1584" t="str">
            <v>냉동</v>
          </cell>
          <cell r="S1584" t="str">
            <v>EA(1)</v>
          </cell>
          <cell r="T1584" t="str">
            <v/>
          </cell>
          <cell r="U1584" t="str">
            <v/>
          </cell>
          <cell r="V1584" t="str">
            <v>2018-11-28</v>
          </cell>
          <cell r="W1584" t="str">
            <v>2018-11-28 12:39:19</v>
          </cell>
          <cell r="X1584" t="str">
            <v>178921000</v>
          </cell>
        </row>
        <row r="1585">
          <cell r="A1585">
            <v>1581</v>
          </cell>
          <cell r="B1585" t="str">
            <v>2018-11-30</v>
          </cell>
          <cell r="C1585" t="str">
            <v>키즈락</v>
          </cell>
          <cell r="D1585">
            <v>0</v>
          </cell>
          <cell r="E1585" t="str">
            <v>일반</v>
          </cell>
          <cell r="F1585" t="str">
            <v>입고완료</v>
          </cell>
          <cell r="G1585">
            <v>201296</v>
          </cell>
          <cell r="H1585" t="str">
            <v>건고사리(데친것 KG)</v>
          </cell>
          <cell r="I1585" t="str">
            <v>KG</v>
          </cell>
          <cell r="J1585">
            <v>22</v>
          </cell>
          <cell r="K1585">
            <v>22</v>
          </cell>
          <cell r="L1585">
            <v>3910</v>
          </cell>
          <cell r="M1585">
            <v>86020</v>
          </cell>
          <cell r="N1585">
            <v>0</v>
          </cell>
          <cell r="O1585">
            <v>86020</v>
          </cell>
          <cell r="P1585">
            <v>0</v>
          </cell>
          <cell r="Q1585" t="str">
            <v>중국</v>
          </cell>
          <cell r="R1585" t="str">
            <v>냉장</v>
          </cell>
          <cell r="S1585" t="str">
            <v>KG(1)</v>
          </cell>
          <cell r="T1585" t="str">
            <v/>
          </cell>
          <cell r="U1585" t="str">
            <v/>
          </cell>
          <cell r="V1585" t="str">
            <v>2018-11-28</v>
          </cell>
          <cell r="W1585" t="str">
            <v>2018-11-28 13:04:26</v>
          </cell>
          <cell r="X1585" t="str">
            <v>178921000</v>
          </cell>
        </row>
        <row r="1586">
          <cell r="A1586">
            <v>1582</v>
          </cell>
          <cell r="B1586" t="str">
            <v>2018-11-30</v>
          </cell>
          <cell r="C1586" t="str">
            <v>키즈락</v>
          </cell>
          <cell r="D1586">
            <v>0</v>
          </cell>
          <cell r="E1586" t="str">
            <v>일반</v>
          </cell>
          <cell r="F1586" t="str">
            <v>입고완료</v>
          </cell>
          <cell r="G1586">
            <v>168258</v>
          </cell>
          <cell r="H1586" t="str">
            <v>명품 판두부(부침용 3Kg/EA)</v>
          </cell>
          <cell r="I1586" t="str">
            <v>EA</v>
          </cell>
          <cell r="J1586">
            <v>9</v>
          </cell>
          <cell r="K1586">
            <v>9</v>
          </cell>
          <cell r="L1586">
            <v>4000</v>
          </cell>
          <cell r="M1586">
            <v>36000</v>
          </cell>
          <cell r="N1586">
            <v>0</v>
          </cell>
          <cell r="O1586">
            <v>36000</v>
          </cell>
          <cell r="P1586">
            <v>0</v>
          </cell>
          <cell r="Q1586" t="str">
            <v>수입산</v>
          </cell>
          <cell r="R1586" t="str">
            <v>냉장</v>
          </cell>
          <cell r="S1586" t="str">
            <v>EA(1)</v>
          </cell>
          <cell r="T1586" t="str">
            <v/>
          </cell>
          <cell r="U1586" t="str">
            <v/>
          </cell>
          <cell r="V1586" t="str">
            <v>2018-11-28</v>
          </cell>
          <cell r="W1586" t="str">
            <v>2018-11-28 13:06:42</v>
          </cell>
          <cell r="X1586" t="str">
            <v>178921000</v>
          </cell>
        </row>
        <row r="1587">
          <cell r="A1587">
            <v>1583</v>
          </cell>
          <cell r="B1587" t="str">
            <v>2018-11-30</v>
          </cell>
          <cell r="C1587" t="str">
            <v>키즈락</v>
          </cell>
          <cell r="D1587">
            <v>0</v>
          </cell>
          <cell r="E1587" t="str">
            <v>일반</v>
          </cell>
          <cell r="F1587" t="str">
            <v>입고완료</v>
          </cell>
          <cell r="G1587">
            <v>410401</v>
          </cell>
          <cell r="H1587" t="str">
            <v>체리부로 닭다리살(무항생_100±10g/덩어리_껍질있음 KG)</v>
          </cell>
          <cell r="I1587" t="str">
            <v>KG</v>
          </cell>
          <cell r="J1587">
            <v>2</v>
          </cell>
          <cell r="K1587">
            <v>2</v>
          </cell>
          <cell r="L1587">
            <v>7060</v>
          </cell>
          <cell r="M1587">
            <v>14120</v>
          </cell>
          <cell r="N1587">
            <v>0</v>
          </cell>
          <cell r="O1587">
            <v>14120</v>
          </cell>
          <cell r="P1587">
            <v>14120</v>
          </cell>
          <cell r="Q1587" t="str">
            <v>한국</v>
          </cell>
          <cell r="R1587" t="str">
            <v>냉장</v>
          </cell>
          <cell r="S1587" t="str">
            <v>KG(1)</v>
          </cell>
          <cell r="T1587" t="str">
            <v/>
          </cell>
          <cell r="U1587" t="str">
            <v/>
          </cell>
          <cell r="V1587" t="str">
            <v>2018-11-28</v>
          </cell>
          <cell r="W1587" t="str">
            <v>2018-11-28 14:02:17</v>
          </cell>
          <cell r="X1587" t="str">
            <v>178921000</v>
          </cell>
        </row>
        <row r="1588">
          <cell r="A1588">
            <v>1584</v>
          </cell>
          <cell r="B1588" t="str">
            <v>2018-11-30</v>
          </cell>
          <cell r="C1588" t="str">
            <v>키즈락</v>
          </cell>
          <cell r="D1588">
            <v>0</v>
          </cell>
          <cell r="E1588" t="str">
            <v>일반</v>
          </cell>
          <cell r="F1588" t="str">
            <v>입고완료</v>
          </cell>
          <cell r="G1588">
            <v>219387</v>
          </cell>
          <cell r="H1588" t="str">
            <v>냉동배추우거지(1Kg/EA)</v>
          </cell>
          <cell r="I1588" t="str">
            <v>EA</v>
          </cell>
          <cell r="J1588">
            <v>15</v>
          </cell>
          <cell r="K1588">
            <v>15</v>
          </cell>
          <cell r="L1588">
            <v>1430</v>
          </cell>
          <cell r="M1588">
            <v>21450</v>
          </cell>
          <cell r="N1588">
            <v>2145</v>
          </cell>
          <cell r="O1588">
            <v>23595</v>
          </cell>
          <cell r="P1588">
            <v>0</v>
          </cell>
          <cell r="Q1588" t="str">
            <v>중국</v>
          </cell>
          <cell r="R1588" t="str">
            <v>냉동</v>
          </cell>
          <cell r="S1588" t="str">
            <v>EA(1)</v>
          </cell>
          <cell r="T1588" t="str">
            <v/>
          </cell>
          <cell r="U1588" t="str">
            <v/>
          </cell>
          <cell r="V1588" t="str">
            <v>2018-11-28</v>
          </cell>
          <cell r="W1588" t="str">
            <v>2018-11-28 14:22:38</v>
          </cell>
          <cell r="X1588" t="str">
            <v>178921000</v>
          </cell>
        </row>
        <row r="1589">
          <cell r="A1589">
            <v>1585</v>
          </cell>
          <cell r="B1589" t="str">
            <v>2018-11-30</v>
          </cell>
          <cell r="C1589" t="str">
            <v>키즈락</v>
          </cell>
          <cell r="D1589">
            <v>0</v>
          </cell>
          <cell r="E1589" t="str">
            <v>일반</v>
          </cell>
          <cell r="F1589" t="str">
            <v>입고완료</v>
          </cell>
          <cell r="G1589">
            <v>204964</v>
          </cell>
          <cell r="H1589" t="str">
            <v>냉동표고버섯(슬라이스 1Kg/PAC)</v>
          </cell>
          <cell r="I1589" t="str">
            <v>PAC</v>
          </cell>
          <cell r="J1589">
            <v>10</v>
          </cell>
          <cell r="K1589">
            <v>10</v>
          </cell>
          <cell r="L1589">
            <v>2730</v>
          </cell>
          <cell r="M1589">
            <v>27300</v>
          </cell>
          <cell r="N1589">
            <v>0</v>
          </cell>
          <cell r="O1589">
            <v>27300</v>
          </cell>
          <cell r="P1589">
            <v>0</v>
          </cell>
          <cell r="Q1589" t="str">
            <v>중국</v>
          </cell>
          <cell r="R1589" t="str">
            <v>냉동</v>
          </cell>
          <cell r="S1589" t="str">
            <v>PAC(1)</v>
          </cell>
          <cell r="T1589" t="str">
            <v/>
          </cell>
          <cell r="U1589" t="str">
            <v/>
          </cell>
          <cell r="V1589" t="str">
            <v>2018-11-28</v>
          </cell>
          <cell r="W1589" t="str">
            <v>2018-11-28 14:23:52</v>
          </cell>
          <cell r="X1589" t="str">
            <v>178921000</v>
          </cell>
        </row>
        <row r="1590">
          <cell r="A1590">
            <v>1586</v>
          </cell>
          <cell r="B1590" t="str">
            <v>2018-11-30</v>
          </cell>
          <cell r="C1590" t="str">
            <v>키즈락</v>
          </cell>
          <cell r="D1590">
            <v>0</v>
          </cell>
          <cell r="E1590" t="str">
            <v>일반</v>
          </cell>
          <cell r="F1590" t="str">
            <v>입고완료</v>
          </cell>
          <cell r="G1590">
            <v>226247</v>
          </cell>
          <cell r="H1590" t="str">
            <v>냉동표고버섯(1.5*1.5cm다이스 1Kg/EA)</v>
          </cell>
          <cell r="I1590" t="str">
            <v>EA</v>
          </cell>
          <cell r="J1590">
            <v>10</v>
          </cell>
          <cell r="K1590">
            <v>10</v>
          </cell>
          <cell r="L1590">
            <v>2720</v>
          </cell>
          <cell r="M1590">
            <v>27200</v>
          </cell>
          <cell r="N1590">
            <v>0</v>
          </cell>
          <cell r="O1590">
            <v>27200</v>
          </cell>
          <cell r="P1590">
            <v>0</v>
          </cell>
          <cell r="Q1590" t="str">
            <v>중국</v>
          </cell>
          <cell r="R1590" t="str">
            <v>냉동</v>
          </cell>
          <cell r="S1590" t="str">
            <v>EA(1)</v>
          </cell>
          <cell r="T1590" t="str">
            <v/>
          </cell>
          <cell r="U1590" t="str">
            <v/>
          </cell>
          <cell r="V1590" t="str">
            <v>2018-11-28</v>
          </cell>
          <cell r="W1590" t="str">
            <v>2018-11-28 14:23:52</v>
          </cell>
          <cell r="X1590" t="str">
            <v>178921000</v>
          </cell>
        </row>
        <row r="1591">
          <cell r="A1591">
            <v>1587</v>
          </cell>
          <cell r="B1591" t="str">
            <v>2018-11-30</v>
          </cell>
          <cell r="C1591" t="str">
            <v>키즈락</v>
          </cell>
          <cell r="D1591">
            <v>0</v>
          </cell>
          <cell r="E1591" t="str">
            <v>일반</v>
          </cell>
          <cell r="F1591" t="str">
            <v>입고완료</v>
          </cell>
          <cell r="G1591">
            <v>214113</v>
          </cell>
          <cell r="H1591" t="str">
            <v>아이누리 팽이버섯(1Kg/EA)</v>
          </cell>
          <cell r="I1591" t="str">
            <v>EA</v>
          </cell>
          <cell r="J1591">
            <v>1</v>
          </cell>
          <cell r="K1591">
            <v>1</v>
          </cell>
          <cell r="L1591">
            <v>3970</v>
          </cell>
          <cell r="M1591">
            <v>3970</v>
          </cell>
          <cell r="N1591">
            <v>0</v>
          </cell>
          <cell r="O1591">
            <v>3970</v>
          </cell>
          <cell r="P1591">
            <v>0</v>
          </cell>
          <cell r="Q1591" t="str">
            <v>한국</v>
          </cell>
          <cell r="R1591" t="str">
            <v>냉장</v>
          </cell>
          <cell r="S1591" t="str">
            <v>EA(1)</v>
          </cell>
          <cell r="T1591" t="str">
            <v/>
          </cell>
          <cell r="U1591" t="str">
            <v/>
          </cell>
          <cell r="V1591" t="str">
            <v>2018-11-28</v>
          </cell>
          <cell r="W1591" t="str">
            <v>2018-11-28 14:26:46</v>
          </cell>
          <cell r="X1591" t="str">
            <v>178921000</v>
          </cell>
        </row>
        <row r="1592">
          <cell r="A1592">
            <v>1588</v>
          </cell>
          <cell r="B1592" t="str">
            <v>2018-11-30</v>
          </cell>
          <cell r="C1592" t="str">
            <v>키즈락</v>
          </cell>
          <cell r="D1592">
            <v>0</v>
          </cell>
          <cell r="E1592" t="str">
            <v>일반</v>
          </cell>
          <cell r="F1592" t="str">
            <v>입고완료</v>
          </cell>
          <cell r="G1592">
            <v>411813</v>
          </cell>
          <cell r="H1592" t="str">
            <v>돈목전지(3*2*0.3cm 찌개용 KG)</v>
          </cell>
          <cell r="I1592" t="str">
            <v>KG</v>
          </cell>
          <cell r="J1592">
            <v>1</v>
          </cell>
          <cell r="K1592">
            <v>1</v>
          </cell>
          <cell r="L1592">
            <v>5290</v>
          </cell>
          <cell r="M1592">
            <v>5290</v>
          </cell>
          <cell r="N1592">
            <v>0</v>
          </cell>
          <cell r="O1592">
            <v>5290</v>
          </cell>
          <cell r="P1592">
            <v>0</v>
          </cell>
          <cell r="Q1592" t="str">
            <v>미국</v>
          </cell>
          <cell r="R1592" t="str">
            <v>냉동</v>
          </cell>
          <cell r="S1592" t="str">
            <v>KG(1)</v>
          </cell>
          <cell r="T1592" t="str">
            <v>NAM3119179</v>
          </cell>
          <cell r="U1592" t="str">
            <v/>
          </cell>
          <cell r="V1592" t="str">
            <v>2018-11-29</v>
          </cell>
          <cell r="W1592" t="str">
            <v>2018-11-29 13:47:02</v>
          </cell>
          <cell r="X1592" t="str">
            <v>178921000</v>
          </cell>
        </row>
        <row r="1593">
          <cell r="A1593">
            <v>1589</v>
          </cell>
          <cell r="B1593" t="str">
            <v>2018-11-30</v>
          </cell>
          <cell r="C1593" t="str">
            <v>키즈락</v>
          </cell>
          <cell r="D1593">
            <v>0</v>
          </cell>
          <cell r="E1593" t="str">
            <v>일반</v>
          </cell>
          <cell r="F1593" t="str">
            <v>입고완료</v>
          </cell>
          <cell r="G1593">
            <v>133911</v>
          </cell>
          <cell r="H1593" t="str">
            <v>세미원푸드 피쉬볼샌드위치(15±1g/개 500g/EA)</v>
          </cell>
          <cell r="I1593" t="str">
            <v>EA</v>
          </cell>
          <cell r="J1593">
            <v>22</v>
          </cell>
          <cell r="K1593">
            <v>22</v>
          </cell>
          <cell r="L1593">
            <v>5590</v>
          </cell>
          <cell r="M1593">
            <v>122980</v>
          </cell>
          <cell r="N1593">
            <v>12298</v>
          </cell>
          <cell r="O1593">
            <v>135278</v>
          </cell>
          <cell r="P1593">
            <v>0</v>
          </cell>
          <cell r="Q1593" t="str">
            <v/>
          </cell>
          <cell r="R1593" t="str">
            <v>냉동</v>
          </cell>
          <cell r="S1593" t="str">
            <v>EA(12)</v>
          </cell>
          <cell r="T1593" t="str">
            <v/>
          </cell>
          <cell r="U1593" t="str">
            <v/>
          </cell>
          <cell r="V1593" t="str">
            <v>2018-11-29</v>
          </cell>
          <cell r="W1593" t="str">
            <v>2018-11-29 13:52:34</v>
          </cell>
          <cell r="X1593" t="str">
            <v>178921000</v>
          </cell>
        </row>
        <row r="1594">
          <cell r="A1594">
            <v>1590</v>
          </cell>
          <cell r="B1594" t="str">
            <v>2018-11-30</v>
          </cell>
          <cell r="C1594" t="str">
            <v>키즈락</v>
          </cell>
          <cell r="D1594">
            <v>0</v>
          </cell>
          <cell r="E1594" t="str">
            <v>일반</v>
          </cell>
          <cell r="F1594" t="str">
            <v>입고완료</v>
          </cell>
          <cell r="G1594">
            <v>211696</v>
          </cell>
          <cell r="H1594" t="str">
            <v>건시래기(데친것 KG)</v>
          </cell>
          <cell r="I1594" t="str">
            <v>KG</v>
          </cell>
          <cell r="J1594">
            <v>1</v>
          </cell>
          <cell r="K1594">
            <v>1</v>
          </cell>
          <cell r="L1594">
            <v>2740</v>
          </cell>
          <cell r="M1594">
            <v>2740</v>
          </cell>
          <cell r="N1594">
            <v>0</v>
          </cell>
          <cell r="O1594">
            <v>2740</v>
          </cell>
          <cell r="P1594">
            <v>0</v>
          </cell>
          <cell r="Q1594" t="str">
            <v>한국</v>
          </cell>
          <cell r="R1594" t="str">
            <v>냉장</v>
          </cell>
          <cell r="S1594" t="str">
            <v>KG(1)</v>
          </cell>
          <cell r="T1594" t="str">
            <v/>
          </cell>
          <cell r="U1594" t="str">
            <v/>
          </cell>
          <cell r="V1594" t="str">
            <v>2018-11-29</v>
          </cell>
          <cell r="W1594" t="str">
            <v>2018-11-29 13:55:04</v>
          </cell>
          <cell r="X1594" t="str">
            <v>178921000</v>
          </cell>
        </row>
        <row r="1595">
          <cell r="A1595">
            <v>1591</v>
          </cell>
          <cell r="B1595" t="str">
            <v>2018-11-30</v>
          </cell>
          <cell r="C1595" t="str">
            <v>키즈락</v>
          </cell>
          <cell r="D1595">
            <v>0</v>
          </cell>
          <cell r="E1595" t="str">
            <v>일반</v>
          </cell>
          <cell r="F1595" t="str">
            <v>입고완료</v>
          </cell>
          <cell r="G1595">
            <v>206631</v>
          </cell>
          <cell r="H1595" t="str">
            <v>냉동아욱(상품 1Kg/PAC)</v>
          </cell>
          <cell r="I1595" t="str">
            <v>PAC</v>
          </cell>
          <cell r="J1595">
            <v>20</v>
          </cell>
          <cell r="K1595">
            <v>20</v>
          </cell>
          <cell r="L1595">
            <v>2450</v>
          </cell>
          <cell r="M1595">
            <v>49000</v>
          </cell>
          <cell r="N1595">
            <v>4900</v>
          </cell>
          <cell r="O1595">
            <v>53900</v>
          </cell>
          <cell r="P1595">
            <v>0</v>
          </cell>
          <cell r="Q1595" t="str">
            <v>중국</v>
          </cell>
          <cell r="R1595" t="str">
            <v>냉동</v>
          </cell>
          <cell r="S1595" t="str">
            <v>PAC(1)</v>
          </cell>
          <cell r="T1595" t="str">
            <v/>
          </cell>
          <cell r="U1595" t="str">
            <v/>
          </cell>
          <cell r="V1595" t="str">
            <v>2018-11-29</v>
          </cell>
          <cell r="W1595" t="str">
            <v>2018-11-29 14:40:17</v>
          </cell>
          <cell r="X1595" t="str">
            <v>178921000</v>
          </cell>
        </row>
        <row r="1596">
          <cell r="A1596">
            <v>1592</v>
          </cell>
          <cell r="B1596" t="str">
            <v>2018-11-29</v>
          </cell>
          <cell r="C1596">
            <v>0</v>
          </cell>
          <cell r="D1596">
            <v>0</v>
          </cell>
          <cell r="E1596">
            <v>0</v>
          </cell>
          <cell r="F1596">
            <v>0</v>
          </cell>
          <cell r="G1596">
            <v>0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>
            <v>0</v>
          </cell>
          <cell r="V1596">
            <v>0</v>
          </cell>
          <cell r="W1596">
            <v>0</v>
          </cell>
          <cell r="X1596">
            <v>0</v>
          </cell>
        </row>
        <row r="1597">
          <cell r="A1597">
            <v>1593</v>
          </cell>
          <cell r="B1597" t="str">
            <v>2018-11-29</v>
          </cell>
          <cell r="C1597" t="str">
            <v>키즈락</v>
          </cell>
          <cell r="D1597">
            <v>0</v>
          </cell>
          <cell r="E1597" t="str">
            <v>일반</v>
          </cell>
          <cell r="F1597" t="str">
            <v>입고완료</v>
          </cell>
          <cell r="G1597">
            <v>160072</v>
          </cell>
          <cell r="H1597" t="str">
            <v>하림 멘치까스(80g*10입 800g/EA)</v>
          </cell>
          <cell r="I1597" t="str">
            <v>EA</v>
          </cell>
          <cell r="J1597">
            <v>60</v>
          </cell>
          <cell r="K1597">
            <v>60</v>
          </cell>
          <cell r="L1597">
            <v>5340</v>
          </cell>
          <cell r="M1597">
            <v>320400</v>
          </cell>
          <cell r="N1597">
            <v>32040</v>
          </cell>
          <cell r="O1597">
            <v>352440</v>
          </cell>
          <cell r="P1597">
            <v>0</v>
          </cell>
          <cell r="Q1597" t="str">
            <v/>
          </cell>
          <cell r="R1597" t="str">
            <v>냉동</v>
          </cell>
          <cell r="S1597" t="str">
            <v>EA(10)</v>
          </cell>
          <cell r="T1597" t="str">
            <v/>
          </cell>
          <cell r="U1597" t="str">
            <v/>
          </cell>
          <cell r="V1597" t="str">
            <v>2018-11-27</v>
          </cell>
          <cell r="W1597" t="str">
            <v>2018-11-27 12:25:27</v>
          </cell>
          <cell r="X1597" t="str">
            <v>178921000</v>
          </cell>
        </row>
        <row r="1598">
          <cell r="A1598">
            <v>1594</v>
          </cell>
          <cell r="B1598" t="str">
            <v>2018-11-29</v>
          </cell>
          <cell r="C1598" t="str">
            <v>키즈락</v>
          </cell>
          <cell r="D1598">
            <v>0</v>
          </cell>
          <cell r="E1598" t="str">
            <v>일반</v>
          </cell>
          <cell r="F1598" t="str">
            <v>입고완료</v>
          </cell>
          <cell r="G1598">
            <v>145806</v>
          </cell>
          <cell r="H1598" t="str">
            <v>진주햄 더블햄(슬라이스_26장 500g/EA)</v>
          </cell>
          <cell r="I1598" t="str">
            <v>EA</v>
          </cell>
          <cell r="J1598">
            <v>18</v>
          </cell>
          <cell r="K1598">
            <v>18</v>
          </cell>
          <cell r="L1598">
            <v>3560</v>
          </cell>
          <cell r="M1598">
            <v>64080</v>
          </cell>
          <cell r="N1598">
            <v>6408</v>
          </cell>
          <cell r="O1598">
            <v>70488</v>
          </cell>
          <cell r="P1598">
            <v>0</v>
          </cell>
          <cell r="Q1598" t="str">
            <v/>
          </cell>
          <cell r="R1598" t="str">
            <v>냉장</v>
          </cell>
          <cell r="S1598" t="str">
            <v>EA(20)</v>
          </cell>
          <cell r="T1598" t="str">
            <v/>
          </cell>
          <cell r="U1598" t="str">
            <v/>
          </cell>
          <cell r="V1598" t="str">
            <v>2018-11-28</v>
          </cell>
          <cell r="W1598" t="str">
            <v>2018-11-28 12:19:15</v>
          </cell>
          <cell r="X1598" t="str">
            <v>178921000</v>
          </cell>
        </row>
        <row r="1599">
          <cell r="A1599">
            <v>1595</v>
          </cell>
          <cell r="B1599" t="str">
            <v>2018-11-29</v>
          </cell>
          <cell r="C1599" t="str">
            <v>키즈락</v>
          </cell>
          <cell r="D1599">
            <v>0</v>
          </cell>
          <cell r="E1599" t="str">
            <v>일반</v>
          </cell>
          <cell r="F1599" t="str">
            <v>입고완료</v>
          </cell>
          <cell r="G1599">
            <v>420010</v>
          </cell>
          <cell r="H1599" t="str">
            <v>알로팜 계란(왕란_무항생제_68g*30입 2.04Kg/EA)</v>
          </cell>
          <cell r="I1599" t="str">
            <v>EA</v>
          </cell>
          <cell r="J1599">
            <v>10</v>
          </cell>
          <cell r="K1599">
            <v>10</v>
          </cell>
          <cell r="L1599">
            <v>4860</v>
          </cell>
          <cell r="M1599">
            <v>48600</v>
          </cell>
          <cell r="N1599">
            <v>0</v>
          </cell>
          <cell r="O1599">
            <v>48600</v>
          </cell>
          <cell r="P1599">
            <v>48600</v>
          </cell>
          <cell r="Q1599" t="str">
            <v>한국</v>
          </cell>
          <cell r="R1599" t="str">
            <v>냉장</v>
          </cell>
          <cell r="S1599" t="str">
            <v>EA(1)</v>
          </cell>
          <cell r="T1599" t="str">
            <v/>
          </cell>
          <cell r="U1599" t="str">
            <v/>
          </cell>
          <cell r="V1599" t="str">
            <v>2018-11-28</v>
          </cell>
          <cell r="W1599" t="str">
            <v>2018-11-28 12:28:43</v>
          </cell>
          <cell r="X1599" t="str">
            <v>178921000</v>
          </cell>
        </row>
        <row r="1600">
          <cell r="A1600">
            <v>1596</v>
          </cell>
          <cell r="B1600" t="str">
            <v>2018-11-29</v>
          </cell>
          <cell r="C1600" t="str">
            <v>키즈락</v>
          </cell>
          <cell r="D1600">
            <v>0</v>
          </cell>
          <cell r="E1600" t="str">
            <v>일반</v>
          </cell>
          <cell r="F1600" t="str">
            <v>입고완료</v>
          </cell>
          <cell r="G1600">
            <v>154930</v>
          </cell>
          <cell r="H1600" t="str">
            <v>사조대림 곤약(LOW칼로리생활 2Kg/EA)</v>
          </cell>
          <cell r="I1600" t="str">
            <v>EA</v>
          </cell>
          <cell r="J1600">
            <v>1</v>
          </cell>
          <cell r="K1600">
            <v>1</v>
          </cell>
          <cell r="L1600">
            <v>3920</v>
          </cell>
          <cell r="M1600">
            <v>3920</v>
          </cell>
          <cell r="N1600">
            <v>392</v>
          </cell>
          <cell r="O1600">
            <v>4312</v>
          </cell>
          <cell r="P1600">
            <v>0</v>
          </cell>
          <cell r="Q1600" t="str">
            <v/>
          </cell>
          <cell r="R1600" t="str">
            <v>실온</v>
          </cell>
          <cell r="S1600" t="str">
            <v>EA(6)</v>
          </cell>
          <cell r="T1600" t="str">
            <v/>
          </cell>
          <cell r="U1600" t="str">
            <v/>
          </cell>
          <cell r="V1600" t="str">
            <v>2018-11-28</v>
          </cell>
          <cell r="W1600" t="str">
            <v>2018-11-28 12:37:29</v>
          </cell>
          <cell r="X1600" t="str">
            <v>178921000</v>
          </cell>
        </row>
        <row r="1601">
          <cell r="A1601">
            <v>1597</v>
          </cell>
          <cell r="B1601" t="str">
            <v>2018-11-29</v>
          </cell>
          <cell r="C1601" t="str">
            <v>키즈락</v>
          </cell>
          <cell r="D1601">
            <v>0</v>
          </cell>
          <cell r="E1601" t="str">
            <v>일반</v>
          </cell>
          <cell r="F1601" t="str">
            <v>입고완료</v>
          </cell>
          <cell r="G1601">
            <v>145349</v>
          </cell>
          <cell r="H1601" t="str">
            <v>이츠웰 사골엑기스(1Kg/EA)</v>
          </cell>
          <cell r="I1601" t="str">
            <v>EA</v>
          </cell>
          <cell r="J1601">
            <v>2</v>
          </cell>
          <cell r="K1601">
            <v>2</v>
          </cell>
          <cell r="L1601">
            <v>6080</v>
          </cell>
          <cell r="M1601">
            <v>12160</v>
          </cell>
          <cell r="N1601">
            <v>1216</v>
          </cell>
          <cell r="O1601">
            <v>13376</v>
          </cell>
          <cell r="P1601">
            <v>0</v>
          </cell>
          <cell r="Q1601" t="str">
            <v>호주</v>
          </cell>
          <cell r="R1601" t="str">
            <v>실온</v>
          </cell>
          <cell r="S1601" t="str">
            <v>EA(10)</v>
          </cell>
          <cell r="T1601" t="str">
            <v/>
          </cell>
          <cell r="U1601" t="str">
            <v/>
          </cell>
          <cell r="V1601" t="str">
            <v>2018-11-28</v>
          </cell>
          <cell r="W1601" t="str">
            <v>2018-11-28 13:02:51</v>
          </cell>
          <cell r="X1601" t="str">
            <v>178921000</v>
          </cell>
        </row>
        <row r="1602">
          <cell r="A1602">
            <v>1598</v>
          </cell>
          <cell r="B1602" t="str">
            <v>2018-11-29</v>
          </cell>
          <cell r="C1602" t="str">
            <v>키즈락</v>
          </cell>
          <cell r="D1602">
            <v>0</v>
          </cell>
          <cell r="E1602" t="str">
            <v>일반</v>
          </cell>
          <cell r="F1602" t="str">
            <v>입고완료</v>
          </cell>
          <cell r="G1602">
            <v>407001</v>
          </cell>
          <cell r="H1602" t="str">
            <v>한우잡뼈(3cm두께_절단 탕용 KG)</v>
          </cell>
          <cell r="I1602" t="str">
            <v>KG</v>
          </cell>
          <cell r="J1602">
            <v>20</v>
          </cell>
          <cell r="K1602">
            <v>20</v>
          </cell>
          <cell r="L1602">
            <v>5140</v>
          </cell>
          <cell r="M1602">
            <v>102800</v>
          </cell>
          <cell r="N1602">
            <v>0</v>
          </cell>
          <cell r="O1602">
            <v>102800</v>
          </cell>
          <cell r="P1602">
            <v>0</v>
          </cell>
          <cell r="Q1602" t="str">
            <v>한국</v>
          </cell>
          <cell r="R1602" t="str">
            <v>냉동</v>
          </cell>
          <cell r="S1602" t="str">
            <v>KG(1)</v>
          </cell>
          <cell r="T1602" t="str">
            <v>L01808105845010</v>
          </cell>
          <cell r="U1602" t="str">
            <v/>
          </cell>
          <cell r="V1602" t="str">
            <v>2018-11-28</v>
          </cell>
          <cell r="W1602" t="str">
            <v>2018-11-28 13:03:24</v>
          </cell>
          <cell r="X1602" t="str">
            <v>178921000</v>
          </cell>
        </row>
        <row r="1603">
          <cell r="A1603">
            <v>1599</v>
          </cell>
          <cell r="B1603" t="str">
            <v>2018-11-29</v>
          </cell>
          <cell r="C1603" t="str">
            <v>키즈락</v>
          </cell>
          <cell r="D1603">
            <v>0</v>
          </cell>
          <cell r="E1603" t="str">
            <v>일반</v>
          </cell>
          <cell r="F1603" t="str">
            <v>입고완료</v>
          </cell>
          <cell r="G1603">
            <v>134238</v>
          </cell>
          <cell r="H1603" t="str">
            <v>사옹원 궁중녹두전(900g/EA)</v>
          </cell>
          <cell r="I1603" t="str">
            <v>EA</v>
          </cell>
          <cell r="J1603">
            <v>5</v>
          </cell>
          <cell r="K1603">
            <v>5</v>
          </cell>
          <cell r="L1603">
            <v>8320</v>
          </cell>
          <cell r="M1603">
            <v>41600</v>
          </cell>
          <cell r="N1603">
            <v>4160</v>
          </cell>
          <cell r="O1603">
            <v>45760</v>
          </cell>
          <cell r="P1603">
            <v>0</v>
          </cell>
          <cell r="Q1603" t="str">
            <v/>
          </cell>
          <cell r="R1603" t="str">
            <v>냉동</v>
          </cell>
          <cell r="S1603" t="str">
            <v>EA(12)</v>
          </cell>
          <cell r="T1603" t="str">
            <v/>
          </cell>
          <cell r="U1603" t="str">
            <v/>
          </cell>
          <cell r="V1603" t="str">
            <v>2018-11-28</v>
          </cell>
          <cell r="W1603" t="str">
            <v>2018-11-28 14:03:03</v>
          </cell>
          <cell r="X1603" t="str">
            <v>178921000</v>
          </cell>
        </row>
        <row r="1604">
          <cell r="A1604">
            <v>1600</v>
          </cell>
          <cell r="B1604" t="str">
            <v>2018-11-29</v>
          </cell>
          <cell r="C1604" t="str">
            <v>키즈락</v>
          </cell>
          <cell r="D1604">
            <v>0</v>
          </cell>
          <cell r="E1604" t="str">
            <v>일반</v>
          </cell>
          <cell r="F1604" t="str">
            <v>입고완료</v>
          </cell>
          <cell r="G1604">
            <v>204623</v>
          </cell>
          <cell r="H1604" t="str">
            <v>애호박(특품 인큐베이터 KG)</v>
          </cell>
          <cell r="I1604" t="str">
            <v>KG</v>
          </cell>
          <cell r="J1604">
            <v>3</v>
          </cell>
          <cell r="K1604">
            <v>3</v>
          </cell>
          <cell r="L1604">
            <v>4320</v>
          </cell>
          <cell r="M1604">
            <v>12960</v>
          </cell>
          <cell r="N1604">
            <v>0</v>
          </cell>
          <cell r="O1604">
            <v>12960</v>
          </cell>
          <cell r="P1604">
            <v>0</v>
          </cell>
          <cell r="Q1604" t="str">
            <v>한국</v>
          </cell>
          <cell r="R1604" t="str">
            <v>냉장</v>
          </cell>
          <cell r="S1604" t="str">
            <v>KG(1)</v>
          </cell>
          <cell r="T1604" t="str">
            <v/>
          </cell>
          <cell r="U1604" t="str">
            <v/>
          </cell>
          <cell r="V1604" t="str">
            <v>2018-11-28</v>
          </cell>
          <cell r="W1604" t="str">
            <v>2018-11-28 14:04:06</v>
          </cell>
          <cell r="X1604" t="str">
            <v>178921000</v>
          </cell>
        </row>
        <row r="1605">
          <cell r="A1605">
            <v>1601</v>
          </cell>
          <cell r="B1605" t="str">
            <v>2018-11-29</v>
          </cell>
          <cell r="C1605" t="str">
            <v>키즈락</v>
          </cell>
          <cell r="D1605">
            <v>0</v>
          </cell>
          <cell r="E1605" t="str">
            <v>일반</v>
          </cell>
          <cell r="F1605" t="str">
            <v>입고완료</v>
          </cell>
          <cell r="G1605">
            <v>168257</v>
          </cell>
          <cell r="H1605" t="str">
            <v>명품 판두부(찌개용 3Kg/EA)</v>
          </cell>
          <cell r="I1605" t="str">
            <v>EA</v>
          </cell>
          <cell r="J1605">
            <v>2</v>
          </cell>
          <cell r="K1605">
            <v>2</v>
          </cell>
          <cell r="L1605">
            <v>4000</v>
          </cell>
          <cell r="M1605">
            <v>8000</v>
          </cell>
          <cell r="N1605">
            <v>0</v>
          </cell>
          <cell r="O1605">
            <v>8000</v>
          </cell>
          <cell r="P1605">
            <v>0</v>
          </cell>
          <cell r="Q1605" t="str">
            <v>수입산</v>
          </cell>
          <cell r="R1605" t="str">
            <v>냉장</v>
          </cell>
          <cell r="S1605" t="str">
            <v>EA(1)</v>
          </cell>
          <cell r="T1605" t="str">
            <v/>
          </cell>
          <cell r="U1605" t="str">
            <v/>
          </cell>
          <cell r="V1605" t="str">
            <v>2018-11-28</v>
          </cell>
          <cell r="W1605" t="str">
            <v>2018-11-28 14:05:40</v>
          </cell>
          <cell r="X1605" t="str">
            <v>178921000</v>
          </cell>
        </row>
        <row r="1606">
          <cell r="A1606">
            <v>1602</v>
          </cell>
          <cell r="B1606" t="str">
            <v>2018-11-29</v>
          </cell>
          <cell r="C1606" t="str">
            <v>키즈락</v>
          </cell>
          <cell r="D1606">
            <v>0</v>
          </cell>
          <cell r="E1606" t="str">
            <v>일반</v>
          </cell>
          <cell r="F1606" t="str">
            <v>입고완료</v>
          </cell>
          <cell r="G1606">
            <v>198579</v>
          </cell>
          <cell r="H1606" t="str">
            <v>PRIDE 통새우(바나메이_41~50미 500g/EA)</v>
          </cell>
          <cell r="I1606" t="str">
            <v>EA</v>
          </cell>
          <cell r="J1606">
            <v>1</v>
          </cell>
          <cell r="K1606">
            <v>1</v>
          </cell>
          <cell r="L1606">
            <v>5670</v>
          </cell>
          <cell r="M1606">
            <v>5670</v>
          </cell>
          <cell r="N1606">
            <v>0</v>
          </cell>
          <cell r="O1606">
            <v>5670</v>
          </cell>
          <cell r="P1606">
            <v>0</v>
          </cell>
          <cell r="Q1606" t="str">
            <v>태국</v>
          </cell>
          <cell r="R1606" t="str">
            <v>냉동</v>
          </cell>
          <cell r="S1606" t="str">
            <v>EA(10)</v>
          </cell>
          <cell r="T1606" t="str">
            <v/>
          </cell>
          <cell r="U1606" t="str">
            <v/>
          </cell>
          <cell r="V1606" t="str">
            <v>2018-11-28</v>
          </cell>
          <cell r="W1606" t="str">
            <v>2018-11-28 14:06:02</v>
          </cell>
          <cell r="X1606" t="str">
            <v>178921000</v>
          </cell>
        </row>
        <row r="1607">
          <cell r="A1607">
            <v>1603</v>
          </cell>
          <cell r="B1607" t="str">
            <v>2018-11-29</v>
          </cell>
          <cell r="C1607" t="str">
            <v>키즈락</v>
          </cell>
          <cell r="D1607">
            <v>0</v>
          </cell>
          <cell r="E1607" t="str">
            <v>일반</v>
          </cell>
          <cell r="F1607" t="str">
            <v>입고완료</v>
          </cell>
          <cell r="G1607">
            <v>215857</v>
          </cell>
          <cell r="H1607" t="str">
            <v>냉동다진마늘(1Kg/EA)</v>
          </cell>
          <cell r="I1607" t="str">
            <v>EA</v>
          </cell>
          <cell r="J1607">
            <v>20</v>
          </cell>
          <cell r="K1607">
            <v>20</v>
          </cell>
          <cell r="L1607">
            <v>2730</v>
          </cell>
          <cell r="M1607">
            <v>54600</v>
          </cell>
          <cell r="N1607">
            <v>0</v>
          </cell>
          <cell r="O1607">
            <v>54600</v>
          </cell>
          <cell r="P1607">
            <v>0</v>
          </cell>
          <cell r="Q1607" t="str">
            <v>중국</v>
          </cell>
          <cell r="R1607" t="str">
            <v>냉동</v>
          </cell>
          <cell r="S1607" t="str">
            <v>EA(10)</v>
          </cell>
          <cell r="T1607" t="str">
            <v/>
          </cell>
          <cell r="U1607" t="str">
            <v/>
          </cell>
          <cell r="V1607" t="str">
            <v>2018-11-28</v>
          </cell>
          <cell r="W1607" t="str">
            <v>2018-11-28 14:40:17</v>
          </cell>
          <cell r="X1607" t="str">
            <v>178921000</v>
          </cell>
        </row>
        <row r="1608">
          <cell r="A1608">
            <v>1604</v>
          </cell>
          <cell r="B1608" t="str">
            <v>2018-11-28</v>
          </cell>
          <cell r="C1608">
            <v>0</v>
          </cell>
          <cell r="D1608">
            <v>0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</row>
        <row r="1609">
          <cell r="A1609">
            <v>1605</v>
          </cell>
          <cell r="B1609" t="str">
            <v>2018-11-28</v>
          </cell>
          <cell r="C1609" t="str">
            <v>키즈락</v>
          </cell>
          <cell r="D1609">
            <v>0</v>
          </cell>
          <cell r="E1609" t="str">
            <v>일반</v>
          </cell>
          <cell r="F1609" t="str">
            <v>입고완료</v>
          </cell>
          <cell r="G1609">
            <v>237791</v>
          </cell>
          <cell r="H1609" t="str">
            <v>종로복떡방 백설기(찜용 1Kg/EA)</v>
          </cell>
          <cell r="I1609" t="str">
            <v>EA</v>
          </cell>
          <cell r="J1609">
            <v>14</v>
          </cell>
          <cell r="K1609">
            <v>14</v>
          </cell>
          <cell r="L1609">
            <v>8130</v>
          </cell>
          <cell r="M1609">
            <v>113820</v>
          </cell>
          <cell r="N1609">
            <v>11382</v>
          </cell>
          <cell r="O1609">
            <v>125202</v>
          </cell>
          <cell r="P1609">
            <v>0</v>
          </cell>
          <cell r="Q1609" t="str">
            <v/>
          </cell>
          <cell r="R1609" t="str">
            <v>냉동</v>
          </cell>
          <cell r="S1609" t="str">
            <v>EA(1)</v>
          </cell>
          <cell r="T1609" t="str">
            <v/>
          </cell>
          <cell r="U1609" t="str">
            <v/>
          </cell>
          <cell r="V1609" t="str">
            <v>2018-11-06</v>
          </cell>
          <cell r="W1609" t="str">
            <v>2018-11-06 14:58:49</v>
          </cell>
          <cell r="X1609" t="str">
            <v>178921000</v>
          </cell>
        </row>
        <row r="1610">
          <cell r="A1610">
            <v>1606</v>
          </cell>
          <cell r="B1610" t="str">
            <v>2018-11-28</v>
          </cell>
          <cell r="C1610" t="str">
            <v>키즈락</v>
          </cell>
          <cell r="D1610">
            <v>0</v>
          </cell>
          <cell r="E1610" t="str">
            <v>일반</v>
          </cell>
          <cell r="F1610" t="str">
            <v>입고완료</v>
          </cell>
          <cell r="G1610">
            <v>259671</v>
          </cell>
          <cell r="H1610" t="str">
            <v>세준푸드 맑은식혜(유기농 125g/EA)</v>
          </cell>
          <cell r="I1610" t="str">
            <v>BOX</v>
          </cell>
          <cell r="J1610">
            <v>6</v>
          </cell>
          <cell r="K1610">
            <v>6</v>
          </cell>
          <cell r="L1610">
            <v>10320</v>
          </cell>
          <cell r="M1610">
            <v>61920</v>
          </cell>
          <cell r="N1610">
            <v>6192</v>
          </cell>
          <cell r="O1610">
            <v>68112</v>
          </cell>
          <cell r="P1610">
            <v>0</v>
          </cell>
          <cell r="Q1610" t="str">
            <v/>
          </cell>
          <cell r="R1610" t="str">
            <v>실온</v>
          </cell>
          <cell r="S1610" t="str">
            <v>EA(24)</v>
          </cell>
          <cell r="T1610" t="str">
            <v/>
          </cell>
          <cell r="U1610" t="str">
            <v/>
          </cell>
          <cell r="V1610" t="str">
            <v>2018-11-06</v>
          </cell>
          <cell r="W1610" t="str">
            <v>2018-11-06 15:01:05</v>
          </cell>
          <cell r="X1610" t="str">
            <v>178921000</v>
          </cell>
        </row>
        <row r="1611">
          <cell r="A1611">
            <v>1607</v>
          </cell>
          <cell r="B1611" t="str">
            <v>2018-11-28</v>
          </cell>
          <cell r="C1611" t="str">
            <v>키즈락</v>
          </cell>
          <cell r="D1611">
            <v>0</v>
          </cell>
          <cell r="E1611" t="str">
            <v>일반</v>
          </cell>
          <cell r="F1611" t="str">
            <v>입고완료</v>
          </cell>
          <cell r="G1611">
            <v>136633</v>
          </cell>
          <cell r="H1611" t="str">
            <v>이오 요구르트(80ml_유기농 80g/EA)</v>
          </cell>
          <cell r="I1611" t="str">
            <v>EA</v>
          </cell>
          <cell r="J1611">
            <v>170</v>
          </cell>
          <cell r="K1611">
            <v>170</v>
          </cell>
          <cell r="L1611">
            <v>300</v>
          </cell>
          <cell r="M1611">
            <v>51000</v>
          </cell>
          <cell r="N1611">
            <v>5100</v>
          </cell>
          <cell r="O1611">
            <v>56100</v>
          </cell>
          <cell r="P1611">
            <v>0</v>
          </cell>
          <cell r="Q1611" t="str">
            <v>한국</v>
          </cell>
          <cell r="R1611" t="str">
            <v>냉장</v>
          </cell>
          <cell r="S1611" t="str">
            <v>EA(50)</v>
          </cell>
          <cell r="T1611" t="str">
            <v/>
          </cell>
          <cell r="U1611" t="str">
            <v/>
          </cell>
          <cell r="V1611" t="str">
            <v>2018-11-06</v>
          </cell>
          <cell r="W1611" t="str">
            <v>2018-11-06 15:01:21</v>
          </cell>
          <cell r="X1611" t="str">
            <v>178921000</v>
          </cell>
        </row>
        <row r="1612">
          <cell r="A1612">
            <v>1608</v>
          </cell>
          <cell r="B1612" t="str">
            <v>2018-11-28</v>
          </cell>
          <cell r="C1612" t="str">
            <v>키즈락</v>
          </cell>
          <cell r="D1612">
            <v>0</v>
          </cell>
          <cell r="E1612" t="str">
            <v>일반</v>
          </cell>
          <cell r="F1612" t="str">
            <v>입고완료</v>
          </cell>
          <cell r="G1612">
            <v>235443</v>
          </cell>
          <cell r="H1612" t="str">
            <v>삼승 프리미엄닭봉(1등급 윗날개_40±5g/개_껍질있음 KG)</v>
          </cell>
          <cell r="I1612" t="str">
            <v>KG</v>
          </cell>
          <cell r="J1612">
            <v>73</v>
          </cell>
          <cell r="K1612">
            <v>73</v>
          </cell>
          <cell r="L1612">
            <v>6240</v>
          </cell>
          <cell r="M1612">
            <v>455520</v>
          </cell>
          <cell r="N1612">
            <v>0</v>
          </cell>
          <cell r="O1612">
            <v>455520</v>
          </cell>
          <cell r="P1612">
            <v>0</v>
          </cell>
          <cell r="Q1612" t="str">
            <v>한국</v>
          </cell>
          <cell r="R1612" t="str">
            <v>냉장</v>
          </cell>
          <cell r="S1612" t="str">
            <v>KG(1)</v>
          </cell>
          <cell r="T1612" t="str">
            <v/>
          </cell>
          <cell r="U1612" t="str">
            <v/>
          </cell>
          <cell r="V1612" t="str">
            <v>2018-11-26</v>
          </cell>
          <cell r="W1612" t="str">
            <v>2018-11-26 13:44:52</v>
          </cell>
          <cell r="X1612" t="str">
            <v>178921000</v>
          </cell>
        </row>
        <row r="1613">
          <cell r="A1613">
            <v>1609</v>
          </cell>
          <cell r="B1613" t="str">
            <v>2018-11-28</v>
          </cell>
          <cell r="C1613" t="str">
            <v>키즈락</v>
          </cell>
          <cell r="D1613">
            <v>0</v>
          </cell>
          <cell r="E1613" t="str">
            <v>일반</v>
          </cell>
          <cell r="F1613" t="str">
            <v>입고완료</v>
          </cell>
          <cell r="G1613">
            <v>410401</v>
          </cell>
          <cell r="H1613" t="str">
            <v>체리부로 닭다리살(무항생_100±10g/덩어리_껍질있음 KG)</v>
          </cell>
          <cell r="I1613" t="str">
            <v>KG</v>
          </cell>
          <cell r="J1613">
            <v>5</v>
          </cell>
          <cell r="K1613">
            <v>5</v>
          </cell>
          <cell r="L1613">
            <v>7060</v>
          </cell>
          <cell r="M1613">
            <v>35300</v>
          </cell>
          <cell r="N1613">
            <v>0</v>
          </cell>
          <cell r="O1613">
            <v>35300</v>
          </cell>
          <cell r="P1613">
            <v>35300</v>
          </cell>
          <cell r="Q1613" t="str">
            <v>한국</v>
          </cell>
          <cell r="R1613" t="str">
            <v>냉장</v>
          </cell>
          <cell r="S1613" t="str">
            <v>KG(1)</v>
          </cell>
          <cell r="T1613" t="str">
            <v/>
          </cell>
          <cell r="U1613" t="str">
            <v/>
          </cell>
          <cell r="V1613" t="str">
            <v>2018-11-26</v>
          </cell>
          <cell r="W1613" t="str">
            <v>2018-11-26 13:49:40</v>
          </cell>
          <cell r="X1613" t="str">
            <v>178921000</v>
          </cell>
        </row>
        <row r="1614">
          <cell r="A1614">
            <v>1610</v>
          </cell>
          <cell r="B1614" t="str">
            <v>2018-11-28</v>
          </cell>
          <cell r="C1614" t="str">
            <v>키즈락</v>
          </cell>
          <cell r="D1614">
            <v>0</v>
          </cell>
          <cell r="E1614" t="str">
            <v>일반</v>
          </cell>
          <cell r="F1614" t="str">
            <v>입고완료</v>
          </cell>
          <cell r="G1614">
            <v>224825</v>
          </cell>
          <cell r="H1614" t="str">
            <v>사과(상품 41~45입 10Kg/BOX)</v>
          </cell>
          <cell r="I1614" t="str">
            <v>BOX</v>
          </cell>
          <cell r="J1614">
            <v>1</v>
          </cell>
          <cell r="K1614">
            <v>1</v>
          </cell>
          <cell r="L1614">
            <v>43750</v>
          </cell>
          <cell r="M1614">
            <v>43750</v>
          </cell>
          <cell r="N1614">
            <v>0</v>
          </cell>
          <cell r="O1614">
            <v>43750</v>
          </cell>
          <cell r="P1614">
            <v>0</v>
          </cell>
          <cell r="Q1614" t="str">
            <v>한국</v>
          </cell>
          <cell r="R1614" t="str">
            <v>냉장</v>
          </cell>
          <cell r="S1614" t="str">
            <v>BOX(1)</v>
          </cell>
          <cell r="T1614" t="str">
            <v/>
          </cell>
          <cell r="U1614" t="str">
            <v/>
          </cell>
          <cell r="V1614" t="str">
            <v>2018-11-26</v>
          </cell>
          <cell r="W1614" t="str">
            <v>2018-11-26 14:14:08</v>
          </cell>
          <cell r="X1614" t="str">
            <v>178921000</v>
          </cell>
        </row>
        <row r="1615">
          <cell r="A1615">
            <v>1611</v>
          </cell>
          <cell r="B1615" t="str">
            <v>2018-11-28</v>
          </cell>
          <cell r="C1615" t="str">
            <v>키즈락</v>
          </cell>
          <cell r="D1615">
            <v>0</v>
          </cell>
          <cell r="E1615" t="str">
            <v>일반</v>
          </cell>
          <cell r="F1615" t="str">
            <v>입고완료</v>
          </cell>
          <cell r="G1615">
            <v>201152</v>
          </cell>
          <cell r="H1615" t="str">
            <v>깐도라지채(KG)</v>
          </cell>
          <cell r="I1615" t="str">
            <v>KG</v>
          </cell>
          <cell r="J1615">
            <v>23</v>
          </cell>
          <cell r="K1615">
            <v>23</v>
          </cell>
          <cell r="L1615">
            <v>5380</v>
          </cell>
          <cell r="M1615">
            <v>123740</v>
          </cell>
          <cell r="N1615">
            <v>0</v>
          </cell>
          <cell r="O1615">
            <v>123740</v>
          </cell>
          <cell r="P1615">
            <v>0</v>
          </cell>
          <cell r="Q1615" t="str">
            <v>중국</v>
          </cell>
          <cell r="R1615" t="str">
            <v>냉장</v>
          </cell>
          <cell r="S1615" t="str">
            <v>KG(1)</v>
          </cell>
          <cell r="T1615" t="str">
            <v/>
          </cell>
          <cell r="U1615" t="str">
            <v/>
          </cell>
          <cell r="V1615" t="str">
            <v>2018-11-27</v>
          </cell>
          <cell r="W1615" t="str">
            <v>2018-11-27 12:48:05</v>
          </cell>
          <cell r="X1615" t="str">
            <v>178921000</v>
          </cell>
        </row>
        <row r="1616">
          <cell r="A1616">
            <v>1612</v>
          </cell>
          <cell r="B1616" t="str">
            <v>2018-11-28</v>
          </cell>
          <cell r="C1616" t="str">
            <v>키즈락</v>
          </cell>
          <cell r="D1616">
            <v>0</v>
          </cell>
          <cell r="E1616" t="str">
            <v>일반</v>
          </cell>
          <cell r="F1616" t="str">
            <v>입고완료</v>
          </cell>
          <cell r="G1616">
            <v>118007</v>
          </cell>
          <cell r="H1616" t="str">
            <v>한성 새우젓(1Kg/EA)</v>
          </cell>
          <cell r="I1616" t="str">
            <v>EA</v>
          </cell>
          <cell r="J1616">
            <v>1</v>
          </cell>
          <cell r="K1616">
            <v>1</v>
          </cell>
          <cell r="L1616">
            <v>10250</v>
          </cell>
          <cell r="M1616">
            <v>10250</v>
          </cell>
          <cell r="N1616">
            <v>1025</v>
          </cell>
          <cell r="O1616">
            <v>11275</v>
          </cell>
          <cell r="P1616">
            <v>0</v>
          </cell>
          <cell r="Q1616" t="str">
            <v>한국</v>
          </cell>
          <cell r="R1616" t="str">
            <v>냉장</v>
          </cell>
          <cell r="S1616" t="str">
            <v>EA(1)</v>
          </cell>
          <cell r="T1616" t="str">
            <v/>
          </cell>
          <cell r="U1616" t="str">
            <v/>
          </cell>
          <cell r="V1616" t="str">
            <v>2018-11-27</v>
          </cell>
          <cell r="W1616" t="str">
            <v>2018-11-27 13:49:20</v>
          </cell>
          <cell r="X1616" t="str">
            <v>178921000</v>
          </cell>
        </row>
        <row r="1617">
          <cell r="A1617">
            <v>1613</v>
          </cell>
          <cell r="B1617" t="str">
            <v>2018-11-28</v>
          </cell>
          <cell r="C1617" t="str">
            <v>키즈락</v>
          </cell>
          <cell r="D1617">
            <v>0</v>
          </cell>
          <cell r="E1617" t="str">
            <v>일반</v>
          </cell>
          <cell r="F1617" t="str">
            <v>입고완료</v>
          </cell>
          <cell r="G1617">
            <v>221871</v>
          </cell>
          <cell r="H1617" t="str">
            <v>냉동시금치(IQF 1Kg/EA)</v>
          </cell>
          <cell r="I1617" t="str">
            <v>EA</v>
          </cell>
          <cell r="J1617">
            <v>10</v>
          </cell>
          <cell r="K1617">
            <v>10</v>
          </cell>
          <cell r="L1617">
            <v>1680</v>
          </cell>
          <cell r="M1617">
            <v>16800</v>
          </cell>
          <cell r="N1617">
            <v>1680</v>
          </cell>
          <cell r="O1617">
            <v>18480</v>
          </cell>
          <cell r="P1617">
            <v>0</v>
          </cell>
          <cell r="Q1617" t="str">
            <v>중국</v>
          </cell>
          <cell r="R1617" t="str">
            <v>냉동</v>
          </cell>
          <cell r="S1617" t="str">
            <v>EA(1)</v>
          </cell>
          <cell r="T1617" t="str">
            <v/>
          </cell>
          <cell r="U1617" t="str">
            <v/>
          </cell>
          <cell r="V1617" t="str">
            <v>2018-11-27</v>
          </cell>
          <cell r="W1617" t="str">
            <v>2018-11-27 14:45:25</v>
          </cell>
          <cell r="X1617" t="str">
            <v>178921000</v>
          </cell>
        </row>
        <row r="1618">
          <cell r="A1618">
            <v>1614</v>
          </cell>
          <cell r="B1618" t="str">
            <v>2018-11-28</v>
          </cell>
          <cell r="C1618" t="str">
            <v>키즈락</v>
          </cell>
          <cell r="D1618">
            <v>0</v>
          </cell>
          <cell r="E1618" t="str">
            <v>일반</v>
          </cell>
          <cell r="F1618" t="str">
            <v>입고완료</v>
          </cell>
          <cell r="G1618">
            <v>239717</v>
          </cell>
          <cell r="H1618" t="str">
            <v>녹선 참오징어젓(1Kg/EA)</v>
          </cell>
          <cell r="I1618" t="str">
            <v>EA</v>
          </cell>
          <cell r="J1618">
            <v>1</v>
          </cell>
          <cell r="K1618">
            <v>1</v>
          </cell>
          <cell r="L1618">
            <v>6630</v>
          </cell>
          <cell r="M1618">
            <v>6630</v>
          </cell>
          <cell r="N1618">
            <v>663</v>
          </cell>
          <cell r="O1618">
            <v>7293</v>
          </cell>
          <cell r="P1618">
            <v>0</v>
          </cell>
          <cell r="Q1618" t="str">
            <v>중국</v>
          </cell>
          <cell r="R1618" t="str">
            <v>냉장</v>
          </cell>
          <cell r="S1618" t="str">
            <v>EA(1)</v>
          </cell>
          <cell r="T1618" t="str">
            <v/>
          </cell>
          <cell r="U1618" t="str">
            <v/>
          </cell>
          <cell r="V1618" t="str">
            <v>2018-11-27</v>
          </cell>
          <cell r="W1618" t="str">
            <v>2018-11-27 14:51:33</v>
          </cell>
          <cell r="X1618" t="str">
            <v>178921000</v>
          </cell>
        </row>
        <row r="1619">
          <cell r="A1619">
            <v>1615</v>
          </cell>
          <cell r="B1619" t="str">
            <v>2018-11-28</v>
          </cell>
          <cell r="C1619" t="str">
            <v>키즈락</v>
          </cell>
          <cell r="D1619">
            <v>0</v>
          </cell>
          <cell r="E1619" t="str">
            <v>일반</v>
          </cell>
          <cell r="F1619" t="str">
            <v>입고완료</v>
          </cell>
          <cell r="G1619">
            <v>107242</v>
          </cell>
          <cell r="H1619" t="str">
            <v>오뚜기 허니머스타드드레싱(2Kg/EA)</v>
          </cell>
          <cell r="I1619" t="str">
            <v>EA</v>
          </cell>
          <cell r="J1619">
            <v>4</v>
          </cell>
          <cell r="K1619">
            <v>4</v>
          </cell>
          <cell r="L1619">
            <v>5880</v>
          </cell>
          <cell r="M1619">
            <v>23520</v>
          </cell>
          <cell r="N1619">
            <v>2352</v>
          </cell>
          <cell r="O1619">
            <v>25872</v>
          </cell>
          <cell r="P1619">
            <v>0</v>
          </cell>
          <cell r="Q1619" t="str">
            <v/>
          </cell>
          <cell r="R1619" t="str">
            <v>실온</v>
          </cell>
          <cell r="S1619" t="str">
            <v>EA(6)</v>
          </cell>
          <cell r="T1619" t="str">
            <v/>
          </cell>
          <cell r="U1619" t="str">
            <v/>
          </cell>
          <cell r="V1619" t="str">
            <v>2018-11-27</v>
          </cell>
          <cell r="W1619" t="str">
            <v>2018-11-27 14:52:37</v>
          </cell>
          <cell r="X1619" t="str">
            <v>178921000</v>
          </cell>
        </row>
        <row r="1620">
          <cell r="A1620">
            <v>1616</v>
          </cell>
          <cell r="B1620" t="str">
            <v>2018-11-28</v>
          </cell>
          <cell r="C1620" t="str">
            <v>키즈락</v>
          </cell>
          <cell r="D1620">
            <v>0</v>
          </cell>
          <cell r="E1620" t="str">
            <v>일반</v>
          </cell>
          <cell r="F1620" t="str">
            <v>입고완료</v>
          </cell>
          <cell r="G1620">
            <v>193090</v>
          </cell>
          <cell r="H1620" t="str">
            <v>냉동감자(절단_3~4cm 1Kg/EA)</v>
          </cell>
          <cell r="I1620" t="str">
            <v>EA</v>
          </cell>
          <cell r="J1620">
            <v>10</v>
          </cell>
          <cell r="K1620">
            <v>10</v>
          </cell>
          <cell r="L1620">
            <v>1980</v>
          </cell>
          <cell r="M1620">
            <v>19800</v>
          </cell>
          <cell r="N1620">
            <v>1980</v>
          </cell>
          <cell r="O1620">
            <v>21780</v>
          </cell>
          <cell r="P1620">
            <v>0</v>
          </cell>
          <cell r="Q1620" t="str">
            <v>중국</v>
          </cell>
          <cell r="R1620" t="str">
            <v>냉동</v>
          </cell>
          <cell r="S1620" t="str">
            <v>EA(1)</v>
          </cell>
          <cell r="T1620" t="str">
            <v/>
          </cell>
          <cell r="U1620" t="str">
            <v/>
          </cell>
          <cell r="V1620" t="str">
            <v>2018-11-27</v>
          </cell>
          <cell r="W1620" t="str">
            <v>2018-11-27 15:04:18</v>
          </cell>
          <cell r="X1620" t="str">
            <v>178921000</v>
          </cell>
        </row>
        <row r="1621">
          <cell r="A1621">
            <v>1617</v>
          </cell>
          <cell r="B1621" t="str">
            <v>2018-11-28</v>
          </cell>
          <cell r="C1621" t="str">
            <v>키즈락</v>
          </cell>
          <cell r="D1621">
            <v>0</v>
          </cell>
          <cell r="E1621" t="str">
            <v>일반</v>
          </cell>
          <cell r="F1621" t="str">
            <v>입고완료</v>
          </cell>
          <cell r="G1621">
            <v>420010</v>
          </cell>
          <cell r="H1621" t="str">
            <v>알로팜 계란(왕란_무항생제_68g*30입 2.04Kg/EA)</v>
          </cell>
          <cell r="I1621" t="str">
            <v>EA</v>
          </cell>
          <cell r="J1621">
            <v>5</v>
          </cell>
          <cell r="K1621">
            <v>5</v>
          </cell>
          <cell r="L1621">
            <v>4860</v>
          </cell>
          <cell r="M1621">
            <v>24300</v>
          </cell>
          <cell r="N1621">
            <v>0</v>
          </cell>
          <cell r="O1621">
            <v>24300</v>
          </cell>
          <cell r="P1621">
            <v>24300</v>
          </cell>
          <cell r="Q1621" t="str">
            <v>한국</v>
          </cell>
          <cell r="R1621" t="str">
            <v>냉장</v>
          </cell>
          <cell r="S1621" t="str">
            <v>EA(1)</v>
          </cell>
          <cell r="T1621" t="str">
            <v/>
          </cell>
          <cell r="U1621" t="str">
            <v/>
          </cell>
          <cell r="V1621" t="str">
            <v>2018-11-27</v>
          </cell>
          <cell r="W1621" t="str">
            <v>2018-11-27 15:04:46</v>
          </cell>
          <cell r="X1621" t="str">
            <v>178921000</v>
          </cell>
        </row>
        <row r="1622">
          <cell r="A1622">
            <v>1618</v>
          </cell>
          <cell r="B1622" t="str">
            <v>2018-11-28</v>
          </cell>
          <cell r="C1622" t="str">
            <v>키즈락</v>
          </cell>
          <cell r="D1622">
            <v>0</v>
          </cell>
          <cell r="E1622" t="str">
            <v>일반</v>
          </cell>
          <cell r="F1622" t="str">
            <v>입고완료</v>
          </cell>
          <cell r="G1622">
            <v>165977</v>
          </cell>
          <cell r="H1622" t="str">
            <v>녹선 오이지무침(슬라이스 1Kg/EA)</v>
          </cell>
          <cell r="I1622" t="str">
            <v>EA</v>
          </cell>
          <cell r="J1622">
            <v>5</v>
          </cell>
          <cell r="K1622">
            <v>5</v>
          </cell>
          <cell r="L1622">
            <v>3990</v>
          </cell>
          <cell r="M1622">
            <v>19950</v>
          </cell>
          <cell r="N1622">
            <v>1995</v>
          </cell>
          <cell r="O1622">
            <v>21945</v>
          </cell>
          <cell r="P1622">
            <v>0</v>
          </cell>
          <cell r="Q1622" t="str">
            <v>중국</v>
          </cell>
          <cell r="R1622" t="str">
            <v>냉장</v>
          </cell>
          <cell r="S1622" t="str">
            <v>EA(1)</v>
          </cell>
          <cell r="T1622" t="str">
            <v/>
          </cell>
          <cell r="U1622" t="str">
            <v/>
          </cell>
          <cell r="V1622" t="str">
            <v>2018-11-27</v>
          </cell>
          <cell r="W1622" t="str">
            <v>2018-11-27 15:07:16</v>
          </cell>
          <cell r="X1622" t="str">
            <v>178921000</v>
          </cell>
        </row>
        <row r="1623">
          <cell r="A1623">
            <v>1619</v>
          </cell>
          <cell r="B1623" t="str">
            <v>2018-11-27</v>
          </cell>
          <cell r="C1623">
            <v>0</v>
          </cell>
          <cell r="D1623">
            <v>0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</row>
        <row r="1624">
          <cell r="A1624">
            <v>1620</v>
          </cell>
          <cell r="B1624" t="str">
            <v>2018-11-27</v>
          </cell>
          <cell r="C1624" t="str">
            <v>키즈락</v>
          </cell>
          <cell r="D1624">
            <v>0</v>
          </cell>
          <cell r="E1624" t="str">
            <v>일반</v>
          </cell>
          <cell r="F1624" t="str">
            <v>입고완료</v>
          </cell>
          <cell r="G1624">
            <v>144756</v>
          </cell>
          <cell r="H1624" t="str">
            <v>삼립식품 미니와플(30g*40입 1.2Kg/BOX)</v>
          </cell>
          <cell r="I1624" t="str">
            <v>BOX</v>
          </cell>
          <cell r="J1624">
            <v>9</v>
          </cell>
          <cell r="K1624">
            <v>9</v>
          </cell>
          <cell r="L1624">
            <v>9310</v>
          </cell>
          <cell r="M1624">
            <v>83790</v>
          </cell>
          <cell r="N1624">
            <v>8379</v>
          </cell>
          <cell r="O1624">
            <v>92169</v>
          </cell>
          <cell r="P1624">
            <v>0</v>
          </cell>
          <cell r="Q1624" t="str">
            <v/>
          </cell>
          <cell r="R1624" t="str">
            <v>냉동</v>
          </cell>
          <cell r="S1624" t="str">
            <v>BOX(1)</v>
          </cell>
          <cell r="T1624" t="str">
            <v/>
          </cell>
          <cell r="U1624" t="str">
            <v/>
          </cell>
          <cell r="V1624" t="str">
            <v>2018-11-06</v>
          </cell>
          <cell r="W1624" t="str">
            <v>2018-11-06 14:53:00</v>
          </cell>
          <cell r="X1624" t="str">
            <v>178921000</v>
          </cell>
        </row>
        <row r="1625">
          <cell r="A1625">
            <v>1621</v>
          </cell>
          <cell r="B1625" t="str">
            <v>2018-11-27</v>
          </cell>
          <cell r="C1625" t="str">
            <v>키즈락</v>
          </cell>
          <cell r="D1625">
            <v>0</v>
          </cell>
          <cell r="E1625" t="str">
            <v>일반</v>
          </cell>
          <cell r="F1625" t="str">
            <v>입고완료</v>
          </cell>
          <cell r="G1625">
            <v>172963</v>
          </cell>
          <cell r="H1625" t="str">
            <v>사조대림 붕어빵(단팥 1Kg/EA)</v>
          </cell>
          <cell r="I1625" t="str">
            <v>EA</v>
          </cell>
          <cell r="J1625">
            <v>16</v>
          </cell>
          <cell r="K1625">
            <v>16</v>
          </cell>
          <cell r="L1625">
            <v>7320</v>
          </cell>
          <cell r="M1625">
            <v>117120</v>
          </cell>
          <cell r="N1625">
            <v>11712</v>
          </cell>
          <cell r="O1625">
            <v>128832</v>
          </cell>
          <cell r="P1625">
            <v>0</v>
          </cell>
          <cell r="Q1625" t="str">
            <v/>
          </cell>
          <cell r="R1625" t="str">
            <v>냉동</v>
          </cell>
          <cell r="S1625" t="str">
            <v>EA(10)</v>
          </cell>
          <cell r="T1625" t="str">
            <v/>
          </cell>
          <cell r="U1625" t="str">
            <v/>
          </cell>
          <cell r="V1625" t="str">
            <v>2018-11-06</v>
          </cell>
          <cell r="W1625" t="str">
            <v>2018-11-06 14:56:01</v>
          </cell>
          <cell r="X1625" t="str">
            <v>178921000</v>
          </cell>
        </row>
        <row r="1626">
          <cell r="A1626">
            <v>1622</v>
          </cell>
          <cell r="B1626" t="str">
            <v>2018-11-27</v>
          </cell>
          <cell r="C1626" t="str">
            <v>키즈락</v>
          </cell>
          <cell r="D1626">
            <v>0</v>
          </cell>
          <cell r="E1626" t="str">
            <v>일반</v>
          </cell>
          <cell r="F1626" t="str">
            <v>입고완료</v>
          </cell>
          <cell r="G1626">
            <v>317997</v>
          </cell>
          <cell r="H1626" t="str">
            <v>바지락살(자숙_100/200 250g/EA)</v>
          </cell>
          <cell r="I1626" t="str">
            <v>EA</v>
          </cell>
          <cell r="J1626">
            <v>50</v>
          </cell>
          <cell r="K1626">
            <v>50</v>
          </cell>
          <cell r="L1626">
            <v>1200</v>
          </cell>
          <cell r="M1626">
            <v>60000</v>
          </cell>
          <cell r="N1626">
            <v>6000</v>
          </cell>
          <cell r="O1626">
            <v>66000</v>
          </cell>
          <cell r="P1626">
            <v>0</v>
          </cell>
          <cell r="Q1626" t="str">
            <v>중국</v>
          </cell>
          <cell r="R1626" t="str">
            <v>냉동</v>
          </cell>
          <cell r="S1626" t="str">
            <v>EA(10)</v>
          </cell>
          <cell r="T1626" t="str">
            <v/>
          </cell>
          <cell r="U1626" t="str">
            <v/>
          </cell>
          <cell r="V1626" t="str">
            <v>2018-11-23</v>
          </cell>
          <cell r="W1626" t="str">
            <v>2018-11-23 12:04:06</v>
          </cell>
          <cell r="X1626" t="str">
            <v>178921000</v>
          </cell>
        </row>
        <row r="1627">
          <cell r="A1627">
            <v>1623</v>
          </cell>
          <cell r="B1627" t="str">
            <v>2018-11-27</v>
          </cell>
          <cell r="C1627" t="str">
            <v>키즈락</v>
          </cell>
          <cell r="D1627">
            <v>0</v>
          </cell>
          <cell r="E1627" t="str">
            <v>일반</v>
          </cell>
          <cell r="F1627" t="str">
            <v>입고완료</v>
          </cell>
          <cell r="G1627">
            <v>411770</v>
          </cell>
          <cell r="H1627" t="str">
            <v>프레시웨이 돈뒷다리(1.5*1.5*1.5cm 짜장카레용 5Kg/EA)</v>
          </cell>
          <cell r="I1627" t="str">
            <v>EA</v>
          </cell>
          <cell r="J1627">
            <v>1</v>
          </cell>
          <cell r="K1627">
            <v>1</v>
          </cell>
          <cell r="L1627">
            <v>22090</v>
          </cell>
          <cell r="M1627">
            <v>22090</v>
          </cell>
          <cell r="N1627">
            <v>0</v>
          </cell>
          <cell r="O1627">
            <v>22090</v>
          </cell>
          <cell r="P1627">
            <v>0</v>
          </cell>
          <cell r="Q1627" t="str">
            <v>한국</v>
          </cell>
          <cell r="R1627" t="str">
            <v>냉동</v>
          </cell>
          <cell r="S1627" t="str">
            <v>EA(1)</v>
          </cell>
          <cell r="T1627" t="str">
            <v>L11810115541001</v>
          </cell>
          <cell r="U1627" t="str">
            <v/>
          </cell>
          <cell r="V1627" t="str">
            <v>2018-11-23</v>
          </cell>
          <cell r="W1627" t="str">
            <v>2018-11-23 13:18:33</v>
          </cell>
          <cell r="X1627" t="str">
            <v>178921000</v>
          </cell>
        </row>
        <row r="1628">
          <cell r="A1628">
            <v>1624</v>
          </cell>
          <cell r="B1628" t="str">
            <v>2018-11-27</v>
          </cell>
          <cell r="C1628" t="str">
            <v>키즈락</v>
          </cell>
          <cell r="D1628">
            <v>0</v>
          </cell>
          <cell r="E1628" t="str">
            <v>일반</v>
          </cell>
          <cell r="F1628" t="str">
            <v>입고완료</v>
          </cell>
          <cell r="G1628">
            <v>318796</v>
          </cell>
          <cell r="H1628" t="str">
            <v>논우렁살(수율60% 1Kg/EA)</v>
          </cell>
          <cell r="I1628" t="str">
            <v>EA</v>
          </cell>
          <cell r="J1628">
            <v>1</v>
          </cell>
          <cell r="K1628">
            <v>1</v>
          </cell>
          <cell r="L1628">
            <v>10330</v>
          </cell>
          <cell r="M1628">
            <v>10330</v>
          </cell>
          <cell r="N1628">
            <v>1033</v>
          </cell>
          <cell r="O1628">
            <v>11363</v>
          </cell>
          <cell r="P1628">
            <v>0</v>
          </cell>
          <cell r="Q1628" t="str">
            <v>한국</v>
          </cell>
          <cell r="R1628" t="str">
            <v>냉동</v>
          </cell>
          <cell r="S1628" t="str">
            <v>EA(1)</v>
          </cell>
          <cell r="T1628" t="str">
            <v/>
          </cell>
          <cell r="U1628" t="str">
            <v/>
          </cell>
          <cell r="V1628" t="str">
            <v>2018-11-26</v>
          </cell>
          <cell r="W1628" t="str">
            <v>2018-11-26 13:28:15</v>
          </cell>
          <cell r="X1628" t="str">
            <v>178921000</v>
          </cell>
        </row>
        <row r="1629">
          <cell r="A1629">
            <v>1625</v>
          </cell>
          <cell r="B1629" t="str">
            <v>2018-11-27</v>
          </cell>
          <cell r="C1629" t="str">
            <v>키즈락</v>
          </cell>
          <cell r="D1629">
            <v>0</v>
          </cell>
          <cell r="E1629" t="str">
            <v>일반</v>
          </cell>
          <cell r="F1629" t="str">
            <v>입고완료</v>
          </cell>
          <cell r="G1629">
            <v>208502</v>
          </cell>
          <cell r="H1629" t="str">
            <v>세척당근(3L 10Kg/EA)</v>
          </cell>
          <cell r="I1629" t="str">
            <v>EA</v>
          </cell>
          <cell r="J1629">
            <v>1</v>
          </cell>
          <cell r="K1629">
            <v>1</v>
          </cell>
          <cell r="L1629">
            <v>11980</v>
          </cell>
          <cell r="M1629">
            <v>11980</v>
          </cell>
          <cell r="N1629">
            <v>0</v>
          </cell>
          <cell r="O1629">
            <v>11980</v>
          </cell>
          <cell r="P1629">
            <v>0</v>
          </cell>
          <cell r="Q1629" t="str">
            <v>중국</v>
          </cell>
          <cell r="R1629" t="str">
            <v>실온</v>
          </cell>
          <cell r="S1629" t="str">
            <v>EA(1)</v>
          </cell>
          <cell r="T1629" t="str">
            <v/>
          </cell>
          <cell r="U1629" t="str">
            <v/>
          </cell>
          <cell r="V1629" t="str">
            <v>2018-11-26</v>
          </cell>
          <cell r="W1629" t="str">
            <v>2018-11-26 13:51:45</v>
          </cell>
          <cell r="X1629" t="str">
            <v>178921000</v>
          </cell>
        </row>
        <row r="1630">
          <cell r="A1630">
            <v>1626</v>
          </cell>
          <cell r="B1630" t="str">
            <v>2018-11-27</v>
          </cell>
          <cell r="C1630" t="str">
            <v>키즈락</v>
          </cell>
          <cell r="D1630">
            <v>0</v>
          </cell>
          <cell r="E1630" t="str">
            <v>일반</v>
          </cell>
          <cell r="F1630" t="str">
            <v>입고완료</v>
          </cell>
          <cell r="G1630">
            <v>204973</v>
          </cell>
          <cell r="H1630" t="str">
            <v>냉동대파(1Kg/PAC)</v>
          </cell>
          <cell r="I1630" t="str">
            <v>PAC</v>
          </cell>
          <cell r="J1630">
            <v>20</v>
          </cell>
          <cell r="K1630">
            <v>20</v>
          </cell>
          <cell r="L1630">
            <v>1400</v>
          </cell>
          <cell r="M1630">
            <v>28000</v>
          </cell>
          <cell r="N1630">
            <v>0</v>
          </cell>
          <cell r="O1630">
            <v>28000</v>
          </cell>
          <cell r="P1630">
            <v>0</v>
          </cell>
          <cell r="Q1630" t="str">
            <v>중국</v>
          </cell>
          <cell r="R1630" t="str">
            <v>냉동</v>
          </cell>
          <cell r="S1630" t="str">
            <v>PAC(1)</v>
          </cell>
          <cell r="T1630" t="str">
            <v/>
          </cell>
          <cell r="U1630" t="str">
            <v/>
          </cell>
          <cell r="V1630" t="str">
            <v>2018-11-26</v>
          </cell>
          <cell r="W1630" t="str">
            <v>2018-11-26 14:22:01</v>
          </cell>
          <cell r="X1630" t="str">
            <v>178921000</v>
          </cell>
        </row>
        <row r="1631">
          <cell r="A1631">
            <v>1627</v>
          </cell>
          <cell r="B1631" t="str">
            <v>2018-11-27</v>
          </cell>
          <cell r="C1631" t="str">
            <v>키즈락</v>
          </cell>
          <cell r="D1631">
            <v>0</v>
          </cell>
          <cell r="E1631" t="str">
            <v>일반</v>
          </cell>
          <cell r="F1631" t="str">
            <v>입고완료</v>
          </cell>
          <cell r="G1631">
            <v>107250</v>
          </cell>
          <cell r="H1631" t="str">
            <v>이금기 굴소스(팬더 2.268Kg/EA)</v>
          </cell>
          <cell r="I1631" t="str">
            <v>EA</v>
          </cell>
          <cell r="J1631">
            <v>1</v>
          </cell>
          <cell r="K1631">
            <v>1</v>
          </cell>
          <cell r="L1631">
            <v>8030</v>
          </cell>
          <cell r="M1631">
            <v>8030</v>
          </cell>
          <cell r="N1631">
            <v>803</v>
          </cell>
          <cell r="O1631">
            <v>8833</v>
          </cell>
          <cell r="P1631">
            <v>0</v>
          </cell>
          <cell r="Q1631" t="str">
            <v>홍콩</v>
          </cell>
          <cell r="R1631" t="str">
            <v>실온</v>
          </cell>
          <cell r="S1631" t="str">
            <v>EA(6)</v>
          </cell>
          <cell r="T1631" t="str">
            <v/>
          </cell>
          <cell r="U1631" t="str">
            <v/>
          </cell>
          <cell r="V1631" t="str">
            <v>2018-11-26</v>
          </cell>
          <cell r="W1631" t="str">
            <v>2018-11-26 14:22:01</v>
          </cell>
          <cell r="X1631" t="str">
            <v>178921000</v>
          </cell>
        </row>
        <row r="1632">
          <cell r="A1632">
            <v>1628</v>
          </cell>
          <cell r="B1632" t="str">
            <v>2018-11-27</v>
          </cell>
          <cell r="C1632" t="str">
            <v>키즈락</v>
          </cell>
          <cell r="D1632">
            <v>0</v>
          </cell>
          <cell r="E1632" t="str">
            <v>일반</v>
          </cell>
          <cell r="F1632" t="str">
            <v>입고완료</v>
          </cell>
          <cell r="G1632">
            <v>135245</v>
          </cell>
          <cell r="H1632" t="str">
            <v>염전하늘 천일염(탈수 10Kg/EA)</v>
          </cell>
          <cell r="I1632" t="str">
            <v>EA</v>
          </cell>
          <cell r="J1632">
            <v>1</v>
          </cell>
          <cell r="K1632">
            <v>1</v>
          </cell>
          <cell r="L1632">
            <v>9240</v>
          </cell>
          <cell r="M1632">
            <v>9240</v>
          </cell>
          <cell r="N1632">
            <v>0</v>
          </cell>
          <cell r="O1632">
            <v>9240</v>
          </cell>
          <cell r="P1632">
            <v>0</v>
          </cell>
          <cell r="Q1632" t="str">
            <v/>
          </cell>
          <cell r="R1632" t="str">
            <v>실온</v>
          </cell>
          <cell r="S1632" t="str">
            <v>EA(10)</v>
          </cell>
          <cell r="T1632" t="str">
            <v/>
          </cell>
          <cell r="U1632" t="str">
            <v/>
          </cell>
          <cell r="V1632" t="str">
            <v>2018-11-26</v>
          </cell>
          <cell r="W1632" t="str">
            <v>2018-11-26 14:22:01</v>
          </cell>
          <cell r="X1632" t="str">
            <v>178921000</v>
          </cell>
        </row>
        <row r="1633">
          <cell r="A1633">
            <v>1629</v>
          </cell>
          <cell r="B1633" t="str">
            <v>2018-11-27</v>
          </cell>
          <cell r="C1633" t="str">
            <v>키즈락</v>
          </cell>
          <cell r="D1633">
            <v>0</v>
          </cell>
          <cell r="E1633" t="str">
            <v>일반</v>
          </cell>
          <cell r="F1633" t="str">
            <v>입고완료</v>
          </cell>
          <cell r="G1633">
            <v>168258</v>
          </cell>
          <cell r="H1633" t="str">
            <v>명품 판두부(부침용 3Kg/EA)</v>
          </cell>
          <cell r="I1633" t="str">
            <v>EA</v>
          </cell>
          <cell r="J1633">
            <v>3</v>
          </cell>
          <cell r="K1633">
            <v>3</v>
          </cell>
          <cell r="L1633">
            <v>4000</v>
          </cell>
          <cell r="M1633">
            <v>12000</v>
          </cell>
          <cell r="N1633">
            <v>0</v>
          </cell>
          <cell r="O1633">
            <v>12000</v>
          </cell>
          <cell r="P1633">
            <v>0</v>
          </cell>
          <cell r="Q1633" t="str">
            <v>수입산</v>
          </cell>
          <cell r="R1633" t="str">
            <v>냉장</v>
          </cell>
          <cell r="S1633" t="str">
            <v>EA(1)</v>
          </cell>
          <cell r="T1633" t="str">
            <v/>
          </cell>
          <cell r="U1633" t="str">
            <v/>
          </cell>
          <cell r="V1633" t="str">
            <v>2018-11-26</v>
          </cell>
          <cell r="W1633" t="str">
            <v>2018-11-26 14:25:09</v>
          </cell>
          <cell r="X1633" t="str">
            <v>178921000</v>
          </cell>
        </row>
        <row r="1634">
          <cell r="A1634">
            <v>1630</v>
          </cell>
          <cell r="B1634" t="str">
            <v>2018-11-27</v>
          </cell>
          <cell r="C1634" t="str">
            <v>키즈락</v>
          </cell>
          <cell r="D1634">
            <v>0</v>
          </cell>
          <cell r="E1634" t="str">
            <v>일반</v>
          </cell>
          <cell r="F1634" t="str">
            <v>입고완료</v>
          </cell>
          <cell r="G1634">
            <v>256410</v>
          </cell>
          <cell r="H1634" t="str">
            <v>이츠웰 오징어채(무라사키_껍질있음 1Kg/EA)</v>
          </cell>
          <cell r="I1634" t="str">
            <v>EA</v>
          </cell>
          <cell r="J1634">
            <v>12</v>
          </cell>
          <cell r="K1634">
            <v>12</v>
          </cell>
          <cell r="L1634">
            <v>6530</v>
          </cell>
          <cell r="M1634">
            <v>78360</v>
          </cell>
          <cell r="N1634">
            <v>0</v>
          </cell>
          <cell r="O1634">
            <v>78360</v>
          </cell>
          <cell r="P1634">
            <v>0</v>
          </cell>
          <cell r="Q1634" t="str">
            <v>원양산</v>
          </cell>
          <cell r="R1634" t="str">
            <v>냉동</v>
          </cell>
          <cell r="S1634" t="str">
            <v>EA(10)</v>
          </cell>
          <cell r="T1634" t="str">
            <v/>
          </cell>
          <cell r="U1634" t="str">
            <v/>
          </cell>
          <cell r="V1634" t="str">
            <v>2018-11-26</v>
          </cell>
          <cell r="W1634" t="str">
            <v>2018-11-26 14:39:01</v>
          </cell>
          <cell r="X1634" t="str">
            <v>178921000</v>
          </cell>
        </row>
        <row r="1635">
          <cell r="A1635">
            <v>1631</v>
          </cell>
          <cell r="B1635" t="str">
            <v>2018-11-27</v>
          </cell>
          <cell r="C1635" t="str">
            <v>키즈락</v>
          </cell>
          <cell r="D1635">
            <v>0</v>
          </cell>
          <cell r="E1635" t="str">
            <v>일반</v>
          </cell>
          <cell r="F1635" t="str">
            <v>입고완료</v>
          </cell>
          <cell r="G1635">
            <v>228629</v>
          </cell>
          <cell r="H1635" t="str">
            <v>코다리(내장제거_50~70g/토막 구이용_조림용 KG)</v>
          </cell>
          <cell r="I1635" t="str">
            <v>KG</v>
          </cell>
          <cell r="J1635">
            <v>3</v>
          </cell>
          <cell r="K1635">
            <v>3</v>
          </cell>
          <cell r="L1635">
            <v>4830</v>
          </cell>
          <cell r="M1635">
            <v>14490</v>
          </cell>
          <cell r="N1635">
            <v>0</v>
          </cell>
          <cell r="O1635">
            <v>14490</v>
          </cell>
          <cell r="P1635">
            <v>0</v>
          </cell>
          <cell r="Q1635" t="str">
            <v>러시아</v>
          </cell>
          <cell r="R1635" t="str">
            <v>냉동</v>
          </cell>
          <cell r="S1635" t="str">
            <v>KG(1)</v>
          </cell>
          <cell r="T1635" t="str">
            <v/>
          </cell>
          <cell r="U1635" t="str">
            <v/>
          </cell>
          <cell r="V1635" t="str">
            <v>2018-11-26</v>
          </cell>
          <cell r="W1635" t="str">
            <v>2018-11-26 14:41:05</v>
          </cell>
          <cell r="X1635" t="str">
            <v>178921000</v>
          </cell>
        </row>
        <row r="1636">
          <cell r="A1636">
            <v>1632</v>
          </cell>
          <cell r="B1636" t="str">
            <v>2018-11-26</v>
          </cell>
          <cell r="C1636">
            <v>0</v>
          </cell>
          <cell r="D1636">
            <v>0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</row>
        <row r="1637">
          <cell r="A1637">
            <v>1633</v>
          </cell>
          <cell r="B1637" t="str">
            <v>2018-11-26</v>
          </cell>
          <cell r="C1637" t="str">
            <v>키즈락</v>
          </cell>
          <cell r="D1637">
            <v>0</v>
          </cell>
          <cell r="E1637" t="str">
            <v>일반</v>
          </cell>
          <cell r="F1637" t="str">
            <v>입고완료</v>
          </cell>
          <cell r="G1637">
            <v>136633</v>
          </cell>
          <cell r="H1637" t="str">
            <v>이오 요구르트(80ml_유기농 80g/EA)</v>
          </cell>
          <cell r="I1637" t="str">
            <v>EA</v>
          </cell>
          <cell r="J1637">
            <v>45</v>
          </cell>
          <cell r="K1637">
            <v>45</v>
          </cell>
          <cell r="L1637">
            <v>300</v>
          </cell>
          <cell r="M1637">
            <v>13500</v>
          </cell>
          <cell r="N1637">
            <v>1350</v>
          </cell>
          <cell r="O1637">
            <v>14850</v>
          </cell>
          <cell r="P1637">
            <v>0</v>
          </cell>
          <cell r="Q1637" t="str">
            <v>한국</v>
          </cell>
          <cell r="R1637" t="str">
            <v>냉장</v>
          </cell>
          <cell r="S1637" t="str">
            <v>EA(50)</v>
          </cell>
          <cell r="T1637" t="str">
            <v/>
          </cell>
          <cell r="U1637" t="str">
            <v/>
          </cell>
          <cell r="V1637" t="str">
            <v>2018-11-06</v>
          </cell>
          <cell r="W1637" t="str">
            <v>2018-11-06 14:52:08</v>
          </cell>
          <cell r="X1637" t="str">
            <v>178921000</v>
          </cell>
        </row>
        <row r="1638">
          <cell r="A1638">
            <v>1634</v>
          </cell>
          <cell r="B1638" t="str">
            <v>2018-11-26</v>
          </cell>
          <cell r="C1638" t="str">
            <v>키즈락</v>
          </cell>
          <cell r="D1638">
            <v>0</v>
          </cell>
          <cell r="E1638" t="str">
            <v>일반</v>
          </cell>
          <cell r="F1638" t="str">
            <v>입고완료</v>
          </cell>
          <cell r="G1638">
            <v>319698</v>
          </cell>
          <cell r="H1638" t="str">
            <v>전장김(25g/EA)</v>
          </cell>
          <cell r="I1638" t="str">
            <v>EA</v>
          </cell>
          <cell r="J1638">
            <v>65</v>
          </cell>
          <cell r="K1638">
            <v>65</v>
          </cell>
          <cell r="L1638">
            <v>760</v>
          </cell>
          <cell r="M1638">
            <v>49400</v>
          </cell>
          <cell r="N1638">
            <v>4940</v>
          </cell>
          <cell r="O1638">
            <v>54340</v>
          </cell>
          <cell r="P1638">
            <v>0</v>
          </cell>
          <cell r="Q1638" t="str">
            <v>한국</v>
          </cell>
          <cell r="R1638" t="str">
            <v>실온</v>
          </cell>
          <cell r="S1638" t="str">
            <v>EA(40)</v>
          </cell>
          <cell r="T1638" t="str">
            <v/>
          </cell>
          <cell r="U1638" t="str">
            <v/>
          </cell>
          <cell r="V1638" t="str">
            <v>2018-11-22</v>
          </cell>
          <cell r="W1638" t="str">
            <v>2018-11-22 13:07:31</v>
          </cell>
          <cell r="X1638" t="str">
            <v>178921000</v>
          </cell>
        </row>
        <row r="1639">
          <cell r="A1639">
            <v>1635</v>
          </cell>
          <cell r="B1639" t="str">
            <v>2018-11-26</v>
          </cell>
          <cell r="C1639" t="str">
            <v>키즈락</v>
          </cell>
          <cell r="D1639">
            <v>0</v>
          </cell>
          <cell r="E1639" t="str">
            <v>일반</v>
          </cell>
          <cell r="F1639" t="str">
            <v>입고완료</v>
          </cell>
          <cell r="G1639">
            <v>130633</v>
          </cell>
          <cell r="H1639" t="str">
            <v>쉐프솔루션 미트볼(NEW_100±5개입 1Kg/EA)</v>
          </cell>
          <cell r="I1639" t="str">
            <v>EA</v>
          </cell>
          <cell r="J1639">
            <v>35</v>
          </cell>
          <cell r="K1639">
            <v>35</v>
          </cell>
          <cell r="L1639">
            <v>4340</v>
          </cell>
          <cell r="M1639">
            <v>151900</v>
          </cell>
          <cell r="N1639">
            <v>15190</v>
          </cell>
          <cell r="O1639">
            <v>167090</v>
          </cell>
          <cell r="P1639">
            <v>0</v>
          </cell>
          <cell r="Q1639" t="str">
            <v/>
          </cell>
          <cell r="R1639" t="str">
            <v>냉동</v>
          </cell>
          <cell r="S1639" t="str">
            <v>EA(5)</v>
          </cell>
          <cell r="T1639" t="str">
            <v/>
          </cell>
          <cell r="U1639" t="str">
            <v/>
          </cell>
          <cell r="V1639" t="str">
            <v>2018-11-22</v>
          </cell>
          <cell r="W1639" t="str">
            <v>2018-11-22 13:08:51</v>
          </cell>
          <cell r="X1639" t="str">
            <v>178921000</v>
          </cell>
        </row>
        <row r="1640">
          <cell r="A1640">
            <v>1636</v>
          </cell>
          <cell r="B1640" t="str">
            <v>2018-11-26</v>
          </cell>
          <cell r="C1640" t="str">
            <v>키즈락</v>
          </cell>
          <cell r="D1640">
            <v>0</v>
          </cell>
          <cell r="E1640" t="str">
            <v>일반</v>
          </cell>
          <cell r="F1640" t="str">
            <v>입고완료</v>
          </cell>
          <cell r="G1640">
            <v>120901</v>
          </cell>
          <cell r="H1640" t="str">
            <v>이츠웰 도토리묵(슬라이스_18 1g*161조각 3Kg/EA)</v>
          </cell>
          <cell r="I1640" t="str">
            <v>EA</v>
          </cell>
          <cell r="J1640">
            <v>12</v>
          </cell>
          <cell r="K1640">
            <v>12</v>
          </cell>
          <cell r="L1640">
            <v>5520</v>
          </cell>
          <cell r="M1640">
            <v>66240</v>
          </cell>
          <cell r="N1640">
            <v>6624</v>
          </cell>
          <cell r="O1640">
            <v>72864</v>
          </cell>
          <cell r="P1640">
            <v>0</v>
          </cell>
          <cell r="Q1640" t="str">
            <v>중국</v>
          </cell>
          <cell r="R1640" t="str">
            <v>냉장</v>
          </cell>
          <cell r="S1640" t="str">
            <v>EA(1)</v>
          </cell>
          <cell r="T1640" t="str">
            <v/>
          </cell>
          <cell r="U1640" t="str">
            <v/>
          </cell>
          <cell r="V1640" t="str">
            <v>2018-11-22</v>
          </cell>
          <cell r="W1640" t="str">
            <v>2018-11-22 13:11:09</v>
          </cell>
          <cell r="X1640" t="str">
            <v>178921000</v>
          </cell>
        </row>
        <row r="1641">
          <cell r="A1641">
            <v>1637</v>
          </cell>
          <cell r="B1641" t="str">
            <v>2018-11-26</v>
          </cell>
          <cell r="C1641" t="str">
            <v>키즈락</v>
          </cell>
          <cell r="D1641">
            <v>0</v>
          </cell>
          <cell r="E1641" t="str">
            <v>일반</v>
          </cell>
          <cell r="F1641" t="str">
            <v>입고완료</v>
          </cell>
          <cell r="G1641">
            <v>168258</v>
          </cell>
          <cell r="H1641" t="str">
            <v>명품 판두부(부침용 3Kg/EA)</v>
          </cell>
          <cell r="I1641" t="str">
            <v>EA</v>
          </cell>
          <cell r="J1641">
            <v>6</v>
          </cell>
          <cell r="K1641">
            <v>6</v>
          </cell>
          <cell r="L1641">
            <v>4000</v>
          </cell>
          <cell r="M1641">
            <v>24000</v>
          </cell>
          <cell r="N1641">
            <v>0</v>
          </cell>
          <cell r="O1641">
            <v>24000</v>
          </cell>
          <cell r="P1641">
            <v>0</v>
          </cell>
          <cell r="Q1641" t="str">
            <v>수입산</v>
          </cell>
          <cell r="R1641" t="str">
            <v>냉장</v>
          </cell>
          <cell r="S1641" t="str">
            <v>EA(1)</v>
          </cell>
          <cell r="T1641" t="str">
            <v/>
          </cell>
          <cell r="U1641" t="str">
            <v/>
          </cell>
          <cell r="V1641" t="str">
            <v>2018-11-23</v>
          </cell>
          <cell r="W1641" t="str">
            <v>2018-11-23 11:57:49</v>
          </cell>
          <cell r="X1641" t="str">
            <v>178921000</v>
          </cell>
        </row>
        <row r="1642">
          <cell r="A1642">
            <v>1638</v>
          </cell>
          <cell r="B1642" t="str">
            <v>2018-11-26</v>
          </cell>
          <cell r="C1642" t="str">
            <v>키즈락</v>
          </cell>
          <cell r="D1642">
            <v>0</v>
          </cell>
          <cell r="E1642" t="str">
            <v>일반</v>
          </cell>
          <cell r="F1642" t="str">
            <v>입고완료</v>
          </cell>
          <cell r="G1642">
            <v>193090</v>
          </cell>
          <cell r="H1642" t="str">
            <v>냉동감자(절단_3~4cm 1Kg/EA)</v>
          </cell>
          <cell r="I1642" t="str">
            <v>EA</v>
          </cell>
          <cell r="J1642">
            <v>20</v>
          </cell>
          <cell r="K1642">
            <v>20</v>
          </cell>
          <cell r="L1642">
            <v>1980</v>
          </cell>
          <cell r="M1642">
            <v>39600</v>
          </cell>
          <cell r="N1642">
            <v>3960</v>
          </cell>
          <cell r="O1642">
            <v>43560</v>
          </cell>
          <cell r="P1642">
            <v>0</v>
          </cell>
          <cell r="Q1642" t="str">
            <v>중국</v>
          </cell>
          <cell r="R1642" t="str">
            <v>냉동</v>
          </cell>
          <cell r="S1642" t="str">
            <v>EA(1)</v>
          </cell>
          <cell r="T1642" t="str">
            <v/>
          </cell>
          <cell r="U1642" t="str">
            <v/>
          </cell>
          <cell r="V1642" t="str">
            <v>2018-11-23</v>
          </cell>
          <cell r="W1642" t="str">
            <v>2018-11-23 12:06:02</v>
          </cell>
          <cell r="X1642" t="str">
            <v>178921000</v>
          </cell>
        </row>
        <row r="1643">
          <cell r="A1643">
            <v>1639</v>
          </cell>
          <cell r="B1643" t="str">
            <v>2018-11-26</v>
          </cell>
          <cell r="C1643" t="str">
            <v>키즈락</v>
          </cell>
          <cell r="D1643">
            <v>0</v>
          </cell>
          <cell r="E1643" t="str">
            <v>일반</v>
          </cell>
          <cell r="F1643" t="str">
            <v>입고완료</v>
          </cell>
          <cell r="G1643">
            <v>420010</v>
          </cell>
          <cell r="H1643" t="str">
            <v>알로팜 계란(왕란_무항생제_68g*30입 2.04Kg/EA)</v>
          </cell>
          <cell r="I1643" t="str">
            <v>EA</v>
          </cell>
          <cell r="J1643">
            <v>10</v>
          </cell>
          <cell r="K1643">
            <v>10</v>
          </cell>
          <cell r="L1643">
            <v>4860</v>
          </cell>
          <cell r="M1643">
            <v>48600</v>
          </cell>
          <cell r="N1643">
            <v>0</v>
          </cell>
          <cell r="O1643">
            <v>48600</v>
          </cell>
          <cell r="P1643">
            <v>48600</v>
          </cell>
          <cell r="Q1643" t="str">
            <v>한국</v>
          </cell>
          <cell r="R1643" t="str">
            <v>냉장</v>
          </cell>
          <cell r="S1643" t="str">
            <v>EA(1)</v>
          </cell>
          <cell r="T1643" t="str">
            <v/>
          </cell>
          <cell r="U1643" t="str">
            <v/>
          </cell>
          <cell r="V1643" t="str">
            <v>2018-11-23</v>
          </cell>
          <cell r="W1643" t="str">
            <v>2018-11-23 13:14:23</v>
          </cell>
          <cell r="X1643" t="str">
            <v>178921000</v>
          </cell>
        </row>
        <row r="1644">
          <cell r="A1644">
            <v>1640</v>
          </cell>
          <cell r="B1644" t="str">
            <v>2018-11-26</v>
          </cell>
          <cell r="C1644" t="str">
            <v>키즈락</v>
          </cell>
          <cell r="D1644">
            <v>0</v>
          </cell>
          <cell r="E1644" t="str">
            <v>일반</v>
          </cell>
          <cell r="F1644" t="str">
            <v>입고완료</v>
          </cell>
          <cell r="G1644">
            <v>192878</v>
          </cell>
          <cell r="H1644" t="str">
            <v>소이원 콩나물(곱슬이_단채 KG)</v>
          </cell>
          <cell r="I1644" t="str">
            <v>KG</v>
          </cell>
          <cell r="J1644">
            <v>4</v>
          </cell>
          <cell r="K1644">
            <v>4</v>
          </cell>
          <cell r="L1644">
            <v>930</v>
          </cell>
          <cell r="M1644">
            <v>3720</v>
          </cell>
          <cell r="N1644">
            <v>0</v>
          </cell>
          <cell r="O1644">
            <v>3720</v>
          </cell>
          <cell r="P1644">
            <v>0</v>
          </cell>
          <cell r="Q1644" t="str">
            <v>외국산</v>
          </cell>
          <cell r="R1644" t="str">
            <v>냉장</v>
          </cell>
          <cell r="S1644" t="str">
            <v>KG(1)</v>
          </cell>
          <cell r="T1644" t="str">
            <v/>
          </cell>
          <cell r="U1644" t="str">
            <v/>
          </cell>
          <cell r="V1644" t="str">
            <v>2018-11-23</v>
          </cell>
          <cell r="W1644" t="str">
            <v>2018-11-23 14:22:51</v>
          </cell>
          <cell r="X1644" t="str">
            <v>178921000</v>
          </cell>
        </row>
        <row r="1645">
          <cell r="A1645">
            <v>1641</v>
          </cell>
          <cell r="B1645" t="str">
            <v>2018-11-26</v>
          </cell>
          <cell r="C1645" t="str">
            <v>키즈락</v>
          </cell>
          <cell r="D1645">
            <v>0</v>
          </cell>
          <cell r="E1645" t="str">
            <v>일반</v>
          </cell>
          <cell r="F1645" t="str">
            <v>입고완료</v>
          </cell>
          <cell r="G1645">
            <v>235364</v>
          </cell>
          <cell r="H1645" t="str">
            <v>삼승 프리미엄통닭(1등급 9호_900±50g/마리_껍질있음 900g/EA)</v>
          </cell>
          <cell r="I1645" t="str">
            <v>EA</v>
          </cell>
          <cell r="J1645">
            <v>3</v>
          </cell>
          <cell r="K1645">
            <v>3</v>
          </cell>
          <cell r="L1645">
            <v>3490</v>
          </cell>
          <cell r="M1645">
            <v>10470</v>
          </cell>
          <cell r="N1645">
            <v>0</v>
          </cell>
          <cell r="O1645">
            <v>10470</v>
          </cell>
          <cell r="P1645">
            <v>0</v>
          </cell>
          <cell r="Q1645" t="str">
            <v>한국</v>
          </cell>
          <cell r="R1645" t="str">
            <v>냉장</v>
          </cell>
          <cell r="S1645" t="str">
            <v>EA(1)</v>
          </cell>
          <cell r="T1645" t="str">
            <v/>
          </cell>
          <cell r="U1645" t="str">
            <v/>
          </cell>
          <cell r="V1645" t="str">
            <v>2018-11-23</v>
          </cell>
          <cell r="W1645" t="str">
            <v>2018-11-23 14:30:03</v>
          </cell>
          <cell r="X1645" t="str">
            <v>178921000</v>
          </cell>
        </row>
        <row r="1646">
          <cell r="A1646">
            <v>1642</v>
          </cell>
          <cell r="B1646" t="str">
            <v>2018-11-23</v>
          </cell>
          <cell r="C1646">
            <v>0</v>
          </cell>
          <cell r="D1646">
            <v>0</v>
          </cell>
          <cell r="E1646">
            <v>0</v>
          </cell>
          <cell r="F1646">
            <v>0</v>
          </cell>
          <cell r="G1646">
            <v>0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</row>
        <row r="1647">
          <cell r="A1647">
            <v>1643</v>
          </cell>
          <cell r="B1647" t="str">
            <v>2018-11-23</v>
          </cell>
          <cell r="C1647" t="str">
            <v>키즈락</v>
          </cell>
          <cell r="D1647">
            <v>0</v>
          </cell>
          <cell r="E1647" t="str">
            <v>일반</v>
          </cell>
          <cell r="F1647" t="str">
            <v>입고완료</v>
          </cell>
          <cell r="G1647">
            <v>231156</v>
          </cell>
          <cell r="H1647" t="str">
            <v>종가집 포기김치(중숙 10Kg/BOX)</v>
          </cell>
          <cell r="I1647" t="str">
            <v>BOX</v>
          </cell>
          <cell r="J1647">
            <v>7</v>
          </cell>
          <cell r="K1647">
            <v>7</v>
          </cell>
          <cell r="L1647">
            <v>31390</v>
          </cell>
          <cell r="M1647">
            <v>219730</v>
          </cell>
          <cell r="N1647">
            <v>0</v>
          </cell>
          <cell r="O1647">
            <v>219730</v>
          </cell>
          <cell r="P1647">
            <v>0</v>
          </cell>
          <cell r="Q1647" t="str">
            <v>한국</v>
          </cell>
          <cell r="R1647" t="str">
            <v>냉장</v>
          </cell>
          <cell r="S1647" t="str">
            <v>BOX(1)</v>
          </cell>
          <cell r="T1647" t="str">
            <v/>
          </cell>
          <cell r="U1647" t="str">
            <v/>
          </cell>
          <cell r="V1647" t="str">
            <v>2018-11-07</v>
          </cell>
          <cell r="W1647" t="str">
            <v>2018-11-07 12:56:51</v>
          </cell>
          <cell r="X1647" t="str">
            <v>178921000</v>
          </cell>
        </row>
        <row r="1648">
          <cell r="A1648">
            <v>1644</v>
          </cell>
          <cell r="B1648" t="str">
            <v>2018-11-23</v>
          </cell>
          <cell r="C1648" t="str">
            <v>키즈락</v>
          </cell>
          <cell r="D1648">
            <v>0</v>
          </cell>
          <cell r="E1648" t="str">
            <v>일반</v>
          </cell>
          <cell r="F1648" t="str">
            <v>입고완료</v>
          </cell>
          <cell r="G1648">
            <v>125921</v>
          </cell>
          <cell r="H1648" t="str">
            <v>튼튼스쿨 쥬시햄벅스테이크(60g*16입 960g/EA)</v>
          </cell>
          <cell r="I1648" t="str">
            <v>EA</v>
          </cell>
          <cell r="J1648">
            <v>30</v>
          </cell>
          <cell r="K1648">
            <v>30</v>
          </cell>
          <cell r="L1648">
            <v>8850</v>
          </cell>
          <cell r="M1648">
            <v>265500</v>
          </cell>
          <cell r="N1648">
            <v>26550</v>
          </cell>
          <cell r="O1648">
            <v>292050</v>
          </cell>
          <cell r="P1648">
            <v>0</v>
          </cell>
          <cell r="Q1648" t="str">
            <v/>
          </cell>
          <cell r="R1648" t="str">
            <v>냉동</v>
          </cell>
          <cell r="S1648" t="str">
            <v>EA(6)</v>
          </cell>
          <cell r="T1648" t="str">
            <v/>
          </cell>
          <cell r="U1648" t="str">
            <v/>
          </cell>
          <cell r="V1648" t="str">
            <v>2018-11-09</v>
          </cell>
          <cell r="W1648" t="str">
            <v>2018-11-09 13:36:23</v>
          </cell>
          <cell r="X1648" t="str">
            <v>178921000</v>
          </cell>
        </row>
        <row r="1649">
          <cell r="A1649">
            <v>1645</v>
          </cell>
          <cell r="B1649" t="str">
            <v>2018-11-23</v>
          </cell>
          <cell r="C1649" t="str">
            <v>키즈락</v>
          </cell>
          <cell r="D1649">
            <v>0</v>
          </cell>
          <cell r="E1649" t="str">
            <v>일반</v>
          </cell>
          <cell r="F1649" t="str">
            <v>입고완료</v>
          </cell>
          <cell r="G1649">
            <v>249240</v>
          </cell>
          <cell r="H1649" t="str">
            <v>파스타빌라 스파게티(500g/EA)</v>
          </cell>
          <cell r="I1649" t="str">
            <v>EA</v>
          </cell>
          <cell r="J1649">
            <v>7</v>
          </cell>
          <cell r="K1649">
            <v>7</v>
          </cell>
          <cell r="L1649">
            <v>690</v>
          </cell>
          <cell r="M1649">
            <v>4830</v>
          </cell>
          <cell r="N1649">
            <v>483</v>
          </cell>
          <cell r="O1649">
            <v>5313</v>
          </cell>
          <cell r="P1649">
            <v>0</v>
          </cell>
          <cell r="Q1649" t="str">
            <v>터키</v>
          </cell>
          <cell r="R1649" t="str">
            <v>실온</v>
          </cell>
          <cell r="S1649" t="str">
            <v>EA(20)</v>
          </cell>
          <cell r="T1649" t="str">
            <v/>
          </cell>
          <cell r="U1649" t="str">
            <v/>
          </cell>
          <cell r="V1649" t="str">
            <v>2018-11-20</v>
          </cell>
          <cell r="W1649" t="str">
            <v>2018-11-20 12:07:24</v>
          </cell>
          <cell r="X1649" t="str">
            <v>178921000</v>
          </cell>
        </row>
        <row r="1650">
          <cell r="A1650">
            <v>1646</v>
          </cell>
          <cell r="B1650" t="str">
            <v>2018-11-23</v>
          </cell>
          <cell r="C1650" t="str">
            <v>키즈락</v>
          </cell>
          <cell r="D1650">
            <v>0</v>
          </cell>
          <cell r="E1650" t="str">
            <v>일반</v>
          </cell>
          <cell r="F1650" t="str">
            <v>입고완료</v>
          </cell>
          <cell r="G1650">
            <v>319698</v>
          </cell>
          <cell r="H1650" t="str">
            <v>전장김(25g/EA)</v>
          </cell>
          <cell r="I1650" t="str">
            <v>EA</v>
          </cell>
          <cell r="J1650">
            <v>10</v>
          </cell>
          <cell r="K1650">
            <v>10</v>
          </cell>
          <cell r="L1650">
            <v>760</v>
          </cell>
          <cell r="M1650">
            <v>7600</v>
          </cell>
          <cell r="N1650">
            <v>760</v>
          </cell>
          <cell r="O1650">
            <v>8360</v>
          </cell>
          <cell r="P1650">
            <v>0</v>
          </cell>
          <cell r="Q1650" t="str">
            <v>한국</v>
          </cell>
          <cell r="R1650" t="str">
            <v>실온</v>
          </cell>
          <cell r="S1650" t="str">
            <v>EA(40)</v>
          </cell>
          <cell r="T1650" t="str">
            <v/>
          </cell>
          <cell r="U1650" t="str">
            <v/>
          </cell>
          <cell r="V1650" t="str">
            <v>2018-11-20</v>
          </cell>
          <cell r="W1650" t="str">
            <v>2018-11-20 12:08:41</v>
          </cell>
          <cell r="X1650" t="str">
            <v>178921000</v>
          </cell>
        </row>
        <row r="1651">
          <cell r="A1651">
            <v>1647</v>
          </cell>
          <cell r="B1651" t="str">
            <v>2018-11-23</v>
          </cell>
          <cell r="C1651" t="str">
            <v>키즈락</v>
          </cell>
          <cell r="D1651">
            <v>0</v>
          </cell>
          <cell r="E1651" t="str">
            <v>일반</v>
          </cell>
          <cell r="F1651" t="str">
            <v>입고완료</v>
          </cell>
          <cell r="G1651">
            <v>173174</v>
          </cell>
          <cell r="H1651" t="str">
            <v>이츠웰 치킨너겟(골든 55±3개입 1Kg/EA)</v>
          </cell>
          <cell r="I1651" t="str">
            <v>EA</v>
          </cell>
          <cell r="J1651">
            <v>3</v>
          </cell>
          <cell r="K1651">
            <v>3</v>
          </cell>
          <cell r="L1651">
            <v>4700</v>
          </cell>
          <cell r="M1651">
            <v>14100</v>
          </cell>
          <cell r="N1651">
            <v>1410</v>
          </cell>
          <cell r="O1651">
            <v>15510</v>
          </cell>
          <cell r="P1651">
            <v>0</v>
          </cell>
          <cell r="Q1651" t="str">
            <v>한국</v>
          </cell>
          <cell r="R1651" t="str">
            <v>냉동</v>
          </cell>
          <cell r="S1651" t="str">
            <v>EA(10)</v>
          </cell>
          <cell r="T1651" t="str">
            <v/>
          </cell>
          <cell r="U1651" t="str">
            <v/>
          </cell>
          <cell r="V1651" t="str">
            <v>2018-11-20</v>
          </cell>
          <cell r="W1651" t="str">
            <v>2018-11-20 12:09:30</v>
          </cell>
          <cell r="X1651" t="str">
            <v>178921000</v>
          </cell>
        </row>
        <row r="1652">
          <cell r="A1652">
            <v>1648</v>
          </cell>
          <cell r="B1652" t="str">
            <v>2018-11-23</v>
          </cell>
          <cell r="C1652" t="str">
            <v>키즈락</v>
          </cell>
          <cell r="D1652">
            <v>0</v>
          </cell>
          <cell r="E1652" t="str">
            <v>일반</v>
          </cell>
          <cell r="F1652" t="str">
            <v>입고완료</v>
          </cell>
          <cell r="G1652">
            <v>136702</v>
          </cell>
          <cell r="H1652" t="str">
            <v>마더구스 케익(NEW브라우니_80조각 800g/EA)</v>
          </cell>
          <cell r="I1652" t="str">
            <v>EA</v>
          </cell>
          <cell r="J1652">
            <v>2</v>
          </cell>
          <cell r="K1652">
            <v>2</v>
          </cell>
          <cell r="L1652">
            <v>8750</v>
          </cell>
          <cell r="M1652">
            <v>17500</v>
          </cell>
          <cell r="N1652">
            <v>1750</v>
          </cell>
          <cell r="O1652">
            <v>19250</v>
          </cell>
          <cell r="P1652">
            <v>0</v>
          </cell>
          <cell r="Q1652" t="str">
            <v/>
          </cell>
          <cell r="R1652" t="str">
            <v>냉동</v>
          </cell>
          <cell r="S1652" t="str">
            <v>EA(10)</v>
          </cell>
          <cell r="T1652" t="str">
            <v/>
          </cell>
          <cell r="U1652" t="str">
            <v/>
          </cell>
          <cell r="V1652" t="str">
            <v>2018-11-20</v>
          </cell>
          <cell r="W1652" t="str">
            <v>2018-11-20 12:11:18</v>
          </cell>
          <cell r="X1652" t="str">
            <v>178921000</v>
          </cell>
        </row>
        <row r="1653">
          <cell r="A1653">
            <v>1649</v>
          </cell>
          <cell r="B1653" t="str">
            <v>2018-11-23</v>
          </cell>
          <cell r="C1653" t="str">
            <v>키즈락</v>
          </cell>
          <cell r="D1653">
            <v>0</v>
          </cell>
          <cell r="E1653" t="str">
            <v>일반</v>
          </cell>
          <cell r="F1653" t="str">
            <v>입고완료</v>
          </cell>
          <cell r="G1653">
            <v>166334</v>
          </cell>
          <cell r="H1653" t="str">
            <v>종로복떡방 흰꿀떡(멥쌀_20G*50입 1Kg/EA)</v>
          </cell>
          <cell r="I1653" t="str">
            <v>EA</v>
          </cell>
          <cell r="J1653">
            <v>3</v>
          </cell>
          <cell r="K1653">
            <v>3</v>
          </cell>
          <cell r="L1653">
            <v>6750</v>
          </cell>
          <cell r="M1653">
            <v>20250</v>
          </cell>
          <cell r="N1653">
            <v>2025</v>
          </cell>
          <cell r="O1653">
            <v>22275</v>
          </cell>
          <cell r="P1653">
            <v>0</v>
          </cell>
          <cell r="Q1653" t="str">
            <v/>
          </cell>
          <cell r="R1653" t="str">
            <v>냉동</v>
          </cell>
          <cell r="S1653" t="str">
            <v>EA(1)</v>
          </cell>
          <cell r="T1653" t="str">
            <v/>
          </cell>
          <cell r="U1653" t="str">
            <v/>
          </cell>
          <cell r="V1653" t="str">
            <v>2018-11-20</v>
          </cell>
          <cell r="W1653" t="str">
            <v>2018-11-20 12:11:39</v>
          </cell>
          <cell r="X1653" t="str">
            <v>178921000</v>
          </cell>
        </row>
        <row r="1654">
          <cell r="A1654">
            <v>1650</v>
          </cell>
          <cell r="B1654" t="str">
            <v>2018-11-23</v>
          </cell>
          <cell r="C1654" t="str">
            <v>키즈락</v>
          </cell>
          <cell r="D1654">
            <v>0</v>
          </cell>
          <cell r="E1654" t="str">
            <v>일반</v>
          </cell>
          <cell r="F1654" t="str">
            <v>입고완료</v>
          </cell>
          <cell r="G1654">
            <v>206876</v>
          </cell>
          <cell r="H1654" t="str">
            <v>바나나(1송이_17~21개입 2Kg/PAC)</v>
          </cell>
          <cell r="I1654" t="str">
            <v>PAC</v>
          </cell>
          <cell r="J1654">
            <v>2</v>
          </cell>
          <cell r="K1654">
            <v>2</v>
          </cell>
          <cell r="L1654">
            <v>5590</v>
          </cell>
          <cell r="M1654">
            <v>11180</v>
          </cell>
          <cell r="N1654">
            <v>0</v>
          </cell>
          <cell r="O1654">
            <v>11180</v>
          </cell>
          <cell r="P1654">
            <v>0</v>
          </cell>
          <cell r="Q1654" t="str">
            <v>필리핀</v>
          </cell>
          <cell r="R1654" t="str">
            <v>실온</v>
          </cell>
          <cell r="S1654" t="str">
            <v>PAC(1)</v>
          </cell>
          <cell r="T1654" t="str">
            <v/>
          </cell>
          <cell r="U1654" t="str">
            <v/>
          </cell>
          <cell r="V1654" t="str">
            <v>2018-11-20</v>
          </cell>
          <cell r="W1654" t="str">
            <v>2018-11-20 12:12:30</v>
          </cell>
          <cell r="X1654" t="str">
            <v>178921000</v>
          </cell>
        </row>
        <row r="1655">
          <cell r="A1655">
            <v>1651</v>
          </cell>
          <cell r="B1655" t="str">
            <v>2018-11-23</v>
          </cell>
          <cell r="C1655" t="str">
            <v>키즈락</v>
          </cell>
          <cell r="D1655">
            <v>0</v>
          </cell>
          <cell r="E1655" t="str">
            <v>일반</v>
          </cell>
          <cell r="F1655" t="str">
            <v>입고완료</v>
          </cell>
          <cell r="G1655">
            <v>411038</v>
          </cell>
          <cell r="H1655" t="str">
            <v>누리웰 깐메추리알(1Kg/EA)</v>
          </cell>
          <cell r="I1655" t="str">
            <v>EA</v>
          </cell>
          <cell r="J1655">
            <v>17</v>
          </cell>
          <cell r="K1655">
            <v>17</v>
          </cell>
          <cell r="L1655">
            <v>4960</v>
          </cell>
          <cell r="M1655">
            <v>84320</v>
          </cell>
          <cell r="N1655">
            <v>8432</v>
          </cell>
          <cell r="O1655">
            <v>92752</v>
          </cell>
          <cell r="P1655">
            <v>0</v>
          </cell>
          <cell r="Q1655" t="str">
            <v>한국</v>
          </cell>
          <cell r="R1655" t="str">
            <v>냉장</v>
          </cell>
          <cell r="S1655" t="str">
            <v>EA(10)</v>
          </cell>
          <cell r="T1655" t="str">
            <v/>
          </cell>
          <cell r="U1655" t="str">
            <v/>
          </cell>
          <cell r="V1655" t="str">
            <v>2018-11-21</v>
          </cell>
          <cell r="W1655" t="str">
            <v>2018-11-21 12:55:37</v>
          </cell>
          <cell r="X1655" t="str">
            <v>178921000</v>
          </cell>
        </row>
        <row r="1656">
          <cell r="A1656">
            <v>1652</v>
          </cell>
          <cell r="B1656" t="str">
            <v>2018-11-23</v>
          </cell>
          <cell r="C1656" t="str">
            <v>키즈락</v>
          </cell>
          <cell r="D1656">
            <v>0</v>
          </cell>
          <cell r="E1656" t="str">
            <v>일반</v>
          </cell>
          <cell r="F1656" t="str">
            <v>입고완료</v>
          </cell>
          <cell r="G1656">
            <v>154930</v>
          </cell>
          <cell r="H1656" t="str">
            <v>사조대림 곤약(LOW칼로리생활 2Kg/EA)</v>
          </cell>
          <cell r="I1656" t="str">
            <v>EA</v>
          </cell>
          <cell r="J1656">
            <v>1</v>
          </cell>
          <cell r="K1656">
            <v>1</v>
          </cell>
          <cell r="L1656">
            <v>3920</v>
          </cell>
          <cell r="M1656">
            <v>3920</v>
          </cell>
          <cell r="N1656">
            <v>392</v>
          </cell>
          <cell r="O1656">
            <v>4312</v>
          </cell>
          <cell r="P1656">
            <v>0</v>
          </cell>
          <cell r="Q1656" t="str">
            <v/>
          </cell>
          <cell r="R1656" t="str">
            <v>실온</v>
          </cell>
          <cell r="S1656" t="str">
            <v>EA(6)</v>
          </cell>
          <cell r="T1656" t="str">
            <v/>
          </cell>
          <cell r="U1656" t="str">
            <v/>
          </cell>
          <cell r="V1656" t="str">
            <v>2018-11-21</v>
          </cell>
          <cell r="W1656" t="str">
            <v>2018-11-21 12:56:45</v>
          </cell>
          <cell r="X1656" t="str">
            <v>178921000</v>
          </cell>
        </row>
        <row r="1657">
          <cell r="A1657">
            <v>1653</v>
          </cell>
          <cell r="B1657" t="str">
            <v>2018-11-23</v>
          </cell>
          <cell r="C1657" t="str">
            <v>키즈락</v>
          </cell>
          <cell r="D1657">
            <v>0</v>
          </cell>
          <cell r="E1657" t="str">
            <v>일반</v>
          </cell>
          <cell r="F1657" t="str">
            <v>입고완료</v>
          </cell>
          <cell r="G1657">
            <v>211037</v>
          </cell>
          <cell r="H1657" t="str">
            <v>느타리버섯(실속 균상 2Kg/EA)</v>
          </cell>
          <cell r="I1657" t="str">
            <v>BOX</v>
          </cell>
          <cell r="J1657">
            <v>9</v>
          </cell>
          <cell r="K1657">
            <v>9</v>
          </cell>
          <cell r="L1657">
            <v>7650</v>
          </cell>
          <cell r="M1657">
            <v>68850</v>
          </cell>
          <cell r="N1657">
            <v>0</v>
          </cell>
          <cell r="O1657">
            <v>68850</v>
          </cell>
          <cell r="P1657">
            <v>0</v>
          </cell>
          <cell r="Q1657" t="str">
            <v>한국</v>
          </cell>
          <cell r="R1657" t="str">
            <v>냉장</v>
          </cell>
          <cell r="S1657" t="str">
            <v>EA(1)</v>
          </cell>
          <cell r="T1657" t="str">
            <v/>
          </cell>
          <cell r="U1657" t="str">
            <v/>
          </cell>
          <cell r="V1657" t="str">
            <v>2018-11-21</v>
          </cell>
          <cell r="W1657" t="str">
            <v>2018-11-21 12:57:51</v>
          </cell>
          <cell r="X1657" t="str">
            <v>178921000</v>
          </cell>
        </row>
        <row r="1658">
          <cell r="A1658">
            <v>1654</v>
          </cell>
          <cell r="B1658" t="str">
            <v>2018-11-23</v>
          </cell>
          <cell r="C1658" t="str">
            <v>키즈락</v>
          </cell>
          <cell r="D1658">
            <v>0</v>
          </cell>
          <cell r="E1658" t="str">
            <v>일반</v>
          </cell>
          <cell r="F1658" t="str">
            <v>입고완료</v>
          </cell>
          <cell r="G1658">
            <v>214113</v>
          </cell>
          <cell r="H1658" t="str">
            <v>아이누리 팽이버섯(1Kg/EA)</v>
          </cell>
          <cell r="I1658" t="str">
            <v>EA</v>
          </cell>
          <cell r="J1658">
            <v>1</v>
          </cell>
          <cell r="K1658">
            <v>1</v>
          </cell>
          <cell r="L1658">
            <v>3970</v>
          </cell>
          <cell r="M1658">
            <v>3970</v>
          </cell>
          <cell r="N1658">
            <v>0</v>
          </cell>
          <cell r="O1658">
            <v>3970</v>
          </cell>
          <cell r="P1658">
            <v>0</v>
          </cell>
          <cell r="Q1658" t="str">
            <v>한국</v>
          </cell>
          <cell r="R1658" t="str">
            <v>냉장</v>
          </cell>
          <cell r="S1658" t="str">
            <v>EA(1)</v>
          </cell>
          <cell r="T1658" t="str">
            <v/>
          </cell>
          <cell r="U1658" t="str">
            <v/>
          </cell>
          <cell r="V1658" t="str">
            <v>2018-11-21</v>
          </cell>
          <cell r="W1658" t="str">
            <v>2018-11-21 12:58:16</v>
          </cell>
          <cell r="X1658" t="str">
            <v>178921000</v>
          </cell>
        </row>
        <row r="1659">
          <cell r="A1659">
            <v>1655</v>
          </cell>
          <cell r="B1659" t="str">
            <v>2018-11-23</v>
          </cell>
          <cell r="C1659" t="str">
            <v>키즈락</v>
          </cell>
          <cell r="D1659">
            <v>0</v>
          </cell>
          <cell r="E1659" t="str">
            <v>일반</v>
          </cell>
          <cell r="F1659" t="str">
            <v>입고완료</v>
          </cell>
          <cell r="G1659">
            <v>191032</v>
          </cell>
          <cell r="H1659" t="str">
            <v>단감(4~5개 1Kg/EA)</v>
          </cell>
          <cell r="I1659" t="str">
            <v>EA</v>
          </cell>
          <cell r="J1659">
            <v>7</v>
          </cell>
          <cell r="K1659">
            <v>7</v>
          </cell>
          <cell r="L1659">
            <v>4070</v>
          </cell>
          <cell r="M1659">
            <v>28490</v>
          </cell>
          <cell r="N1659">
            <v>0</v>
          </cell>
          <cell r="O1659">
            <v>28490</v>
          </cell>
          <cell r="P1659">
            <v>0</v>
          </cell>
          <cell r="Q1659" t="str">
            <v>한국</v>
          </cell>
          <cell r="R1659" t="str">
            <v>냉장</v>
          </cell>
          <cell r="S1659" t="str">
            <v>EA(1)</v>
          </cell>
          <cell r="T1659" t="str">
            <v/>
          </cell>
          <cell r="U1659" t="str">
            <v/>
          </cell>
          <cell r="V1659" t="str">
            <v>2018-11-21</v>
          </cell>
          <cell r="W1659" t="str">
            <v>2018-11-21 13:34:14</v>
          </cell>
          <cell r="X1659" t="str">
            <v>178921000</v>
          </cell>
        </row>
        <row r="1660">
          <cell r="A1660">
            <v>1656</v>
          </cell>
          <cell r="B1660" t="str">
            <v>2018-11-23</v>
          </cell>
          <cell r="C1660" t="str">
            <v>키즈락</v>
          </cell>
          <cell r="D1660">
            <v>0</v>
          </cell>
          <cell r="E1660" t="str">
            <v>일반</v>
          </cell>
          <cell r="F1660" t="str">
            <v>입고완료</v>
          </cell>
          <cell r="G1660">
            <v>129807</v>
          </cell>
          <cell r="H1660" t="str">
            <v>삼호 유부주머니(20입 700g/EA)</v>
          </cell>
          <cell r="I1660" t="str">
            <v>EA</v>
          </cell>
          <cell r="J1660">
            <v>1</v>
          </cell>
          <cell r="K1660">
            <v>1</v>
          </cell>
          <cell r="L1660">
            <v>7170</v>
          </cell>
          <cell r="M1660">
            <v>7170</v>
          </cell>
          <cell r="N1660">
            <v>717</v>
          </cell>
          <cell r="O1660">
            <v>7887</v>
          </cell>
          <cell r="P1660">
            <v>0</v>
          </cell>
          <cell r="Q1660" t="str">
            <v/>
          </cell>
          <cell r="R1660" t="str">
            <v>냉동</v>
          </cell>
          <cell r="S1660" t="str">
            <v>EA(10)</v>
          </cell>
          <cell r="T1660" t="str">
            <v/>
          </cell>
          <cell r="U1660" t="str">
            <v/>
          </cell>
          <cell r="V1660" t="str">
            <v>2018-11-22</v>
          </cell>
          <cell r="W1660" t="str">
            <v>2018-11-22 13:58:13</v>
          </cell>
          <cell r="X1660" t="str">
            <v>178921000</v>
          </cell>
        </row>
        <row r="1661">
          <cell r="A1661">
            <v>1657</v>
          </cell>
          <cell r="B1661" t="str">
            <v>2018-11-23</v>
          </cell>
          <cell r="C1661" t="str">
            <v>키즈락</v>
          </cell>
          <cell r="D1661">
            <v>0</v>
          </cell>
          <cell r="E1661" t="str">
            <v>일반</v>
          </cell>
          <cell r="F1661" t="str">
            <v>입고완료</v>
          </cell>
          <cell r="G1661">
            <v>266412</v>
          </cell>
          <cell r="H1661" t="str">
            <v>한미식품 유부(슬라이스 1Kg/EA)</v>
          </cell>
          <cell r="I1661" t="str">
            <v>EA</v>
          </cell>
          <cell r="J1661">
            <v>1</v>
          </cell>
          <cell r="K1661">
            <v>1</v>
          </cell>
          <cell r="L1661">
            <v>6550</v>
          </cell>
          <cell r="M1661">
            <v>6550</v>
          </cell>
          <cell r="N1661">
            <v>655</v>
          </cell>
          <cell r="O1661">
            <v>7205</v>
          </cell>
          <cell r="P1661">
            <v>0</v>
          </cell>
          <cell r="Q1661" t="str">
            <v>외국산</v>
          </cell>
          <cell r="R1661" t="str">
            <v>냉동</v>
          </cell>
          <cell r="S1661" t="str">
            <v>EA(4)</v>
          </cell>
          <cell r="T1661" t="str">
            <v/>
          </cell>
          <cell r="U1661" t="str">
            <v/>
          </cell>
          <cell r="V1661" t="str">
            <v>2018-11-22</v>
          </cell>
          <cell r="W1661" t="str">
            <v>2018-11-22 13:58:13</v>
          </cell>
          <cell r="X1661" t="str">
            <v>178921000</v>
          </cell>
        </row>
        <row r="1662">
          <cell r="A1662">
            <v>1658</v>
          </cell>
          <cell r="B1662" t="str">
            <v>2018-11-23</v>
          </cell>
          <cell r="C1662" t="str">
            <v>키즈락</v>
          </cell>
          <cell r="D1662">
            <v>0</v>
          </cell>
          <cell r="E1662" t="str">
            <v>일반</v>
          </cell>
          <cell r="F1662" t="str">
            <v>입고완료</v>
          </cell>
          <cell r="G1662">
            <v>142565</v>
          </cell>
          <cell r="H1662" t="str">
            <v>반찬단지 고들빼기무침(1Kg/EA)</v>
          </cell>
          <cell r="I1662" t="str">
            <v>EA</v>
          </cell>
          <cell r="J1662">
            <v>5</v>
          </cell>
          <cell r="K1662">
            <v>5</v>
          </cell>
          <cell r="L1662">
            <v>4220</v>
          </cell>
          <cell r="M1662">
            <v>21100</v>
          </cell>
          <cell r="N1662">
            <v>2110</v>
          </cell>
          <cell r="O1662">
            <v>23210</v>
          </cell>
          <cell r="P1662">
            <v>0</v>
          </cell>
          <cell r="Q1662" t="str">
            <v>중국</v>
          </cell>
          <cell r="R1662" t="str">
            <v>냉장</v>
          </cell>
          <cell r="S1662" t="str">
            <v>EA(10)</v>
          </cell>
          <cell r="T1662" t="str">
            <v/>
          </cell>
          <cell r="U1662" t="str">
            <v/>
          </cell>
          <cell r="V1662" t="str">
            <v>2018-11-22</v>
          </cell>
          <cell r="W1662" t="str">
            <v>2018-11-22 14:00:19</v>
          </cell>
          <cell r="X1662" t="str">
            <v>178921000</v>
          </cell>
        </row>
        <row r="1663">
          <cell r="A1663">
            <v>1659</v>
          </cell>
          <cell r="B1663" t="str">
            <v>2018-11-23</v>
          </cell>
          <cell r="C1663" t="str">
            <v>키즈락</v>
          </cell>
          <cell r="D1663">
            <v>0</v>
          </cell>
          <cell r="E1663" t="str">
            <v>일반</v>
          </cell>
          <cell r="F1663" t="str">
            <v>입고완료</v>
          </cell>
          <cell r="G1663">
            <v>168384</v>
          </cell>
          <cell r="H1663" t="str">
            <v>사조대림 사각어묵(알뜰 1Kg/EA)</v>
          </cell>
          <cell r="I1663" t="str">
            <v>EA</v>
          </cell>
          <cell r="J1663">
            <v>4</v>
          </cell>
          <cell r="K1663">
            <v>4</v>
          </cell>
          <cell r="L1663">
            <v>2220</v>
          </cell>
          <cell r="M1663">
            <v>8880</v>
          </cell>
          <cell r="N1663">
            <v>888</v>
          </cell>
          <cell r="O1663">
            <v>9768</v>
          </cell>
          <cell r="P1663">
            <v>0</v>
          </cell>
          <cell r="Q1663" t="str">
            <v/>
          </cell>
          <cell r="R1663" t="str">
            <v>냉장</v>
          </cell>
          <cell r="S1663" t="str">
            <v>EA(1)</v>
          </cell>
          <cell r="T1663" t="str">
            <v/>
          </cell>
          <cell r="U1663" t="str">
            <v/>
          </cell>
          <cell r="V1663" t="str">
            <v>2018-11-22</v>
          </cell>
          <cell r="W1663" t="str">
            <v>2018-11-22 14:02:32</v>
          </cell>
          <cell r="X1663" t="str">
            <v>178921000</v>
          </cell>
        </row>
        <row r="1664">
          <cell r="A1664">
            <v>1660</v>
          </cell>
          <cell r="B1664" t="str">
            <v>2018-11-23</v>
          </cell>
          <cell r="C1664" t="str">
            <v>키즈락</v>
          </cell>
          <cell r="D1664">
            <v>0</v>
          </cell>
          <cell r="E1664" t="str">
            <v>일반</v>
          </cell>
          <cell r="F1664" t="str">
            <v>입고완료</v>
          </cell>
          <cell r="G1664">
            <v>319046</v>
          </cell>
          <cell r="H1664" t="str">
            <v>주일 구운파래김(100매 150g/EA)</v>
          </cell>
          <cell r="I1664" t="str">
            <v>EA</v>
          </cell>
          <cell r="J1664">
            <v>1</v>
          </cell>
          <cell r="K1664">
            <v>1</v>
          </cell>
          <cell r="L1664">
            <v>8050</v>
          </cell>
          <cell r="M1664">
            <v>8050</v>
          </cell>
          <cell r="N1664">
            <v>0</v>
          </cell>
          <cell r="O1664">
            <v>8050</v>
          </cell>
          <cell r="P1664">
            <v>0</v>
          </cell>
          <cell r="Q1664" t="str">
            <v>한국</v>
          </cell>
          <cell r="R1664" t="str">
            <v>실온</v>
          </cell>
          <cell r="S1664" t="str">
            <v>EA(1)</v>
          </cell>
          <cell r="T1664" t="str">
            <v/>
          </cell>
          <cell r="U1664" t="str">
            <v/>
          </cell>
          <cell r="V1664" t="str">
            <v>2018-11-22</v>
          </cell>
          <cell r="W1664" t="str">
            <v>2018-11-22 14:08:03</v>
          </cell>
          <cell r="X1664" t="str">
            <v>178921000</v>
          </cell>
        </row>
        <row r="1665">
          <cell r="A1665">
            <v>1661</v>
          </cell>
          <cell r="B1665" t="str">
            <v>2018-11-23</v>
          </cell>
          <cell r="C1665" t="str">
            <v>키즈락</v>
          </cell>
          <cell r="D1665">
            <v>0</v>
          </cell>
          <cell r="E1665" t="str">
            <v>일반</v>
          </cell>
          <cell r="F1665" t="str">
            <v>입고완료</v>
          </cell>
          <cell r="G1665">
            <v>137759</v>
          </cell>
          <cell r="H1665" t="str">
            <v>이츠웰 토마토스파게티소스(NEW 2Kg/EA)</v>
          </cell>
          <cell r="I1665" t="str">
            <v>EA</v>
          </cell>
          <cell r="J1665">
            <v>7</v>
          </cell>
          <cell r="K1665">
            <v>7</v>
          </cell>
          <cell r="L1665">
            <v>7180</v>
          </cell>
          <cell r="M1665">
            <v>50260</v>
          </cell>
          <cell r="N1665">
            <v>5026</v>
          </cell>
          <cell r="O1665">
            <v>55286</v>
          </cell>
          <cell r="P1665">
            <v>0</v>
          </cell>
          <cell r="Q1665" t="str">
            <v/>
          </cell>
          <cell r="R1665" t="str">
            <v>냉장</v>
          </cell>
          <cell r="S1665" t="str">
            <v>EA(6)</v>
          </cell>
          <cell r="T1665" t="str">
            <v/>
          </cell>
          <cell r="U1665" t="str">
            <v/>
          </cell>
          <cell r="V1665" t="str">
            <v>2018-11-22</v>
          </cell>
          <cell r="W1665" t="str">
            <v>2018-11-22 14:22:46</v>
          </cell>
          <cell r="X1665" t="str">
            <v>178921000</v>
          </cell>
        </row>
        <row r="1666">
          <cell r="A1666">
            <v>1662</v>
          </cell>
          <cell r="B1666" t="str">
            <v>2018-11-23</v>
          </cell>
          <cell r="C1666" t="str">
            <v>키즈락</v>
          </cell>
          <cell r="D1666">
            <v>0</v>
          </cell>
          <cell r="E1666" t="str">
            <v>일반</v>
          </cell>
          <cell r="F1666" t="str">
            <v>입고완료</v>
          </cell>
          <cell r="G1666">
            <v>107247</v>
          </cell>
          <cell r="H1666" t="str">
            <v>하인즈 데미그라스소스(3Kg/EA)</v>
          </cell>
          <cell r="I1666" t="str">
            <v>EA</v>
          </cell>
          <cell r="J1666">
            <v>2</v>
          </cell>
          <cell r="K1666">
            <v>2</v>
          </cell>
          <cell r="L1666">
            <v>16880</v>
          </cell>
          <cell r="M1666">
            <v>33760</v>
          </cell>
          <cell r="N1666">
            <v>3376</v>
          </cell>
          <cell r="O1666">
            <v>37136</v>
          </cell>
          <cell r="P1666">
            <v>0</v>
          </cell>
          <cell r="Q1666" t="str">
            <v/>
          </cell>
          <cell r="R1666" t="str">
            <v>실온</v>
          </cell>
          <cell r="S1666" t="str">
            <v>EA(6)</v>
          </cell>
          <cell r="T1666" t="str">
            <v/>
          </cell>
          <cell r="U1666" t="str">
            <v/>
          </cell>
          <cell r="V1666" t="str">
            <v>2018-11-22</v>
          </cell>
          <cell r="W1666" t="str">
            <v>2018-11-22 14:24:13</v>
          </cell>
          <cell r="X1666" t="str">
            <v>178921000</v>
          </cell>
        </row>
        <row r="1667">
          <cell r="A1667">
            <v>1663</v>
          </cell>
          <cell r="B1667" t="str">
            <v>2018-11-23</v>
          </cell>
          <cell r="C1667" t="str">
            <v>키즈락</v>
          </cell>
          <cell r="D1667">
            <v>0</v>
          </cell>
          <cell r="E1667" t="str">
            <v>일반</v>
          </cell>
          <cell r="F1667" t="str">
            <v>입고완료</v>
          </cell>
          <cell r="G1667">
            <v>145381</v>
          </cell>
          <cell r="H1667" t="str">
            <v>밀크마스터 흰우유(1L 1Kg/EA)</v>
          </cell>
          <cell r="I1667" t="str">
            <v>EA</v>
          </cell>
          <cell r="J1667">
            <v>2</v>
          </cell>
          <cell r="K1667">
            <v>2</v>
          </cell>
          <cell r="L1667">
            <v>1990</v>
          </cell>
          <cell r="M1667">
            <v>3980</v>
          </cell>
          <cell r="N1667">
            <v>0</v>
          </cell>
          <cell r="O1667">
            <v>3980</v>
          </cell>
          <cell r="P1667">
            <v>0</v>
          </cell>
          <cell r="Q1667" t="str">
            <v>한국</v>
          </cell>
          <cell r="R1667" t="str">
            <v>냉장</v>
          </cell>
          <cell r="S1667" t="str">
            <v>EA(16)</v>
          </cell>
          <cell r="T1667" t="str">
            <v/>
          </cell>
          <cell r="U1667" t="str">
            <v/>
          </cell>
          <cell r="V1667" t="str">
            <v>2018-11-22</v>
          </cell>
          <cell r="W1667" t="str">
            <v>2018-11-22 14:24:43</v>
          </cell>
          <cell r="X1667" t="str">
            <v>178921000</v>
          </cell>
        </row>
        <row r="1668">
          <cell r="A1668">
            <v>1664</v>
          </cell>
          <cell r="B1668" t="str">
            <v>2018-11-23</v>
          </cell>
          <cell r="C1668" t="str">
            <v>키즈락</v>
          </cell>
          <cell r="D1668">
            <v>0</v>
          </cell>
          <cell r="E1668" t="str">
            <v>일반</v>
          </cell>
          <cell r="F1668" t="str">
            <v>입고완료</v>
          </cell>
          <cell r="G1668">
            <v>256563</v>
          </cell>
          <cell r="H1668" t="str">
            <v>냉동열무(IQF_절단4~5cm 1Kg/EA)</v>
          </cell>
          <cell r="I1668" t="str">
            <v>EA</v>
          </cell>
          <cell r="J1668">
            <v>10</v>
          </cell>
          <cell r="K1668">
            <v>10</v>
          </cell>
          <cell r="L1668">
            <v>1670</v>
          </cell>
          <cell r="M1668">
            <v>16700</v>
          </cell>
          <cell r="N1668">
            <v>1670</v>
          </cell>
          <cell r="O1668">
            <v>18370</v>
          </cell>
          <cell r="P1668">
            <v>0</v>
          </cell>
          <cell r="Q1668" t="str">
            <v>중국</v>
          </cell>
          <cell r="R1668" t="str">
            <v>냉동</v>
          </cell>
          <cell r="S1668" t="str">
            <v>EA(1)</v>
          </cell>
          <cell r="T1668" t="str">
            <v/>
          </cell>
          <cell r="U1668" t="str">
            <v/>
          </cell>
          <cell r="V1668" t="str">
            <v>2018-11-22</v>
          </cell>
          <cell r="W1668" t="str">
            <v>2018-11-22 14:27:53</v>
          </cell>
          <cell r="X1668" t="str">
            <v>178921000</v>
          </cell>
        </row>
        <row r="1669">
          <cell r="A1669">
            <v>1665</v>
          </cell>
          <cell r="B1669" t="str">
            <v>2018-11-23</v>
          </cell>
          <cell r="C1669" t="str">
            <v>키즈락</v>
          </cell>
          <cell r="D1669">
            <v>0</v>
          </cell>
          <cell r="E1669" t="str">
            <v>일반</v>
          </cell>
          <cell r="F1669" t="str">
            <v>입고완료</v>
          </cell>
          <cell r="G1669">
            <v>247824</v>
          </cell>
          <cell r="H1669" t="str">
            <v>주일 건다시마(실속 1Kg/EA)</v>
          </cell>
          <cell r="I1669" t="str">
            <v>EA</v>
          </cell>
          <cell r="J1669">
            <v>5</v>
          </cell>
          <cell r="K1669">
            <v>5</v>
          </cell>
          <cell r="L1669">
            <v>11100</v>
          </cell>
          <cell r="M1669">
            <v>55500</v>
          </cell>
          <cell r="N1669">
            <v>0</v>
          </cell>
          <cell r="O1669">
            <v>55500</v>
          </cell>
          <cell r="P1669">
            <v>0</v>
          </cell>
          <cell r="Q1669" t="str">
            <v>한국</v>
          </cell>
          <cell r="R1669" t="str">
            <v>실온</v>
          </cell>
          <cell r="S1669" t="str">
            <v>EA(20)</v>
          </cell>
          <cell r="T1669" t="str">
            <v/>
          </cell>
          <cell r="U1669" t="str">
            <v/>
          </cell>
          <cell r="V1669" t="str">
            <v>2018-11-22</v>
          </cell>
          <cell r="W1669" t="str">
            <v>2018-11-22 14:30:26</v>
          </cell>
          <cell r="X1669" t="str">
            <v>178921000</v>
          </cell>
        </row>
        <row r="1670">
          <cell r="A1670">
            <v>1666</v>
          </cell>
          <cell r="B1670" t="str">
            <v>2018-11-23</v>
          </cell>
          <cell r="C1670" t="str">
            <v>키즈락</v>
          </cell>
          <cell r="D1670">
            <v>0</v>
          </cell>
          <cell r="E1670" t="str">
            <v>일반</v>
          </cell>
          <cell r="F1670" t="str">
            <v>입고완료</v>
          </cell>
          <cell r="G1670">
            <v>208502</v>
          </cell>
          <cell r="H1670" t="str">
            <v>세척당근(3L 10Kg/EA)</v>
          </cell>
          <cell r="I1670" t="str">
            <v>EA</v>
          </cell>
          <cell r="J1670">
            <v>1</v>
          </cell>
          <cell r="K1670">
            <v>1</v>
          </cell>
          <cell r="L1670">
            <v>11980</v>
          </cell>
          <cell r="M1670">
            <v>11980</v>
          </cell>
          <cell r="N1670">
            <v>0</v>
          </cell>
          <cell r="O1670">
            <v>11980</v>
          </cell>
          <cell r="P1670">
            <v>0</v>
          </cell>
          <cell r="Q1670" t="str">
            <v>중국</v>
          </cell>
          <cell r="R1670" t="str">
            <v>실온</v>
          </cell>
          <cell r="S1670" t="str">
            <v>EA(1)</v>
          </cell>
          <cell r="T1670" t="str">
            <v/>
          </cell>
          <cell r="U1670" t="str">
            <v/>
          </cell>
          <cell r="V1670" t="str">
            <v>2018-11-22</v>
          </cell>
          <cell r="W1670" t="str">
            <v>2018-11-22 14:35:34</v>
          </cell>
          <cell r="X1670" t="str">
            <v>178921000</v>
          </cell>
        </row>
        <row r="1671">
          <cell r="A1671">
            <v>1667</v>
          </cell>
          <cell r="B1671" t="str">
            <v>2018-11-23</v>
          </cell>
          <cell r="C1671" t="str">
            <v>키즈락</v>
          </cell>
          <cell r="D1671">
            <v>0</v>
          </cell>
          <cell r="E1671" t="str">
            <v>일반</v>
          </cell>
          <cell r="F1671" t="str">
            <v>입고완료</v>
          </cell>
          <cell r="G1671">
            <v>234831</v>
          </cell>
          <cell r="H1671" t="str">
            <v>오징어실채(500g/EA)</v>
          </cell>
          <cell r="I1671" t="str">
            <v>EA</v>
          </cell>
          <cell r="J1671">
            <v>9</v>
          </cell>
          <cell r="K1671">
            <v>9</v>
          </cell>
          <cell r="L1671">
            <v>13500</v>
          </cell>
          <cell r="M1671">
            <v>121500</v>
          </cell>
          <cell r="N1671">
            <v>12150</v>
          </cell>
          <cell r="O1671">
            <v>133650</v>
          </cell>
          <cell r="P1671">
            <v>0</v>
          </cell>
          <cell r="Q1671" t="str">
            <v>페루</v>
          </cell>
          <cell r="R1671" t="str">
            <v>냉장</v>
          </cell>
          <cell r="S1671" t="str">
            <v>EA(1)</v>
          </cell>
          <cell r="T1671" t="str">
            <v/>
          </cell>
          <cell r="U1671" t="str">
            <v/>
          </cell>
          <cell r="V1671" t="str">
            <v>2018-11-22</v>
          </cell>
          <cell r="W1671" t="str">
            <v>2018-11-22 14:48:45</v>
          </cell>
          <cell r="X1671" t="str">
            <v>178921000</v>
          </cell>
        </row>
        <row r="1672">
          <cell r="A1672">
            <v>1668</v>
          </cell>
          <cell r="B1672" t="str">
            <v>2018-11-23</v>
          </cell>
          <cell r="C1672" t="str">
            <v>키즈락</v>
          </cell>
          <cell r="D1672">
            <v>0</v>
          </cell>
          <cell r="E1672" t="str">
            <v>일반</v>
          </cell>
          <cell r="F1672" t="str">
            <v>입고완료</v>
          </cell>
          <cell r="G1672">
            <v>223254</v>
          </cell>
          <cell r="H1672" t="str">
            <v>치커리(쌈채용 KG)</v>
          </cell>
          <cell r="I1672" t="str">
            <v>KG</v>
          </cell>
          <cell r="J1672">
            <v>1</v>
          </cell>
          <cell r="K1672">
            <v>1</v>
          </cell>
          <cell r="L1672">
            <v>3440</v>
          </cell>
          <cell r="M1672">
            <v>3440</v>
          </cell>
          <cell r="N1672">
            <v>0</v>
          </cell>
          <cell r="O1672">
            <v>3440</v>
          </cell>
          <cell r="P1672">
            <v>0</v>
          </cell>
          <cell r="Q1672" t="str">
            <v>한국</v>
          </cell>
          <cell r="R1672" t="str">
            <v>냉장</v>
          </cell>
          <cell r="S1672" t="str">
            <v>KG(1)</v>
          </cell>
          <cell r="T1672" t="str">
            <v/>
          </cell>
          <cell r="U1672" t="str">
            <v/>
          </cell>
          <cell r="V1672" t="str">
            <v>2018-11-22</v>
          </cell>
          <cell r="W1672" t="str">
            <v>2018-11-22 14:58:37</v>
          </cell>
          <cell r="X1672" t="str">
            <v>178921000</v>
          </cell>
        </row>
        <row r="1673">
          <cell r="A1673">
            <v>1669</v>
          </cell>
          <cell r="B1673" t="str">
            <v>2018-11-22</v>
          </cell>
          <cell r="C1673">
            <v>0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</row>
        <row r="1674">
          <cell r="A1674">
            <v>1670</v>
          </cell>
          <cell r="B1674" t="str">
            <v>2018-11-22</v>
          </cell>
          <cell r="C1674" t="str">
            <v>키즈락</v>
          </cell>
          <cell r="D1674">
            <v>0</v>
          </cell>
          <cell r="E1674" t="str">
            <v>일반</v>
          </cell>
          <cell r="F1674" t="str">
            <v>입고완료</v>
          </cell>
          <cell r="G1674">
            <v>159989</v>
          </cell>
          <cell r="H1674" t="str">
            <v>이츠웰 한입깐쇼새우(1Kg/EA)</v>
          </cell>
          <cell r="I1674" t="str">
            <v>EA</v>
          </cell>
          <cell r="J1674">
            <v>50</v>
          </cell>
          <cell r="K1674">
            <v>50</v>
          </cell>
          <cell r="L1674">
            <v>10750</v>
          </cell>
          <cell r="M1674">
            <v>537500</v>
          </cell>
          <cell r="N1674">
            <v>53750</v>
          </cell>
          <cell r="O1674">
            <v>591250</v>
          </cell>
          <cell r="P1674">
            <v>0</v>
          </cell>
          <cell r="Q1674" t="str">
            <v>베트남</v>
          </cell>
          <cell r="R1674" t="str">
            <v>냉동</v>
          </cell>
          <cell r="S1674" t="str">
            <v>EA(10)</v>
          </cell>
          <cell r="T1674" t="str">
            <v/>
          </cell>
          <cell r="U1674" t="str">
            <v/>
          </cell>
          <cell r="V1674" t="str">
            <v>2018-11-09</v>
          </cell>
          <cell r="W1674" t="str">
            <v>2018-11-09 13:59:08</v>
          </cell>
          <cell r="X1674" t="str">
            <v>178921000</v>
          </cell>
        </row>
        <row r="1675">
          <cell r="A1675">
            <v>1671</v>
          </cell>
          <cell r="B1675" t="str">
            <v>2018-11-22</v>
          </cell>
          <cell r="C1675" t="str">
            <v>키즈락</v>
          </cell>
          <cell r="D1675">
            <v>0</v>
          </cell>
          <cell r="E1675" t="str">
            <v>일반</v>
          </cell>
          <cell r="F1675" t="str">
            <v>입고완료</v>
          </cell>
          <cell r="G1675">
            <v>155522</v>
          </cell>
          <cell r="H1675" t="str">
            <v>에어로탑 휘핑크림(1L 1Kg/EA)</v>
          </cell>
          <cell r="I1675" t="str">
            <v>EA</v>
          </cell>
          <cell r="J1675">
            <v>2</v>
          </cell>
          <cell r="K1675">
            <v>2</v>
          </cell>
          <cell r="L1675">
            <v>3880</v>
          </cell>
          <cell r="M1675">
            <v>7760</v>
          </cell>
          <cell r="N1675">
            <v>776</v>
          </cell>
          <cell r="O1675">
            <v>8536</v>
          </cell>
          <cell r="P1675">
            <v>0</v>
          </cell>
          <cell r="Q1675" t="str">
            <v/>
          </cell>
          <cell r="R1675" t="str">
            <v>냉장</v>
          </cell>
          <cell r="S1675" t="str">
            <v>EA(12)</v>
          </cell>
          <cell r="T1675" t="str">
            <v/>
          </cell>
          <cell r="U1675" t="str">
            <v/>
          </cell>
          <cell r="V1675" t="str">
            <v>2018-11-16</v>
          </cell>
          <cell r="W1675" t="str">
            <v>2018-11-16 13:07:47</v>
          </cell>
          <cell r="X1675" t="str">
            <v>178921000</v>
          </cell>
        </row>
        <row r="1676">
          <cell r="A1676">
            <v>1672</v>
          </cell>
          <cell r="B1676" t="str">
            <v>2018-11-22</v>
          </cell>
          <cell r="C1676" t="str">
            <v>키즈락</v>
          </cell>
          <cell r="D1676">
            <v>0</v>
          </cell>
          <cell r="E1676" t="str">
            <v>일반</v>
          </cell>
          <cell r="F1676" t="str">
            <v>입고완료</v>
          </cell>
          <cell r="G1676">
            <v>137856</v>
          </cell>
          <cell r="H1676" t="str">
            <v>레이지 레몬주스(1L_원액 1Kg/EA)</v>
          </cell>
          <cell r="I1676" t="str">
            <v>EA</v>
          </cell>
          <cell r="J1676">
            <v>2</v>
          </cell>
          <cell r="K1676">
            <v>2</v>
          </cell>
          <cell r="L1676">
            <v>6140</v>
          </cell>
          <cell r="M1676">
            <v>12280</v>
          </cell>
          <cell r="N1676">
            <v>1228</v>
          </cell>
          <cell r="O1676">
            <v>13508</v>
          </cell>
          <cell r="P1676">
            <v>0</v>
          </cell>
          <cell r="Q1676" t="str">
            <v/>
          </cell>
          <cell r="R1676" t="str">
            <v>실온</v>
          </cell>
          <cell r="S1676" t="str">
            <v>EA(6)</v>
          </cell>
          <cell r="T1676" t="str">
            <v/>
          </cell>
          <cell r="U1676" t="str">
            <v/>
          </cell>
          <cell r="V1676" t="str">
            <v>2018-11-20</v>
          </cell>
          <cell r="W1676" t="str">
            <v>2018-11-20 13:42:39</v>
          </cell>
          <cell r="X1676" t="str">
            <v>178921000</v>
          </cell>
        </row>
        <row r="1677">
          <cell r="A1677">
            <v>1673</v>
          </cell>
          <cell r="B1677" t="str">
            <v>2018-11-22</v>
          </cell>
          <cell r="C1677" t="str">
            <v>키즈락</v>
          </cell>
          <cell r="D1677">
            <v>0</v>
          </cell>
          <cell r="E1677" t="str">
            <v>일반</v>
          </cell>
          <cell r="F1677" t="str">
            <v>입고완료</v>
          </cell>
          <cell r="G1677">
            <v>420010</v>
          </cell>
          <cell r="H1677" t="str">
            <v>알로팜 계란(왕란_무항생제_68g*30입 2.04Kg/EA)</v>
          </cell>
          <cell r="I1677" t="str">
            <v>EA</v>
          </cell>
          <cell r="J1677">
            <v>12</v>
          </cell>
          <cell r="K1677">
            <v>12</v>
          </cell>
          <cell r="L1677">
            <v>4860</v>
          </cell>
          <cell r="M1677">
            <v>58320</v>
          </cell>
          <cell r="N1677">
            <v>0</v>
          </cell>
          <cell r="O1677">
            <v>58320</v>
          </cell>
          <cell r="P1677">
            <v>58320</v>
          </cell>
          <cell r="Q1677" t="str">
            <v>한국</v>
          </cell>
          <cell r="R1677" t="str">
            <v>냉장</v>
          </cell>
          <cell r="S1677" t="str">
            <v>EA(1)</v>
          </cell>
          <cell r="T1677" t="str">
            <v/>
          </cell>
          <cell r="U1677" t="str">
            <v/>
          </cell>
          <cell r="V1677" t="str">
            <v>2018-11-20</v>
          </cell>
          <cell r="W1677" t="str">
            <v>2018-11-20 13:43:20</v>
          </cell>
          <cell r="X1677" t="str">
            <v>178921000</v>
          </cell>
        </row>
        <row r="1678">
          <cell r="A1678">
            <v>1674</v>
          </cell>
          <cell r="B1678" t="str">
            <v>2018-11-22</v>
          </cell>
          <cell r="C1678" t="str">
            <v>키즈락</v>
          </cell>
          <cell r="D1678">
            <v>0</v>
          </cell>
          <cell r="E1678" t="str">
            <v>일반</v>
          </cell>
          <cell r="F1678" t="str">
            <v>입고완료</v>
          </cell>
          <cell r="G1678">
            <v>166383</v>
          </cell>
          <cell r="H1678" t="str">
            <v>녹선 양념마늘쫑(4Kg/EA)</v>
          </cell>
          <cell r="I1678" t="str">
            <v>EA</v>
          </cell>
          <cell r="J1678">
            <v>1</v>
          </cell>
          <cell r="K1678">
            <v>1</v>
          </cell>
          <cell r="L1678">
            <v>19030</v>
          </cell>
          <cell r="M1678">
            <v>19030</v>
          </cell>
          <cell r="N1678">
            <v>1903</v>
          </cell>
          <cell r="O1678">
            <v>20933</v>
          </cell>
          <cell r="P1678">
            <v>0</v>
          </cell>
          <cell r="Q1678" t="str">
            <v>중국</v>
          </cell>
          <cell r="R1678" t="str">
            <v>냉장</v>
          </cell>
          <cell r="S1678" t="str">
            <v>EA(1)</v>
          </cell>
          <cell r="T1678" t="str">
            <v/>
          </cell>
          <cell r="U1678" t="str">
            <v/>
          </cell>
          <cell r="V1678" t="str">
            <v>2018-11-20</v>
          </cell>
          <cell r="W1678" t="str">
            <v>2018-11-20 13:53:39</v>
          </cell>
          <cell r="X1678" t="str">
            <v>178921000</v>
          </cell>
        </row>
        <row r="1679">
          <cell r="A1679">
            <v>1675</v>
          </cell>
          <cell r="B1679" t="str">
            <v>2018-11-22</v>
          </cell>
          <cell r="C1679" t="str">
            <v>키즈락</v>
          </cell>
          <cell r="D1679">
            <v>0</v>
          </cell>
          <cell r="E1679" t="str">
            <v>일반</v>
          </cell>
          <cell r="F1679" t="str">
            <v>입고완료</v>
          </cell>
          <cell r="G1679">
            <v>221871</v>
          </cell>
          <cell r="H1679" t="str">
            <v>냉동시금치(IQF 1Kg/EA)</v>
          </cell>
          <cell r="I1679" t="str">
            <v>EA</v>
          </cell>
          <cell r="J1679">
            <v>60</v>
          </cell>
          <cell r="K1679">
            <v>60</v>
          </cell>
          <cell r="L1679">
            <v>1680</v>
          </cell>
          <cell r="M1679">
            <v>100800</v>
          </cell>
          <cell r="N1679">
            <v>10080</v>
          </cell>
          <cell r="O1679">
            <v>110880</v>
          </cell>
          <cell r="P1679">
            <v>0</v>
          </cell>
          <cell r="Q1679" t="str">
            <v>중국</v>
          </cell>
          <cell r="R1679" t="str">
            <v>냉동</v>
          </cell>
          <cell r="S1679" t="str">
            <v>EA(1)</v>
          </cell>
          <cell r="T1679" t="str">
            <v/>
          </cell>
          <cell r="U1679" t="str">
            <v/>
          </cell>
          <cell r="V1679" t="str">
            <v>2018-11-20</v>
          </cell>
          <cell r="W1679" t="str">
            <v>2018-11-20 14:12:00</v>
          </cell>
          <cell r="X1679" t="str">
            <v>178921000</v>
          </cell>
        </row>
        <row r="1680">
          <cell r="A1680">
            <v>1676</v>
          </cell>
          <cell r="B1680" t="str">
            <v>2018-11-22</v>
          </cell>
          <cell r="C1680" t="str">
            <v>키즈락</v>
          </cell>
          <cell r="D1680">
            <v>0</v>
          </cell>
          <cell r="E1680" t="str">
            <v>일반</v>
          </cell>
          <cell r="F1680" t="str">
            <v>입고완료</v>
          </cell>
          <cell r="G1680">
            <v>130452</v>
          </cell>
          <cell r="H1680" t="str">
            <v>사조오양 스모크햄(즉석 1Kg/EA)</v>
          </cell>
          <cell r="I1680" t="str">
            <v>EA</v>
          </cell>
          <cell r="J1680">
            <v>4</v>
          </cell>
          <cell r="K1680">
            <v>4</v>
          </cell>
          <cell r="L1680">
            <v>3650</v>
          </cell>
          <cell r="M1680">
            <v>14600</v>
          </cell>
          <cell r="N1680">
            <v>1460</v>
          </cell>
          <cell r="O1680">
            <v>16060</v>
          </cell>
          <cell r="P1680">
            <v>0</v>
          </cell>
          <cell r="Q1680" t="str">
            <v/>
          </cell>
          <cell r="R1680" t="str">
            <v>냉장</v>
          </cell>
          <cell r="S1680" t="str">
            <v>EA(10)</v>
          </cell>
          <cell r="T1680" t="str">
            <v/>
          </cell>
          <cell r="U1680" t="str">
            <v/>
          </cell>
          <cell r="V1680" t="str">
            <v>2018-11-21</v>
          </cell>
          <cell r="W1680" t="str">
            <v>2018-11-21 13:06:56</v>
          </cell>
          <cell r="X1680" t="str">
            <v>178921000</v>
          </cell>
        </row>
        <row r="1681">
          <cell r="A1681">
            <v>1677</v>
          </cell>
          <cell r="B1681" t="str">
            <v>2018-11-22</v>
          </cell>
          <cell r="C1681" t="str">
            <v>키즈락</v>
          </cell>
          <cell r="D1681">
            <v>0</v>
          </cell>
          <cell r="E1681" t="str">
            <v>일반</v>
          </cell>
          <cell r="F1681" t="str">
            <v>입고완료</v>
          </cell>
          <cell r="G1681">
            <v>231156</v>
          </cell>
          <cell r="H1681" t="str">
            <v>종가집 포기김치(중숙 10Kg/BOX)</v>
          </cell>
          <cell r="I1681" t="str">
            <v>BOX</v>
          </cell>
          <cell r="J1681">
            <v>1</v>
          </cell>
          <cell r="K1681">
            <v>1</v>
          </cell>
          <cell r="L1681">
            <v>31390</v>
          </cell>
          <cell r="M1681">
            <v>31390</v>
          </cell>
          <cell r="N1681">
            <v>0</v>
          </cell>
          <cell r="O1681">
            <v>31390</v>
          </cell>
          <cell r="P1681">
            <v>0</v>
          </cell>
          <cell r="Q1681" t="str">
            <v>한국</v>
          </cell>
          <cell r="R1681" t="str">
            <v>냉장</v>
          </cell>
          <cell r="S1681" t="str">
            <v>BOX(1)</v>
          </cell>
          <cell r="T1681" t="str">
            <v/>
          </cell>
          <cell r="U1681" t="str">
            <v/>
          </cell>
          <cell r="V1681" t="str">
            <v>2018-11-21</v>
          </cell>
          <cell r="W1681" t="str">
            <v>2018-11-21 13:39:22</v>
          </cell>
          <cell r="X1681" t="str">
            <v>178921000</v>
          </cell>
        </row>
        <row r="1682">
          <cell r="A1682">
            <v>1678</v>
          </cell>
          <cell r="B1682" t="str">
            <v>2018-11-22</v>
          </cell>
          <cell r="C1682" t="str">
            <v>키즈락</v>
          </cell>
          <cell r="D1682">
            <v>0</v>
          </cell>
          <cell r="E1682" t="str">
            <v>일반</v>
          </cell>
          <cell r="F1682" t="str">
            <v>입고완료</v>
          </cell>
          <cell r="G1682">
            <v>109654</v>
          </cell>
          <cell r="H1682" t="str">
            <v>백설 부침가루(2Kg/EA)</v>
          </cell>
          <cell r="I1682" t="str">
            <v>EA</v>
          </cell>
          <cell r="J1682">
            <v>6</v>
          </cell>
          <cell r="K1682">
            <v>6</v>
          </cell>
          <cell r="L1682">
            <v>2760</v>
          </cell>
          <cell r="M1682">
            <v>16560</v>
          </cell>
          <cell r="N1682">
            <v>1656</v>
          </cell>
          <cell r="O1682">
            <v>18216</v>
          </cell>
          <cell r="P1682">
            <v>0</v>
          </cell>
          <cell r="Q1682" t="str">
            <v/>
          </cell>
          <cell r="R1682" t="str">
            <v>실온</v>
          </cell>
          <cell r="S1682" t="str">
            <v>EA(6)</v>
          </cell>
          <cell r="T1682" t="str">
            <v/>
          </cell>
          <cell r="U1682" t="str">
            <v/>
          </cell>
          <cell r="V1682" t="str">
            <v>2018-11-21</v>
          </cell>
          <cell r="W1682" t="str">
            <v>2018-11-21 13:47:21</v>
          </cell>
          <cell r="X1682" t="str">
            <v>178921000</v>
          </cell>
        </row>
        <row r="1683">
          <cell r="A1683">
            <v>1679</v>
          </cell>
          <cell r="B1683" t="str">
            <v>2018-11-22</v>
          </cell>
          <cell r="C1683" t="str">
            <v>키즈락</v>
          </cell>
          <cell r="D1683">
            <v>0</v>
          </cell>
          <cell r="E1683" t="str">
            <v>일반</v>
          </cell>
          <cell r="F1683" t="str">
            <v>입고완료</v>
          </cell>
          <cell r="G1683">
            <v>145381</v>
          </cell>
          <cell r="H1683" t="str">
            <v>밀크마스터 흰우유(1L 1Kg/EA)</v>
          </cell>
          <cell r="I1683" t="str">
            <v>EA</v>
          </cell>
          <cell r="J1683">
            <v>1</v>
          </cell>
          <cell r="K1683">
            <v>1</v>
          </cell>
          <cell r="L1683">
            <v>1990</v>
          </cell>
          <cell r="M1683">
            <v>1990</v>
          </cell>
          <cell r="N1683">
            <v>0</v>
          </cell>
          <cell r="O1683">
            <v>1990</v>
          </cell>
          <cell r="P1683">
            <v>0</v>
          </cell>
          <cell r="Q1683" t="str">
            <v>한국</v>
          </cell>
          <cell r="R1683" t="str">
            <v>냉장</v>
          </cell>
          <cell r="S1683" t="str">
            <v>EA(16)</v>
          </cell>
          <cell r="T1683" t="str">
            <v/>
          </cell>
          <cell r="U1683" t="str">
            <v/>
          </cell>
          <cell r="V1683" t="str">
            <v>2018-11-21</v>
          </cell>
          <cell r="W1683" t="str">
            <v>2018-11-21 13:49:49</v>
          </cell>
          <cell r="X1683" t="str">
            <v>178921000</v>
          </cell>
        </row>
        <row r="1684">
          <cell r="A1684">
            <v>1680</v>
          </cell>
          <cell r="B1684" t="str">
            <v>2018-11-22</v>
          </cell>
          <cell r="C1684" t="str">
            <v>키즈락</v>
          </cell>
          <cell r="D1684">
            <v>0</v>
          </cell>
          <cell r="E1684" t="str">
            <v>일반</v>
          </cell>
          <cell r="F1684" t="str">
            <v>입고완료</v>
          </cell>
          <cell r="G1684">
            <v>168257</v>
          </cell>
          <cell r="H1684" t="str">
            <v>명품 판두부(찌개용 3Kg/EA)</v>
          </cell>
          <cell r="I1684" t="str">
            <v>EA</v>
          </cell>
          <cell r="J1684">
            <v>1</v>
          </cell>
          <cell r="K1684">
            <v>1</v>
          </cell>
          <cell r="L1684">
            <v>4000</v>
          </cell>
          <cell r="M1684">
            <v>4000</v>
          </cell>
          <cell r="N1684">
            <v>0</v>
          </cell>
          <cell r="O1684">
            <v>4000</v>
          </cell>
          <cell r="P1684">
            <v>0</v>
          </cell>
          <cell r="Q1684" t="str">
            <v>수입산</v>
          </cell>
          <cell r="R1684" t="str">
            <v>냉장</v>
          </cell>
          <cell r="S1684" t="str">
            <v>EA(1)</v>
          </cell>
          <cell r="T1684" t="str">
            <v/>
          </cell>
          <cell r="U1684" t="str">
            <v/>
          </cell>
          <cell r="V1684" t="str">
            <v>2018-11-21</v>
          </cell>
          <cell r="W1684" t="str">
            <v>2018-11-21 14:24:37</v>
          </cell>
          <cell r="X1684" t="str">
            <v>178921000</v>
          </cell>
        </row>
        <row r="1685">
          <cell r="A1685">
            <v>1681</v>
          </cell>
          <cell r="B1685" t="str">
            <v>2018-11-22</v>
          </cell>
          <cell r="C1685" t="str">
            <v>키즈락</v>
          </cell>
          <cell r="D1685">
            <v>0</v>
          </cell>
          <cell r="E1685" t="str">
            <v>일반</v>
          </cell>
          <cell r="F1685" t="str">
            <v>입고완료</v>
          </cell>
          <cell r="G1685">
            <v>140438</v>
          </cell>
          <cell r="H1685" t="str">
            <v>이츠웰 이온물엿(NEW 10Kg/EA)</v>
          </cell>
          <cell r="I1685" t="str">
            <v>EA</v>
          </cell>
          <cell r="J1685">
            <v>2</v>
          </cell>
          <cell r="K1685">
            <v>2</v>
          </cell>
          <cell r="L1685">
            <v>8890</v>
          </cell>
          <cell r="M1685">
            <v>17780</v>
          </cell>
          <cell r="N1685">
            <v>1778</v>
          </cell>
          <cell r="O1685">
            <v>19558</v>
          </cell>
          <cell r="P1685">
            <v>0</v>
          </cell>
          <cell r="Q1685" t="str">
            <v/>
          </cell>
          <cell r="R1685" t="str">
            <v>실온</v>
          </cell>
          <cell r="S1685" t="str">
            <v>EA(2)</v>
          </cell>
          <cell r="T1685" t="str">
            <v/>
          </cell>
          <cell r="U1685" t="str">
            <v/>
          </cell>
          <cell r="V1685" t="str">
            <v>2018-11-21</v>
          </cell>
          <cell r="W1685" t="str">
            <v>2018-11-21 14:34:59</v>
          </cell>
          <cell r="X1685" t="str">
            <v>178921000</v>
          </cell>
        </row>
        <row r="1686">
          <cell r="A1686">
            <v>1682</v>
          </cell>
          <cell r="B1686" t="str">
            <v>2018-11-22</v>
          </cell>
          <cell r="C1686" t="str">
            <v>키즈락</v>
          </cell>
          <cell r="D1686">
            <v>0</v>
          </cell>
          <cell r="E1686" t="str">
            <v>일반</v>
          </cell>
          <cell r="F1686" t="str">
            <v>입고완료</v>
          </cell>
          <cell r="G1686">
            <v>106807</v>
          </cell>
          <cell r="H1686" t="str">
            <v>오뚜기 양조식초(18L 18Kg/EA)</v>
          </cell>
          <cell r="I1686" t="str">
            <v>EA</v>
          </cell>
          <cell r="J1686">
            <v>1</v>
          </cell>
          <cell r="K1686">
            <v>1</v>
          </cell>
          <cell r="L1686">
            <v>10700</v>
          </cell>
          <cell r="M1686">
            <v>10700</v>
          </cell>
          <cell r="N1686">
            <v>1070</v>
          </cell>
          <cell r="O1686">
            <v>11770</v>
          </cell>
          <cell r="P1686">
            <v>0</v>
          </cell>
          <cell r="Q1686" t="str">
            <v/>
          </cell>
          <cell r="R1686" t="str">
            <v>실온</v>
          </cell>
          <cell r="S1686" t="str">
            <v>EA(1)</v>
          </cell>
          <cell r="T1686" t="str">
            <v/>
          </cell>
          <cell r="U1686" t="str">
            <v/>
          </cell>
          <cell r="V1686" t="str">
            <v>2018-11-21</v>
          </cell>
          <cell r="W1686" t="str">
            <v>2018-11-21 14:35:49</v>
          </cell>
          <cell r="X1686" t="str">
            <v>178921000</v>
          </cell>
        </row>
        <row r="1687">
          <cell r="A1687">
            <v>1683</v>
          </cell>
          <cell r="B1687" t="str">
            <v>2018-11-22</v>
          </cell>
          <cell r="C1687" t="str">
            <v>키즈락</v>
          </cell>
          <cell r="D1687">
            <v>0</v>
          </cell>
          <cell r="E1687" t="str">
            <v>일반</v>
          </cell>
          <cell r="F1687" t="str">
            <v>입고완료</v>
          </cell>
          <cell r="G1687">
            <v>219387</v>
          </cell>
          <cell r="H1687" t="str">
            <v>냉동배추우거지(1Kg/EA)</v>
          </cell>
          <cell r="I1687" t="str">
            <v>EA</v>
          </cell>
          <cell r="J1687">
            <v>7</v>
          </cell>
          <cell r="K1687">
            <v>7</v>
          </cell>
          <cell r="L1687">
            <v>1430</v>
          </cell>
          <cell r="M1687">
            <v>10010</v>
          </cell>
          <cell r="N1687">
            <v>1001</v>
          </cell>
          <cell r="O1687">
            <v>11011</v>
          </cell>
          <cell r="P1687">
            <v>0</v>
          </cell>
          <cell r="Q1687" t="str">
            <v>중국</v>
          </cell>
          <cell r="R1687" t="str">
            <v>냉동</v>
          </cell>
          <cell r="S1687" t="str">
            <v>EA(1)</v>
          </cell>
          <cell r="T1687" t="str">
            <v/>
          </cell>
          <cell r="U1687" t="str">
            <v/>
          </cell>
          <cell r="V1687" t="str">
            <v>2018-11-21</v>
          </cell>
          <cell r="W1687" t="str">
            <v>2018-11-21 14:47:20</v>
          </cell>
          <cell r="X1687" t="str">
            <v>178921000</v>
          </cell>
        </row>
        <row r="1688">
          <cell r="A1688">
            <v>1684</v>
          </cell>
          <cell r="B1688" t="str">
            <v>2018-11-22</v>
          </cell>
          <cell r="C1688" t="str">
            <v>키즈락</v>
          </cell>
          <cell r="D1688">
            <v>0</v>
          </cell>
          <cell r="E1688" t="str">
            <v>일반</v>
          </cell>
          <cell r="F1688" t="str">
            <v>입고완료</v>
          </cell>
          <cell r="G1688">
            <v>221871</v>
          </cell>
          <cell r="H1688" t="str">
            <v>냉동시금치(IQF 1Kg/EA)</v>
          </cell>
          <cell r="I1688" t="str">
            <v>EA</v>
          </cell>
          <cell r="J1688">
            <v>10</v>
          </cell>
          <cell r="K1688">
            <v>-10</v>
          </cell>
          <cell r="L1688">
            <v>1680</v>
          </cell>
          <cell r="M1688">
            <v>16800</v>
          </cell>
          <cell r="N1688">
            <v>1680</v>
          </cell>
          <cell r="O1688">
            <v>18480</v>
          </cell>
          <cell r="P1688">
            <v>0</v>
          </cell>
          <cell r="Q1688" t="str">
            <v>중국</v>
          </cell>
          <cell r="R1688" t="str">
            <v>냉동</v>
          </cell>
          <cell r="S1688" t="str">
            <v>EA(1)</v>
          </cell>
          <cell r="T1688" t="str">
            <v/>
          </cell>
          <cell r="U1688" t="str">
            <v/>
          </cell>
          <cell r="V1688" t="str">
            <v>2018-11-28</v>
          </cell>
          <cell r="W1688" t="str">
            <v>2018-11-28 14:59:57</v>
          </cell>
          <cell r="X1688" t="str">
            <v>syh3917</v>
          </cell>
        </row>
        <row r="1689">
          <cell r="A1689">
            <v>1685</v>
          </cell>
          <cell r="B1689" t="str">
            <v>2018-11-21</v>
          </cell>
          <cell r="C1689">
            <v>0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</row>
        <row r="1690">
          <cell r="A1690">
            <v>1686</v>
          </cell>
          <cell r="B1690" t="str">
            <v>2018-11-21</v>
          </cell>
          <cell r="C1690" t="str">
            <v>키즈락</v>
          </cell>
          <cell r="D1690">
            <v>0</v>
          </cell>
          <cell r="E1690" t="str">
            <v>일반</v>
          </cell>
          <cell r="F1690" t="str">
            <v>입고완료</v>
          </cell>
          <cell r="G1690">
            <v>108319</v>
          </cell>
          <cell r="H1690" t="str">
            <v>연세우유 고칼슘두유(팩_200ml 200g/EA)</v>
          </cell>
          <cell r="I1690" t="str">
            <v>EA</v>
          </cell>
          <cell r="J1690">
            <v>168</v>
          </cell>
          <cell r="K1690">
            <v>168</v>
          </cell>
          <cell r="L1690">
            <v>280</v>
          </cell>
          <cell r="M1690">
            <v>47040</v>
          </cell>
          <cell r="N1690">
            <v>4704</v>
          </cell>
          <cell r="O1690">
            <v>51744</v>
          </cell>
          <cell r="P1690">
            <v>0</v>
          </cell>
          <cell r="Q1690" t="str">
            <v>한국</v>
          </cell>
          <cell r="R1690" t="str">
            <v>실온</v>
          </cell>
          <cell r="S1690" t="str">
            <v>EA(1)</v>
          </cell>
          <cell r="T1690" t="str">
            <v/>
          </cell>
          <cell r="U1690" t="str">
            <v/>
          </cell>
          <cell r="V1690" t="str">
            <v>2018-11-06</v>
          </cell>
          <cell r="W1690" t="str">
            <v>2018-11-06 14:38:18</v>
          </cell>
          <cell r="X1690" t="str">
            <v>178921000</v>
          </cell>
        </row>
        <row r="1691">
          <cell r="A1691">
            <v>1687</v>
          </cell>
          <cell r="B1691" t="str">
            <v>2018-11-21</v>
          </cell>
          <cell r="C1691" t="str">
            <v>키즈락</v>
          </cell>
          <cell r="D1691">
            <v>0</v>
          </cell>
          <cell r="E1691" t="str">
            <v>일반</v>
          </cell>
          <cell r="F1691" t="str">
            <v>입고완료</v>
          </cell>
          <cell r="G1691">
            <v>136633</v>
          </cell>
          <cell r="H1691" t="str">
            <v>이오 요구르트(80ml_유기농 80g/EA)</v>
          </cell>
          <cell r="I1691" t="str">
            <v>EA</v>
          </cell>
          <cell r="J1691">
            <v>152</v>
          </cell>
          <cell r="K1691">
            <v>152</v>
          </cell>
          <cell r="L1691">
            <v>300</v>
          </cell>
          <cell r="M1691">
            <v>45600</v>
          </cell>
          <cell r="N1691">
            <v>4560</v>
          </cell>
          <cell r="O1691">
            <v>50160</v>
          </cell>
          <cell r="P1691">
            <v>0</v>
          </cell>
          <cell r="Q1691" t="str">
            <v>한국</v>
          </cell>
          <cell r="R1691" t="str">
            <v>냉장</v>
          </cell>
          <cell r="S1691" t="str">
            <v>EA(50)</v>
          </cell>
          <cell r="T1691" t="str">
            <v/>
          </cell>
          <cell r="U1691" t="str">
            <v/>
          </cell>
          <cell r="V1691" t="str">
            <v>2018-11-06</v>
          </cell>
          <cell r="W1691" t="str">
            <v>2018-11-06 14:38:35</v>
          </cell>
          <cell r="X1691" t="str">
            <v>178921000</v>
          </cell>
        </row>
        <row r="1692">
          <cell r="A1692">
            <v>1688</v>
          </cell>
          <cell r="B1692" t="str">
            <v>2018-11-21</v>
          </cell>
          <cell r="C1692" t="str">
            <v>키즈락</v>
          </cell>
          <cell r="D1692">
            <v>0</v>
          </cell>
          <cell r="E1692" t="str">
            <v>일반</v>
          </cell>
          <cell r="F1692" t="str">
            <v>입고완료</v>
          </cell>
          <cell r="G1692">
            <v>269671</v>
          </cell>
          <cell r="H1692" t="str">
            <v>이츠웰 우리밀허니버터카스테라(개별포장_35g*30입 1.05Kg/BOX)</v>
          </cell>
          <cell r="I1692" t="str">
            <v>BOX</v>
          </cell>
          <cell r="J1692">
            <v>9</v>
          </cell>
          <cell r="K1692">
            <v>9</v>
          </cell>
          <cell r="L1692">
            <v>12810</v>
          </cell>
          <cell r="M1692">
            <v>115290</v>
          </cell>
          <cell r="N1692">
            <v>11529</v>
          </cell>
          <cell r="O1692">
            <v>126819</v>
          </cell>
          <cell r="P1692">
            <v>0</v>
          </cell>
          <cell r="Q1692" t="str">
            <v/>
          </cell>
          <cell r="R1692" t="str">
            <v>냉동</v>
          </cell>
          <cell r="S1692" t="str">
            <v>BOX(1)</v>
          </cell>
          <cell r="T1692" t="str">
            <v/>
          </cell>
          <cell r="U1692" t="str">
            <v/>
          </cell>
          <cell r="V1692" t="str">
            <v>2018-11-06</v>
          </cell>
          <cell r="W1692" t="str">
            <v>2018-11-06 14:41:01</v>
          </cell>
          <cell r="X1692" t="str">
            <v>178921000</v>
          </cell>
        </row>
        <row r="1693">
          <cell r="A1693">
            <v>1689</v>
          </cell>
          <cell r="B1693" t="str">
            <v>2018-11-21</v>
          </cell>
          <cell r="C1693" t="str">
            <v>키즈락</v>
          </cell>
          <cell r="D1693">
            <v>0</v>
          </cell>
          <cell r="E1693" t="str">
            <v>일반</v>
          </cell>
          <cell r="F1693" t="str">
            <v>입고완료</v>
          </cell>
          <cell r="G1693">
            <v>211037</v>
          </cell>
          <cell r="H1693" t="str">
            <v>느타리버섯(실속 균상 2Kg/EA)</v>
          </cell>
          <cell r="I1693" t="str">
            <v>BOX</v>
          </cell>
          <cell r="J1693">
            <v>2</v>
          </cell>
          <cell r="K1693">
            <v>2</v>
          </cell>
          <cell r="L1693">
            <v>7650</v>
          </cell>
          <cell r="M1693">
            <v>15300</v>
          </cell>
          <cell r="N1693">
            <v>0</v>
          </cell>
          <cell r="O1693">
            <v>15300</v>
          </cell>
          <cell r="P1693">
            <v>0</v>
          </cell>
          <cell r="Q1693" t="str">
            <v>한국</v>
          </cell>
          <cell r="R1693" t="str">
            <v>냉장</v>
          </cell>
          <cell r="S1693" t="str">
            <v>EA(1)</v>
          </cell>
          <cell r="T1693" t="str">
            <v/>
          </cell>
          <cell r="U1693" t="str">
            <v/>
          </cell>
          <cell r="V1693" t="str">
            <v>2018-11-20</v>
          </cell>
          <cell r="W1693" t="str">
            <v>2018-11-20 13:37:27</v>
          </cell>
          <cell r="X1693" t="str">
            <v>178921000</v>
          </cell>
        </row>
        <row r="1694">
          <cell r="A1694">
            <v>1690</v>
          </cell>
          <cell r="B1694" t="str">
            <v>2018-11-21</v>
          </cell>
          <cell r="C1694" t="str">
            <v>키즈락</v>
          </cell>
          <cell r="D1694">
            <v>0</v>
          </cell>
          <cell r="E1694" t="str">
            <v>일반</v>
          </cell>
          <cell r="F1694" t="str">
            <v>입고완료</v>
          </cell>
          <cell r="G1694">
            <v>192878</v>
          </cell>
          <cell r="H1694" t="str">
            <v>소이원 콩나물(곱슬이_단채 KG)</v>
          </cell>
          <cell r="I1694" t="str">
            <v>KG</v>
          </cell>
          <cell r="J1694">
            <v>2</v>
          </cell>
          <cell r="K1694">
            <v>2</v>
          </cell>
          <cell r="L1694">
            <v>930</v>
          </cell>
          <cell r="M1694">
            <v>1860</v>
          </cell>
          <cell r="N1694">
            <v>0</v>
          </cell>
          <cell r="O1694">
            <v>1860</v>
          </cell>
          <cell r="P1694">
            <v>0</v>
          </cell>
          <cell r="Q1694" t="str">
            <v>외국산</v>
          </cell>
          <cell r="R1694" t="str">
            <v>냉장</v>
          </cell>
          <cell r="S1694" t="str">
            <v>KG(1)</v>
          </cell>
          <cell r="T1694" t="str">
            <v/>
          </cell>
          <cell r="U1694" t="str">
            <v/>
          </cell>
          <cell r="V1694" t="str">
            <v>2018-11-20</v>
          </cell>
          <cell r="W1694" t="str">
            <v>2018-11-20 13:46:25</v>
          </cell>
          <cell r="X1694" t="str">
            <v>178921000</v>
          </cell>
        </row>
        <row r="1695">
          <cell r="A1695">
            <v>1691</v>
          </cell>
          <cell r="B1695" t="str">
            <v>2018-11-21</v>
          </cell>
          <cell r="C1695" t="str">
            <v>키즈락</v>
          </cell>
          <cell r="D1695">
            <v>0</v>
          </cell>
          <cell r="E1695" t="str">
            <v>일반</v>
          </cell>
          <cell r="F1695" t="str">
            <v>입고완료</v>
          </cell>
          <cell r="G1695">
            <v>200113</v>
          </cell>
          <cell r="H1695" t="str">
            <v>적두(1Kg/EA)</v>
          </cell>
          <cell r="I1695" t="str">
            <v>EA</v>
          </cell>
          <cell r="J1695">
            <v>1</v>
          </cell>
          <cell r="K1695">
            <v>1</v>
          </cell>
          <cell r="L1695">
            <v>5370</v>
          </cell>
          <cell r="M1695">
            <v>5370</v>
          </cell>
          <cell r="N1695">
            <v>0</v>
          </cell>
          <cell r="O1695">
            <v>5370</v>
          </cell>
          <cell r="P1695">
            <v>0</v>
          </cell>
          <cell r="Q1695" t="str">
            <v>중국</v>
          </cell>
          <cell r="R1695" t="str">
            <v>실온</v>
          </cell>
          <cell r="S1695" t="str">
            <v>EA(1)</v>
          </cell>
          <cell r="T1695" t="str">
            <v/>
          </cell>
          <cell r="U1695" t="str">
            <v/>
          </cell>
          <cell r="V1695" t="str">
            <v>2018-11-20</v>
          </cell>
          <cell r="W1695" t="str">
            <v>2018-11-20 13:52:41</v>
          </cell>
          <cell r="X1695" t="str">
            <v>178921000</v>
          </cell>
        </row>
        <row r="1696">
          <cell r="A1696">
            <v>1692</v>
          </cell>
          <cell r="B1696" t="str">
            <v>2018-11-21</v>
          </cell>
          <cell r="C1696" t="str">
            <v>키즈락</v>
          </cell>
          <cell r="D1696">
            <v>0</v>
          </cell>
          <cell r="E1696" t="str">
            <v>일반</v>
          </cell>
          <cell r="F1696" t="str">
            <v>입고완료</v>
          </cell>
          <cell r="G1696">
            <v>252293</v>
          </cell>
          <cell r="H1696" t="str">
            <v>청아띠 자연담은고춧가루(장용 1Kg/EA)</v>
          </cell>
          <cell r="I1696" t="str">
            <v>EA</v>
          </cell>
          <cell r="J1696">
            <v>1</v>
          </cell>
          <cell r="K1696">
            <v>1</v>
          </cell>
          <cell r="L1696">
            <v>24420</v>
          </cell>
          <cell r="M1696">
            <v>24420</v>
          </cell>
          <cell r="N1696">
            <v>0</v>
          </cell>
          <cell r="O1696">
            <v>24420</v>
          </cell>
          <cell r="P1696">
            <v>0</v>
          </cell>
          <cell r="Q1696" t="str">
            <v>한국</v>
          </cell>
          <cell r="R1696" t="str">
            <v>실온</v>
          </cell>
          <cell r="S1696" t="str">
            <v>EA(10)</v>
          </cell>
          <cell r="T1696" t="str">
            <v/>
          </cell>
          <cell r="U1696" t="str">
            <v/>
          </cell>
          <cell r="V1696" t="str">
            <v>2018-11-20</v>
          </cell>
          <cell r="W1696" t="str">
            <v>2018-11-20 14:01:53</v>
          </cell>
          <cell r="X1696" t="str">
            <v>178921000</v>
          </cell>
        </row>
        <row r="1697">
          <cell r="A1697">
            <v>1693</v>
          </cell>
          <cell r="B1697" t="str">
            <v>2018-11-21</v>
          </cell>
          <cell r="C1697" t="str">
            <v>키즈락</v>
          </cell>
          <cell r="D1697">
            <v>0</v>
          </cell>
          <cell r="E1697" t="str">
            <v>일반</v>
          </cell>
          <cell r="F1697" t="str">
            <v>입고완료</v>
          </cell>
          <cell r="G1697">
            <v>252292</v>
          </cell>
          <cell r="H1697" t="str">
            <v>청아띠 자연담은고춧가루(매운맛 양념용 1Kg/EA)</v>
          </cell>
          <cell r="I1697" t="str">
            <v>EA</v>
          </cell>
          <cell r="J1697">
            <v>1</v>
          </cell>
          <cell r="K1697">
            <v>1</v>
          </cell>
          <cell r="L1697">
            <v>24100</v>
          </cell>
          <cell r="M1697">
            <v>24100</v>
          </cell>
          <cell r="N1697">
            <v>0</v>
          </cell>
          <cell r="O1697">
            <v>24100</v>
          </cell>
          <cell r="P1697">
            <v>0</v>
          </cell>
          <cell r="Q1697" t="str">
            <v>한국</v>
          </cell>
          <cell r="R1697" t="str">
            <v>실온</v>
          </cell>
          <cell r="S1697" t="str">
            <v>EA(10)</v>
          </cell>
          <cell r="T1697" t="str">
            <v/>
          </cell>
          <cell r="U1697" t="str">
            <v/>
          </cell>
          <cell r="V1697" t="str">
            <v>2018-11-20</v>
          </cell>
          <cell r="W1697" t="str">
            <v>2018-11-20 14:02:56</v>
          </cell>
          <cell r="X1697" t="str">
            <v>178921000</v>
          </cell>
        </row>
        <row r="1698">
          <cell r="A1698">
            <v>1694</v>
          </cell>
          <cell r="B1698" t="str">
            <v>2018-11-21</v>
          </cell>
          <cell r="C1698" t="str">
            <v>키즈락</v>
          </cell>
          <cell r="D1698">
            <v>0</v>
          </cell>
          <cell r="E1698" t="str">
            <v>일반</v>
          </cell>
          <cell r="F1698" t="str">
            <v>입고완료</v>
          </cell>
          <cell r="G1698">
            <v>107247</v>
          </cell>
          <cell r="H1698" t="str">
            <v>하인즈 데미그라스소스(3Kg/EA)</v>
          </cell>
          <cell r="I1698" t="str">
            <v>EA</v>
          </cell>
          <cell r="J1698">
            <v>1</v>
          </cell>
          <cell r="K1698">
            <v>1</v>
          </cell>
          <cell r="L1698">
            <v>16880</v>
          </cell>
          <cell r="M1698">
            <v>16880</v>
          </cell>
          <cell r="N1698">
            <v>1688</v>
          </cell>
          <cell r="O1698">
            <v>18568</v>
          </cell>
          <cell r="P1698">
            <v>0</v>
          </cell>
          <cell r="Q1698" t="str">
            <v/>
          </cell>
          <cell r="R1698" t="str">
            <v>실온</v>
          </cell>
          <cell r="S1698" t="str">
            <v>EA(6)</v>
          </cell>
          <cell r="T1698" t="str">
            <v/>
          </cell>
          <cell r="U1698" t="str">
            <v/>
          </cell>
          <cell r="V1698" t="str">
            <v>2018-11-20</v>
          </cell>
          <cell r="W1698" t="str">
            <v>2018-11-20 14:15:02</v>
          </cell>
          <cell r="X1698" t="str">
            <v>178921000</v>
          </cell>
        </row>
        <row r="1699">
          <cell r="A1699">
            <v>1695</v>
          </cell>
          <cell r="B1699" t="str">
            <v>2018-11-21</v>
          </cell>
          <cell r="C1699" t="str">
            <v>키즈락</v>
          </cell>
          <cell r="D1699">
            <v>0</v>
          </cell>
          <cell r="E1699" t="str">
            <v>일반</v>
          </cell>
          <cell r="F1699" t="str">
            <v>입고완료</v>
          </cell>
          <cell r="G1699">
            <v>105943</v>
          </cell>
          <cell r="H1699" t="str">
            <v>대상 재래된장(지함_재래식숙성 14Kg/EA)</v>
          </cell>
          <cell r="I1699" t="str">
            <v>EA</v>
          </cell>
          <cell r="J1699">
            <v>1</v>
          </cell>
          <cell r="K1699">
            <v>1</v>
          </cell>
          <cell r="L1699">
            <v>25020</v>
          </cell>
          <cell r="M1699">
            <v>25020</v>
          </cell>
          <cell r="N1699">
            <v>2502</v>
          </cell>
          <cell r="O1699">
            <v>27522</v>
          </cell>
          <cell r="P1699">
            <v>0</v>
          </cell>
          <cell r="Q1699" t="str">
            <v/>
          </cell>
          <cell r="R1699" t="str">
            <v>실온</v>
          </cell>
          <cell r="S1699" t="str">
            <v>EA(1)</v>
          </cell>
          <cell r="T1699" t="str">
            <v/>
          </cell>
          <cell r="U1699" t="str">
            <v/>
          </cell>
          <cell r="V1699" t="str">
            <v>2018-11-20</v>
          </cell>
          <cell r="W1699" t="str">
            <v>2018-11-20 14:22:32</v>
          </cell>
          <cell r="X1699" t="str">
            <v>178921000</v>
          </cell>
        </row>
        <row r="1700">
          <cell r="A1700">
            <v>1696</v>
          </cell>
          <cell r="B1700" t="str">
            <v>2018-11-21</v>
          </cell>
          <cell r="C1700" t="str">
            <v>키즈락</v>
          </cell>
          <cell r="D1700">
            <v>0</v>
          </cell>
          <cell r="E1700" t="str">
            <v>일반</v>
          </cell>
          <cell r="F1700" t="str">
            <v>입고완료</v>
          </cell>
          <cell r="G1700">
            <v>193090</v>
          </cell>
          <cell r="H1700" t="str">
            <v>냉동감자(절단_3~4cm 1Kg/EA)</v>
          </cell>
          <cell r="I1700" t="str">
            <v>EA</v>
          </cell>
          <cell r="J1700">
            <v>10</v>
          </cell>
          <cell r="K1700">
            <v>10</v>
          </cell>
          <cell r="L1700">
            <v>1980</v>
          </cell>
          <cell r="M1700">
            <v>19800</v>
          </cell>
          <cell r="N1700">
            <v>1980</v>
          </cell>
          <cell r="O1700">
            <v>21780</v>
          </cell>
          <cell r="P1700">
            <v>0</v>
          </cell>
          <cell r="Q1700" t="str">
            <v>중국</v>
          </cell>
          <cell r="R1700" t="str">
            <v>냉동</v>
          </cell>
          <cell r="S1700" t="str">
            <v>EA(1)</v>
          </cell>
          <cell r="T1700" t="str">
            <v/>
          </cell>
          <cell r="U1700" t="str">
            <v/>
          </cell>
          <cell r="V1700" t="str">
            <v>2018-11-20</v>
          </cell>
          <cell r="W1700" t="str">
            <v>2018-11-20 14:51:25</v>
          </cell>
          <cell r="X1700" t="str">
            <v>178921000</v>
          </cell>
        </row>
        <row r="1701">
          <cell r="A1701">
            <v>1697</v>
          </cell>
          <cell r="B1701" t="str">
            <v>2018-11-21</v>
          </cell>
          <cell r="C1701" t="str">
            <v>키즈락</v>
          </cell>
          <cell r="D1701">
            <v>0</v>
          </cell>
          <cell r="E1701" t="str">
            <v>일반</v>
          </cell>
          <cell r="F1701" t="str">
            <v>입고완료</v>
          </cell>
          <cell r="G1701">
            <v>168257</v>
          </cell>
          <cell r="H1701" t="str">
            <v>명품 판두부(찌개용 3Kg/EA)</v>
          </cell>
          <cell r="I1701" t="str">
            <v>EA</v>
          </cell>
          <cell r="J1701">
            <v>3</v>
          </cell>
          <cell r="K1701">
            <v>3</v>
          </cell>
          <cell r="L1701">
            <v>4000</v>
          </cell>
          <cell r="M1701">
            <v>12000</v>
          </cell>
          <cell r="N1701">
            <v>0</v>
          </cell>
          <cell r="O1701">
            <v>12000</v>
          </cell>
          <cell r="P1701">
            <v>0</v>
          </cell>
          <cell r="Q1701" t="str">
            <v>수입산</v>
          </cell>
          <cell r="R1701" t="str">
            <v>냉장</v>
          </cell>
          <cell r="S1701" t="str">
            <v>EA(1)</v>
          </cell>
          <cell r="T1701" t="str">
            <v/>
          </cell>
          <cell r="U1701" t="str">
            <v/>
          </cell>
          <cell r="V1701" t="str">
            <v>2018-11-20</v>
          </cell>
          <cell r="W1701" t="str">
            <v>2018-11-20 14:51:55</v>
          </cell>
          <cell r="X1701" t="str">
            <v>178921000</v>
          </cell>
        </row>
        <row r="1702">
          <cell r="A1702">
            <v>1698</v>
          </cell>
          <cell r="B1702" t="str">
            <v>2018-11-21</v>
          </cell>
          <cell r="C1702" t="str">
            <v>키즈락</v>
          </cell>
          <cell r="D1702">
            <v>0</v>
          </cell>
          <cell r="E1702" t="str">
            <v>일반</v>
          </cell>
          <cell r="F1702" t="str">
            <v>입고완료</v>
          </cell>
          <cell r="G1702">
            <v>240002</v>
          </cell>
          <cell r="H1702" t="str">
            <v>귀리(1Kg/EA)</v>
          </cell>
          <cell r="I1702" t="str">
            <v>EA</v>
          </cell>
          <cell r="J1702">
            <v>10</v>
          </cell>
          <cell r="K1702">
            <v>10</v>
          </cell>
          <cell r="L1702">
            <v>1770</v>
          </cell>
          <cell r="M1702">
            <v>17700</v>
          </cell>
          <cell r="N1702">
            <v>0</v>
          </cell>
          <cell r="O1702">
            <v>17700</v>
          </cell>
          <cell r="P1702">
            <v>0</v>
          </cell>
          <cell r="Q1702" t="str">
            <v>호주</v>
          </cell>
          <cell r="R1702" t="str">
            <v>실온</v>
          </cell>
          <cell r="S1702" t="str">
            <v>EA(1)</v>
          </cell>
          <cell r="T1702" t="str">
            <v/>
          </cell>
          <cell r="U1702" t="str">
            <v/>
          </cell>
          <cell r="V1702" t="str">
            <v>2018-11-20</v>
          </cell>
          <cell r="W1702" t="str">
            <v>2018-11-20 14:57:54</v>
          </cell>
          <cell r="X1702" t="str">
            <v>178921000</v>
          </cell>
        </row>
        <row r="1703">
          <cell r="A1703">
            <v>1699</v>
          </cell>
          <cell r="B1703" t="str">
            <v>2018-11-21</v>
          </cell>
          <cell r="C1703" t="str">
            <v>키즈락</v>
          </cell>
          <cell r="D1703">
            <v>0</v>
          </cell>
          <cell r="E1703" t="str">
            <v>일반</v>
          </cell>
          <cell r="F1703" t="str">
            <v>입고완료</v>
          </cell>
          <cell r="G1703">
            <v>112802</v>
          </cell>
          <cell r="H1703" t="str">
            <v>맥심 커피믹스(모카골드_12g*100T 1.2Kg/EA)</v>
          </cell>
          <cell r="I1703" t="str">
            <v>EA</v>
          </cell>
          <cell r="J1703">
            <v>2</v>
          </cell>
          <cell r="K1703">
            <v>2</v>
          </cell>
          <cell r="L1703">
            <v>11900</v>
          </cell>
          <cell r="M1703">
            <v>23800</v>
          </cell>
          <cell r="N1703">
            <v>2380</v>
          </cell>
          <cell r="O1703">
            <v>26180</v>
          </cell>
          <cell r="P1703">
            <v>0</v>
          </cell>
          <cell r="Q1703" t="str">
            <v/>
          </cell>
          <cell r="R1703" t="str">
            <v>실온</v>
          </cell>
          <cell r="S1703" t="str">
            <v>EA(8)</v>
          </cell>
          <cell r="T1703" t="str">
            <v/>
          </cell>
          <cell r="U1703" t="str">
            <v/>
          </cell>
          <cell r="V1703" t="str">
            <v>2018-11-20</v>
          </cell>
          <cell r="W1703" t="str">
            <v>2018-11-20 16:35:26</v>
          </cell>
          <cell r="X1703" t="str">
            <v>178921000</v>
          </cell>
        </row>
        <row r="1704">
          <cell r="A1704">
            <v>1700</v>
          </cell>
          <cell r="B1704" t="str">
            <v>2018-11-20</v>
          </cell>
          <cell r="C1704">
            <v>0</v>
          </cell>
          <cell r="D1704">
            <v>0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</row>
        <row r="1705">
          <cell r="A1705">
            <v>1701</v>
          </cell>
          <cell r="B1705" t="str">
            <v>2018-11-20</v>
          </cell>
          <cell r="C1705" t="str">
            <v>키즈락</v>
          </cell>
          <cell r="D1705">
            <v>0</v>
          </cell>
          <cell r="E1705" t="str">
            <v>일반</v>
          </cell>
          <cell r="F1705" t="str">
            <v>입고완료</v>
          </cell>
          <cell r="G1705">
            <v>159125</v>
          </cell>
          <cell r="H1705" t="str">
            <v>건강마을 플리또주스(100ml_유기농_오렌지 100g/EA)</v>
          </cell>
          <cell r="I1705" t="str">
            <v>BOX</v>
          </cell>
          <cell r="J1705">
            <v>5</v>
          </cell>
          <cell r="K1705">
            <v>5</v>
          </cell>
          <cell r="L1705">
            <v>17600</v>
          </cell>
          <cell r="M1705">
            <v>88000</v>
          </cell>
          <cell r="N1705">
            <v>8800</v>
          </cell>
          <cell r="O1705">
            <v>96800</v>
          </cell>
          <cell r="P1705">
            <v>0</v>
          </cell>
          <cell r="Q1705" t="str">
            <v/>
          </cell>
          <cell r="R1705" t="str">
            <v>실온</v>
          </cell>
          <cell r="S1705" t="str">
            <v>EA(40)</v>
          </cell>
          <cell r="T1705" t="str">
            <v/>
          </cell>
          <cell r="U1705" t="str">
            <v/>
          </cell>
          <cell r="V1705" t="str">
            <v>2018-11-06</v>
          </cell>
          <cell r="W1705" t="str">
            <v>2018-11-06 14:32:19</v>
          </cell>
          <cell r="X1705" t="str">
            <v>178921000</v>
          </cell>
        </row>
        <row r="1706">
          <cell r="A1706">
            <v>1702</v>
          </cell>
          <cell r="B1706" t="str">
            <v>2018-11-20</v>
          </cell>
          <cell r="C1706" t="str">
            <v>키즈락</v>
          </cell>
          <cell r="D1706">
            <v>0</v>
          </cell>
          <cell r="E1706" t="str">
            <v>일반</v>
          </cell>
          <cell r="F1706" t="str">
            <v>입고완료</v>
          </cell>
          <cell r="G1706">
            <v>135205</v>
          </cell>
          <cell r="H1706" t="str">
            <v>마더구스 베이비슈(카스타드미니_13g*36입 468g/EA)</v>
          </cell>
          <cell r="I1706" t="str">
            <v>EA</v>
          </cell>
          <cell r="J1706">
            <v>19</v>
          </cell>
          <cell r="K1706">
            <v>19</v>
          </cell>
          <cell r="L1706">
            <v>4880</v>
          </cell>
          <cell r="M1706">
            <v>92720</v>
          </cell>
          <cell r="N1706">
            <v>9272</v>
          </cell>
          <cell r="O1706">
            <v>101992</v>
          </cell>
          <cell r="P1706">
            <v>0</v>
          </cell>
          <cell r="Q1706" t="str">
            <v/>
          </cell>
          <cell r="R1706" t="str">
            <v>냉동</v>
          </cell>
          <cell r="S1706" t="str">
            <v>EA(10)</v>
          </cell>
          <cell r="T1706" t="str">
            <v/>
          </cell>
          <cell r="U1706" t="str">
            <v/>
          </cell>
          <cell r="V1706" t="str">
            <v>2018-11-06</v>
          </cell>
          <cell r="W1706" t="str">
            <v>2018-11-06 14:34:01</v>
          </cell>
          <cell r="X1706" t="str">
            <v>178921000</v>
          </cell>
        </row>
        <row r="1707">
          <cell r="A1707">
            <v>1703</v>
          </cell>
          <cell r="B1707" t="str">
            <v>2018-11-20</v>
          </cell>
          <cell r="C1707" t="str">
            <v>키즈락</v>
          </cell>
          <cell r="D1707">
            <v>0</v>
          </cell>
          <cell r="E1707" t="str">
            <v>일반</v>
          </cell>
          <cell r="F1707" t="str">
            <v>입고완료</v>
          </cell>
          <cell r="G1707">
            <v>130549</v>
          </cell>
          <cell r="H1707" t="str">
            <v>이츠웰 흰살생선까스(60g*100입 6Kg/EA)</v>
          </cell>
          <cell r="I1707" t="str">
            <v>BOX</v>
          </cell>
          <cell r="J1707">
            <v>6</v>
          </cell>
          <cell r="K1707">
            <v>6</v>
          </cell>
          <cell r="L1707">
            <v>35320</v>
          </cell>
          <cell r="M1707">
            <v>211920</v>
          </cell>
          <cell r="N1707">
            <v>21192</v>
          </cell>
          <cell r="O1707">
            <v>233112</v>
          </cell>
          <cell r="P1707">
            <v>0</v>
          </cell>
          <cell r="Q1707" t="str">
            <v/>
          </cell>
          <cell r="R1707" t="str">
            <v>냉동</v>
          </cell>
          <cell r="S1707" t="str">
            <v>EA(1)</v>
          </cell>
          <cell r="T1707" t="str">
            <v/>
          </cell>
          <cell r="U1707" t="str">
            <v/>
          </cell>
          <cell r="V1707" t="str">
            <v>2018-11-09</v>
          </cell>
          <cell r="W1707" t="str">
            <v>2018-11-09 12:14:17</v>
          </cell>
          <cell r="X1707" t="str">
            <v>178921000</v>
          </cell>
        </row>
        <row r="1708">
          <cell r="A1708">
            <v>1704</v>
          </cell>
          <cell r="B1708" t="str">
            <v>2018-11-20</v>
          </cell>
          <cell r="C1708" t="str">
            <v>키즈락</v>
          </cell>
          <cell r="D1708">
            <v>0</v>
          </cell>
          <cell r="E1708" t="str">
            <v>일반</v>
          </cell>
          <cell r="F1708" t="str">
            <v>입고완료</v>
          </cell>
          <cell r="G1708">
            <v>130550</v>
          </cell>
          <cell r="H1708" t="str">
            <v>이츠웰 흰살생선까스(60g*20입 1.2Kg/EA)</v>
          </cell>
          <cell r="I1708" t="str">
            <v>EA</v>
          </cell>
          <cell r="J1708">
            <v>3</v>
          </cell>
          <cell r="K1708">
            <v>3</v>
          </cell>
          <cell r="L1708">
            <v>6940</v>
          </cell>
          <cell r="M1708">
            <v>20820</v>
          </cell>
          <cell r="N1708">
            <v>2082</v>
          </cell>
          <cell r="O1708">
            <v>22902</v>
          </cell>
          <cell r="P1708">
            <v>0</v>
          </cell>
          <cell r="Q1708" t="str">
            <v/>
          </cell>
          <cell r="R1708" t="str">
            <v>냉동</v>
          </cell>
          <cell r="S1708" t="str">
            <v>EA(5)</v>
          </cell>
          <cell r="T1708" t="str">
            <v/>
          </cell>
          <cell r="U1708" t="str">
            <v/>
          </cell>
          <cell r="V1708" t="str">
            <v>2018-11-16</v>
          </cell>
          <cell r="W1708" t="str">
            <v>2018-11-16 12:04:25</v>
          </cell>
          <cell r="X1708" t="str">
            <v>178921000</v>
          </cell>
        </row>
        <row r="1709">
          <cell r="A1709">
            <v>1705</v>
          </cell>
          <cell r="B1709" t="str">
            <v>2018-11-20</v>
          </cell>
          <cell r="C1709" t="str">
            <v>키즈락</v>
          </cell>
          <cell r="D1709">
            <v>0</v>
          </cell>
          <cell r="E1709" t="str">
            <v>일반</v>
          </cell>
          <cell r="F1709" t="str">
            <v>입고완료</v>
          </cell>
          <cell r="G1709">
            <v>201052</v>
          </cell>
          <cell r="H1709" t="str">
            <v>소이원 숙주나물(상품 상 KG)</v>
          </cell>
          <cell r="I1709" t="str">
            <v>KG</v>
          </cell>
          <cell r="J1709">
            <v>36</v>
          </cell>
          <cell r="K1709">
            <v>36</v>
          </cell>
          <cell r="L1709">
            <v>1420</v>
          </cell>
          <cell r="M1709">
            <v>51120</v>
          </cell>
          <cell r="N1709">
            <v>0</v>
          </cell>
          <cell r="O1709">
            <v>51120</v>
          </cell>
          <cell r="P1709">
            <v>0</v>
          </cell>
          <cell r="Q1709" t="str">
            <v>외국산</v>
          </cell>
          <cell r="R1709" t="str">
            <v>냉장</v>
          </cell>
          <cell r="S1709" t="str">
            <v>KG(1)</v>
          </cell>
          <cell r="T1709" t="str">
            <v/>
          </cell>
          <cell r="U1709" t="str">
            <v/>
          </cell>
          <cell r="V1709" t="str">
            <v>2018-11-16</v>
          </cell>
          <cell r="W1709" t="str">
            <v>2018-11-16 12:19:30</v>
          </cell>
          <cell r="X1709" t="str">
            <v>178921000</v>
          </cell>
        </row>
        <row r="1710">
          <cell r="A1710">
            <v>1706</v>
          </cell>
          <cell r="B1710" t="str">
            <v>2018-11-20</v>
          </cell>
          <cell r="C1710" t="str">
            <v>키즈락</v>
          </cell>
          <cell r="D1710">
            <v>0</v>
          </cell>
          <cell r="E1710" t="str">
            <v>일반</v>
          </cell>
          <cell r="F1710" t="str">
            <v>입고완료</v>
          </cell>
          <cell r="G1710">
            <v>193090</v>
          </cell>
          <cell r="H1710" t="str">
            <v>냉동감자(절단_3~4cm 1Kg/EA)</v>
          </cell>
          <cell r="I1710" t="str">
            <v>EA</v>
          </cell>
          <cell r="J1710">
            <v>26</v>
          </cell>
          <cell r="K1710">
            <v>26</v>
          </cell>
          <cell r="L1710">
            <v>1980</v>
          </cell>
          <cell r="M1710">
            <v>51480</v>
          </cell>
          <cell r="N1710">
            <v>5148</v>
          </cell>
          <cell r="O1710">
            <v>56628</v>
          </cell>
          <cell r="P1710">
            <v>0</v>
          </cell>
          <cell r="Q1710" t="str">
            <v>중국</v>
          </cell>
          <cell r="R1710" t="str">
            <v>냉동</v>
          </cell>
          <cell r="S1710" t="str">
            <v>EA(1)</v>
          </cell>
          <cell r="T1710" t="str">
            <v/>
          </cell>
          <cell r="U1710" t="str">
            <v/>
          </cell>
          <cell r="V1710" t="str">
            <v>2018-11-16</v>
          </cell>
          <cell r="W1710" t="str">
            <v>2018-11-16 14:45:08</v>
          </cell>
          <cell r="X1710" t="str">
            <v>178921000</v>
          </cell>
        </row>
        <row r="1711">
          <cell r="A1711">
            <v>1707</v>
          </cell>
          <cell r="B1711" t="str">
            <v>2018-11-20</v>
          </cell>
          <cell r="C1711" t="str">
            <v>키즈락</v>
          </cell>
          <cell r="D1711">
            <v>0</v>
          </cell>
          <cell r="E1711" t="str">
            <v>일반</v>
          </cell>
          <cell r="F1711" t="str">
            <v>입고완료</v>
          </cell>
          <cell r="G1711">
            <v>231156</v>
          </cell>
          <cell r="H1711" t="str">
            <v>종가집 포기김치(중숙 10Kg/BOX)</v>
          </cell>
          <cell r="I1711" t="str">
            <v>BOX</v>
          </cell>
          <cell r="J1711">
            <v>2</v>
          </cell>
          <cell r="K1711">
            <v>2</v>
          </cell>
          <cell r="L1711">
            <v>31390</v>
          </cell>
          <cell r="M1711">
            <v>62780</v>
          </cell>
          <cell r="N1711">
            <v>0</v>
          </cell>
          <cell r="O1711">
            <v>62780</v>
          </cell>
          <cell r="P1711">
            <v>0</v>
          </cell>
          <cell r="Q1711" t="str">
            <v>한국</v>
          </cell>
          <cell r="R1711" t="str">
            <v>냉장</v>
          </cell>
          <cell r="S1711" t="str">
            <v>BOX(1)</v>
          </cell>
          <cell r="T1711" t="str">
            <v/>
          </cell>
          <cell r="U1711" t="str">
            <v/>
          </cell>
          <cell r="V1711" t="str">
            <v>2018-11-19</v>
          </cell>
          <cell r="W1711" t="str">
            <v>2018-11-19 10:41:24</v>
          </cell>
          <cell r="X1711" t="str">
            <v>178921000</v>
          </cell>
        </row>
        <row r="1712">
          <cell r="A1712">
            <v>1708</v>
          </cell>
          <cell r="B1712" t="str">
            <v>2018-11-20</v>
          </cell>
          <cell r="C1712" t="str">
            <v>키즈락</v>
          </cell>
          <cell r="D1712">
            <v>0</v>
          </cell>
          <cell r="E1712" t="str">
            <v>일반</v>
          </cell>
          <cell r="F1712" t="str">
            <v>입고완료</v>
          </cell>
          <cell r="G1712">
            <v>236048</v>
          </cell>
          <cell r="H1712" t="str">
            <v>종가집 묵은지(10Kg/BOX)</v>
          </cell>
          <cell r="I1712" t="str">
            <v>BOX</v>
          </cell>
          <cell r="J1712">
            <v>1</v>
          </cell>
          <cell r="K1712">
            <v>1</v>
          </cell>
          <cell r="L1712">
            <v>32520</v>
          </cell>
          <cell r="M1712">
            <v>32520</v>
          </cell>
          <cell r="N1712">
            <v>0</v>
          </cell>
          <cell r="O1712">
            <v>32520</v>
          </cell>
          <cell r="P1712">
            <v>0</v>
          </cell>
          <cell r="Q1712" t="str">
            <v>한국</v>
          </cell>
          <cell r="R1712" t="str">
            <v>냉장</v>
          </cell>
          <cell r="S1712" t="str">
            <v>BOX(1)</v>
          </cell>
          <cell r="T1712" t="str">
            <v/>
          </cell>
          <cell r="U1712" t="str">
            <v/>
          </cell>
          <cell r="V1712" t="str">
            <v>2018-11-19</v>
          </cell>
          <cell r="W1712" t="str">
            <v>2018-11-19 10:42:23</v>
          </cell>
          <cell r="X1712" t="str">
            <v>178921000</v>
          </cell>
        </row>
        <row r="1713">
          <cell r="A1713">
            <v>1709</v>
          </cell>
          <cell r="B1713" t="str">
            <v>2018-11-20</v>
          </cell>
          <cell r="C1713" t="str">
            <v>키즈락</v>
          </cell>
          <cell r="D1713">
            <v>0</v>
          </cell>
          <cell r="E1713" t="str">
            <v>일반</v>
          </cell>
          <cell r="F1713" t="str">
            <v>입고완료</v>
          </cell>
          <cell r="G1713">
            <v>123913</v>
          </cell>
          <cell r="H1713" t="str">
            <v>쉐프솔루션 타르타르드레싱(2Kg/EA)</v>
          </cell>
          <cell r="I1713" t="str">
            <v>EA</v>
          </cell>
          <cell r="J1713">
            <v>2</v>
          </cell>
          <cell r="K1713">
            <v>2</v>
          </cell>
          <cell r="L1713">
            <v>5460</v>
          </cell>
          <cell r="M1713">
            <v>10920</v>
          </cell>
          <cell r="N1713">
            <v>1092</v>
          </cell>
          <cell r="O1713">
            <v>12012</v>
          </cell>
          <cell r="P1713">
            <v>0</v>
          </cell>
          <cell r="Q1713" t="str">
            <v/>
          </cell>
          <cell r="R1713" t="str">
            <v>냉장</v>
          </cell>
          <cell r="S1713" t="str">
            <v>EA(6)</v>
          </cell>
          <cell r="T1713" t="str">
            <v/>
          </cell>
          <cell r="U1713" t="str">
            <v/>
          </cell>
          <cell r="V1713" t="str">
            <v>2018-11-19</v>
          </cell>
          <cell r="W1713" t="str">
            <v>2018-11-19 12:39:44</v>
          </cell>
          <cell r="X1713" t="str">
            <v>178921000</v>
          </cell>
        </row>
        <row r="1714">
          <cell r="A1714">
            <v>1710</v>
          </cell>
          <cell r="B1714" t="str">
            <v>2018-11-20</v>
          </cell>
          <cell r="C1714" t="str">
            <v>키즈락</v>
          </cell>
          <cell r="D1714">
            <v>0</v>
          </cell>
          <cell r="E1714" t="str">
            <v>일반</v>
          </cell>
          <cell r="F1714" t="str">
            <v>입고완료</v>
          </cell>
          <cell r="G1714">
            <v>200075</v>
          </cell>
          <cell r="H1714" t="str">
            <v>현미(일반 1Kg/EA)</v>
          </cell>
          <cell r="I1714" t="str">
            <v>EA</v>
          </cell>
          <cell r="J1714">
            <v>10</v>
          </cell>
          <cell r="K1714">
            <v>10</v>
          </cell>
          <cell r="L1714">
            <v>3110</v>
          </cell>
          <cell r="M1714">
            <v>31100</v>
          </cell>
          <cell r="N1714">
            <v>0</v>
          </cell>
          <cell r="O1714">
            <v>31100</v>
          </cell>
          <cell r="P1714">
            <v>0</v>
          </cell>
          <cell r="Q1714" t="str">
            <v>한국</v>
          </cell>
          <cell r="R1714" t="str">
            <v>실온</v>
          </cell>
          <cell r="S1714" t="str">
            <v>EA(1)</v>
          </cell>
          <cell r="T1714" t="str">
            <v/>
          </cell>
          <cell r="U1714" t="str">
            <v/>
          </cell>
          <cell r="V1714" t="str">
            <v>2018-11-19</v>
          </cell>
          <cell r="W1714" t="str">
            <v>2018-11-19 12:41:14</v>
          </cell>
          <cell r="X1714" t="str">
            <v>178921000</v>
          </cell>
        </row>
        <row r="1715">
          <cell r="A1715">
            <v>1711</v>
          </cell>
          <cell r="B1715" t="str">
            <v>2018-11-20</v>
          </cell>
          <cell r="C1715" t="str">
            <v>키즈락</v>
          </cell>
          <cell r="D1715">
            <v>0</v>
          </cell>
          <cell r="E1715" t="str">
            <v>일반</v>
          </cell>
          <cell r="F1715" t="str">
            <v>입고완료</v>
          </cell>
          <cell r="G1715">
            <v>127015</v>
          </cell>
          <cell r="H1715" t="str">
            <v>이슬나라 생강분말(450g/EA)</v>
          </cell>
          <cell r="I1715" t="str">
            <v>EA</v>
          </cell>
          <cell r="J1715">
            <v>1</v>
          </cell>
          <cell r="K1715">
            <v>1</v>
          </cell>
          <cell r="L1715">
            <v>5080</v>
          </cell>
          <cell r="M1715">
            <v>5080</v>
          </cell>
          <cell r="N1715">
            <v>508</v>
          </cell>
          <cell r="O1715">
            <v>5588</v>
          </cell>
          <cell r="P1715">
            <v>0</v>
          </cell>
          <cell r="Q1715" t="str">
            <v/>
          </cell>
          <cell r="R1715" t="str">
            <v>실온</v>
          </cell>
          <cell r="S1715" t="str">
            <v>EA(12)</v>
          </cell>
          <cell r="T1715" t="str">
            <v/>
          </cell>
          <cell r="U1715" t="str">
            <v/>
          </cell>
          <cell r="V1715" t="str">
            <v>2018-11-19</v>
          </cell>
          <cell r="W1715" t="str">
            <v>2018-11-19 12:46:35</v>
          </cell>
          <cell r="X1715" t="str">
            <v>178921000</v>
          </cell>
        </row>
        <row r="1716">
          <cell r="A1716">
            <v>1712</v>
          </cell>
          <cell r="B1716" t="str">
            <v>2018-11-20</v>
          </cell>
          <cell r="C1716" t="str">
            <v>키즈락</v>
          </cell>
          <cell r="D1716">
            <v>0</v>
          </cell>
          <cell r="E1716" t="str">
            <v>일반</v>
          </cell>
          <cell r="F1716" t="str">
            <v>입고완료</v>
          </cell>
          <cell r="G1716">
            <v>106212</v>
          </cell>
          <cell r="H1716" t="str">
            <v>백설 하얀설탕(15Kg/EA)</v>
          </cell>
          <cell r="I1716" t="str">
            <v>EA</v>
          </cell>
          <cell r="J1716">
            <v>1</v>
          </cell>
          <cell r="K1716">
            <v>1</v>
          </cell>
          <cell r="L1716">
            <v>15680</v>
          </cell>
          <cell r="M1716">
            <v>15680</v>
          </cell>
          <cell r="N1716">
            <v>1568</v>
          </cell>
          <cell r="O1716">
            <v>17248</v>
          </cell>
          <cell r="P1716">
            <v>0</v>
          </cell>
          <cell r="Q1716" t="str">
            <v/>
          </cell>
          <cell r="R1716" t="str">
            <v>실온</v>
          </cell>
          <cell r="S1716" t="str">
            <v>EA(1)</v>
          </cell>
          <cell r="T1716" t="str">
            <v/>
          </cell>
          <cell r="U1716" t="str">
            <v/>
          </cell>
          <cell r="V1716" t="str">
            <v>2018-11-19</v>
          </cell>
          <cell r="W1716" t="str">
            <v>2018-11-19 12:50:18</v>
          </cell>
          <cell r="X1716" t="str">
            <v>178921000</v>
          </cell>
        </row>
        <row r="1717">
          <cell r="A1717">
            <v>1713</v>
          </cell>
          <cell r="B1717" t="str">
            <v>2018-11-20</v>
          </cell>
          <cell r="C1717" t="str">
            <v>키즈락</v>
          </cell>
          <cell r="D1717">
            <v>0</v>
          </cell>
          <cell r="E1717" t="str">
            <v>일반</v>
          </cell>
          <cell r="F1717" t="str">
            <v>입고완료</v>
          </cell>
          <cell r="G1717">
            <v>106520</v>
          </cell>
          <cell r="H1717" t="str">
            <v>백설 맛소금(중간입자 5Kg/EA)</v>
          </cell>
          <cell r="I1717" t="str">
            <v>EA</v>
          </cell>
          <cell r="J1717">
            <v>2</v>
          </cell>
          <cell r="K1717">
            <v>2</v>
          </cell>
          <cell r="L1717">
            <v>5730</v>
          </cell>
          <cell r="M1717">
            <v>11460</v>
          </cell>
          <cell r="N1717">
            <v>1146</v>
          </cell>
          <cell r="O1717">
            <v>12606</v>
          </cell>
          <cell r="P1717">
            <v>0</v>
          </cell>
          <cell r="Q1717" t="str">
            <v/>
          </cell>
          <cell r="R1717" t="str">
            <v>실온</v>
          </cell>
          <cell r="S1717" t="str">
            <v>EA(4)</v>
          </cell>
          <cell r="T1717" t="str">
            <v/>
          </cell>
          <cell r="U1717" t="str">
            <v/>
          </cell>
          <cell r="V1717" t="str">
            <v>2018-11-19</v>
          </cell>
          <cell r="W1717" t="str">
            <v>2018-11-19 12:51:18</v>
          </cell>
          <cell r="X1717" t="str">
            <v>178921000</v>
          </cell>
        </row>
        <row r="1718">
          <cell r="A1718">
            <v>1714</v>
          </cell>
          <cell r="B1718" t="str">
            <v>2018-11-20</v>
          </cell>
          <cell r="C1718" t="str">
            <v>키즈락</v>
          </cell>
          <cell r="D1718">
            <v>0</v>
          </cell>
          <cell r="E1718" t="str">
            <v>일반</v>
          </cell>
          <cell r="F1718" t="str">
            <v>입고완료</v>
          </cell>
          <cell r="G1718">
            <v>118708</v>
          </cell>
          <cell r="H1718" t="str">
            <v>한라 참치액(900ml 900g/EA)</v>
          </cell>
          <cell r="I1718" t="str">
            <v>EA</v>
          </cell>
          <cell r="J1718">
            <v>3</v>
          </cell>
          <cell r="K1718">
            <v>3</v>
          </cell>
          <cell r="L1718">
            <v>12580</v>
          </cell>
          <cell r="M1718">
            <v>37740</v>
          </cell>
          <cell r="N1718">
            <v>3774</v>
          </cell>
          <cell r="O1718">
            <v>41514</v>
          </cell>
          <cell r="P1718">
            <v>0</v>
          </cell>
          <cell r="Q1718" t="str">
            <v/>
          </cell>
          <cell r="R1718" t="str">
            <v>실온</v>
          </cell>
          <cell r="S1718" t="str">
            <v>EA(20)</v>
          </cell>
          <cell r="T1718" t="str">
            <v/>
          </cell>
          <cell r="U1718" t="str">
            <v/>
          </cell>
          <cell r="V1718" t="str">
            <v>2018-11-19</v>
          </cell>
          <cell r="W1718" t="str">
            <v>2018-11-19 12:52:13</v>
          </cell>
          <cell r="X1718" t="str">
            <v>178921000</v>
          </cell>
        </row>
        <row r="1719">
          <cell r="A1719">
            <v>1715</v>
          </cell>
          <cell r="B1719" t="str">
            <v>2018-11-20</v>
          </cell>
          <cell r="C1719" t="str">
            <v>키즈락</v>
          </cell>
          <cell r="D1719">
            <v>0</v>
          </cell>
          <cell r="E1719" t="str">
            <v>일반</v>
          </cell>
          <cell r="F1719" t="str">
            <v>입고완료</v>
          </cell>
          <cell r="G1719">
            <v>214113</v>
          </cell>
          <cell r="H1719" t="str">
            <v>아이누리 팽이버섯(1Kg/EA)</v>
          </cell>
          <cell r="I1719" t="str">
            <v>EA</v>
          </cell>
          <cell r="J1719">
            <v>1</v>
          </cell>
          <cell r="K1719">
            <v>1</v>
          </cell>
          <cell r="L1719">
            <v>3970</v>
          </cell>
          <cell r="M1719">
            <v>3970</v>
          </cell>
          <cell r="N1719">
            <v>0</v>
          </cell>
          <cell r="O1719">
            <v>3970</v>
          </cell>
          <cell r="P1719">
            <v>0</v>
          </cell>
          <cell r="Q1719" t="str">
            <v>한국</v>
          </cell>
          <cell r="R1719" t="str">
            <v>냉장</v>
          </cell>
          <cell r="S1719" t="str">
            <v>EA(1)</v>
          </cell>
          <cell r="T1719" t="str">
            <v/>
          </cell>
          <cell r="U1719" t="str">
            <v/>
          </cell>
          <cell r="V1719" t="str">
            <v>2018-11-19</v>
          </cell>
          <cell r="W1719" t="str">
            <v>2018-11-19 12:59:43</v>
          </cell>
          <cell r="X1719" t="str">
            <v>178921000</v>
          </cell>
        </row>
        <row r="1720">
          <cell r="A1720">
            <v>1716</v>
          </cell>
          <cell r="B1720" t="str">
            <v>2018-11-20</v>
          </cell>
          <cell r="C1720" t="str">
            <v>키즈락</v>
          </cell>
          <cell r="D1720">
            <v>0</v>
          </cell>
          <cell r="E1720" t="str">
            <v>일반</v>
          </cell>
          <cell r="F1720" t="str">
            <v>입고완료</v>
          </cell>
          <cell r="G1720">
            <v>211036</v>
          </cell>
          <cell r="H1720" t="str">
            <v>느타리버섯(상품 다발 2Kg/EA)</v>
          </cell>
          <cell r="I1720" t="str">
            <v>BOX</v>
          </cell>
          <cell r="J1720">
            <v>2</v>
          </cell>
          <cell r="K1720">
            <v>2</v>
          </cell>
          <cell r="L1720">
            <v>6080</v>
          </cell>
          <cell r="M1720">
            <v>12160</v>
          </cell>
          <cell r="N1720">
            <v>0</v>
          </cell>
          <cell r="O1720">
            <v>12160</v>
          </cell>
          <cell r="P1720">
            <v>0</v>
          </cell>
          <cell r="Q1720" t="str">
            <v>한국</v>
          </cell>
          <cell r="R1720" t="str">
            <v>냉장</v>
          </cell>
          <cell r="S1720" t="str">
            <v>EA(1)</v>
          </cell>
          <cell r="T1720" t="str">
            <v/>
          </cell>
          <cell r="U1720" t="str">
            <v/>
          </cell>
          <cell r="V1720" t="str">
            <v>2018-11-19</v>
          </cell>
          <cell r="W1720" t="str">
            <v>2018-11-19 13:04:05</v>
          </cell>
          <cell r="X1720" t="str">
            <v>178921000</v>
          </cell>
        </row>
        <row r="1721">
          <cell r="A1721">
            <v>1717</v>
          </cell>
          <cell r="B1721" t="str">
            <v>2018-11-20</v>
          </cell>
          <cell r="C1721" t="str">
            <v>키즈락</v>
          </cell>
          <cell r="D1721">
            <v>0</v>
          </cell>
          <cell r="E1721" t="str">
            <v>일반</v>
          </cell>
          <cell r="F1721" t="str">
            <v>입고완료</v>
          </cell>
          <cell r="G1721">
            <v>512178</v>
          </cell>
          <cell r="H1721" t="str">
            <v>이츠웰 페이퍼타올(실속 핸드타올_4500매 BOX)</v>
          </cell>
          <cell r="I1721" t="str">
            <v>BOX</v>
          </cell>
          <cell r="J1721">
            <v>1</v>
          </cell>
          <cell r="K1721">
            <v>1</v>
          </cell>
          <cell r="L1721">
            <v>19720</v>
          </cell>
          <cell r="M1721">
            <v>19720</v>
          </cell>
          <cell r="N1721">
            <v>1972</v>
          </cell>
          <cell r="O1721">
            <v>21692</v>
          </cell>
          <cell r="P1721">
            <v>0</v>
          </cell>
          <cell r="Q1721" t="str">
            <v/>
          </cell>
          <cell r="R1721" t="str">
            <v>실온</v>
          </cell>
          <cell r="S1721" t="str">
            <v>BOX(1)</v>
          </cell>
          <cell r="T1721" t="str">
            <v/>
          </cell>
          <cell r="U1721" t="str">
            <v/>
          </cell>
          <cell r="V1721" t="str">
            <v>2018-11-19</v>
          </cell>
          <cell r="W1721" t="str">
            <v>2018-11-19 13:14:08</v>
          </cell>
          <cell r="X1721" t="str">
            <v>178921000</v>
          </cell>
        </row>
        <row r="1722">
          <cell r="A1722">
            <v>1718</v>
          </cell>
          <cell r="B1722" t="str">
            <v>2018-11-20</v>
          </cell>
          <cell r="C1722" t="str">
            <v>키즈락</v>
          </cell>
          <cell r="D1722">
            <v>0</v>
          </cell>
          <cell r="E1722" t="str">
            <v>일반</v>
          </cell>
          <cell r="F1722" t="str">
            <v>입고완료</v>
          </cell>
          <cell r="G1722">
            <v>211696</v>
          </cell>
          <cell r="H1722" t="str">
            <v>건시래기(데친것 KG)</v>
          </cell>
          <cell r="I1722" t="str">
            <v>KG</v>
          </cell>
          <cell r="J1722">
            <v>2</v>
          </cell>
          <cell r="K1722">
            <v>2</v>
          </cell>
          <cell r="L1722">
            <v>2740</v>
          </cell>
          <cell r="M1722">
            <v>5480</v>
          </cell>
          <cell r="N1722">
            <v>0</v>
          </cell>
          <cell r="O1722">
            <v>5480</v>
          </cell>
          <cell r="P1722">
            <v>0</v>
          </cell>
          <cell r="Q1722" t="str">
            <v>한국</v>
          </cell>
          <cell r="R1722" t="str">
            <v>냉장</v>
          </cell>
          <cell r="S1722" t="str">
            <v>KG(1)</v>
          </cell>
          <cell r="T1722" t="str">
            <v/>
          </cell>
          <cell r="U1722" t="str">
            <v/>
          </cell>
          <cell r="V1722" t="str">
            <v>2018-11-19</v>
          </cell>
          <cell r="W1722" t="str">
            <v>2018-11-19 14:03:08</v>
          </cell>
          <cell r="X1722" t="str">
            <v>178921000</v>
          </cell>
        </row>
        <row r="1723">
          <cell r="A1723">
            <v>1719</v>
          </cell>
          <cell r="B1723" t="str">
            <v>2018-11-20</v>
          </cell>
          <cell r="C1723" t="str">
            <v>키즈락</v>
          </cell>
          <cell r="D1723">
            <v>0</v>
          </cell>
          <cell r="E1723" t="str">
            <v>일반</v>
          </cell>
          <cell r="F1723" t="str">
            <v>입고완료</v>
          </cell>
          <cell r="G1723">
            <v>201296</v>
          </cell>
          <cell r="H1723" t="str">
            <v>건고사리(데친것 KG)</v>
          </cell>
          <cell r="I1723" t="str">
            <v>KG</v>
          </cell>
          <cell r="J1723">
            <v>3</v>
          </cell>
          <cell r="K1723">
            <v>3</v>
          </cell>
          <cell r="L1723">
            <v>3910</v>
          </cell>
          <cell r="M1723">
            <v>11730</v>
          </cell>
          <cell r="N1723">
            <v>0</v>
          </cell>
          <cell r="O1723">
            <v>11730</v>
          </cell>
          <cell r="P1723">
            <v>0</v>
          </cell>
          <cell r="Q1723" t="str">
            <v>중국</v>
          </cell>
          <cell r="R1723" t="str">
            <v>냉장</v>
          </cell>
          <cell r="S1723" t="str">
            <v>KG(1)</v>
          </cell>
          <cell r="T1723" t="str">
            <v/>
          </cell>
          <cell r="U1723" t="str">
            <v/>
          </cell>
          <cell r="V1723" t="str">
            <v>2018-11-19</v>
          </cell>
          <cell r="W1723" t="str">
            <v>2018-11-19 14:04:01</v>
          </cell>
          <cell r="X1723" t="str">
            <v>178921000</v>
          </cell>
        </row>
        <row r="1724">
          <cell r="A1724">
            <v>1720</v>
          </cell>
          <cell r="B1724" t="str">
            <v>2018-11-20</v>
          </cell>
          <cell r="C1724" t="str">
            <v>키즈락</v>
          </cell>
          <cell r="D1724">
            <v>0</v>
          </cell>
          <cell r="E1724" t="str">
            <v>일반</v>
          </cell>
          <cell r="F1724" t="str">
            <v>입고완료</v>
          </cell>
          <cell r="G1724">
            <v>201152</v>
          </cell>
          <cell r="H1724" t="str">
            <v>깐도라지채(KG)</v>
          </cell>
          <cell r="I1724" t="str">
            <v>KG</v>
          </cell>
          <cell r="J1724">
            <v>5</v>
          </cell>
          <cell r="K1724">
            <v>5</v>
          </cell>
          <cell r="L1724">
            <v>5380</v>
          </cell>
          <cell r="M1724">
            <v>26900</v>
          </cell>
          <cell r="N1724">
            <v>0</v>
          </cell>
          <cell r="O1724">
            <v>26900</v>
          </cell>
          <cell r="P1724">
            <v>0</v>
          </cell>
          <cell r="Q1724" t="str">
            <v>중국</v>
          </cell>
          <cell r="R1724" t="str">
            <v>냉장</v>
          </cell>
          <cell r="S1724" t="str">
            <v>KG(1)</v>
          </cell>
          <cell r="T1724" t="str">
            <v/>
          </cell>
          <cell r="U1724" t="str">
            <v/>
          </cell>
          <cell r="V1724" t="str">
            <v>2018-11-19</v>
          </cell>
          <cell r="W1724" t="str">
            <v>2018-11-19 14:22:59</v>
          </cell>
          <cell r="X1724" t="str">
            <v>178921000</v>
          </cell>
        </row>
        <row r="1725">
          <cell r="A1725">
            <v>1721</v>
          </cell>
          <cell r="B1725" t="str">
            <v>2018-11-20</v>
          </cell>
          <cell r="C1725" t="str">
            <v>키즈락</v>
          </cell>
          <cell r="D1725">
            <v>0</v>
          </cell>
          <cell r="E1725" t="str">
            <v>일반</v>
          </cell>
          <cell r="F1725" t="str">
            <v>입고완료</v>
          </cell>
          <cell r="G1725">
            <v>208502</v>
          </cell>
          <cell r="H1725" t="str">
            <v>세척당근(3L 10Kg/EA)</v>
          </cell>
          <cell r="I1725" t="str">
            <v>EA</v>
          </cell>
          <cell r="J1725">
            <v>1</v>
          </cell>
          <cell r="K1725">
            <v>1</v>
          </cell>
          <cell r="L1725">
            <v>11980</v>
          </cell>
          <cell r="M1725">
            <v>11980</v>
          </cell>
          <cell r="N1725">
            <v>0</v>
          </cell>
          <cell r="O1725">
            <v>11980</v>
          </cell>
          <cell r="P1725">
            <v>0</v>
          </cell>
          <cell r="Q1725" t="str">
            <v>중국</v>
          </cell>
          <cell r="R1725" t="str">
            <v>실온</v>
          </cell>
          <cell r="S1725" t="str">
            <v>EA(1)</v>
          </cell>
          <cell r="T1725" t="str">
            <v/>
          </cell>
          <cell r="U1725" t="str">
            <v/>
          </cell>
          <cell r="V1725" t="str">
            <v>2018-11-19</v>
          </cell>
          <cell r="W1725" t="str">
            <v>2018-11-19 14:58:05</v>
          </cell>
          <cell r="X1725" t="str">
            <v>178921000</v>
          </cell>
        </row>
        <row r="1726">
          <cell r="A1726">
            <v>1722</v>
          </cell>
          <cell r="B1726" t="str">
            <v>2018-11-20</v>
          </cell>
          <cell r="C1726" t="str">
            <v>키즈락</v>
          </cell>
          <cell r="D1726">
            <v>0</v>
          </cell>
          <cell r="E1726" t="str">
            <v>일반</v>
          </cell>
          <cell r="F1726" t="str">
            <v>입고완료</v>
          </cell>
          <cell r="G1726">
            <v>420010</v>
          </cell>
          <cell r="H1726" t="str">
            <v>알로팜 계란(왕란_무항생제_68g*30입 2.04Kg/EA)</v>
          </cell>
          <cell r="I1726" t="str">
            <v>EA</v>
          </cell>
          <cell r="J1726">
            <v>5</v>
          </cell>
          <cell r="K1726">
            <v>5</v>
          </cell>
          <cell r="L1726">
            <v>4860</v>
          </cell>
          <cell r="M1726">
            <v>24300</v>
          </cell>
          <cell r="N1726">
            <v>0</v>
          </cell>
          <cell r="O1726">
            <v>24300</v>
          </cell>
          <cell r="P1726">
            <v>24300</v>
          </cell>
          <cell r="Q1726" t="str">
            <v>한국</v>
          </cell>
          <cell r="R1726" t="str">
            <v>냉장</v>
          </cell>
          <cell r="S1726" t="str">
            <v>EA(1)</v>
          </cell>
          <cell r="T1726" t="str">
            <v/>
          </cell>
          <cell r="U1726" t="str">
            <v/>
          </cell>
          <cell r="V1726" t="str">
            <v>2018-11-19</v>
          </cell>
          <cell r="W1726" t="str">
            <v>2018-11-19 14:58:50</v>
          </cell>
          <cell r="X1726" t="str">
            <v>178921000</v>
          </cell>
        </row>
        <row r="1727">
          <cell r="A1727">
            <v>1723</v>
          </cell>
          <cell r="B1727" t="str">
            <v>2018-11-20</v>
          </cell>
          <cell r="C1727" t="str">
            <v>키즈락</v>
          </cell>
          <cell r="D1727">
            <v>0</v>
          </cell>
          <cell r="E1727" t="str">
            <v>일반</v>
          </cell>
          <cell r="F1727" t="str">
            <v>입고완료</v>
          </cell>
          <cell r="G1727">
            <v>260860</v>
          </cell>
          <cell r="H1727" t="str">
            <v>이츠웰 양파(중품 140~170g/개 15Kg/BOX)</v>
          </cell>
          <cell r="I1727" t="str">
            <v>BOX</v>
          </cell>
          <cell r="J1727">
            <v>1</v>
          </cell>
          <cell r="K1727">
            <v>1</v>
          </cell>
          <cell r="L1727">
            <v>15060</v>
          </cell>
          <cell r="M1727">
            <v>15060</v>
          </cell>
          <cell r="N1727">
            <v>0</v>
          </cell>
          <cell r="O1727">
            <v>15060</v>
          </cell>
          <cell r="P1727">
            <v>0</v>
          </cell>
          <cell r="Q1727" t="str">
            <v>한국</v>
          </cell>
          <cell r="R1727" t="str">
            <v>실온</v>
          </cell>
          <cell r="S1727" t="str">
            <v>BOX(1)</v>
          </cell>
          <cell r="T1727" t="str">
            <v/>
          </cell>
          <cell r="U1727" t="str">
            <v/>
          </cell>
          <cell r="V1727" t="str">
            <v>2018-11-19</v>
          </cell>
          <cell r="W1727" t="str">
            <v>2018-11-19 14:59:44</v>
          </cell>
          <cell r="X1727" t="str">
            <v>178921000</v>
          </cell>
        </row>
        <row r="1728">
          <cell r="A1728">
            <v>1724</v>
          </cell>
          <cell r="B1728" t="str">
            <v>2018-11-19</v>
          </cell>
          <cell r="C1728">
            <v>0</v>
          </cell>
          <cell r="D1728">
            <v>0</v>
          </cell>
          <cell r="E1728">
            <v>0</v>
          </cell>
          <cell r="F1728">
            <v>0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</row>
        <row r="1729">
          <cell r="A1729">
            <v>1725</v>
          </cell>
          <cell r="B1729" t="str">
            <v>2018-11-19</v>
          </cell>
          <cell r="C1729" t="str">
            <v>키즈락</v>
          </cell>
          <cell r="D1729">
            <v>0</v>
          </cell>
          <cell r="E1729" t="str">
            <v>일반</v>
          </cell>
          <cell r="F1729" t="str">
            <v>입고완료</v>
          </cell>
          <cell r="G1729">
            <v>241204</v>
          </cell>
          <cell r="H1729" t="str">
            <v>이츠웰 콘시리얼함께해바(견과바_15g*12개 180g/EA)</v>
          </cell>
          <cell r="I1729" t="str">
            <v>EA</v>
          </cell>
          <cell r="J1729">
            <v>27</v>
          </cell>
          <cell r="K1729">
            <v>27</v>
          </cell>
          <cell r="L1729">
            <v>4370</v>
          </cell>
          <cell r="M1729">
            <v>117990</v>
          </cell>
          <cell r="N1729">
            <v>11799</v>
          </cell>
          <cell r="O1729">
            <v>129789</v>
          </cell>
          <cell r="P1729">
            <v>0</v>
          </cell>
          <cell r="Q1729" t="str">
            <v>외국산</v>
          </cell>
          <cell r="R1729" t="str">
            <v>실온</v>
          </cell>
          <cell r="S1729" t="str">
            <v>EA(8)</v>
          </cell>
          <cell r="T1729" t="str">
            <v/>
          </cell>
          <cell r="U1729" t="str">
            <v/>
          </cell>
          <cell r="V1729" t="str">
            <v>2018-11-02</v>
          </cell>
          <cell r="W1729" t="str">
            <v>2018-11-02 12:56:03</v>
          </cell>
          <cell r="X1729" t="str">
            <v>178921000</v>
          </cell>
        </row>
        <row r="1730">
          <cell r="A1730">
            <v>1726</v>
          </cell>
          <cell r="B1730" t="str">
            <v>2018-11-19</v>
          </cell>
          <cell r="C1730" t="str">
            <v>키즈락</v>
          </cell>
          <cell r="D1730">
            <v>0</v>
          </cell>
          <cell r="E1730" t="str">
            <v>일반</v>
          </cell>
          <cell r="F1730" t="str">
            <v>입고완료</v>
          </cell>
          <cell r="G1730">
            <v>176382</v>
          </cell>
          <cell r="H1730" t="str">
            <v>서울식품공업 미니크로와상(완제품_19g*50입 950g/EA)</v>
          </cell>
          <cell r="I1730" t="str">
            <v>EA</v>
          </cell>
          <cell r="J1730">
            <v>8</v>
          </cell>
          <cell r="K1730">
            <v>8</v>
          </cell>
          <cell r="L1730">
            <v>12700</v>
          </cell>
          <cell r="M1730">
            <v>101600</v>
          </cell>
          <cell r="N1730">
            <v>10160</v>
          </cell>
          <cell r="O1730">
            <v>111760</v>
          </cell>
          <cell r="P1730">
            <v>0</v>
          </cell>
          <cell r="Q1730" t="str">
            <v/>
          </cell>
          <cell r="R1730" t="str">
            <v>냉동</v>
          </cell>
          <cell r="S1730" t="str">
            <v>EA(2)</v>
          </cell>
          <cell r="T1730" t="str">
            <v/>
          </cell>
          <cell r="U1730" t="str">
            <v/>
          </cell>
          <cell r="V1730" t="str">
            <v>2018-11-02</v>
          </cell>
          <cell r="W1730" t="str">
            <v>2018-11-02 13:08:25</v>
          </cell>
          <cell r="X1730" t="str">
            <v>178921000</v>
          </cell>
        </row>
        <row r="1731">
          <cell r="A1731">
            <v>1727</v>
          </cell>
          <cell r="B1731" t="str">
            <v>2018-11-19</v>
          </cell>
          <cell r="C1731" t="str">
            <v>키즈락</v>
          </cell>
          <cell r="D1731">
            <v>0</v>
          </cell>
          <cell r="E1731" t="str">
            <v>일반</v>
          </cell>
          <cell r="F1731" t="str">
            <v>입고완료</v>
          </cell>
          <cell r="G1731">
            <v>270764</v>
          </cell>
          <cell r="H1731" t="str">
            <v>애니쿡 안심가라아게(1Kg/EA)</v>
          </cell>
          <cell r="I1731" t="str">
            <v>EA</v>
          </cell>
          <cell r="J1731">
            <v>40</v>
          </cell>
          <cell r="K1731">
            <v>40</v>
          </cell>
          <cell r="L1731">
            <v>5560</v>
          </cell>
          <cell r="M1731">
            <v>222400</v>
          </cell>
          <cell r="N1731">
            <v>22240</v>
          </cell>
          <cell r="O1731">
            <v>244640</v>
          </cell>
          <cell r="P1731">
            <v>0</v>
          </cell>
          <cell r="Q1731" t="str">
            <v>한국</v>
          </cell>
          <cell r="R1731" t="str">
            <v>냉동</v>
          </cell>
          <cell r="S1731" t="str">
            <v>EA(10)</v>
          </cell>
          <cell r="T1731" t="str">
            <v/>
          </cell>
          <cell r="U1731" t="str">
            <v/>
          </cell>
          <cell r="V1731" t="str">
            <v>2018-11-09</v>
          </cell>
          <cell r="W1731" t="str">
            <v>2018-11-09 13:33:43</v>
          </cell>
          <cell r="X1731" t="str">
            <v>178921000</v>
          </cell>
        </row>
        <row r="1732">
          <cell r="A1732">
            <v>1728</v>
          </cell>
          <cell r="B1732" t="str">
            <v>2018-11-19</v>
          </cell>
          <cell r="C1732" t="str">
            <v>키즈락</v>
          </cell>
          <cell r="D1732">
            <v>0</v>
          </cell>
          <cell r="E1732" t="str">
            <v>일반</v>
          </cell>
          <cell r="F1732" t="str">
            <v>입고완료</v>
          </cell>
          <cell r="G1732">
            <v>143422</v>
          </cell>
          <cell r="H1732" t="str">
            <v>이츠웰 순두부(1Kg/EA)</v>
          </cell>
          <cell r="I1732" t="str">
            <v>EA</v>
          </cell>
          <cell r="J1732">
            <v>48</v>
          </cell>
          <cell r="K1732">
            <v>48</v>
          </cell>
          <cell r="L1732">
            <v>780</v>
          </cell>
          <cell r="M1732">
            <v>37440</v>
          </cell>
          <cell r="N1732">
            <v>0</v>
          </cell>
          <cell r="O1732">
            <v>37440</v>
          </cell>
          <cell r="P1732">
            <v>0</v>
          </cell>
          <cell r="Q1732" t="str">
            <v>외국산</v>
          </cell>
          <cell r="R1732" t="str">
            <v>냉장</v>
          </cell>
          <cell r="S1732" t="str">
            <v>EA(1)</v>
          </cell>
          <cell r="T1732" t="str">
            <v/>
          </cell>
          <cell r="U1732" t="str">
            <v/>
          </cell>
          <cell r="V1732" t="str">
            <v>2018-11-15</v>
          </cell>
          <cell r="W1732" t="str">
            <v>2018-11-15 14:10:33</v>
          </cell>
          <cell r="X1732" t="str">
            <v>178921000</v>
          </cell>
        </row>
        <row r="1733">
          <cell r="A1733">
            <v>1729</v>
          </cell>
          <cell r="B1733" t="str">
            <v>2018-11-19</v>
          </cell>
          <cell r="C1733" t="str">
            <v>키즈락</v>
          </cell>
          <cell r="D1733">
            <v>0</v>
          </cell>
          <cell r="E1733" t="str">
            <v>일반</v>
          </cell>
          <cell r="F1733" t="str">
            <v>입고완료</v>
          </cell>
          <cell r="G1733">
            <v>160251</v>
          </cell>
          <cell r="H1733" t="str">
            <v>마차촌 사각어묵(FS전용 60g*16내외입 1Kg/EA)</v>
          </cell>
          <cell r="I1733" t="str">
            <v>EA</v>
          </cell>
          <cell r="J1733">
            <v>6</v>
          </cell>
          <cell r="K1733">
            <v>6</v>
          </cell>
          <cell r="L1733">
            <v>2200</v>
          </cell>
          <cell r="M1733">
            <v>13200</v>
          </cell>
          <cell r="N1733">
            <v>1320</v>
          </cell>
          <cell r="O1733">
            <v>14520</v>
          </cell>
          <cell r="P1733">
            <v>0</v>
          </cell>
          <cell r="Q1733" t="str">
            <v/>
          </cell>
          <cell r="R1733" t="str">
            <v>냉장</v>
          </cell>
          <cell r="S1733" t="str">
            <v>EA(10)</v>
          </cell>
          <cell r="T1733" t="str">
            <v/>
          </cell>
          <cell r="U1733" t="str">
            <v/>
          </cell>
          <cell r="V1733" t="str">
            <v>2018-11-16</v>
          </cell>
          <cell r="W1733" t="str">
            <v>2018-11-16 12:08:45</v>
          </cell>
          <cell r="X1733" t="str">
            <v>178921000</v>
          </cell>
        </row>
        <row r="1734">
          <cell r="A1734">
            <v>1730</v>
          </cell>
          <cell r="B1734" t="str">
            <v>2018-11-19</v>
          </cell>
          <cell r="C1734" t="str">
            <v>키즈락</v>
          </cell>
          <cell r="D1734">
            <v>0</v>
          </cell>
          <cell r="E1734" t="str">
            <v>일반</v>
          </cell>
          <cell r="F1734" t="str">
            <v>입고완료</v>
          </cell>
          <cell r="G1734">
            <v>215857</v>
          </cell>
          <cell r="H1734" t="str">
            <v>냉동다진마늘(1Kg/EA)</v>
          </cell>
          <cell r="I1734" t="str">
            <v>EA</v>
          </cell>
          <cell r="J1734">
            <v>20</v>
          </cell>
          <cell r="K1734">
            <v>20</v>
          </cell>
          <cell r="L1734">
            <v>2730</v>
          </cell>
          <cell r="M1734">
            <v>54600</v>
          </cell>
          <cell r="N1734">
            <v>0</v>
          </cell>
          <cell r="O1734">
            <v>54600</v>
          </cell>
          <cell r="P1734">
            <v>0</v>
          </cell>
          <cell r="Q1734" t="str">
            <v>중국</v>
          </cell>
          <cell r="R1734" t="str">
            <v>냉동</v>
          </cell>
          <cell r="S1734" t="str">
            <v>EA(10)</v>
          </cell>
          <cell r="T1734" t="str">
            <v/>
          </cell>
          <cell r="U1734" t="str">
            <v/>
          </cell>
          <cell r="V1734" t="str">
            <v>2018-11-16</v>
          </cell>
          <cell r="W1734" t="str">
            <v>2018-11-16 12:14:42</v>
          </cell>
          <cell r="X1734" t="str">
            <v>178921000</v>
          </cell>
        </row>
        <row r="1735">
          <cell r="A1735">
            <v>1731</v>
          </cell>
          <cell r="B1735" t="str">
            <v>2018-11-19</v>
          </cell>
          <cell r="C1735" t="str">
            <v>키즈락</v>
          </cell>
          <cell r="D1735">
            <v>0</v>
          </cell>
          <cell r="E1735" t="str">
            <v>일반</v>
          </cell>
          <cell r="F1735" t="str">
            <v>입고완료</v>
          </cell>
          <cell r="G1735">
            <v>307642</v>
          </cell>
          <cell r="H1735" t="str">
            <v>모시조개(생물_백색 KG)</v>
          </cell>
          <cell r="I1735" t="str">
            <v>KG</v>
          </cell>
          <cell r="J1735">
            <v>1</v>
          </cell>
          <cell r="K1735">
            <v>1</v>
          </cell>
          <cell r="L1735">
            <v>9340</v>
          </cell>
          <cell r="M1735">
            <v>9340</v>
          </cell>
          <cell r="N1735">
            <v>0</v>
          </cell>
          <cell r="O1735">
            <v>9340</v>
          </cell>
          <cell r="P1735">
            <v>0</v>
          </cell>
          <cell r="Q1735" t="str">
            <v>중국</v>
          </cell>
          <cell r="R1735" t="str">
            <v>냉장</v>
          </cell>
          <cell r="S1735" t="str">
            <v>KG(1)</v>
          </cell>
          <cell r="T1735" t="str">
            <v/>
          </cell>
          <cell r="U1735" t="str">
            <v/>
          </cell>
          <cell r="V1735" t="str">
            <v>2018-11-16</v>
          </cell>
          <cell r="W1735" t="str">
            <v>2018-11-16 14:30:48</v>
          </cell>
          <cell r="X1735" t="str">
            <v>178921000</v>
          </cell>
        </row>
        <row r="1736">
          <cell r="A1736">
            <v>1732</v>
          </cell>
          <cell r="B1736" t="str">
            <v>2018-11-19</v>
          </cell>
          <cell r="C1736" t="str">
            <v>키즈락</v>
          </cell>
          <cell r="D1736">
            <v>0</v>
          </cell>
          <cell r="E1736" t="str">
            <v>일반</v>
          </cell>
          <cell r="F1736" t="str">
            <v>입고완료</v>
          </cell>
          <cell r="G1736">
            <v>198579</v>
          </cell>
          <cell r="H1736" t="str">
            <v>PRIDE 통새우(바나메이_41~50미 500g/EA)</v>
          </cell>
          <cell r="I1736" t="str">
            <v>EA</v>
          </cell>
          <cell r="J1736">
            <v>2</v>
          </cell>
          <cell r="K1736">
            <v>2</v>
          </cell>
          <cell r="L1736">
            <v>5670</v>
          </cell>
          <cell r="M1736">
            <v>11340</v>
          </cell>
          <cell r="N1736">
            <v>0</v>
          </cell>
          <cell r="O1736">
            <v>11340</v>
          </cell>
          <cell r="P1736">
            <v>0</v>
          </cell>
          <cell r="Q1736" t="str">
            <v>태국</v>
          </cell>
          <cell r="R1736" t="str">
            <v>냉동</v>
          </cell>
          <cell r="S1736" t="str">
            <v>EA(10)</v>
          </cell>
          <cell r="T1736" t="str">
            <v/>
          </cell>
          <cell r="U1736" t="str">
            <v/>
          </cell>
          <cell r="V1736" t="str">
            <v>2018-11-16</v>
          </cell>
          <cell r="W1736" t="str">
            <v>2018-11-16 14:31:21</v>
          </cell>
          <cell r="X1736" t="str">
            <v>178921000</v>
          </cell>
        </row>
        <row r="1737">
          <cell r="A1737">
            <v>1733</v>
          </cell>
          <cell r="B1737" t="str">
            <v>2018-11-19</v>
          </cell>
          <cell r="C1737" t="str">
            <v>키즈락</v>
          </cell>
          <cell r="D1737">
            <v>0</v>
          </cell>
          <cell r="E1737" t="str">
            <v>일반</v>
          </cell>
          <cell r="F1737" t="str">
            <v>입고완료</v>
          </cell>
          <cell r="G1737">
            <v>221357</v>
          </cell>
          <cell r="H1737" t="str">
            <v>청경채(쌈채 500g/EA)</v>
          </cell>
          <cell r="I1737" t="str">
            <v>EA</v>
          </cell>
          <cell r="J1737">
            <v>1</v>
          </cell>
          <cell r="K1737">
            <v>1</v>
          </cell>
          <cell r="L1737">
            <v>1460</v>
          </cell>
          <cell r="M1737">
            <v>1460</v>
          </cell>
          <cell r="N1737">
            <v>0</v>
          </cell>
          <cell r="O1737">
            <v>1460</v>
          </cell>
          <cell r="P1737">
            <v>0</v>
          </cell>
          <cell r="Q1737" t="str">
            <v>한국</v>
          </cell>
          <cell r="R1737" t="str">
            <v>냉장</v>
          </cell>
          <cell r="S1737" t="str">
            <v>EA(1)</v>
          </cell>
          <cell r="T1737" t="str">
            <v/>
          </cell>
          <cell r="U1737" t="str">
            <v/>
          </cell>
          <cell r="V1737" t="str">
            <v>2018-11-16</v>
          </cell>
          <cell r="W1737" t="str">
            <v>2018-11-16 14:33:27</v>
          </cell>
          <cell r="X1737" t="str">
            <v>178921000</v>
          </cell>
        </row>
        <row r="1738">
          <cell r="A1738">
            <v>1734</v>
          </cell>
          <cell r="B1738" t="str">
            <v>2018-11-19</v>
          </cell>
          <cell r="C1738" t="str">
            <v>키즈락</v>
          </cell>
          <cell r="D1738">
            <v>0</v>
          </cell>
          <cell r="E1738" t="str">
            <v>일반</v>
          </cell>
          <cell r="F1738" t="str">
            <v>입고완료</v>
          </cell>
          <cell r="G1738">
            <v>242899</v>
          </cell>
          <cell r="H1738" t="str">
            <v>웰넛 볶음땅콩(1/16태 1Kg/EA)</v>
          </cell>
          <cell r="I1738" t="str">
            <v>EA</v>
          </cell>
          <cell r="J1738">
            <v>2</v>
          </cell>
          <cell r="K1738">
            <v>2</v>
          </cell>
          <cell r="L1738">
            <v>6710</v>
          </cell>
          <cell r="M1738">
            <v>13420</v>
          </cell>
          <cell r="N1738">
            <v>1342</v>
          </cell>
          <cell r="O1738">
            <v>14762</v>
          </cell>
          <cell r="P1738">
            <v>0</v>
          </cell>
          <cell r="Q1738" t="str">
            <v>중국</v>
          </cell>
          <cell r="R1738" t="str">
            <v>실온</v>
          </cell>
          <cell r="S1738" t="str">
            <v>EA(1)</v>
          </cell>
          <cell r="T1738" t="str">
            <v/>
          </cell>
          <cell r="U1738" t="str">
            <v/>
          </cell>
          <cell r="V1738" t="str">
            <v>2018-11-16</v>
          </cell>
          <cell r="W1738" t="str">
            <v>2018-11-16 14:35:21</v>
          </cell>
          <cell r="X1738" t="str">
            <v>178921000</v>
          </cell>
        </row>
        <row r="1739">
          <cell r="A1739">
            <v>1735</v>
          </cell>
          <cell r="B1739" t="str">
            <v>2018-11-19</v>
          </cell>
          <cell r="C1739" t="str">
            <v>키즈락</v>
          </cell>
          <cell r="D1739">
            <v>0</v>
          </cell>
          <cell r="E1739" t="str">
            <v>일반</v>
          </cell>
          <cell r="F1739" t="str">
            <v>입고완료</v>
          </cell>
          <cell r="G1739">
            <v>166111</v>
          </cell>
          <cell r="H1739" t="str">
            <v>종로복떡방 방울증편(40개입 찜용 1Kg/EA)</v>
          </cell>
          <cell r="I1739" t="str">
            <v>EA</v>
          </cell>
          <cell r="J1739">
            <v>17</v>
          </cell>
          <cell r="K1739">
            <v>17</v>
          </cell>
          <cell r="L1739">
            <v>10800</v>
          </cell>
          <cell r="M1739">
            <v>183600</v>
          </cell>
          <cell r="N1739">
            <v>18360</v>
          </cell>
          <cell r="O1739">
            <v>201960</v>
          </cell>
          <cell r="P1739">
            <v>0</v>
          </cell>
          <cell r="Q1739" t="str">
            <v/>
          </cell>
          <cell r="R1739" t="str">
            <v>냉동</v>
          </cell>
          <cell r="S1739" t="str">
            <v>EA(1)</v>
          </cell>
          <cell r="T1739" t="str">
            <v/>
          </cell>
          <cell r="U1739" t="str">
            <v/>
          </cell>
          <cell r="V1739" t="str">
            <v>2018-11-16</v>
          </cell>
          <cell r="W1739" t="str">
            <v>2018-11-16 14:50:55</v>
          </cell>
          <cell r="X1739" t="str">
            <v>178921000</v>
          </cell>
        </row>
        <row r="1740">
          <cell r="A1740">
            <v>1736</v>
          </cell>
          <cell r="B1740" t="str">
            <v>2018-11-19</v>
          </cell>
          <cell r="C1740" t="str">
            <v>키즈락</v>
          </cell>
          <cell r="D1740">
            <v>0</v>
          </cell>
          <cell r="E1740" t="str">
            <v>일반</v>
          </cell>
          <cell r="F1740" t="str">
            <v>입고완료</v>
          </cell>
          <cell r="G1740">
            <v>212347</v>
          </cell>
          <cell r="H1740" t="str">
            <v>냉동마늘쫑(1Kg/EA)</v>
          </cell>
          <cell r="I1740" t="str">
            <v>EA</v>
          </cell>
          <cell r="J1740">
            <v>1</v>
          </cell>
          <cell r="K1740">
            <v>1</v>
          </cell>
          <cell r="L1740">
            <v>2800</v>
          </cell>
          <cell r="M1740">
            <v>2800</v>
          </cell>
          <cell r="N1740">
            <v>280</v>
          </cell>
          <cell r="O1740">
            <v>3080</v>
          </cell>
          <cell r="P1740">
            <v>0</v>
          </cell>
          <cell r="Q1740" t="str">
            <v>중국</v>
          </cell>
          <cell r="R1740" t="str">
            <v>냉동</v>
          </cell>
          <cell r="S1740" t="str">
            <v>EA(1)</v>
          </cell>
          <cell r="T1740" t="str">
            <v/>
          </cell>
          <cell r="U1740" t="str">
            <v/>
          </cell>
          <cell r="V1740" t="str">
            <v>2018-11-16</v>
          </cell>
          <cell r="W1740" t="str">
            <v>2018-11-16 14:57:48</v>
          </cell>
          <cell r="X1740" t="str">
            <v>178921000</v>
          </cell>
        </row>
        <row r="1741">
          <cell r="A1741">
            <v>1737</v>
          </cell>
          <cell r="B1741" t="str">
            <v>2018-11-16</v>
          </cell>
          <cell r="C1741">
            <v>0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</row>
        <row r="1742">
          <cell r="A1742">
            <v>1738</v>
          </cell>
          <cell r="B1742" t="str">
            <v>2018-11-16</v>
          </cell>
          <cell r="C1742" t="str">
            <v>키즈락</v>
          </cell>
          <cell r="D1742">
            <v>0</v>
          </cell>
          <cell r="E1742" t="str">
            <v>일반</v>
          </cell>
          <cell r="F1742" t="str">
            <v>입고완료</v>
          </cell>
          <cell r="G1742">
            <v>128022</v>
          </cell>
          <cell r="H1742" t="str">
            <v>빙그레 딸기우유(200ml 200g/EA)</v>
          </cell>
          <cell r="I1742" t="str">
            <v>EA</v>
          </cell>
          <cell r="J1742">
            <v>45</v>
          </cell>
          <cell r="K1742">
            <v>45</v>
          </cell>
          <cell r="L1742">
            <v>360</v>
          </cell>
          <cell r="M1742">
            <v>16200</v>
          </cell>
          <cell r="N1742">
            <v>1620</v>
          </cell>
          <cell r="O1742">
            <v>17820</v>
          </cell>
          <cell r="P1742">
            <v>0</v>
          </cell>
          <cell r="Q1742" t="str">
            <v>한국</v>
          </cell>
          <cell r="R1742" t="str">
            <v>냉장</v>
          </cell>
          <cell r="S1742" t="str">
            <v>EA(50)</v>
          </cell>
          <cell r="T1742" t="str">
            <v/>
          </cell>
          <cell r="U1742" t="str">
            <v/>
          </cell>
          <cell r="V1742" t="str">
            <v>2018-11-02</v>
          </cell>
          <cell r="W1742" t="str">
            <v>2018-11-02 12:54:50</v>
          </cell>
          <cell r="X1742" t="str">
            <v>178921000</v>
          </cell>
        </row>
        <row r="1743">
          <cell r="A1743">
            <v>1739</v>
          </cell>
          <cell r="B1743" t="str">
            <v>2018-11-16</v>
          </cell>
          <cell r="C1743" t="str">
            <v>키즈락</v>
          </cell>
          <cell r="D1743">
            <v>0</v>
          </cell>
          <cell r="E1743" t="str">
            <v>일반</v>
          </cell>
          <cell r="F1743" t="str">
            <v>입고완료</v>
          </cell>
          <cell r="G1743">
            <v>231156</v>
          </cell>
          <cell r="H1743" t="str">
            <v>종가집 포기김치(중숙 10Kg/BOX)</v>
          </cell>
          <cell r="I1743" t="str">
            <v>BOX</v>
          </cell>
          <cell r="J1743">
            <v>6</v>
          </cell>
          <cell r="K1743">
            <v>6</v>
          </cell>
          <cell r="L1743">
            <v>31390</v>
          </cell>
          <cell r="M1743">
            <v>188340</v>
          </cell>
          <cell r="N1743">
            <v>0</v>
          </cell>
          <cell r="O1743">
            <v>188340</v>
          </cell>
          <cell r="P1743">
            <v>0</v>
          </cell>
          <cell r="Q1743" t="str">
            <v>한국</v>
          </cell>
          <cell r="R1743" t="str">
            <v>냉장</v>
          </cell>
          <cell r="S1743" t="str">
            <v>BOX(1)</v>
          </cell>
          <cell r="T1743" t="str">
            <v/>
          </cell>
          <cell r="U1743" t="str">
            <v/>
          </cell>
          <cell r="V1743" t="str">
            <v>2018-11-07</v>
          </cell>
          <cell r="W1743" t="str">
            <v>2018-11-07 12:56:33</v>
          </cell>
          <cell r="X1743" t="str">
            <v>178921000</v>
          </cell>
        </row>
        <row r="1744">
          <cell r="A1744">
            <v>1740</v>
          </cell>
          <cell r="B1744" t="str">
            <v>2018-11-16</v>
          </cell>
          <cell r="C1744" t="str">
            <v>키즈락</v>
          </cell>
          <cell r="D1744">
            <v>0</v>
          </cell>
          <cell r="E1744" t="str">
            <v>일반</v>
          </cell>
          <cell r="F1744" t="str">
            <v>입고완료</v>
          </cell>
          <cell r="G1744">
            <v>154294</v>
          </cell>
          <cell r="H1744" t="str">
            <v>이츠웰 피자치즈(실속 자연산50% 2.5Kg/EA)</v>
          </cell>
          <cell r="I1744" t="str">
            <v>EA</v>
          </cell>
          <cell r="J1744">
            <v>8</v>
          </cell>
          <cell r="K1744">
            <v>8</v>
          </cell>
          <cell r="L1744">
            <v>16000</v>
          </cell>
          <cell r="M1744">
            <v>128000</v>
          </cell>
          <cell r="N1744">
            <v>12800</v>
          </cell>
          <cell r="O1744">
            <v>140800</v>
          </cell>
          <cell r="P1744">
            <v>0</v>
          </cell>
          <cell r="Q1744" t="str">
            <v/>
          </cell>
          <cell r="R1744" t="str">
            <v>냉장</v>
          </cell>
          <cell r="S1744" t="str">
            <v>EA(4)</v>
          </cell>
          <cell r="T1744" t="str">
            <v/>
          </cell>
          <cell r="U1744" t="str">
            <v/>
          </cell>
          <cell r="V1744" t="str">
            <v>2018-11-09</v>
          </cell>
          <cell r="W1744" t="str">
            <v>2018-11-09 12:35:19</v>
          </cell>
          <cell r="X1744" t="str">
            <v>178921000</v>
          </cell>
        </row>
        <row r="1745">
          <cell r="A1745">
            <v>1741</v>
          </cell>
          <cell r="B1745" t="str">
            <v>2018-11-16</v>
          </cell>
          <cell r="C1745" t="str">
            <v>키즈락</v>
          </cell>
          <cell r="D1745">
            <v>0</v>
          </cell>
          <cell r="E1745" t="str">
            <v>일반</v>
          </cell>
          <cell r="F1745" t="str">
            <v>입고완료</v>
          </cell>
          <cell r="G1745">
            <v>125921</v>
          </cell>
          <cell r="H1745" t="str">
            <v>튼튼스쿨 쥬시햄벅스테이크(60g*16입 960g/EA)</v>
          </cell>
          <cell r="I1745" t="str">
            <v>EA</v>
          </cell>
          <cell r="J1745">
            <v>12</v>
          </cell>
          <cell r="K1745">
            <v>12</v>
          </cell>
          <cell r="L1745">
            <v>8850</v>
          </cell>
          <cell r="M1745">
            <v>106200</v>
          </cell>
          <cell r="N1745">
            <v>10620</v>
          </cell>
          <cell r="O1745">
            <v>116820</v>
          </cell>
          <cell r="P1745">
            <v>0</v>
          </cell>
          <cell r="Q1745" t="str">
            <v/>
          </cell>
          <cell r="R1745" t="str">
            <v>냉동</v>
          </cell>
          <cell r="S1745" t="str">
            <v>EA(6)</v>
          </cell>
          <cell r="T1745" t="str">
            <v/>
          </cell>
          <cell r="U1745" t="str">
            <v/>
          </cell>
          <cell r="V1745" t="str">
            <v>2018-11-12</v>
          </cell>
          <cell r="W1745" t="str">
            <v>2018-11-12 12:33:23</v>
          </cell>
          <cell r="X1745" t="str">
            <v>178921000</v>
          </cell>
        </row>
        <row r="1746">
          <cell r="A1746">
            <v>1742</v>
          </cell>
          <cell r="B1746" t="str">
            <v>2018-11-16</v>
          </cell>
          <cell r="C1746" t="str">
            <v>키즈락</v>
          </cell>
          <cell r="D1746">
            <v>0</v>
          </cell>
          <cell r="E1746" t="str">
            <v>일반</v>
          </cell>
          <cell r="F1746" t="str">
            <v>입고완료</v>
          </cell>
          <cell r="G1746">
            <v>221871</v>
          </cell>
          <cell r="H1746" t="str">
            <v>냉동시금치(IQF 1Kg/EA)</v>
          </cell>
          <cell r="I1746" t="str">
            <v>EA</v>
          </cell>
          <cell r="J1746">
            <v>40</v>
          </cell>
          <cell r="K1746">
            <v>40</v>
          </cell>
          <cell r="L1746">
            <v>1680</v>
          </cell>
          <cell r="M1746">
            <v>67200</v>
          </cell>
          <cell r="N1746">
            <v>6720</v>
          </cell>
          <cell r="O1746">
            <v>73920</v>
          </cell>
          <cell r="P1746">
            <v>0</v>
          </cell>
          <cell r="Q1746" t="str">
            <v>중국</v>
          </cell>
          <cell r="R1746" t="str">
            <v>냉동</v>
          </cell>
          <cell r="S1746" t="str">
            <v>EA(1)</v>
          </cell>
          <cell r="T1746" t="str">
            <v/>
          </cell>
          <cell r="U1746" t="str">
            <v/>
          </cell>
          <cell r="V1746" t="str">
            <v>2018-11-12</v>
          </cell>
          <cell r="W1746" t="str">
            <v>2018-11-12 12:58:07</v>
          </cell>
          <cell r="X1746" t="str">
            <v>178921000</v>
          </cell>
        </row>
        <row r="1747">
          <cell r="A1747">
            <v>1743</v>
          </cell>
          <cell r="B1747" t="str">
            <v>2018-11-16</v>
          </cell>
          <cell r="C1747" t="str">
            <v>키즈락</v>
          </cell>
          <cell r="D1747">
            <v>0</v>
          </cell>
          <cell r="E1747" t="str">
            <v>일반</v>
          </cell>
          <cell r="F1747" t="str">
            <v>입고완료</v>
          </cell>
          <cell r="G1747">
            <v>164076</v>
          </cell>
          <cell r="H1747" t="str">
            <v>풍림푸드 계란구이(오믈렛골드_50g*20개입 1Kg/EA)</v>
          </cell>
          <cell r="I1747" t="str">
            <v>EA</v>
          </cell>
          <cell r="J1747">
            <v>12</v>
          </cell>
          <cell r="K1747">
            <v>12</v>
          </cell>
          <cell r="L1747">
            <v>6660</v>
          </cell>
          <cell r="M1747">
            <v>79920</v>
          </cell>
          <cell r="N1747">
            <v>7992</v>
          </cell>
          <cell r="O1747">
            <v>87912</v>
          </cell>
          <cell r="P1747">
            <v>0</v>
          </cell>
          <cell r="Q1747" t="str">
            <v>한국</v>
          </cell>
          <cell r="R1747" t="str">
            <v>냉동</v>
          </cell>
          <cell r="S1747" t="str">
            <v>EA(1)</v>
          </cell>
          <cell r="T1747" t="str">
            <v/>
          </cell>
          <cell r="U1747" t="str">
            <v/>
          </cell>
          <cell r="V1747" t="str">
            <v>2018-11-12</v>
          </cell>
          <cell r="W1747" t="str">
            <v>2018-11-12 15:03:01</v>
          </cell>
          <cell r="X1747" t="str">
            <v>178921000</v>
          </cell>
        </row>
        <row r="1748">
          <cell r="A1748">
            <v>1744</v>
          </cell>
          <cell r="B1748" t="str">
            <v>2018-11-16</v>
          </cell>
          <cell r="C1748" t="str">
            <v>키즈락</v>
          </cell>
          <cell r="D1748">
            <v>0</v>
          </cell>
          <cell r="E1748" t="str">
            <v>일반</v>
          </cell>
          <cell r="F1748" t="str">
            <v>입고완료</v>
          </cell>
          <cell r="G1748">
            <v>119764</v>
          </cell>
          <cell r="H1748" t="str">
            <v>이츠웰 사각어묵(알뜰 1Kg/EA)</v>
          </cell>
          <cell r="I1748" t="str">
            <v>EA</v>
          </cell>
          <cell r="J1748">
            <v>3</v>
          </cell>
          <cell r="K1748">
            <v>3</v>
          </cell>
          <cell r="L1748">
            <v>2640</v>
          </cell>
          <cell r="M1748">
            <v>7920</v>
          </cell>
          <cell r="N1748">
            <v>792</v>
          </cell>
          <cell r="O1748">
            <v>8712</v>
          </cell>
          <cell r="P1748">
            <v>0</v>
          </cell>
          <cell r="Q1748" t="str">
            <v/>
          </cell>
          <cell r="R1748" t="str">
            <v>냉장</v>
          </cell>
          <cell r="S1748" t="str">
            <v>EA(10)</v>
          </cell>
          <cell r="T1748" t="str">
            <v/>
          </cell>
          <cell r="U1748" t="str">
            <v/>
          </cell>
          <cell r="V1748" t="str">
            <v>2018-11-14</v>
          </cell>
          <cell r="W1748" t="str">
            <v>2018-11-14 14:11:24</v>
          </cell>
          <cell r="X1748" t="str">
            <v>178921000</v>
          </cell>
        </row>
        <row r="1749">
          <cell r="A1749">
            <v>1745</v>
          </cell>
          <cell r="B1749" t="str">
            <v>2018-11-16</v>
          </cell>
          <cell r="C1749" t="str">
            <v>키즈락</v>
          </cell>
          <cell r="D1749">
            <v>0</v>
          </cell>
          <cell r="E1749" t="str">
            <v>일반</v>
          </cell>
          <cell r="F1749" t="str">
            <v>입고완료</v>
          </cell>
          <cell r="G1749">
            <v>119763</v>
          </cell>
          <cell r="H1749" t="str">
            <v>이츠웰 종합어묵(알뜰 1Kg/EA)</v>
          </cell>
          <cell r="I1749" t="str">
            <v>EA</v>
          </cell>
          <cell r="J1749">
            <v>2</v>
          </cell>
          <cell r="K1749">
            <v>2</v>
          </cell>
          <cell r="L1749">
            <v>2760</v>
          </cell>
          <cell r="M1749">
            <v>5520</v>
          </cell>
          <cell r="N1749">
            <v>552</v>
          </cell>
          <cell r="O1749">
            <v>6072</v>
          </cell>
          <cell r="P1749">
            <v>0</v>
          </cell>
          <cell r="Q1749" t="str">
            <v/>
          </cell>
          <cell r="R1749" t="str">
            <v>냉장</v>
          </cell>
          <cell r="S1749" t="str">
            <v>EA(10)</v>
          </cell>
          <cell r="T1749" t="str">
            <v/>
          </cell>
          <cell r="U1749" t="str">
            <v/>
          </cell>
          <cell r="V1749" t="str">
            <v>2018-11-14</v>
          </cell>
          <cell r="W1749" t="str">
            <v>2018-11-14 14:11:24</v>
          </cell>
          <cell r="X1749" t="str">
            <v>178921000</v>
          </cell>
        </row>
        <row r="1750">
          <cell r="A1750">
            <v>1746</v>
          </cell>
          <cell r="B1750" t="str">
            <v>2018-11-16</v>
          </cell>
          <cell r="C1750" t="str">
            <v>키즈락</v>
          </cell>
          <cell r="D1750">
            <v>0</v>
          </cell>
          <cell r="E1750" t="str">
            <v>일반</v>
          </cell>
          <cell r="F1750" t="str">
            <v>입고완료</v>
          </cell>
          <cell r="G1750">
            <v>247439</v>
          </cell>
          <cell r="H1750" t="str">
            <v>웰넛 건포도(1Kg/EA)</v>
          </cell>
          <cell r="I1750" t="str">
            <v>EA</v>
          </cell>
          <cell r="J1750">
            <v>3</v>
          </cell>
          <cell r="K1750">
            <v>3</v>
          </cell>
          <cell r="L1750">
            <v>6000</v>
          </cell>
          <cell r="M1750">
            <v>18000</v>
          </cell>
          <cell r="N1750">
            <v>1800</v>
          </cell>
          <cell r="O1750">
            <v>19800</v>
          </cell>
          <cell r="P1750">
            <v>0</v>
          </cell>
          <cell r="Q1750" t="str">
            <v>미국</v>
          </cell>
          <cell r="R1750" t="str">
            <v>실온</v>
          </cell>
          <cell r="S1750" t="str">
            <v>EA(1)</v>
          </cell>
          <cell r="T1750" t="str">
            <v/>
          </cell>
          <cell r="U1750" t="str">
            <v/>
          </cell>
          <cell r="V1750" t="str">
            <v>2018-11-15</v>
          </cell>
          <cell r="W1750" t="str">
            <v>2018-11-15 11:30:42</v>
          </cell>
          <cell r="X1750" t="str">
            <v>178921000</v>
          </cell>
        </row>
        <row r="1751">
          <cell r="A1751">
            <v>1747</v>
          </cell>
          <cell r="B1751" t="str">
            <v>2018-11-16</v>
          </cell>
          <cell r="C1751" t="str">
            <v>키즈락</v>
          </cell>
          <cell r="D1751">
            <v>0</v>
          </cell>
          <cell r="E1751" t="str">
            <v>일반</v>
          </cell>
          <cell r="F1751" t="str">
            <v>입고완료</v>
          </cell>
          <cell r="G1751">
            <v>247824</v>
          </cell>
          <cell r="H1751" t="str">
            <v>주일 건다시마(실속 1Kg/EA)</v>
          </cell>
          <cell r="I1751" t="str">
            <v>EA</v>
          </cell>
          <cell r="J1751">
            <v>3</v>
          </cell>
          <cell r="K1751">
            <v>3</v>
          </cell>
          <cell r="L1751">
            <v>11100</v>
          </cell>
          <cell r="M1751">
            <v>33300</v>
          </cell>
          <cell r="N1751">
            <v>0</v>
          </cell>
          <cell r="O1751">
            <v>33300</v>
          </cell>
          <cell r="P1751">
            <v>0</v>
          </cell>
          <cell r="Q1751" t="str">
            <v>한국</v>
          </cell>
          <cell r="R1751" t="str">
            <v>실온</v>
          </cell>
          <cell r="S1751" t="str">
            <v>EA(20)</v>
          </cell>
          <cell r="T1751" t="str">
            <v/>
          </cell>
          <cell r="U1751" t="str">
            <v/>
          </cell>
          <cell r="V1751" t="str">
            <v>2018-11-15</v>
          </cell>
          <cell r="W1751" t="str">
            <v>2018-11-15 11:31:48</v>
          </cell>
          <cell r="X1751" t="str">
            <v>178921000</v>
          </cell>
        </row>
        <row r="1752">
          <cell r="A1752">
            <v>1748</v>
          </cell>
          <cell r="B1752" t="str">
            <v>2018-11-16</v>
          </cell>
          <cell r="C1752" t="str">
            <v>키즈락</v>
          </cell>
          <cell r="D1752">
            <v>0</v>
          </cell>
          <cell r="E1752" t="str">
            <v>일반</v>
          </cell>
          <cell r="F1752" t="str">
            <v>입고완료</v>
          </cell>
          <cell r="G1752">
            <v>130452</v>
          </cell>
          <cell r="H1752" t="str">
            <v>사조오양 스모크햄(즉석 1Kg/EA)</v>
          </cell>
          <cell r="I1752" t="str">
            <v>EA</v>
          </cell>
          <cell r="J1752">
            <v>1</v>
          </cell>
          <cell r="K1752">
            <v>1</v>
          </cell>
          <cell r="L1752">
            <v>3650</v>
          </cell>
          <cell r="M1752">
            <v>3650</v>
          </cell>
          <cell r="N1752">
            <v>365</v>
          </cell>
          <cell r="O1752">
            <v>4015</v>
          </cell>
          <cell r="P1752">
            <v>0</v>
          </cell>
          <cell r="Q1752" t="str">
            <v/>
          </cell>
          <cell r="R1752" t="str">
            <v>냉장</v>
          </cell>
          <cell r="S1752" t="str">
            <v>EA(10)</v>
          </cell>
          <cell r="T1752" t="str">
            <v/>
          </cell>
          <cell r="U1752" t="str">
            <v/>
          </cell>
          <cell r="V1752" t="str">
            <v>2018-11-15</v>
          </cell>
          <cell r="W1752" t="str">
            <v>2018-11-15 13:24:00</v>
          </cell>
          <cell r="X1752" t="str">
            <v>178921000</v>
          </cell>
        </row>
        <row r="1753">
          <cell r="A1753">
            <v>1749</v>
          </cell>
          <cell r="B1753" t="str">
            <v>2018-11-16</v>
          </cell>
          <cell r="C1753" t="str">
            <v>키즈락</v>
          </cell>
          <cell r="D1753">
            <v>0</v>
          </cell>
          <cell r="E1753" t="str">
            <v>일반</v>
          </cell>
          <cell r="F1753" t="str">
            <v>입고완료</v>
          </cell>
          <cell r="G1753">
            <v>172061</v>
          </cell>
          <cell r="H1753" t="str">
            <v>이츠웰 마요네즈(뉴_골드_은박 3.2Kg/EA)</v>
          </cell>
          <cell r="I1753" t="str">
            <v>EA</v>
          </cell>
          <cell r="J1753">
            <v>4</v>
          </cell>
          <cell r="K1753">
            <v>4</v>
          </cell>
          <cell r="L1753">
            <v>8280</v>
          </cell>
          <cell r="M1753">
            <v>33120</v>
          </cell>
          <cell r="N1753">
            <v>3312</v>
          </cell>
          <cell r="O1753">
            <v>36432</v>
          </cell>
          <cell r="P1753">
            <v>0</v>
          </cell>
          <cell r="Q1753" t="str">
            <v/>
          </cell>
          <cell r="R1753" t="str">
            <v>실온</v>
          </cell>
          <cell r="S1753" t="str">
            <v>EA(4)</v>
          </cell>
          <cell r="T1753" t="str">
            <v/>
          </cell>
          <cell r="U1753" t="str">
            <v/>
          </cell>
          <cell r="V1753" t="str">
            <v>2018-11-15</v>
          </cell>
          <cell r="W1753" t="str">
            <v>2018-11-15 13:24:38</v>
          </cell>
          <cell r="X1753" t="str">
            <v>178921000</v>
          </cell>
        </row>
        <row r="1754">
          <cell r="A1754">
            <v>1750</v>
          </cell>
          <cell r="B1754" t="str">
            <v>2018-11-16</v>
          </cell>
          <cell r="C1754" t="str">
            <v>키즈락</v>
          </cell>
          <cell r="D1754">
            <v>0</v>
          </cell>
          <cell r="E1754" t="str">
            <v>일반</v>
          </cell>
          <cell r="F1754" t="str">
            <v>입고완료</v>
          </cell>
          <cell r="G1754">
            <v>200840</v>
          </cell>
          <cell r="H1754" t="str">
            <v>깐우엉채(KG)</v>
          </cell>
          <cell r="I1754" t="str">
            <v>KG</v>
          </cell>
          <cell r="J1754">
            <v>10</v>
          </cell>
          <cell r="K1754">
            <v>10</v>
          </cell>
          <cell r="L1754">
            <v>3260</v>
          </cell>
          <cell r="M1754">
            <v>32600</v>
          </cell>
          <cell r="N1754">
            <v>0</v>
          </cell>
          <cell r="O1754">
            <v>32600</v>
          </cell>
          <cell r="P1754">
            <v>0</v>
          </cell>
          <cell r="Q1754" t="str">
            <v>중국</v>
          </cell>
          <cell r="R1754" t="str">
            <v>냉장</v>
          </cell>
          <cell r="S1754" t="str">
            <v>KG(1)</v>
          </cell>
          <cell r="T1754" t="str">
            <v/>
          </cell>
          <cell r="U1754" t="str">
            <v/>
          </cell>
          <cell r="V1754" t="str">
            <v>2018-11-15</v>
          </cell>
          <cell r="W1754" t="str">
            <v>2018-11-15 13:27:49</v>
          </cell>
          <cell r="X1754" t="str">
            <v>178921000</v>
          </cell>
        </row>
        <row r="1755">
          <cell r="A1755">
            <v>1751</v>
          </cell>
          <cell r="B1755" t="str">
            <v>2018-11-16</v>
          </cell>
          <cell r="C1755" t="str">
            <v>키즈락</v>
          </cell>
          <cell r="D1755">
            <v>0</v>
          </cell>
          <cell r="E1755" t="str">
            <v>일반</v>
          </cell>
          <cell r="F1755" t="str">
            <v>입고완료</v>
          </cell>
          <cell r="G1755">
            <v>420010</v>
          </cell>
          <cell r="H1755" t="str">
            <v>알로팜 계란(왕란_무항생제_68g*30입 2.04Kg/EA)</v>
          </cell>
          <cell r="I1755" t="str">
            <v>EA</v>
          </cell>
          <cell r="J1755">
            <v>5</v>
          </cell>
          <cell r="K1755">
            <v>5</v>
          </cell>
          <cell r="L1755">
            <v>4860</v>
          </cell>
          <cell r="M1755">
            <v>24300</v>
          </cell>
          <cell r="N1755">
            <v>0</v>
          </cell>
          <cell r="O1755">
            <v>24300</v>
          </cell>
          <cell r="P1755">
            <v>24300</v>
          </cell>
          <cell r="Q1755" t="str">
            <v>한국</v>
          </cell>
          <cell r="R1755" t="str">
            <v>냉장</v>
          </cell>
          <cell r="S1755" t="str">
            <v>EA(1)</v>
          </cell>
          <cell r="T1755" t="str">
            <v/>
          </cell>
          <cell r="U1755" t="str">
            <v/>
          </cell>
          <cell r="V1755" t="str">
            <v>2018-11-15</v>
          </cell>
          <cell r="W1755" t="str">
            <v>2018-11-15 13:41:53</v>
          </cell>
          <cell r="X1755" t="str">
            <v>178921000</v>
          </cell>
        </row>
        <row r="1756">
          <cell r="A1756">
            <v>1752</v>
          </cell>
          <cell r="B1756" t="str">
            <v>2018-11-16</v>
          </cell>
          <cell r="C1756" t="str">
            <v>키즈락</v>
          </cell>
          <cell r="D1756">
            <v>0</v>
          </cell>
          <cell r="E1756" t="str">
            <v>일반</v>
          </cell>
          <cell r="F1756" t="str">
            <v>입고완료</v>
          </cell>
          <cell r="G1756">
            <v>125549</v>
          </cell>
          <cell r="H1756" t="str">
            <v>사옹원 계란옷오미산적(45g*45개입 2.025Kg/PAC)</v>
          </cell>
          <cell r="I1756" t="str">
            <v>PAC</v>
          </cell>
          <cell r="J1756">
            <v>5</v>
          </cell>
          <cell r="K1756">
            <v>5</v>
          </cell>
          <cell r="L1756">
            <v>22210</v>
          </cell>
          <cell r="M1756">
            <v>111050</v>
          </cell>
          <cell r="N1756">
            <v>11105</v>
          </cell>
          <cell r="O1756">
            <v>122155</v>
          </cell>
          <cell r="P1756">
            <v>0</v>
          </cell>
          <cell r="Q1756" t="str">
            <v/>
          </cell>
          <cell r="R1756" t="str">
            <v>냉동</v>
          </cell>
          <cell r="S1756" t="str">
            <v>PAC(4)</v>
          </cell>
          <cell r="T1756" t="str">
            <v/>
          </cell>
          <cell r="U1756" t="str">
            <v/>
          </cell>
          <cell r="V1756" t="str">
            <v>2018-11-15</v>
          </cell>
          <cell r="W1756" t="str">
            <v>2018-11-15 13:45:19</v>
          </cell>
          <cell r="X1756" t="str">
            <v>178921000</v>
          </cell>
        </row>
        <row r="1757">
          <cell r="A1757">
            <v>1753</v>
          </cell>
          <cell r="B1757" t="str">
            <v>2018-11-16</v>
          </cell>
          <cell r="C1757" t="str">
            <v>키즈락</v>
          </cell>
          <cell r="D1757">
            <v>0</v>
          </cell>
          <cell r="E1757" t="str">
            <v>일반</v>
          </cell>
          <cell r="F1757" t="str">
            <v>입고완료</v>
          </cell>
          <cell r="G1757">
            <v>246968</v>
          </cell>
          <cell r="H1757" t="str">
            <v>하선정 멸치액젓(논산_알뜰형 9Kg/EA)</v>
          </cell>
          <cell r="I1757" t="str">
            <v>EA</v>
          </cell>
          <cell r="J1757">
            <v>1</v>
          </cell>
          <cell r="K1757">
            <v>1</v>
          </cell>
          <cell r="L1757">
            <v>15730</v>
          </cell>
          <cell r="M1757">
            <v>15730</v>
          </cell>
          <cell r="N1757">
            <v>1573</v>
          </cell>
          <cell r="O1757">
            <v>17303</v>
          </cell>
          <cell r="P1757">
            <v>0</v>
          </cell>
          <cell r="Q1757" t="str">
            <v/>
          </cell>
          <cell r="R1757" t="str">
            <v>실온</v>
          </cell>
          <cell r="S1757" t="str">
            <v>EA(1)</v>
          </cell>
          <cell r="T1757" t="str">
            <v/>
          </cell>
          <cell r="U1757" t="str">
            <v/>
          </cell>
          <cell r="V1757" t="str">
            <v>2018-11-15</v>
          </cell>
          <cell r="W1757" t="str">
            <v>2018-11-15 13:46:05</v>
          </cell>
          <cell r="X1757" t="str">
            <v>178921000</v>
          </cell>
        </row>
        <row r="1758">
          <cell r="A1758">
            <v>1754</v>
          </cell>
          <cell r="B1758" t="str">
            <v>2018-11-16</v>
          </cell>
          <cell r="C1758" t="str">
            <v>키즈락</v>
          </cell>
          <cell r="D1758">
            <v>0</v>
          </cell>
          <cell r="E1758" t="str">
            <v>일반</v>
          </cell>
          <cell r="F1758" t="str">
            <v>입고완료</v>
          </cell>
          <cell r="G1758">
            <v>204973</v>
          </cell>
          <cell r="H1758" t="str">
            <v>냉동대파(1Kg/PAC)</v>
          </cell>
          <cell r="I1758" t="str">
            <v>PAC</v>
          </cell>
          <cell r="J1758">
            <v>20</v>
          </cell>
          <cell r="K1758">
            <v>20</v>
          </cell>
          <cell r="L1758">
            <v>1400</v>
          </cell>
          <cell r="M1758">
            <v>28000</v>
          </cell>
          <cell r="N1758">
            <v>0</v>
          </cell>
          <cell r="O1758">
            <v>28000</v>
          </cell>
          <cell r="P1758">
            <v>0</v>
          </cell>
          <cell r="Q1758" t="str">
            <v>중국</v>
          </cell>
          <cell r="R1758" t="str">
            <v>냉동</v>
          </cell>
          <cell r="S1758" t="str">
            <v>PAC(1)</v>
          </cell>
          <cell r="T1758" t="str">
            <v/>
          </cell>
          <cell r="U1758" t="str">
            <v/>
          </cell>
          <cell r="V1758" t="str">
            <v>2018-11-15</v>
          </cell>
          <cell r="W1758" t="str">
            <v>2018-11-15 13:49:55</v>
          </cell>
          <cell r="X1758" t="str">
            <v>178921000</v>
          </cell>
        </row>
        <row r="1759">
          <cell r="A1759">
            <v>1755</v>
          </cell>
          <cell r="B1759" t="str">
            <v>2018-11-16</v>
          </cell>
          <cell r="C1759" t="str">
            <v>키즈락</v>
          </cell>
          <cell r="D1759">
            <v>0</v>
          </cell>
          <cell r="E1759" t="str">
            <v>일반</v>
          </cell>
          <cell r="F1759" t="str">
            <v>입고완료</v>
          </cell>
          <cell r="G1759">
            <v>137759</v>
          </cell>
          <cell r="H1759" t="str">
            <v>이츠웰 토마토스파게티소스(NEW 2Kg/EA)</v>
          </cell>
          <cell r="I1759" t="str">
            <v>EA</v>
          </cell>
          <cell r="J1759">
            <v>12</v>
          </cell>
          <cell r="K1759">
            <v>12</v>
          </cell>
          <cell r="L1759">
            <v>7180</v>
          </cell>
          <cell r="M1759">
            <v>86160</v>
          </cell>
          <cell r="N1759">
            <v>8616</v>
          </cell>
          <cell r="O1759">
            <v>94776</v>
          </cell>
          <cell r="P1759">
            <v>0</v>
          </cell>
          <cell r="Q1759" t="str">
            <v/>
          </cell>
          <cell r="R1759" t="str">
            <v>냉장</v>
          </cell>
          <cell r="S1759" t="str">
            <v>EA(6)</v>
          </cell>
          <cell r="T1759" t="str">
            <v/>
          </cell>
          <cell r="U1759" t="str">
            <v/>
          </cell>
          <cell r="V1759" t="str">
            <v>2018-11-15</v>
          </cell>
          <cell r="W1759" t="str">
            <v>2018-11-15 14:06:55</v>
          </cell>
          <cell r="X1759" t="str">
            <v>178921000</v>
          </cell>
        </row>
        <row r="1760">
          <cell r="A1760">
            <v>1756</v>
          </cell>
          <cell r="B1760" t="str">
            <v>2018-11-16</v>
          </cell>
          <cell r="C1760" t="str">
            <v>키즈락</v>
          </cell>
          <cell r="D1760">
            <v>0</v>
          </cell>
          <cell r="E1760" t="str">
            <v>일반</v>
          </cell>
          <cell r="F1760" t="str">
            <v>입고완료</v>
          </cell>
          <cell r="G1760">
            <v>192878</v>
          </cell>
          <cell r="H1760" t="str">
            <v>소이원 콩나물(곱슬이_단채 KG)</v>
          </cell>
          <cell r="I1760" t="str">
            <v>KG</v>
          </cell>
          <cell r="J1760">
            <v>12</v>
          </cell>
          <cell r="K1760">
            <v>12</v>
          </cell>
          <cell r="L1760">
            <v>930</v>
          </cell>
          <cell r="M1760">
            <v>11160</v>
          </cell>
          <cell r="N1760">
            <v>0</v>
          </cell>
          <cell r="O1760">
            <v>11160</v>
          </cell>
          <cell r="P1760">
            <v>0</v>
          </cell>
          <cell r="Q1760" t="str">
            <v>외국산</v>
          </cell>
          <cell r="R1760" t="str">
            <v>냉장</v>
          </cell>
          <cell r="S1760" t="str">
            <v>KG(1)</v>
          </cell>
          <cell r="T1760" t="str">
            <v/>
          </cell>
          <cell r="U1760" t="str">
            <v/>
          </cell>
          <cell r="V1760" t="str">
            <v>2018-11-15</v>
          </cell>
          <cell r="W1760" t="str">
            <v>2018-11-15 14:11:34</v>
          </cell>
          <cell r="X1760" t="str">
            <v>178921000</v>
          </cell>
        </row>
        <row r="1761">
          <cell r="A1761">
            <v>1757</v>
          </cell>
          <cell r="B1761" t="str">
            <v>2018-11-16</v>
          </cell>
          <cell r="C1761" t="str">
            <v>키즈락</v>
          </cell>
          <cell r="D1761">
            <v>0</v>
          </cell>
          <cell r="E1761" t="str">
            <v>일반</v>
          </cell>
          <cell r="F1761" t="str">
            <v>입고완료</v>
          </cell>
          <cell r="G1761">
            <v>259671</v>
          </cell>
          <cell r="H1761" t="str">
            <v>세준푸드 맑은식혜(유기농 125g/EA)</v>
          </cell>
          <cell r="I1761" t="str">
            <v>BOX</v>
          </cell>
          <cell r="J1761">
            <v>10</v>
          </cell>
          <cell r="K1761">
            <v>10</v>
          </cell>
          <cell r="L1761">
            <v>10320</v>
          </cell>
          <cell r="M1761">
            <v>103200</v>
          </cell>
          <cell r="N1761">
            <v>10320</v>
          </cell>
          <cell r="O1761">
            <v>113520</v>
          </cell>
          <cell r="P1761">
            <v>0</v>
          </cell>
          <cell r="Q1761" t="str">
            <v/>
          </cell>
          <cell r="R1761" t="str">
            <v>실온</v>
          </cell>
          <cell r="S1761" t="str">
            <v>EA(24)</v>
          </cell>
          <cell r="T1761" t="str">
            <v/>
          </cell>
          <cell r="U1761" t="str">
            <v/>
          </cell>
          <cell r="V1761" t="str">
            <v>2018-11-15</v>
          </cell>
          <cell r="W1761" t="str">
            <v>2018-11-15 14:33:34</v>
          </cell>
          <cell r="X1761" t="str">
            <v>178921000</v>
          </cell>
        </row>
        <row r="1762">
          <cell r="A1762">
            <v>1758</v>
          </cell>
          <cell r="B1762" t="str">
            <v>2018-11-16</v>
          </cell>
          <cell r="C1762" t="str">
            <v>키즈락</v>
          </cell>
          <cell r="D1762">
            <v>0</v>
          </cell>
          <cell r="E1762" t="str">
            <v>일반</v>
          </cell>
          <cell r="F1762" t="str">
            <v>입고완료</v>
          </cell>
          <cell r="G1762">
            <v>255734</v>
          </cell>
          <cell r="H1762" t="str">
            <v>엘유코리아 미니애플코로넷생지(43g*24입 1.032Kg/EA)</v>
          </cell>
          <cell r="I1762" t="str">
            <v>EA</v>
          </cell>
          <cell r="J1762">
            <v>1</v>
          </cell>
          <cell r="K1762">
            <v>1</v>
          </cell>
          <cell r="L1762">
            <v>8400</v>
          </cell>
          <cell r="M1762">
            <v>8400</v>
          </cell>
          <cell r="N1762">
            <v>840</v>
          </cell>
          <cell r="O1762">
            <v>9240</v>
          </cell>
          <cell r="P1762">
            <v>0</v>
          </cell>
          <cell r="Q1762" t="str">
            <v/>
          </cell>
          <cell r="R1762" t="str">
            <v>냉동</v>
          </cell>
          <cell r="S1762" t="str">
            <v>EA(5)</v>
          </cell>
          <cell r="T1762" t="str">
            <v/>
          </cell>
          <cell r="U1762" t="str">
            <v/>
          </cell>
          <cell r="V1762" t="str">
            <v>2018-11-15</v>
          </cell>
          <cell r="W1762" t="str">
            <v>2018-11-15 14:36:49</v>
          </cell>
          <cell r="X1762" t="str">
            <v>178921000</v>
          </cell>
        </row>
        <row r="1763">
          <cell r="A1763">
            <v>1759</v>
          </cell>
          <cell r="B1763" t="str">
            <v>2018-11-16</v>
          </cell>
          <cell r="C1763" t="str">
            <v>키즈락</v>
          </cell>
          <cell r="D1763">
            <v>0</v>
          </cell>
          <cell r="E1763" t="str">
            <v>일반</v>
          </cell>
          <cell r="F1763" t="str">
            <v>입고완료</v>
          </cell>
          <cell r="G1763">
            <v>260860</v>
          </cell>
          <cell r="H1763" t="str">
            <v>이츠웰 양파(중품 140~170g/개 15Kg/BOX)</v>
          </cell>
          <cell r="I1763" t="str">
            <v>BOX</v>
          </cell>
          <cell r="J1763">
            <v>1</v>
          </cell>
          <cell r="K1763">
            <v>1</v>
          </cell>
          <cell r="L1763">
            <v>15060</v>
          </cell>
          <cell r="M1763">
            <v>15060</v>
          </cell>
          <cell r="N1763">
            <v>0</v>
          </cell>
          <cell r="O1763">
            <v>15060</v>
          </cell>
          <cell r="P1763">
            <v>0</v>
          </cell>
          <cell r="Q1763" t="str">
            <v>한국</v>
          </cell>
          <cell r="R1763" t="str">
            <v>실온</v>
          </cell>
          <cell r="S1763" t="str">
            <v>BOX(1)</v>
          </cell>
          <cell r="T1763" t="str">
            <v/>
          </cell>
          <cell r="U1763" t="str">
            <v/>
          </cell>
          <cell r="V1763" t="str">
            <v>2018-11-15</v>
          </cell>
          <cell r="W1763" t="str">
            <v>2018-11-15 14:42:08</v>
          </cell>
          <cell r="X1763" t="str">
            <v>178921000</v>
          </cell>
        </row>
        <row r="1764">
          <cell r="A1764">
            <v>1760</v>
          </cell>
          <cell r="B1764" t="str">
            <v>2018-11-16</v>
          </cell>
          <cell r="C1764" t="str">
            <v>키즈락</v>
          </cell>
          <cell r="D1764">
            <v>0</v>
          </cell>
          <cell r="E1764" t="str">
            <v>일반</v>
          </cell>
          <cell r="F1764" t="str">
            <v>입고완료</v>
          </cell>
          <cell r="G1764">
            <v>130817</v>
          </cell>
          <cell r="H1764" t="str">
            <v>이츠웰 해물모양떡(하얀색 1Kg/EA)</v>
          </cell>
          <cell r="I1764" t="str">
            <v>EA</v>
          </cell>
          <cell r="J1764">
            <v>3</v>
          </cell>
          <cell r="K1764">
            <v>3</v>
          </cell>
          <cell r="L1764">
            <v>1480</v>
          </cell>
          <cell r="M1764">
            <v>4440</v>
          </cell>
          <cell r="N1764">
            <v>444</v>
          </cell>
          <cell r="O1764">
            <v>4884</v>
          </cell>
          <cell r="P1764">
            <v>0</v>
          </cell>
          <cell r="Q1764" t="str">
            <v>외국산</v>
          </cell>
          <cell r="R1764" t="str">
            <v>냉장</v>
          </cell>
          <cell r="S1764" t="str">
            <v>EA(10)</v>
          </cell>
          <cell r="T1764" t="str">
            <v/>
          </cell>
          <cell r="U1764" t="str">
            <v/>
          </cell>
          <cell r="V1764" t="str">
            <v>2018-11-15</v>
          </cell>
          <cell r="W1764" t="str">
            <v>2018-11-15 14:53:54</v>
          </cell>
          <cell r="X1764" t="str">
            <v>178921000</v>
          </cell>
        </row>
        <row r="1765">
          <cell r="A1765">
            <v>1761</v>
          </cell>
          <cell r="B1765" t="str">
            <v>2018-11-16</v>
          </cell>
          <cell r="C1765" t="str">
            <v>키즈락</v>
          </cell>
          <cell r="D1765">
            <v>0</v>
          </cell>
          <cell r="E1765" t="str">
            <v>일반</v>
          </cell>
          <cell r="F1765" t="str">
            <v>입고완료</v>
          </cell>
          <cell r="G1765">
            <v>194773</v>
          </cell>
          <cell r="H1765" t="str">
            <v>이츠웰 피자치즈(자연산100% 1Kg/EA)</v>
          </cell>
          <cell r="I1765" t="str">
            <v>EA</v>
          </cell>
          <cell r="J1765">
            <v>2</v>
          </cell>
          <cell r="K1765">
            <v>2</v>
          </cell>
          <cell r="L1765">
            <v>8130</v>
          </cell>
          <cell r="M1765">
            <v>16260</v>
          </cell>
          <cell r="N1765">
            <v>1626</v>
          </cell>
          <cell r="O1765">
            <v>17886</v>
          </cell>
          <cell r="P1765">
            <v>0</v>
          </cell>
          <cell r="Q1765" t="str">
            <v/>
          </cell>
          <cell r="R1765" t="str">
            <v>냉장</v>
          </cell>
          <cell r="S1765" t="str">
            <v>EA(5)</v>
          </cell>
          <cell r="T1765" t="str">
            <v/>
          </cell>
          <cell r="U1765" t="str">
            <v/>
          </cell>
          <cell r="V1765" t="str">
            <v>2018-11-15</v>
          </cell>
          <cell r="W1765" t="str">
            <v>2018-11-15 14:59:31</v>
          </cell>
          <cell r="X1765" t="str">
            <v>178921000</v>
          </cell>
        </row>
        <row r="1766">
          <cell r="A1766">
            <v>1762</v>
          </cell>
          <cell r="B1766" t="str">
            <v>2018-11-15</v>
          </cell>
          <cell r="C1766">
            <v>0</v>
          </cell>
          <cell r="D1766">
            <v>0</v>
          </cell>
          <cell r="E1766">
            <v>0</v>
          </cell>
          <cell r="F1766">
            <v>0</v>
          </cell>
          <cell r="G1766">
            <v>0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</row>
        <row r="1767">
          <cell r="A1767">
            <v>1763</v>
          </cell>
          <cell r="B1767" t="str">
            <v>2018-11-15</v>
          </cell>
          <cell r="C1767" t="str">
            <v>키즈락</v>
          </cell>
          <cell r="D1767">
            <v>0</v>
          </cell>
          <cell r="E1767" t="str">
            <v>일반</v>
          </cell>
          <cell r="F1767" t="str">
            <v>입고완료</v>
          </cell>
          <cell r="G1767">
            <v>159757</v>
          </cell>
          <cell r="H1767" t="str">
            <v>신라명과 플레인모닝롤(26g*10입 260g/EA)</v>
          </cell>
          <cell r="I1767" t="str">
            <v>EA</v>
          </cell>
          <cell r="J1767">
            <v>26</v>
          </cell>
          <cell r="K1767">
            <v>26</v>
          </cell>
          <cell r="L1767">
            <v>1950</v>
          </cell>
          <cell r="M1767">
            <v>50700</v>
          </cell>
          <cell r="N1767">
            <v>5070</v>
          </cell>
          <cell r="O1767">
            <v>55770</v>
          </cell>
          <cell r="P1767">
            <v>0</v>
          </cell>
          <cell r="Q1767" t="str">
            <v/>
          </cell>
          <cell r="R1767" t="str">
            <v>실온</v>
          </cell>
          <cell r="S1767" t="str">
            <v>EA(1)</v>
          </cell>
          <cell r="T1767" t="str">
            <v/>
          </cell>
          <cell r="U1767" t="str">
            <v/>
          </cell>
          <cell r="V1767" t="str">
            <v>2018-11-02</v>
          </cell>
          <cell r="W1767" t="str">
            <v>2018-11-02 12:54:05</v>
          </cell>
          <cell r="X1767" t="str">
            <v>178921000</v>
          </cell>
        </row>
        <row r="1768">
          <cell r="A1768">
            <v>1764</v>
          </cell>
          <cell r="B1768" t="str">
            <v>2018-11-15</v>
          </cell>
          <cell r="C1768" t="str">
            <v>키즈락</v>
          </cell>
          <cell r="D1768">
            <v>0</v>
          </cell>
          <cell r="E1768" t="str">
            <v>일반</v>
          </cell>
          <cell r="F1768" t="str">
            <v>입고완료</v>
          </cell>
          <cell r="G1768">
            <v>146368</v>
          </cell>
          <cell r="H1768" t="str">
            <v>뚜레쥬르 머핀(달콤한초코칩 55g/EA)</v>
          </cell>
          <cell r="I1768" t="str">
            <v>EA</v>
          </cell>
          <cell r="J1768">
            <v>82</v>
          </cell>
          <cell r="K1768">
            <v>82</v>
          </cell>
          <cell r="L1768">
            <v>480</v>
          </cell>
          <cell r="M1768">
            <v>39360</v>
          </cell>
          <cell r="N1768">
            <v>3936</v>
          </cell>
          <cell r="O1768">
            <v>43296</v>
          </cell>
          <cell r="P1768">
            <v>0</v>
          </cell>
          <cell r="Q1768" t="str">
            <v/>
          </cell>
          <cell r="R1768" t="str">
            <v>실온</v>
          </cell>
          <cell r="S1768" t="str">
            <v>EA(1)</v>
          </cell>
          <cell r="T1768" t="str">
            <v/>
          </cell>
          <cell r="U1768" t="str">
            <v/>
          </cell>
          <cell r="V1768" t="str">
            <v>2018-11-02</v>
          </cell>
          <cell r="W1768" t="str">
            <v>2018-11-02 12:54:27</v>
          </cell>
          <cell r="X1768" t="str">
            <v>178921000</v>
          </cell>
        </row>
        <row r="1769">
          <cell r="A1769">
            <v>1765</v>
          </cell>
          <cell r="B1769" t="str">
            <v>2018-11-15</v>
          </cell>
          <cell r="C1769" t="str">
            <v>키즈락</v>
          </cell>
          <cell r="D1769">
            <v>0</v>
          </cell>
          <cell r="E1769" t="str">
            <v>일반</v>
          </cell>
          <cell r="F1769" t="str">
            <v>입고완료</v>
          </cell>
          <cell r="G1769">
            <v>122935</v>
          </cell>
          <cell r="H1769" t="str">
            <v>리치스 스위트콘(2.95Kg/EA)</v>
          </cell>
          <cell r="I1769" t="str">
            <v>EA</v>
          </cell>
          <cell r="J1769">
            <v>6</v>
          </cell>
          <cell r="K1769">
            <v>6</v>
          </cell>
          <cell r="L1769">
            <v>2860</v>
          </cell>
          <cell r="M1769">
            <v>17160</v>
          </cell>
          <cell r="N1769">
            <v>1716</v>
          </cell>
          <cell r="O1769">
            <v>18876</v>
          </cell>
          <cell r="P1769">
            <v>0</v>
          </cell>
          <cell r="Q1769" t="str">
            <v>태국</v>
          </cell>
          <cell r="R1769" t="str">
            <v>실온</v>
          </cell>
          <cell r="S1769" t="str">
            <v>EA(6)</v>
          </cell>
          <cell r="T1769" t="str">
            <v/>
          </cell>
          <cell r="U1769" t="str">
            <v/>
          </cell>
          <cell r="V1769" t="str">
            <v>2018-11-09</v>
          </cell>
          <cell r="W1769" t="str">
            <v>2018-11-09 12:23:15</v>
          </cell>
          <cell r="X1769" t="str">
            <v>178921000</v>
          </cell>
        </row>
        <row r="1770">
          <cell r="A1770">
            <v>1766</v>
          </cell>
          <cell r="B1770" t="str">
            <v>2018-11-15</v>
          </cell>
          <cell r="C1770" t="str">
            <v>키즈락</v>
          </cell>
          <cell r="D1770">
            <v>0</v>
          </cell>
          <cell r="E1770" t="str">
            <v>일반</v>
          </cell>
          <cell r="F1770" t="str">
            <v>입고완료</v>
          </cell>
          <cell r="G1770">
            <v>408799</v>
          </cell>
          <cell r="H1770" t="str">
            <v>이츠웰 오리훈제(슬라이스_무항생제오리로만든 1Kg/PAC)</v>
          </cell>
          <cell r="I1770" t="str">
            <v>PAC</v>
          </cell>
          <cell r="J1770">
            <v>3</v>
          </cell>
          <cell r="K1770">
            <v>3</v>
          </cell>
          <cell r="L1770">
            <v>11890</v>
          </cell>
          <cell r="M1770">
            <v>35670</v>
          </cell>
          <cell r="N1770">
            <v>3567</v>
          </cell>
          <cell r="O1770">
            <v>39237</v>
          </cell>
          <cell r="P1770">
            <v>39237</v>
          </cell>
          <cell r="Q1770" t="str">
            <v>한국</v>
          </cell>
          <cell r="R1770" t="str">
            <v>냉장</v>
          </cell>
          <cell r="S1770" t="str">
            <v>PAC(1)</v>
          </cell>
          <cell r="T1770" t="str">
            <v/>
          </cell>
          <cell r="U1770" t="str">
            <v/>
          </cell>
          <cell r="V1770" t="str">
            <v>2018-11-13</v>
          </cell>
          <cell r="W1770" t="str">
            <v>2018-11-13 13:43:24</v>
          </cell>
          <cell r="X1770" t="str">
            <v>178921000</v>
          </cell>
        </row>
        <row r="1771">
          <cell r="A1771">
            <v>1767</v>
          </cell>
          <cell r="B1771" t="str">
            <v>2018-11-15</v>
          </cell>
          <cell r="C1771" t="str">
            <v>키즈락</v>
          </cell>
          <cell r="D1771">
            <v>0</v>
          </cell>
          <cell r="E1771" t="str">
            <v>일반</v>
          </cell>
          <cell r="F1771" t="str">
            <v>입고완료</v>
          </cell>
          <cell r="G1771">
            <v>134238</v>
          </cell>
          <cell r="H1771" t="str">
            <v>사옹원 궁중녹두전(900g/EA)</v>
          </cell>
          <cell r="I1771" t="str">
            <v>EA</v>
          </cell>
          <cell r="J1771">
            <v>7</v>
          </cell>
          <cell r="K1771">
            <v>7</v>
          </cell>
          <cell r="L1771">
            <v>8320</v>
          </cell>
          <cell r="M1771">
            <v>58240</v>
          </cell>
          <cell r="N1771">
            <v>5824</v>
          </cell>
          <cell r="O1771">
            <v>64064</v>
          </cell>
          <cell r="P1771">
            <v>0</v>
          </cell>
          <cell r="Q1771" t="str">
            <v/>
          </cell>
          <cell r="R1771" t="str">
            <v>냉동</v>
          </cell>
          <cell r="S1771" t="str">
            <v>EA(12)</v>
          </cell>
          <cell r="T1771" t="str">
            <v/>
          </cell>
          <cell r="U1771" t="str">
            <v/>
          </cell>
          <cell r="V1771" t="str">
            <v>2018-11-13</v>
          </cell>
          <cell r="W1771" t="str">
            <v>2018-11-13 14:33:24</v>
          </cell>
          <cell r="X1771" t="str">
            <v>178921000</v>
          </cell>
        </row>
        <row r="1772">
          <cell r="A1772">
            <v>1768</v>
          </cell>
          <cell r="B1772" t="str">
            <v>2018-11-15</v>
          </cell>
          <cell r="C1772" t="str">
            <v>키즈락</v>
          </cell>
          <cell r="D1772">
            <v>0</v>
          </cell>
          <cell r="E1772" t="str">
            <v>일반</v>
          </cell>
          <cell r="F1772" t="str">
            <v>입고완료</v>
          </cell>
          <cell r="G1772">
            <v>231156</v>
          </cell>
          <cell r="H1772" t="str">
            <v>종가집 포기김치(중숙 10Kg/BOX)</v>
          </cell>
          <cell r="I1772" t="str">
            <v>BOX</v>
          </cell>
          <cell r="J1772">
            <v>2</v>
          </cell>
          <cell r="K1772">
            <v>2</v>
          </cell>
          <cell r="L1772">
            <v>31390</v>
          </cell>
          <cell r="M1772">
            <v>62780</v>
          </cell>
          <cell r="N1772">
            <v>0</v>
          </cell>
          <cell r="O1772">
            <v>62780</v>
          </cell>
          <cell r="P1772">
            <v>0</v>
          </cell>
          <cell r="Q1772" t="str">
            <v>한국</v>
          </cell>
          <cell r="R1772" t="str">
            <v>냉장</v>
          </cell>
          <cell r="S1772" t="str">
            <v>BOX(1)</v>
          </cell>
          <cell r="T1772" t="str">
            <v/>
          </cell>
          <cell r="U1772" t="str">
            <v/>
          </cell>
          <cell r="V1772" t="str">
            <v>2018-11-14</v>
          </cell>
          <cell r="W1772" t="str">
            <v>2018-11-14 13:41:13</v>
          </cell>
          <cell r="X1772" t="str">
            <v>178921000</v>
          </cell>
        </row>
        <row r="1773">
          <cell r="A1773">
            <v>1769</v>
          </cell>
          <cell r="B1773" t="str">
            <v>2018-11-15</v>
          </cell>
          <cell r="C1773" t="str">
            <v>키즈락</v>
          </cell>
          <cell r="D1773">
            <v>0</v>
          </cell>
          <cell r="E1773" t="str">
            <v>일반</v>
          </cell>
          <cell r="F1773" t="str">
            <v>입고완료</v>
          </cell>
          <cell r="G1773">
            <v>197120</v>
          </cell>
          <cell r="H1773" t="str">
            <v>종가집 포기김치(숙성 10Kg/BOX)</v>
          </cell>
          <cell r="I1773" t="str">
            <v>BOX</v>
          </cell>
          <cell r="J1773">
            <v>1</v>
          </cell>
          <cell r="K1773">
            <v>1</v>
          </cell>
          <cell r="L1773">
            <v>31390</v>
          </cell>
          <cell r="M1773">
            <v>31390</v>
          </cell>
          <cell r="N1773">
            <v>0</v>
          </cell>
          <cell r="O1773">
            <v>31390</v>
          </cell>
          <cell r="P1773">
            <v>0</v>
          </cell>
          <cell r="Q1773" t="str">
            <v>한국</v>
          </cell>
          <cell r="R1773" t="str">
            <v>냉장</v>
          </cell>
          <cell r="S1773" t="str">
            <v>BOX(1)</v>
          </cell>
          <cell r="T1773" t="str">
            <v/>
          </cell>
          <cell r="U1773" t="str">
            <v/>
          </cell>
          <cell r="V1773" t="str">
            <v>2018-11-14</v>
          </cell>
          <cell r="W1773" t="str">
            <v>2018-11-14 13:41:13</v>
          </cell>
          <cell r="X1773" t="str">
            <v>178921000</v>
          </cell>
        </row>
        <row r="1774">
          <cell r="A1774">
            <v>1770</v>
          </cell>
          <cell r="B1774" t="str">
            <v>2018-11-15</v>
          </cell>
          <cell r="C1774" t="str">
            <v>키즈락</v>
          </cell>
          <cell r="D1774">
            <v>0</v>
          </cell>
          <cell r="E1774" t="str">
            <v>일반</v>
          </cell>
          <cell r="F1774" t="str">
            <v>입고완료</v>
          </cell>
          <cell r="G1774">
            <v>206705</v>
          </cell>
          <cell r="H1774" t="str">
            <v>냉동청피망(1cm다이스 1Kg/PAC)</v>
          </cell>
          <cell r="I1774" t="str">
            <v>PAC</v>
          </cell>
          <cell r="J1774">
            <v>10</v>
          </cell>
          <cell r="K1774">
            <v>10</v>
          </cell>
          <cell r="L1774">
            <v>2110</v>
          </cell>
          <cell r="M1774">
            <v>21100</v>
          </cell>
          <cell r="N1774">
            <v>0</v>
          </cell>
          <cell r="O1774">
            <v>21100</v>
          </cell>
          <cell r="P1774">
            <v>0</v>
          </cell>
          <cell r="Q1774" t="str">
            <v>중국</v>
          </cell>
          <cell r="R1774" t="str">
            <v>냉동</v>
          </cell>
          <cell r="S1774" t="str">
            <v>PAC(1)</v>
          </cell>
          <cell r="T1774" t="str">
            <v/>
          </cell>
          <cell r="U1774" t="str">
            <v/>
          </cell>
          <cell r="V1774" t="str">
            <v>2018-11-14</v>
          </cell>
          <cell r="W1774" t="str">
            <v>2018-11-14 13:50:39</v>
          </cell>
          <cell r="X1774" t="str">
            <v>178921000</v>
          </cell>
        </row>
        <row r="1775">
          <cell r="A1775">
            <v>1771</v>
          </cell>
          <cell r="B1775" t="str">
            <v>2018-11-15</v>
          </cell>
          <cell r="C1775" t="str">
            <v>키즈락</v>
          </cell>
          <cell r="D1775">
            <v>0</v>
          </cell>
          <cell r="E1775" t="str">
            <v>일반</v>
          </cell>
          <cell r="F1775" t="str">
            <v>입고완료</v>
          </cell>
          <cell r="G1775">
            <v>210182</v>
          </cell>
          <cell r="H1775" t="str">
            <v>냉동홍피망(다이스 1Kg/EA)</v>
          </cell>
          <cell r="I1775" t="str">
            <v>EA</v>
          </cell>
          <cell r="J1775">
            <v>10</v>
          </cell>
          <cell r="K1775">
            <v>10</v>
          </cell>
          <cell r="L1775">
            <v>2300</v>
          </cell>
          <cell r="M1775">
            <v>23000</v>
          </cell>
          <cell r="N1775">
            <v>0</v>
          </cell>
          <cell r="O1775">
            <v>23000</v>
          </cell>
          <cell r="P1775">
            <v>0</v>
          </cell>
          <cell r="Q1775" t="str">
            <v>중국</v>
          </cell>
          <cell r="R1775" t="str">
            <v>냉동</v>
          </cell>
          <cell r="S1775" t="str">
            <v>EA(1)</v>
          </cell>
          <cell r="T1775" t="str">
            <v/>
          </cell>
          <cell r="U1775" t="str">
            <v/>
          </cell>
          <cell r="V1775" t="str">
            <v>2018-11-14</v>
          </cell>
          <cell r="W1775" t="str">
            <v>2018-11-14 13:50:39</v>
          </cell>
          <cell r="X1775" t="str">
            <v>178921000</v>
          </cell>
        </row>
        <row r="1776">
          <cell r="A1776">
            <v>1772</v>
          </cell>
          <cell r="B1776" t="str">
            <v>2018-11-15</v>
          </cell>
          <cell r="C1776" t="str">
            <v>키즈락</v>
          </cell>
          <cell r="D1776">
            <v>0</v>
          </cell>
          <cell r="E1776" t="str">
            <v>일반</v>
          </cell>
          <cell r="F1776" t="str">
            <v>입고완료</v>
          </cell>
          <cell r="G1776">
            <v>193090</v>
          </cell>
          <cell r="H1776" t="str">
            <v>냉동감자(절단_3~4cm 1Kg/EA)</v>
          </cell>
          <cell r="I1776" t="str">
            <v>EA</v>
          </cell>
          <cell r="J1776">
            <v>20</v>
          </cell>
          <cell r="K1776">
            <v>20</v>
          </cell>
          <cell r="L1776">
            <v>1980</v>
          </cell>
          <cell r="M1776">
            <v>39600</v>
          </cell>
          <cell r="N1776">
            <v>3960</v>
          </cell>
          <cell r="O1776">
            <v>43560</v>
          </cell>
          <cell r="P1776">
            <v>0</v>
          </cell>
          <cell r="Q1776" t="str">
            <v>중국</v>
          </cell>
          <cell r="R1776" t="str">
            <v>냉동</v>
          </cell>
          <cell r="S1776" t="str">
            <v>EA(1)</v>
          </cell>
          <cell r="T1776" t="str">
            <v/>
          </cell>
          <cell r="U1776" t="str">
            <v/>
          </cell>
          <cell r="V1776" t="str">
            <v>2018-11-14</v>
          </cell>
          <cell r="W1776" t="str">
            <v>2018-11-14 14:07:12</v>
          </cell>
          <cell r="X1776" t="str">
            <v>178921000</v>
          </cell>
        </row>
        <row r="1777">
          <cell r="A1777">
            <v>1773</v>
          </cell>
          <cell r="B1777" t="str">
            <v>2018-11-15</v>
          </cell>
          <cell r="C1777" t="str">
            <v>키즈락</v>
          </cell>
          <cell r="D1777">
            <v>0</v>
          </cell>
          <cell r="E1777" t="str">
            <v>일반</v>
          </cell>
          <cell r="F1777" t="str">
            <v>입고완료</v>
          </cell>
          <cell r="G1777">
            <v>223128</v>
          </cell>
          <cell r="H1777" t="str">
            <v>아이누리 가지(1Kg/EA)</v>
          </cell>
          <cell r="I1777" t="str">
            <v>EA</v>
          </cell>
          <cell r="J1777">
            <v>17</v>
          </cell>
          <cell r="K1777">
            <v>17</v>
          </cell>
          <cell r="L1777">
            <v>3910</v>
          </cell>
          <cell r="M1777">
            <v>66470</v>
          </cell>
          <cell r="N1777">
            <v>0</v>
          </cell>
          <cell r="O1777">
            <v>66470</v>
          </cell>
          <cell r="P1777">
            <v>0</v>
          </cell>
          <cell r="Q1777" t="str">
            <v>한국</v>
          </cell>
          <cell r="R1777" t="str">
            <v>냉장</v>
          </cell>
          <cell r="S1777" t="str">
            <v>EA(1)</v>
          </cell>
          <cell r="T1777" t="str">
            <v/>
          </cell>
          <cell r="U1777" t="str">
            <v/>
          </cell>
          <cell r="V1777" t="str">
            <v>2018-11-14</v>
          </cell>
          <cell r="W1777" t="str">
            <v>2018-11-14 14:15:48</v>
          </cell>
          <cell r="X1777" t="str">
            <v>178921000</v>
          </cell>
        </row>
        <row r="1778">
          <cell r="A1778">
            <v>1774</v>
          </cell>
          <cell r="B1778" t="str">
            <v>2018-11-15</v>
          </cell>
          <cell r="C1778" t="str">
            <v>키즈락</v>
          </cell>
          <cell r="D1778">
            <v>0</v>
          </cell>
          <cell r="E1778" t="str">
            <v>일반</v>
          </cell>
          <cell r="F1778" t="str">
            <v>입고완료</v>
          </cell>
          <cell r="G1778">
            <v>159993</v>
          </cell>
          <cell r="H1778" t="str">
            <v>반찬단지 무말랭이(NEW 1Kg/EA)</v>
          </cell>
          <cell r="I1778" t="str">
            <v>EA</v>
          </cell>
          <cell r="J1778">
            <v>1</v>
          </cell>
          <cell r="K1778">
            <v>1</v>
          </cell>
          <cell r="L1778">
            <v>4040</v>
          </cell>
          <cell r="M1778">
            <v>4040</v>
          </cell>
          <cell r="N1778">
            <v>404</v>
          </cell>
          <cell r="O1778">
            <v>4444</v>
          </cell>
          <cell r="P1778">
            <v>0</v>
          </cell>
          <cell r="Q1778" t="str">
            <v>중국</v>
          </cell>
          <cell r="R1778" t="str">
            <v>냉장</v>
          </cell>
          <cell r="S1778" t="str">
            <v>EA(10)</v>
          </cell>
          <cell r="T1778" t="str">
            <v/>
          </cell>
          <cell r="U1778" t="str">
            <v/>
          </cell>
          <cell r="V1778" t="str">
            <v>2018-11-14</v>
          </cell>
          <cell r="W1778" t="str">
            <v>2018-11-14 14:47:59</v>
          </cell>
          <cell r="X1778" t="str">
            <v>178921000</v>
          </cell>
        </row>
        <row r="1779">
          <cell r="A1779">
            <v>1775</v>
          </cell>
          <cell r="B1779" t="str">
            <v>2018-11-14</v>
          </cell>
          <cell r="C1779">
            <v>0</v>
          </cell>
          <cell r="D1779">
            <v>0</v>
          </cell>
          <cell r="E1779">
            <v>0</v>
          </cell>
          <cell r="F1779">
            <v>0</v>
          </cell>
          <cell r="G1779">
            <v>0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</row>
        <row r="1780">
          <cell r="A1780">
            <v>1776</v>
          </cell>
          <cell r="B1780" t="str">
            <v>2018-11-14</v>
          </cell>
          <cell r="C1780" t="str">
            <v>키즈락</v>
          </cell>
          <cell r="D1780">
            <v>0</v>
          </cell>
          <cell r="E1780" t="str">
            <v>일반</v>
          </cell>
          <cell r="F1780" t="str">
            <v>입고완료</v>
          </cell>
          <cell r="G1780">
            <v>258414</v>
          </cell>
          <cell r="H1780" t="str">
            <v>청우식품 밥풀과자(8개내외 100g/EA)</v>
          </cell>
          <cell r="I1780" t="str">
            <v>EA</v>
          </cell>
          <cell r="J1780">
            <v>34</v>
          </cell>
          <cell r="K1780">
            <v>34</v>
          </cell>
          <cell r="L1780">
            <v>840</v>
          </cell>
          <cell r="M1780">
            <v>28560</v>
          </cell>
          <cell r="N1780">
            <v>2856</v>
          </cell>
          <cell r="O1780">
            <v>31416</v>
          </cell>
          <cell r="P1780">
            <v>0</v>
          </cell>
          <cell r="Q1780" t="str">
            <v/>
          </cell>
          <cell r="R1780" t="str">
            <v>실온</v>
          </cell>
          <cell r="S1780" t="str">
            <v>EA(1)</v>
          </cell>
          <cell r="T1780" t="str">
            <v/>
          </cell>
          <cell r="U1780" t="str">
            <v/>
          </cell>
          <cell r="V1780" t="str">
            <v>2018-11-02</v>
          </cell>
          <cell r="W1780" t="str">
            <v>2018-11-02 12:52:31</v>
          </cell>
          <cell r="X1780" t="str">
            <v>178921000</v>
          </cell>
        </row>
        <row r="1781">
          <cell r="A1781">
            <v>1777</v>
          </cell>
          <cell r="B1781" t="str">
            <v>2018-11-14</v>
          </cell>
          <cell r="C1781" t="str">
            <v>키즈락</v>
          </cell>
          <cell r="D1781">
            <v>0</v>
          </cell>
          <cell r="E1781" t="str">
            <v>일반</v>
          </cell>
          <cell r="F1781" t="str">
            <v>입고완료</v>
          </cell>
          <cell r="G1781">
            <v>136633</v>
          </cell>
          <cell r="H1781" t="str">
            <v>이오 요구르트(80ml_유기농 80g/EA)</v>
          </cell>
          <cell r="I1781" t="str">
            <v>EA</v>
          </cell>
          <cell r="J1781">
            <v>170</v>
          </cell>
          <cell r="K1781">
            <v>170</v>
          </cell>
          <cell r="L1781">
            <v>300</v>
          </cell>
          <cell r="M1781">
            <v>51000</v>
          </cell>
          <cell r="N1781">
            <v>5100</v>
          </cell>
          <cell r="O1781">
            <v>56100</v>
          </cell>
          <cell r="P1781">
            <v>0</v>
          </cell>
          <cell r="Q1781" t="str">
            <v>한국</v>
          </cell>
          <cell r="R1781" t="str">
            <v>냉장</v>
          </cell>
          <cell r="S1781" t="str">
            <v>EA(50)</v>
          </cell>
          <cell r="T1781" t="str">
            <v/>
          </cell>
          <cell r="U1781" t="str">
            <v/>
          </cell>
          <cell r="V1781" t="str">
            <v>2018-11-02</v>
          </cell>
          <cell r="W1781" t="str">
            <v>2018-11-02 12:53:35</v>
          </cell>
          <cell r="X1781" t="str">
            <v>178921000</v>
          </cell>
        </row>
        <row r="1782">
          <cell r="A1782">
            <v>1778</v>
          </cell>
          <cell r="B1782" t="str">
            <v>2018-11-14</v>
          </cell>
          <cell r="C1782" t="str">
            <v>키즈락</v>
          </cell>
          <cell r="D1782">
            <v>0</v>
          </cell>
          <cell r="E1782" t="str">
            <v>일반</v>
          </cell>
          <cell r="F1782" t="str">
            <v>입고완료</v>
          </cell>
          <cell r="G1782">
            <v>245786</v>
          </cell>
          <cell r="H1782" t="str">
            <v>종로복떡방 앙금절편(25g*40개 1Kg/BOX)</v>
          </cell>
          <cell r="I1782" t="str">
            <v>BOX</v>
          </cell>
          <cell r="J1782">
            <v>6</v>
          </cell>
          <cell r="K1782">
            <v>6</v>
          </cell>
          <cell r="L1782">
            <v>8750</v>
          </cell>
          <cell r="M1782">
            <v>52500</v>
          </cell>
          <cell r="N1782">
            <v>5250</v>
          </cell>
          <cell r="O1782">
            <v>57750</v>
          </cell>
          <cell r="P1782">
            <v>0</v>
          </cell>
          <cell r="Q1782" t="str">
            <v>한국</v>
          </cell>
          <cell r="R1782" t="str">
            <v>냉동</v>
          </cell>
          <cell r="S1782" t="str">
            <v>BOX(1)</v>
          </cell>
          <cell r="T1782" t="str">
            <v/>
          </cell>
          <cell r="U1782" t="str">
            <v/>
          </cell>
          <cell r="V1782" t="str">
            <v>2018-11-08</v>
          </cell>
          <cell r="W1782" t="str">
            <v>2018-11-08 13:27:37</v>
          </cell>
          <cell r="X1782" t="str">
            <v>178921000</v>
          </cell>
        </row>
        <row r="1783">
          <cell r="A1783">
            <v>1779</v>
          </cell>
          <cell r="B1783" t="str">
            <v>2018-11-14</v>
          </cell>
          <cell r="C1783" t="str">
            <v>키즈락</v>
          </cell>
          <cell r="D1783">
            <v>0</v>
          </cell>
          <cell r="E1783" t="str">
            <v>일반</v>
          </cell>
          <cell r="F1783" t="str">
            <v>입고완료</v>
          </cell>
          <cell r="G1783">
            <v>211696</v>
          </cell>
          <cell r="H1783" t="str">
            <v>건시래기(데친것 KG)</v>
          </cell>
          <cell r="I1783" t="str">
            <v>KG</v>
          </cell>
          <cell r="J1783">
            <v>30</v>
          </cell>
          <cell r="K1783">
            <v>30</v>
          </cell>
          <cell r="L1783">
            <v>2740</v>
          </cell>
          <cell r="M1783">
            <v>82200</v>
          </cell>
          <cell r="N1783">
            <v>0</v>
          </cell>
          <cell r="O1783">
            <v>82200</v>
          </cell>
          <cell r="P1783">
            <v>0</v>
          </cell>
          <cell r="Q1783" t="str">
            <v>한국</v>
          </cell>
          <cell r="R1783" t="str">
            <v>냉장</v>
          </cell>
          <cell r="S1783" t="str">
            <v>KG(1)</v>
          </cell>
          <cell r="T1783" t="str">
            <v/>
          </cell>
          <cell r="U1783" t="str">
            <v/>
          </cell>
          <cell r="V1783" t="str">
            <v>2018-11-09</v>
          </cell>
          <cell r="W1783" t="str">
            <v>2018-11-09 12:24:58</v>
          </cell>
          <cell r="X1783" t="str">
            <v>178921000</v>
          </cell>
        </row>
        <row r="1784">
          <cell r="A1784">
            <v>1780</v>
          </cell>
          <cell r="B1784" t="str">
            <v>2018-11-14</v>
          </cell>
          <cell r="C1784" t="str">
            <v>키즈락</v>
          </cell>
          <cell r="D1784">
            <v>0</v>
          </cell>
          <cell r="E1784" t="str">
            <v>일반</v>
          </cell>
          <cell r="F1784" t="str">
            <v>입고완료</v>
          </cell>
          <cell r="G1784">
            <v>155941</v>
          </cell>
          <cell r="H1784" t="str">
            <v>CJ씨푸드 맛있는새우까스(600g/EA)</v>
          </cell>
          <cell r="I1784" t="str">
            <v>EA</v>
          </cell>
          <cell r="J1784">
            <v>60</v>
          </cell>
          <cell r="K1784">
            <v>60</v>
          </cell>
          <cell r="L1784">
            <v>2880</v>
          </cell>
          <cell r="M1784">
            <v>172800</v>
          </cell>
          <cell r="N1784">
            <v>17280</v>
          </cell>
          <cell r="O1784">
            <v>190080</v>
          </cell>
          <cell r="P1784">
            <v>0</v>
          </cell>
          <cell r="Q1784" t="str">
            <v/>
          </cell>
          <cell r="R1784" t="str">
            <v>냉동</v>
          </cell>
          <cell r="S1784" t="str">
            <v>EA(10)</v>
          </cell>
          <cell r="T1784" t="str">
            <v/>
          </cell>
          <cell r="U1784" t="str">
            <v/>
          </cell>
          <cell r="V1784" t="str">
            <v>2018-11-09</v>
          </cell>
          <cell r="W1784" t="str">
            <v>2018-11-09 13:41:21</v>
          </cell>
          <cell r="X1784" t="str">
            <v>178921000</v>
          </cell>
        </row>
        <row r="1785">
          <cell r="A1785">
            <v>1781</v>
          </cell>
          <cell r="B1785" t="str">
            <v>2018-11-14</v>
          </cell>
          <cell r="C1785" t="str">
            <v>키즈락</v>
          </cell>
          <cell r="D1785">
            <v>0</v>
          </cell>
          <cell r="E1785" t="str">
            <v>일반</v>
          </cell>
          <cell r="F1785" t="str">
            <v>입고완료</v>
          </cell>
          <cell r="G1785">
            <v>175493</v>
          </cell>
          <cell r="H1785" t="str">
            <v>덴마크 흰우유(1L_클래식 1Kg/EA)</v>
          </cell>
          <cell r="I1785" t="str">
            <v>EA</v>
          </cell>
          <cell r="J1785">
            <v>1</v>
          </cell>
          <cell r="K1785">
            <v>1</v>
          </cell>
          <cell r="L1785">
            <v>1810</v>
          </cell>
          <cell r="M1785">
            <v>1810</v>
          </cell>
          <cell r="N1785">
            <v>0</v>
          </cell>
          <cell r="O1785">
            <v>1810</v>
          </cell>
          <cell r="P1785">
            <v>0</v>
          </cell>
          <cell r="Q1785" t="str">
            <v>한국</v>
          </cell>
          <cell r="R1785" t="str">
            <v>냉장</v>
          </cell>
          <cell r="S1785" t="str">
            <v>EA(1)</v>
          </cell>
          <cell r="T1785" t="str">
            <v/>
          </cell>
          <cell r="U1785" t="str">
            <v/>
          </cell>
          <cell r="V1785" t="str">
            <v>2018-11-12</v>
          </cell>
          <cell r="W1785" t="str">
            <v>2018-11-12 13:57:49</v>
          </cell>
          <cell r="X1785" t="str">
            <v>178921000</v>
          </cell>
        </row>
        <row r="1786">
          <cell r="A1786">
            <v>1782</v>
          </cell>
          <cell r="B1786" t="str">
            <v>2018-11-14</v>
          </cell>
          <cell r="C1786" t="str">
            <v>키즈락</v>
          </cell>
          <cell r="D1786">
            <v>0</v>
          </cell>
          <cell r="E1786" t="str">
            <v>일반</v>
          </cell>
          <cell r="F1786" t="str">
            <v>입고완료</v>
          </cell>
          <cell r="G1786">
            <v>237935</v>
          </cell>
          <cell r="H1786" t="str">
            <v>이츠웰 탈피들깨가루(1Kg/EA)</v>
          </cell>
          <cell r="I1786" t="str">
            <v>EA</v>
          </cell>
          <cell r="J1786">
            <v>3</v>
          </cell>
          <cell r="K1786">
            <v>3</v>
          </cell>
          <cell r="L1786">
            <v>9210</v>
          </cell>
          <cell r="M1786">
            <v>27630</v>
          </cell>
          <cell r="N1786">
            <v>2763</v>
          </cell>
          <cell r="O1786">
            <v>30393</v>
          </cell>
          <cell r="P1786">
            <v>0</v>
          </cell>
          <cell r="Q1786" t="str">
            <v/>
          </cell>
          <cell r="R1786" t="str">
            <v>실온</v>
          </cell>
          <cell r="S1786" t="str">
            <v>EA(10)</v>
          </cell>
          <cell r="T1786" t="str">
            <v/>
          </cell>
          <cell r="U1786" t="str">
            <v/>
          </cell>
          <cell r="V1786" t="str">
            <v>2018-11-12</v>
          </cell>
          <cell r="W1786" t="str">
            <v>2018-11-12 14:02:49</v>
          </cell>
          <cell r="X1786" t="str">
            <v>178921000</v>
          </cell>
        </row>
        <row r="1787">
          <cell r="A1787">
            <v>1783</v>
          </cell>
          <cell r="B1787" t="str">
            <v>2018-11-14</v>
          </cell>
          <cell r="C1787" t="str">
            <v>키즈락</v>
          </cell>
          <cell r="D1787">
            <v>0</v>
          </cell>
          <cell r="E1787" t="str">
            <v>일반</v>
          </cell>
          <cell r="F1787" t="str">
            <v>입고완료</v>
          </cell>
          <cell r="G1787">
            <v>313767</v>
          </cell>
          <cell r="H1787" t="str">
            <v>프레시웨이 건미역(상품 1Kg/EA)</v>
          </cell>
          <cell r="I1787" t="str">
            <v>EA</v>
          </cell>
          <cell r="J1787">
            <v>3</v>
          </cell>
          <cell r="K1787">
            <v>3</v>
          </cell>
          <cell r="L1787">
            <v>15550</v>
          </cell>
          <cell r="M1787">
            <v>46650</v>
          </cell>
          <cell r="N1787">
            <v>0</v>
          </cell>
          <cell r="O1787">
            <v>46650</v>
          </cell>
          <cell r="P1787">
            <v>0</v>
          </cell>
          <cell r="Q1787" t="str">
            <v>한국</v>
          </cell>
          <cell r="R1787" t="str">
            <v>실온</v>
          </cell>
          <cell r="S1787" t="str">
            <v>EA(10)</v>
          </cell>
          <cell r="T1787" t="str">
            <v/>
          </cell>
          <cell r="U1787" t="str">
            <v/>
          </cell>
          <cell r="V1787" t="str">
            <v>2018-11-13</v>
          </cell>
          <cell r="W1787" t="str">
            <v>2018-11-13 11:45:54</v>
          </cell>
          <cell r="X1787" t="str">
            <v>178921000</v>
          </cell>
        </row>
        <row r="1788">
          <cell r="A1788">
            <v>1784</v>
          </cell>
          <cell r="B1788" t="str">
            <v>2018-11-14</v>
          </cell>
          <cell r="C1788" t="str">
            <v>키즈락</v>
          </cell>
          <cell r="D1788">
            <v>0</v>
          </cell>
          <cell r="E1788" t="str">
            <v>일반</v>
          </cell>
          <cell r="F1788" t="str">
            <v>입고완료</v>
          </cell>
          <cell r="G1788">
            <v>206631</v>
          </cell>
          <cell r="H1788" t="str">
            <v>냉동아욱(상품 1Kg/PAC)</v>
          </cell>
          <cell r="I1788" t="str">
            <v>PAC</v>
          </cell>
          <cell r="J1788">
            <v>10</v>
          </cell>
          <cell r="K1788">
            <v>10</v>
          </cell>
          <cell r="L1788">
            <v>2450</v>
          </cell>
          <cell r="M1788">
            <v>24500</v>
          </cell>
          <cell r="N1788">
            <v>2450</v>
          </cell>
          <cell r="O1788">
            <v>26950</v>
          </cell>
          <cell r="P1788">
            <v>0</v>
          </cell>
          <cell r="Q1788" t="str">
            <v>중국</v>
          </cell>
          <cell r="R1788" t="str">
            <v>냉동</v>
          </cell>
          <cell r="S1788" t="str">
            <v>PAC(1)</v>
          </cell>
          <cell r="T1788" t="str">
            <v/>
          </cell>
          <cell r="U1788" t="str">
            <v/>
          </cell>
          <cell r="V1788" t="str">
            <v>2018-11-13</v>
          </cell>
          <cell r="W1788" t="str">
            <v>2018-11-13 11:59:19</v>
          </cell>
          <cell r="X1788" t="str">
            <v>178921000</v>
          </cell>
        </row>
        <row r="1789">
          <cell r="A1789">
            <v>1785</v>
          </cell>
          <cell r="B1789" t="str">
            <v>2018-11-14</v>
          </cell>
          <cell r="C1789" t="str">
            <v>키즈락</v>
          </cell>
          <cell r="D1789">
            <v>0</v>
          </cell>
          <cell r="E1789" t="str">
            <v>일반</v>
          </cell>
          <cell r="F1789" t="str">
            <v>입고완료</v>
          </cell>
          <cell r="G1789">
            <v>302889</v>
          </cell>
          <cell r="H1789" t="str">
            <v>명태곤이(1Kg/PAC)</v>
          </cell>
          <cell r="I1789" t="str">
            <v>PAC</v>
          </cell>
          <cell r="J1789">
            <v>2</v>
          </cell>
          <cell r="K1789">
            <v>2</v>
          </cell>
          <cell r="L1789">
            <v>11000</v>
          </cell>
          <cell r="M1789">
            <v>22000</v>
          </cell>
          <cell r="N1789">
            <v>0</v>
          </cell>
          <cell r="O1789">
            <v>22000</v>
          </cell>
          <cell r="P1789">
            <v>0</v>
          </cell>
          <cell r="Q1789" t="str">
            <v>러시아</v>
          </cell>
          <cell r="R1789" t="str">
            <v>냉동</v>
          </cell>
          <cell r="S1789" t="str">
            <v>PAC(1)</v>
          </cell>
          <cell r="T1789" t="str">
            <v/>
          </cell>
          <cell r="U1789" t="str">
            <v/>
          </cell>
          <cell r="V1789" t="str">
            <v>2018-11-13</v>
          </cell>
          <cell r="W1789" t="str">
            <v>2018-11-13 13:35:36</v>
          </cell>
          <cell r="X1789" t="str">
            <v>178921000</v>
          </cell>
        </row>
        <row r="1790">
          <cell r="A1790">
            <v>1786</v>
          </cell>
          <cell r="B1790" t="str">
            <v>2018-11-14</v>
          </cell>
          <cell r="C1790" t="str">
            <v>키즈락</v>
          </cell>
          <cell r="D1790">
            <v>0</v>
          </cell>
          <cell r="E1790" t="str">
            <v>일반</v>
          </cell>
          <cell r="F1790" t="str">
            <v>입고완료</v>
          </cell>
          <cell r="G1790">
            <v>261098</v>
          </cell>
          <cell r="H1790" t="str">
            <v>냉동비름나물(IQF 2Kg/EA)</v>
          </cell>
          <cell r="I1790" t="str">
            <v>EA</v>
          </cell>
          <cell r="J1790">
            <v>5</v>
          </cell>
          <cell r="K1790">
            <v>5</v>
          </cell>
          <cell r="L1790">
            <v>13870</v>
          </cell>
          <cell r="M1790">
            <v>69350</v>
          </cell>
          <cell r="N1790">
            <v>0</v>
          </cell>
          <cell r="O1790">
            <v>69350</v>
          </cell>
          <cell r="P1790">
            <v>0</v>
          </cell>
          <cell r="Q1790" t="str">
            <v>한국</v>
          </cell>
          <cell r="R1790" t="str">
            <v>냉동</v>
          </cell>
          <cell r="S1790" t="str">
            <v>EA(1)</v>
          </cell>
          <cell r="T1790" t="str">
            <v/>
          </cell>
          <cell r="U1790" t="str">
            <v/>
          </cell>
          <cell r="V1790" t="str">
            <v>2018-11-13</v>
          </cell>
          <cell r="W1790" t="str">
            <v>2018-11-13 13:39:58</v>
          </cell>
          <cell r="X1790" t="str">
            <v>178921000</v>
          </cell>
        </row>
        <row r="1791">
          <cell r="A1791">
            <v>1787</v>
          </cell>
          <cell r="B1791" t="str">
            <v>2018-11-14</v>
          </cell>
          <cell r="C1791" t="str">
            <v>키즈락</v>
          </cell>
          <cell r="D1791">
            <v>0</v>
          </cell>
          <cell r="E1791" t="str">
            <v>일반</v>
          </cell>
          <cell r="F1791" t="str">
            <v>입고완료</v>
          </cell>
          <cell r="G1791">
            <v>106212</v>
          </cell>
          <cell r="H1791" t="str">
            <v>백설 하얀설탕(15Kg/EA)</v>
          </cell>
          <cell r="I1791" t="str">
            <v>EA</v>
          </cell>
          <cell r="J1791">
            <v>1</v>
          </cell>
          <cell r="K1791">
            <v>1</v>
          </cell>
          <cell r="L1791">
            <v>15680</v>
          </cell>
          <cell r="M1791">
            <v>15680</v>
          </cell>
          <cell r="N1791">
            <v>1568</v>
          </cell>
          <cell r="O1791">
            <v>17248</v>
          </cell>
          <cell r="P1791">
            <v>0</v>
          </cell>
          <cell r="Q1791" t="str">
            <v/>
          </cell>
          <cell r="R1791" t="str">
            <v>실온</v>
          </cell>
          <cell r="S1791" t="str">
            <v>EA(1)</v>
          </cell>
          <cell r="T1791" t="str">
            <v/>
          </cell>
          <cell r="U1791" t="str">
            <v/>
          </cell>
          <cell r="V1791" t="str">
            <v>2018-11-13</v>
          </cell>
          <cell r="W1791" t="str">
            <v>2018-11-13 14:20:17</v>
          </cell>
          <cell r="X1791" t="str">
            <v>178921000</v>
          </cell>
        </row>
        <row r="1792">
          <cell r="A1792">
            <v>1788</v>
          </cell>
          <cell r="B1792" t="str">
            <v>2018-11-13</v>
          </cell>
          <cell r="C1792">
            <v>0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</row>
        <row r="1793">
          <cell r="A1793">
            <v>1789</v>
          </cell>
          <cell r="B1793" t="str">
            <v>2018-11-13</v>
          </cell>
          <cell r="C1793" t="str">
            <v>키즈락</v>
          </cell>
          <cell r="D1793">
            <v>0</v>
          </cell>
          <cell r="E1793" t="str">
            <v>일반</v>
          </cell>
          <cell r="F1793" t="str">
            <v>입고완료</v>
          </cell>
          <cell r="G1793">
            <v>128022</v>
          </cell>
          <cell r="H1793" t="str">
            <v>빙그레 딸기우유(200ml 200g/EA)</v>
          </cell>
          <cell r="I1793" t="str">
            <v>EA</v>
          </cell>
          <cell r="J1793">
            <v>170</v>
          </cell>
          <cell r="K1793">
            <v>170</v>
          </cell>
          <cell r="L1793">
            <v>360</v>
          </cell>
          <cell r="M1793">
            <v>61200</v>
          </cell>
          <cell r="N1793">
            <v>6120</v>
          </cell>
          <cell r="O1793">
            <v>67320</v>
          </cell>
          <cell r="P1793">
            <v>0</v>
          </cell>
          <cell r="Q1793" t="str">
            <v>한국</v>
          </cell>
          <cell r="R1793" t="str">
            <v>냉장</v>
          </cell>
          <cell r="S1793" t="str">
            <v>EA(50)</v>
          </cell>
          <cell r="T1793" t="str">
            <v/>
          </cell>
          <cell r="U1793" t="str">
            <v/>
          </cell>
          <cell r="V1793" t="str">
            <v>2018-11-02</v>
          </cell>
          <cell r="W1793" t="str">
            <v>2018-11-02 12:25:27</v>
          </cell>
          <cell r="X1793" t="str">
            <v>178921000</v>
          </cell>
        </row>
        <row r="1794">
          <cell r="A1794">
            <v>1790</v>
          </cell>
          <cell r="B1794" t="str">
            <v>2018-11-13</v>
          </cell>
          <cell r="C1794" t="str">
            <v>키즈락</v>
          </cell>
          <cell r="D1794">
            <v>0</v>
          </cell>
          <cell r="E1794" t="str">
            <v>일반</v>
          </cell>
          <cell r="F1794" t="str">
            <v>입고완료</v>
          </cell>
          <cell r="G1794">
            <v>159757</v>
          </cell>
          <cell r="H1794" t="str">
            <v>신라명과 플레인모닝롤(26g*10입 260g/EA)</v>
          </cell>
          <cell r="I1794" t="str">
            <v>EA</v>
          </cell>
          <cell r="J1794">
            <v>9</v>
          </cell>
          <cell r="K1794">
            <v>9</v>
          </cell>
          <cell r="L1794">
            <v>1950</v>
          </cell>
          <cell r="M1794">
            <v>17550</v>
          </cell>
          <cell r="N1794">
            <v>1755</v>
          </cell>
          <cell r="O1794">
            <v>19305</v>
          </cell>
          <cell r="P1794">
            <v>0</v>
          </cell>
          <cell r="Q1794" t="str">
            <v/>
          </cell>
          <cell r="R1794" t="str">
            <v>실온</v>
          </cell>
          <cell r="S1794" t="str">
            <v>EA(1)</v>
          </cell>
          <cell r="T1794" t="str">
            <v/>
          </cell>
          <cell r="U1794" t="str">
            <v/>
          </cell>
          <cell r="V1794" t="str">
            <v>2018-11-02</v>
          </cell>
          <cell r="W1794" t="str">
            <v>2018-11-02 12:51:56</v>
          </cell>
          <cell r="X1794" t="str">
            <v>178921000</v>
          </cell>
        </row>
        <row r="1795">
          <cell r="A1795">
            <v>1791</v>
          </cell>
          <cell r="B1795" t="str">
            <v>2018-11-13</v>
          </cell>
          <cell r="C1795" t="str">
            <v>키즈락</v>
          </cell>
          <cell r="D1795">
            <v>0</v>
          </cell>
          <cell r="E1795" t="str">
            <v>일반</v>
          </cell>
          <cell r="F1795" t="str">
            <v>입고완료</v>
          </cell>
          <cell r="G1795">
            <v>103604</v>
          </cell>
          <cell r="H1795" t="str">
            <v>이츠웰 깐계란(1Kg/EA)</v>
          </cell>
          <cell r="I1795" t="str">
            <v>EA</v>
          </cell>
          <cell r="J1795">
            <v>33</v>
          </cell>
          <cell r="K1795">
            <v>33</v>
          </cell>
          <cell r="L1795">
            <v>4600</v>
          </cell>
          <cell r="M1795">
            <v>151800</v>
          </cell>
          <cell r="N1795">
            <v>15180</v>
          </cell>
          <cell r="O1795">
            <v>166980</v>
          </cell>
          <cell r="P1795">
            <v>0</v>
          </cell>
          <cell r="Q1795" t="str">
            <v>한국</v>
          </cell>
          <cell r="R1795" t="str">
            <v>냉장</v>
          </cell>
          <cell r="S1795" t="str">
            <v>EA(6)</v>
          </cell>
          <cell r="T1795" t="str">
            <v/>
          </cell>
          <cell r="U1795" t="str">
            <v/>
          </cell>
          <cell r="V1795" t="str">
            <v>2018-11-07</v>
          </cell>
          <cell r="W1795" t="str">
            <v>2018-11-07 14:45:42</v>
          </cell>
          <cell r="X1795" t="str">
            <v>178921000</v>
          </cell>
        </row>
        <row r="1796">
          <cell r="A1796">
            <v>1792</v>
          </cell>
          <cell r="B1796" t="str">
            <v>2018-11-13</v>
          </cell>
          <cell r="C1796" t="str">
            <v>키즈락</v>
          </cell>
          <cell r="D1796">
            <v>0</v>
          </cell>
          <cell r="E1796" t="str">
            <v>일반</v>
          </cell>
          <cell r="F1796" t="str">
            <v>입고완료</v>
          </cell>
          <cell r="G1796">
            <v>211697</v>
          </cell>
          <cell r="H1796" t="str">
            <v>데친우거지(프레시 KG)</v>
          </cell>
          <cell r="I1796" t="str">
            <v>KG</v>
          </cell>
          <cell r="J1796">
            <v>35</v>
          </cell>
          <cell r="K1796">
            <v>35</v>
          </cell>
          <cell r="L1796">
            <v>2850</v>
          </cell>
          <cell r="M1796">
            <v>99750</v>
          </cell>
          <cell r="N1796">
            <v>0</v>
          </cell>
          <cell r="O1796">
            <v>99750</v>
          </cell>
          <cell r="P1796">
            <v>0</v>
          </cell>
          <cell r="Q1796" t="str">
            <v>한국</v>
          </cell>
          <cell r="R1796" t="str">
            <v>냉장</v>
          </cell>
          <cell r="S1796" t="str">
            <v>KG(1)</v>
          </cell>
          <cell r="T1796" t="str">
            <v/>
          </cell>
          <cell r="U1796" t="str">
            <v/>
          </cell>
          <cell r="V1796" t="str">
            <v>2018-11-09</v>
          </cell>
          <cell r="W1796" t="str">
            <v>2018-11-09 12:25:59</v>
          </cell>
          <cell r="X1796" t="str">
            <v>178921000</v>
          </cell>
        </row>
        <row r="1797">
          <cell r="A1797">
            <v>1793</v>
          </cell>
          <cell r="B1797" t="str">
            <v>2018-11-13</v>
          </cell>
          <cell r="C1797" t="str">
            <v>키즈락</v>
          </cell>
          <cell r="D1797">
            <v>0</v>
          </cell>
          <cell r="E1797" t="str">
            <v>일반</v>
          </cell>
          <cell r="F1797" t="str">
            <v>입고완료</v>
          </cell>
          <cell r="G1797">
            <v>120982</v>
          </cell>
          <cell r="H1797" t="str">
            <v>이츠웰 동부묵(슬라이스_18±1g*161조각 3Kg/EA)</v>
          </cell>
          <cell r="I1797" t="str">
            <v>EA</v>
          </cell>
          <cell r="J1797">
            <v>11</v>
          </cell>
          <cell r="K1797">
            <v>11</v>
          </cell>
          <cell r="L1797">
            <v>5690</v>
          </cell>
          <cell r="M1797">
            <v>62590</v>
          </cell>
          <cell r="N1797">
            <v>6259</v>
          </cell>
          <cell r="O1797">
            <v>68849</v>
          </cell>
          <cell r="P1797">
            <v>0</v>
          </cell>
          <cell r="Q1797" t="str">
            <v>미얀마</v>
          </cell>
          <cell r="R1797" t="str">
            <v>냉장</v>
          </cell>
          <cell r="S1797" t="str">
            <v>EA(1)</v>
          </cell>
          <cell r="T1797" t="str">
            <v/>
          </cell>
          <cell r="U1797" t="str">
            <v/>
          </cell>
          <cell r="V1797" t="str">
            <v>2018-11-09</v>
          </cell>
          <cell r="W1797" t="str">
            <v>2018-11-09 14:36:35</v>
          </cell>
          <cell r="X1797" t="str">
            <v>178921000</v>
          </cell>
        </row>
        <row r="1798">
          <cell r="A1798">
            <v>1794</v>
          </cell>
          <cell r="B1798" t="str">
            <v>2018-11-13</v>
          </cell>
          <cell r="C1798" t="str">
            <v>키즈락</v>
          </cell>
          <cell r="D1798">
            <v>0</v>
          </cell>
          <cell r="E1798" t="str">
            <v>일반</v>
          </cell>
          <cell r="F1798" t="str">
            <v>입고완료</v>
          </cell>
          <cell r="G1798">
            <v>319046</v>
          </cell>
          <cell r="H1798" t="str">
            <v>주일 구운파래김(100매 150g/EA)</v>
          </cell>
          <cell r="I1798" t="str">
            <v>EA</v>
          </cell>
          <cell r="J1798">
            <v>1</v>
          </cell>
          <cell r="K1798">
            <v>1</v>
          </cell>
          <cell r="L1798">
            <v>8050</v>
          </cell>
          <cell r="M1798">
            <v>8050</v>
          </cell>
          <cell r="N1798">
            <v>0</v>
          </cell>
          <cell r="O1798">
            <v>8050</v>
          </cell>
          <cell r="P1798">
            <v>0</v>
          </cell>
          <cell r="Q1798" t="str">
            <v>한국</v>
          </cell>
          <cell r="R1798" t="str">
            <v>실온</v>
          </cell>
          <cell r="S1798" t="str">
            <v>EA(1)</v>
          </cell>
          <cell r="T1798" t="str">
            <v/>
          </cell>
          <cell r="U1798" t="str">
            <v/>
          </cell>
          <cell r="V1798" t="str">
            <v>2018-11-12</v>
          </cell>
          <cell r="W1798" t="str">
            <v>2018-11-12 13:37:55</v>
          </cell>
          <cell r="X1798" t="str">
            <v>178921000</v>
          </cell>
        </row>
        <row r="1799">
          <cell r="A1799">
            <v>1795</v>
          </cell>
          <cell r="B1799" t="str">
            <v>2018-11-13</v>
          </cell>
          <cell r="C1799" t="str">
            <v>키즈락</v>
          </cell>
          <cell r="D1799">
            <v>0</v>
          </cell>
          <cell r="E1799" t="str">
            <v>일반</v>
          </cell>
          <cell r="F1799" t="str">
            <v>입고완료</v>
          </cell>
          <cell r="G1799">
            <v>195425</v>
          </cell>
          <cell r="H1799" t="str">
            <v>세미원푸드 고구마야채튀김(55±5g*50±5개입 3Kg/EA)</v>
          </cell>
          <cell r="I1799" t="str">
            <v>EA</v>
          </cell>
          <cell r="J1799">
            <v>2</v>
          </cell>
          <cell r="K1799">
            <v>2</v>
          </cell>
          <cell r="L1799">
            <v>17400</v>
          </cell>
          <cell r="M1799">
            <v>34800</v>
          </cell>
          <cell r="N1799">
            <v>3480</v>
          </cell>
          <cell r="O1799">
            <v>38280</v>
          </cell>
          <cell r="P1799">
            <v>0</v>
          </cell>
          <cell r="Q1799" t="str">
            <v>한국</v>
          </cell>
          <cell r="R1799" t="str">
            <v>냉동</v>
          </cell>
          <cell r="S1799" t="str">
            <v>EA(1)</v>
          </cell>
          <cell r="T1799" t="str">
            <v/>
          </cell>
          <cell r="U1799" t="str">
            <v/>
          </cell>
          <cell r="V1799" t="str">
            <v>2018-11-12</v>
          </cell>
          <cell r="W1799" t="str">
            <v>2018-11-12 13:39:33</v>
          </cell>
          <cell r="X1799" t="str">
            <v>178921000</v>
          </cell>
        </row>
        <row r="1800">
          <cell r="A1800">
            <v>1796</v>
          </cell>
          <cell r="B1800" t="str">
            <v>2018-11-13</v>
          </cell>
          <cell r="C1800" t="str">
            <v>키즈락</v>
          </cell>
          <cell r="D1800">
            <v>0</v>
          </cell>
          <cell r="E1800" t="str">
            <v>일반</v>
          </cell>
          <cell r="F1800" t="str">
            <v>입고완료</v>
          </cell>
          <cell r="G1800">
            <v>130452</v>
          </cell>
          <cell r="H1800" t="str">
            <v>사조오양 스모크햄(즉석 1Kg/EA)</v>
          </cell>
          <cell r="I1800" t="str">
            <v>EA</v>
          </cell>
          <cell r="J1800">
            <v>1</v>
          </cell>
          <cell r="K1800">
            <v>1</v>
          </cell>
          <cell r="L1800">
            <v>3650</v>
          </cell>
          <cell r="M1800">
            <v>3650</v>
          </cell>
          <cell r="N1800">
            <v>365</v>
          </cell>
          <cell r="O1800">
            <v>4015</v>
          </cell>
          <cell r="P1800">
            <v>0</v>
          </cell>
          <cell r="Q1800" t="str">
            <v/>
          </cell>
          <cell r="R1800" t="str">
            <v>냉장</v>
          </cell>
          <cell r="S1800" t="str">
            <v>EA(10)</v>
          </cell>
          <cell r="T1800" t="str">
            <v/>
          </cell>
          <cell r="U1800" t="str">
            <v/>
          </cell>
          <cell r="V1800" t="str">
            <v>2018-11-12</v>
          </cell>
          <cell r="W1800" t="str">
            <v>2018-11-12 13:42:49</v>
          </cell>
          <cell r="X1800" t="str">
            <v>178921000</v>
          </cell>
        </row>
        <row r="1801">
          <cell r="A1801">
            <v>1797</v>
          </cell>
          <cell r="B1801" t="str">
            <v>2018-11-13</v>
          </cell>
          <cell r="C1801" t="str">
            <v>키즈락</v>
          </cell>
          <cell r="D1801">
            <v>0</v>
          </cell>
          <cell r="E1801" t="str">
            <v>일반</v>
          </cell>
          <cell r="F1801" t="str">
            <v>입고완료</v>
          </cell>
          <cell r="G1801">
            <v>201013</v>
          </cell>
          <cell r="H1801" t="str">
            <v>깻잎순(상품 KG)</v>
          </cell>
          <cell r="I1801" t="str">
            <v>KG</v>
          </cell>
          <cell r="J1801">
            <v>3</v>
          </cell>
          <cell r="K1801">
            <v>3</v>
          </cell>
          <cell r="L1801">
            <v>7170</v>
          </cell>
          <cell r="M1801">
            <v>21510</v>
          </cell>
          <cell r="N1801">
            <v>0</v>
          </cell>
          <cell r="O1801">
            <v>21510</v>
          </cell>
          <cell r="P1801">
            <v>0</v>
          </cell>
          <cell r="Q1801" t="str">
            <v>한국</v>
          </cell>
          <cell r="R1801" t="str">
            <v>냉장</v>
          </cell>
          <cell r="S1801" t="str">
            <v>KG(1)</v>
          </cell>
          <cell r="T1801" t="str">
            <v/>
          </cell>
          <cell r="U1801" t="str">
            <v/>
          </cell>
          <cell r="V1801" t="str">
            <v>2018-11-12</v>
          </cell>
          <cell r="W1801" t="str">
            <v>2018-11-12 13:47:05</v>
          </cell>
          <cell r="X1801" t="str">
            <v>178921000</v>
          </cell>
        </row>
        <row r="1802">
          <cell r="A1802">
            <v>1798</v>
          </cell>
          <cell r="B1802" t="str">
            <v>2018-11-13</v>
          </cell>
          <cell r="C1802" t="str">
            <v>키즈락</v>
          </cell>
          <cell r="D1802">
            <v>0</v>
          </cell>
          <cell r="E1802" t="str">
            <v>일반</v>
          </cell>
          <cell r="F1802" t="str">
            <v>입고완료</v>
          </cell>
          <cell r="G1802">
            <v>168258</v>
          </cell>
          <cell r="H1802" t="str">
            <v>명품 판두부(부침용 3Kg/EA)</v>
          </cell>
          <cell r="I1802" t="str">
            <v>EA</v>
          </cell>
          <cell r="J1802">
            <v>12</v>
          </cell>
          <cell r="K1802">
            <v>12</v>
          </cell>
          <cell r="L1802">
            <v>4000</v>
          </cell>
          <cell r="M1802">
            <v>48000</v>
          </cell>
          <cell r="N1802">
            <v>0</v>
          </cell>
          <cell r="O1802">
            <v>48000</v>
          </cell>
          <cell r="P1802">
            <v>0</v>
          </cell>
          <cell r="Q1802" t="str">
            <v>수입산</v>
          </cell>
          <cell r="R1802" t="str">
            <v>냉장</v>
          </cell>
          <cell r="S1802" t="str">
            <v>EA(1)</v>
          </cell>
          <cell r="T1802" t="str">
            <v/>
          </cell>
          <cell r="U1802" t="str">
            <v/>
          </cell>
          <cell r="V1802" t="str">
            <v>2018-11-12</v>
          </cell>
          <cell r="W1802" t="str">
            <v>2018-11-12 13:51:53</v>
          </cell>
          <cell r="X1802" t="str">
            <v>178921000</v>
          </cell>
        </row>
        <row r="1803">
          <cell r="A1803">
            <v>1799</v>
          </cell>
          <cell r="B1803" t="str">
            <v>2018-11-13</v>
          </cell>
          <cell r="C1803" t="str">
            <v>키즈락</v>
          </cell>
          <cell r="D1803">
            <v>0</v>
          </cell>
          <cell r="E1803" t="str">
            <v>일반</v>
          </cell>
          <cell r="F1803" t="str">
            <v>입고완료</v>
          </cell>
          <cell r="G1803">
            <v>420010</v>
          </cell>
          <cell r="H1803" t="str">
            <v>알로팜 계란(왕란_무항생제_68g*30입 2.04Kg/EA)</v>
          </cell>
          <cell r="I1803" t="str">
            <v>EA</v>
          </cell>
          <cell r="J1803">
            <v>5</v>
          </cell>
          <cell r="K1803">
            <v>5</v>
          </cell>
          <cell r="L1803">
            <v>5130</v>
          </cell>
          <cell r="M1803">
            <v>25650</v>
          </cell>
          <cell r="N1803">
            <v>0</v>
          </cell>
          <cell r="O1803">
            <v>25650</v>
          </cell>
          <cell r="P1803">
            <v>25650</v>
          </cell>
          <cell r="Q1803" t="str">
            <v>한국</v>
          </cell>
          <cell r="R1803" t="str">
            <v>냉장</v>
          </cell>
          <cell r="S1803" t="str">
            <v>EA(1)</v>
          </cell>
          <cell r="T1803" t="str">
            <v/>
          </cell>
          <cell r="U1803" t="str">
            <v/>
          </cell>
          <cell r="V1803" t="str">
            <v>2018-11-12</v>
          </cell>
          <cell r="W1803" t="str">
            <v>2018-11-12 13:53:09</v>
          </cell>
          <cell r="X1803" t="str">
            <v>178921000</v>
          </cell>
        </row>
        <row r="1804">
          <cell r="A1804">
            <v>1800</v>
          </cell>
          <cell r="B1804" t="str">
            <v>2018-11-13</v>
          </cell>
          <cell r="C1804" t="str">
            <v>키즈락</v>
          </cell>
          <cell r="D1804">
            <v>0</v>
          </cell>
          <cell r="E1804" t="str">
            <v>일반</v>
          </cell>
          <cell r="F1804" t="str">
            <v>입고완료</v>
          </cell>
          <cell r="G1804">
            <v>114835</v>
          </cell>
          <cell r="H1804" t="str">
            <v>오뚜기 짜장분말(1Kg/EA)</v>
          </cell>
          <cell r="I1804" t="str">
            <v>EA</v>
          </cell>
          <cell r="J1804">
            <v>12</v>
          </cell>
          <cell r="K1804">
            <v>12</v>
          </cell>
          <cell r="L1804">
            <v>6430</v>
          </cell>
          <cell r="M1804">
            <v>77160</v>
          </cell>
          <cell r="N1804">
            <v>7716</v>
          </cell>
          <cell r="O1804">
            <v>84876</v>
          </cell>
          <cell r="P1804">
            <v>0</v>
          </cell>
          <cell r="Q1804" t="str">
            <v/>
          </cell>
          <cell r="R1804" t="str">
            <v>실온</v>
          </cell>
          <cell r="S1804" t="str">
            <v>EA(10)</v>
          </cell>
          <cell r="T1804" t="str">
            <v/>
          </cell>
          <cell r="U1804" t="str">
            <v/>
          </cell>
          <cell r="V1804" t="str">
            <v>2018-11-12</v>
          </cell>
          <cell r="W1804" t="str">
            <v>2018-11-12 14:24:01</v>
          </cell>
          <cell r="X1804" t="str">
            <v>178921000</v>
          </cell>
        </row>
        <row r="1805">
          <cell r="A1805">
            <v>1801</v>
          </cell>
          <cell r="B1805" t="str">
            <v>2018-11-13</v>
          </cell>
          <cell r="C1805" t="str">
            <v>키즈락</v>
          </cell>
          <cell r="D1805">
            <v>0</v>
          </cell>
          <cell r="E1805" t="str">
            <v>일반</v>
          </cell>
          <cell r="F1805" t="str">
            <v>입고완료</v>
          </cell>
          <cell r="G1805">
            <v>228830</v>
          </cell>
          <cell r="H1805" t="str">
            <v>고등어(내장미제거_70~90g/토막 조림용 KG)</v>
          </cell>
          <cell r="I1805" t="str">
            <v>KG</v>
          </cell>
          <cell r="J1805">
            <v>3</v>
          </cell>
          <cell r="K1805">
            <v>3</v>
          </cell>
          <cell r="L1805">
            <v>3200</v>
          </cell>
          <cell r="M1805">
            <v>9600</v>
          </cell>
          <cell r="N1805">
            <v>0</v>
          </cell>
          <cell r="O1805">
            <v>9600</v>
          </cell>
          <cell r="P1805">
            <v>0</v>
          </cell>
          <cell r="Q1805" t="str">
            <v>한국</v>
          </cell>
          <cell r="R1805" t="str">
            <v>냉동</v>
          </cell>
          <cell r="S1805" t="str">
            <v>KG(1)</v>
          </cell>
          <cell r="T1805" t="str">
            <v/>
          </cell>
          <cell r="U1805" t="str">
            <v/>
          </cell>
          <cell r="V1805" t="str">
            <v>2018-11-12</v>
          </cell>
          <cell r="W1805" t="str">
            <v>2018-11-12 14:27:11</v>
          </cell>
          <cell r="X1805" t="str">
            <v>178921000</v>
          </cell>
        </row>
        <row r="1806">
          <cell r="A1806">
            <v>1802</v>
          </cell>
          <cell r="B1806" t="str">
            <v>2018-11-13</v>
          </cell>
          <cell r="C1806" t="str">
            <v>키즈락</v>
          </cell>
          <cell r="D1806">
            <v>0</v>
          </cell>
          <cell r="E1806" t="str">
            <v>일반</v>
          </cell>
          <cell r="F1806" t="str">
            <v>입고완료</v>
          </cell>
          <cell r="G1806">
            <v>401420</v>
          </cell>
          <cell r="H1806" t="str">
            <v>소앞다리(5*0.5*0.5cm 잡채용 KG)</v>
          </cell>
          <cell r="I1806" t="str">
            <v>KG</v>
          </cell>
          <cell r="J1806">
            <v>2</v>
          </cell>
          <cell r="K1806">
            <v>2</v>
          </cell>
          <cell r="L1806">
            <v>9870</v>
          </cell>
          <cell r="M1806">
            <v>19740</v>
          </cell>
          <cell r="N1806">
            <v>0</v>
          </cell>
          <cell r="O1806">
            <v>19740</v>
          </cell>
          <cell r="P1806">
            <v>0</v>
          </cell>
          <cell r="Q1806" t="str">
            <v>호주</v>
          </cell>
          <cell r="R1806" t="str">
            <v>냉동</v>
          </cell>
          <cell r="S1806" t="str">
            <v>KG(1)</v>
          </cell>
          <cell r="T1806" t="str">
            <v>886301023607</v>
          </cell>
          <cell r="U1806" t="str">
            <v/>
          </cell>
          <cell r="V1806" t="str">
            <v>2018-11-12</v>
          </cell>
          <cell r="W1806" t="str">
            <v>2018-11-12 14:52:49</v>
          </cell>
          <cell r="X1806" t="str">
            <v>178921000</v>
          </cell>
        </row>
        <row r="1807">
          <cell r="A1807">
            <v>1803</v>
          </cell>
          <cell r="B1807" t="str">
            <v>2018-11-13</v>
          </cell>
          <cell r="C1807" t="str">
            <v>키즈락</v>
          </cell>
          <cell r="D1807">
            <v>0</v>
          </cell>
          <cell r="E1807" t="str">
            <v>일반</v>
          </cell>
          <cell r="F1807" t="str">
            <v>입고완료</v>
          </cell>
          <cell r="G1807">
            <v>200685</v>
          </cell>
          <cell r="H1807" t="str">
            <v>청피망(상품 KG)</v>
          </cell>
          <cell r="I1807" t="str">
            <v>KG</v>
          </cell>
          <cell r="J1807">
            <v>1</v>
          </cell>
          <cell r="K1807">
            <v>1</v>
          </cell>
          <cell r="L1807">
            <v>4040</v>
          </cell>
          <cell r="M1807">
            <v>4040</v>
          </cell>
          <cell r="N1807">
            <v>0</v>
          </cell>
          <cell r="O1807">
            <v>4040</v>
          </cell>
          <cell r="P1807">
            <v>0</v>
          </cell>
          <cell r="Q1807" t="str">
            <v>한국</v>
          </cell>
          <cell r="R1807" t="str">
            <v>냉장</v>
          </cell>
          <cell r="S1807" t="str">
            <v>KG(1)</v>
          </cell>
          <cell r="T1807" t="str">
            <v/>
          </cell>
          <cell r="U1807" t="str">
            <v/>
          </cell>
          <cell r="V1807" t="str">
            <v>2018-11-12</v>
          </cell>
          <cell r="W1807" t="str">
            <v>2018-11-12 15:00:31</v>
          </cell>
          <cell r="X1807" t="str">
            <v>178921000</v>
          </cell>
        </row>
        <row r="1808">
          <cell r="A1808">
            <v>1804</v>
          </cell>
          <cell r="B1808" t="str">
            <v>2018-11-13</v>
          </cell>
          <cell r="C1808" t="str">
            <v>키즈락</v>
          </cell>
          <cell r="D1808">
            <v>0</v>
          </cell>
          <cell r="E1808" t="str">
            <v>일반</v>
          </cell>
          <cell r="F1808" t="str">
            <v>입고완료</v>
          </cell>
          <cell r="G1808">
            <v>201001</v>
          </cell>
          <cell r="H1808" t="str">
            <v>빨강파프리카(상품 KG)</v>
          </cell>
          <cell r="I1808" t="str">
            <v>KG</v>
          </cell>
          <cell r="J1808">
            <v>1</v>
          </cell>
          <cell r="K1808">
            <v>1</v>
          </cell>
          <cell r="L1808">
            <v>9130</v>
          </cell>
          <cell r="M1808">
            <v>9130</v>
          </cell>
          <cell r="N1808">
            <v>0</v>
          </cell>
          <cell r="O1808">
            <v>9130</v>
          </cell>
          <cell r="P1808">
            <v>0</v>
          </cell>
          <cell r="Q1808" t="str">
            <v>한국</v>
          </cell>
          <cell r="R1808" t="str">
            <v>냉장</v>
          </cell>
          <cell r="S1808" t="str">
            <v>KG(1)</v>
          </cell>
          <cell r="T1808" t="str">
            <v/>
          </cell>
          <cell r="U1808" t="str">
            <v/>
          </cell>
          <cell r="V1808" t="str">
            <v>2018-11-12</v>
          </cell>
          <cell r="W1808" t="str">
            <v>2018-11-12 15:00:31</v>
          </cell>
          <cell r="X1808" t="str">
            <v>178921000</v>
          </cell>
        </row>
        <row r="1809">
          <cell r="A1809">
            <v>1805</v>
          </cell>
          <cell r="B1809" t="str">
            <v>2018-11-13</v>
          </cell>
          <cell r="C1809" t="str">
            <v>키즈락</v>
          </cell>
          <cell r="D1809">
            <v>0</v>
          </cell>
          <cell r="E1809" t="str">
            <v>일반</v>
          </cell>
          <cell r="F1809" t="str">
            <v>입고완료</v>
          </cell>
          <cell r="G1809">
            <v>138570</v>
          </cell>
          <cell r="H1809" t="str">
            <v>면사랑 멸치육수(1.8L_보급형 1.8Kg/EA)</v>
          </cell>
          <cell r="I1809" t="str">
            <v>EA</v>
          </cell>
          <cell r="J1809">
            <v>12</v>
          </cell>
          <cell r="K1809">
            <v>12</v>
          </cell>
          <cell r="L1809">
            <v>5560</v>
          </cell>
          <cell r="M1809">
            <v>66720</v>
          </cell>
          <cell r="N1809">
            <v>6672</v>
          </cell>
          <cell r="O1809">
            <v>73392</v>
          </cell>
          <cell r="P1809">
            <v>0</v>
          </cell>
          <cell r="Q1809" t="str">
            <v/>
          </cell>
          <cell r="R1809" t="str">
            <v>실온</v>
          </cell>
          <cell r="S1809" t="str">
            <v>EA(6)</v>
          </cell>
          <cell r="T1809" t="str">
            <v/>
          </cell>
          <cell r="U1809" t="str">
            <v/>
          </cell>
          <cell r="V1809" t="str">
            <v>2018-11-12</v>
          </cell>
          <cell r="W1809" t="str">
            <v>2018-11-12 15:05:46</v>
          </cell>
          <cell r="X1809" t="str">
            <v>178921000</v>
          </cell>
        </row>
        <row r="1810">
          <cell r="A1810">
            <v>1806</v>
          </cell>
          <cell r="B1810" t="str">
            <v>2018-11-13</v>
          </cell>
          <cell r="C1810" t="str">
            <v>키즈락</v>
          </cell>
          <cell r="D1810">
            <v>0</v>
          </cell>
          <cell r="E1810" t="str">
            <v>일반</v>
          </cell>
          <cell r="F1810" t="str">
            <v>입고완료</v>
          </cell>
          <cell r="G1810">
            <v>123913</v>
          </cell>
          <cell r="H1810" t="str">
            <v>쉐프솔루션 타르타르드레싱(2Kg/EA)</v>
          </cell>
          <cell r="I1810" t="str">
            <v>EA</v>
          </cell>
          <cell r="J1810">
            <v>4</v>
          </cell>
          <cell r="K1810">
            <v>4</v>
          </cell>
          <cell r="L1810">
            <v>5460</v>
          </cell>
          <cell r="M1810">
            <v>21840</v>
          </cell>
          <cell r="N1810">
            <v>2184</v>
          </cell>
          <cell r="O1810">
            <v>24024</v>
          </cell>
          <cell r="P1810">
            <v>0</v>
          </cell>
          <cell r="Q1810" t="str">
            <v/>
          </cell>
          <cell r="R1810" t="str">
            <v>냉장</v>
          </cell>
          <cell r="S1810" t="str">
            <v>EA(6)</v>
          </cell>
          <cell r="T1810" t="str">
            <v/>
          </cell>
          <cell r="U1810" t="str">
            <v/>
          </cell>
          <cell r="V1810" t="str">
            <v>2018-11-12</v>
          </cell>
          <cell r="W1810" t="str">
            <v>2018-11-12 15:06:53</v>
          </cell>
          <cell r="X1810" t="str">
            <v>178921000</v>
          </cell>
        </row>
        <row r="1811">
          <cell r="A1811">
            <v>1807</v>
          </cell>
          <cell r="B1811" t="str">
            <v>2018-11-13</v>
          </cell>
          <cell r="C1811" t="str">
            <v>키즈락</v>
          </cell>
          <cell r="D1811">
            <v>0</v>
          </cell>
          <cell r="E1811" t="str">
            <v>일반</v>
          </cell>
          <cell r="F1811" t="str">
            <v>입고완료</v>
          </cell>
          <cell r="G1811">
            <v>108210</v>
          </cell>
          <cell r="H1811" t="str">
            <v>이츠웰 파인애플캔(프리미엄 청크 3.062Kg/EA)</v>
          </cell>
          <cell r="I1811" t="str">
            <v>EA</v>
          </cell>
          <cell r="J1811">
            <v>6</v>
          </cell>
          <cell r="K1811">
            <v>6</v>
          </cell>
          <cell r="L1811">
            <v>8140</v>
          </cell>
          <cell r="M1811">
            <v>48840</v>
          </cell>
          <cell r="N1811">
            <v>4884</v>
          </cell>
          <cell r="O1811">
            <v>53724</v>
          </cell>
          <cell r="P1811">
            <v>0</v>
          </cell>
          <cell r="Q1811" t="str">
            <v>필리핀</v>
          </cell>
          <cell r="R1811" t="str">
            <v>실온</v>
          </cell>
          <cell r="S1811" t="str">
            <v>EA(6)</v>
          </cell>
          <cell r="T1811" t="str">
            <v/>
          </cell>
          <cell r="U1811" t="str">
            <v/>
          </cell>
          <cell r="V1811" t="str">
            <v>2018-11-12</v>
          </cell>
          <cell r="W1811" t="str">
            <v>2018-11-12 15:07:25</v>
          </cell>
          <cell r="X1811" t="str">
            <v>178921000</v>
          </cell>
        </row>
        <row r="1812">
          <cell r="A1812">
            <v>1808</v>
          </cell>
          <cell r="B1812" t="str">
            <v>2018-11-13</v>
          </cell>
          <cell r="C1812" t="str">
            <v>키즈락</v>
          </cell>
          <cell r="D1812">
            <v>0</v>
          </cell>
          <cell r="E1812" t="str">
            <v>일반</v>
          </cell>
          <cell r="F1812" t="str">
            <v>입고완료</v>
          </cell>
          <cell r="G1812">
            <v>314295</v>
          </cell>
          <cell r="H1812" t="str">
            <v>디포리(밴댕이 1.5Kg/BOX)</v>
          </cell>
          <cell r="I1812" t="str">
            <v>BOX</v>
          </cell>
          <cell r="J1812">
            <v>3</v>
          </cell>
          <cell r="K1812">
            <v>3</v>
          </cell>
          <cell r="L1812">
            <v>10930</v>
          </cell>
          <cell r="M1812">
            <v>32790</v>
          </cell>
          <cell r="N1812">
            <v>0</v>
          </cell>
          <cell r="O1812">
            <v>32790</v>
          </cell>
          <cell r="P1812">
            <v>0</v>
          </cell>
          <cell r="Q1812" t="str">
            <v>베트남</v>
          </cell>
          <cell r="R1812" t="str">
            <v>냉동</v>
          </cell>
          <cell r="S1812" t="str">
            <v>BOX(1)</v>
          </cell>
          <cell r="T1812" t="str">
            <v/>
          </cell>
          <cell r="U1812" t="str">
            <v/>
          </cell>
          <cell r="V1812" t="str">
            <v>2018-11-12</v>
          </cell>
          <cell r="W1812" t="str">
            <v>2018-11-12 15:09:05</v>
          </cell>
          <cell r="X1812" t="str">
            <v>178921000</v>
          </cell>
        </row>
        <row r="1813">
          <cell r="A1813">
            <v>1809</v>
          </cell>
          <cell r="B1813" t="str">
            <v>2018-11-13</v>
          </cell>
          <cell r="C1813" t="str">
            <v>키즈락</v>
          </cell>
          <cell r="D1813">
            <v>0</v>
          </cell>
          <cell r="E1813" t="str">
            <v>일반</v>
          </cell>
          <cell r="F1813" t="str">
            <v>입고완료</v>
          </cell>
          <cell r="G1813">
            <v>105943</v>
          </cell>
          <cell r="H1813" t="str">
            <v>대상 재래된장(지함_재래식숙성 14Kg/EA)</v>
          </cell>
          <cell r="I1813" t="str">
            <v>EA</v>
          </cell>
          <cell r="J1813">
            <v>1</v>
          </cell>
          <cell r="K1813">
            <v>1</v>
          </cell>
          <cell r="L1813">
            <v>25020</v>
          </cell>
          <cell r="M1813">
            <v>25020</v>
          </cell>
          <cell r="N1813">
            <v>2502</v>
          </cell>
          <cell r="O1813">
            <v>27522</v>
          </cell>
          <cell r="P1813">
            <v>0</v>
          </cell>
          <cell r="Q1813" t="str">
            <v/>
          </cell>
          <cell r="R1813" t="str">
            <v>실온</v>
          </cell>
          <cell r="S1813" t="str">
            <v>EA(1)</v>
          </cell>
          <cell r="T1813" t="str">
            <v/>
          </cell>
          <cell r="U1813" t="str">
            <v/>
          </cell>
          <cell r="V1813" t="str">
            <v>2018-11-12</v>
          </cell>
          <cell r="W1813" t="str">
            <v>2018-11-12 15:09:29</v>
          </cell>
          <cell r="X1813" t="str">
            <v>178921000</v>
          </cell>
        </row>
        <row r="1814">
          <cell r="A1814">
            <v>1810</v>
          </cell>
          <cell r="B1814" t="str">
            <v>2018-11-13</v>
          </cell>
          <cell r="C1814" t="str">
            <v>키즈락</v>
          </cell>
          <cell r="D1814">
            <v>0</v>
          </cell>
          <cell r="E1814" t="str">
            <v>일반</v>
          </cell>
          <cell r="F1814" t="str">
            <v>입고완료</v>
          </cell>
          <cell r="G1814">
            <v>105902</v>
          </cell>
          <cell r="H1814" t="str">
            <v>아와세 아까미소(일식용 1Kg/EA)</v>
          </cell>
          <cell r="I1814" t="str">
            <v>EA</v>
          </cell>
          <cell r="J1814">
            <v>10</v>
          </cell>
          <cell r="K1814">
            <v>10</v>
          </cell>
          <cell r="L1814">
            <v>4070</v>
          </cell>
          <cell r="M1814">
            <v>40700</v>
          </cell>
          <cell r="N1814">
            <v>4070</v>
          </cell>
          <cell r="O1814">
            <v>44770</v>
          </cell>
          <cell r="P1814">
            <v>0</v>
          </cell>
          <cell r="Q1814" t="str">
            <v>일본</v>
          </cell>
          <cell r="R1814" t="str">
            <v>실온</v>
          </cell>
          <cell r="S1814" t="str">
            <v>EA(10)</v>
          </cell>
          <cell r="T1814" t="str">
            <v/>
          </cell>
          <cell r="U1814" t="str">
            <v/>
          </cell>
          <cell r="V1814" t="str">
            <v>2018-11-12</v>
          </cell>
          <cell r="W1814" t="str">
            <v>2018-11-12 15:09:58</v>
          </cell>
          <cell r="X1814" t="str">
            <v>178921000</v>
          </cell>
        </row>
        <row r="1815">
          <cell r="A1815">
            <v>1811</v>
          </cell>
          <cell r="B1815" t="str">
            <v>2018-11-13</v>
          </cell>
          <cell r="C1815" t="str">
            <v>키즈락</v>
          </cell>
          <cell r="D1815">
            <v>0</v>
          </cell>
          <cell r="E1815" t="str">
            <v>일반</v>
          </cell>
          <cell r="F1815" t="str">
            <v>입고완료</v>
          </cell>
          <cell r="G1815">
            <v>106127</v>
          </cell>
          <cell r="H1815" t="str">
            <v>신송식품 춘장(지함 14Kg/EA)</v>
          </cell>
          <cell r="I1815" t="str">
            <v>EA</v>
          </cell>
          <cell r="J1815">
            <v>1</v>
          </cell>
          <cell r="K1815">
            <v>1</v>
          </cell>
          <cell r="L1815">
            <v>15990</v>
          </cell>
          <cell r="M1815">
            <v>15990</v>
          </cell>
          <cell r="N1815">
            <v>1599</v>
          </cell>
          <cell r="O1815">
            <v>17589</v>
          </cell>
          <cell r="P1815">
            <v>0</v>
          </cell>
          <cell r="Q1815" t="str">
            <v/>
          </cell>
          <cell r="R1815" t="str">
            <v>실온</v>
          </cell>
          <cell r="S1815" t="str">
            <v>EA(1)</v>
          </cell>
          <cell r="T1815" t="str">
            <v/>
          </cell>
          <cell r="U1815" t="str">
            <v/>
          </cell>
          <cell r="V1815" t="str">
            <v>2018-11-12</v>
          </cell>
          <cell r="W1815" t="str">
            <v>2018-11-12 15:10:17</v>
          </cell>
          <cell r="X1815" t="str">
            <v>178921000</v>
          </cell>
        </row>
        <row r="1816">
          <cell r="A1816">
            <v>1812</v>
          </cell>
          <cell r="B1816" t="str">
            <v>2018-11-13</v>
          </cell>
          <cell r="C1816" t="str">
            <v>키즈락</v>
          </cell>
          <cell r="D1816">
            <v>0</v>
          </cell>
          <cell r="E1816" t="str">
            <v>일반</v>
          </cell>
          <cell r="F1816" t="str">
            <v>입고완료</v>
          </cell>
          <cell r="G1816">
            <v>140438</v>
          </cell>
          <cell r="H1816" t="str">
            <v>이츠웰 이온물엿(NEW 10Kg/EA)</v>
          </cell>
          <cell r="I1816" t="str">
            <v>EA</v>
          </cell>
          <cell r="J1816">
            <v>1</v>
          </cell>
          <cell r="K1816">
            <v>1</v>
          </cell>
          <cell r="L1816">
            <v>8890</v>
          </cell>
          <cell r="M1816">
            <v>8890</v>
          </cell>
          <cell r="N1816">
            <v>889</v>
          </cell>
          <cell r="O1816">
            <v>9779</v>
          </cell>
          <cell r="P1816">
            <v>0</v>
          </cell>
          <cell r="Q1816" t="str">
            <v/>
          </cell>
          <cell r="R1816" t="str">
            <v>실온</v>
          </cell>
          <cell r="S1816" t="str">
            <v>EA(2)</v>
          </cell>
          <cell r="T1816" t="str">
            <v/>
          </cell>
          <cell r="U1816" t="str">
            <v/>
          </cell>
          <cell r="V1816" t="str">
            <v>2018-11-12</v>
          </cell>
          <cell r="W1816" t="str">
            <v>2018-11-12 15:11:18</v>
          </cell>
          <cell r="X1816" t="str">
            <v>178921000</v>
          </cell>
        </row>
        <row r="1817">
          <cell r="A1817">
            <v>1813</v>
          </cell>
          <cell r="B1817" t="str">
            <v>2018-11-13</v>
          </cell>
          <cell r="C1817" t="str">
            <v>키즈락</v>
          </cell>
          <cell r="D1817">
            <v>0</v>
          </cell>
          <cell r="E1817" t="str">
            <v>일반</v>
          </cell>
          <cell r="F1817" t="str">
            <v>입고완료</v>
          </cell>
          <cell r="G1817">
            <v>126873</v>
          </cell>
          <cell r="H1817" t="str">
            <v>해찬들 사계절쌈장(6.5Kg/EA)</v>
          </cell>
          <cell r="I1817" t="str">
            <v>EA</v>
          </cell>
          <cell r="J1817">
            <v>1</v>
          </cell>
          <cell r="K1817">
            <v>1</v>
          </cell>
          <cell r="L1817">
            <v>13130</v>
          </cell>
          <cell r="M1817">
            <v>13130</v>
          </cell>
          <cell r="N1817">
            <v>1313</v>
          </cell>
          <cell r="O1817">
            <v>14443</v>
          </cell>
          <cell r="P1817">
            <v>0</v>
          </cell>
          <cell r="Q1817" t="str">
            <v/>
          </cell>
          <cell r="R1817" t="str">
            <v>실온</v>
          </cell>
          <cell r="S1817" t="str">
            <v>EA(2)</v>
          </cell>
          <cell r="T1817" t="str">
            <v/>
          </cell>
          <cell r="U1817" t="str">
            <v/>
          </cell>
          <cell r="V1817" t="str">
            <v>2018-11-12</v>
          </cell>
          <cell r="W1817" t="str">
            <v>2018-11-12 15:12:56</v>
          </cell>
          <cell r="X1817" t="str">
            <v>178921000</v>
          </cell>
        </row>
        <row r="1818">
          <cell r="A1818">
            <v>1814</v>
          </cell>
          <cell r="B1818" t="str">
            <v>2018-11-13</v>
          </cell>
          <cell r="C1818" t="str">
            <v>키즈락</v>
          </cell>
          <cell r="D1818">
            <v>0</v>
          </cell>
          <cell r="E1818" t="str">
            <v>일반</v>
          </cell>
          <cell r="F1818" t="str">
            <v>입고완료</v>
          </cell>
          <cell r="G1818">
            <v>118708</v>
          </cell>
          <cell r="H1818" t="str">
            <v>한라 참치액(900ml 900g/EA)</v>
          </cell>
          <cell r="I1818" t="str">
            <v>EA</v>
          </cell>
          <cell r="J1818">
            <v>2</v>
          </cell>
          <cell r="K1818">
            <v>2</v>
          </cell>
          <cell r="L1818">
            <v>12580</v>
          </cell>
          <cell r="M1818">
            <v>25160</v>
          </cell>
          <cell r="N1818">
            <v>2516</v>
          </cell>
          <cell r="O1818">
            <v>27676</v>
          </cell>
          <cell r="P1818">
            <v>0</v>
          </cell>
          <cell r="Q1818" t="str">
            <v/>
          </cell>
          <cell r="R1818" t="str">
            <v>실온</v>
          </cell>
          <cell r="S1818" t="str">
            <v>EA(20)</v>
          </cell>
          <cell r="T1818" t="str">
            <v/>
          </cell>
          <cell r="U1818" t="str">
            <v/>
          </cell>
          <cell r="V1818" t="str">
            <v>2018-11-12</v>
          </cell>
          <cell r="W1818" t="str">
            <v>2018-11-12 15:17:51</v>
          </cell>
          <cell r="X1818" t="str">
            <v>178921000</v>
          </cell>
        </row>
        <row r="1819">
          <cell r="A1819">
            <v>1815</v>
          </cell>
          <cell r="B1819" t="str">
            <v>2018-11-13</v>
          </cell>
          <cell r="C1819" t="str">
            <v>키즈락</v>
          </cell>
          <cell r="D1819">
            <v>0</v>
          </cell>
          <cell r="E1819" t="str">
            <v>일반</v>
          </cell>
          <cell r="F1819" t="str">
            <v>입고완료</v>
          </cell>
          <cell r="G1819">
            <v>313570</v>
          </cell>
          <cell r="H1819" t="str">
            <v>프레시웨이 북어채(1Kg/EA)</v>
          </cell>
          <cell r="I1819" t="str">
            <v>EA</v>
          </cell>
          <cell r="J1819">
            <v>2</v>
          </cell>
          <cell r="K1819">
            <v>2</v>
          </cell>
          <cell r="L1819">
            <v>23460</v>
          </cell>
          <cell r="M1819">
            <v>46920</v>
          </cell>
          <cell r="N1819">
            <v>0</v>
          </cell>
          <cell r="O1819">
            <v>46920</v>
          </cell>
          <cell r="P1819">
            <v>0</v>
          </cell>
          <cell r="Q1819" t="str">
            <v>러시아</v>
          </cell>
          <cell r="R1819" t="str">
            <v>냉장</v>
          </cell>
          <cell r="S1819" t="str">
            <v>EA(8)</v>
          </cell>
          <cell r="T1819" t="str">
            <v/>
          </cell>
          <cell r="U1819" t="str">
            <v/>
          </cell>
          <cell r="V1819" t="str">
            <v>2018-11-12</v>
          </cell>
          <cell r="W1819" t="str">
            <v>2018-11-12 15:26:38</v>
          </cell>
          <cell r="X1819" t="str">
            <v>178921000</v>
          </cell>
        </row>
        <row r="1820">
          <cell r="A1820">
            <v>1816</v>
          </cell>
          <cell r="B1820" t="str">
            <v>2018-11-13</v>
          </cell>
          <cell r="C1820" t="str">
            <v>키즈락</v>
          </cell>
          <cell r="D1820">
            <v>0</v>
          </cell>
          <cell r="E1820" t="str">
            <v>일반</v>
          </cell>
          <cell r="F1820" t="str">
            <v>입고완료</v>
          </cell>
          <cell r="G1820">
            <v>128022</v>
          </cell>
          <cell r="H1820" t="str">
            <v>빙그레 딸기우유(200ml 200g/EA)</v>
          </cell>
          <cell r="I1820" t="str">
            <v>EA</v>
          </cell>
          <cell r="J1820">
            <v>1</v>
          </cell>
          <cell r="K1820">
            <v>0</v>
          </cell>
          <cell r="L1820">
            <v>360</v>
          </cell>
          <cell r="M1820">
            <v>360</v>
          </cell>
          <cell r="N1820">
            <v>36</v>
          </cell>
          <cell r="O1820">
            <v>396</v>
          </cell>
          <cell r="P1820">
            <v>0</v>
          </cell>
          <cell r="Q1820" t="str">
            <v>한국</v>
          </cell>
          <cell r="R1820" t="str">
            <v>냉장</v>
          </cell>
          <cell r="S1820" t="str">
            <v>EA(50)</v>
          </cell>
          <cell r="T1820" t="str">
            <v/>
          </cell>
          <cell r="U1820" t="str">
            <v/>
          </cell>
          <cell r="V1820" t="str">
            <v>2018-11-13</v>
          </cell>
          <cell r="W1820" t="str">
            <v>2018-11-13 11:35:01</v>
          </cell>
          <cell r="X1820" t="str">
            <v>dh7984</v>
          </cell>
        </row>
        <row r="1821">
          <cell r="A1821">
            <v>1817</v>
          </cell>
          <cell r="B1821" t="str">
            <v>2018-11-12</v>
          </cell>
          <cell r="C1821">
            <v>0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</row>
        <row r="1822">
          <cell r="A1822">
            <v>1818</v>
          </cell>
          <cell r="B1822" t="str">
            <v>2018-11-12</v>
          </cell>
          <cell r="C1822" t="str">
            <v>키즈락</v>
          </cell>
          <cell r="D1822">
            <v>0</v>
          </cell>
          <cell r="E1822" t="str">
            <v>일반</v>
          </cell>
          <cell r="F1822" t="str">
            <v>입고완료</v>
          </cell>
          <cell r="G1822">
            <v>146368</v>
          </cell>
          <cell r="H1822" t="str">
            <v>뚜레쥬르 머핀(달콤한초코칩 55g/EA)</v>
          </cell>
          <cell r="I1822" t="str">
            <v>EA</v>
          </cell>
          <cell r="J1822">
            <v>256</v>
          </cell>
          <cell r="K1822">
            <v>256</v>
          </cell>
          <cell r="L1822">
            <v>480</v>
          </cell>
          <cell r="M1822">
            <v>122880</v>
          </cell>
          <cell r="N1822">
            <v>12288</v>
          </cell>
          <cell r="O1822">
            <v>135168</v>
          </cell>
          <cell r="P1822">
            <v>0</v>
          </cell>
          <cell r="Q1822" t="str">
            <v/>
          </cell>
          <cell r="R1822" t="str">
            <v>실온</v>
          </cell>
          <cell r="S1822" t="str">
            <v>EA(1)</v>
          </cell>
          <cell r="T1822" t="str">
            <v/>
          </cell>
          <cell r="U1822" t="str">
            <v/>
          </cell>
          <cell r="V1822" t="str">
            <v>2018-11-02</v>
          </cell>
          <cell r="W1822" t="str">
            <v>2018-11-02 12:19:20</v>
          </cell>
          <cell r="X1822" t="str">
            <v>178921000</v>
          </cell>
        </row>
        <row r="1823">
          <cell r="A1823">
            <v>1819</v>
          </cell>
          <cell r="B1823" t="str">
            <v>2018-11-12</v>
          </cell>
          <cell r="C1823" t="str">
            <v>키즈락</v>
          </cell>
          <cell r="D1823">
            <v>0</v>
          </cell>
          <cell r="E1823" t="str">
            <v>일반</v>
          </cell>
          <cell r="F1823" t="str">
            <v>입고완료</v>
          </cell>
          <cell r="G1823">
            <v>136633</v>
          </cell>
          <cell r="H1823" t="str">
            <v>이오 요구르트(80ml_유기농 80g/EA)</v>
          </cell>
          <cell r="I1823" t="str">
            <v>EA</v>
          </cell>
          <cell r="J1823">
            <v>45</v>
          </cell>
          <cell r="K1823">
            <v>45</v>
          </cell>
          <cell r="L1823">
            <v>300</v>
          </cell>
          <cell r="M1823">
            <v>13500</v>
          </cell>
          <cell r="N1823">
            <v>1350</v>
          </cell>
          <cell r="O1823">
            <v>14850</v>
          </cell>
          <cell r="P1823">
            <v>0</v>
          </cell>
          <cell r="Q1823" t="str">
            <v>한국</v>
          </cell>
          <cell r="R1823" t="str">
            <v>냉장</v>
          </cell>
          <cell r="S1823" t="str">
            <v>EA(50)</v>
          </cell>
          <cell r="T1823" t="str">
            <v/>
          </cell>
          <cell r="U1823" t="str">
            <v/>
          </cell>
          <cell r="V1823" t="str">
            <v>2018-11-02</v>
          </cell>
          <cell r="W1823" t="str">
            <v>2018-11-02 12:21:17</v>
          </cell>
          <cell r="X1823" t="str">
            <v>178921000</v>
          </cell>
        </row>
        <row r="1824">
          <cell r="A1824">
            <v>1820</v>
          </cell>
          <cell r="B1824" t="str">
            <v>2018-11-12</v>
          </cell>
          <cell r="C1824" t="str">
            <v>키즈락</v>
          </cell>
          <cell r="D1824">
            <v>0</v>
          </cell>
          <cell r="E1824" t="str">
            <v>일반</v>
          </cell>
          <cell r="F1824" t="str">
            <v>입고완료</v>
          </cell>
          <cell r="G1824">
            <v>245786</v>
          </cell>
          <cell r="H1824" t="str">
            <v>종로복떡방 앙금절편(25g*40개 1Kg/BOX)</v>
          </cell>
          <cell r="I1824" t="str">
            <v>BOX</v>
          </cell>
          <cell r="J1824">
            <v>2</v>
          </cell>
          <cell r="K1824">
            <v>2</v>
          </cell>
          <cell r="L1824">
            <v>8750</v>
          </cell>
          <cell r="M1824">
            <v>17500</v>
          </cell>
          <cell r="N1824">
            <v>1750</v>
          </cell>
          <cell r="O1824">
            <v>19250</v>
          </cell>
          <cell r="P1824">
            <v>0</v>
          </cell>
          <cell r="Q1824" t="str">
            <v>한국</v>
          </cell>
          <cell r="R1824" t="str">
            <v>냉동</v>
          </cell>
          <cell r="S1824" t="str">
            <v>BOX(1)</v>
          </cell>
          <cell r="T1824" t="str">
            <v/>
          </cell>
          <cell r="U1824" t="str">
            <v/>
          </cell>
          <cell r="V1824" t="str">
            <v>2018-11-02</v>
          </cell>
          <cell r="W1824" t="str">
            <v>2018-11-02 12:21:17</v>
          </cell>
          <cell r="X1824" t="str">
            <v>178921000</v>
          </cell>
        </row>
        <row r="1825">
          <cell r="A1825">
            <v>1821</v>
          </cell>
          <cell r="B1825" t="str">
            <v>2018-11-12</v>
          </cell>
          <cell r="C1825" t="str">
            <v>키즈락</v>
          </cell>
          <cell r="D1825">
            <v>0</v>
          </cell>
          <cell r="E1825" t="str">
            <v>일반</v>
          </cell>
          <cell r="F1825" t="str">
            <v>입고완료</v>
          </cell>
          <cell r="G1825">
            <v>130817</v>
          </cell>
          <cell r="H1825" t="str">
            <v>이츠웰 해물모양떡(하얀색 1Kg/EA)</v>
          </cell>
          <cell r="I1825" t="str">
            <v>EA</v>
          </cell>
          <cell r="J1825">
            <v>8</v>
          </cell>
          <cell r="K1825">
            <v>8</v>
          </cell>
          <cell r="L1825">
            <v>1480</v>
          </cell>
          <cell r="M1825">
            <v>11840</v>
          </cell>
          <cell r="N1825">
            <v>1184</v>
          </cell>
          <cell r="O1825">
            <v>13024</v>
          </cell>
          <cell r="P1825">
            <v>0</v>
          </cell>
          <cell r="Q1825" t="str">
            <v>외국산</v>
          </cell>
          <cell r="R1825" t="str">
            <v>냉장</v>
          </cell>
          <cell r="S1825" t="str">
            <v>EA(10)</v>
          </cell>
          <cell r="T1825" t="str">
            <v/>
          </cell>
          <cell r="U1825" t="str">
            <v/>
          </cell>
          <cell r="V1825" t="str">
            <v>2018-11-08</v>
          </cell>
          <cell r="W1825" t="str">
            <v>2018-11-08 13:19:49</v>
          </cell>
          <cell r="X1825" t="str">
            <v>178921000</v>
          </cell>
        </row>
        <row r="1826">
          <cell r="A1826">
            <v>1822</v>
          </cell>
          <cell r="B1826" t="str">
            <v>2018-11-12</v>
          </cell>
          <cell r="C1826" t="str">
            <v>키즈락</v>
          </cell>
          <cell r="D1826">
            <v>0</v>
          </cell>
          <cell r="E1826" t="str">
            <v>일반</v>
          </cell>
          <cell r="F1826" t="str">
            <v>입고완료</v>
          </cell>
          <cell r="G1826">
            <v>140667</v>
          </cell>
          <cell r="H1826" t="str">
            <v>이츠웰 코코넛순살돈까스(100g*10입 1Kg/EA)</v>
          </cell>
          <cell r="I1826" t="str">
            <v>EA</v>
          </cell>
          <cell r="J1826">
            <v>32</v>
          </cell>
          <cell r="K1826">
            <v>32</v>
          </cell>
          <cell r="L1826">
            <v>5690</v>
          </cell>
          <cell r="M1826">
            <v>182080</v>
          </cell>
          <cell r="N1826">
            <v>18208</v>
          </cell>
          <cell r="O1826">
            <v>200288</v>
          </cell>
          <cell r="P1826">
            <v>0</v>
          </cell>
          <cell r="Q1826" t="str">
            <v/>
          </cell>
          <cell r="R1826" t="str">
            <v>냉동</v>
          </cell>
          <cell r="S1826" t="str">
            <v>EA(6)</v>
          </cell>
          <cell r="T1826" t="str">
            <v/>
          </cell>
          <cell r="U1826" t="str">
            <v/>
          </cell>
          <cell r="V1826" t="str">
            <v>2018-11-08</v>
          </cell>
          <cell r="W1826" t="str">
            <v>2018-11-08 14:33:59</v>
          </cell>
          <cell r="X1826" t="str">
            <v>178921000</v>
          </cell>
        </row>
        <row r="1827">
          <cell r="A1827">
            <v>1823</v>
          </cell>
          <cell r="B1827" t="str">
            <v>2018-11-12</v>
          </cell>
          <cell r="C1827" t="str">
            <v>키즈락</v>
          </cell>
          <cell r="D1827">
            <v>0</v>
          </cell>
          <cell r="E1827" t="str">
            <v>일반</v>
          </cell>
          <cell r="F1827" t="str">
            <v>입고완료</v>
          </cell>
          <cell r="G1827">
            <v>172176</v>
          </cell>
          <cell r="H1827" t="str">
            <v>이츠웰 돈까스소스(PET 2Kg/EA)</v>
          </cell>
          <cell r="I1827" t="str">
            <v>EA</v>
          </cell>
          <cell r="J1827">
            <v>6</v>
          </cell>
          <cell r="K1827">
            <v>6</v>
          </cell>
          <cell r="L1827">
            <v>4470</v>
          </cell>
          <cell r="M1827">
            <v>26820</v>
          </cell>
          <cell r="N1827">
            <v>2682</v>
          </cell>
          <cell r="O1827">
            <v>29502</v>
          </cell>
          <cell r="P1827">
            <v>0</v>
          </cell>
          <cell r="Q1827" t="str">
            <v/>
          </cell>
          <cell r="R1827" t="str">
            <v>실온</v>
          </cell>
          <cell r="S1827" t="str">
            <v>EA(6)</v>
          </cell>
          <cell r="T1827" t="str">
            <v/>
          </cell>
          <cell r="U1827" t="str">
            <v/>
          </cell>
          <cell r="V1827" t="str">
            <v>2018-11-08</v>
          </cell>
          <cell r="W1827" t="str">
            <v>2018-11-08 14:34:33</v>
          </cell>
          <cell r="X1827" t="str">
            <v>178921000</v>
          </cell>
        </row>
        <row r="1828">
          <cell r="A1828">
            <v>1824</v>
          </cell>
          <cell r="B1828" t="str">
            <v>2018-11-12</v>
          </cell>
          <cell r="C1828" t="str">
            <v>키즈락</v>
          </cell>
          <cell r="D1828">
            <v>0</v>
          </cell>
          <cell r="E1828" t="str">
            <v>일반</v>
          </cell>
          <cell r="F1828" t="str">
            <v>입고완료</v>
          </cell>
          <cell r="G1828">
            <v>319698</v>
          </cell>
          <cell r="H1828" t="str">
            <v>전장김(25g/EA)</v>
          </cell>
          <cell r="I1828" t="str">
            <v>EA</v>
          </cell>
          <cell r="J1828">
            <v>10</v>
          </cell>
          <cell r="K1828">
            <v>10</v>
          </cell>
          <cell r="L1828">
            <v>760</v>
          </cell>
          <cell r="M1828">
            <v>7600</v>
          </cell>
          <cell r="N1828">
            <v>760</v>
          </cell>
          <cell r="O1828">
            <v>8360</v>
          </cell>
          <cell r="P1828">
            <v>0</v>
          </cell>
          <cell r="Q1828" t="str">
            <v>한국</v>
          </cell>
          <cell r="R1828" t="str">
            <v>실온</v>
          </cell>
          <cell r="S1828" t="str">
            <v>EA(40)</v>
          </cell>
          <cell r="T1828" t="str">
            <v/>
          </cell>
          <cell r="U1828" t="str">
            <v/>
          </cell>
          <cell r="V1828" t="str">
            <v>2018-11-09</v>
          </cell>
          <cell r="W1828" t="str">
            <v>2018-11-09 11:43:12</v>
          </cell>
          <cell r="X1828" t="str">
            <v>178921000</v>
          </cell>
        </row>
        <row r="1829">
          <cell r="A1829">
            <v>1825</v>
          </cell>
          <cell r="B1829" t="str">
            <v>2018-11-12</v>
          </cell>
          <cell r="C1829" t="str">
            <v>키즈락</v>
          </cell>
          <cell r="D1829">
            <v>0</v>
          </cell>
          <cell r="E1829" t="str">
            <v>일반</v>
          </cell>
          <cell r="F1829" t="str">
            <v>입고완료</v>
          </cell>
          <cell r="G1829">
            <v>192918</v>
          </cell>
          <cell r="H1829" t="str">
            <v>양배추(겉잎제거 KG)</v>
          </cell>
          <cell r="I1829" t="str">
            <v>KG</v>
          </cell>
          <cell r="J1829">
            <v>45</v>
          </cell>
          <cell r="K1829">
            <v>45</v>
          </cell>
          <cell r="L1829">
            <v>1430</v>
          </cell>
          <cell r="M1829">
            <v>64350</v>
          </cell>
          <cell r="N1829">
            <v>0</v>
          </cell>
          <cell r="O1829">
            <v>64350</v>
          </cell>
          <cell r="P1829">
            <v>0</v>
          </cell>
          <cell r="Q1829" t="str">
            <v>중국</v>
          </cell>
          <cell r="R1829" t="str">
            <v>냉장</v>
          </cell>
          <cell r="S1829" t="str">
            <v>KG(1)</v>
          </cell>
          <cell r="T1829" t="str">
            <v/>
          </cell>
          <cell r="U1829" t="str">
            <v/>
          </cell>
          <cell r="V1829" t="str">
            <v>2018-11-09</v>
          </cell>
          <cell r="W1829" t="str">
            <v>2018-11-09 14:31:46</v>
          </cell>
          <cell r="X1829" t="str">
            <v>178921000</v>
          </cell>
        </row>
        <row r="1830">
          <cell r="A1830">
            <v>1826</v>
          </cell>
          <cell r="B1830" t="str">
            <v>2018-11-12</v>
          </cell>
          <cell r="C1830" t="str">
            <v>키즈락</v>
          </cell>
          <cell r="D1830">
            <v>0</v>
          </cell>
          <cell r="E1830" t="str">
            <v>일반</v>
          </cell>
          <cell r="F1830" t="str">
            <v>입고완료</v>
          </cell>
          <cell r="G1830">
            <v>154930</v>
          </cell>
          <cell r="H1830" t="str">
            <v>사조대림 곤약(LOW칼로리생활 2Kg/EA)</v>
          </cell>
          <cell r="I1830" t="str">
            <v>EA</v>
          </cell>
          <cell r="J1830">
            <v>2</v>
          </cell>
          <cell r="K1830">
            <v>2</v>
          </cell>
          <cell r="L1830">
            <v>3920</v>
          </cell>
          <cell r="M1830">
            <v>7840</v>
          </cell>
          <cell r="N1830">
            <v>784</v>
          </cell>
          <cell r="O1830">
            <v>8624</v>
          </cell>
          <cell r="P1830">
            <v>0</v>
          </cell>
          <cell r="Q1830" t="str">
            <v/>
          </cell>
          <cell r="R1830" t="str">
            <v>실온</v>
          </cell>
          <cell r="S1830" t="str">
            <v>EA(6)</v>
          </cell>
          <cell r="T1830" t="str">
            <v/>
          </cell>
          <cell r="U1830" t="str">
            <v/>
          </cell>
          <cell r="V1830" t="str">
            <v>2018-11-09</v>
          </cell>
          <cell r="W1830" t="str">
            <v>2018-11-09 14:33:37</v>
          </cell>
          <cell r="X1830" t="str">
            <v>178921000</v>
          </cell>
        </row>
        <row r="1831">
          <cell r="A1831">
            <v>1827</v>
          </cell>
          <cell r="B1831" t="str">
            <v>2018-11-12</v>
          </cell>
          <cell r="C1831" t="str">
            <v>키즈락</v>
          </cell>
          <cell r="D1831">
            <v>0</v>
          </cell>
          <cell r="E1831" t="str">
            <v>일반</v>
          </cell>
          <cell r="F1831" t="str">
            <v>입고완료</v>
          </cell>
          <cell r="G1831">
            <v>130452</v>
          </cell>
          <cell r="H1831" t="str">
            <v>사조오양 스모크햄(즉석 1Kg/EA)</v>
          </cell>
          <cell r="I1831" t="str">
            <v>EA</v>
          </cell>
          <cell r="J1831">
            <v>1</v>
          </cell>
          <cell r="K1831">
            <v>1</v>
          </cell>
          <cell r="L1831">
            <v>3650</v>
          </cell>
          <cell r="M1831">
            <v>3650</v>
          </cell>
          <cell r="N1831">
            <v>365</v>
          </cell>
          <cell r="O1831">
            <v>4015</v>
          </cell>
          <cell r="P1831">
            <v>0</v>
          </cell>
          <cell r="Q1831" t="str">
            <v/>
          </cell>
          <cell r="R1831" t="str">
            <v>냉장</v>
          </cell>
          <cell r="S1831" t="str">
            <v>EA(10)</v>
          </cell>
          <cell r="T1831" t="str">
            <v/>
          </cell>
          <cell r="U1831" t="str">
            <v/>
          </cell>
          <cell r="V1831" t="str">
            <v>2018-11-09</v>
          </cell>
          <cell r="W1831" t="str">
            <v>2018-11-09 14:34:29</v>
          </cell>
          <cell r="X1831" t="str">
            <v>178921000</v>
          </cell>
        </row>
        <row r="1832">
          <cell r="A1832">
            <v>1828</v>
          </cell>
          <cell r="B1832" t="str">
            <v>2018-11-12</v>
          </cell>
          <cell r="C1832" t="str">
            <v>키즈락</v>
          </cell>
          <cell r="D1832">
            <v>0</v>
          </cell>
          <cell r="E1832" t="str">
            <v>일반</v>
          </cell>
          <cell r="F1832" t="str">
            <v>입고완료</v>
          </cell>
          <cell r="G1832">
            <v>319046</v>
          </cell>
          <cell r="H1832" t="str">
            <v>주일 구운파래김(100매 150g/EA)</v>
          </cell>
          <cell r="I1832" t="str">
            <v>EA</v>
          </cell>
          <cell r="J1832">
            <v>1</v>
          </cell>
          <cell r="K1832">
            <v>1</v>
          </cell>
          <cell r="L1832">
            <v>8050</v>
          </cell>
          <cell r="M1832">
            <v>8050</v>
          </cell>
          <cell r="N1832">
            <v>0</v>
          </cell>
          <cell r="O1832">
            <v>8050</v>
          </cell>
          <cell r="P1832">
            <v>0</v>
          </cell>
          <cell r="Q1832" t="str">
            <v>한국</v>
          </cell>
          <cell r="R1832" t="str">
            <v>실온</v>
          </cell>
          <cell r="S1832" t="str">
            <v>EA(1)</v>
          </cell>
          <cell r="T1832" t="str">
            <v/>
          </cell>
          <cell r="U1832" t="str">
            <v/>
          </cell>
          <cell r="V1832" t="str">
            <v>2018-11-09</v>
          </cell>
          <cell r="W1832" t="str">
            <v>2018-11-09 14:42:12</v>
          </cell>
          <cell r="X1832" t="str">
            <v>178921000</v>
          </cell>
        </row>
        <row r="1833">
          <cell r="A1833">
            <v>1829</v>
          </cell>
          <cell r="B1833" t="str">
            <v>2018-11-12</v>
          </cell>
          <cell r="C1833" t="str">
            <v>키즈락</v>
          </cell>
          <cell r="D1833">
            <v>0</v>
          </cell>
          <cell r="E1833" t="str">
            <v>일반</v>
          </cell>
          <cell r="F1833" t="str">
            <v>입고완료</v>
          </cell>
          <cell r="G1833">
            <v>211794</v>
          </cell>
          <cell r="H1833" t="str">
            <v>건토란대(데친것 KG)</v>
          </cell>
          <cell r="I1833" t="str">
            <v>KG</v>
          </cell>
          <cell r="J1833">
            <v>1</v>
          </cell>
          <cell r="K1833">
            <v>1</v>
          </cell>
          <cell r="L1833">
            <v>1410</v>
          </cell>
          <cell r="M1833">
            <v>1410</v>
          </cell>
          <cell r="N1833">
            <v>0</v>
          </cell>
          <cell r="O1833">
            <v>1410</v>
          </cell>
          <cell r="P1833">
            <v>0</v>
          </cell>
          <cell r="Q1833" t="str">
            <v>미얀마</v>
          </cell>
          <cell r="R1833" t="str">
            <v>냉장</v>
          </cell>
          <cell r="S1833" t="str">
            <v>KG(1)</v>
          </cell>
          <cell r="T1833" t="str">
            <v/>
          </cell>
          <cell r="U1833" t="str">
            <v/>
          </cell>
          <cell r="V1833" t="str">
            <v>2018-11-09</v>
          </cell>
          <cell r="W1833" t="str">
            <v>2018-11-09 14:42:42</v>
          </cell>
          <cell r="X1833" t="str">
            <v>178921000</v>
          </cell>
        </row>
        <row r="1834">
          <cell r="A1834">
            <v>1830</v>
          </cell>
          <cell r="B1834" t="str">
            <v>2018-11-12</v>
          </cell>
          <cell r="C1834" t="str">
            <v>키즈락</v>
          </cell>
          <cell r="D1834">
            <v>0</v>
          </cell>
          <cell r="E1834" t="str">
            <v>일반</v>
          </cell>
          <cell r="F1834" t="str">
            <v>입고완료</v>
          </cell>
          <cell r="G1834">
            <v>312342</v>
          </cell>
          <cell r="H1834" t="str">
            <v>냉동굴(깐것_수율90% 1Kg/EA)</v>
          </cell>
          <cell r="I1834" t="str">
            <v>EA</v>
          </cell>
          <cell r="J1834">
            <v>3</v>
          </cell>
          <cell r="K1834">
            <v>3</v>
          </cell>
          <cell r="L1834">
            <v>11120</v>
          </cell>
          <cell r="M1834">
            <v>33360</v>
          </cell>
          <cell r="N1834">
            <v>0</v>
          </cell>
          <cell r="O1834">
            <v>33360</v>
          </cell>
          <cell r="P1834">
            <v>0</v>
          </cell>
          <cell r="Q1834" t="str">
            <v>한국</v>
          </cell>
          <cell r="R1834" t="str">
            <v>냉동</v>
          </cell>
          <cell r="S1834" t="str">
            <v>EA(10)</v>
          </cell>
          <cell r="T1834" t="str">
            <v/>
          </cell>
          <cell r="U1834" t="str">
            <v/>
          </cell>
          <cell r="V1834" t="str">
            <v>2018-11-09</v>
          </cell>
          <cell r="W1834" t="str">
            <v>2018-11-09 14:43:52</v>
          </cell>
          <cell r="X1834" t="str">
            <v>178921000</v>
          </cell>
        </row>
        <row r="1835">
          <cell r="A1835">
            <v>1831</v>
          </cell>
          <cell r="B1835" t="str">
            <v>2018-11-12</v>
          </cell>
          <cell r="C1835" t="str">
            <v>키즈락</v>
          </cell>
          <cell r="D1835">
            <v>0</v>
          </cell>
          <cell r="E1835" t="str">
            <v>일반</v>
          </cell>
          <cell r="F1835" t="str">
            <v>입고완료</v>
          </cell>
          <cell r="G1835">
            <v>135871</v>
          </cell>
          <cell r="H1835" t="str">
            <v>이츠웰 대두유(18L 16.506Kg/EA)</v>
          </cell>
          <cell r="I1835" t="str">
            <v>EA</v>
          </cell>
          <cell r="J1835">
            <v>2</v>
          </cell>
          <cell r="K1835">
            <v>2</v>
          </cell>
          <cell r="L1835">
            <v>28710</v>
          </cell>
          <cell r="M1835">
            <v>57420</v>
          </cell>
          <cell r="N1835">
            <v>5742</v>
          </cell>
          <cell r="O1835">
            <v>63162</v>
          </cell>
          <cell r="P1835">
            <v>0</v>
          </cell>
          <cell r="Q1835" t="str">
            <v/>
          </cell>
          <cell r="R1835" t="str">
            <v>실온</v>
          </cell>
          <cell r="S1835" t="str">
            <v>EA(1)</v>
          </cell>
          <cell r="T1835" t="str">
            <v/>
          </cell>
          <cell r="U1835" t="str">
            <v/>
          </cell>
          <cell r="V1835" t="str">
            <v>2018-11-09</v>
          </cell>
          <cell r="W1835" t="str">
            <v>2018-11-09 15:01:03</v>
          </cell>
          <cell r="X1835" t="str">
            <v>178921000</v>
          </cell>
        </row>
        <row r="1836">
          <cell r="A1836">
            <v>1832</v>
          </cell>
          <cell r="B1836" t="str">
            <v>2018-11-09</v>
          </cell>
          <cell r="C1836">
            <v>0</v>
          </cell>
          <cell r="D1836">
            <v>0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</row>
        <row r="1837">
          <cell r="A1837">
            <v>1833</v>
          </cell>
          <cell r="B1837" t="str">
            <v>2018-11-09</v>
          </cell>
          <cell r="C1837" t="str">
            <v>키즈락</v>
          </cell>
          <cell r="D1837">
            <v>0</v>
          </cell>
          <cell r="E1837" t="str">
            <v>일반</v>
          </cell>
          <cell r="F1837" t="str">
            <v>입고완료</v>
          </cell>
          <cell r="G1837">
            <v>264369</v>
          </cell>
          <cell r="H1837" t="str">
            <v>롯데제과증평 미니딸기샌드(65g/EA)</v>
          </cell>
          <cell r="I1837" t="str">
            <v>EA</v>
          </cell>
          <cell r="J1837">
            <v>100</v>
          </cell>
          <cell r="K1837">
            <v>100</v>
          </cell>
          <cell r="L1837">
            <v>580</v>
          </cell>
          <cell r="M1837">
            <v>58000</v>
          </cell>
          <cell r="N1837">
            <v>5800</v>
          </cell>
          <cell r="O1837">
            <v>63800</v>
          </cell>
          <cell r="P1837">
            <v>0</v>
          </cell>
          <cell r="Q1837" t="str">
            <v/>
          </cell>
          <cell r="R1837" t="str">
            <v>실온</v>
          </cell>
          <cell r="S1837" t="str">
            <v>EA(1)</v>
          </cell>
          <cell r="T1837" t="str">
            <v/>
          </cell>
          <cell r="U1837" t="str">
            <v/>
          </cell>
          <cell r="V1837" t="str">
            <v>2018-11-02</v>
          </cell>
          <cell r="W1837" t="str">
            <v>2018-11-02 15:01:18</v>
          </cell>
          <cell r="X1837" t="str">
            <v>178921000</v>
          </cell>
        </row>
        <row r="1838">
          <cell r="A1838">
            <v>1834</v>
          </cell>
          <cell r="B1838" t="str">
            <v>2018-11-09</v>
          </cell>
          <cell r="C1838" t="str">
            <v>키즈락</v>
          </cell>
          <cell r="D1838">
            <v>0</v>
          </cell>
          <cell r="E1838" t="str">
            <v>일반</v>
          </cell>
          <cell r="F1838" t="str">
            <v>입고완료</v>
          </cell>
          <cell r="G1838">
            <v>108319</v>
          </cell>
          <cell r="H1838" t="str">
            <v>연세우유 고칼슘두유(팩_200ml 200g/EA)</v>
          </cell>
          <cell r="I1838" t="str">
            <v>EA</v>
          </cell>
          <cell r="J1838">
            <v>168</v>
          </cell>
          <cell r="K1838">
            <v>168</v>
          </cell>
          <cell r="L1838">
            <v>280</v>
          </cell>
          <cell r="M1838">
            <v>47040</v>
          </cell>
          <cell r="N1838">
            <v>4704</v>
          </cell>
          <cell r="O1838">
            <v>51744</v>
          </cell>
          <cell r="P1838">
            <v>0</v>
          </cell>
          <cell r="Q1838" t="str">
            <v>한국</v>
          </cell>
          <cell r="R1838" t="str">
            <v>실온</v>
          </cell>
          <cell r="S1838" t="str">
            <v>EA(1)</v>
          </cell>
          <cell r="T1838" t="str">
            <v/>
          </cell>
          <cell r="U1838" t="str">
            <v/>
          </cell>
          <cell r="V1838" t="str">
            <v>2018-11-02</v>
          </cell>
          <cell r="W1838" t="str">
            <v>2018-11-02 15:04:54</v>
          </cell>
          <cell r="X1838" t="str">
            <v>178921000</v>
          </cell>
        </row>
        <row r="1839">
          <cell r="A1839">
            <v>1835</v>
          </cell>
          <cell r="B1839" t="str">
            <v>2018-11-09</v>
          </cell>
          <cell r="C1839" t="str">
            <v>키즈락</v>
          </cell>
          <cell r="D1839">
            <v>0</v>
          </cell>
          <cell r="E1839" t="str">
            <v>일반</v>
          </cell>
          <cell r="F1839" t="str">
            <v>입고완료</v>
          </cell>
          <cell r="G1839">
            <v>122082</v>
          </cell>
          <cell r="H1839" t="str">
            <v>빙그레 흰우유(참맛좋은 200g/EA)</v>
          </cell>
          <cell r="I1839" t="str">
            <v>EA</v>
          </cell>
          <cell r="J1839">
            <v>45</v>
          </cell>
          <cell r="K1839">
            <v>45</v>
          </cell>
          <cell r="L1839">
            <v>430</v>
          </cell>
          <cell r="M1839">
            <v>19350</v>
          </cell>
          <cell r="N1839">
            <v>0</v>
          </cell>
          <cell r="O1839">
            <v>19350</v>
          </cell>
          <cell r="P1839">
            <v>0</v>
          </cell>
          <cell r="Q1839" t="str">
            <v>한국</v>
          </cell>
          <cell r="R1839" t="str">
            <v>냉장</v>
          </cell>
          <cell r="S1839" t="str">
            <v>EA(1)</v>
          </cell>
          <cell r="T1839" t="str">
            <v/>
          </cell>
          <cell r="U1839" t="str">
            <v/>
          </cell>
          <cell r="V1839" t="str">
            <v>2018-11-02</v>
          </cell>
          <cell r="W1839" t="str">
            <v>2018-11-02 15:05:20</v>
          </cell>
          <cell r="X1839" t="str">
            <v>178921000</v>
          </cell>
        </row>
        <row r="1840">
          <cell r="A1840">
            <v>1836</v>
          </cell>
          <cell r="B1840" t="str">
            <v>2018-11-09</v>
          </cell>
          <cell r="C1840" t="str">
            <v>키즈락</v>
          </cell>
          <cell r="D1840">
            <v>0</v>
          </cell>
          <cell r="E1840" t="str">
            <v>일반</v>
          </cell>
          <cell r="F1840" t="str">
            <v>입고완료</v>
          </cell>
          <cell r="G1840">
            <v>170336</v>
          </cell>
          <cell r="H1840" t="str">
            <v>이츠웰 탕수육(1Kg/EA)</v>
          </cell>
          <cell r="I1840" t="str">
            <v>EA</v>
          </cell>
          <cell r="J1840">
            <v>26</v>
          </cell>
          <cell r="K1840">
            <v>26</v>
          </cell>
          <cell r="L1840">
            <v>5210</v>
          </cell>
          <cell r="M1840">
            <v>135460</v>
          </cell>
          <cell r="N1840">
            <v>13546</v>
          </cell>
          <cell r="O1840">
            <v>149006</v>
          </cell>
          <cell r="P1840">
            <v>0</v>
          </cell>
          <cell r="Q1840" t="str">
            <v/>
          </cell>
          <cell r="R1840" t="str">
            <v>냉동</v>
          </cell>
          <cell r="S1840" t="str">
            <v>EA(10)</v>
          </cell>
          <cell r="T1840" t="str">
            <v/>
          </cell>
          <cell r="U1840" t="str">
            <v/>
          </cell>
          <cell r="V1840" t="str">
            <v>2018-11-06</v>
          </cell>
          <cell r="W1840" t="str">
            <v>2018-11-06 14:08:05</v>
          </cell>
          <cell r="X1840" t="str">
            <v>178921000</v>
          </cell>
        </row>
        <row r="1841">
          <cell r="A1841">
            <v>1837</v>
          </cell>
          <cell r="B1841" t="str">
            <v>2018-11-09</v>
          </cell>
          <cell r="C1841" t="str">
            <v>키즈락</v>
          </cell>
          <cell r="D1841">
            <v>0</v>
          </cell>
          <cell r="E1841" t="str">
            <v>일반</v>
          </cell>
          <cell r="F1841" t="str">
            <v>입고완료</v>
          </cell>
          <cell r="G1841">
            <v>231156</v>
          </cell>
          <cell r="H1841" t="str">
            <v>종가집 포기김치(중숙 10Kg/BOX)</v>
          </cell>
          <cell r="I1841" t="str">
            <v>BOX</v>
          </cell>
          <cell r="J1841">
            <v>6</v>
          </cell>
          <cell r="K1841">
            <v>6</v>
          </cell>
          <cell r="L1841">
            <v>31390</v>
          </cell>
          <cell r="M1841">
            <v>188340</v>
          </cell>
          <cell r="N1841">
            <v>0</v>
          </cell>
          <cell r="O1841">
            <v>188340</v>
          </cell>
          <cell r="P1841">
            <v>0</v>
          </cell>
          <cell r="Q1841" t="str">
            <v>한국</v>
          </cell>
          <cell r="R1841" t="str">
            <v>냉장</v>
          </cell>
          <cell r="S1841" t="str">
            <v>BOX(1)</v>
          </cell>
          <cell r="T1841" t="str">
            <v/>
          </cell>
          <cell r="U1841" t="str">
            <v/>
          </cell>
          <cell r="V1841" t="str">
            <v>2018-11-06</v>
          </cell>
          <cell r="W1841" t="str">
            <v>2018-11-06 14:15:02</v>
          </cell>
          <cell r="X1841" t="str">
            <v>178921000</v>
          </cell>
        </row>
        <row r="1842">
          <cell r="A1842">
            <v>1838</v>
          </cell>
          <cell r="B1842" t="str">
            <v>2018-11-09</v>
          </cell>
          <cell r="C1842" t="str">
            <v>키즈락</v>
          </cell>
          <cell r="D1842">
            <v>0</v>
          </cell>
          <cell r="E1842" t="str">
            <v>일반</v>
          </cell>
          <cell r="F1842" t="str">
            <v>입고완료</v>
          </cell>
          <cell r="G1842">
            <v>200840</v>
          </cell>
          <cell r="H1842" t="str">
            <v>깐우엉채(KG)</v>
          </cell>
          <cell r="I1842" t="str">
            <v>KG</v>
          </cell>
          <cell r="J1842">
            <v>8</v>
          </cell>
          <cell r="K1842">
            <v>8</v>
          </cell>
          <cell r="L1842">
            <v>3260</v>
          </cell>
          <cell r="M1842">
            <v>26080</v>
          </cell>
          <cell r="N1842">
            <v>0</v>
          </cell>
          <cell r="O1842">
            <v>26080</v>
          </cell>
          <cell r="P1842">
            <v>0</v>
          </cell>
          <cell r="Q1842" t="str">
            <v>중국</v>
          </cell>
          <cell r="R1842" t="str">
            <v>냉장</v>
          </cell>
          <cell r="S1842" t="str">
            <v>KG(1)</v>
          </cell>
          <cell r="T1842" t="str">
            <v/>
          </cell>
          <cell r="U1842" t="str">
            <v/>
          </cell>
          <cell r="V1842" t="str">
            <v>2018-11-07</v>
          </cell>
          <cell r="W1842" t="str">
            <v>2018-11-07 12:50:06</v>
          </cell>
          <cell r="X1842" t="str">
            <v>178921000</v>
          </cell>
        </row>
        <row r="1843">
          <cell r="A1843">
            <v>1839</v>
          </cell>
          <cell r="B1843" t="str">
            <v>2018-11-09</v>
          </cell>
          <cell r="C1843" t="str">
            <v>키즈락</v>
          </cell>
          <cell r="D1843">
            <v>0</v>
          </cell>
          <cell r="E1843" t="str">
            <v>일반</v>
          </cell>
          <cell r="F1843" t="str">
            <v>입고완료</v>
          </cell>
          <cell r="G1843">
            <v>101925</v>
          </cell>
          <cell r="H1843" t="str">
            <v>사조대림 조미유부(10g*60개입 600g/EA)</v>
          </cell>
          <cell r="I1843" t="str">
            <v>EA</v>
          </cell>
          <cell r="J1843">
            <v>3</v>
          </cell>
          <cell r="K1843">
            <v>3</v>
          </cell>
          <cell r="L1843">
            <v>4390</v>
          </cell>
          <cell r="M1843">
            <v>13170</v>
          </cell>
          <cell r="N1843">
            <v>1317</v>
          </cell>
          <cell r="O1843">
            <v>14487</v>
          </cell>
          <cell r="P1843">
            <v>0</v>
          </cell>
          <cell r="Q1843" t="str">
            <v>외국산</v>
          </cell>
          <cell r="R1843" t="str">
            <v>냉장</v>
          </cell>
          <cell r="S1843" t="str">
            <v>EA(1)</v>
          </cell>
          <cell r="T1843" t="str">
            <v/>
          </cell>
          <cell r="U1843" t="str">
            <v/>
          </cell>
          <cell r="V1843" t="str">
            <v>2018-11-07</v>
          </cell>
          <cell r="W1843" t="str">
            <v>2018-11-07 13:25:29</v>
          </cell>
          <cell r="X1843" t="str">
            <v>178921000</v>
          </cell>
        </row>
        <row r="1844">
          <cell r="A1844">
            <v>1840</v>
          </cell>
          <cell r="B1844" t="str">
            <v>2018-11-09</v>
          </cell>
          <cell r="C1844" t="str">
            <v>키즈락</v>
          </cell>
          <cell r="D1844">
            <v>0</v>
          </cell>
          <cell r="E1844" t="str">
            <v>일반</v>
          </cell>
          <cell r="F1844" t="str">
            <v>입고완료</v>
          </cell>
          <cell r="G1844">
            <v>173174</v>
          </cell>
          <cell r="H1844" t="str">
            <v>이츠웰 치킨너겟(골든 55±3개입 1Kg/EA)</v>
          </cell>
          <cell r="I1844" t="str">
            <v>EA</v>
          </cell>
          <cell r="J1844">
            <v>3</v>
          </cell>
          <cell r="K1844">
            <v>3</v>
          </cell>
          <cell r="L1844">
            <v>4700</v>
          </cell>
          <cell r="M1844">
            <v>14100</v>
          </cell>
          <cell r="N1844">
            <v>1410</v>
          </cell>
          <cell r="O1844">
            <v>15510</v>
          </cell>
          <cell r="P1844">
            <v>0</v>
          </cell>
          <cell r="Q1844" t="str">
            <v>한국</v>
          </cell>
          <cell r="R1844" t="str">
            <v>냉동</v>
          </cell>
          <cell r="S1844" t="str">
            <v>EA(10)</v>
          </cell>
          <cell r="T1844" t="str">
            <v/>
          </cell>
          <cell r="U1844" t="str">
            <v/>
          </cell>
          <cell r="V1844" t="str">
            <v>2018-11-07</v>
          </cell>
          <cell r="W1844" t="str">
            <v>2018-11-07 13:29:05</v>
          </cell>
          <cell r="X1844" t="str">
            <v>178921000</v>
          </cell>
        </row>
        <row r="1845">
          <cell r="A1845">
            <v>1841</v>
          </cell>
          <cell r="B1845" t="str">
            <v>2018-11-09</v>
          </cell>
          <cell r="C1845" t="str">
            <v>키즈락</v>
          </cell>
          <cell r="D1845">
            <v>0</v>
          </cell>
          <cell r="E1845" t="str">
            <v>일반</v>
          </cell>
          <cell r="F1845" t="str">
            <v>입고완료</v>
          </cell>
          <cell r="G1845">
            <v>206876</v>
          </cell>
          <cell r="H1845" t="str">
            <v>바나나(1송이_17~21개입 2Kg/PAC)</v>
          </cell>
          <cell r="I1845" t="str">
            <v>PAC</v>
          </cell>
          <cell r="J1845">
            <v>2</v>
          </cell>
          <cell r="K1845">
            <v>2</v>
          </cell>
          <cell r="L1845">
            <v>6140</v>
          </cell>
          <cell r="M1845">
            <v>12280</v>
          </cell>
          <cell r="N1845">
            <v>0</v>
          </cell>
          <cell r="O1845">
            <v>12280</v>
          </cell>
          <cell r="P1845">
            <v>0</v>
          </cell>
          <cell r="Q1845" t="str">
            <v>필리핀</v>
          </cell>
          <cell r="R1845" t="str">
            <v>실온</v>
          </cell>
          <cell r="S1845" t="str">
            <v>PAC(1)</v>
          </cell>
          <cell r="T1845" t="str">
            <v/>
          </cell>
          <cell r="U1845" t="str">
            <v/>
          </cell>
          <cell r="V1845" t="str">
            <v>2018-11-07</v>
          </cell>
          <cell r="W1845" t="str">
            <v>2018-11-07 13:46:58</v>
          </cell>
          <cell r="X1845" t="str">
            <v>178921000</v>
          </cell>
        </row>
        <row r="1846">
          <cell r="A1846">
            <v>1842</v>
          </cell>
          <cell r="B1846" t="str">
            <v>2018-11-09</v>
          </cell>
          <cell r="C1846" t="str">
            <v>키즈락</v>
          </cell>
          <cell r="D1846">
            <v>0</v>
          </cell>
          <cell r="E1846" t="str">
            <v>일반</v>
          </cell>
          <cell r="F1846" t="str">
            <v>입고완료</v>
          </cell>
          <cell r="G1846">
            <v>166334</v>
          </cell>
          <cell r="H1846" t="str">
            <v>종로복떡방 흰꿀떡(멥쌀_20G*50입 1Kg/EA)</v>
          </cell>
          <cell r="I1846" t="str">
            <v>EA</v>
          </cell>
          <cell r="J1846">
            <v>3</v>
          </cell>
          <cell r="K1846">
            <v>3</v>
          </cell>
          <cell r="L1846">
            <v>6750</v>
          </cell>
          <cell r="M1846">
            <v>20250</v>
          </cell>
          <cell r="N1846">
            <v>2025</v>
          </cell>
          <cell r="O1846">
            <v>22275</v>
          </cell>
          <cell r="P1846">
            <v>0</v>
          </cell>
          <cell r="Q1846" t="str">
            <v/>
          </cell>
          <cell r="R1846" t="str">
            <v>냉동</v>
          </cell>
          <cell r="S1846" t="str">
            <v>EA(1)</v>
          </cell>
          <cell r="T1846" t="str">
            <v/>
          </cell>
          <cell r="U1846" t="str">
            <v/>
          </cell>
          <cell r="V1846" t="str">
            <v>2018-11-07</v>
          </cell>
          <cell r="W1846" t="str">
            <v>2018-11-07 13:48:21</v>
          </cell>
          <cell r="X1846" t="str">
            <v>178921000</v>
          </cell>
        </row>
        <row r="1847">
          <cell r="A1847">
            <v>1843</v>
          </cell>
          <cell r="B1847" t="str">
            <v>2018-11-09</v>
          </cell>
          <cell r="C1847" t="str">
            <v>키즈락</v>
          </cell>
          <cell r="D1847">
            <v>0</v>
          </cell>
          <cell r="E1847" t="str">
            <v>일반</v>
          </cell>
          <cell r="F1847" t="str">
            <v>입고완료</v>
          </cell>
          <cell r="G1847">
            <v>115798</v>
          </cell>
          <cell r="H1847" t="str">
            <v>이츠웰 상큼한사과주스(140ml 140g/EA)</v>
          </cell>
          <cell r="I1847" t="str">
            <v>BOX</v>
          </cell>
          <cell r="J1847">
            <v>4</v>
          </cell>
          <cell r="K1847">
            <v>4</v>
          </cell>
          <cell r="L1847">
            <v>6000</v>
          </cell>
          <cell r="M1847">
            <v>24000</v>
          </cell>
          <cell r="N1847">
            <v>2400</v>
          </cell>
          <cell r="O1847">
            <v>26400</v>
          </cell>
          <cell r="P1847">
            <v>0</v>
          </cell>
          <cell r="Q1847" t="str">
            <v/>
          </cell>
          <cell r="R1847" t="str">
            <v>실온</v>
          </cell>
          <cell r="S1847" t="str">
            <v>EA(24)</v>
          </cell>
          <cell r="T1847" t="str">
            <v/>
          </cell>
          <cell r="U1847" t="str">
            <v/>
          </cell>
          <cell r="V1847" t="str">
            <v>2018-11-07</v>
          </cell>
          <cell r="W1847" t="str">
            <v>2018-11-07 13:50:07</v>
          </cell>
          <cell r="X1847" t="str">
            <v>178921000</v>
          </cell>
        </row>
        <row r="1848">
          <cell r="A1848">
            <v>1844</v>
          </cell>
          <cell r="B1848" t="str">
            <v>2018-11-09</v>
          </cell>
          <cell r="C1848" t="str">
            <v>키즈락</v>
          </cell>
          <cell r="D1848">
            <v>0</v>
          </cell>
          <cell r="E1848" t="str">
            <v>일반</v>
          </cell>
          <cell r="F1848" t="str">
            <v>입고완료</v>
          </cell>
          <cell r="G1848">
            <v>406598</v>
          </cell>
          <cell r="H1848" t="str">
            <v>체리부로 닭안심(1등급 30±5g/조각_껍질없음 KG)</v>
          </cell>
          <cell r="I1848" t="str">
            <v>KG</v>
          </cell>
          <cell r="J1848">
            <v>12</v>
          </cell>
          <cell r="K1848">
            <v>12</v>
          </cell>
          <cell r="L1848">
            <v>5590</v>
          </cell>
          <cell r="M1848">
            <v>67080</v>
          </cell>
          <cell r="N1848">
            <v>0</v>
          </cell>
          <cell r="O1848">
            <v>67080</v>
          </cell>
          <cell r="P1848">
            <v>0</v>
          </cell>
          <cell r="Q1848" t="str">
            <v>한국</v>
          </cell>
          <cell r="R1848" t="str">
            <v>냉장</v>
          </cell>
          <cell r="S1848" t="str">
            <v>KG(1)</v>
          </cell>
          <cell r="T1848" t="str">
            <v/>
          </cell>
          <cell r="U1848" t="str">
            <v/>
          </cell>
          <cell r="V1848" t="str">
            <v>2018-11-07</v>
          </cell>
          <cell r="W1848" t="str">
            <v>2018-11-07 14:36:30</v>
          </cell>
          <cell r="X1848" t="str">
            <v>178921000</v>
          </cell>
        </row>
        <row r="1849">
          <cell r="A1849">
            <v>1845</v>
          </cell>
          <cell r="B1849" t="str">
            <v>2018-11-09</v>
          </cell>
          <cell r="C1849" t="str">
            <v>키즈락</v>
          </cell>
          <cell r="D1849">
            <v>0</v>
          </cell>
          <cell r="E1849" t="str">
            <v>일반</v>
          </cell>
          <cell r="F1849" t="str">
            <v>입고완료</v>
          </cell>
          <cell r="G1849">
            <v>154294</v>
          </cell>
          <cell r="H1849" t="str">
            <v>이츠웰 피자치즈(실속 자연산50% 2.5Kg/EA)</v>
          </cell>
          <cell r="I1849" t="str">
            <v>EA</v>
          </cell>
          <cell r="J1849">
            <v>3</v>
          </cell>
          <cell r="K1849">
            <v>3</v>
          </cell>
          <cell r="L1849">
            <v>16000</v>
          </cell>
          <cell r="M1849">
            <v>48000</v>
          </cell>
          <cell r="N1849">
            <v>4800</v>
          </cell>
          <cell r="O1849">
            <v>52800</v>
          </cell>
          <cell r="P1849">
            <v>0</v>
          </cell>
          <cell r="Q1849" t="str">
            <v/>
          </cell>
          <cell r="R1849" t="str">
            <v>냉장</v>
          </cell>
          <cell r="S1849" t="str">
            <v>EA(4)</v>
          </cell>
          <cell r="T1849" t="str">
            <v/>
          </cell>
          <cell r="U1849" t="str">
            <v/>
          </cell>
          <cell r="V1849" t="str">
            <v>2018-11-07</v>
          </cell>
          <cell r="W1849" t="str">
            <v>2018-11-07 14:41:03</v>
          </cell>
          <cell r="X1849" t="str">
            <v>178921000</v>
          </cell>
        </row>
        <row r="1850">
          <cell r="A1850">
            <v>1846</v>
          </cell>
          <cell r="B1850" t="str">
            <v>2018-11-09</v>
          </cell>
          <cell r="C1850" t="str">
            <v>키즈락</v>
          </cell>
          <cell r="D1850">
            <v>0</v>
          </cell>
          <cell r="E1850" t="str">
            <v>일반</v>
          </cell>
          <cell r="F1850" t="str">
            <v>입고완료</v>
          </cell>
          <cell r="G1850">
            <v>145349</v>
          </cell>
          <cell r="H1850" t="str">
            <v>이츠웰 사골엑기스(1Kg/EA)</v>
          </cell>
          <cell r="I1850" t="str">
            <v>EA</v>
          </cell>
          <cell r="J1850">
            <v>1</v>
          </cell>
          <cell r="K1850">
            <v>1</v>
          </cell>
          <cell r="L1850">
            <v>6080</v>
          </cell>
          <cell r="M1850">
            <v>6080</v>
          </cell>
          <cell r="N1850">
            <v>608</v>
          </cell>
          <cell r="O1850">
            <v>6688</v>
          </cell>
          <cell r="P1850">
            <v>0</v>
          </cell>
          <cell r="Q1850" t="str">
            <v>호주</v>
          </cell>
          <cell r="R1850" t="str">
            <v>실온</v>
          </cell>
          <cell r="S1850" t="str">
            <v>EA(10)</v>
          </cell>
          <cell r="T1850" t="str">
            <v/>
          </cell>
          <cell r="U1850" t="str">
            <v/>
          </cell>
          <cell r="V1850" t="str">
            <v>2018-11-08</v>
          </cell>
          <cell r="W1850" t="str">
            <v>2018-11-08 12:15:00</v>
          </cell>
          <cell r="X1850" t="str">
            <v>178921000</v>
          </cell>
        </row>
        <row r="1851">
          <cell r="A1851">
            <v>1847</v>
          </cell>
          <cell r="B1851" t="str">
            <v>2018-11-09</v>
          </cell>
          <cell r="C1851" t="str">
            <v>키즈락</v>
          </cell>
          <cell r="D1851">
            <v>0</v>
          </cell>
          <cell r="E1851" t="str">
            <v>일반</v>
          </cell>
          <cell r="F1851" t="str">
            <v>입고완료</v>
          </cell>
          <cell r="G1851">
            <v>145381</v>
          </cell>
          <cell r="H1851" t="str">
            <v>밀크마스터 흰우유(1L 1Kg/EA)</v>
          </cell>
          <cell r="I1851" t="str">
            <v>EA</v>
          </cell>
          <cell r="J1851">
            <v>1</v>
          </cell>
          <cell r="K1851">
            <v>1</v>
          </cell>
          <cell r="L1851">
            <v>1990</v>
          </cell>
          <cell r="M1851">
            <v>1990</v>
          </cell>
          <cell r="N1851">
            <v>0</v>
          </cell>
          <cell r="O1851">
            <v>1990</v>
          </cell>
          <cell r="P1851">
            <v>0</v>
          </cell>
          <cell r="Q1851" t="str">
            <v>한국</v>
          </cell>
          <cell r="R1851" t="str">
            <v>냉장</v>
          </cell>
          <cell r="S1851" t="str">
            <v>EA(16)</v>
          </cell>
          <cell r="T1851" t="str">
            <v/>
          </cell>
          <cell r="U1851" t="str">
            <v/>
          </cell>
          <cell r="V1851" t="str">
            <v>2018-11-08</v>
          </cell>
          <cell r="W1851" t="str">
            <v>2018-11-08 12:24:11</v>
          </cell>
          <cell r="X1851" t="str">
            <v>178921000</v>
          </cell>
        </row>
        <row r="1852">
          <cell r="A1852">
            <v>1848</v>
          </cell>
          <cell r="B1852" t="str">
            <v>2018-11-09</v>
          </cell>
          <cell r="C1852" t="str">
            <v>키즈락</v>
          </cell>
          <cell r="D1852">
            <v>0</v>
          </cell>
          <cell r="E1852" t="str">
            <v>일반</v>
          </cell>
          <cell r="F1852" t="str">
            <v>입고완료</v>
          </cell>
          <cell r="G1852">
            <v>512184</v>
          </cell>
          <cell r="H1852" t="str">
            <v>이츠웰 위생장갑(200매입 EA)</v>
          </cell>
          <cell r="I1852" t="str">
            <v>EA</v>
          </cell>
          <cell r="J1852">
            <v>10</v>
          </cell>
          <cell r="K1852">
            <v>10</v>
          </cell>
          <cell r="L1852">
            <v>2300</v>
          </cell>
          <cell r="M1852">
            <v>23000</v>
          </cell>
          <cell r="N1852">
            <v>2300</v>
          </cell>
          <cell r="O1852">
            <v>25300</v>
          </cell>
          <cell r="P1852">
            <v>0</v>
          </cell>
          <cell r="Q1852" t="str">
            <v/>
          </cell>
          <cell r="R1852" t="str">
            <v>실온</v>
          </cell>
          <cell r="S1852" t="str">
            <v>EA(40)</v>
          </cell>
          <cell r="T1852" t="str">
            <v/>
          </cell>
          <cell r="U1852" t="str">
            <v/>
          </cell>
          <cell r="V1852" t="str">
            <v>2018-11-08</v>
          </cell>
          <cell r="W1852" t="str">
            <v>2018-11-08 13:59:00</v>
          </cell>
          <cell r="X1852" t="str">
            <v>178921000</v>
          </cell>
        </row>
        <row r="1853">
          <cell r="A1853">
            <v>1849</v>
          </cell>
          <cell r="B1853" t="str">
            <v>2018-11-09</v>
          </cell>
          <cell r="C1853" t="str">
            <v>키즈락</v>
          </cell>
          <cell r="D1853">
            <v>0</v>
          </cell>
          <cell r="E1853" t="str">
            <v>일반</v>
          </cell>
          <cell r="F1853" t="str">
            <v>입고완료</v>
          </cell>
          <cell r="G1853">
            <v>192878</v>
          </cell>
          <cell r="H1853" t="str">
            <v>소이원 콩나물(곱슬이_단채 KG)</v>
          </cell>
          <cell r="I1853" t="str">
            <v>KG</v>
          </cell>
          <cell r="J1853">
            <v>44</v>
          </cell>
          <cell r="K1853">
            <v>44</v>
          </cell>
          <cell r="L1853">
            <v>930</v>
          </cell>
          <cell r="M1853">
            <v>40920</v>
          </cell>
          <cell r="N1853">
            <v>0</v>
          </cell>
          <cell r="O1853">
            <v>40920</v>
          </cell>
          <cell r="P1853">
            <v>0</v>
          </cell>
          <cell r="Q1853" t="str">
            <v>외국산</v>
          </cell>
          <cell r="R1853" t="str">
            <v>냉장</v>
          </cell>
          <cell r="S1853" t="str">
            <v>KG(1)</v>
          </cell>
          <cell r="T1853" t="str">
            <v/>
          </cell>
          <cell r="U1853" t="str">
            <v/>
          </cell>
          <cell r="V1853" t="str">
            <v>2018-11-08</v>
          </cell>
          <cell r="W1853" t="str">
            <v>2018-11-08 14:08:07</v>
          </cell>
          <cell r="X1853" t="str">
            <v>178921000</v>
          </cell>
        </row>
        <row r="1854">
          <cell r="A1854">
            <v>1850</v>
          </cell>
          <cell r="B1854" t="str">
            <v>2018-11-09</v>
          </cell>
          <cell r="C1854" t="str">
            <v>키즈락</v>
          </cell>
          <cell r="D1854">
            <v>0</v>
          </cell>
          <cell r="E1854" t="str">
            <v>일반</v>
          </cell>
          <cell r="F1854" t="str">
            <v>입고완료</v>
          </cell>
          <cell r="G1854">
            <v>260860</v>
          </cell>
          <cell r="H1854" t="str">
            <v>이츠웰 양파(중품 140~170g/개 15Kg/BOX)</v>
          </cell>
          <cell r="I1854" t="str">
            <v>BOX</v>
          </cell>
          <cell r="J1854">
            <v>2</v>
          </cell>
          <cell r="K1854">
            <v>2</v>
          </cell>
          <cell r="L1854">
            <v>15060</v>
          </cell>
          <cell r="M1854">
            <v>30120</v>
          </cell>
          <cell r="N1854">
            <v>0</v>
          </cell>
          <cell r="O1854">
            <v>30120</v>
          </cell>
          <cell r="P1854">
            <v>0</v>
          </cell>
          <cell r="Q1854" t="str">
            <v>한국</v>
          </cell>
          <cell r="R1854" t="str">
            <v>실온</v>
          </cell>
          <cell r="S1854" t="str">
            <v>BOX(1)</v>
          </cell>
          <cell r="T1854" t="str">
            <v/>
          </cell>
          <cell r="U1854" t="str">
            <v/>
          </cell>
          <cell r="V1854" t="str">
            <v>2018-11-08</v>
          </cell>
          <cell r="W1854" t="str">
            <v>2018-11-08 14:09:12</v>
          </cell>
          <cell r="X1854" t="str">
            <v>178921000</v>
          </cell>
        </row>
        <row r="1855">
          <cell r="A1855">
            <v>1851</v>
          </cell>
          <cell r="B1855" t="str">
            <v>2018-11-09</v>
          </cell>
          <cell r="C1855" t="str">
            <v>키즈락</v>
          </cell>
          <cell r="D1855">
            <v>0</v>
          </cell>
          <cell r="E1855" t="str">
            <v>일반</v>
          </cell>
          <cell r="F1855" t="str">
            <v>입고완료</v>
          </cell>
          <cell r="G1855">
            <v>256410</v>
          </cell>
          <cell r="H1855" t="str">
            <v>이츠웰 오징어채(무라사키_껍질있음 1Kg/EA)</v>
          </cell>
          <cell r="I1855" t="str">
            <v>EA</v>
          </cell>
          <cell r="J1855">
            <v>5</v>
          </cell>
          <cell r="K1855">
            <v>5</v>
          </cell>
          <cell r="L1855">
            <v>6530</v>
          </cell>
          <cell r="M1855">
            <v>32650</v>
          </cell>
          <cell r="N1855">
            <v>0</v>
          </cell>
          <cell r="O1855">
            <v>32650</v>
          </cell>
          <cell r="P1855">
            <v>0</v>
          </cell>
          <cell r="Q1855" t="str">
            <v>원양산</v>
          </cell>
          <cell r="R1855" t="str">
            <v>냉동</v>
          </cell>
          <cell r="S1855" t="str">
            <v>EA(10)</v>
          </cell>
          <cell r="T1855" t="str">
            <v/>
          </cell>
          <cell r="U1855" t="str">
            <v/>
          </cell>
          <cell r="V1855" t="str">
            <v>2018-11-08</v>
          </cell>
          <cell r="W1855" t="str">
            <v>2018-11-08 14:11:52</v>
          </cell>
          <cell r="X1855" t="str">
            <v>178921000</v>
          </cell>
        </row>
        <row r="1856">
          <cell r="A1856">
            <v>1852</v>
          </cell>
          <cell r="B1856" t="str">
            <v>2018-11-09</v>
          </cell>
          <cell r="C1856" t="str">
            <v>키즈락</v>
          </cell>
          <cell r="D1856">
            <v>0</v>
          </cell>
          <cell r="E1856" t="str">
            <v>일반</v>
          </cell>
          <cell r="F1856" t="str">
            <v>입고완료</v>
          </cell>
          <cell r="G1856">
            <v>198579</v>
          </cell>
          <cell r="H1856" t="str">
            <v>PRIDE 통새우(바나메이_41~50미 500g/EA)</v>
          </cell>
          <cell r="I1856" t="str">
            <v>EA</v>
          </cell>
          <cell r="J1856">
            <v>1</v>
          </cell>
          <cell r="K1856">
            <v>1</v>
          </cell>
          <cell r="L1856">
            <v>5670</v>
          </cell>
          <cell r="M1856">
            <v>5670</v>
          </cell>
          <cell r="N1856">
            <v>0</v>
          </cell>
          <cell r="O1856">
            <v>5670</v>
          </cell>
          <cell r="P1856">
            <v>0</v>
          </cell>
          <cell r="Q1856" t="str">
            <v>태국</v>
          </cell>
          <cell r="R1856" t="str">
            <v>냉동</v>
          </cell>
          <cell r="S1856" t="str">
            <v>EA(10)</v>
          </cell>
          <cell r="T1856" t="str">
            <v/>
          </cell>
          <cell r="U1856" t="str">
            <v/>
          </cell>
          <cell r="V1856" t="str">
            <v>2018-11-08</v>
          </cell>
          <cell r="W1856" t="str">
            <v>2018-11-08 14:13:25</v>
          </cell>
          <cell r="X1856" t="str">
            <v>178921000</v>
          </cell>
        </row>
        <row r="1857">
          <cell r="A1857">
            <v>1853</v>
          </cell>
          <cell r="B1857" t="str">
            <v>2018-11-09</v>
          </cell>
          <cell r="C1857" t="str">
            <v>키즈락</v>
          </cell>
          <cell r="D1857">
            <v>0</v>
          </cell>
          <cell r="E1857" t="str">
            <v>일반</v>
          </cell>
          <cell r="F1857" t="str">
            <v>입고완료</v>
          </cell>
          <cell r="G1857">
            <v>201152</v>
          </cell>
          <cell r="H1857" t="str">
            <v>깐도라지채(KG)</v>
          </cell>
          <cell r="I1857" t="str">
            <v>KG</v>
          </cell>
          <cell r="J1857">
            <v>6</v>
          </cell>
          <cell r="K1857">
            <v>6</v>
          </cell>
          <cell r="L1857">
            <v>5380</v>
          </cell>
          <cell r="M1857">
            <v>32280</v>
          </cell>
          <cell r="N1857">
            <v>0</v>
          </cell>
          <cell r="O1857">
            <v>32280</v>
          </cell>
          <cell r="P1857">
            <v>0</v>
          </cell>
          <cell r="Q1857" t="str">
            <v>중국</v>
          </cell>
          <cell r="R1857" t="str">
            <v>냉장</v>
          </cell>
          <cell r="S1857" t="str">
            <v>KG(1)</v>
          </cell>
          <cell r="T1857" t="str">
            <v/>
          </cell>
          <cell r="U1857" t="str">
            <v/>
          </cell>
          <cell r="V1857" t="str">
            <v>2018-11-08</v>
          </cell>
          <cell r="W1857" t="str">
            <v>2018-11-08 14:15:21</v>
          </cell>
          <cell r="X1857" t="str">
            <v>178921000</v>
          </cell>
        </row>
        <row r="1858">
          <cell r="A1858">
            <v>1854</v>
          </cell>
          <cell r="B1858" t="str">
            <v>2018-11-09</v>
          </cell>
          <cell r="C1858" t="str">
            <v>키즈락</v>
          </cell>
          <cell r="D1858">
            <v>0</v>
          </cell>
          <cell r="E1858" t="str">
            <v>일반</v>
          </cell>
          <cell r="F1858" t="str">
            <v>입고완료</v>
          </cell>
          <cell r="G1858">
            <v>257648</v>
          </cell>
          <cell r="H1858" t="str">
            <v>이음푸드 무말랭이무침(1Kg/EA)</v>
          </cell>
          <cell r="I1858" t="str">
            <v>EA</v>
          </cell>
          <cell r="J1858">
            <v>2</v>
          </cell>
          <cell r="K1858">
            <v>2</v>
          </cell>
          <cell r="L1858">
            <v>3970</v>
          </cell>
          <cell r="M1858">
            <v>7940</v>
          </cell>
          <cell r="N1858">
            <v>794</v>
          </cell>
          <cell r="O1858">
            <v>8734</v>
          </cell>
          <cell r="P1858">
            <v>0</v>
          </cell>
          <cell r="Q1858" t="str">
            <v/>
          </cell>
          <cell r="R1858" t="str">
            <v>냉장</v>
          </cell>
          <cell r="S1858" t="str">
            <v>EA(12)</v>
          </cell>
          <cell r="T1858" t="str">
            <v/>
          </cell>
          <cell r="U1858" t="str">
            <v/>
          </cell>
          <cell r="V1858" t="str">
            <v>2018-11-08</v>
          </cell>
          <cell r="W1858" t="str">
            <v>2018-11-08 14:16:28</v>
          </cell>
          <cell r="X1858" t="str">
            <v>178921000</v>
          </cell>
        </row>
        <row r="1859">
          <cell r="A1859">
            <v>1855</v>
          </cell>
          <cell r="B1859" t="str">
            <v>2018-11-09</v>
          </cell>
          <cell r="C1859" t="str">
            <v>키즈락</v>
          </cell>
          <cell r="D1859">
            <v>0</v>
          </cell>
          <cell r="E1859" t="str">
            <v>일반</v>
          </cell>
          <cell r="F1859" t="str">
            <v>입고완료</v>
          </cell>
          <cell r="G1859">
            <v>135999</v>
          </cell>
          <cell r="H1859" t="str">
            <v>반찬단지 무말랭이무침(4Kg/EA)</v>
          </cell>
          <cell r="I1859" t="str">
            <v>EA</v>
          </cell>
          <cell r="J1859">
            <v>2</v>
          </cell>
          <cell r="K1859">
            <v>2</v>
          </cell>
          <cell r="L1859">
            <v>11600</v>
          </cell>
          <cell r="M1859">
            <v>23200</v>
          </cell>
          <cell r="N1859">
            <v>2320</v>
          </cell>
          <cell r="O1859">
            <v>25520</v>
          </cell>
          <cell r="P1859">
            <v>0</v>
          </cell>
          <cell r="Q1859" t="str">
            <v>중국</v>
          </cell>
          <cell r="R1859" t="str">
            <v>냉장</v>
          </cell>
          <cell r="S1859" t="str">
            <v>EA(4)</v>
          </cell>
          <cell r="T1859" t="str">
            <v/>
          </cell>
          <cell r="U1859" t="str">
            <v/>
          </cell>
          <cell r="V1859" t="str">
            <v>2018-11-08</v>
          </cell>
          <cell r="W1859" t="str">
            <v>2018-11-08 14:16:28</v>
          </cell>
          <cell r="X1859" t="str">
            <v>178921000</v>
          </cell>
        </row>
        <row r="1860">
          <cell r="A1860">
            <v>1856</v>
          </cell>
          <cell r="B1860" t="str">
            <v>2018-11-09</v>
          </cell>
          <cell r="C1860" t="str">
            <v>키즈락</v>
          </cell>
          <cell r="D1860">
            <v>0</v>
          </cell>
          <cell r="E1860" t="str">
            <v>일반</v>
          </cell>
          <cell r="F1860" t="str">
            <v>입고완료</v>
          </cell>
          <cell r="G1860">
            <v>420010</v>
          </cell>
          <cell r="H1860" t="str">
            <v>알로팜 계란(왕란_무항생제_68g*30입 2.04Kg/EA)</v>
          </cell>
          <cell r="I1860" t="str">
            <v>EA</v>
          </cell>
          <cell r="J1860">
            <v>5</v>
          </cell>
          <cell r="K1860">
            <v>5</v>
          </cell>
          <cell r="L1860">
            <v>5130</v>
          </cell>
          <cell r="M1860">
            <v>25650</v>
          </cell>
          <cell r="N1860">
            <v>0</v>
          </cell>
          <cell r="O1860">
            <v>25650</v>
          </cell>
          <cell r="P1860">
            <v>25650</v>
          </cell>
          <cell r="Q1860" t="str">
            <v>한국</v>
          </cell>
          <cell r="R1860" t="str">
            <v>냉장</v>
          </cell>
          <cell r="S1860" t="str">
            <v>EA(1)</v>
          </cell>
          <cell r="T1860" t="str">
            <v/>
          </cell>
          <cell r="U1860" t="str">
            <v/>
          </cell>
          <cell r="V1860" t="str">
            <v>2018-11-08</v>
          </cell>
          <cell r="W1860" t="str">
            <v>2018-11-08 14:17:11</v>
          </cell>
          <cell r="X1860" t="str">
            <v>178921000</v>
          </cell>
        </row>
        <row r="1861">
          <cell r="A1861">
            <v>1857</v>
          </cell>
          <cell r="B1861" t="str">
            <v>2018-11-09</v>
          </cell>
          <cell r="C1861" t="str">
            <v>키즈락</v>
          </cell>
          <cell r="D1861">
            <v>0</v>
          </cell>
          <cell r="E1861" t="str">
            <v>일반</v>
          </cell>
          <cell r="F1861" t="str">
            <v>입고완료</v>
          </cell>
          <cell r="G1861">
            <v>168258</v>
          </cell>
          <cell r="H1861" t="str">
            <v>명품 판두부(부침용 3Kg/EA)</v>
          </cell>
          <cell r="I1861" t="str">
            <v>EA</v>
          </cell>
          <cell r="J1861">
            <v>11</v>
          </cell>
          <cell r="K1861">
            <v>11</v>
          </cell>
          <cell r="L1861">
            <v>4000</v>
          </cell>
          <cell r="M1861">
            <v>44000</v>
          </cell>
          <cell r="N1861">
            <v>0</v>
          </cell>
          <cell r="O1861">
            <v>44000</v>
          </cell>
          <cell r="P1861">
            <v>0</v>
          </cell>
          <cell r="Q1861" t="str">
            <v>수입산</v>
          </cell>
          <cell r="R1861" t="str">
            <v>냉장</v>
          </cell>
          <cell r="S1861" t="str">
            <v>EA(1)</v>
          </cell>
          <cell r="T1861" t="str">
            <v/>
          </cell>
          <cell r="U1861" t="str">
            <v/>
          </cell>
          <cell r="V1861" t="str">
            <v>2018-11-08</v>
          </cell>
          <cell r="W1861" t="str">
            <v>2018-11-08 14:19:56</v>
          </cell>
          <cell r="X1861" t="str">
            <v>178921000</v>
          </cell>
        </row>
        <row r="1862">
          <cell r="A1862">
            <v>1858</v>
          </cell>
          <cell r="B1862" t="str">
            <v>2018-11-09</v>
          </cell>
          <cell r="C1862" t="str">
            <v>키즈락</v>
          </cell>
          <cell r="D1862">
            <v>0</v>
          </cell>
          <cell r="E1862" t="str">
            <v>일반</v>
          </cell>
          <cell r="F1862" t="str">
            <v>입고완료</v>
          </cell>
          <cell r="G1862">
            <v>193090</v>
          </cell>
          <cell r="H1862" t="str">
            <v>냉동감자(절단_3~4cm 1Kg/EA)</v>
          </cell>
          <cell r="I1862" t="str">
            <v>EA</v>
          </cell>
          <cell r="J1862">
            <v>5</v>
          </cell>
          <cell r="K1862">
            <v>5</v>
          </cell>
          <cell r="L1862">
            <v>1980</v>
          </cell>
          <cell r="M1862">
            <v>9900</v>
          </cell>
          <cell r="N1862">
            <v>990</v>
          </cell>
          <cell r="O1862">
            <v>10890</v>
          </cell>
          <cell r="P1862">
            <v>0</v>
          </cell>
          <cell r="Q1862" t="str">
            <v>중국</v>
          </cell>
          <cell r="R1862" t="str">
            <v>냉동</v>
          </cell>
          <cell r="S1862" t="str">
            <v>EA(1)</v>
          </cell>
          <cell r="T1862" t="str">
            <v/>
          </cell>
          <cell r="U1862" t="str">
            <v/>
          </cell>
          <cell r="V1862" t="str">
            <v>2018-11-08</v>
          </cell>
          <cell r="W1862" t="str">
            <v>2018-11-08 14:30:43</v>
          </cell>
          <cell r="X1862" t="str">
            <v>178921000</v>
          </cell>
        </row>
        <row r="1863">
          <cell r="A1863">
            <v>1859</v>
          </cell>
          <cell r="B1863" t="str">
            <v>2018-11-09</v>
          </cell>
          <cell r="C1863" t="str">
            <v>키즈락</v>
          </cell>
          <cell r="D1863">
            <v>0</v>
          </cell>
          <cell r="E1863" t="str">
            <v>일반</v>
          </cell>
          <cell r="F1863" t="str">
            <v>입고완료</v>
          </cell>
          <cell r="G1863">
            <v>237935</v>
          </cell>
          <cell r="H1863" t="str">
            <v>이츠웰 탈피들깨가루(1Kg/EA)</v>
          </cell>
          <cell r="I1863" t="str">
            <v>EA</v>
          </cell>
          <cell r="J1863">
            <v>1</v>
          </cell>
          <cell r="K1863">
            <v>1</v>
          </cell>
          <cell r="L1863">
            <v>9210</v>
          </cell>
          <cell r="M1863">
            <v>9210</v>
          </cell>
          <cell r="N1863">
            <v>921</v>
          </cell>
          <cell r="O1863">
            <v>10131</v>
          </cell>
          <cell r="P1863">
            <v>0</v>
          </cell>
          <cell r="Q1863" t="str">
            <v/>
          </cell>
          <cell r="R1863" t="str">
            <v>실온</v>
          </cell>
          <cell r="S1863" t="str">
            <v>EA(10)</v>
          </cell>
          <cell r="T1863" t="str">
            <v/>
          </cell>
          <cell r="U1863" t="str">
            <v/>
          </cell>
          <cell r="V1863" t="str">
            <v>2018-11-08</v>
          </cell>
          <cell r="W1863" t="str">
            <v>2018-11-08 14:31:12</v>
          </cell>
          <cell r="X1863" t="str">
            <v>178921000</v>
          </cell>
        </row>
        <row r="1864">
          <cell r="A1864">
            <v>1860</v>
          </cell>
          <cell r="B1864" t="str">
            <v>2018-11-09</v>
          </cell>
          <cell r="C1864" t="str">
            <v>키즈락</v>
          </cell>
          <cell r="D1864">
            <v>0</v>
          </cell>
          <cell r="E1864" t="str">
            <v>일반</v>
          </cell>
          <cell r="F1864" t="str">
            <v>입고완료</v>
          </cell>
          <cell r="G1864">
            <v>211696</v>
          </cell>
          <cell r="H1864" t="str">
            <v>건시래기(데친것 KG)</v>
          </cell>
          <cell r="I1864" t="str">
            <v>KG</v>
          </cell>
          <cell r="J1864">
            <v>9</v>
          </cell>
          <cell r="K1864">
            <v>9</v>
          </cell>
          <cell r="L1864">
            <v>2740</v>
          </cell>
          <cell r="M1864">
            <v>24660</v>
          </cell>
          <cell r="N1864">
            <v>0</v>
          </cell>
          <cell r="O1864">
            <v>24660</v>
          </cell>
          <cell r="P1864">
            <v>0</v>
          </cell>
          <cell r="Q1864" t="str">
            <v>한국</v>
          </cell>
          <cell r="R1864" t="str">
            <v>냉장</v>
          </cell>
          <cell r="S1864" t="str">
            <v>KG(1)</v>
          </cell>
          <cell r="T1864" t="str">
            <v/>
          </cell>
          <cell r="U1864" t="str">
            <v/>
          </cell>
          <cell r="V1864" t="str">
            <v>2018-11-08</v>
          </cell>
          <cell r="W1864" t="str">
            <v>2018-11-08 14:36:12</v>
          </cell>
          <cell r="X1864" t="str">
            <v>178921000</v>
          </cell>
        </row>
        <row r="1865">
          <cell r="A1865">
            <v>1861</v>
          </cell>
          <cell r="B1865" t="str">
            <v>2018-11-09</v>
          </cell>
          <cell r="C1865" t="str">
            <v>키즈락</v>
          </cell>
          <cell r="D1865">
            <v>0</v>
          </cell>
          <cell r="E1865" t="str">
            <v>일반</v>
          </cell>
          <cell r="F1865" t="str">
            <v>입고완료</v>
          </cell>
          <cell r="G1865">
            <v>319698</v>
          </cell>
          <cell r="H1865" t="str">
            <v>전장김(25g/EA)</v>
          </cell>
          <cell r="I1865" t="str">
            <v>EA</v>
          </cell>
          <cell r="J1865">
            <v>25</v>
          </cell>
          <cell r="K1865">
            <v>25</v>
          </cell>
          <cell r="L1865">
            <v>760</v>
          </cell>
          <cell r="M1865">
            <v>19000</v>
          </cell>
          <cell r="N1865">
            <v>1900</v>
          </cell>
          <cell r="O1865">
            <v>20900</v>
          </cell>
          <cell r="P1865">
            <v>0</v>
          </cell>
          <cell r="Q1865" t="str">
            <v>한국</v>
          </cell>
          <cell r="R1865" t="str">
            <v>실온</v>
          </cell>
          <cell r="S1865" t="str">
            <v>EA(40)</v>
          </cell>
          <cell r="T1865" t="str">
            <v/>
          </cell>
          <cell r="U1865" t="str">
            <v/>
          </cell>
          <cell r="V1865" t="str">
            <v>2018-11-08</v>
          </cell>
          <cell r="W1865" t="str">
            <v>2018-11-08 14:37:42</v>
          </cell>
          <cell r="X1865" t="str">
            <v>178921000</v>
          </cell>
        </row>
        <row r="1866">
          <cell r="A1866">
            <v>1862</v>
          </cell>
          <cell r="B1866" t="str">
            <v>2018-11-09</v>
          </cell>
          <cell r="C1866" t="str">
            <v>키즈락</v>
          </cell>
          <cell r="D1866">
            <v>0</v>
          </cell>
          <cell r="E1866" t="str">
            <v>일반</v>
          </cell>
          <cell r="F1866" t="str">
            <v>입고완료</v>
          </cell>
          <cell r="G1866">
            <v>249240</v>
          </cell>
          <cell r="H1866" t="str">
            <v>파스타빌라 스파게티(500g/EA)</v>
          </cell>
          <cell r="I1866" t="str">
            <v>EA</v>
          </cell>
          <cell r="J1866">
            <v>7</v>
          </cell>
          <cell r="K1866">
            <v>7</v>
          </cell>
          <cell r="L1866">
            <v>690</v>
          </cell>
          <cell r="M1866">
            <v>4830</v>
          </cell>
          <cell r="N1866">
            <v>483</v>
          </cell>
          <cell r="O1866">
            <v>5313</v>
          </cell>
          <cell r="P1866">
            <v>0</v>
          </cell>
          <cell r="Q1866" t="str">
            <v>터키</v>
          </cell>
          <cell r="R1866" t="str">
            <v>실온</v>
          </cell>
          <cell r="S1866" t="str">
            <v>EA(20)</v>
          </cell>
          <cell r="T1866" t="str">
            <v/>
          </cell>
          <cell r="U1866" t="str">
            <v/>
          </cell>
          <cell r="V1866" t="str">
            <v>2018-11-08</v>
          </cell>
          <cell r="W1866" t="str">
            <v>2018-11-08 14:38:15</v>
          </cell>
          <cell r="X1866" t="str">
            <v>178921000</v>
          </cell>
        </row>
        <row r="1867">
          <cell r="A1867">
            <v>1863</v>
          </cell>
          <cell r="B1867" t="str">
            <v>2018-11-09</v>
          </cell>
          <cell r="C1867" t="str">
            <v>키즈락</v>
          </cell>
          <cell r="D1867">
            <v>0</v>
          </cell>
          <cell r="E1867" t="str">
            <v>일반</v>
          </cell>
          <cell r="F1867" t="str">
            <v>입고완료</v>
          </cell>
          <cell r="G1867">
            <v>137759</v>
          </cell>
          <cell r="H1867" t="str">
            <v>이츠웰 토마토스파게티소스(NEW 2Kg/EA)</v>
          </cell>
          <cell r="I1867" t="str">
            <v>EA</v>
          </cell>
          <cell r="J1867">
            <v>6</v>
          </cell>
          <cell r="K1867">
            <v>6</v>
          </cell>
          <cell r="L1867">
            <v>7180</v>
          </cell>
          <cell r="M1867">
            <v>43080</v>
          </cell>
          <cell r="N1867">
            <v>4308</v>
          </cell>
          <cell r="O1867">
            <v>47388</v>
          </cell>
          <cell r="P1867">
            <v>0</v>
          </cell>
          <cell r="Q1867" t="str">
            <v/>
          </cell>
          <cell r="R1867" t="str">
            <v>냉장</v>
          </cell>
          <cell r="S1867" t="str">
            <v>EA(6)</v>
          </cell>
          <cell r="T1867" t="str">
            <v/>
          </cell>
          <cell r="U1867" t="str">
            <v/>
          </cell>
          <cell r="V1867" t="str">
            <v>2018-11-08</v>
          </cell>
          <cell r="W1867" t="str">
            <v>2018-11-08 14:38:59</v>
          </cell>
          <cell r="X1867" t="str">
            <v>178921000</v>
          </cell>
        </row>
        <row r="1868">
          <cell r="A1868">
            <v>1864</v>
          </cell>
          <cell r="B1868" t="str">
            <v>2018-11-09</v>
          </cell>
          <cell r="C1868" t="str">
            <v>키즈락</v>
          </cell>
          <cell r="D1868">
            <v>0</v>
          </cell>
          <cell r="E1868" t="str">
            <v>일반</v>
          </cell>
          <cell r="F1868" t="str">
            <v>입고완료</v>
          </cell>
          <cell r="G1868">
            <v>252267</v>
          </cell>
          <cell r="H1868" t="str">
            <v>이츠웰 주방세제(리뉴얼_그린알로_13kg EA)</v>
          </cell>
          <cell r="I1868" t="str">
            <v>EA</v>
          </cell>
          <cell r="J1868">
            <v>1</v>
          </cell>
          <cell r="K1868">
            <v>1</v>
          </cell>
          <cell r="L1868">
            <v>11190</v>
          </cell>
          <cell r="M1868">
            <v>11190</v>
          </cell>
          <cell r="N1868">
            <v>1119</v>
          </cell>
          <cell r="O1868">
            <v>12309</v>
          </cell>
          <cell r="P1868">
            <v>0</v>
          </cell>
          <cell r="Q1868" t="str">
            <v/>
          </cell>
          <cell r="R1868" t="str">
            <v>실온</v>
          </cell>
          <cell r="S1868" t="str">
            <v>EA(1)</v>
          </cell>
          <cell r="T1868" t="str">
            <v/>
          </cell>
          <cell r="U1868" t="str">
            <v/>
          </cell>
          <cell r="V1868" t="str">
            <v>2018-11-08</v>
          </cell>
          <cell r="W1868" t="str">
            <v>2018-11-08 14:59:46</v>
          </cell>
          <cell r="X1868" t="str">
            <v>178921000</v>
          </cell>
        </row>
        <row r="1869">
          <cell r="A1869">
            <v>1865</v>
          </cell>
          <cell r="B1869" t="str">
            <v>2018-11-08</v>
          </cell>
          <cell r="C1869">
            <v>0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</row>
        <row r="1870">
          <cell r="A1870">
            <v>1866</v>
          </cell>
          <cell r="B1870" t="str">
            <v>2018-11-08</v>
          </cell>
          <cell r="C1870" t="str">
            <v>키즈락</v>
          </cell>
          <cell r="D1870">
            <v>0</v>
          </cell>
          <cell r="E1870" t="str">
            <v>일반</v>
          </cell>
          <cell r="F1870" t="str">
            <v>입고완료</v>
          </cell>
          <cell r="G1870">
            <v>234169</v>
          </cell>
          <cell r="H1870" t="str">
            <v>삼립식품 생크림파운드(미니_개별포장_10개입 360g/EA)</v>
          </cell>
          <cell r="I1870" t="str">
            <v>EA</v>
          </cell>
          <cell r="J1870">
            <v>26</v>
          </cell>
          <cell r="K1870">
            <v>26</v>
          </cell>
          <cell r="L1870">
            <v>4280</v>
          </cell>
          <cell r="M1870">
            <v>111280</v>
          </cell>
          <cell r="N1870">
            <v>11128</v>
          </cell>
          <cell r="O1870">
            <v>122408</v>
          </cell>
          <cell r="P1870">
            <v>0</v>
          </cell>
          <cell r="Q1870" t="str">
            <v/>
          </cell>
          <cell r="R1870" t="str">
            <v>실온</v>
          </cell>
          <cell r="S1870" t="str">
            <v>EA(3)</v>
          </cell>
          <cell r="T1870" t="str">
            <v/>
          </cell>
          <cell r="U1870" t="str">
            <v/>
          </cell>
          <cell r="V1870" t="str">
            <v>2018-11-02</v>
          </cell>
          <cell r="W1870" t="str">
            <v>2018-11-02 14:56:01</v>
          </cell>
          <cell r="X1870" t="str">
            <v>178921000</v>
          </cell>
        </row>
        <row r="1871">
          <cell r="A1871">
            <v>1867</v>
          </cell>
          <cell r="B1871" t="str">
            <v>2018-11-08</v>
          </cell>
          <cell r="C1871" t="str">
            <v>키즈락</v>
          </cell>
          <cell r="D1871">
            <v>0</v>
          </cell>
          <cell r="E1871" t="str">
            <v>일반</v>
          </cell>
          <cell r="F1871" t="str">
            <v>입고완료</v>
          </cell>
          <cell r="G1871">
            <v>201296</v>
          </cell>
          <cell r="H1871" t="str">
            <v>건고사리(데친것 KG)</v>
          </cell>
          <cell r="I1871" t="str">
            <v>KG</v>
          </cell>
          <cell r="J1871">
            <v>18</v>
          </cell>
          <cell r="K1871">
            <v>18</v>
          </cell>
          <cell r="L1871">
            <v>3910</v>
          </cell>
          <cell r="M1871">
            <v>70380</v>
          </cell>
          <cell r="N1871">
            <v>0</v>
          </cell>
          <cell r="O1871">
            <v>70380</v>
          </cell>
          <cell r="P1871">
            <v>0</v>
          </cell>
          <cell r="Q1871" t="str">
            <v>중국</v>
          </cell>
          <cell r="R1871" t="str">
            <v>냉장</v>
          </cell>
          <cell r="S1871" t="str">
            <v>KG(1)</v>
          </cell>
          <cell r="T1871" t="str">
            <v/>
          </cell>
          <cell r="U1871" t="str">
            <v/>
          </cell>
          <cell r="V1871" t="str">
            <v>2018-11-06</v>
          </cell>
          <cell r="W1871" t="str">
            <v>2018-11-06 14:13:16</v>
          </cell>
          <cell r="X1871" t="str">
            <v>178921000</v>
          </cell>
        </row>
        <row r="1872">
          <cell r="A1872">
            <v>1868</v>
          </cell>
          <cell r="B1872" t="str">
            <v>2018-11-08</v>
          </cell>
          <cell r="C1872" t="str">
            <v>키즈락</v>
          </cell>
          <cell r="D1872">
            <v>0</v>
          </cell>
          <cell r="E1872" t="str">
            <v>일반</v>
          </cell>
          <cell r="F1872" t="str">
            <v>입고완료</v>
          </cell>
          <cell r="G1872">
            <v>119483</v>
          </cell>
          <cell r="H1872" t="str">
            <v>이츠웰 게맛살(1Kg/EA)</v>
          </cell>
          <cell r="I1872" t="str">
            <v>EA</v>
          </cell>
          <cell r="J1872">
            <v>1</v>
          </cell>
          <cell r="K1872">
            <v>1</v>
          </cell>
          <cell r="L1872">
            <v>2790</v>
          </cell>
          <cell r="M1872">
            <v>2790</v>
          </cell>
          <cell r="N1872">
            <v>279</v>
          </cell>
          <cell r="O1872">
            <v>3069</v>
          </cell>
          <cell r="P1872">
            <v>0</v>
          </cell>
          <cell r="Q1872" t="str">
            <v/>
          </cell>
          <cell r="R1872" t="str">
            <v>냉장</v>
          </cell>
          <cell r="S1872" t="str">
            <v>EA(10)</v>
          </cell>
          <cell r="T1872" t="str">
            <v/>
          </cell>
          <cell r="U1872" t="str">
            <v/>
          </cell>
          <cell r="V1872" t="str">
            <v>2018-11-07</v>
          </cell>
          <cell r="W1872" t="str">
            <v>2018-11-07 13:23:03</v>
          </cell>
          <cell r="X1872" t="str">
            <v>178921000</v>
          </cell>
        </row>
        <row r="1873">
          <cell r="A1873">
            <v>1869</v>
          </cell>
          <cell r="B1873" t="str">
            <v>2018-11-08</v>
          </cell>
          <cell r="C1873" t="str">
            <v>키즈락</v>
          </cell>
          <cell r="D1873">
            <v>0</v>
          </cell>
          <cell r="E1873" t="str">
            <v>일반</v>
          </cell>
          <cell r="F1873" t="str">
            <v>입고완료</v>
          </cell>
          <cell r="G1873">
            <v>215857</v>
          </cell>
          <cell r="H1873" t="str">
            <v>냉동다진마늘(1Kg/EA)</v>
          </cell>
          <cell r="I1873" t="str">
            <v>EA</v>
          </cell>
          <cell r="J1873">
            <v>20</v>
          </cell>
          <cell r="K1873">
            <v>20</v>
          </cell>
          <cell r="L1873">
            <v>2730</v>
          </cell>
          <cell r="M1873">
            <v>54600</v>
          </cell>
          <cell r="N1873">
            <v>0</v>
          </cell>
          <cell r="O1873">
            <v>54600</v>
          </cell>
          <cell r="P1873">
            <v>0</v>
          </cell>
          <cell r="Q1873" t="str">
            <v>중국</v>
          </cell>
          <cell r="R1873" t="str">
            <v>냉동</v>
          </cell>
          <cell r="S1873" t="str">
            <v>EA(10)</v>
          </cell>
          <cell r="T1873" t="str">
            <v/>
          </cell>
          <cell r="U1873" t="str">
            <v/>
          </cell>
          <cell r="V1873" t="str">
            <v>2018-11-07</v>
          </cell>
          <cell r="W1873" t="str">
            <v>2018-11-07 14:01:36</v>
          </cell>
          <cell r="X1873" t="str">
            <v>178921000</v>
          </cell>
        </row>
        <row r="1874">
          <cell r="A1874">
            <v>1870</v>
          </cell>
          <cell r="B1874" t="str">
            <v>2018-11-08</v>
          </cell>
          <cell r="C1874" t="str">
            <v>키즈락</v>
          </cell>
          <cell r="D1874">
            <v>0</v>
          </cell>
          <cell r="E1874" t="str">
            <v>일반</v>
          </cell>
          <cell r="F1874" t="str">
            <v>입고완료</v>
          </cell>
          <cell r="G1874">
            <v>204973</v>
          </cell>
          <cell r="H1874" t="str">
            <v>냉동대파(1Kg/PAC)</v>
          </cell>
          <cell r="I1874" t="str">
            <v>PAC</v>
          </cell>
          <cell r="J1874">
            <v>20</v>
          </cell>
          <cell r="K1874">
            <v>20</v>
          </cell>
          <cell r="L1874">
            <v>1400</v>
          </cell>
          <cell r="M1874">
            <v>28000</v>
          </cell>
          <cell r="N1874">
            <v>0</v>
          </cell>
          <cell r="O1874">
            <v>28000</v>
          </cell>
          <cell r="P1874">
            <v>0</v>
          </cell>
          <cell r="Q1874" t="str">
            <v>중국</v>
          </cell>
          <cell r="R1874" t="str">
            <v>냉동</v>
          </cell>
          <cell r="S1874" t="str">
            <v>PAC(1)</v>
          </cell>
          <cell r="T1874" t="str">
            <v/>
          </cell>
          <cell r="U1874" t="str">
            <v/>
          </cell>
          <cell r="V1874" t="str">
            <v>2018-11-07</v>
          </cell>
          <cell r="W1874" t="str">
            <v>2018-11-07 14:01:36</v>
          </cell>
          <cell r="X1874" t="str">
            <v>178921000</v>
          </cell>
        </row>
        <row r="1875">
          <cell r="A1875">
            <v>1871</v>
          </cell>
          <cell r="B1875" t="str">
            <v>2018-11-08</v>
          </cell>
          <cell r="C1875" t="str">
            <v>키즈락</v>
          </cell>
          <cell r="D1875">
            <v>0</v>
          </cell>
          <cell r="E1875" t="str">
            <v>일반</v>
          </cell>
          <cell r="F1875" t="str">
            <v>입고완료</v>
          </cell>
          <cell r="G1875">
            <v>153812</v>
          </cell>
          <cell r="H1875" t="str">
            <v>서원 흑후추분말(450g/EA)</v>
          </cell>
          <cell r="I1875" t="str">
            <v>EA</v>
          </cell>
          <cell r="J1875">
            <v>1</v>
          </cell>
          <cell r="K1875">
            <v>1</v>
          </cell>
          <cell r="L1875">
            <v>8550</v>
          </cell>
          <cell r="M1875">
            <v>8550</v>
          </cell>
          <cell r="N1875">
            <v>0</v>
          </cell>
          <cell r="O1875">
            <v>8550</v>
          </cell>
          <cell r="P1875">
            <v>0</v>
          </cell>
          <cell r="Q1875" t="str">
            <v/>
          </cell>
          <cell r="R1875" t="str">
            <v>실온</v>
          </cell>
          <cell r="S1875" t="str">
            <v>EA(20)</v>
          </cell>
          <cell r="T1875" t="str">
            <v/>
          </cell>
          <cell r="U1875" t="str">
            <v/>
          </cell>
          <cell r="V1875" t="str">
            <v>2018-11-07</v>
          </cell>
          <cell r="W1875" t="str">
            <v>2018-11-07 14:07:15</v>
          </cell>
          <cell r="X1875" t="str">
            <v>178921000</v>
          </cell>
        </row>
        <row r="1876">
          <cell r="A1876">
            <v>1872</v>
          </cell>
          <cell r="B1876" t="str">
            <v>2018-11-07</v>
          </cell>
          <cell r="C1876">
            <v>0</v>
          </cell>
          <cell r="D1876">
            <v>0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</row>
        <row r="1877">
          <cell r="A1877">
            <v>1873</v>
          </cell>
          <cell r="B1877" t="str">
            <v>2018-11-07</v>
          </cell>
          <cell r="C1877" t="str">
            <v>키즈락</v>
          </cell>
          <cell r="D1877">
            <v>0</v>
          </cell>
          <cell r="E1877" t="str">
            <v>일반</v>
          </cell>
          <cell r="F1877" t="str">
            <v>입고완료</v>
          </cell>
          <cell r="G1877">
            <v>264369</v>
          </cell>
          <cell r="H1877" t="str">
            <v>롯데제과증평 미니딸기샌드(65g/EA)</v>
          </cell>
          <cell r="I1877" t="str">
            <v>EA</v>
          </cell>
          <cell r="J1877">
            <v>24</v>
          </cell>
          <cell r="K1877">
            <v>24</v>
          </cell>
          <cell r="L1877">
            <v>580</v>
          </cell>
          <cell r="M1877">
            <v>13920</v>
          </cell>
          <cell r="N1877">
            <v>1392</v>
          </cell>
          <cell r="O1877">
            <v>15312</v>
          </cell>
          <cell r="P1877">
            <v>0</v>
          </cell>
          <cell r="Q1877" t="str">
            <v/>
          </cell>
          <cell r="R1877" t="str">
            <v>실온</v>
          </cell>
          <cell r="S1877" t="str">
            <v>EA(1)</v>
          </cell>
          <cell r="T1877" t="str">
            <v/>
          </cell>
          <cell r="U1877" t="str">
            <v/>
          </cell>
          <cell r="V1877" t="str">
            <v>2018-11-02</v>
          </cell>
          <cell r="W1877" t="str">
            <v>2018-11-02 14:57:24</v>
          </cell>
          <cell r="X1877" t="str">
            <v>178921000</v>
          </cell>
        </row>
        <row r="1878">
          <cell r="A1878">
            <v>1874</v>
          </cell>
          <cell r="B1878" t="str">
            <v>2018-11-07</v>
          </cell>
          <cell r="C1878" t="str">
            <v>키즈락</v>
          </cell>
          <cell r="D1878">
            <v>0</v>
          </cell>
          <cell r="E1878" t="str">
            <v>일반</v>
          </cell>
          <cell r="F1878" t="str">
            <v>입고완료</v>
          </cell>
          <cell r="G1878">
            <v>136633</v>
          </cell>
          <cell r="H1878" t="str">
            <v>이오 요구르트(80ml_유기농 80g/EA)</v>
          </cell>
          <cell r="I1878" t="str">
            <v>EA</v>
          </cell>
          <cell r="J1878">
            <v>168</v>
          </cell>
          <cell r="K1878">
            <v>168</v>
          </cell>
          <cell r="L1878">
            <v>300</v>
          </cell>
          <cell r="M1878">
            <v>50400</v>
          </cell>
          <cell r="N1878">
            <v>5040</v>
          </cell>
          <cell r="O1878">
            <v>55440</v>
          </cell>
          <cell r="P1878">
            <v>0</v>
          </cell>
          <cell r="Q1878" t="str">
            <v>한국</v>
          </cell>
          <cell r="R1878" t="str">
            <v>냉장</v>
          </cell>
          <cell r="S1878" t="str">
            <v>EA(50)</v>
          </cell>
          <cell r="T1878" t="str">
            <v/>
          </cell>
          <cell r="U1878" t="str">
            <v/>
          </cell>
          <cell r="V1878" t="str">
            <v>2018-11-02</v>
          </cell>
          <cell r="W1878" t="str">
            <v>2018-11-02 14:58:34</v>
          </cell>
          <cell r="X1878" t="str">
            <v>178921000</v>
          </cell>
        </row>
        <row r="1879">
          <cell r="A1879">
            <v>1875</v>
          </cell>
          <cell r="B1879" t="str">
            <v>2018-11-07</v>
          </cell>
          <cell r="C1879" t="str">
            <v>키즈락</v>
          </cell>
          <cell r="D1879">
            <v>0</v>
          </cell>
          <cell r="E1879" t="str">
            <v>일반</v>
          </cell>
          <cell r="F1879" t="str">
            <v>입고완료</v>
          </cell>
          <cell r="G1879">
            <v>308191</v>
          </cell>
          <cell r="H1879" t="str">
            <v>조기(무염_50~70g/마리 60g/EA)</v>
          </cell>
          <cell r="I1879" t="str">
            <v>EA</v>
          </cell>
          <cell r="J1879">
            <v>80</v>
          </cell>
          <cell r="K1879">
            <v>80</v>
          </cell>
          <cell r="L1879">
            <v>430</v>
          </cell>
          <cell r="M1879">
            <v>34400</v>
          </cell>
          <cell r="N1879">
            <v>0</v>
          </cell>
          <cell r="O1879">
            <v>34400</v>
          </cell>
          <cell r="P1879">
            <v>0</v>
          </cell>
          <cell r="Q1879" t="str">
            <v>중국</v>
          </cell>
          <cell r="R1879" t="str">
            <v>냉동</v>
          </cell>
          <cell r="S1879" t="str">
            <v>EA(1)</v>
          </cell>
          <cell r="T1879" t="str">
            <v/>
          </cell>
          <cell r="U1879" t="str">
            <v/>
          </cell>
          <cell r="V1879" t="str">
            <v>2018-11-06</v>
          </cell>
          <cell r="W1879" t="str">
            <v>2018-11-06 13:43:34</v>
          </cell>
          <cell r="X1879" t="str">
            <v>178921000</v>
          </cell>
        </row>
        <row r="1880">
          <cell r="A1880">
            <v>1876</v>
          </cell>
          <cell r="B1880" t="str">
            <v>2018-11-07</v>
          </cell>
          <cell r="C1880" t="str">
            <v>키즈락</v>
          </cell>
          <cell r="D1880">
            <v>0</v>
          </cell>
          <cell r="E1880" t="str">
            <v>일반</v>
          </cell>
          <cell r="F1880" t="str">
            <v>입고완료</v>
          </cell>
          <cell r="G1880">
            <v>319720</v>
          </cell>
          <cell r="H1880" t="str">
            <v>건파래(찢은것 500g/EA)</v>
          </cell>
          <cell r="I1880" t="str">
            <v>EA</v>
          </cell>
          <cell r="J1880">
            <v>6</v>
          </cell>
          <cell r="K1880">
            <v>6</v>
          </cell>
          <cell r="L1880">
            <v>18830</v>
          </cell>
          <cell r="M1880">
            <v>112980</v>
          </cell>
          <cell r="N1880">
            <v>0</v>
          </cell>
          <cell r="O1880">
            <v>112980</v>
          </cell>
          <cell r="P1880">
            <v>0</v>
          </cell>
          <cell r="Q1880" t="str">
            <v>한국</v>
          </cell>
          <cell r="R1880" t="str">
            <v>실온</v>
          </cell>
          <cell r="S1880" t="str">
            <v>EA(14)</v>
          </cell>
          <cell r="T1880" t="str">
            <v/>
          </cell>
          <cell r="U1880" t="str">
            <v/>
          </cell>
          <cell r="V1880" t="str">
            <v>2018-11-06</v>
          </cell>
          <cell r="W1880" t="str">
            <v>2018-11-06 13:46:17</v>
          </cell>
          <cell r="X1880" t="str">
            <v>178921000</v>
          </cell>
        </row>
        <row r="1881">
          <cell r="A1881">
            <v>1877</v>
          </cell>
          <cell r="B1881" t="str">
            <v>2018-11-07</v>
          </cell>
          <cell r="C1881" t="str">
            <v>키즈락</v>
          </cell>
          <cell r="D1881">
            <v>0</v>
          </cell>
          <cell r="E1881" t="str">
            <v>일반</v>
          </cell>
          <cell r="F1881" t="str">
            <v>입고완료</v>
          </cell>
          <cell r="G1881">
            <v>260860</v>
          </cell>
          <cell r="H1881" t="str">
            <v>이츠웰 양파(중품 140~170g/개 15Kg/BOX)</v>
          </cell>
          <cell r="I1881" t="str">
            <v>BOX</v>
          </cell>
          <cell r="J1881">
            <v>1</v>
          </cell>
          <cell r="K1881">
            <v>1</v>
          </cell>
          <cell r="L1881">
            <v>15060</v>
          </cell>
          <cell r="M1881">
            <v>15060</v>
          </cell>
          <cell r="N1881">
            <v>0</v>
          </cell>
          <cell r="O1881">
            <v>15060</v>
          </cell>
          <cell r="P1881">
            <v>0</v>
          </cell>
          <cell r="Q1881" t="str">
            <v>한국</v>
          </cell>
          <cell r="R1881" t="str">
            <v>실온</v>
          </cell>
          <cell r="S1881" t="str">
            <v>BOX(1)</v>
          </cell>
          <cell r="T1881" t="str">
            <v/>
          </cell>
          <cell r="U1881" t="str">
            <v/>
          </cell>
          <cell r="V1881" t="str">
            <v>2018-11-06</v>
          </cell>
          <cell r="W1881" t="str">
            <v>2018-11-06 13:47:18</v>
          </cell>
          <cell r="X1881" t="str">
            <v>178921000</v>
          </cell>
        </row>
        <row r="1882">
          <cell r="A1882">
            <v>1878</v>
          </cell>
          <cell r="B1882" t="str">
            <v>2018-11-07</v>
          </cell>
          <cell r="C1882" t="str">
            <v>키즈락</v>
          </cell>
          <cell r="D1882">
            <v>0</v>
          </cell>
          <cell r="E1882" t="str">
            <v>일반</v>
          </cell>
          <cell r="F1882" t="str">
            <v>입고완료</v>
          </cell>
          <cell r="G1882">
            <v>211794</v>
          </cell>
          <cell r="H1882" t="str">
            <v>건토란대(데친것 KG)</v>
          </cell>
          <cell r="I1882" t="str">
            <v>KG</v>
          </cell>
          <cell r="J1882">
            <v>1</v>
          </cell>
          <cell r="K1882">
            <v>1</v>
          </cell>
          <cell r="L1882">
            <v>1410</v>
          </cell>
          <cell r="M1882">
            <v>1410</v>
          </cell>
          <cell r="N1882">
            <v>0</v>
          </cell>
          <cell r="O1882">
            <v>1410</v>
          </cell>
          <cell r="P1882">
            <v>0</v>
          </cell>
          <cell r="Q1882" t="str">
            <v>미얀마</v>
          </cell>
          <cell r="R1882" t="str">
            <v>냉장</v>
          </cell>
          <cell r="S1882" t="str">
            <v>KG(1)</v>
          </cell>
          <cell r="T1882" t="str">
            <v/>
          </cell>
          <cell r="U1882" t="str">
            <v/>
          </cell>
          <cell r="V1882" t="str">
            <v>2018-11-06</v>
          </cell>
          <cell r="W1882" t="str">
            <v>2018-11-06 13:48:53</v>
          </cell>
          <cell r="X1882" t="str">
            <v>178921000</v>
          </cell>
        </row>
        <row r="1883">
          <cell r="A1883">
            <v>1879</v>
          </cell>
          <cell r="B1883" t="str">
            <v>2018-11-07</v>
          </cell>
          <cell r="C1883" t="str">
            <v>키즈락</v>
          </cell>
          <cell r="D1883">
            <v>0</v>
          </cell>
          <cell r="E1883" t="str">
            <v>일반</v>
          </cell>
          <cell r="F1883" t="str">
            <v>입고완료</v>
          </cell>
          <cell r="G1883">
            <v>201052</v>
          </cell>
          <cell r="H1883" t="str">
            <v>소이원 숙주나물(상품 상 KG)</v>
          </cell>
          <cell r="I1883" t="str">
            <v>KG</v>
          </cell>
          <cell r="J1883">
            <v>4</v>
          </cell>
          <cell r="K1883">
            <v>4</v>
          </cell>
          <cell r="L1883">
            <v>1420</v>
          </cell>
          <cell r="M1883">
            <v>5680</v>
          </cell>
          <cell r="N1883">
            <v>0</v>
          </cell>
          <cell r="O1883">
            <v>5680</v>
          </cell>
          <cell r="P1883">
            <v>0</v>
          </cell>
          <cell r="Q1883" t="str">
            <v>외국산</v>
          </cell>
          <cell r="R1883" t="str">
            <v>냉장</v>
          </cell>
          <cell r="S1883" t="str">
            <v>KG(1)</v>
          </cell>
          <cell r="T1883" t="str">
            <v/>
          </cell>
          <cell r="U1883" t="str">
            <v/>
          </cell>
          <cell r="V1883" t="str">
            <v>2018-11-06</v>
          </cell>
          <cell r="W1883" t="str">
            <v>2018-11-06 13:49:20</v>
          </cell>
          <cell r="X1883" t="str">
            <v>178921000</v>
          </cell>
        </row>
        <row r="1884">
          <cell r="A1884">
            <v>1880</v>
          </cell>
          <cell r="B1884" t="str">
            <v>2018-11-07</v>
          </cell>
          <cell r="C1884" t="str">
            <v>키즈락</v>
          </cell>
          <cell r="D1884">
            <v>0</v>
          </cell>
          <cell r="E1884" t="str">
            <v>일반</v>
          </cell>
          <cell r="F1884" t="str">
            <v>입고완료</v>
          </cell>
          <cell r="G1884">
            <v>130452</v>
          </cell>
          <cell r="H1884" t="str">
            <v>사조오양 스모크햄(즉석 1Kg/EA)</v>
          </cell>
          <cell r="I1884" t="str">
            <v>EA</v>
          </cell>
          <cell r="J1884">
            <v>2</v>
          </cell>
          <cell r="K1884">
            <v>2</v>
          </cell>
          <cell r="L1884">
            <v>3650</v>
          </cell>
          <cell r="M1884">
            <v>7300</v>
          </cell>
          <cell r="N1884">
            <v>730</v>
          </cell>
          <cell r="O1884">
            <v>8030</v>
          </cell>
          <cell r="P1884">
            <v>0</v>
          </cell>
          <cell r="Q1884" t="str">
            <v/>
          </cell>
          <cell r="R1884" t="str">
            <v>냉장</v>
          </cell>
          <cell r="S1884" t="str">
            <v>EA(10)</v>
          </cell>
          <cell r="T1884" t="str">
            <v/>
          </cell>
          <cell r="U1884" t="str">
            <v/>
          </cell>
          <cell r="V1884" t="str">
            <v>2018-11-06</v>
          </cell>
          <cell r="W1884" t="str">
            <v>2018-11-06 13:51:52</v>
          </cell>
          <cell r="X1884" t="str">
            <v>178921000</v>
          </cell>
        </row>
        <row r="1885">
          <cell r="A1885">
            <v>1881</v>
          </cell>
          <cell r="B1885" t="str">
            <v>2018-11-07</v>
          </cell>
          <cell r="C1885" t="str">
            <v>키즈락</v>
          </cell>
          <cell r="D1885">
            <v>0</v>
          </cell>
          <cell r="E1885" t="str">
            <v>일반</v>
          </cell>
          <cell r="F1885" t="str">
            <v>입고완료</v>
          </cell>
          <cell r="G1885">
            <v>256410</v>
          </cell>
          <cell r="H1885" t="str">
            <v>이츠웰 오징어채(무라사키_껍질있음 1Kg/EA)</v>
          </cell>
          <cell r="I1885" t="str">
            <v>EA</v>
          </cell>
          <cell r="J1885">
            <v>6</v>
          </cell>
          <cell r="K1885">
            <v>6</v>
          </cell>
          <cell r="L1885">
            <v>6530</v>
          </cell>
          <cell r="M1885">
            <v>39180</v>
          </cell>
          <cell r="N1885">
            <v>0</v>
          </cell>
          <cell r="O1885">
            <v>39180</v>
          </cell>
          <cell r="P1885">
            <v>0</v>
          </cell>
          <cell r="Q1885" t="str">
            <v>원양산</v>
          </cell>
          <cell r="R1885" t="str">
            <v>냉동</v>
          </cell>
          <cell r="S1885" t="str">
            <v>EA(10)</v>
          </cell>
          <cell r="T1885" t="str">
            <v/>
          </cell>
          <cell r="U1885" t="str">
            <v/>
          </cell>
          <cell r="V1885" t="str">
            <v>2018-11-06</v>
          </cell>
          <cell r="W1885" t="str">
            <v>2018-11-06 13:59:20</v>
          </cell>
          <cell r="X1885" t="str">
            <v>178921000</v>
          </cell>
        </row>
        <row r="1886">
          <cell r="A1886">
            <v>1882</v>
          </cell>
          <cell r="B1886" t="str">
            <v>2018-11-07</v>
          </cell>
          <cell r="C1886" t="str">
            <v>키즈락</v>
          </cell>
          <cell r="D1886">
            <v>0</v>
          </cell>
          <cell r="E1886" t="str">
            <v>일반</v>
          </cell>
          <cell r="F1886" t="str">
            <v>입고완료</v>
          </cell>
          <cell r="G1886">
            <v>144979</v>
          </cell>
          <cell r="H1886" t="str">
            <v>이츠웰 스테이크소스(PET 2Kg/EA)</v>
          </cell>
          <cell r="I1886" t="str">
            <v>EA</v>
          </cell>
          <cell r="J1886">
            <v>6</v>
          </cell>
          <cell r="K1886">
            <v>6</v>
          </cell>
          <cell r="L1886">
            <v>4150</v>
          </cell>
          <cell r="M1886">
            <v>24900</v>
          </cell>
          <cell r="N1886">
            <v>2490</v>
          </cell>
          <cell r="O1886">
            <v>27390</v>
          </cell>
          <cell r="P1886">
            <v>0</v>
          </cell>
          <cell r="Q1886" t="str">
            <v/>
          </cell>
          <cell r="R1886" t="str">
            <v>실온</v>
          </cell>
          <cell r="S1886" t="str">
            <v>EA(6)</v>
          </cell>
          <cell r="T1886" t="str">
            <v/>
          </cell>
          <cell r="U1886" t="str">
            <v/>
          </cell>
          <cell r="V1886" t="str">
            <v>2018-11-06</v>
          </cell>
          <cell r="W1886" t="str">
            <v>2018-11-06 14:03:07</v>
          </cell>
          <cell r="X1886" t="str">
            <v>178921000</v>
          </cell>
        </row>
        <row r="1887">
          <cell r="A1887">
            <v>1883</v>
          </cell>
          <cell r="B1887" t="str">
            <v>2018-11-07</v>
          </cell>
          <cell r="C1887" t="str">
            <v>키즈락</v>
          </cell>
          <cell r="D1887">
            <v>0</v>
          </cell>
          <cell r="E1887" t="str">
            <v>일반</v>
          </cell>
          <cell r="F1887" t="str">
            <v>입고완료</v>
          </cell>
          <cell r="G1887">
            <v>206705</v>
          </cell>
          <cell r="H1887" t="str">
            <v>냉동청피망(1cm다이스 1Kg/PAC)</v>
          </cell>
          <cell r="I1887" t="str">
            <v>PAC</v>
          </cell>
          <cell r="J1887">
            <v>10</v>
          </cell>
          <cell r="K1887">
            <v>10</v>
          </cell>
          <cell r="L1887">
            <v>2110</v>
          </cell>
          <cell r="M1887">
            <v>21100</v>
          </cell>
          <cell r="N1887">
            <v>0</v>
          </cell>
          <cell r="O1887">
            <v>21100</v>
          </cell>
          <cell r="P1887">
            <v>0</v>
          </cell>
          <cell r="Q1887" t="str">
            <v>중국</v>
          </cell>
          <cell r="R1887" t="str">
            <v>냉동</v>
          </cell>
          <cell r="S1887" t="str">
            <v>PAC(1)</v>
          </cell>
          <cell r="T1887" t="str">
            <v/>
          </cell>
          <cell r="U1887" t="str">
            <v/>
          </cell>
          <cell r="V1887" t="str">
            <v>2018-11-06</v>
          </cell>
          <cell r="W1887" t="str">
            <v>2018-11-06 14:09:17</v>
          </cell>
          <cell r="X1887" t="str">
            <v>178921000</v>
          </cell>
        </row>
        <row r="1888">
          <cell r="A1888">
            <v>1884</v>
          </cell>
          <cell r="B1888" t="str">
            <v>2018-11-07</v>
          </cell>
          <cell r="C1888" t="str">
            <v>키즈락</v>
          </cell>
          <cell r="D1888">
            <v>0</v>
          </cell>
          <cell r="E1888" t="str">
            <v>일반</v>
          </cell>
          <cell r="F1888" t="str">
            <v>입고완료</v>
          </cell>
          <cell r="G1888">
            <v>210182</v>
          </cell>
          <cell r="H1888" t="str">
            <v>냉동홍피망(다이스 1Kg/EA)</v>
          </cell>
          <cell r="I1888" t="str">
            <v>EA</v>
          </cell>
          <cell r="J1888">
            <v>10</v>
          </cell>
          <cell r="K1888">
            <v>10</v>
          </cell>
          <cell r="L1888">
            <v>2300</v>
          </cell>
          <cell r="M1888">
            <v>23000</v>
          </cell>
          <cell r="N1888">
            <v>0</v>
          </cell>
          <cell r="O1888">
            <v>23000</v>
          </cell>
          <cell r="P1888">
            <v>0</v>
          </cell>
          <cell r="Q1888" t="str">
            <v>중국</v>
          </cell>
          <cell r="R1888" t="str">
            <v>냉동</v>
          </cell>
          <cell r="S1888" t="str">
            <v>EA(1)</v>
          </cell>
          <cell r="T1888" t="str">
            <v/>
          </cell>
          <cell r="U1888" t="str">
            <v/>
          </cell>
          <cell r="V1888" t="str">
            <v>2018-11-06</v>
          </cell>
          <cell r="W1888" t="str">
            <v>2018-11-06 14:09:17</v>
          </cell>
          <cell r="X1888" t="str">
            <v>178921000</v>
          </cell>
        </row>
        <row r="1889">
          <cell r="A1889">
            <v>1885</v>
          </cell>
          <cell r="B1889" t="str">
            <v>2018-11-07</v>
          </cell>
          <cell r="C1889" t="str">
            <v>키즈락</v>
          </cell>
          <cell r="D1889">
            <v>0</v>
          </cell>
          <cell r="E1889" t="str">
            <v>일반</v>
          </cell>
          <cell r="F1889" t="str">
            <v>입고완료</v>
          </cell>
          <cell r="G1889">
            <v>106520</v>
          </cell>
          <cell r="H1889" t="str">
            <v>백설 맛소금(중간입자 5Kg/EA)</v>
          </cell>
          <cell r="I1889" t="str">
            <v>EA</v>
          </cell>
          <cell r="J1889">
            <v>1</v>
          </cell>
          <cell r="K1889">
            <v>1</v>
          </cell>
          <cell r="L1889">
            <v>5730</v>
          </cell>
          <cell r="M1889">
            <v>5730</v>
          </cell>
          <cell r="N1889">
            <v>573</v>
          </cell>
          <cell r="O1889">
            <v>6303</v>
          </cell>
          <cell r="P1889">
            <v>0</v>
          </cell>
          <cell r="Q1889" t="str">
            <v/>
          </cell>
          <cell r="R1889" t="str">
            <v>실온</v>
          </cell>
          <cell r="S1889" t="str">
            <v>EA(4)</v>
          </cell>
          <cell r="T1889" t="str">
            <v/>
          </cell>
          <cell r="U1889" t="str">
            <v/>
          </cell>
          <cell r="V1889" t="str">
            <v>2018-11-06</v>
          </cell>
          <cell r="W1889" t="str">
            <v>2018-11-06 14:10:31</v>
          </cell>
          <cell r="X1889" t="str">
            <v>178921000</v>
          </cell>
        </row>
        <row r="1890">
          <cell r="A1890">
            <v>1886</v>
          </cell>
          <cell r="B1890" t="str">
            <v>2018-11-07</v>
          </cell>
          <cell r="C1890" t="str">
            <v>키즈락</v>
          </cell>
          <cell r="D1890">
            <v>0</v>
          </cell>
          <cell r="E1890" t="str">
            <v>일반</v>
          </cell>
          <cell r="F1890" t="str">
            <v>입고완료</v>
          </cell>
          <cell r="G1890">
            <v>168258</v>
          </cell>
          <cell r="H1890" t="str">
            <v>명품 판두부(부침용 3Kg/EA)</v>
          </cell>
          <cell r="I1890" t="str">
            <v>EA</v>
          </cell>
          <cell r="J1890">
            <v>16</v>
          </cell>
          <cell r="K1890">
            <v>16</v>
          </cell>
          <cell r="L1890">
            <v>4000</v>
          </cell>
          <cell r="M1890">
            <v>64000</v>
          </cell>
          <cell r="N1890">
            <v>0</v>
          </cell>
          <cell r="O1890">
            <v>64000</v>
          </cell>
          <cell r="P1890">
            <v>0</v>
          </cell>
          <cell r="Q1890" t="str">
            <v>수입산</v>
          </cell>
          <cell r="R1890" t="str">
            <v>냉장</v>
          </cell>
          <cell r="S1890" t="str">
            <v>EA(1)</v>
          </cell>
          <cell r="T1890" t="str">
            <v/>
          </cell>
          <cell r="U1890" t="str">
            <v/>
          </cell>
          <cell r="V1890" t="str">
            <v>2018-11-06</v>
          </cell>
          <cell r="W1890" t="str">
            <v>2018-11-06 15:09:23</v>
          </cell>
          <cell r="X1890" t="str">
            <v>178921000</v>
          </cell>
        </row>
        <row r="1891">
          <cell r="A1891">
            <v>1887</v>
          </cell>
          <cell r="B1891" t="str">
            <v>2018-11-06</v>
          </cell>
          <cell r="C1891">
            <v>0</v>
          </cell>
          <cell r="D1891">
            <v>0</v>
          </cell>
          <cell r="E1891">
            <v>0</v>
          </cell>
          <cell r="F1891">
            <v>0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</row>
        <row r="1892">
          <cell r="A1892">
            <v>1888</v>
          </cell>
          <cell r="B1892" t="str">
            <v>2018-11-06</v>
          </cell>
          <cell r="C1892" t="str">
            <v>키즈락</v>
          </cell>
          <cell r="D1892">
            <v>0</v>
          </cell>
          <cell r="E1892" t="str">
            <v>일반</v>
          </cell>
          <cell r="F1892" t="str">
            <v>입고완료</v>
          </cell>
          <cell r="G1892">
            <v>145345</v>
          </cell>
          <cell r="H1892" t="str">
            <v>이츠웰 우리밀촉촉마들렌(개별포장_15g*30입 450g/EA)</v>
          </cell>
          <cell r="I1892" t="str">
            <v>EA</v>
          </cell>
          <cell r="J1892">
            <v>23</v>
          </cell>
          <cell r="K1892">
            <v>23</v>
          </cell>
          <cell r="L1892">
            <v>6190</v>
          </cell>
          <cell r="M1892">
            <v>142370</v>
          </cell>
          <cell r="N1892">
            <v>14237</v>
          </cell>
          <cell r="O1892">
            <v>156607</v>
          </cell>
          <cell r="P1892">
            <v>0</v>
          </cell>
          <cell r="Q1892" t="str">
            <v>한국</v>
          </cell>
          <cell r="R1892" t="str">
            <v>냉동</v>
          </cell>
          <cell r="S1892" t="str">
            <v>EA(10)</v>
          </cell>
          <cell r="T1892" t="str">
            <v/>
          </cell>
          <cell r="U1892" t="str">
            <v/>
          </cell>
          <cell r="V1892" t="str">
            <v>2018-11-02</v>
          </cell>
          <cell r="W1892" t="str">
            <v>2018-11-02 14:50:56</v>
          </cell>
          <cell r="X1892" t="str">
            <v>178921000</v>
          </cell>
        </row>
        <row r="1893">
          <cell r="A1893">
            <v>1889</v>
          </cell>
          <cell r="B1893" t="str">
            <v>2018-11-06</v>
          </cell>
          <cell r="C1893" t="str">
            <v>키즈락</v>
          </cell>
          <cell r="D1893">
            <v>0</v>
          </cell>
          <cell r="E1893" t="str">
            <v>일반</v>
          </cell>
          <cell r="F1893" t="str">
            <v>입고완료</v>
          </cell>
          <cell r="G1893">
            <v>159126</v>
          </cell>
          <cell r="H1893" t="str">
            <v>건강마을 플리또주스(100ml_유기농_포도 100g/EA)</v>
          </cell>
          <cell r="I1893" t="str">
            <v>BOX</v>
          </cell>
          <cell r="J1893">
            <v>5</v>
          </cell>
          <cell r="K1893">
            <v>5</v>
          </cell>
          <cell r="L1893">
            <v>17600</v>
          </cell>
          <cell r="M1893">
            <v>88000</v>
          </cell>
          <cell r="N1893">
            <v>8800</v>
          </cell>
          <cell r="O1893">
            <v>96800</v>
          </cell>
          <cell r="P1893">
            <v>0</v>
          </cell>
          <cell r="Q1893" t="str">
            <v/>
          </cell>
          <cell r="R1893" t="str">
            <v>실온</v>
          </cell>
          <cell r="S1893" t="str">
            <v>EA(40)</v>
          </cell>
          <cell r="T1893" t="str">
            <v/>
          </cell>
          <cell r="U1893" t="str">
            <v/>
          </cell>
          <cell r="V1893" t="str">
            <v>2018-11-02</v>
          </cell>
          <cell r="W1893" t="str">
            <v>2018-11-02 14:51:32</v>
          </cell>
          <cell r="X1893" t="str">
            <v>178921000</v>
          </cell>
        </row>
        <row r="1894">
          <cell r="A1894">
            <v>1890</v>
          </cell>
          <cell r="B1894" t="str">
            <v>2018-11-06</v>
          </cell>
          <cell r="C1894" t="str">
            <v>키즈락</v>
          </cell>
          <cell r="D1894">
            <v>0</v>
          </cell>
          <cell r="E1894" t="str">
            <v>일반</v>
          </cell>
          <cell r="F1894" t="str">
            <v>입고완료</v>
          </cell>
          <cell r="G1894">
            <v>234169</v>
          </cell>
          <cell r="H1894" t="str">
            <v>삼립식품 생크림파운드(미니_개별포장_10개입 360g/EA)</v>
          </cell>
          <cell r="I1894" t="str">
            <v>EA</v>
          </cell>
          <cell r="J1894">
            <v>8</v>
          </cell>
          <cell r="K1894">
            <v>8</v>
          </cell>
          <cell r="L1894">
            <v>4280</v>
          </cell>
          <cell r="M1894">
            <v>34240</v>
          </cell>
          <cell r="N1894">
            <v>3424</v>
          </cell>
          <cell r="O1894">
            <v>37664</v>
          </cell>
          <cell r="P1894">
            <v>0</v>
          </cell>
          <cell r="Q1894" t="str">
            <v/>
          </cell>
          <cell r="R1894" t="str">
            <v>실온</v>
          </cell>
          <cell r="S1894" t="str">
            <v>EA(3)</v>
          </cell>
          <cell r="T1894" t="str">
            <v/>
          </cell>
          <cell r="U1894" t="str">
            <v/>
          </cell>
          <cell r="V1894" t="str">
            <v>2018-11-02</v>
          </cell>
          <cell r="W1894" t="str">
            <v>2018-11-02 14:54:04</v>
          </cell>
          <cell r="X1894" t="str">
            <v>178921000</v>
          </cell>
        </row>
        <row r="1895">
          <cell r="A1895">
            <v>1891</v>
          </cell>
          <cell r="B1895" t="str">
            <v>2018-11-06</v>
          </cell>
          <cell r="C1895" t="str">
            <v>키즈락</v>
          </cell>
          <cell r="D1895">
            <v>0</v>
          </cell>
          <cell r="E1895" t="str">
            <v>일반</v>
          </cell>
          <cell r="F1895" t="str">
            <v>입고완료</v>
          </cell>
          <cell r="G1895">
            <v>122082</v>
          </cell>
          <cell r="H1895" t="str">
            <v>빙그레 흰우유(참맛좋은 200g/EA)</v>
          </cell>
          <cell r="I1895" t="str">
            <v>EA</v>
          </cell>
          <cell r="J1895">
            <v>168</v>
          </cell>
          <cell r="K1895">
            <v>168</v>
          </cell>
          <cell r="L1895">
            <v>430</v>
          </cell>
          <cell r="M1895">
            <v>72240</v>
          </cell>
          <cell r="N1895">
            <v>0</v>
          </cell>
          <cell r="O1895">
            <v>72240</v>
          </cell>
          <cell r="P1895">
            <v>0</v>
          </cell>
          <cell r="Q1895" t="str">
            <v>한국</v>
          </cell>
          <cell r="R1895" t="str">
            <v>냉장</v>
          </cell>
          <cell r="S1895" t="str">
            <v>EA(1)</v>
          </cell>
          <cell r="T1895" t="str">
            <v/>
          </cell>
          <cell r="U1895" t="str">
            <v/>
          </cell>
          <cell r="V1895" t="str">
            <v>2018-11-02</v>
          </cell>
          <cell r="W1895" t="str">
            <v>2018-11-02 14:54:49</v>
          </cell>
          <cell r="X1895" t="str">
            <v>178921000</v>
          </cell>
        </row>
        <row r="1896">
          <cell r="A1896">
            <v>1892</v>
          </cell>
          <cell r="B1896" t="str">
            <v>2018-11-06</v>
          </cell>
          <cell r="C1896" t="str">
            <v>키즈락</v>
          </cell>
          <cell r="D1896">
            <v>0</v>
          </cell>
          <cell r="E1896" t="str">
            <v>일반</v>
          </cell>
          <cell r="F1896" t="str">
            <v>입고완료</v>
          </cell>
          <cell r="G1896">
            <v>197606</v>
          </cell>
          <cell r="H1896" t="str">
            <v>안심치킨 안심가라아게(30±5g/조각_33±4입 1Kg/EA)</v>
          </cell>
          <cell r="I1896" t="str">
            <v>EA</v>
          </cell>
          <cell r="J1896">
            <v>50</v>
          </cell>
          <cell r="K1896">
            <v>50</v>
          </cell>
          <cell r="L1896">
            <v>6250</v>
          </cell>
          <cell r="M1896">
            <v>312500</v>
          </cell>
          <cell r="N1896">
            <v>31250</v>
          </cell>
          <cell r="O1896">
            <v>343750</v>
          </cell>
          <cell r="P1896">
            <v>0</v>
          </cell>
          <cell r="Q1896" t="str">
            <v>한국</v>
          </cell>
          <cell r="R1896" t="str">
            <v>냉동</v>
          </cell>
          <cell r="S1896" t="str">
            <v>EA(1)</v>
          </cell>
          <cell r="T1896" t="str">
            <v/>
          </cell>
          <cell r="U1896" t="str">
            <v>*협의건</v>
          </cell>
          <cell r="V1896" t="str">
            <v>2018-11-05</v>
          </cell>
          <cell r="W1896" t="str">
            <v>2018-11-05 12:38:16</v>
          </cell>
          <cell r="X1896" t="str">
            <v>kjby0415</v>
          </cell>
        </row>
        <row r="1897">
          <cell r="A1897">
            <v>1893</v>
          </cell>
          <cell r="B1897" t="str">
            <v>2018-11-06</v>
          </cell>
          <cell r="C1897" t="str">
            <v>키즈락</v>
          </cell>
          <cell r="D1897">
            <v>0</v>
          </cell>
          <cell r="E1897" t="str">
            <v>일반</v>
          </cell>
          <cell r="F1897" t="str">
            <v>입고완료</v>
          </cell>
          <cell r="G1897">
            <v>247872</v>
          </cell>
          <cell r="H1897" t="str">
            <v>사조오양 치킨텐더(급식용 1Kg/EA)</v>
          </cell>
          <cell r="I1897" t="str">
            <v>EA</v>
          </cell>
          <cell r="J1897">
            <v>16</v>
          </cell>
          <cell r="K1897">
            <v>16</v>
          </cell>
          <cell r="L1897">
            <v>6970</v>
          </cell>
          <cell r="M1897">
            <v>111520</v>
          </cell>
          <cell r="N1897">
            <v>11152</v>
          </cell>
          <cell r="O1897">
            <v>122672</v>
          </cell>
          <cell r="P1897">
            <v>0</v>
          </cell>
          <cell r="Q1897" t="str">
            <v>한국</v>
          </cell>
          <cell r="R1897" t="str">
            <v>냉동</v>
          </cell>
          <cell r="S1897" t="str">
            <v>EA(10)</v>
          </cell>
          <cell r="T1897" t="str">
            <v/>
          </cell>
          <cell r="U1897" t="str">
            <v/>
          </cell>
          <cell r="V1897" t="str">
            <v>2018-11-05</v>
          </cell>
          <cell r="W1897" t="str">
            <v>2018-11-05 12:45:23</v>
          </cell>
          <cell r="X1897" t="str">
            <v>178921000</v>
          </cell>
        </row>
        <row r="1898">
          <cell r="A1898">
            <v>1894</v>
          </cell>
          <cell r="B1898" t="str">
            <v>2018-11-06</v>
          </cell>
          <cell r="C1898" t="str">
            <v>키즈락</v>
          </cell>
          <cell r="D1898">
            <v>0</v>
          </cell>
          <cell r="E1898" t="str">
            <v>일반</v>
          </cell>
          <cell r="F1898" t="str">
            <v>입고완료</v>
          </cell>
          <cell r="G1898">
            <v>241732</v>
          </cell>
          <cell r="H1898" t="str">
            <v>이츠웰 케이준드레싱(NEW_2017리뉴얼 2Kg/EA)</v>
          </cell>
          <cell r="I1898" t="str">
            <v>EA</v>
          </cell>
          <cell r="J1898">
            <v>5</v>
          </cell>
          <cell r="K1898">
            <v>5</v>
          </cell>
          <cell r="L1898">
            <v>6330</v>
          </cell>
          <cell r="M1898">
            <v>31650</v>
          </cell>
          <cell r="N1898">
            <v>3165</v>
          </cell>
          <cell r="O1898">
            <v>34815</v>
          </cell>
          <cell r="P1898">
            <v>0</v>
          </cell>
          <cell r="Q1898" t="str">
            <v/>
          </cell>
          <cell r="R1898" t="str">
            <v>냉장</v>
          </cell>
          <cell r="S1898" t="str">
            <v>EA(5)</v>
          </cell>
          <cell r="T1898" t="str">
            <v/>
          </cell>
          <cell r="U1898" t="str">
            <v/>
          </cell>
          <cell r="V1898" t="str">
            <v>2018-11-05</v>
          </cell>
          <cell r="W1898" t="str">
            <v>2018-11-05 12:46:13</v>
          </cell>
          <cell r="X1898" t="str">
            <v>178921000</v>
          </cell>
        </row>
        <row r="1899">
          <cell r="A1899">
            <v>1895</v>
          </cell>
          <cell r="B1899" t="str">
            <v>2018-11-06</v>
          </cell>
          <cell r="C1899" t="str">
            <v>키즈락</v>
          </cell>
          <cell r="D1899">
            <v>0</v>
          </cell>
          <cell r="E1899" t="str">
            <v>일반</v>
          </cell>
          <cell r="F1899" t="str">
            <v>입고완료</v>
          </cell>
          <cell r="G1899">
            <v>205273</v>
          </cell>
          <cell r="H1899" t="str">
            <v>건고구마순(데친것 KG)</v>
          </cell>
          <cell r="I1899" t="str">
            <v>KG</v>
          </cell>
          <cell r="J1899">
            <v>20</v>
          </cell>
          <cell r="K1899">
            <v>20</v>
          </cell>
          <cell r="L1899">
            <v>2990</v>
          </cell>
          <cell r="M1899">
            <v>59800</v>
          </cell>
          <cell r="N1899">
            <v>0</v>
          </cell>
          <cell r="O1899">
            <v>59800</v>
          </cell>
          <cell r="P1899">
            <v>0</v>
          </cell>
          <cell r="Q1899" t="str">
            <v>중국</v>
          </cell>
          <cell r="R1899" t="str">
            <v>냉장</v>
          </cell>
          <cell r="S1899" t="str">
            <v>KG(1)</v>
          </cell>
          <cell r="T1899" t="str">
            <v/>
          </cell>
          <cell r="U1899" t="str">
            <v/>
          </cell>
          <cell r="V1899" t="str">
            <v>2018-11-05</v>
          </cell>
          <cell r="W1899" t="str">
            <v>2018-11-05 12:58:18</v>
          </cell>
          <cell r="X1899" t="str">
            <v>178921000</v>
          </cell>
        </row>
        <row r="1900">
          <cell r="A1900">
            <v>1896</v>
          </cell>
          <cell r="B1900" t="str">
            <v>2018-11-06</v>
          </cell>
          <cell r="C1900" t="str">
            <v>키즈락</v>
          </cell>
          <cell r="D1900">
            <v>0</v>
          </cell>
          <cell r="E1900" t="str">
            <v>일반</v>
          </cell>
          <cell r="F1900" t="str">
            <v>입고완료</v>
          </cell>
          <cell r="G1900">
            <v>112116</v>
          </cell>
          <cell r="H1900" t="str">
            <v>쉐프솔루션 동그랑땡(11g/개 1Kg/PAC)</v>
          </cell>
          <cell r="I1900" t="str">
            <v>PAC</v>
          </cell>
          <cell r="J1900">
            <v>6</v>
          </cell>
          <cell r="K1900">
            <v>6</v>
          </cell>
          <cell r="L1900">
            <v>4280</v>
          </cell>
          <cell r="M1900">
            <v>25680</v>
          </cell>
          <cell r="N1900">
            <v>2568</v>
          </cell>
          <cell r="O1900">
            <v>28248</v>
          </cell>
          <cell r="P1900">
            <v>0</v>
          </cell>
          <cell r="Q1900" t="str">
            <v/>
          </cell>
          <cell r="R1900" t="str">
            <v>냉동</v>
          </cell>
          <cell r="S1900" t="str">
            <v>PAC(5)</v>
          </cell>
          <cell r="T1900" t="str">
            <v/>
          </cell>
          <cell r="U1900" t="str">
            <v/>
          </cell>
          <cell r="V1900" t="str">
            <v>2018-11-05</v>
          </cell>
          <cell r="W1900" t="str">
            <v>2018-11-05 13:31:24</v>
          </cell>
          <cell r="X1900" t="str">
            <v>178921000</v>
          </cell>
        </row>
        <row r="1901">
          <cell r="A1901">
            <v>1897</v>
          </cell>
          <cell r="B1901" t="str">
            <v>2018-11-06</v>
          </cell>
          <cell r="C1901" t="str">
            <v>키즈락</v>
          </cell>
          <cell r="D1901">
            <v>0</v>
          </cell>
          <cell r="E1901" t="str">
            <v>일반</v>
          </cell>
          <cell r="F1901" t="str">
            <v>입고완료</v>
          </cell>
          <cell r="G1901">
            <v>252815</v>
          </cell>
          <cell r="H1901" t="str">
            <v>맑은해오름 도토리묵(슬라이스_12±1g*161조각 2Kg/EA)</v>
          </cell>
          <cell r="I1901" t="str">
            <v>EA</v>
          </cell>
          <cell r="J1901">
            <v>2</v>
          </cell>
          <cell r="K1901">
            <v>2</v>
          </cell>
          <cell r="L1901">
            <v>3260</v>
          </cell>
          <cell r="M1901">
            <v>6520</v>
          </cell>
          <cell r="N1901">
            <v>652</v>
          </cell>
          <cell r="O1901">
            <v>7172</v>
          </cell>
          <cell r="P1901">
            <v>0</v>
          </cell>
          <cell r="Q1901" t="str">
            <v/>
          </cell>
          <cell r="R1901" t="str">
            <v>냉장</v>
          </cell>
          <cell r="S1901" t="str">
            <v>EA(1)</v>
          </cell>
          <cell r="T1901" t="str">
            <v/>
          </cell>
          <cell r="U1901" t="str">
            <v/>
          </cell>
          <cell r="V1901" t="str">
            <v>2018-11-05</v>
          </cell>
          <cell r="W1901" t="str">
            <v>2018-11-05 13:33:52</v>
          </cell>
          <cell r="X1901" t="str">
            <v>178921000</v>
          </cell>
        </row>
        <row r="1902">
          <cell r="A1902">
            <v>1898</v>
          </cell>
          <cell r="B1902" t="str">
            <v>2018-11-06</v>
          </cell>
          <cell r="C1902" t="str">
            <v>키즈락</v>
          </cell>
          <cell r="D1902">
            <v>0</v>
          </cell>
          <cell r="E1902" t="str">
            <v>일반</v>
          </cell>
          <cell r="F1902" t="str">
            <v>입고완료</v>
          </cell>
          <cell r="G1902">
            <v>166392</v>
          </cell>
          <cell r="H1902" t="str">
            <v>녹선 진미채무침(1Kg/EA)</v>
          </cell>
          <cell r="I1902" t="str">
            <v>EA</v>
          </cell>
          <cell r="J1902">
            <v>1</v>
          </cell>
          <cell r="K1902">
            <v>1</v>
          </cell>
          <cell r="L1902">
            <v>19760</v>
          </cell>
          <cell r="M1902">
            <v>19760</v>
          </cell>
          <cell r="N1902">
            <v>1976</v>
          </cell>
          <cell r="O1902">
            <v>21736</v>
          </cell>
          <cell r="P1902">
            <v>0</v>
          </cell>
          <cell r="Q1902" t="str">
            <v>중국</v>
          </cell>
          <cell r="R1902" t="str">
            <v>냉장</v>
          </cell>
          <cell r="S1902" t="str">
            <v>EA(1)</v>
          </cell>
          <cell r="T1902" t="str">
            <v/>
          </cell>
          <cell r="U1902" t="str">
            <v/>
          </cell>
          <cell r="V1902" t="str">
            <v>2018-11-05</v>
          </cell>
          <cell r="W1902" t="str">
            <v>2018-11-05 13:41:15</v>
          </cell>
          <cell r="X1902" t="str">
            <v>178921000</v>
          </cell>
        </row>
        <row r="1903">
          <cell r="A1903">
            <v>1899</v>
          </cell>
          <cell r="B1903" t="str">
            <v>2018-11-06</v>
          </cell>
          <cell r="C1903" t="str">
            <v>키즈락</v>
          </cell>
          <cell r="D1903">
            <v>0</v>
          </cell>
          <cell r="E1903" t="str">
            <v>일반</v>
          </cell>
          <cell r="F1903" t="str">
            <v>입고완료</v>
          </cell>
          <cell r="G1903">
            <v>201052</v>
          </cell>
          <cell r="H1903" t="str">
            <v>소이원 숙주나물(상품 상 KG)</v>
          </cell>
          <cell r="I1903" t="str">
            <v>KG</v>
          </cell>
          <cell r="J1903">
            <v>1</v>
          </cell>
          <cell r="K1903">
            <v>1</v>
          </cell>
          <cell r="L1903">
            <v>1420</v>
          </cell>
          <cell r="M1903">
            <v>1420</v>
          </cell>
          <cell r="N1903">
            <v>0</v>
          </cell>
          <cell r="O1903">
            <v>1420</v>
          </cell>
          <cell r="P1903">
            <v>0</v>
          </cell>
          <cell r="Q1903" t="str">
            <v>외국산</v>
          </cell>
          <cell r="R1903" t="str">
            <v>냉장</v>
          </cell>
          <cell r="S1903" t="str">
            <v>KG(1)</v>
          </cell>
          <cell r="T1903" t="str">
            <v/>
          </cell>
          <cell r="U1903" t="str">
            <v/>
          </cell>
          <cell r="V1903" t="str">
            <v>2018-11-05</v>
          </cell>
          <cell r="W1903" t="str">
            <v>2018-11-05 13:42:07</v>
          </cell>
          <cell r="X1903" t="str">
            <v>178921000</v>
          </cell>
        </row>
        <row r="1904">
          <cell r="A1904">
            <v>1900</v>
          </cell>
          <cell r="B1904" t="str">
            <v>2018-11-06</v>
          </cell>
          <cell r="C1904" t="str">
            <v>키즈락</v>
          </cell>
          <cell r="D1904">
            <v>0</v>
          </cell>
          <cell r="E1904" t="str">
            <v>일반</v>
          </cell>
          <cell r="F1904" t="str">
            <v>입고완료</v>
          </cell>
          <cell r="G1904">
            <v>231156</v>
          </cell>
          <cell r="H1904" t="str">
            <v>종가집 포기김치(중숙 10Kg/BOX)</v>
          </cell>
          <cell r="I1904" t="str">
            <v>BOX</v>
          </cell>
          <cell r="J1904">
            <v>3</v>
          </cell>
          <cell r="K1904">
            <v>3</v>
          </cell>
          <cell r="L1904">
            <v>31390</v>
          </cell>
          <cell r="M1904">
            <v>94170</v>
          </cell>
          <cell r="N1904">
            <v>0</v>
          </cell>
          <cell r="O1904">
            <v>94170</v>
          </cell>
          <cell r="P1904">
            <v>0</v>
          </cell>
          <cell r="Q1904" t="str">
            <v>한국</v>
          </cell>
          <cell r="R1904" t="str">
            <v>냉장</v>
          </cell>
          <cell r="S1904" t="str">
            <v>BOX(1)</v>
          </cell>
          <cell r="T1904" t="str">
            <v/>
          </cell>
          <cell r="U1904" t="str">
            <v/>
          </cell>
          <cell r="V1904" t="str">
            <v>2018-11-05</v>
          </cell>
          <cell r="W1904" t="str">
            <v>2018-11-05 13:47:47</v>
          </cell>
          <cell r="X1904" t="str">
            <v>178921000</v>
          </cell>
        </row>
        <row r="1905">
          <cell r="A1905">
            <v>1901</v>
          </cell>
          <cell r="B1905" t="str">
            <v>2018-11-06</v>
          </cell>
          <cell r="C1905" t="str">
            <v>키즈락</v>
          </cell>
          <cell r="D1905">
            <v>0</v>
          </cell>
          <cell r="E1905" t="str">
            <v>일반</v>
          </cell>
          <cell r="F1905" t="str">
            <v>입고완료</v>
          </cell>
          <cell r="G1905">
            <v>219387</v>
          </cell>
          <cell r="H1905" t="str">
            <v>냉동배추우거지(1Kg/EA)</v>
          </cell>
          <cell r="I1905" t="str">
            <v>EA</v>
          </cell>
          <cell r="J1905">
            <v>15</v>
          </cell>
          <cell r="K1905">
            <v>15</v>
          </cell>
          <cell r="L1905">
            <v>1430</v>
          </cell>
          <cell r="M1905">
            <v>21450</v>
          </cell>
          <cell r="N1905">
            <v>2145</v>
          </cell>
          <cell r="O1905">
            <v>23595</v>
          </cell>
          <cell r="P1905">
            <v>0</v>
          </cell>
          <cell r="Q1905" t="str">
            <v>중국</v>
          </cell>
          <cell r="R1905" t="str">
            <v>냉동</v>
          </cell>
          <cell r="S1905" t="str">
            <v>EA(1)</v>
          </cell>
          <cell r="T1905" t="str">
            <v/>
          </cell>
          <cell r="U1905" t="str">
            <v/>
          </cell>
          <cell r="V1905" t="str">
            <v>2018-11-05</v>
          </cell>
          <cell r="W1905" t="str">
            <v>2018-11-05 14:28:07</v>
          </cell>
          <cell r="X1905" t="str">
            <v>178921000</v>
          </cell>
        </row>
        <row r="1906">
          <cell r="A1906">
            <v>1902</v>
          </cell>
          <cell r="B1906" t="str">
            <v>2018-11-06</v>
          </cell>
          <cell r="C1906" t="str">
            <v>키즈락</v>
          </cell>
          <cell r="D1906">
            <v>0</v>
          </cell>
          <cell r="E1906" t="str">
            <v>일반</v>
          </cell>
          <cell r="F1906" t="str">
            <v>입고완료</v>
          </cell>
          <cell r="G1906">
            <v>168258</v>
          </cell>
          <cell r="H1906" t="str">
            <v>명품 판두부(부침용 3Kg/EA)</v>
          </cell>
          <cell r="I1906" t="str">
            <v>EA</v>
          </cell>
          <cell r="J1906">
            <v>3</v>
          </cell>
          <cell r="K1906">
            <v>3</v>
          </cell>
          <cell r="L1906">
            <v>4000</v>
          </cell>
          <cell r="M1906">
            <v>12000</v>
          </cell>
          <cell r="N1906">
            <v>0</v>
          </cell>
          <cell r="O1906">
            <v>12000</v>
          </cell>
          <cell r="P1906">
            <v>0</v>
          </cell>
          <cell r="Q1906" t="str">
            <v>수입산</v>
          </cell>
          <cell r="R1906" t="str">
            <v>냉장</v>
          </cell>
          <cell r="S1906" t="str">
            <v>EA(1)</v>
          </cell>
          <cell r="T1906" t="str">
            <v/>
          </cell>
          <cell r="U1906" t="str">
            <v/>
          </cell>
          <cell r="V1906" t="str">
            <v>2018-11-05</v>
          </cell>
          <cell r="W1906" t="str">
            <v>2018-11-05 14:28:07</v>
          </cell>
          <cell r="X1906" t="str">
            <v>178921000</v>
          </cell>
        </row>
        <row r="1907">
          <cell r="A1907">
            <v>1903</v>
          </cell>
          <cell r="B1907" t="str">
            <v>2018-11-06</v>
          </cell>
          <cell r="C1907" t="str">
            <v>키즈락</v>
          </cell>
          <cell r="D1907">
            <v>0</v>
          </cell>
          <cell r="E1907" t="str">
            <v>일반</v>
          </cell>
          <cell r="F1907" t="str">
            <v>입고완료</v>
          </cell>
          <cell r="G1907">
            <v>512188</v>
          </cell>
          <cell r="H1907" t="str">
            <v>이츠웰 롤백(중_30*40cm_500입 EA)</v>
          </cell>
          <cell r="I1907" t="str">
            <v>EA</v>
          </cell>
          <cell r="J1907">
            <v>2</v>
          </cell>
          <cell r="K1907">
            <v>2</v>
          </cell>
          <cell r="L1907">
            <v>4130</v>
          </cell>
          <cell r="M1907">
            <v>8260</v>
          </cell>
          <cell r="N1907">
            <v>826</v>
          </cell>
          <cell r="O1907">
            <v>9086</v>
          </cell>
          <cell r="P1907">
            <v>0</v>
          </cell>
          <cell r="Q1907" t="str">
            <v/>
          </cell>
          <cell r="R1907" t="str">
            <v>실온</v>
          </cell>
          <cell r="S1907" t="str">
            <v>EA(10)</v>
          </cell>
          <cell r="T1907" t="str">
            <v/>
          </cell>
          <cell r="U1907" t="str">
            <v/>
          </cell>
          <cell r="V1907" t="str">
            <v>2018-11-05</v>
          </cell>
          <cell r="W1907" t="str">
            <v>2018-11-05 14:37:15</v>
          </cell>
          <cell r="X1907" t="str">
            <v>178921000</v>
          </cell>
        </row>
        <row r="1908">
          <cell r="A1908">
            <v>1904</v>
          </cell>
          <cell r="B1908" t="str">
            <v>2018-11-06</v>
          </cell>
          <cell r="C1908" t="str">
            <v>키즈락</v>
          </cell>
          <cell r="D1908">
            <v>0</v>
          </cell>
          <cell r="E1908" t="str">
            <v>일반</v>
          </cell>
          <cell r="F1908" t="str">
            <v>입고완료</v>
          </cell>
          <cell r="G1908">
            <v>512187</v>
          </cell>
          <cell r="H1908" t="str">
            <v>이츠웰 롤백(소_25*35cm_1000입 EA)</v>
          </cell>
          <cell r="I1908" t="str">
            <v>EA</v>
          </cell>
          <cell r="J1908">
            <v>2</v>
          </cell>
          <cell r="K1908">
            <v>2</v>
          </cell>
          <cell r="L1908">
            <v>5710</v>
          </cell>
          <cell r="M1908">
            <v>11420</v>
          </cell>
          <cell r="N1908">
            <v>1142</v>
          </cell>
          <cell r="O1908">
            <v>12562</v>
          </cell>
          <cell r="P1908">
            <v>0</v>
          </cell>
          <cell r="Q1908" t="str">
            <v/>
          </cell>
          <cell r="R1908" t="str">
            <v>실온</v>
          </cell>
          <cell r="S1908" t="str">
            <v>EA(10)</v>
          </cell>
          <cell r="T1908" t="str">
            <v/>
          </cell>
          <cell r="U1908" t="str">
            <v/>
          </cell>
          <cell r="V1908" t="str">
            <v>2018-11-05</v>
          </cell>
          <cell r="W1908" t="str">
            <v>2018-11-05 14:37:15</v>
          </cell>
          <cell r="X1908" t="str">
            <v>178921000</v>
          </cell>
        </row>
        <row r="1909">
          <cell r="A1909">
            <v>1905</v>
          </cell>
          <cell r="B1909" t="str">
            <v>2018-11-05</v>
          </cell>
          <cell r="C1909">
            <v>0</v>
          </cell>
          <cell r="D1909">
            <v>0</v>
          </cell>
          <cell r="E1909">
            <v>0</v>
          </cell>
          <cell r="F1909">
            <v>0</v>
          </cell>
          <cell r="G1909">
            <v>0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</row>
        <row r="1910">
          <cell r="A1910">
            <v>1906</v>
          </cell>
          <cell r="B1910" t="str">
            <v>2018-11-05</v>
          </cell>
          <cell r="C1910" t="str">
            <v>키즈락</v>
          </cell>
          <cell r="D1910">
            <v>0</v>
          </cell>
          <cell r="E1910" t="str">
            <v>일반</v>
          </cell>
          <cell r="F1910" t="str">
            <v>입고완료</v>
          </cell>
          <cell r="G1910">
            <v>195425</v>
          </cell>
          <cell r="H1910" t="str">
            <v>세미원푸드 고구마야채튀김(55±5g*50±5개입 3Kg/EA)</v>
          </cell>
          <cell r="I1910" t="str">
            <v>EA</v>
          </cell>
          <cell r="J1910">
            <v>14</v>
          </cell>
          <cell r="K1910">
            <v>14</v>
          </cell>
          <cell r="L1910">
            <v>17400</v>
          </cell>
          <cell r="M1910">
            <v>243600</v>
          </cell>
          <cell r="N1910">
            <v>24360</v>
          </cell>
          <cell r="O1910">
            <v>267960</v>
          </cell>
          <cell r="P1910">
            <v>0</v>
          </cell>
          <cell r="Q1910" t="str">
            <v>한국</v>
          </cell>
          <cell r="R1910" t="str">
            <v>냉동</v>
          </cell>
          <cell r="S1910" t="str">
            <v>EA(1)</v>
          </cell>
          <cell r="T1910" t="str">
            <v/>
          </cell>
          <cell r="U1910" t="str">
            <v/>
          </cell>
          <cell r="V1910" t="str">
            <v>2018-11-01</v>
          </cell>
          <cell r="W1910" t="str">
            <v>2018-11-01 14:23:25</v>
          </cell>
          <cell r="X1910" t="str">
            <v>178921000</v>
          </cell>
        </row>
        <row r="1911">
          <cell r="A1911">
            <v>1907</v>
          </cell>
          <cell r="B1911" t="str">
            <v>2018-11-05</v>
          </cell>
          <cell r="C1911" t="str">
            <v>키즈락</v>
          </cell>
          <cell r="D1911">
            <v>0</v>
          </cell>
          <cell r="E1911" t="str">
            <v>일반</v>
          </cell>
          <cell r="F1911" t="str">
            <v>입고완료</v>
          </cell>
          <cell r="G1911">
            <v>206572</v>
          </cell>
          <cell r="H1911" t="str">
            <v>깐밤(상품 1Kg/PAC)</v>
          </cell>
          <cell r="I1911" t="str">
            <v>PAC</v>
          </cell>
          <cell r="J1911">
            <v>3</v>
          </cell>
          <cell r="K1911">
            <v>3</v>
          </cell>
          <cell r="L1911">
            <v>12850</v>
          </cell>
          <cell r="M1911">
            <v>38550</v>
          </cell>
          <cell r="N1911">
            <v>0</v>
          </cell>
          <cell r="O1911">
            <v>38550</v>
          </cell>
          <cell r="P1911">
            <v>0</v>
          </cell>
          <cell r="Q1911" t="str">
            <v>한국</v>
          </cell>
          <cell r="R1911" t="str">
            <v>냉장</v>
          </cell>
          <cell r="S1911" t="str">
            <v>PAC(1)</v>
          </cell>
          <cell r="T1911" t="str">
            <v/>
          </cell>
          <cell r="U1911" t="str">
            <v/>
          </cell>
          <cell r="V1911" t="str">
            <v>2018-11-01</v>
          </cell>
          <cell r="W1911" t="str">
            <v>2018-11-01 14:32:18</v>
          </cell>
          <cell r="X1911" t="str">
            <v>178921000</v>
          </cell>
        </row>
        <row r="1912">
          <cell r="A1912">
            <v>1908</v>
          </cell>
          <cell r="B1912" t="str">
            <v>2018-11-05</v>
          </cell>
          <cell r="C1912" t="str">
            <v>키즈락</v>
          </cell>
          <cell r="D1912">
            <v>0</v>
          </cell>
          <cell r="E1912" t="str">
            <v>일반</v>
          </cell>
          <cell r="F1912" t="str">
            <v>입고완료</v>
          </cell>
          <cell r="G1912">
            <v>223307</v>
          </cell>
          <cell r="H1912" t="str">
            <v>냉동얼갈이(IQF 1Kg/EA)</v>
          </cell>
          <cell r="I1912" t="str">
            <v>EA</v>
          </cell>
          <cell r="J1912">
            <v>72</v>
          </cell>
          <cell r="K1912">
            <v>72</v>
          </cell>
          <cell r="L1912">
            <v>1630</v>
          </cell>
          <cell r="M1912">
            <v>117360</v>
          </cell>
          <cell r="N1912">
            <v>11736</v>
          </cell>
          <cell r="O1912">
            <v>129096</v>
          </cell>
          <cell r="P1912">
            <v>0</v>
          </cell>
          <cell r="Q1912" t="str">
            <v>중국</v>
          </cell>
          <cell r="R1912" t="str">
            <v>냉동</v>
          </cell>
          <cell r="S1912" t="str">
            <v>EA(1)</v>
          </cell>
          <cell r="T1912" t="str">
            <v/>
          </cell>
          <cell r="U1912" t="str">
            <v/>
          </cell>
          <cell r="V1912" t="str">
            <v>2018-11-01</v>
          </cell>
          <cell r="W1912" t="str">
            <v>2018-11-01 14:39:21</v>
          </cell>
          <cell r="X1912" t="str">
            <v>178921000</v>
          </cell>
        </row>
        <row r="1913">
          <cell r="A1913">
            <v>1909</v>
          </cell>
          <cell r="B1913" t="str">
            <v>2018-11-05</v>
          </cell>
          <cell r="C1913" t="str">
            <v>키즈락</v>
          </cell>
          <cell r="D1913">
            <v>0</v>
          </cell>
          <cell r="E1913" t="str">
            <v>일반</v>
          </cell>
          <cell r="F1913" t="str">
            <v>입고완료</v>
          </cell>
          <cell r="G1913">
            <v>136633</v>
          </cell>
          <cell r="H1913" t="str">
            <v>이오 요구르트(80ml_유기농 80g/EA)</v>
          </cell>
          <cell r="I1913" t="str">
            <v>EA</v>
          </cell>
          <cell r="J1913">
            <v>45</v>
          </cell>
          <cell r="K1913">
            <v>45</v>
          </cell>
          <cell r="L1913">
            <v>300</v>
          </cell>
          <cell r="M1913">
            <v>13500</v>
          </cell>
          <cell r="N1913">
            <v>1350</v>
          </cell>
          <cell r="O1913">
            <v>14850</v>
          </cell>
          <cell r="P1913">
            <v>0</v>
          </cell>
          <cell r="Q1913" t="str">
            <v>한국</v>
          </cell>
          <cell r="R1913" t="str">
            <v>냉장</v>
          </cell>
          <cell r="S1913" t="str">
            <v>EA(50)</v>
          </cell>
          <cell r="T1913" t="str">
            <v/>
          </cell>
          <cell r="U1913" t="str">
            <v/>
          </cell>
          <cell r="V1913" t="str">
            <v>2018-11-02</v>
          </cell>
          <cell r="W1913" t="str">
            <v>2018-11-02 14:48:26</v>
          </cell>
          <cell r="X1913" t="str">
            <v>178921000</v>
          </cell>
        </row>
        <row r="1914">
          <cell r="A1914">
            <v>1910</v>
          </cell>
          <cell r="B1914" t="str">
            <v>2018-11-05</v>
          </cell>
          <cell r="C1914" t="str">
            <v>키즈락</v>
          </cell>
          <cell r="D1914">
            <v>0</v>
          </cell>
          <cell r="E1914" t="str">
            <v>일반</v>
          </cell>
          <cell r="F1914" t="str">
            <v>입고완료</v>
          </cell>
          <cell r="G1914">
            <v>138696</v>
          </cell>
          <cell r="H1914" t="str">
            <v>이츠웰 레귤러핫도그(NEW_50g*20입 1Kg/EA)</v>
          </cell>
          <cell r="I1914" t="str">
            <v>EA</v>
          </cell>
          <cell r="J1914">
            <v>16</v>
          </cell>
          <cell r="K1914">
            <v>16</v>
          </cell>
          <cell r="L1914">
            <v>6130</v>
          </cell>
          <cell r="M1914">
            <v>98080</v>
          </cell>
          <cell r="N1914">
            <v>9808</v>
          </cell>
          <cell r="O1914">
            <v>107888</v>
          </cell>
          <cell r="P1914">
            <v>0</v>
          </cell>
          <cell r="Q1914" t="str">
            <v>한국</v>
          </cell>
          <cell r="R1914" t="str">
            <v>냉동</v>
          </cell>
          <cell r="S1914" t="str">
            <v>EA(6)</v>
          </cell>
          <cell r="T1914" t="str">
            <v/>
          </cell>
          <cell r="U1914" t="str">
            <v/>
          </cell>
          <cell r="V1914" t="str">
            <v>2018-11-02</v>
          </cell>
          <cell r="W1914" t="str">
            <v>2018-11-02 14:48:26</v>
          </cell>
          <cell r="X1914" t="str">
            <v>178921000</v>
          </cell>
        </row>
        <row r="1915">
          <cell r="A1915">
            <v>1911</v>
          </cell>
          <cell r="B1915" t="str">
            <v>2018-11-05</v>
          </cell>
          <cell r="C1915" t="str">
            <v>키즈락</v>
          </cell>
          <cell r="D1915">
            <v>0</v>
          </cell>
          <cell r="E1915" t="str">
            <v>일반</v>
          </cell>
          <cell r="F1915" t="str">
            <v>입고완료</v>
          </cell>
          <cell r="G1915">
            <v>406592</v>
          </cell>
          <cell r="H1915" t="str">
            <v>체리부로 닭다리살(1등급 100±10g_정육_껍질있음 KG)</v>
          </cell>
          <cell r="I1915" t="str">
            <v>KG</v>
          </cell>
          <cell r="J1915">
            <v>2</v>
          </cell>
          <cell r="K1915">
            <v>2</v>
          </cell>
          <cell r="L1915">
            <v>7910</v>
          </cell>
          <cell r="M1915">
            <v>15820</v>
          </cell>
          <cell r="N1915">
            <v>0</v>
          </cell>
          <cell r="O1915">
            <v>15820</v>
          </cell>
          <cell r="P1915">
            <v>0</v>
          </cell>
          <cell r="Q1915" t="str">
            <v>한국</v>
          </cell>
          <cell r="R1915" t="str">
            <v>냉장</v>
          </cell>
          <cell r="S1915" t="str">
            <v>KG(1)</v>
          </cell>
          <cell r="T1915" t="str">
            <v/>
          </cell>
          <cell r="U1915" t="str">
            <v/>
          </cell>
          <cell r="V1915" t="str">
            <v>2018-11-02</v>
          </cell>
          <cell r="W1915" t="str">
            <v>2018-11-02 15:09:35</v>
          </cell>
          <cell r="X1915" t="str">
            <v>178921000</v>
          </cell>
        </row>
        <row r="1916">
          <cell r="A1916">
            <v>1912</v>
          </cell>
          <cell r="B1916" t="str">
            <v>2018-11-05</v>
          </cell>
          <cell r="C1916" t="str">
            <v>키즈락</v>
          </cell>
          <cell r="D1916">
            <v>0</v>
          </cell>
          <cell r="E1916" t="str">
            <v>일반</v>
          </cell>
          <cell r="F1916" t="str">
            <v>입고완료</v>
          </cell>
          <cell r="G1916">
            <v>312193</v>
          </cell>
          <cell r="H1916" t="str">
            <v>염장미역줄기(수율70%이상 1Kg/EA)</v>
          </cell>
          <cell r="I1916" t="str">
            <v>EA</v>
          </cell>
          <cell r="J1916">
            <v>24</v>
          </cell>
          <cell r="K1916">
            <v>24</v>
          </cell>
          <cell r="L1916">
            <v>2330</v>
          </cell>
          <cell r="M1916">
            <v>55920</v>
          </cell>
          <cell r="N1916">
            <v>0</v>
          </cell>
          <cell r="O1916">
            <v>55920</v>
          </cell>
          <cell r="P1916">
            <v>0</v>
          </cell>
          <cell r="Q1916" t="str">
            <v>한국</v>
          </cell>
          <cell r="R1916" t="str">
            <v>냉장</v>
          </cell>
          <cell r="S1916" t="str">
            <v>EA(10)</v>
          </cell>
          <cell r="T1916" t="str">
            <v/>
          </cell>
          <cell r="U1916" t="str">
            <v/>
          </cell>
          <cell r="V1916" t="str">
            <v>2018-11-02</v>
          </cell>
          <cell r="W1916" t="str">
            <v>2018-11-02 15:12:20</v>
          </cell>
          <cell r="X1916" t="str">
            <v>178921000</v>
          </cell>
        </row>
        <row r="1917">
          <cell r="A1917">
            <v>1913</v>
          </cell>
          <cell r="B1917" t="str">
            <v>2018-11-05</v>
          </cell>
          <cell r="C1917" t="str">
            <v>키즈락</v>
          </cell>
          <cell r="D1917">
            <v>0</v>
          </cell>
          <cell r="E1917" t="str">
            <v>일반</v>
          </cell>
          <cell r="F1917" t="str">
            <v>입고완료</v>
          </cell>
          <cell r="G1917">
            <v>260860</v>
          </cell>
          <cell r="H1917" t="str">
            <v>이츠웰 양파(중품 140~170g/개 15Kg/BOX)</v>
          </cell>
          <cell r="I1917" t="str">
            <v>BOX</v>
          </cell>
          <cell r="J1917">
            <v>1</v>
          </cell>
          <cell r="K1917">
            <v>1</v>
          </cell>
          <cell r="L1917">
            <v>15060</v>
          </cell>
          <cell r="M1917">
            <v>15060</v>
          </cell>
          <cell r="N1917">
            <v>0</v>
          </cell>
          <cell r="O1917">
            <v>15060</v>
          </cell>
          <cell r="P1917">
            <v>0</v>
          </cell>
          <cell r="Q1917" t="str">
            <v>한국</v>
          </cell>
          <cell r="R1917" t="str">
            <v>실온</v>
          </cell>
          <cell r="S1917" t="str">
            <v>BOX(1)</v>
          </cell>
          <cell r="T1917" t="str">
            <v/>
          </cell>
          <cell r="U1917" t="str">
            <v/>
          </cell>
          <cell r="V1917" t="str">
            <v>2018-11-02</v>
          </cell>
          <cell r="W1917" t="str">
            <v>2018-11-02 15:12:42</v>
          </cell>
          <cell r="X1917" t="str">
            <v>178921000</v>
          </cell>
        </row>
        <row r="1918">
          <cell r="A1918">
            <v>1914</v>
          </cell>
          <cell r="B1918" t="str">
            <v>2018-11-05</v>
          </cell>
          <cell r="C1918" t="str">
            <v>키즈락</v>
          </cell>
          <cell r="D1918">
            <v>0</v>
          </cell>
          <cell r="E1918" t="str">
            <v>일반</v>
          </cell>
          <cell r="F1918" t="str">
            <v>입고완료</v>
          </cell>
          <cell r="G1918">
            <v>193090</v>
          </cell>
          <cell r="H1918" t="str">
            <v>냉동감자(절단_3~4cm 1Kg/EA)</v>
          </cell>
          <cell r="I1918" t="str">
            <v>EA</v>
          </cell>
          <cell r="J1918">
            <v>5</v>
          </cell>
          <cell r="K1918">
            <v>5</v>
          </cell>
          <cell r="L1918">
            <v>1980</v>
          </cell>
          <cell r="M1918">
            <v>9900</v>
          </cell>
          <cell r="N1918">
            <v>990</v>
          </cell>
          <cell r="O1918">
            <v>10890</v>
          </cell>
          <cell r="P1918">
            <v>0</v>
          </cell>
          <cell r="Q1918" t="str">
            <v>중국</v>
          </cell>
          <cell r="R1918" t="str">
            <v>냉동</v>
          </cell>
          <cell r="S1918" t="str">
            <v>EA(1)</v>
          </cell>
          <cell r="T1918" t="str">
            <v/>
          </cell>
          <cell r="U1918" t="str">
            <v/>
          </cell>
          <cell r="V1918" t="str">
            <v>2018-11-02</v>
          </cell>
          <cell r="W1918" t="str">
            <v>2018-11-02 16:36:07</v>
          </cell>
          <cell r="X1918" t="str">
            <v>178921000</v>
          </cell>
        </row>
        <row r="1919">
          <cell r="A1919">
            <v>1915</v>
          </cell>
          <cell r="B1919" t="str">
            <v>2018-11-02</v>
          </cell>
          <cell r="C1919">
            <v>0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</row>
        <row r="1920">
          <cell r="A1920">
            <v>1916</v>
          </cell>
          <cell r="B1920" t="str">
            <v>2018-11-02</v>
          </cell>
          <cell r="C1920" t="str">
            <v>키즈락</v>
          </cell>
          <cell r="D1920">
            <v>0</v>
          </cell>
          <cell r="E1920" t="str">
            <v>일반</v>
          </cell>
          <cell r="F1920" t="str">
            <v>입고완료</v>
          </cell>
          <cell r="G1920">
            <v>256563</v>
          </cell>
          <cell r="H1920" t="str">
            <v>냉동열무(IQF_절단4~5cm 1Kg/EA)</v>
          </cell>
          <cell r="I1920" t="str">
            <v>EA</v>
          </cell>
          <cell r="J1920">
            <v>40</v>
          </cell>
          <cell r="K1920">
            <v>40</v>
          </cell>
          <cell r="L1920">
            <v>1670</v>
          </cell>
          <cell r="M1920">
            <v>66800</v>
          </cell>
          <cell r="N1920">
            <v>6680</v>
          </cell>
          <cell r="O1920">
            <v>73480</v>
          </cell>
          <cell r="P1920">
            <v>0</v>
          </cell>
          <cell r="Q1920" t="str">
            <v>중국</v>
          </cell>
          <cell r="R1920" t="str">
            <v>냉동</v>
          </cell>
          <cell r="S1920" t="str">
            <v>EA(1)</v>
          </cell>
          <cell r="T1920" t="str">
            <v/>
          </cell>
          <cell r="U1920" t="str">
            <v/>
          </cell>
          <cell r="V1920" t="str">
            <v>2018-10-31</v>
          </cell>
          <cell r="W1920" t="str">
            <v>2018-10-31 12:11:24</v>
          </cell>
          <cell r="X1920" t="str">
            <v>178921000</v>
          </cell>
        </row>
        <row r="1921">
          <cell r="A1921">
            <v>1917</v>
          </cell>
          <cell r="B1921" t="str">
            <v>2018-11-02</v>
          </cell>
          <cell r="C1921" t="str">
            <v>키즈락</v>
          </cell>
          <cell r="D1921">
            <v>0</v>
          </cell>
          <cell r="E1921" t="str">
            <v>일반</v>
          </cell>
          <cell r="F1921" t="str">
            <v>입고완료</v>
          </cell>
          <cell r="G1921">
            <v>173374</v>
          </cell>
          <cell r="H1921" t="str">
            <v>쉐프솔루션 진짜통등심돈까스(130g*20입 2.6Kg/EA)</v>
          </cell>
          <cell r="I1921" t="str">
            <v>EA</v>
          </cell>
          <cell r="J1921">
            <v>5</v>
          </cell>
          <cell r="K1921">
            <v>5</v>
          </cell>
          <cell r="L1921">
            <v>20600</v>
          </cell>
          <cell r="M1921">
            <v>103000</v>
          </cell>
          <cell r="N1921">
            <v>10300</v>
          </cell>
          <cell r="O1921">
            <v>113300</v>
          </cell>
          <cell r="P1921">
            <v>0</v>
          </cell>
          <cell r="Q1921" t="str">
            <v>한국</v>
          </cell>
          <cell r="R1921" t="str">
            <v>냉동</v>
          </cell>
          <cell r="S1921" t="str">
            <v>EA(4)</v>
          </cell>
          <cell r="T1921" t="str">
            <v/>
          </cell>
          <cell r="U1921" t="str">
            <v/>
          </cell>
          <cell r="V1921" t="str">
            <v>2018-10-31</v>
          </cell>
          <cell r="W1921" t="str">
            <v>2018-10-31 14:39:44</v>
          </cell>
          <cell r="X1921" t="str">
            <v>178921000</v>
          </cell>
        </row>
        <row r="1922">
          <cell r="A1922">
            <v>1918</v>
          </cell>
          <cell r="B1922" t="str">
            <v>2018-11-02</v>
          </cell>
          <cell r="C1922" t="str">
            <v>키즈락</v>
          </cell>
          <cell r="D1922">
            <v>0</v>
          </cell>
          <cell r="E1922" t="str">
            <v>일반</v>
          </cell>
          <cell r="F1922" t="str">
            <v>입고완료</v>
          </cell>
          <cell r="G1922">
            <v>105597</v>
          </cell>
          <cell r="H1922" t="str">
            <v>웰가 홈버터(홈랜드 4.5Kg/EA)</v>
          </cell>
          <cell r="I1922" t="str">
            <v>EA</v>
          </cell>
          <cell r="J1922">
            <v>1</v>
          </cell>
          <cell r="K1922">
            <v>1</v>
          </cell>
          <cell r="L1922">
            <v>18000</v>
          </cell>
          <cell r="M1922">
            <v>18000</v>
          </cell>
          <cell r="N1922">
            <v>1800</v>
          </cell>
          <cell r="O1922">
            <v>19800</v>
          </cell>
          <cell r="P1922">
            <v>0</v>
          </cell>
          <cell r="Q1922" t="str">
            <v/>
          </cell>
          <cell r="R1922" t="str">
            <v>실온</v>
          </cell>
          <cell r="S1922" t="str">
            <v>EA(1)</v>
          </cell>
          <cell r="T1922" t="str">
            <v/>
          </cell>
          <cell r="U1922" t="str">
            <v/>
          </cell>
          <cell r="V1922" t="str">
            <v>2018-10-31</v>
          </cell>
          <cell r="W1922" t="str">
            <v>2018-10-31 14:50:50</v>
          </cell>
          <cell r="X1922" t="str">
            <v>178921000</v>
          </cell>
        </row>
        <row r="1923">
          <cell r="A1923">
            <v>1919</v>
          </cell>
          <cell r="B1923" t="str">
            <v>2018-11-02</v>
          </cell>
          <cell r="C1923" t="str">
            <v>키즈락</v>
          </cell>
          <cell r="D1923">
            <v>0</v>
          </cell>
          <cell r="E1923" t="str">
            <v>일반</v>
          </cell>
          <cell r="F1923" t="str">
            <v>입고완료</v>
          </cell>
          <cell r="G1923">
            <v>192872</v>
          </cell>
          <cell r="H1923" t="str">
            <v>소이원 콩나물(곱슬이_단채 4Kg/BOX)</v>
          </cell>
          <cell r="I1923" t="str">
            <v>BOX</v>
          </cell>
          <cell r="J1923">
            <v>2</v>
          </cell>
          <cell r="K1923">
            <v>2</v>
          </cell>
          <cell r="L1923">
            <v>4240</v>
          </cell>
          <cell r="M1923">
            <v>8480</v>
          </cell>
          <cell r="N1923">
            <v>0</v>
          </cell>
          <cell r="O1923">
            <v>8480</v>
          </cell>
          <cell r="P1923">
            <v>0</v>
          </cell>
          <cell r="Q1923" t="str">
            <v>외국산</v>
          </cell>
          <cell r="R1923" t="str">
            <v>냉장</v>
          </cell>
          <cell r="S1923" t="str">
            <v>BOX(1)</v>
          </cell>
          <cell r="T1923" t="str">
            <v/>
          </cell>
          <cell r="U1923" t="str">
            <v/>
          </cell>
          <cell r="V1923" t="str">
            <v>2018-11-01</v>
          </cell>
          <cell r="W1923" t="str">
            <v>2018-11-01 13:53:25</v>
          </cell>
          <cell r="X1923" t="str">
            <v>178921000</v>
          </cell>
        </row>
        <row r="1924">
          <cell r="A1924">
            <v>1920</v>
          </cell>
          <cell r="B1924" t="str">
            <v>2018-11-02</v>
          </cell>
          <cell r="C1924" t="str">
            <v>키즈락</v>
          </cell>
          <cell r="D1924">
            <v>0</v>
          </cell>
          <cell r="E1924" t="str">
            <v>일반</v>
          </cell>
          <cell r="F1924" t="str">
            <v>입고완료</v>
          </cell>
          <cell r="G1924">
            <v>192878</v>
          </cell>
          <cell r="H1924" t="str">
            <v>소이원 콩나물(곱슬이_단채 KG)</v>
          </cell>
          <cell r="I1924" t="str">
            <v>KG</v>
          </cell>
          <cell r="J1924">
            <v>2</v>
          </cell>
          <cell r="K1924">
            <v>2</v>
          </cell>
          <cell r="L1924">
            <v>930</v>
          </cell>
          <cell r="M1924">
            <v>1860</v>
          </cell>
          <cell r="N1924">
            <v>0</v>
          </cell>
          <cell r="O1924">
            <v>1860</v>
          </cell>
          <cell r="P1924">
            <v>0</v>
          </cell>
          <cell r="Q1924" t="str">
            <v>외국산</v>
          </cell>
          <cell r="R1924" t="str">
            <v>냉장</v>
          </cell>
          <cell r="S1924" t="str">
            <v>KG(1)</v>
          </cell>
          <cell r="T1924" t="str">
            <v/>
          </cell>
          <cell r="U1924" t="str">
            <v/>
          </cell>
          <cell r="V1924" t="str">
            <v>2018-11-01</v>
          </cell>
          <cell r="W1924" t="str">
            <v>2018-11-01 13:53:25</v>
          </cell>
          <cell r="X1924" t="str">
            <v>178921000</v>
          </cell>
        </row>
        <row r="1925">
          <cell r="A1925">
            <v>1921</v>
          </cell>
          <cell r="B1925" t="str">
            <v>2018-11-02</v>
          </cell>
          <cell r="C1925" t="str">
            <v>키즈락</v>
          </cell>
          <cell r="D1925">
            <v>0</v>
          </cell>
          <cell r="E1925" t="str">
            <v>일반</v>
          </cell>
          <cell r="F1925" t="str">
            <v>입고완료</v>
          </cell>
          <cell r="G1925">
            <v>260860</v>
          </cell>
          <cell r="H1925" t="str">
            <v>이츠웰 양파(중품 140~170g/개 15Kg/BOX)</v>
          </cell>
          <cell r="I1925" t="str">
            <v>BOX</v>
          </cell>
          <cell r="J1925">
            <v>1</v>
          </cell>
          <cell r="K1925">
            <v>1</v>
          </cell>
          <cell r="L1925">
            <v>15060</v>
          </cell>
          <cell r="M1925">
            <v>15060</v>
          </cell>
          <cell r="N1925">
            <v>0</v>
          </cell>
          <cell r="O1925">
            <v>15060</v>
          </cell>
          <cell r="P1925">
            <v>0</v>
          </cell>
          <cell r="Q1925" t="str">
            <v>한국</v>
          </cell>
          <cell r="R1925" t="str">
            <v>실온</v>
          </cell>
          <cell r="S1925" t="str">
            <v>BOX(1)</v>
          </cell>
          <cell r="T1925" t="str">
            <v/>
          </cell>
          <cell r="U1925" t="str">
            <v/>
          </cell>
          <cell r="V1925" t="str">
            <v>2018-11-01</v>
          </cell>
          <cell r="W1925" t="str">
            <v>2018-11-01 13:55:05</v>
          </cell>
          <cell r="X1925" t="str">
            <v>178921000</v>
          </cell>
        </row>
        <row r="1926">
          <cell r="A1926">
            <v>1922</v>
          </cell>
          <cell r="B1926" t="str">
            <v>2018-11-02</v>
          </cell>
          <cell r="C1926" t="str">
            <v>키즈락</v>
          </cell>
          <cell r="D1926">
            <v>0</v>
          </cell>
          <cell r="E1926" t="str">
            <v>일반</v>
          </cell>
          <cell r="F1926" t="str">
            <v>입고완료</v>
          </cell>
          <cell r="G1926">
            <v>168258</v>
          </cell>
          <cell r="H1926" t="str">
            <v>명품 판두부(부침용 3Kg/EA)</v>
          </cell>
          <cell r="I1926" t="str">
            <v>EA</v>
          </cell>
          <cell r="J1926">
            <v>5</v>
          </cell>
          <cell r="K1926">
            <v>5</v>
          </cell>
          <cell r="L1926">
            <v>4000</v>
          </cell>
          <cell r="M1926">
            <v>20000</v>
          </cell>
          <cell r="N1926">
            <v>0</v>
          </cell>
          <cell r="O1926">
            <v>20000</v>
          </cell>
          <cell r="P1926">
            <v>0</v>
          </cell>
          <cell r="Q1926" t="str">
            <v>수입산</v>
          </cell>
          <cell r="R1926" t="str">
            <v>냉장</v>
          </cell>
          <cell r="S1926" t="str">
            <v>EA(1)</v>
          </cell>
          <cell r="T1926" t="str">
            <v/>
          </cell>
          <cell r="U1926" t="str">
            <v/>
          </cell>
          <cell r="V1926" t="str">
            <v>2018-11-01</v>
          </cell>
          <cell r="W1926" t="str">
            <v>2018-11-01 13:56:38</v>
          </cell>
          <cell r="X1926" t="str">
            <v>178921000</v>
          </cell>
        </row>
        <row r="1927">
          <cell r="A1927">
            <v>1923</v>
          </cell>
          <cell r="B1927" t="str">
            <v>2018-11-02</v>
          </cell>
          <cell r="C1927" t="str">
            <v>키즈락</v>
          </cell>
          <cell r="D1927">
            <v>0</v>
          </cell>
          <cell r="E1927" t="str">
            <v>일반</v>
          </cell>
          <cell r="F1927" t="str">
            <v>입고완료</v>
          </cell>
          <cell r="G1927">
            <v>159994</v>
          </cell>
          <cell r="H1927" t="str">
            <v>반찬단지 콩자반(NEW 1Kg/EA)</v>
          </cell>
          <cell r="I1927" t="str">
            <v>EA</v>
          </cell>
          <cell r="J1927">
            <v>7</v>
          </cell>
          <cell r="K1927">
            <v>7</v>
          </cell>
          <cell r="L1927">
            <v>3360</v>
          </cell>
          <cell r="M1927">
            <v>23520</v>
          </cell>
          <cell r="N1927">
            <v>2352</v>
          </cell>
          <cell r="O1927">
            <v>25872</v>
          </cell>
          <cell r="P1927">
            <v>0</v>
          </cell>
          <cell r="Q1927" t="str">
            <v>중국</v>
          </cell>
          <cell r="R1927" t="str">
            <v>냉장</v>
          </cell>
          <cell r="S1927" t="str">
            <v>EA(10)</v>
          </cell>
          <cell r="T1927" t="str">
            <v/>
          </cell>
          <cell r="U1927" t="str">
            <v/>
          </cell>
          <cell r="V1927" t="str">
            <v>2018-11-01</v>
          </cell>
          <cell r="W1927" t="str">
            <v>2018-11-01 13:57:55</v>
          </cell>
          <cell r="X1927" t="str">
            <v>178921000</v>
          </cell>
        </row>
        <row r="1928">
          <cell r="A1928">
            <v>1924</v>
          </cell>
          <cell r="B1928" t="str">
            <v>2018-11-02</v>
          </cell>
          <cell r="C1928" t="str">
            <v>키즈락</v>
          </cell>
          <cell r="D1928">
            <v>0</v>
          </cell>
          <cell r="E1928" t="str">
            <v>일반</v>
          </cell>
          <cell r="F1928" t="str">
            <v>입고완료</v>
          </cell>
          <cell r="G1928">
            <v>223246</v>
          </cell>
          <cell r="H1928" t="str">
            <v>쑥갓(쌈채용 KG)</v>
          </cell>
          <cell r="I1928" t="str">
            <v>KG</v>
          </cell>
          <cell r="J1928">
            <v>1</v>
          </cell>
          <cell r="K1928">
            <v>1</v>
          </cell>
          <cell r="L1928">
            <v>2640</v>
          </cell>
          <cell r="M1928">
            <v>2640</v>
          </cell>
          <cell r="N1928">
            <v>0</v>
          </cell>
          <cell r="O1928">
            <v>2640</v>
          </cell>
          <cell r="P1928">
            <v>0</v>
          </cell>
          <cell r="Q1928" t="str">
            <v>한국</v>
          </cell>
          <cell r="R1928" t="str">
            <v>냉장</v>
          </cell>
          <cell r="S1928" t="str">
            <v>KG(1)</v>
          </cell>
          <cell r="T1928" t="str">
            <v/>
          </cell>
          <cell r="U1928" t="str">
            <v/>
          </cell>
          <cell r="V1928" t="str">
            <v>2018-11-01</v>
          </cell>
          <cell r="W1928" t="str">
            <v>2018-11-01 13:59:44</v>
          </cell>
          <cell r="X1928" t="str">
            <v>178921000</v>
          </cell>
        </row>
        <row r="1929">
          <cell r="A1929">
            <v>1925</v>
          </cell>
          <cell r="B1929" t="str">
            <v>2018-11-02</v>
          </cell>
          <cell r="C1929" t="str">
            <v>키즈락</v>
          </cell>
          <cell r="D1929">
            <v>0</v>
          </cell>
          <cell r="E1929" t="str">
            <v>일반</v>
          </cell>
          <cell r="F1929" t="str">
            <v>입고완료</v>
          </cell>
          <cell r="G1929">
            <v>231156</v>
          </cell>
          <cell r="H1929" t="str">
            <v>종가집 포기김치(중숙 10Kg/BOX)</v>
          </cell>
          <cell r="I1929" t="str">
            <v>BOX</v>
          </cell>
          <cell r="J1929">
            <v>2</v>
          </cell>
          <cell r="K1929">
            <v>2</v>
          </cell>
          <cell r="L1929">
            <v>31390</v>
          </cell>
          <cell r="M1929">
            <v>62780</v>
          </cell>
          <cell r="N1929">
            <v>0</v>
          </cell>
          <cell r="O1929">
            <v>62780</v>
          </cell>
          <cell r="P1929">
            <v>0</v>
          </cell>
          <cell r="Q1929" t="str">
            <v>한국</v>
          </cell>
          <cell r="R1929" t="str">
            <v>냉장</v>
          </cell>
          <cell r="S1929" t="str">
            <v>BOX(1)</v>
          </cell>
          <cell r="T1929" t="str">
            <v/>
          </cell>
          <cell r="U1929" t="str">
            <v/>
          </cell>
          <cell r="V1929" t="str">
            <v>2018-11-01</v>
          </cell>
          <cell r="W1929" t="str">
            <v>2018-11-01 14:00:43</v>
          </cell>
          <cell r="X1929" t="str">
            <v>178921000</v>
          </cell>
        </row>
        <row r="1930">
          <cell r="A1930">
            <v>1926</v>
          </cell>
          <cell r="B1930" t="str">
            <v>2018-11-02</v>
          </cell>
          <cell r="C1930" t="str">
            <v>키즈락</v>
          </cell>
          <cell r="D1930">
            <v>0</v>
          </cell>
          <cell r="E1930" t="str">
            <v>일반</v>
          </cell>
          <cell r="F1930" t="str">
            <v>입고완료</v>
          </cell>
          <cell r="G1930">
            <v>170336</v>
          </cell>
          <cell r="H1930" t="str">
            <v>이츠웰 탕수육(1Kg/EA)</v>
          </cell>
          <cell r="I1930" t="str">
            <v>EA</v>
          </cell>
          <cell r="J1930">
            <v>7</v>
          </cell>
          <cell r="K1930">
            <v>7</v>
          </cell>
          <cell r="L1930">
            <v>5210</v>
          </cell>
          <cell r="M1930">
            <v>36470</v>
          </cell>
          <cell r="N1930">
            <v>3647</v>
          </cell>
          <cell r="O1930">
            <v>40117</v>
          </cell>
          <cell r="P1930">
            <v>0</v>
          </cell>
          <cell r="Q1930" t="str">
            <v/>
          </cell>
          <cell r="R1930" t="str">
            <v>냉동</v>
          </cell>
          <cell r="S1930" t="str">
            <v>EA(10)</v>
          </cell>
          <cell r="T1930" t="str">
            <v/>
          </cell>
          <cell r="U1930" t="str">
            <v/>
          </cell>
          <cell r="V1930" t="str">
            <v>2018-11-01</v>
          </cell>
          <cell r="W1930" t="str">
            <v>2018-11-01 14:08:31</v>
          </cell>
          <cell r="X1930" t="str">
            <v>178921000</v>
          </cell>
        </row>
        <row r="1931">
          <cell r="A1931">
            <v>1927</v>
          </cell>
          <cell r="B1931" t="str">
            <v>2018-11-02</v>
          </cell>
          <cell r="C1931" t="str">
            <v>키즈락</v>
          </cell>
          <cell r="D1931">
            <v>0</v>
          </cell>
          <cell r="E1931" t="str">
            <v>일반</v>
          </cell>
          <cell r="F1931" t="str">
            <v>입고완료</v>
          </cell>
          <cell r="G1931">
            <v>208502</v>
          </cell>
          <cell r="H1931" t="str">
            <v>세척당근(3L 10Kg/EA)</v>
          </cell>
          <cell r="I1931" t="str">
            <v>EA</v>
          </cell>
          <cell r="J1931">
            <v>1</v>
          </cell>
          <cell r="K1931">
            <v>1</v>
          </cell>
          <cell r="L1931">
            <v>11980</v>
          </cell>
          <cell r="M1931">
            <v>11980</v>
          </cell>
          <cell r="N1931">
            <v>0</v>
          </cell>
          <cell r="O1931">
            <v>11980</v>
          </cell>
          <cell r="P1931">
            <v>0</v>
          </cell>
          <cell r="Q1931" t="str">
            <v>중국</v>
          </cell>
          <cell r="R1931" t="str">
            <v>실온</v>
          </cell>
          <cell r="S1931" t="str">
            <v>EA(1)</v>
          </cell>
          <cell r="T1931" t="str">
            <v/>
          </cell>
          <cell r="U1931" t="str">
            <v/>
          </cell>
          <cell r="V1931" t="str">
            <v>2018-11-01</v>
          </cell>
          <cell r="W1931" t="str">
            <v>2018-11-01 14:14:19</v>
          </cell>
          <cell r="X1931" t="str">
            <v>178921000</v>
          </cell>
        </row>
        <row r="1932">
          <cell r="A1932">
            <v>1928</v>
          </cell>
          <cell r="B1932" t="str">
            <v>2018-11-02</v>
          </cell>
          <cell r="C1932" t="str">
            <v>키즈락</v>
          </cell>
          <cell r="D1932">
            <v>0</v>
          </cell>
          <cell r="E1932" t="str">
            <v>일반</v>
          </cell>
          <cell r="F1932" t="str">
            <v>입고완료</v>
          </cell>
          <cell r="G1932">
            <v>201296</v>
          </cell>
          <cell r="H1932" t="str">
            <v>건고사리(데친것 KG)</v>
          </cell>
          <cell r="I1932" t="str">
            <v>KG</v>
          </cell>
          <cell r="J1932">
            <v>8</v>
          </cell>
          <cell r="K1932">
            <v>8</v>
          </cell>
          <cell r="L1932">
            <v>3910</v>
          </cell>
          <cell r="M1932">
            <v>31280</v>
          </cell>
          <cell r="N1932">
            <v>0</v>
          </cell>
          <cell r="O1932">
            <v>31280</v>
          </cell>
          <cell r="P1932">
            <v>0</v>
          </cell>
          <cell r="Q1932" t="str">
            <v>중국</v>
          </cell>
          <cell r="R1932" t="str">
            <v>냉장</v>
          </cell>
          <cell r="S1932" t="str">
            <v>KG(1)</v>
          </cell>
          <cell r="T1932" t="str">
            <v/>
          </cell>
          <cell r="U1932" t="str">
            <v/>
          </cell>
          <cell r="V1932" t="str">
            <v>2018-11-01</v>
          </cell>
          <cell r="W1932" t="str">
            <v>2018-11-01 14:16:58</v>
          </cell>
          <cell r="X1932" t="str">
            <v>178921000</v>
          </cell>
        </row>
        <row r="1933">
          <cell r="A1933">
            <v>1929</v>
          </cell>
          <cell r="B1933" t="str">
            <v>2018-11-01</v>
          </cell>
          <cell r="C1933">
            <v>0</v>
          </cell>
          <cell r="D1933">
            <v>0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</row>
        <row r="1934">
          <cell r="A1934">
            <v>1930</v>
          </cell>
          <cell r="B1934" t="str">
            <v>2018-11-01</v>
          </cell>
          <cell r="C1934" t="str">
            <v>키즈락</v>
          </cell>
          <cell r="D1934">
            <v>0</v>
          </cell>
          <cell r="E1934" t="str">
            <v>일반</v>
          </cell>
          <cell r="F1934" t="str">
            <v>입고완료</v>
          </cell>
          <cell r="G1934">
            <v>128022</v>
          </cell>
          <cell r="H1934" t="str">
            <v>빙그레 딸기우유(200ml 200g/EA)</v>
          </cell>
          <cell r="I1934" t="str">
            <v>EA</v>
          </cell>
          <cell r="J1934">
            <v>60</v>
          </cell>
          <cell r="K1934">
            <v>60</v>
          </cell>
          <cell r="L1934">
            <v>360</v>
          </cell>
          <cell r="M1934">
            <v>21600</v>
          </cell>
          <cell r="N1934">
            <v>2160</v>
          </cell>
          <cell r="O1934">
            <v>23760</v>
          </cell>
          <cell r="P1934">
            <v>0</v>
          </cell>
          <cell r="Q1934" t="str">
            <v>한국</v>
          </cell>
          <cell r="R1934" t="str">
            <v>냉장</v>
          </cell>
          <cell r="S1934" t="str">
            <v>EA(50)</v>
          </cell>
          <cell r="T1934" t="str">
            <v/>
          </cell>
          <cell r="U1934" t="str">
            <v/>
          </cell>
          <cell r="V1934" t="str">
            <v>2018-10-26</v>
          </cell>
          <cell r="W1934" t="str">
            <v>2018-10-26 10:43:37</v>
          </cell>
          <cell r="X1934" t="str">
            <v>178921000</v>
          </cell>
        </row>
        <row r="1935">
          <cell r="A1935">
            <v>1931</v>
          </cell>
          <cell r="B1935" t="str">
            <v>2018-11-01</v>
          </cell>
          <cell r="C1935" t="str">
            <v>키즈락</v>
          </cell>
          <cell r="D1935">
            <v>0</v>
          </cell>
          <cell r="E1935" t="str">
            <v>일반</v>
          </cell>
          <cell r="F1935" t="str">
            <v>입고완료</v>
          </cell>
          <cell r="G1935">
            <v>136633</v>
          </cell>
          <cell r="H1935" t="str">
            <v>이오 요구르트(80ml_유기농 80g/EA)</v>
          </cell>
          <cell r="I1935" t="str">
            <v>EA</v>
          </cell>
          <cell r="J1935">
            <v>168</v>
          </cell>
          <cell r="K1935">
            <v>168</v>
          </cell>
          <cell r="L1935">
            <v>300</v>
          </cell>
          <cell r="M1935">
            <v>50400</v>
          </cell>
          <cell r="N1935">
            <v>5040</v>
          </cell>
          <cell r="O1935">
            <v>55440</v>
          </cell>
          <cell r="P1935">
            <v>0</v>
          </cell>
          <cell r="Q1935" t="str">
            <v>한국</v>
          </cell>
          <cell r="R1935" t="str">
            <v>냉장</v>
          </cell>
          <cell r="S1935" t="str">
            <v>EA(50)</v>
          </cell>
          <cell r="T1935" t="str">
            <v/>
          </cell>
          <cell r="U1935" t="str">
            <v/>
          </cell>
          <cell r="V1935" t="str">
            <v>2018-10-26</v>
          </cell>
          <cell r="W1935" t="str">
            <v>2018-10-26 10:43:53</v>
          </cell>
          <cell r="X1935" t="str">
            <v>178921000</v>
          </cell>
        </row>
        <row r="1936">
          <cell r="A1936">
            <v>1932</v>
          </cell>
          <cell r="B1936" t="str">
            <v>2018-11-01</v>
          </cell>
          <cell r="C1936" t="str">
            <v>키즈락</v>
          </cell>
          <cell r="D1936">
            <v>0</v>
          </cell>
          <cell r="E1936" t="str">
            <v>일반</v>
          </cell>
          <cell r="F1936" t="str">
            <v>입고완료</v>
          </cell>
          <cell r="G1936">
            <v>401420</v>
          </cell>
          <cell r="H1936" t="str">
            <v>소앞다리(5*0.5*0.5cm 잡채용 KG)</v>
          </cell>
          <cell r="I1936" t="str">
            <v>KG</v>
          </cell>
          <cell r="J1936">
            <v>1</v>
          </cell>
          <cell r="K1936">
            <v>1</v>
          </cell>
          <cell r="L1936">
            <v>9870</v>
          </cell>
          <cell r="M1936">
            <v>9870</v>
          </cell>
          <cell r="N1936">
            <v>0</v>
          </cell>
          <cell r="O1936">
            <v>9870</v>
          </cell>
          <cell r="P1936">
            <v>0</v>
          </cell>
          <cell r="Q1936" t="str">
            <v>호주</v>
          </cell>
          <cell r="R1936" t="str">
            <v>냉동</v>
          </cell>
          <cell r="S1936" t="str">
            <v>KG(1)</v>
          </cell>
          <cell r="T1936" t="str">
            <v>886301020973</v>
          </cell>
          <cell r="U1936" t="str">
            <v/>
          </cell>
          <cell r="V1936" t="str">
            <v>2018-10-30</v>
          </cell>
          <cell r="W1936" t="str">
            <v>2018-10-30 13:25:50</v>
          </cell>
          <cell r="X1936" t="str">
            <v>178921000</v>
          </cell>
        </row>
        <row r="1937">
          <cell r="A1937">
            <v>1933</v>
          </cell>
          <cell r="B1937" t="str">
            <v>2018-11-01</v>
          </cell>
          <cell r="C1937" t="str">
            <v>키즈락</v>
          </cell>
          <cell r="D1937">
            <v>0</v>
          </cell>
          <cell r="E1937" t="str">
            <v>일반</v>
          </cell>
          <cell r="F1937" t="str">
            <v>입고완료</v>
          </cell>
          <cell r="G1937">
            <v>197956</v>
          </cell>
          <cell r="H1937" t="str">
            <v>대두식품 떡꼬치(네알당고_45g*23입 1.035Kg/EA)</v>
          </cell>
          <cell r="I1937" t="str">
            <v>EA</v>
          </cell>
          <cell r="J1937">
            <v>1</v>
          </cell>
          <cell r="K1937">
            <v>1</v>
          </cell>
          <cell r="L1937">
            <v>9630</v>
          </cell>
          <cell r="M1937">
            <v>9630</v>
          </cell>
          <cell r="N1937">
            <v>963</v>
          </cell>
          <cell r="O1937">
            <v>10593</v>
          </cell>
          <cell r="P1937">
            <v>0</v>
          </cell>
          <cell r="Q1937" t="str">
            <v>한국</v>
          </cell>
          <cell r="R1937" t="str">
            <v>냉동</v>
          </cell>
          <cell r="S1937" t="str">
            <v>EA(6)</v>
          </cell>
          <cell r="T1937" t="str">
            <v/>
          </cell>
          <cell r="U1937" t="str">
            <v/>
          </cell>
          <cell r="V1937" t="str">
            <v>2018-10-30</v>
          </cell>
          <cell r="W1937" t="str">
            <v>2018-10-30 14:18:11</v>
          </cell>
          <cell r="X1937" t="str">
            <v>178921000</v>
          </cell>
        </row>
        <row r="1938">
          <cell r="A1938">
            <v>1934</v>
          </cell>
          <cell r="B1938" t="str">
            <v>2018-11-01</v>
          </cell>
          <cell r="C1938" t="str">
            <v>키즈락</v>
          </cell>
          <cell r="D1938">
            <v>0</v>
          </cell>
          <cell r="E1938" t="str">
            <v>일반</v>
          </cell>
          <cell r="F1938" t="str">
            <v>입고완료</v>
          </cell>
          <cell r="G1938">
            <v>231156</v>
          </cell>
          <cell r="H1938" t="str">
            <v>종가집 포기김치(중숙 10Kg/BOX)</v>
          </cell>
          <cell r="I1938" t="str">
            <v>BOX</v>
          </cell>
          <cell r="J1938">
            <v>2</v>
          </cell>
          <cell r="K1938">
            <v>2</v>
          </cell>
          <cell r="L1938">
            <v>31390</v>
          </cell>
          <cell r="M1938">
            <v>62780</v>
          </cell>
          <cell r="N1938">
            <v>0</v>
          </cell>
          <cell r="O1938">
            <v>62780</v>
          </cell>
          <cell r="P1938">
            <v>0</v>
          </cell>
          <cell r="Q1938" t="str">
            <v>한국</v>
          </cell>
          <cell r="R1938" t="str">
            <v>냉장</v>
          </cell>
          <cell r="S1938" t="str">
            <v>BOX(1)</v>
          </cell>
          <cell r="T1938" t="str">
            <v/>
          </cell>
          <cell r="U1938" t="str">
            <v/>
          </cell>
          <cell r="V1938" t="str">
            <v>2018-10-31</v>
          </cell>
          <cell r="W1938" t="str">
            <v>2018-10-31 12:12:32</v>
          </cell>
          <cell r="X1938" t="str">
            <v>178921000</v>
          </cell>
        </row>
        <row r="1939">
          <cell r="A1939">
            <v>1935</v>
          </cell>
          <cell r="B1939" t="str">
            <v>2018-11-01</v>
          </cell>
          <cell r="C1939" t="str">
            <v>키즈락</v>
          </cell>
          <cell r="D1939">
            <v>0</v>
          </cell>
          <cell r="E1939" t="str">
            <v>일반</v>
          </cell>
          <cell r="F1939" t="str">
            <v>입고완료</v>
          </cell>
          <cell r="G1939">
            <v>215857</v>
          </cell>
          <cell r="H1939" t="str">
            <v>냉동다진마늘(1Kg/EA)</v>
          </cell>
          <cell r="I1939" t="str">
            <v>EA</v>
          </cell>
          <cell r="J1939">
            <v>20</v>
          </cell>
          <cell r="K1939">
            <v>20</v>
          </cell>
          <cell r="L1939">
            <v>2730</v>
          </cell>
          <cell r="M1939">
            <v>54600</v>
          </cell>
          <cell r="N1939">
            <v>0</v>
          </cell>
          <cell r="O1939">
            <v>54600</v>
          </cell>
          <cell r="P1939">
            <v>0</v>
          </cell>
          <cell r="Q1939" t="str">
            <v>중국</v>
          </cell>
          <cell r="R1939" t="str">
            <v>냉동</v>
          </cell>
          <cell r="S1939" t="str">
            <v>EA(10)</v>
          </cell>
          <cell r="T1939" t="str">
            <v/>
          </cell>
          <cell r="U1939" t="str">
            <v/>
          </cell>
          <cell r="V1939" t="str">
            <v>2018-10-31</v>
          </cell>
          <cell r="W1939" t="str">
            <v>2018-10-31 12:41:14</v>
          </cell>
          <cell r="X1939" t="str">
            <v>178921000</v>
          </cell>
        </row>
        <row r="1940">
          <cell r="A1940">
            <v>1936</v>
          </cell>
          <cell r="B1940" t="str">
            <v>2018-11-01</v>
          </cell>
          <cell r="C1940" t="str">
            <v>키즈락</v>
          </cell>
          <cell r="D1940">
            <v>0</v>
          </cell>
          <cell r="E1940" t="str">
            <v>일반</v>
          </cell>
          <cell r="F1940" t="str">
            <v>입고완료</v>
          </cell>
          <cell r="G1940">
            <v>239717</v>
          </cell>
          <cell r="H1940" t="str">
            <v>녹선 참오징어젓(1Kg/EA)</v>
          </cell>
          <cell r="I1940" t="str">
            <v>EA</v>
          </cell>
          <cell r="J1940">
            <v>1</v>
          </cell>
          <cell r="K1940">
            <v>1</v>
          </cell>
          <cell r="L1940">
            <v>6630</v>
          </cell>
          <cell r="M1940">
            <v>6630</v>
          </cell>
          <cell r="N1940">
            <v>663</v>
          </cell>
          <cell r="O1940">
            <v>7293</v>
          </cell>
          <cell r="P1940">
            <v>0</v>
          </cell>
          <cell r="Q1940" t="str">
            <v>중국</v>
          </cell>
          <cell r="R1940" t="str">
            <v>냉장</v>
          </cell>
          <cell r="S1940" t="str">
            <v>EA(1)</v>
          </cell>
          <cell r="T1940" t="str">
            <v/>
          </cell>
          <cell r="U1940" t="str">
            <v/>
          </cell>
          <cell r="V1940" t="str">
            <v>2018-10-31</v>
          </cell>
          <cell r="W1940" t="str">
            <v>2018-10-31 14:27:03</v>
          </cell>
          <cell r="X1940" t="str">
            <v>178921000</v>
          </cell>
        </row>
        <row r="1941">
          <cell r="A1941">
            <v>1937</v>
          </cell>
          <cell r="B1941" t="str">
            <v>2018-11-01</v>
          </cell>
          <cell r="C1941" t="str">
            <v>키즈락</v>
          </cell>
          <cell r="D1941">
            <v>0</v>
          </cell>
          <cell r="E1941" t="str">
            <v>일반</v>
          </cell>
          <cell r="F1941" t="str">
            <v>입고완료</v>
          </cell>
          <cell r="G1941">
            <v>247824</v>
          </cell>
          <cell r="H1941" t="str">
            <v>주일 건다시마(실속 1Kg/EA)</v>
          </cell>
          <cell r="I1941" t="str">
            <v>EA</v>
          </cell>
          <cell r="J1941">
            <v>3</v>
          </cell>
          <cell r="K1941">
            <v>3</v>
          </cell>
          <cell r="L1941">
            <v>11100</v>
          </cell>
          <cell r="M1941">
            <v>33300</v>
          </cell>
          <cell r="N1941">
            <v>0</v>
          </cell>
          <cell r="O1941">
            <v>33300</v>
          </cell>
          <cell r="P1941">
            <v>0</v>
          </cell>
          <cell r="Q1941" t="str">
            <v>한국</v>
          </cell>
          <cell r="R1941" t="str">
            <v>실온</v>
          </cell>
          <cell r="S1941" t="str">
            <v>EA(20)</v>
          </cell>
          <cell r="T1941" t="str">
            <v/>
          </cell>
          <cell r="U1941" t="str">
            <v/>
          </cell>
          <cell r="V1941" t="str">
            <v>2018-10-31</v>
          </cell>
          <cell r="W1941" t="str">
            <v>2018-10-31 14:28:27</v>
          </cell>
          <cell r="X1941" t="str">
            <v>178921000</v>
          </cell>
        </row>
        <row r="1942">
          <cell r="A1942">
            <v>1938</v>
          </cell>
          <cell r="B1942" t="str">
            <v>2018-11-01</v>
          </cell>
          <cell r="C1942" t="str">
            <v>키즈락</v>
          </cell>
          <cell r="D1942">
            <v>0</v>
          </cell>
          <cell r="E1942" t="str">
            <v>일반</v>
          </cell>
          <cell r="F1942" t="str">
            <v>입고완료</v>
          </cell>
          <cell r="G1942">
            <v>314295</v>
          </cell>
          <cell r="H1942" t="str">
            <v>디포리(밴댕이 1.5Kg/BOX)</v>
          </cell>
          <cell r="I1942" t="str">
            <v>BOX</v>
          </cell>
          <cell r="J1942">
            <v>3</v>
          </cell>
          <cell r="K1942">
            <v>3</v>
          </cell>
          <cell r="L1942">
            <v>10930</v>
          </cell>
          <cell r="M1942">
            <v>32790</v>
          </cell>
          <cell r="N1942">
            <v>0</v>
          </cell>
          <cell r="O1942">
            <v>32790</v>
          </cell>
          <cell r="P1942">
            <v>0</v>
          </cell>
          <cell r="Q1942" t="str">
            <v>베트남</v>
          </cell>
          <cell r="R1942" t="str">
            <v>냉동</v>
          </cell>
          <cell r="S1942" t="str">
            <v>BOX(1)</v>
          </cell>
          <cell r="T1942" t="str">
            <v/>
          </cell>
          <cell r="U1942" t="str">
            <v/>
          </cell>
          <cell r="V1942" t="str">
            <v>2018-10-31</v>
          </cell>
          <cell r="W1942" t="str">
            <v>2018-10-31 14:28:57</v>
          </cell>
          <cell r="X1942" t="str">
            <v>178921000</v>
          </cell>
        </row>
        <row r="1943">
          <cell r="A1943">
            <v>1939</v>
          </cell>
          <cell r="B1943" t="str">
            <v>2018-11-01</v>
          </cell>
          <cell r="C1943" t="str">
            <v>키즈락</v>
          </cell>
          <cell r="D1943">
            <v>0</v>
          </cell>
          <cell r="E1943" t="str">
            <v>일반</v>
          </cell>
          <cell r="F1943" t="str">
            <v>입고완료</v>
          </cell>
          <cell r="G1943">
            <v>204973</v>
          </cell>
          <cell r="H1943" t="str">
            <v>냉동대파(1Kg/PAC)</v>
          </cell>
          <cell r="I1943" t="str">
            <v>PAC</v>
          </cell>
          <cell r="J1943">
            <v>10</v>
          </cell>
          <cell r="K1943">
            <v>10</v>
          </cell>
          <cell r="L1943">
            <v>1400</v>
          </cell>
          <cell r="M1943">
            <v>14000</v>
          </cell>
          <cell r="N1943">
            <v>0</v>
          </cell>
          <cell r="O1943">
            <v>14000</v>
          </cell>
          <cell r="P1943">
            <v>0</v>
          </cell>
          <cell r="Q1943" t="str">
            <v>중국</v>
          </cell>
          <cell r="R1943" t="str">
            <v>냉동</v>
          </cell>
          <cell r="S1943" t="str">
            <v>PAC(1)</v>
          </cell>
          <cell r="T1943" t="str">
            <v/>
          </cell>
          <cell r="U1943" t="str">
            <v/>
          </cell>
          <cell r="V1943" t="str">
            <v>2018-10-31</v>
          </cell>
          <cell r="W1943" t="str">
            <v>2018-10-31 14:29:36</v>
          </cell>
          <cell r="X1943" t="str">
            <v>178921000</v>
          </cell>
        </row>
        <row r="1944">
          <cell r="A1944">
            <v>1940</v>
          </cell>
          <cell r="B1944" t="str">
            <v>2018-11-01</v>
          </cell>
          <cell r="C1944" t="str">
            <v>키즈락</v>
          </cell>
          <cell r="D1944">
            <v>0</v>
          </cell>
          <cell r="E1944" t="str">
            <v>일반</v>
          </cell>
          <cell r="F1944" t="str">
            <v>입고완료</v>
          </cell>
          <cell r="G1944">
            <v>144979</v>
          </cell>
          <cell r="H1944" t="str">
            <v>이츠웰 스테이크소스(PET 2Kg/EA)</v>
          </cell>
          <cell r="I1944" t="str">
            <v>EA</v>
          </cell>
          <cell r="J1944">
            <v>6</v>
          </cell>
          <cell r="K1944">
            <v>6</v>
          </cell>
          <cell r="L1944">
            <v>4150</v>
          </cell>
          <cell r="M1944">
            <v>24900</v>
          </cell>
          <cell r="N1944">
            <v>2490</v>
          </cell>
          <cell r="O1944">
            <v>27390</v>
          </cell>
          <cell r="P1944">
            <v>0</v>
          </cell>
          <cell r="Q1944" t="str">
            <v/>
          </cell>
          <cell r="R1944" t="str">
            <v>실온</v>
          </cell>
          <cell r="S1944" t="str">
            <v>EA(6)</v>
          </cell>
          <cell r="T1944" t="str">
            <v/>
          </cell>
          <cell r="U1944" t="str">
            <v/>
          </cell>
          <cell r="V1944" t="str">
            <v>2018-10-31</v>
          </cell>
          <cell r="W1944" t="str">
            <v>2018-10-31 14:32:31</v>
          </cell>
          <cell r="X1944" t="str">
            <v>178921000</v>
          </cell>
        </row>
        <row r="1945">
          <cell r="A1945">
            <v>1941</v>
          </cell>
          <cell r="B1945" t="str">
            <v>2018-11-01</v>
          </cell>
          <cell r="C1945" t="str">
            <v>키즈락</v>
          </cell>
          <cell r="D1945">
            <v>0</v>
          </cell>
          <cell r="E1945" t="str">
            <v>일반</v>
          </cell>
          <cell r="F1945" t="str">
            <v>입고완료</v>
          </cell>
          <cell r="G1945">
            <v>212132</v>
          </cell>
          <cell r="H1945" t="str">
            <v>냉동고구마(맛탕용 1Kg/EA)</v>
          </cell>
          <cell r="I1945" t="str">
            <v>EA</v>
          </cell>
          <cell r="J1945">
            <v>3</v>
          </cell>
          <cell r="K1945">
            <v>3</v>
          </cell>
          <cell r="L1945">
            <v>2750</v>
          </cell>
          <cell r="M1945">
            <v>8250</v>
          </cell>
          <cell r="N1945">
            <v>825</v>
          </cell>
          <cell r="O1945">
            <v>9075</v>
          </cell>
          <cell r="P1945">
            <v>0</v>
          </cell>
          <cell r="Q1945" t="str">
            <v/>
          </cell>
          <cell r="R1945" t="str">
            <v>냉동</v>
          </cell>
          <cell r="S1945" t="str">
            <v>EA(1)</v>
          </cell>
          <cell r="T1945" t="str">
            <v/>
          </cell>
          <cell r="U1945" t="str">
            <v/>
          </cell>
          <cell r="V1945" t="str">
            <v>2018-10-31</v>
          </cell>
          <cell r="W1945" t="str">
            <v>2018-10-31 14:36:18</v>
          </cell>
          <cell r="X1945" t="str">
            <v>178921000</v>
          </cell>
        </row>
        <row r="1946">
          <cell r="A1946">
            <v>1942</v>
          </cell>
          <cell r="B1946" t="str">
            <v>2018-11-01</v>
          </cell>
          <cell r="C1946" t="str">
            <v>키즈락</v>
          </cell>
          <cell r="D1946">
            <v>0</v>
          </cell>
          <cell r="E1946" t="str">
            <v>일반</v>
          </cell>
          <cell r="F1946" t="str">
            <v>입고완료</v>
          </cell>
          <cell r="G1946">
            <v>407001</v>
          </cell>
          <cell r="H1946" t="str">
            <v>한우잡뼈(3cm두께_절단 탕용 KG)</v>
          </cell>
          <cell r="I1946" t="str">
            <v>KG</v>
          </cell>
          <cell r="J1946">
            <v>10</v>
          </cell>
          <cell r="K1946">
            <v>10</v>
          </cell>
          <cell r="L1946">
            <v>5140</v>
          </cell>
          <cell r="M1946">
            <v>51400</v>
          </cell>
          <cell r="N1946">
            <v>0</v>
          </cell>
          <cell r="O1946">
            <v>51400</v>
          </cell>
          <cell r="P1946">
            <v>0</v>
          </cell>
          <cell r="Q1946" t="str">
            <v>한국</v>
          </cell>
          <cell r="R1946" t="str">
            <v>냉동</v>
          </cell>
          <cell r="S1946" t="str">
            <v>KG(1)</v>
          </cell>
          <cell r="T1946" t="str">
            <v>L01808105845010</v>
          </cell>
          <cell r="U1946" t="str">
            <v/>
          </cell>
          <cell r="V1946" t="str">
            <v>2018-10-31</v>
          </cell>
          <cell r="W1946" t="str">
            <v>2018-10-31 14:43:55</v>
          </cell>
          <cell r="X1946" t="str">
            <v>178921000</v>
          </cell>
        </row>
        <row r="1947">
          <cell r="A1947">
            <v>1943</v>
          </cell>
          <cell r="B1947" t="str">
            <v>2018-11-01</v>
          </cell>
          <cell r="C1947" t="str">
            <v>키즈락</v>
          </cell>
          <cell r="D1947">
            <v>0</v>
          </cell>
          <cell r="E1947" t="str">
            <v>일반</v>
          </cell>
          <cell r="F1947" t="str">
            <v>입고완료</v>
          </cell>
          <cell r="G1947">
            <v>208805</v>
          </cell>
          <cell r="H1947" t="str">
            <v>총알새송이버섯(KG)</v>
          </cell>
          <cell r="I1947" t="str">
            <v>KG</v>
          </cell>
          <cell r="J1947">
            <v>44</v>
          </cell>
          <cell r="K1947">
            <v>44</v>
          </cell>
          <cell r="L1947">
            <v>2490</v>
          </cell>
          <cell r="M1947">
            <v>109560</v>
          </cell>
          <cell r="N1947">
            <v>0</v>
          </cell>
          <cell r="O1947">
            <v>109560</v>
          </cell>
          <cell r="P1947">
            <v>0</v>
          </cell>
          <cell r="Q1947" t="str">
            <v>한국</v>
          </cell>
          <cell r="R1947" t="str">
            <v>냉장</v>
          </cell>
          <cell r="S1947" t="str">
            <v>KG(1)</v>
          </cell>
          <cell r="T1947" t="str">
            <v/>
          </cell>
          <cell r="U1947" t="str">
            <v/>
          </cell>
          <cell r="V1947" t="str">
            <v>2018-10-31</v>
          </cell>
          <cell r="W1947" t="str">
            <v>2018-10-31 14:46:21</v>
          </cell>
          <cell r="X1947" t="str">
            <v>178921000</v>
          </cell>
        </row>
        <row r="1948">
          <cell r="A1948">
            <v>1944</v>
          </cell>
          <cell r="B1948" t="str">
            <v>2018-11-01</v>
          </cell>
          <cell r="C1948" t="str">
            <v>키즈락</v>
          </cell>
          <cell r="D1948">
            <v>0</v>
          </cell>
          <cell r="E1948" t="str">
            <v>일반</v>
          </cell>
          <cell r="F1948" t="str">
            <v>입고완료</v>
          </cell>
          <cell r="G1948">
            <v>200675</v>
          </cell>
          <cell r="H1948" t="str">
            <v>쥬키니호박(상품 KG)</v>
          </cell>
          <cell r="I1948" t="str">
            <v>KG</v>
          </cell>
          <cell r="J1948">
            <v>5</v>
          </cell>
          <cell r="K1948">
            <v>5</v>
          </cell>
          <cell r="L1948">
            <v>2720</v>
          </cell>
          <cell r="M1948">
            <v>13600</v>
          </cell>
          <cell r="N1948">
            <v>0</v>
          </cell>
          <cell r="O1948">
            <v>13600</v>
          </cell>
          <cell r="P1948">
            <v>0</v>
          </cell>
          <cell r="Q1948" t="str">
            <v>한국</v>
          </cell>
          <cell r="R1948" t="str">
            <v>냉장</v>
          </cell>
          <cell r="S1948" t="str">
            <v>KG(1)</v>
          </cell>
          <cell r="T1948" t="str">
            <v/>
          </cell>
          <cell r="U1948" t="str">
            <v/>
          </cell>
          <cell r="V1948" t="str">
            <v>2018-10-31</v>
          </cell>
          <cell r="W1948" t="str">
            <v>2018-10-31 14:55:31</v>
          </cell>
          <cell r="X1948" t="str">
            <v>178921000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3"/>
  <sheetViews>
    <sheetView tabSelected="1" topLeftCell="A19" zoomScale="70" zoomScaleNormal="70" workbookViewId="0">
      <selection activeCell="N46" sqref="N46"/>
    </sheetView>
  </sheetViews>
  <sheetFormatPr defaultRowHeight="16.5"/>
  <cols>
    <col min="1" max="1" width="6.625" customWidth="1"/>
    <col min="2" max="2" width="15.75" style="167" customWidth="1"/>
    <col min="3" max="3" width="14.75" customWidth="1"/>
    <col min="4" max="4" width="16" customWidth="1"/>
    <col min="5" max="5" width="14.375" customWidth="1"/>
    <col min="6" max="6" width="15.875" customWidth="1"/>
    <col min="7" max="7" width="13.125" customWidth="1"/>
    <col min="8" max="8" width="14.625" customWidth="1"/>
    <col min="9" max="9" width="14.375" customWidth="1"/>
    <col min="10" max="10" width="14.5" customWidth="1"/>
    <col min="11" max="11" width="14" customWidth="1"/>
    <col min="12" max="15" width="25.75" customWidth="1"/>
  </cols>
  <sheetData>
    <row r="1" spans="1:13" ht="120" customHeight="1" thickBot="1">
      <c r="A1" s="299" t="s">
        <v>2019</v>
      </c>
      <c r="B1" s="300"/>
      <c r="C1" s="300"/>
      <c r="D1" s="300"/>
      <c r="E1" s="300"/>
      <c r="F1" s="300"/>
      <c r="G1" s="300"/>
      <c r="H1" s="300"/>
      <c r="I1" s="300"/>
      <c r="J1" s="300"/>
      <c r="K1" s="301"/>
    </row>
    <row r="2" spans="1:13" ht="24.95" customHeight="1" thickBot="1">
      <c r="A2" s="220" t="s">
        <v>902</v>
      </c>
      <c r="B2" s="302" t="s">
        <v>903</v>
      </c>
      <c r="C2" s="303"/>
      <c r="D2" s="304" t="s">
        <v>904</v>
      </c>
      <c r="E2" s="305"/>
      <c r="F2" s="303" t="s">
        <v>905</v>
      </c>
      <c r="G2" s="306"/>
      <c r="H2" s="302" t="s">
        <v>906</v>
      </c>
      <c r="I2" s="306"/>
      <c r="J2" s="302" t="s">
        <v>907</v>
      </c>
      <c r="K2" s="305"/>
      <c r="L2" s="265" t="s">
        <v>2147</v>
      </c>
      <c r="M2" s="262" t="s">
        <v>1364</v>
      </c>
    </row>
    <row r="3" spans="1:13" ht="24.95" customHeight="1" thickBot="1">
      <c r="A3" s="223" t="s">
        <v>908</v>
      </c>
      <c r="B3" s="307">
        <v>46237</v>
      </c>
      <c r="C3" s="308"/>
      <c r="D3" s="307">
        <v>46238</v>
      </c>
      <c r="E3" s="308"/>
      <c r="F3" s="307">
        <v>46239</v>
      </c>
      <c r="G3" s="308"/>
      <c r="H3" s="307">
        <v>46240</v>
      </c>
      <c r="I3" s="308"/>
      <c r="J3" s="307">
        <v>46241</v>
      </c>
      <c r="K3" s="308"/>
      <c r="L3" s="264" t="s">
        <v>2218</v>
      </c>
      <c r="M3" s="262" t="s">
        <v>1224</v>
      </c>
    </row>
    <row r="4" spans="1:13" ht="20.100000000000001" customHeight="1" thickBot="1">
      <c r="A4" s="224" t="s">
        <v>910</v>
      </c>
      <c r="B4" s="248" t="s">
        <v>911</v>
      </c>
      <c r="C4" s="249" t="s">
        <v>912</v>
      </c>
      <c r="D4" s="209" t="s">
        <v>911</v>
      </c>
      <c r="E4" s="208" t="s">
        <v>912</v>
      </c>
      <c r="F4" s="209" t="s">
        <v>911</v>
      </c>
      <c r="G4" s="210" t="s">
        <v>912</v>
      </c>
      <c r="H4" s="206" t="s">
        <v>911</v>
      </c>
      <c r="I4" s="211" t="s">
        <v>912</v>
      </c>
      <c r="J4" s="206" t="s">
        <v>911</v>
      </c>
      <c r="K4" s="211" t="s">
        <v>912</v>
      </c>
      <c r="L4" s="264" t="s">
        <v>2150</v>
      </c>
      <c r="M4" s="263" t="s">
        <v>507</v>
      </c>
    </row>
    <row r="5" spans="1:13" ht="20.100000000000001" customHeight="1" thickBot="1">
      <c r="A5" s="309" t="s">
        <v>1597</v>
      </c>
      <c r="B5" s="234" t="s">
        <v>1777</v>
      </c>
      <c r="C5" s="252">
        <f>IFERROR(INDEX(레시피북!$C$2:$I$611,MATCH($B5,레시피북!$C$2:$C$611,0),7),"")</f>
        <v>0</v>
      </c>
      <c r="D5" s="174" t="s">
        <v>1774</v>
      </c>
      <c r="E5" s="253">
        <f>IFERROR(INDEX(레시피북!$C$2:$I$611,MATCH($D5,레시피북!$C$2:$C$611,0),7),"")</f>
        <v>0</v>
      </c>
      <c r="F5" s="174" t="s">
        <v>1775</v>
      </c>
      <c r="G5" s="253">
        <f>IFERROR(INDEX(레시피북!$C$2:$I$611,MATCH($F5,레시피북!$C$2:$C$611,0),7),"")</f>
        <v>0</v>
      </c>
      <c r="H5" s="174" t="s">
        <v>234</v>
      </c>
      <c r="I5" s="253">
        <f>IFERROR(INDEX(레시피북!$C$2:$I$611,MATCH($H5,레시피북!$C$2:$C$611,0),7),"")</f>
        <v>0</v>
      </c>
      <c r="J5" s="168" t="s">
        <v>1777</v>
      </c>
      <c r="K5" s="253">
        <f>IFERROR(INDEX(레시피북!$C$2:$I$611,MATCH($J5,레시피북!$C$2:$C$611,0),7),"")</f>
        <v>0</v>
      </c>
      <c r="L5" s="265" t="s">
        <v>322</v>
      </c>
      <c r="M5" s="262" t="s">
        <v>1721</v>
      </c>
    </row>
    <row r="6" spans="1:13" ht="20.100000000000001" customHeight="1" thickBot="1">
      <c r="A6" s="310"/>
      <c r="B6" s="174" t="s">
        <v>2022</v>
      </c>
      <c r="C6" s="253" t="str">
        <f>IFERROR(INDEX(레시피북!$C$2:$I$611,MATCH($B6,레시피북!$C$2:$C$611,0),7),"")</f>
        <v>.2.5.6.10.15.16.</v>
      </c>
      <c r="D6" s="168" t="s">
        <v>2024</v>
      </c>
      <c r="E6" s="253" t="str">
        <f>IFERROR(INDEX(레시피북!$C$2:$I$611,MATCH($D6,레시피북!$C$2:$C$611,0),7),"")</f>
        <v>.5.15.21.</v>
      </c>
      <c r="F6" s="254" t="s">
        <v>2108</v>
      </c>
      <c r="G6" s="253" t="str">
        <f>IFERROR(INDEX(레시피북!$C$2:$I$611,MATCH($F6,레시피북!$C$2:$C$611,0),7),"")</f>
        <v>.5.6.10.21.</v>
      </c>
      <c r="H6" s="168" t="s">
        <v>2032</v>
      </c>
      <c r="I6" s="253" t="str">
        <f>IFERROR(INDEX(레시피북!$C$2:$I$611,MATCH($H6,레시피북!$C$2:$C$611,0),7),"")</f>
        <v>.5.16.21.</v>
      </c>
      <c r="J6" s="168" t="s">
        <v>2035</v>
      </c>
      <c r="K6" s="253" t="str">
        <f>IFERROR(INDEX(레시피북!$C$2:$I$611,MATCH($J6,레시피북!$C$2:$C$611,0),7),"")</f>
        <v>.5.6.10.19.21.</v>
      </c>
      <c r="L6" s="264" t="s">
        <v>2203</v>
      </c>
      <c r="M6" s="262" t="s">
        <v>1647</v>
      </c>
    </row>
    <row r="7" spans="1:13" ht="20.100000000000001" customHeight="1" thickBot="1">
      <c r="A7" s="310"/>
      <c r="B7" s="174" t="s">
        <v>280</v>
      </c>
      <c r="C7" s="253" t="str">
        <f>IFERROR(INDEX(레시피북!$C$2:$I$611,MATCH($B7,레시피북!$C$2:$C$611,0),7),"")</f>
        <v>.1.5.18.</v>
      </c>
      <c r="D7" s="168" t="s">
        <v>2025</v>
      </c>
      <c r="E7" s="253" t="str">
        <f>IFERROR(INDEX(레시피북!$C$2:$I$611,MATCH($D7,레시피북!$C$2:$C$611,0),7),"")</f>
        <v>.1.2.5.6.10.16.</v>
      </c>
      <c r="F7" s="254" t="s">
        <v>471</v>
      </c>
      <c r="G7" s="253" t="str">
        <f>IFERROR(INDEX(레시피북!$C$2:$I$611,MATCH($F7,레시피북!$C$2:$C$611,0),7),"")</f>
        <v>.1.5.21.</v>
      </c>
      <c r="H7" s="170" t="s">
        <v>2033</v>
      </c>
      <c r="I7" s="253" t="str">
        <f>IFERROR(INDEX(레시피북!$C$2:$I$611,MATCH($H7,레시피북!$C$2:$C$611,0),7),"")</f>
        <v>.1.5.6.21.</v>
      </c>
      <c r="J7" s="168" t="s">
        <v>2036</v>
      </c>
      <c r="K7" s="253" t="str">
        <f>IFERROR(INDEX(레시피북!$C$2:$I$611,MATCH($J7,레시피북!$C$2:$C$611,0),7),"")</f>
        <v>.1.5.6.12.21.</v>
      </c>
      <c r="L7" s="264" t="s">
        <v>2200</v>
      </c>
      <c r="M7" s="262" t="s">
        <v>578</v>
      </c>
    </row>
    <row r="8" spans="1:13" ht="20.100000000000001" customHeight="1" thickBot="1">
      <c r="A8" s="310"/>
      <c r="B8" s="174" t="s">
        <v>416</v>
      </c>
      <c r="C8" s="253" t="str">
        <f>IFERROR(INDEX(레시피북!$C$2:$I$611,MATCH($B8,레시피북!$C$2:$C$611,0),7),"")</f>
        <v>.5.21.</v>
      </c>
      <c r="D8" s="168" t="s">
        <v>2026</v>
      </c>
      <c r="E8" s="253" t="str">
        <f>IFERROR(INDEX(레시피북!$C$2:$I$611,MATCH($D8,레시피북!$C$2:$C$611,0),7),"")</f>
        <v>.21.</v>
      </c>
      <c r="F8" s="254" t="s">
        <v>2109</v>
      </c>
      <c r="G8" s="253" t="str">
        <f>IFERROR(INDEX(레시피북!$C$2:$I$611,MATCH($F8,레시피북!$C$2:$C$611,0),7),"")</f>
        <v>.5.9.21.</v>
      </c>
      <c r="H8" s="170" t="s">
        <v>186</v>
      </c>
      <c r="I8" s="253" t="str">
        <f>IFERROR(INDEX(레시피북!$C$2:$I$611,MATCH($H8,레시피북!$C$2:$C$611,0),7),"")</f>
        <v>.1.2.5.16.</v>
      </c>
      <c r="J8" s="168" t="s">
        <v>1778</v>
      </c>
      <c r="K8" s="253" t="str">
        <f>IFERROR(INDEX(레시피북!$C$2:$I$611,MATCH($J8,레시피북!$C$2:$C$611,0),7),"")</f>
        <v>.21.</v>
      </c>
      <c r="L8" s="264" t="s">
        <v>2202</v>
      </c>
      <c r="M8" s="262" t="s">
        <v>1499</v>
      </c>
    </row>
    <row r="9" spans="1:13" ht="20.100000000000001" customHeight="1" thickBot="1">
      <c r="A9" s="310"/>
      <c r="B9" s="174" t="s">
        <v>290</v>
      </c>
      <c r="C9" s="253" t="str">
        <f>IFERROR(INDEX(레시피북!$C$2:$I$611,MATCH($B9,레시피북!$C$2:$C$611,0),7),"")</f>
        <v>.9.12.</v>
      </c>
      <c r="D9" s="168" t="s">
        <v>189</v>
      </c>
      <c r="E9" s="253" t="str">
        <f>IFERROR(INDEX(레시피북!$C$2:$I$611,MATCH($D9,레시피북!$C$2:$C$611,0),7),"")</f>
        <v>.6.9.</v>
      </c>
      <c r="F9" s="254" t="s">
        <v>1776</v>
      </c>
      <c r="G9" s="253">
        <f>IFERROR(INDEX(레시피북!$C$2:$I$611,MATCH($F9,레시피북!$C$2:$C$611,0),7),"")</f>
        <v>0</v>
      </c>
      <c r="H9" s="170" t="s">
        <v>189</v>
      </c>
      <c r="I9" s="253" t="str">
        <f>IFERROR(INDEX(레시피북!$C$2:$I$611,MATCH($H9,레시피북!$C$2:$C$611,0),7),"")</f>
        <v>.6.9.</v>
      </c>
      <c r="J9" s="168" t="s">
        <v>290</v>
      </c>
      <c r="K9" s="253" t="str">
        <f>IFERROR(INDEX(레시피북!$C$2:$I$611,MATCH($J9,레시피북!$C$2:$C$611,0),7),"")</f>
        <v>.9.12.</v>
      </c>
      <c r="L9" s="264" t="s">
        <v>2149</v>
      </c>
      <c r="M9" s="262" t="s">
        <v>1521</v>
      </c>
    </row>
    <row r="10" spans="1:13" ht="20.100000000000001" customHeight="1" thickBot="1">
      <c r="A10" s="310"/>
      <c r="B10" s="174" t="s">
        <v>2023</v>
      </c>
      <c r="C10" s="253" t="str">
        <f>IFERROR(INDEX(레시피북!$C$2:$I$611,MATCH($B10,레시피북!$C$2:$C$611,0),7),"")</f>
        <v>.5.</v>
      </c>
      <c r="D10" s="168" t="s">
        <v>2027</v>
      </c>
      <c r="E10" s="253" t="str">
        <f>IFERROR(INDEX(레시피북!$C$2:$I$611,MATCH($D10,레시피북!$C$2:$C$611,0),7),"")</f>
        <v>.5.16.</v>
      </c>
      <c r="F10" s="254" t="s">
        <v>2034</v>
      </c>
      <c r="G10" s="253" t="str">
        <f>IFERROR(INDEX(레시피북!$C$2:$I$611,MATCH($F10,레시피북!$C$2:$C$611,0),7),"")</f>
        <v>.5.9.21.22.</v>
      </c>
      <c r="H10" s="170" t="s">
        <v>2029</v>
      </c>
      <c r="I10" s="253" t="str">
        <f>IFERROR(INDEX(레시피북!$C$2:$I$611,MATCH($H10,레시피북!$C$2:$C$611,0),7),"")</f>
        <v>.5.</v>
      </c>
      <c r="J10" s="168" t="s">
        <v>2037</v>
      </c>
      <c r="K10" s="253" t="str">
        <f>IFERROR(INDEX(레시피북!$C$2:$I$611,MATCH($J10,레시피북!$C$2:$C$611,0),7),"")</f>
        <v>.5.</v>
      </c>
      <c r="L10" s="265" t="s">
        <v>2201</v>
      </c>
      <c r="M10" s="262" t="s">
        <v>2219</v>
      </c>
    </row>
    <row r="11" spans="1:13" ht="20.100000000000001" customHeight="1" thickBot="1">
      <c r="A11" s="310"/>
      <c r="B11" s="174"/>
      <c r="C11" s="253" t="str">
        <f>IFERROR(INDEX(레시피북!$C$2:$I$611,MATCH($B11,레시피북!$C$2:$C$611,0),7),"")</f>
        <v/>
      </c>
      <c r="D11" s="168"/>
      <c r="E11" s="253" t="str">
        <f>IFERROR(INDEX(레시피북!$C$2:$I$611,MATCH($D11,레시피북!$C$2:$C$611,0),7),"")</f>
        <v/>
      </c>
      <c r="F11" s="266"/>
      <c r="G11" s="267"/>
      <c r="H11" s="168"/>
      <c r="I11" s="253" t="str">
        <f>IFERROR(INDEX(레시피북!$C$2:$I$611,MATCH($H11,레시피북!$C$2:$C$611,0),7),"")</f>
        <v/>
      </c>
      <c r="J11" s="168"/>
      <c r="K11" s="253" t="str">
        <f>IFERROR(INDEX(레시피북!$C$2:$I$611,MATCH($J11,레시피북!$C$2:$C$611,0),7),"")</f>
        <v/>
      </c>
      <c r="L11" s="264" t="s">
        <v>2198</v>
      </c>
    </row>
    <row r="12" spans="1:13" ht="19.5" customHeight="1" thickBot="1">
      <c r="A12" s="311"/>
      <c r="B12" s="255"/>
      <c r="C12" s="256"/>
      <c r="D12" s="170"/>
      <c r="E12" s="256"/>
      <c r="F12" s="268"/>
      <c r="G12" s="267"/>
      <c r="H12" s="168"/>
      <c r="I12" s="256"/>
      <c r="J12" s="168"/>
      <c r="K12" s="253"/>
      <c r="L12" s="264" t="s">
        <v>2148</v>
      </c>
    </row>
    <row r="13" spans="1:13" ht="24.95" customHeight="1" thickBot="1">
      <c r="A13" s="166" t="s">
        <v>908</v>
      </c>
      <c r="B13" s="307">
        <v>46244</v>
      </c>
      <c r="C13" s="308"/>
      <c r="D13" s="307">
        <v>46245</v>
      </c>
      <c r="E13" s="308"/>
      <c r="F13" s="307">
        <v>46246</v>
      </c>
      <c r="G13" s="308"/>
      <c r="H13" s="307">
        <v>46247</v>
      </c>
      <c r="I13" s="308"/>
      <c r="J13" s="307">
        <v>46248</v>
      </c>
      <c r="K13" s="308"/>
      <c r="L13" s="265" t="s">
        <v>2191</v>
      </c>
    </row>
    <row r="14" spans="1:13" ht="20.100000000000001" customHeight="1" thickBot="1">
      <c r="A14" s="221" t="s">
        <v>910</v>
      </c>
      <c r="B14" s="207" t="s">
        <v>911</v>
      </c>
      <c r="C14" s="210" t="s">
        <v>912</v>
      </c>
      <c r="D14" s="207" t="s">
        <v>911</v>
      </c>
      <c r="E14" s="210" t="s">
        <v>912</v>
      </c>
      <c r="F14" s="207" t="s">
        <v>911</v>
      </c>
      <c r="G14" s="210" t="s">
        <v>912</v>
      </c>
      <c r="H14" s="207" t="s">
        <v>911</v>
      </c>
      <c r="I14" s="210" t="s">
        <v>912</v>
      </c>
      <c r="J14" s="207" t="s">
        <v>911</v>
      </c>
      <c r="K14" s="208" t="s">
        <v>912</v>
      </c>
      <c r="L14" s="280" t="s">
        <v>2188</v>
      </c>
    </row>
    <row r="15" spans="1:13" ht="20.100000000000001" customHeight="1" thickBot="1">
      <c r="A15" s="314" t="s">
        <v>913</v>
      </c>
      <c r="B15" s="234" t="s">
        <v>1777</v>
      </c>
      <c r="C15" s="252">
        <f>IFERROR(INDEX(레시피북!$C$2:$I$611,MATCH($B15,레시피북!$C$2:$C$611,0),7),"")</f>
        <v>0</v>
      </c>
      <c r="D15" s="174" t="s">
        <v>1774</v>
      </c>
      <c r="E15" s="253">
        <f>IFERROR(INDEX(레시피북!$C$2:$I$611,MATCH($D15,레시피북!$C$2:$C$611,0),7),"")</f>
        <v>0</v>
      </c>
      <c r="F15" s="174" t="s">
        <v>1775</v>
      </c>
      <c r="G15" s="253">
        <f>IFERROR(INDEX(레시피북!$C$2:$I$611,MATCH($F15,레시피북!$C$2:$C$611,0),7),"")</f>
        <v>0</v>
      </c>
      <c r="H15" s="174" t="s">
        <v>234</v>
      </c>
      <c r="I15" s="253">
        <f>IFERROR(INDEX(레시피북!$C$2:$I$611,MATCH($H15,레시피북!$C$2:$C$611,0),7),"")</f>
        <v>0</v>
      </c>
      <c r="J15" s="168" t="s">
        <v>1777</v>
      </c>
      <c r="K15" s="253">
        <f>IFERROR(INDEX(레시피북!$C$2:$I$611,MATCH($J15,레시피북!$C$2:$C$611,0),7),"")</f>
        <v>0</v>
      </c>
      <c r="L15" s="281" t="s">
        <v>2189</v>
      </c>
    </row>
    <row r="16" spans="1:13" ht="20.100000000000001" customHeight="1" thickBot="1">
      <c r="A16" s="315"/>
      <c r="B16" s="174" t="s">
        <v>2038</v>
      </c>
      <c r="C16" s="253" t="str">
        <f>IFERROR(INDEX(레시피북!$C$2:$I$611,MATCH($B16,레시피북!$C$2:$C$611,0),7),"")</f>
        <v>.1.5.6.10.16.18.</v>
      </c>
      <c r="D16" s="168" t="s">
        <v>1997</v>
      </c>
      <c r="E16" s="253" t="str">
        <f>IFERROR(INDEX(레시피북!$C$2:$I$611,MATCH($D16,레시피북!$C$2:$C$611,0),7),"")</f>
        <v>.5.16.21.</v>
      </c>
      <c r="F16" s="254" t="s">
        <v>2047</v>
      </c>
      <c r="G16" s="253" t="str">
        <f>IFERROR(INDEX(레시피북!$C$2:$I$611,MATCH($F16,레시피북!$C$2:$C$611,0),7),"")</f>
        <v>.5.6.10.21.</v>
      </c>
      <c r="H16" s="168" t="s">
        <v>2116</v>
      </c>
      <c r="I16" s="253" t="s">
        <v>2117</v>
      </c>
      <c r="J16" s="168" t="s">
        <v>2052</v>
      </c>
      <c r="K16" s="253" t="str">
        <f>IFERROR(INDEX(레시피북!$C$2:$I$611,MATCH($J16,레시피북!$C$2:$C$611,0),7),"")</f>
        <v>.1.2.5.6.10.12.15.16.</v>
      </c>
      <c r="L16" s="281" t="s">
        <v>2190</v>
      </c>
    </row>
    <row r="17" spans="1:12" ht="20.100000000000001" customHeight="1" thickBot="1">
      <c r="A17" s="315"/>
      <c r="B17" s="174" t="s">
        <v>2113</v>
      </c>
      <c r="C17" s="253" t="str">
        <f>IFERROR(INDEX(레시피북!$C$2:$I$611,MATCH($B17,레시피북!$C$2:$C$611,0),7),"")</f>
        <v>.1.5.</v>
      </c>
      <c r="D17" s="168" t="s">
        <v>2114</v>
      </c>
      <c r="E17" s="253" t="s">
        <v>2115</v>
      </c>
      <c r="F17" s="254" t="s">
        <v>2048</v>
      </c>
      <c r="G17" s="253" t="str">
        <f>IFERROR(INDEX(레시피북!$C$2:$I$611,MATCH($F17,레시피북!$C$2:$C$611,0),7),"")</f>
        <v>.1.5.6.12.15.16.18.</v>
      </c>
      <c r="H17" s="170" t="s">
        <v>2118</v>
      </c>
      <c r="I17" s="253" t="str">
        <f>IFERROR(INDEX(레시피북!$C$2:$I$611,MATCH($H17,레시피북!$C$2:$C$611,0),7),"")</f>
        <v/>
      </c>
      <c r="J17" s="168" t="s">
        <v>2053</v>
      </c>
      <c r="K17" s="253" t="str">
        <f>IFERROR(INDEX(레시피북!$C$2:$I$611,MATCH($J17,레시피북!$C$2:$C$611,0),7),"")</f>
        <v>.5.6.16.21.</v>
      </c>
      <c r="L17" s="280" t="s">
        <v>2166</v>
      </c>
    </row>
    <row r="18" spans="1:12" ht="20.100000000000001" customHeight="1" thickBot="1">
      <c r="A18" s="315"/>
      <c r="B18" s="174" t="s">
        <v>2044</v>
      </c>
      <c r="C18" s="253" t="str">
        <f>IFERROR(INDEX(레시피북!$C$2:$I$611,MATCH($B18,레시피북!$C$2:$C$611,0),7),"")</f>
        <v>.1.5.6.19.</v>
      </c>
      <c r="D18" s="168" t="s">
        <v>1998</v>
      </c>
      <c r="E18" s="253" t="str">
        <f>IFERROR(INDEX(레시피북!$C$2:$I$611,MATCH($D18,레시피북!$C$2:$C$611,0),7),"")</f>
        <v>.5.21.</v>
      </c>
      <c r="F18" s="254" t="s">
        <v>368</v>
      </c>
      <c r="G18" s="253" t="str">
        <f>IFERROR(INDEX(레시피북!$C$2:$I$611,MATCH($F18,레시피북!$C$2:$C$611,0),7),"")</f>
        <v>.5.21.</v>
      </c>
      <c r="H18" s="170" t="s">
        <v>2051</v>
      </c>
      <c r="I18" s="253" t="str">
        <f>IFERROR(INDEX(레시피북!$C$2:$I$611,MATCH($H18,레시피북!$C$2:$C$611,0),7),"")</f>
        <v>.5.21.</v>
      </c>
      <c r="J18" s="168" t="s">
        <v>2054</v>
      </c>
      <c r="K18" s="253">
        <f>IFERROR(INDEX(레시피북!$C$2:$I$611,MATCH($J18,레시피북!$C$2:$C$611,0),7),"")</f>
        <v>0</v>
      </c>
      <c r="L18" s="280" t="s">
        <v>2136</v>
      </c>
    </row>
    <row r="19" spans="1:12" ht="20.100000000000001" customHeight="1" thickBot="1">
      <c r="A19" s="315"/>
      <c r="B19" s="174" t="s">
        <v>290</v>
      </c>
      <c r="C19" s="253" t="str">
        <f>IFERROR(INDEX(레시피북!$C$2:$I$611,MATCH($B19,레시피북!$C$2:$C$611,0),7),"")</f>
        <v>.9.12.</v>
      </c>
      <c r="D19" s="168" t="s">
        <v>189</v>
      </c>
      <c r="E19" s="253" t="str">
        <f>IFERROR(INDEX(레시피북!$C$2:$I$611,MATCH($D19,레시피북!$C$2:$C$611,0),7),"")</f>
        <v>.6.9.</v>
      </c>
      <c r="F19" s="254" t="s">
        <v>462</v>
      </c>
      <c r="G19" s="253" t="str">
        <f>IFERROR(INDEX(레시피북!$C$2:$I$611,MATCH($F19,레시피북!$C$2:$C$611,0),7),"")</f>
        <v>.9.</v>
      </c>
      <c r="H19" s="170" t="s">
        <v>189</v>
      </c>
      <c r="I19" s="253" t="str">
        <f>IFERROR(INDEX(레시피북!$C$2:$I$611,MATCH($H19,레시피북!$C$2:$C$611,0),7),"")</f>
        <v>.6.9.</v>
      </c>
      <c r="J19" s="168" t="s">
        <v>290</v>
      </c>
      <c r="K19" s="253" t="str">
        <f>IFERROR(INDEX(레시피북!$C$2:$I$611,MATCH($J19,레시피북!$C$2:$C$611,0),7),"")</f>
        <v>.9.12.</v>
      </c>
      <c r="L19" s="281" t="s">
        <v>2191</v>
      </c>
    </row>
    <row r="20" spans="1:12" ht="20.100000000000001" customHeight="1" thickBot="1">
      <c r="A20" s="315"/>
      <c r="B20" s="174" t="s">
        <v>2039</v>
      </c>
      <c r="C20" s="253" t="str">
        <f>IFERROR(INDEX(레시피북!$C$2:$I$611,MATCH($B20,레시피북!$C$2:$C$611,0),7),"")</f>
        <v>.5.</v>
      </c>
      <c r="D20" s="168" t="s">
        <v>2046</v>
      </c>
      <c r="E20" s="253" t="str">
        <f>IFERROR(INDEX(레시피북!$C$2:$I$611,MATCH($D20,레시피북!$C$2:$C$611,0),7),"")</f>
        <v>.5.17.</v>
      </c>
      <c r="F20" s="254" t="s">
        <v>2049</v>
      </c>
      <c r="G20" s="253" t="str">
        <f>IFERROR(INDEX(레시피북!$C$2:$I$611,MATCH($F20,레시피북!$C$2:$C$611,0),7),"")</f>
        <v>.1.5.</v>
      </c>
      <c r="H20" s="170" t="s">
        <v>2105</v>
      </c>
      <c r="I20" s="253" t="str">
        <f>IFERROR(INDEX(레시피북!$C$2:$I$611,MATCH($H20,레시피북!$C$2:$C$611,0),7),"")</f>
        <v>.5.16.</v>
      </c>
      <c r="J20" s="168" t="s">
        <v>2119</v>
      </c>
      <c r="K20" s="253" t="str">
        <f>IFERROR(INDEX(레시피북!$C$2:$I$611,MATCH($J20,레시피북!$C$2:$C$611,0),7),"")</f>
        <v>.5.6.10.</v>
      </c>
      <c r="L20" s="280" t="s">
        <v>2192</v>
      </c>
    </row>
    <row r="21" spans="1:12" ht="20.100000000000001" customHeight="1" thickBot="1">
      <c r="A21" s="315"/>
      <c r="B21" s="174"/>
      <c r="C21" s="253" t="str">
        <f>IFERROR(INDEX(레시피북!$C$2:$I$611,MATCH($B21,레시피북!$C$2:$C$611,0),7),"")</f>
        <v/>
      </c>
      <c r="D21" s="168"/>
      <c r="E21" s="253" t="str">
        <f>IFERROR(INDEX(레시피북!$C$2:$I$611,MATCH($D21,레시피북!$C$2:$C$611,0),7),"")</f>
        <v/>
      </c>
      <c r="F21" s="254"/>
      <c r="G21" s="253" t="str">
        <f>IFERROR(INDEX(레시피북!$C$2:$I$611,MATCH($F21,레시피북!$C$2:$C$611,0),7),"")</f>
        <v/>
      </c>
      <c r="H21" s="168"/>
      <c r="I21" s="253" t="str">
        <f>IFERROR(INDEX(레시피북!$C$2:$I$611,MATCH($H21,레시피북!$C$2:$C$611,0),7),"")</f>
        <v/>
      </c>
      <c r="J21" s="168"/>
      <c r="K21" s="253" t="str">
        <f>IFERROR(INDEX(레시피북!$C$2:$I$611,MATCH($J21,레시피북!$C$2:$C$611,0),7),"")</f>
        <v/>
      </c>
      <c r="L21" s="280" t="s">
        <v>2193</v>
      </c>
    </row>
    <row r="22" spans="1:12" ht="20.100000000000001" customHeight="1" thickBot="1">
      <c r="A22" s="316"/>
      <c r="B22" s="255"/>
      <c r="C22" s="256"/>
      <c r="D22" s="170"/>
      <c r="E22" s="256"/>
      <c r="F22" s="255"/>
      <c r="G22" s="253"/>
      <c r="H22" s="168"/>
      <c r="I22" s="256"/>
      <c r="J22" s="168"/>
      <c r="K22" s="253"/>
      <c r="L22" s="280" t="s">
        <v>2194</v>
      </c>
    </row>
    <row r="23" spans="1:12" ht="24.95" customHeight="1" thickBot="1">
      <c r="A23" s="166" t="s">
        <v>908</v>
      </c>
      <c r="B23" s="312">
        <v>46251</v>
      </c>
      <c r="C23" s="313"/>
      <c r="D23" s="312">
        <v>46252</v>
      </c>
      <c r="E23" s="313"/>
      <c r="F23" s="312">
        <v>46253</v>
      </c>
      <c r="G23" s="313"/>
      <c r="H23" s="312">
        <v>46254</v>
      </c>
      <c r="I23" s="313"/>
      <c r="J23" s="312">
        <v>46255</v>
      </c>
      <c r="K23" s="313"/>
      <c r="L23" s="280" t="s">
        <v>2195</v>
      </c>
    </row>
    <row r="24" spans="1:12" ht="20.100000000000001" customHeight="1" thickBot="1">
      <c r="A24" s="221" t="s">
        <v>910</v>
      </c>
      <c r="B24" s="207" t="s">
        <v>911</v>
      </c>
      <c r="C24" s="210" t="s">
        <v>912</v>
      </c>
      <c r="D24" s="207" t="s">
        <v>911</v>
      </c>
      <c r="E24" s="210" t="s">
        <v>912</v>
      </c>
      <c r="F24" s="207" t="s">
        <v>911</v>
      </c>
      <c r="G24" s="210" t="s">
        <v>912</v>
      </c>
      <c r="H24" s="207" t="s">
        <v>911</v>
      </c>
      <c r="I24" s="210" t="s">
        <v>912</v>
      </c>
      <c r="J24" s="207" t="s">
        <v>911</v>
      </c>
      <c r="K24" s="208" t="s">
        <v>912</v>
      </c>
      <c r="L24" s="281" t="s">
        <v>1722</v>
      </c>
    </row>
    <row r="25" spans="1:12" ht="20.100000000000001" customHeight="1" thickBot="1">
      <c r="A25" s="314" t="s">
        <v>914</v>
      </c>
      <c r="B25" s="317" t="s">
        <v>2120</v>
      </c>
      <c r="C25" s="318"/>
      <c r="D25" s="174" t="s">
        <v>1777</v>
      </c>
      <c r="E25" s="253">
        <f>IFERROR(INDEX(레시피북!$C$2:$I$611,MATCH($D25,레시피북!$C$2:$C$611,0),7),"")</f>
        <v>0</v>
      </c>
      <c r="F25" s="174" t="s">
        <v>1774</v>
      </c>
      <c r="G25" s="253">
        <f>IFERROR(INDEX(레시피북!$C$2:$I$611,MATCH($F25,레시피북!$C$2:$C$611,0),7),"")</f>
        <v>0</v>
      </c>
      <c r="H25" s="174" t="s">
        <v>234</v>
      </c>
      <c r="I25" s="253">
        <f>IFERROR(INDEX(레시피북!$C$2:$I$611,MATCH($H25,레시피북!$C$2:$C$611,0),7),"")</f>
        <v>0</v>
      </c>
      <c r="J25" s="168" t="s">
        <v>1777</v>
      </c>
      <c r="K25" s="253">
        <f>IFERROR(INDEX(레시피북!$C$2:$I$611,MATCH($J25,레시피북!$C$2:$C$611,0),7),"")</f>
        <v>0</v>
      </c>
      <c r="L25" s="281" t="s">
        <v>2196</v>
      </c>
    </row>
    <row r="26" spans="1:12" ht="20.100000000000001" customHeight="1" thickBot="1">
      <c r="A26" s="315"/>
      <c r="B26" s="319"/>
      <c r="C26" s="320"/>
      <c r="D26" s="168" t="s">
        <v>2066</v>
      </c>
      <c r="E26" s="253" t="str">
        <f>IFERROR(INDEX(레시피북!$C$2:$I$611,MATCH($D26,레시피북!$C$2:$C$611,0),7),"")</f>
        <v>.2.5.6.12.15.16.18.</v>
      </c>
      <c r="F26" s="254" t="s">
        <v>2122</v>
      </c>
      <c r="G26" s="253" t="str">
        <f>IFERROR(INDEX(레시피북!$C$2:$I$611,MATCH($F26,레시피북!$C$2:$C$611,0),7),"")</f>
        <v>.5.6.10.19.21.</v>
      </c>
      <c r="H26" s="168" t="s">
        <v>2074</v>
      </c>
      <c r="I26" s="253" t="str">
        <f>IFERROR(INDEX(레시피북!$C$2:$I$611,MATCH($H26,레시피북!$C$2:$C$611,0),7),"")</f>
        <v>.5.10.21.</v>
      </c>
      <c r="J26" s="168" t="s">
        <v>2078</v>
      </c>
      <c r="K26" s="253" t="str">
        <f>IFERROR(INDEX(레시피북!$C$2:$I$611,MATCH($J26,레시피북!$C$2:$C$611,0),7),"")</f>
        <v>.1.2.5.6.12.15.16.21.</v>
      </c>
      <c r="L26" s="280" t="s">
        <v>2197</v>
      </c>
    </row>
    <row r="27" spans="1:12" ht="20.100000000000001" customHeight="1">
      <c r="A27" s="315"/>
      <c r="B27" s="319"/>
      <c r="C27" s="320"/>
      <c r="D27" s="168" t="s">
        <v>2067</v>
      </c>
      <c r="E27" s="253" t="str">
        <f>IFERROR(INDEX(레시피북!$C$2:$I$611,MATCH($D27,레시피북!$C$2:$C$611,0),7),"")</f>
        <v>.1.5.6.9.</v>
      </c>
      <c r="F27" s="254" t="s">
        <v>373</v>
      </c>
      <c r="G27" s="253" t="str">
        <f>IFERROR(INDEX(레시피북!$C$2:$I$611,MATCH($F27,레시피북!$C$2:$C$611,0),7),"")</f>
        <v>.1.2.</v>
      </c>
      <c r="H27" s="170" t="s">
        <v>2075</v>
      </c>
      <c r="I27" s="253" t="str">
        <f>IFERROR(INDEX(레시피북!$C$2:$I$611,MATCH($H27,레시피북!$C$2:$C$611,0),7),"")</f>
        <v>.1.5.6.</v>
      </c>
      <c r="J27" s="168" t="s">
        <v>2079</v>
      </c>
      <c r="K27" s="253" t="str">
        <f>IFERROR(INDEX(레시피북!$C$2:$I$611,MATCH($J27,레시피북!$C$2:$C$611,0),7),"")</f>
        <v>.1.2.5.6.10.15.16.</v>
      </c>
    </row>
    <row r="28" spans="1:12" ht="20.100000000000001" customHeight="1">
      <c r="A28" s="315"/>
      <c r="B28" s="319"/>
      <c r="C28" s="320"/>
      <c r="D28" s="168" t="s">
        <v>2068</v>
      </c>
      <c r="E28" s="253" t="str">
        <f>IFERROR(INDEX(레시피북!$C$2:$I$611,MATCH($D28,레시피북!$C$2:$C$611,0),7),"")</f>
        <v>.2.4.12.</v>
      </c>
      <c r="F28" s="254" t="s">
        <v>2070</v>
      </c>
      <c r="G28" s="253" t="str">
        <f>IFERROR(INDEX(레시피북!$C$2:$I$611,MATCH($F28,레시피북!$C$2:$C$611,0),7),"")</f>
        <v>.5.21.</v>
      </c>
      <c r="H28" s="170" t="s">
        <v>2076</v>
      </c>
      <c r="I28" s="253" t="str">
        <f>IFERROR(INDEX(레시피북!$C$2:$I$611,MATCH($H28,레시피북!$C$2:$C$611,0),7),"")</f>
        <v>.1.2.5.6.8.12.21.</v>
      </c>
      <c r="J28" s="168" t="s">
        <v>2080</v>
      </c>
      <c r="K28" s="253" t="str">
        <f>IFERROR(INDEX(레시피북!$C$2:$I$611,MATCH($J28,레시피북!$C$2:$C$611,0),7),"")</f>
        <v>.1.12.19.</v>
      </c>
    </row>
    <row r="29" spans="1:12" ht="20.100000000000001" customHeight="1">
      <c r="A29" s="315"/>
      <c r="B29" s="319"/>
      <c r="C29" s="320"/>
      <c r="D29" s="168" t="s">
        <v>290</v>
      </c>
      <c r="E29" s="253" t="str">
        <f>IFERROR(INDEX(레시피북!$C$2:$I$611,MATCH($D29,레시피북!$C$2:$C$611,0),7),"")</f>
        <v>.9.12.</v>
      </c>
      <c r="F29" s="254" t="s">
        <v>189</v>
      </c>
      <c r="G29" s="253" t="str">
        <f>IFERROR(INDEX(레시피북!$C$2:$I$611,MATCH($F29,레시피북!$C$2:$C$611,0),7),"")</f>
        <v>.6.9.</v>
      </c>
      <c r="H29" s="170" t="s">
        <v>189</v>
      </c>
      <c r="I29" s="253" t="str">
        <f>IFERROR(INDEX(레시피북!$C$2:$I$611,MATCH($H29,레시피북!$C$2:$C$611,0),7),"")</f>
        <v>.6.9.</v>
      </c>
      <c r="J29" s="168" t="s">
        <v>290</v>
      </c>
      <c r="K29" s="253" t="str">
        <f>IFERROR(INDEX(레시피북!$C$2:$I$611,MATCH($J29,레시피북!$C$2:$C$611,0),7),"")</f>
        <v>.9.12.</v>
      </c>
    </row>
    <row r="30" spans="1:12" ht="20.100000000000001" customHeight="1">
      <c r="A30" s="315"/>
      <c r="B30" s="319"/>
      <c r="C30" s="320"/>
      <c r="D30" s="168" t="s">
        <v>2077</v>
      </c>
      <c r="E30" s="253" t="str">
        <f>IFERROR(INDEX(레시피북!$C$2:$I$611,MATCH($D30,레시피북!$C$2:$C$611,0),7),"")</f>
        <v>.5.</v>
      </c>
      <c r="F30" s="254" t="s">
        <v>2121</v>
      </c>
      <c r="G30" s="253" t="str">
        <f>IFERROR(INDEX(레시피북!$C$2:$I$611,MATCH($F30,레시피북!$C$2:$C$611,0),7),"")</f>
        <v>.5.</v>
      </c>
      <c r="H30" s="170" t="s">
        <v>2071</v>
      </c>
      <c r="I30" s="253" t="str">
        <f>IFERROR(INDEX(레시피북!$C$2:$I$611,MATCH($H30,레시피북!$C$2:$C$611,0),7),"")</f>
        <v>.5.</v>
      </c>
      <c r="J30" s="168" t="s">
        <v>333</v>
      </c>
      <c r="K30" s="253" t="str">
        <f>IFERROR(INDEX(레시피북!$C$2:$I$611,MATCH($J30,레시피북!$C$2:$C$611,0),7),"")</f>
        <v>.5.9.16.</v>
      </c>
    </row>
    <row r="31" spans="1:12" ht="20.100000000000001" customHeight="1">
      <c r="A31" s="315"/>
      <c r="B31" s="319"/>
      <c r="C31" s="320"/>
      <c r="D31" s="168"/>
      <c r="E31" s="253" t="str">
        <f>IFERROR(INDEX(레시피북!$C$2:$I$611,MATCH($D31,레시피북!$C$2:$C$611,0),7),"")</f>
        <v/>
      </c>
      <c r="F31" s="254"/>
      <c r="G31" s="253" t="str">
        <f>IFERROR(INDEX(레시피북!$C$2:$I$611,MATCH($F31,레시피북!$C$2:$C$611,0),7),"")</f>
        <v/>
      </c>
      <c r="H31" s="168"/>
      <c r="I31" s="253" t="str">
        <f>IFERROR(INDEX(레시피북!$C$2:$I$611,MATCH($H31,레시피북!$C$2:$C$611,0),7),"")</f>
        <v/>
      </c>
      <c r="J31" s="168"/>
      <c r="K31" s="253" t="str">
        <f>IFERROR(INDEX(레시피북!$C$2:$I$611,MATCH($J31,레시피북!$C$2:$C$611,0),7),"")</f>
        <v/>
      </c>
    </row>
    <row r="32" spans="1:12" ht="20.100000000000001" customHeight="1" thickBot="1">
      <c r="A32" s="316"/>
      <c r="B32" s="255"/>
      <c r="C32" s="256" t="str">
        <f>IFERROR(INDEX(레시피북!$C$2:$I$611,MATCH($B32,레시피북!$C$2:$C$611,0),7),"")</f>
        <v/>
      </c>
      <c r="D32" s="170"/>
      <c r="E32" s="256"/>
      <c r="F32" s="255"/>
      <c r="G32" s="253"/>
      <c r="H32" s="168"/>
      <c r="I32" s="256"/>
      <c r="J32" s="255"/>
      <c r="K32" s="253"/>
    </row>
    <row r="33" spans="1:11" ht="24.95" customHeight="1">
      <c r="A33" s="166" t="s">
        <v>908</v>
      </c>
      <c r="B33" s="312">
        <v>46258</v>
      </c>
      <c r="C33" s="313"/>
      <c r="D33" s="312">
        <v>46259</v>
      </c>
      <c r="E33" s="313"/>
      <c r="F33" s="312">
        <v>46260</v>
      </c>
      <c r="G33" s="313"/>
      <c r="H33" s="312">
        <v>46261</v>
      </c>
      <c r="I33" s="313"/>
      <c r="J33" s="312">
        <v>46262</v>
      </c>
      <c r="K33" s="313"/>
    </row>
    <row r="34" spans="1:11" ht="20.100000000000001" customHeight="1" thickBot="1">
      <c r="A34" s="221" t="s">
        <v>910</v>
      </c>
      <c r="B34" s="207" t="s">
        <v>911</v>
      </c>
      <c r="C34" s="210" t="s">
        <v>912</v>
      </c>
      <c r="D34" s="207" t="s">
        <v>911</v>
      </c>
      <c r="E34" s="210" t="s">
        <v>912</v>
      </c>
      <c r="F34" s="207" t="s">
        <v>911</v>
      </c>
      <c r="G34" s="210" t="s">
        <v>912</v>
      </c>
      <c r="H34" s="207" t="s">
        <v>911</v>
      </c>
      <c r="I34" s="210" t="s">
        <v>912</v>
      </c>
      <c r="J34" s="207" t="s">
        <v>911</v>
      </c>
      <c r="K34" s="208" t="s">
        <v>912</v>
      </c>
    </row>
    <row r="35" spans="1:11" ht="20.100000000000001" customHeight="1">
      <c r="A35" s="314" t="s">
        <v>915</v>
      </c>
      <c r="B35" s="234" t="s">
        <v>1777</v>
      </c>
      <c r="C35" s="252">
        <f>IFERROR(INDEX(레시피북!$C$2:$I$611,MATCH($B35,레시피북!$C$2:$C$611,0),7),"")</f>
        <v>0</v>
      </c>
      <c r="D35" s="174" t="s">
        <v>1774</v>
      </c>
      <c r="E35" s="253">
        <f>IFERROR(INDEX(레시피북!$C$2:$I$611,MATCH($D35,레시피북!$C$2:$C$611,0),7),"")</f>
        <v>0</v>
      </c>
      <c r="F35" s="174" t="s">
        <v>1775</v>
      </c>
      <c r="G35" s="253">
        <f>IFERROR(INDEX(레시피북!$C$2:$I$611,MATCH($F35,레시피북!$C$2:$C$611,0),7),"")</f>
        <v>0</v>
      </c>
      <c r="H35" s="174" t="s">
        <v>234</v>
      </c>
      <c r="I35" s="253">
        <f>IFERROR(INDEX(레시피북!$C$2:$I$611,MATCH($H35,레시피북!$C$2:$C$611,0),7),"")</f>
        <v>0</v>
      </c>
      <c r="J35" s="168" t="s">
        <v>1777</v>
      </c>
      <c r="K35" s="253">
        <f>IFERROR(INDEX(레시피북!$C$2:$I$611,MATCH($J35,레시피북!$C$2:$C$611,0),7),"")</f>
        <v>0</v>
      </c>
    </row>
    <row r="36" spans="1:11" ht="20.100000000000001" customHeight="1">
      <c r="A36" s="315"/>
      <c r="B36" s="174" t="s">
        <v>1335</v>
      </c>
      <c r="C36" s="253" t="str">
        <f>IFERROR(INDEX(레시피북!$C$2:$I$611,MATCH($B36,레시피북!$C$2:$C$611,0),7),"")</f>
        <v>.1.5.6.10.</v>
      </c>
      <c r="D36" s="168" t="s">
        <v>2125</v>
      </c>
      <c r="E36" s="253" t="s">
        <v>2126</v>
      </c>
      <c r="F36" s="254" t="s">
        <v>348</v>
      </c>
      <c r="G36" s="253" t="str">
        <f>IFERROR(INDEX(레시피북!$C$2:$I$611,MATCH($F36,레시피북!$C$2:$C$611,0),7),"")</f>
        <v>.5.10.12.13.21.</v>
      </c>
      <c r="H36" s="168" t="s">
        <v>2127</v>
      </c>
      <c r="I36" s="253" t="str">
        <f>IFERROR(INDEX(레시피북!$C$2:$I$611,MATCH($H36,레시피북!$C$2:$C$611,0),7),"")</f>
        <v>.5.16.21.</v>
      </c>
      <c r="J36" s="168" t="s">
        <v>2130</v>
      </c>
      <c r="K36" s="253" t="s">
        <v>2133</v>
      </c>
    </row>
    <row r="37" spans="1:11" ht="20.100000000000001" customHeight="1">
      <c r="A37" s="315"/>
      <c r="B37" s="173" t="s">
        <v>1053</v>
      </c>
      <c r="C37" s="253" t="str">
        <f>IFERROR(INDEX(레시피북!$C$2:$I$611,MATCH($B37,레시피북!$C$2:$C$611,0),7),"")</f>
        <v>.5.</v>
      </c>
      <c r="D37" s="168" t="s">
        <v>253</v>
      </c>
      <c r="E37" s="253" t="str">
        <f>IFERROR(INDEX(레시피북!$C$2:$I$611,MATCH($D37,레시피북!$C$2:$C$611,0),7),"")</f>
        <v>.1.2.5.6.15.16.18.</v>
      </c>
      <c r="F37" s="254" t="s">
        <v>1815</v>
      </c>
      <c r="G37" s="253" t="str">
        <f>IFERROR(INDEX(레시피북!$C$2:$I$611,MATCH($F37,레시피북!$C$2:$C$611,0),7),"")</f>
        <v>.5.6.21.</v>
      </c>
      <c r="H37" s="170" t="s">
        <v>2104</v>
      </c>
      <c r="I37" s="193" t="str">
        <f>IFERROR(INDEX(레시피북!$C$2:$I$611,MATCH($H37,레시피북!$C$2:$C$611,0),7),"")</f>
        <v>.5.10.12.21.</v>
      </c>
      <c r="J37" s="168" t="s">
        <v>2091</v>
      </c>
      <c r="K37" s="253" t="str">
        <f>IFERROR(INDEX(레시피북!$C$2:$I$611,MATCH($J37,레시피북!$C$2:$C$611,0),7),"")</f>
        <v>.1.2.5.6.15.16.</v>
      </c>
    </row>
    <row r="38" spans="1:11" ht="20.100000000000001" customHeight="1">
      <c r="A38" s="315"/>
      <c r="B38" s="173" t="s">
        <v>2084</v>
      </c>
      <c r="C38" s="253" t="str">
        <f>IFERROR(INDEX(레시피북!$C$2:$I$611,MATCH($B38,레시피북!$C$2:$C$611,0),7),"")</f>
        <v>.1.5.6.10.15.16.</v>
      </c>
      <c r="D38" s="168" t="s">
        <v>1779</v>
      </c>
      <c r="E38" s="253" t="str">
        <f>IFERROR(INDEX(레시피북!$C$2:$I$611,MATCH($D38,레시피북!$C$2:$C$611,0),7),"")</f>
        <v>.5.21.22.</v>
      </c>
      <c r="F38" s="254" t="s">
        <v>405</v>
      </c>
      <c r="G38" s="253" t="str">
        <f>IFERROR(INDEX(레시피북!$C$2:$I$611,MATCH($F38,레시피북!$C$2:$C$611,0),7),"")</f>
        <v>.1.5.16.</v>
      </c>
      <c r="H38" s="170" t="s">
        <v>2128</v>
      </c>
      <c r="I38" s="253" t="str">
        <f>IFERROR(INDEX(레시피북!$C$2:$I$611,MATCH($H38,레시피북!$C$2:$C$611,0),7),"")</f>
        <v>.5.21.</v>
      </c>
      <c r="J38" s="168" t="s">
        <v>2131</v>
      </c>
      <c r="K38" s="253" t="str">
        <f>IFERROR(INDEX(레시피북!$C$2:$I$611,MATCH($J38,레시피북!$C$2:$C$611,0),7),"")</f>
        <v/>
      </c>
    </row>
    <row r="39" spans="1:11" ht="20.100000000000001" customHeight="1">
      <c r="A39" s="315"/>
      <c r="B39" s="173" t="s">
        <v>2085</v>
      </c>
      <c r="C39" s="253" t="str">
        <f>IFERROR(INDEX(레시피북!$C$2:$I$611,MATCH($B39,레시피북!$C$2:$C$611,0),7),"")</f>
        <v>.5.21.</v>
      </c>
      <c r="D39" s="168" t="s">
        <v>189</v>
      </c>
      <c r="E39" s="253" t="str">
        <f>IFERROR(INDEX(레시피북!$C$2:$I$611,MATCH($D39,레시피북!$C$2:$C$611,0),7),"")</f>
        <v>.6.9.</v>
      </c>
      <c r="F39" s="254" t="s">
        <v>462</v>
      </c>
      <c r="G39" s="253" t="str">
        <f>IFERROR(INDEX(레시피북!$C$2:$I$611,MATCH($F39,레시피북!$C$2:$C$611,0),7),"")</f>
        <v>.9.</v>
      </c>
      <c r="H39" s="170" t="s">
        <v>189</v>
      </c>
      <c r="I39" s="253" t="str">
        <f>IFERROR(INDEX(레시피북!$C$2:$I$611,MATCH($H39,레시피북!$C$2:$C$611,0),7),"")</f>
        <v>.6.9.</v>
      </c>
      <c r="J39" s="168" t="s">
        <v>290</v>
      </c>
      <c r="K39" s="253" t="str">
        <f>IFERROR(INDEX(레시피북!$C$2:$I$611,MATCH($J39,레시피북!$C$2:$C$611,0),7),"")</f>
        <v>.9.12.</v>
      </c>
    </row>
    <row r="40" spans="1:11" ht="20.100000000000001" customHeight="1">
      <c r="A40" s="315"/>
      <c r="B40" s="173" t="s">
        <v>290</v>
      </c>
      <c r="C40" s="253" t="str">
        <f>IFERROR(INDEX(레시피북!$C$2:$I$611,MATCH($B40,레시피북!$C$2:$C$611,0),7),"")</f>
        <v>.9.12.</v>
      </c>
      <c r="D40" s="168" t="s">
        <v>321</v>
      </c>
      <c r="E40" s="253" t="str">
        <f>IFERROR(INDEX(레시피북!$C$2:$I$611,MATCH($D40,레시피북!$C$2:$C$611,0),7),"")</f>
        <v>.5.16.</v>
      </c>
      <c r="F40" s="170" t="s">
        <v>2129</v>
      </c>
      <c r="G40" s="253" t="str">
        <f>IFERROR(INDEX(레시피북!$C$2:$I$611,MATCH($F40,레시피북!$C$2:$C$611,0),7),"")</f>
        <v>.1.2.5.8.21.</v>
      </c>
      <c r="H40" s="170" t="s">
        <v>1201</v>
      </c>
      <c r="I40" s="253" t="str">
        <f>IFERROR(INDEX(레시피북!$C$2:$I$611,MATCH($H40,레시피북!$C$2:$C$611,0),7),"")</f>
        <v>.5.</v>
      </c>
      <c r="J40" s="168" t="s">
        <v>2132</v>
      </c>
      <c r="K40" s="253" t="str">
        <f>IFERROR(INDEX(레시피북!$C$2:$I$611,MATCH($J40,레시피북!$C$2:$C$611,0),7),"")</f>
        <v>.5.9.</v>
      </c>
    </row>
    <row r="41" spans="1:11" ht="20.100000000000001" customHeight="1">
      <c r="A41" s="315"/>
      <c r="B41" s="173" t="s">
        <v>2124</v>
      </c>
      <c r="C41" s="253" t="str">
        <f>IFERROR(INDEX(레시피북!$C$2:$I$611,MATCH($B41,레시피북!$C$2:$C$611,0),7),"")</f>
        <v>.2.5.6.10.15.16.</v>
      </c>
      <c r="D41" s="168"/>
      <c r="E41" s="253" t="str">
        <f>IFERROR(INDEX(레시피북!$C$2:$I$611,MATCH($D41,레시피북!$C$2:$C$611,0),7),"")</f>
        <v/>
      </c>
      <c r="F41" s="254"/>
      <c r="G41" s="253" t="str">
        <f>IFERROR(INDEX(레시피북!$C$2:$I$611,MATCH($F41,레시피북!$C$2:$C$611,0),7),"")</f>
        <v/>
      </c>
      <c r="H41" s="168"/>
      <c r="I41" s="253" t="str">
        <f>IFERROR(INDEX(레시피북!$C$2:$I$611,MATCH($H41,레시피북!$C$2:$C$611,0),7),"")</f>
        <v/>
      </c>
      <c r="J41" s="168"/>
      <c r="K41" s="253" t="str">
        <f>IFERROR(INDEX(레시피북!$C$2:$I$611,MATCH($J41,레시피북!$C$2:$C$611,0),7),"")</f>
        <v/>
      </c>
    </row>
    <row r="42" spans="1:11" ht="20.100000000000001" customHeight="1" thickBot="1">
      <c r="A42" s="316"/>
      <c r="B42" s="255"/>
      <c r="C42" s="256"/>
      <c r="D42" s="170"/>
      <c r="E42" s="256"/>
      <c r="F42" s="268"/>
      <c r="G42" s="267"/>
      <c r="H42" s="168"/>
      <c r="I42" s="256"/>
      <c r="J42" s="168"/>
      <c r="K42" s="253"/>
    </row>
    <row r="43" spans="1:11" ht="24.95" customHeight="1">
      <c r="A43" s="166" t="s">
        <v>908</v>
      </c>
      <c r="B43" s="324">
        <v>46265</v>
      </c>
      <c r="C43" s="325"/>
      <c r="D43" s="324"/>
      <c r="E43" s="325"/>
      <c r="F43" s="324"/>
      <c r="G43" s="325"/>
      <c r="H43" s="324"/>
      <c r="I43" s="325"/>
      <c r="J43" s="324"/>
      <c r="K43" s="325"/>
    </row>
    <row r="44" spans="1:11" ht="20.100000000000001" customHeight="1" thickBot="1">
      <c r="A44" s="221" t="s">
        <v>910</v>
      </c>
      <c r="B44" s="207" t="s">
        <v>911</v>
      </c>
      <c r="C44" s="222" t="s">
        <v>912</v>
      </c>
      <c r="D44" s="207" t="s">
        <v>911</v>
      </c>
      <c r="E44" s="210" t="s">
        <v>912</v>
      </c>
      <c r="F44" s="207" t="s">
        <v>911</v>
      </c>
      <c r="G44" s="210" t="s">
        <v>912</v>
      </c>
      <c r="H44" s="207" t="s">
        <v>911</v>
      </c>
      <c r="I44" s="210" t="s">
        <v>912</v>
      </c>
      <c r="J44" s="207" t="s">
        <v>911</v>
      </c>
      <c r="K44" s="208" t="s">
        <v>912</v>
      </c>
    </row>
    <row r="45" spans="1:11" ht="20.100000000000001" customHeight="1">
      <c r="A45" s="315" t="s">
        <v>916</v>
      </c>
      <c r="B45" s="234" t="s">
        <v>1777</v>
      </c>
      <c r="C45" s="252">
        <f>IFERROR(INDEX(레시피북!$C$2:$I$611,MATCH($B45,레시피북!$C$2:$C$611,0),7),"")</f>
        <v>0</v>
      </c>
      <c r="D45" s="174"/>
      <c r="E45" s="253" t="str">
        <f>IFERROR(INDEX(레시피북!$C$2:$I$611,MATCH($D45,레시피북!$C$2:$C$611,0),7),"")</f>
        <v/>
      </c>
      <c r="F45" s="174"/>
      <c r="G45" s="253" t="str">
        <f>IFERROR(INDEX(레시피북!$C$2:$I$611,MATCH($F45,레시피북!$C$2:$C$611,0),7),"")</f>
        <v/>
      </c>
      <c r="H45" s="174"/>
      <c r="I45" s="253" t="str">
        <f>IFERROR(INDEX(레시피북!$C$2:$I$611,MATCH($H45,레시피북!$C$2:$C$611,0),7),"")</f>
        <v/>
      </c>
      <c r="J45" s="168"/>
      <c r="K45" s="253" t="str">
        <f>IFERROR(INDEX(레시피북!$C$2:$I$611,MATCH($J45,레시피북!$C$2:$C$611,0),7),"")</f>
        <v/>
      </c>
    </row>
    <row r="46" spans="1:11" ht="20.100000000000001" customHeight="1">
      <c r="A46" s="315"/>
      <c r="B46" s="174" t="s">
        <v>2096</v>
      </c>
      <c r="C46" s="253" t="str">
        <f>IFERROR(INDEX(레시피북!$C$2:$I$611,MATCH($B46,레시피북!$C$2:$C$611,0),7),"")</f>
        <v>.1.2.5.6.10.12.15.16.18.</v>
      </c>
      <c r="D46" s="168"/>
      <c r="E46" s="253" t="str">
        <f>IFERROR(INDEX(레시피북!$C$2:$I$611,MATCH($D46,레시피북!$C$2:$C$611,0),7),"")</f>
        <v/>
      </c>
      <c r="F46" s="254"/>
      <c r="G46" s="253" t="str">
        <f>IFERROR(INDEX(레시피북!$C$2:$I$611,MATCH($F46,레시피북!$C$2:$C$611,0),7),"")</f>
        <v/>
      </c>
      <c r="H46" s="168"/>
      <c r="I46" s="253" t="str">
        <f>IFERROR(INDEX(레시피북!$C$2:$I$611,MATCH($H46,레시피북!$C$2:$C$611,0),7),"")</f>
        <v/>
      </c>
      <c r="J46" s="168"/>
      <c r="K46" s="253" t="str">
        <f>IFERROR(INDEX(레시피북!$C$2:$I$611,MATCH($J46,레시피북!$C$2:$C$611,0),7),"")</f>
        <v/>
      </c>
    </row>
    <row r="47" spans="1:11" ht="20.100000000000001" customHeight="1">
      <c r="A47" s="315"/>
      <c r="B47" s="174" t="s">
        <v>2097</v>
      </c>
      <c r="C47" s="253" t="str">
        <f>IFERROR(INDEX(레시피북!$C$2:$I$611,MATCH($B47,레시피북!$C$2:$C$611,0),7),"")</f>
        <v>.2.5.6.10.12.15.16.</v>
      </c>
      <c r="D47" s="168"/>
      <c r="E47" s="253" t="str">
        <f>IFERROR(INDEX(레시피북!$C$2:$I$611,MATCH($D47,레시피북!$C$2:$C$611,0),7),"")</f>
        <v/>
      </c>
      <c r="F47" s="254"/>
      <c r="G47" s="253" t="str">
        <f>IFERROR(INDEX(레시피북!$C$2:$I$611,MATCH($F47,레시피북!$C$2:$C$611,0),7),"")</f>
        <v/>
      </c>
      <c r="H47" s="170"/>
      <c r="I47" s="253" t="str">
        <f>IFERROR(INDEX(레시피북!$C$2:$I$611,MATCH($H47,레시피북!$C$2:$C$611,0),7),"")</f>
        <v/>
      </c>
      <c r="J47" s="168"/>
      <c r="K47" s="253" t="str">
        <f>IFERROR(INDEX(레시피북!$C$2:$I$611,MATCH($J47,레시피북!$C$2:$C$611,0),7),"")</f>
        <v/>
      </c>
    </row>
    <row r="48" spans="1:11" ht="20.100000000000001" customHeight="1">
      <c r="A48" s="315"/>
      <c r="B48" s="174" t="s">
        <v>2098</v>
      </c>
      <c r="C48" s="253" t="str">
        <f>IFERROR(INDEX(레시피북!$C$2:$I$611,MATCH($B48,레시피북!$C$2:$C$611,0),7),"")</f>
        <v>.5.21.22.</v>
      </c>
      <c r="D48" s="168"/>
      <c r="E48" s="253" t="str">
        <f>IFERROR(INDEX(레시피북!$C$2:$I$611,MATCH($D48,레시피북!$C$2:$C$611,0),7),"")</f>
        <v/>
      </c>
      <c r="F48" s="254"/>
      <c r="G48" s="253" t="str">
        <f>IFERROR(INDEX(레시피북!$C$2:$I$611,MATCH($F48,레시피북!$C$2:$C$611,0),7),"")</f>
        <v/>
      </c>
      <c r="H48" s="170"/>
      <c r="I48" s="253" t="str">
        <f>IFERROR(INDEX(레시피북!$C$2:$I$611,MATCH($H48,레시피북!$C$2:$C$611,0),7),"")</f>
        <v/>
      </c>
      <c r="J48" s="168"/>
      <c r="K48" s="253" t="str">
        <f>IFERROR(INDEX(레시피북!$C$2:$I$611,MATCH($J48,레시피북!$C$2:$C$611,0),7),"")</f>
        <v/>
      </c>
    </row>
    <row r="49" spans="1:11" ht="20.100000000000001" customHeight="1">
      <c r="A49" s="315"/>
      <c r="B49" s="174" t="s">
        <v>290</v>
      </c>
      <c r="C49" s="253" t="str">
        <f>IFERROR(INDEX(레시피북!$C$2:$I$611,MATCH($B49,레시피북!$C$2:$C$611,0),7),"")</f>
        <v>.9.12.</v>
      </c>
      <c r="D49" s="168"/>
      <c r="E49" s="253" t="str">
        <f>IFERROR(INDEX(레시피북!$C$2:$I$611,MATCH($D49,레시피북!$C$2:$C$611,0),7),"")</f>
        <v/>
      </c>
      <c r="F49" s="254"/>
      <c r="G49" s="253" t="str">
        <f>IFERROR(INDEX(레시피북!$C$2:$I$611,MATCH($F49,레시피북!$C$2:$C$611,0),7),"")</f>
        <v/>
      </c>
      <c r="H49" s="170"/>
      <c r="I49" s="253" t="str">
        <f>IFERROR(INDEX(레시피북!$C$2:$I$611,MATCH($H49,레시피북!$C$2:$C$611,0),7),"")</f>
        <v/>
      </c>
      <c r="J49" s="168"/>
      <c r="K49" s="253" t="str">
        <f>IFERROR(INDEX(레시피북!$C$2:$I$611,MATCH($J49,레시피북!$C$2:$C$611,0),7),"")</f>
        <v/>
      </c>
    </row>
    <row r="50" spans="1:11" ht="20.100000000000001" customHeight="1">
      <c r="A50" s="315"/>
      <c r="B50" s="174" t="s">
        <v>2099</v>
      </c>
      <c r="C50" s="253" t="str">
        <f>IFERROR(INDEX(레시피북!$C$2:$I$611,MATCH($B50,레시피북!$C$2:$C$611,0),7),"")</f>
        <v>.5.</v>
      </c>
      <c r="D50" s="168"/>
      <c r="E50" s="253" t="str">
        <f>IFERROR(INDEX(레시피북!$C$2:$I$611,MATCH($D50,레시피북!$C$2:$C$611,0),7),"")</f>
        <v/>
      </c>
      <c r="F50" s="254"/>
      <c r="G50" s="253" t="str">
        <f>IFERROR(INDEX(레시피북!$C$2:$I$611,MATCH($F50,레시피북!$C$2:$C$611,0),7),"")</f>
        <v/>
      </c>
      <c r="H50" s="170"/>
      <c r="I50" s="253" t="str">
        <f>IFERROR(INDEX(레시피북!$C$2:$I$611,MATCH($H50,레시피북!$C$2:$C$611,0),7),"")</f>
        <v/>
      </c>
      <c r="J50" s="168"/>
      <c r="K50" s="253" t="str">
        <f>IFERROR(INDEX(레시피북!$C$2:$I$611,MATCH($J50,레시피북!$C$2:$C$611,0),7),"")</f>
        <v/>
      </c>
    </row>
    <row r="51" spans="1:11" ht="20.100000000000001" customHeight="1">
      <c r="A51" s="315"/>
      <c r="B51" s="174"/>
      <c r="C51" s="253" t="str">
        <f>IFERROR(INDEX(레시피북!$C$2:$I$611,MATCH($B51,레시피북!$C$2:$C$611,0),7),"")</f>
        <v/>
      </c>
      <c r="D51" s="168"/>
      <c r="E51" s="253" t="str">
        <f>IFERROR(INDEX(레시피북!$C$2:$I$611,MATCH($D51,레시피북!$C$2:$C$611,0),7),"")</f>
        <v/>
      </c>
      <c r="F51" s="254"/>
      <c r="G51" s="253" t="str">
        <f>IFERROR(INDEX(레시피북!$C$2:$I$611,MATCH($F51,레시피북!$C$2:$C$611,0),7),"")</f>
        <v/>
      </c>
      <c r="H51" s="168"/>
      <c r="I51" s="253" t="str">
        <f>IFERROR(INDEX(레시피북!$C$2:$I$611,MATCH($H51,레시피북!$C$2:$C$611,0),7),"")</f>
        <v/>
      </c>
      <c r="J51" s="168"/>
      <c r="K51" s="253" t="str">
        <f>IFERROR(INDEX(레시피북!$C$2:$I$611,MATCH($J51,레시피북!$C$2:$C$611,0),7),"")</f>
        <v/>
      </c>
    </row>
    <row r="52" spans="1:11" ht="19.5" customHeight="1" thickBot="1">
      <c r="A52" s="315"/>
      <c r="B52" s="255"/>
      <c r="C52" s="256"/>
      <c r="D52" s="170"/>
      <c r="E52" s="256"/>
      <c r="F52" s="268"/>
      <c r="G52" s="253"/>
      <c r="H52" s="168"/>
      <c r="I52" s="256"/>
      <c r="J52" s="168"/>
      <c r="K52" s="253"/>
    </row>
    <row r="53" spans="1:11" ht="150" customHeight="1" thickBot="1">
      <c r="A53" s="321" t="s">
        <v>1198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3"/>
    </row>
  </sheetData>
  <mergeCells count="38">
    <mergeCell ref="A45:A52"/>
    <mergeCell ref="A53:K53"/>
    <mergeCell ref="A35:A42"/>
    <mergeCell ref="B43:C43"/>
    <mergeCell ref="D43:E43"/>
    <mergeCell ref="F43:G43"/>
    <mergeCell ref="H43:I43"/>
    <mergeCell ref="J43:K43"/>
    <mergeCell ref="J23:K23"/>
    <mergeCell ref="J13:K13"/>
    <mergeCell ref="A25:A32"/>
    <mergeCell ref="B33:C33"/>
    <mergeCell ref="D33:E33"/>
    <mergeCell ref="F33:G33"/>
    <mergeCell ref="H33:I33"/>
    <mergeCell ref="B25:C31"/>
    <mergeCell ref="J33:K33"/>
    <mergeCell ref="A15:A22"/>
    <mergeCell ref="B23:C23"/>
    <mergeCell ref="D23:E23"/>
    <mergeCell ref="F23:G23"/>
    <mergeCell ref="H23:I23"/>
    <mergeCell ref="A5:A12"/>
    <mergeCell ref="B13:C13"/>
    <mergeCell ref="D13:E13"/>
    <mergeCell ref="F13:G13"/>
    <mergeCell ref="H13:I1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</mergeCells>
  <phoneticPr fontId="12" type="noConversion"/>
  <pageMargins left="0.7" right="0.7" top="0.75" bottom="0.75" header="0.3" footer="0.3"/>
  <pageSetup paperSize="9" scale="5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R53"/>
  <sheetViews>
    <sheetView topLeftCell="A25" zoomScale="80" zoomScaleNormal="80" workbookViewId="0">
      <selection sqref="A1:K1"/>
    </sheetView>
  </sheetViews>
  <sheetFormatPr defaultRowHeight="16.5"/>
  <cols>
    <col min="1" max="1" width="6.625" customWidth="1"/>
    <col min="2" max="2" width="15.75" style="167" customWidth="1"/>
    <col min="3" max="3" width="16.125" customWidth="1"/>
    <col min="4" max="4" width="16" customWidth="1"/>
    <col min="5" max="5" width="15.5" customWidth="1"/>
    <col min="6" max="6" width="14.25" customWidth="1"/>
    <col min="7" max="7" width="13.125" customWidth="1"/>
    <col min="8" max="8" width="14.625" customWidth="1"/>
    <col min="9" max="9" width="14.375" customWidth="1"/>
    <col min="10" max="10" width="16.25" customWidth="1"/>
    <col min="11" max="11" width="14" customWidth="1"/>
    <col min="12" max="12" width="13.75" bestFit="1" customWidth="1"/>
    <col min="13" max="13" width="16.75" bestFit="1" customWidth="1"/>
    <col min="14" max="14" width="15.625" bestFit="1" customWidth="1"/>
    <col min="15" max="15" width="13.625" bestFit="1" customWidth="1"/>
    <col min="18" max="18" width="11.375" bestFit="1" customWidth="1"/>
    <col min="20" max="20" width="11.75" bestFit="1" customWidth="1"/>
  </cols>
  <sheetData>
    <row r="1" spans="1:18" ht="120" customHeight="1" thickBot="1">
      <c r="A1" s="299" t="s">
        <v>2020</v>
      </c>
      <c r="B1" s="300"/>
      <c r="C1" s="300"/>
      <c r="D1" s="300"/>
      <c r="E1" s="300"/>
      <c r="F1" s="300"/>
      <c r="G1" s="300"/>
      <c r="H1" s="300"/>
      <c r="I1" s="300"/>
      <c r="J1" s="300"/>
      <c r="K1" s="301"/>
    </row>
    <row r="2" spans="1:18" ht="24.95" customHeight="1" thickBot="1">
      <c r="A2" s="220" t="s">
        <v>902</v>
      </c>
      <c r="B2" s="302" t="s">
        <v>903</v>
      </c>
      <c r="C2" s="303"/>
      <c r="D2" s="304" t="s">
        <v>904</v>
      </c>
      <c r="E2" s="305"/>
      <c r="F2" s="303" t="s">
        <v>905</v>
      </c>
      <c r="G2" s="306"/>
      <c r="H2" s="302" t="s">
        <v>906</v>
      </c>
      <c r="I2" s="306"/>
      <c r="J2" s="302" t="s">
        <v>907</v>
      </c>
      <c r="K2" s="305"/>
    </row>
    <row r="3" spans="1:18" ht="24.95" customHeight="1">
      <c r="A3" s="223"/>
      <c r="B3" s="307">
        <v>46237</v>
      </c>
      <c r="C3" s="308"/>
      <c r="D3" s="307">
        <v>46238</v>
      </c>
      <c r="E3" s="308"/>
      <c r="F3" s="307">
        <v>46239</v>
      </c>
      <c r="G3" s="308"/>
      <c r="H3" s="307">
        <v>46240</v>
      </c>
      <c r="I3" s="308"/>
      <c r="J3" s="307">
        <v>46241</v>
      </c>
      <c r="K3" s="308"/>
      <c r="L3" s="307"/>
      <c r="M3" s="308"/>
    </row>
    <row r="4" spans="1:18" ht="20.100000000000001" customHeight="1" thickBot="1">
      <c r="A4" s="224" t="s">
        <v>910</v>
      </c>
      <c r="B4" s="248" t="s">
        <v>911</v>
      </c>
      <c r="C4" s="249" t="s">
        <v>912</v>
      </c>
      <c r="D4" s="209" t="s">
        <v>911</v>
      </c>
      <c r="E4" s="208" t="s">
        <v>912</v>
      </c>
      <c r="F4" s="209" t="s">
        <v>911</v>
      </c>
      <c r="G4" s="210" t="s">
        <v>912</v>
      </c>
      <c r="H4" s="206" t="s">
        <v>911</v>
      </c>
      <c r="I4" s="211" t="s">
        <v>912</v>
      </c>
      <c r="J4" s="206" t="s">
        <v>911</v>
      </c>
      <c r="K4" s="211" t="s">
        <v>912</v>
      </c>
      <c r="L4" s="206" t="s">
        <v>911</v>
      </c>
      <c r="M4" s="211" t="s">
        <v>912</v>
      </c>
    </row>
    <row r="5" spans="1:18" ht="20.100000000000001" customHeight="1">
      <c r="A5" s="314" t="s">
        <v>913</v>
      </c>
      <c r="B5" s="234" t="s">
        <v>1777</v>
      </c>
      <c r="C5" s="250">
        <f>IFERROR(INDEX(레시피북!$C$2:$I$611,MATCH($B5,레시피북!$C$2:$C$611,0),7),"")</f>
        <v>0</v>
      </c>
      <c r="D5" s="174" t="s">
        <v>1774</v>
      </c>
      <c r="E5" s="193">
        <f>IFERROR(INDEX(레시피북!$C$2:$I$611,MATCH($D5,레시피북!$C$2:$C$611,0),7),"")</f>
        <v>0</v>
      </c>
      <c r="F5" s="234" t="s">
        <v>1775</v>
      </c>
      <c r="G5" s="193">
        <f>IFERROR(INDEX(레시피북!$C$2:$I$611,MATCH($F5,레시피북!$C$2:$C$611,0),7),"")</f>
        <v>0</v>
      </c>
      <c r="H5" s="174" t="s">
        <v>234</v>
      </c>
      <c r="I5" s="193">
        <f>IFERROR(INDEX(레시피북!$C$2:$I$611,MATCH($H5,레시피북!$C$2:$C$611,0),7),"")</f>
        <v>0</v>
      </c>
      <c r="J5" s="174" t="s">
        <v>1777</v>
      </c>
      <c r="K5" s="193">
        <f>IFERROR(INDEX(레시피북!$C$2:$I$611,MATCH($J5,레시피북!$C$2:$C$611,0),7),"")</f>
        <v>0</v>
      </c>
      <c r="L5" s="232"/>
      <c r="M5" s="231"/>
    </row>
    <row r="6" spans="1:18" ht="20.100000000000001" customHeight="1">
      <c r="A6" s="315"/>
      <c r="B6" s="174" t="s">
        <v>2022</v>
      </c>
      <c r="C6" s="193" t="str">
        <f>IFERROR(INDEX(레시피북!$C$2:$I$611,MATCH($B6,레시피북!$C$2:$C$611,0),7),"")</f>
        <v>.2.5.6.10.15.16.</v>
      </c>
      <c r="D6" s="168" t="s">
        <v>2024</v>
      </c>
      <c r="E6" s="193" t="str">
        <f>IFERROR(INDEX(레시피북!$C$2:$I$611,MATCH($D6,레시피북!$C$2:$C$611,0),7),"")</f>
        <v>.5.15.21.</v>
      </c>
      <c r="F6" s="174" t="s">
        <v>2028</v>
      </c>
      <c r="G6" s="193" t="str">
        <f>IFERROR(INDEX(레시피북!$C$2:$I$611,MATCH($F6,레시피북!$C$2:$C$611,0),7),"")</f>
        <v>.5.10.21.</v>
      </c>
      <c r="H6" s="168" t="s">
        <v>2032</v>
      </c>
      <c r="I6" s="193" t="str">
        <f>IFERROR(INDEX(레시피북!$C$2:$I$611,MATCH($H6,레시피북!$C$2:$C$611,0),7),"")</f>
        <v>.5.16.21.</v>
      </c>
      <c r="J6" s="169" t="s">
        <v>2035</v>
      </c>
      <c r="K6" s="193" t="str">
        <f>IFERROR(INDEX(레시피북!$C$2:$I$611,MATCH($J6,레시피북!$C$2:$C$611,0),7),"")</f>
        <v>.5.6.10.19.21.</v>
      </c>
      <c r="L6" s="233"/>
      <c r="M6" s="231"/>
    </row>
    <row r="7" spans="1:18" ht="20.100000000000001" customHeight="1">
      <c r="A7" s="315"/>
      <c r="B7" s="173" t="s">
        <v>280</v>
      </c>
      <c r="C7" s="193" t="str">
        <f>IFERROR(INDEX(레시피북!$C$2:$I$611,MATCH($B7,레시피북!$C$2:$C$611,0),7),"")</f>
        <v>.1.5.18.</v>
      </c>
      <c r="D7" s="170" t="s">
        <v>2025</v>
      </c>
      <c r="E7" s="193" t="str">
        <f>IFERROR(INDEX(레시피북!$C$2:$I$611,MATCH($D7,레시피북!$C$2:$C$611,0),7),"")</f>
        <v>.1.2.5.6.10.16.</v>
      </c>
      <c r="F7" s="173" t="s">
        <v>471</v>
      </c>
      <c r="G7" s="193" t="str">
        <f>IFERROR(INDEX(레시피북!$C$2:$I$611,MATCH($F7,레시피북!$C$2:$C$611,0),7),"")</f>
        <v>.1.5.21.</v>
      </c>
      <c r="H7" s="170" t="s">
        <v>2033</v>
      </c>
      <c r="I7" s="193" t="str">
        <f>IFERROR(INDEX(레시피북!$C$2:$I$611,MATCH($H7,레시피북!$C$2:$C$611,0),7),"")</f>
        <v>.1.5.6.21.</v>
      </c>
      <c r="J7" s="169" t="s">
        <v>2036</v>
      </c>
      <c r="K7" s="193" t="str">
        <f>IFERROR(INDEX(레시피북!$C$2:$I$611,MATCH($J7,레시피북!$C$2:$C$611,0),7),"")</f>
        <v>.1.5.6.12.21.</v>
      </c>
      <c r="L7" s="233"/>
      <c r="M7" s="231"/>
      <c r="P7" s="238"/>
      <c r="R7" s="238"/>
    </row>
    <row r="8" spans="1:18" ht="20.100000000000001" customHeight="1">
      <c r="A8" s="315"/>
      <c r="B8" s="173" t="s">
        <v>416</v>
      </c>
      <c r="C8" s="193" t="str">
        <f>IFERROR(INDEX(레시피북!$C$2:$I$611,MATCH($B8,레시피북!$C$2:$C$611,0),7),"")</f>
        <v>.5.21.</v>
      </c>
      <c r="D8" s="170" t="s">
        <v>2026</v>
      </c>
      <c r="E8" s="193" t="str">
        <f>IFERROR(INDEX(레시피북!$C$2:$I$611,MATCH($D8,레시피북!$C$2:$C$611,0),7),"")</f>
        <v>.21.</v>
      </c>
      <c r="F8" s="173" t="s">
        <v>2031</v>
      </c>
      <c r="G8" s="193" t="str">
        <f>IFERROR(INDEX(레시피북!$C$2:$I$611,MATCH($F8,레시피북!$C$2:$C$611,0),7),"")</f>
        <v/>
      </c>
      <c r="H8" s="170" t="s">
        <v>186</v>
      </c>
      <c r="I8" s="193" t="str">
        <f>IFERROR(INDEX(레시피북!$C$2:$I$611,MATCH($H8,레시피북!$C$2:$C$611,0),7),"")</f>
        <v>.1.2.5.16.</v>
      </c>
      <c r="J8" s="169" t="s">
        <v>1778</v>
      </c>
      <c r="K8" s="193" t="str">
        <f>IFERROR(INDEX(레시피북!$C$2:$I$611,MATCH($J8,레시피북!$C$2:$C$611,0),7),"")</f>
        <v>.21.</v>
      </c>
      <c r="L8" s="233"/>
      <c r="M8" s="231"/>
      <c r="P8" s="238"/>
      <c r="R8" s="238"/>
    </row>
    <row r="9" spans="1:18" ht="20.100000000000001" customHeight="1">
      <c r="A9" s="315"/>
      <c r="B9" s="173" t="s">
        <v>290</v>
      </c>
      <c r="C9" s="193" t="str">
        <f>IFERROR(INDEX(레시피북!$C$2:$I$611,MATCH($B9,레시피북!$C$2:$C$611,0),7),"")</f>
        <v>.9.12.</v>
      </c>
      <c r="D9" s="170" t="s">
        <v>189</v>
      </c>
      <c r="E9" s="193" t="str">
        <f>IFERROR(INDEX(레시피북!$C$2:$I$611,MATCH($D9,레시피북!$C$2:$C$611,0),7),"")</f>
        <v>.6.9.</v>
      </c>
      <c r="F9" s="173" t="s">
        <v>1776</v>
      </c>
      <c r="G9" s="193">
        <f>IFERROR(INDEX(레시피북!$C$2:$I$611,MATCH($F9,레시피북!$C$2:$C$611,0),7),"")</f>
        <v>0</v>
      </c>
      <c r="H9" s="170" t="s">
        <v>189</v>
      </c>
      <c r="I9" s="193" t="str">
        <f>IFERROR(INDEX(레시피북!$C$2:$I$611,MATCH($H9,레시피북!$C$2:$C$611,0),7),"")</f>
        <v>.6.9.</v>
      </c>
      <c r="J9" s="169" t="s">
        <v>290</v>
      </c>
      <c r="K9" s="193" t="str">
        <f>IFERROR(INDEX(레시피북!$C$2:$I$611,MATCH($J9,레시피북!$C$2:$C$611,0),7),"")</f>
        <v>.9.12.</v>
      </c>
      <c r="L9" s="233"/>
      <c r="M9" s="231"/>
      <c r="P9" s="238"/>
      <c r="R9" s="238"/>
    </row>
    <row r="10" spans="1:18" ht="20.100000000000001" customHeight="1">
      <c r="A10" s="315"/>
      <c r="B10" s="173" t="s">
        <v>2023</v>
      </c>
      <c r="C10" s="193" t="str">
        <f>IFERROR(INDEX(레시피북!$C$2:$I$611,MATCH($B10,레시피북!$C$2:$C$611,0),7),"")</f>
        <v>.5.</v>
      </c>
      <c r="D10" s="170" t="s">
        <v>2027</v>
      </c>
      <c r="E10" s="193" t="str">
        <f>IFERROR(INDEX(레시피북!$C$2:$I$611,MATCH($D10,레시피북!$C$2:$C$611,0),7),"")</f>
        <v>.5.16.</v>
      </c>
      <c r="F10" s="170" t="s">
        <v>2034</v>
      </c>
      <c r="G10" s="193" t="str">
        <f>IFERROR(INDEX(레시피북!$C$2:$I$611,MATCH($F10,레시피북!$C$2:$C$611,0),7),"")</f>
        <v>.5.9.21.22.</v>
      </c>
      <c r="H10" s="170" t="s">
        <v>514</v>
      </c>
      <c r="I10" s="193" t="str">
        <f>IFERROR(INDEX(레시피북!$C$2:$I$611,MATCH($H10,레시피북!$C$2:$C$611,0),7),"")</f>
        <v>.5.</v>
      </c>
      <c r="J10" s="171" t="s">
        <v>2037</v>
      </c>
      <c r="K10" s="193" t="str">
        <f>IFERROR(INDEX(레시피북!$C$2:$I$611,MATCH($J10,레시피북!$C$2:$C$611,0),7),"")</f>
        <v>.5.</v>
      </c>
      <c r="L10" s="175"/>
      <c r="M10" s="193"/>
      <c r="N10" s="113"/>
      <c r="P10" s="238"/>
      <c r="R10" s="238"/>
    </row>
    <row r="11" spans="1:18" ht="20.100000000000001" customHeight="1">
      <c r="A11" s="315"/>
      <c r="B11" s="173"/>
      <c r="C11" s="193" t="str">
        <f>IFERROR(INDEX(레시피북!$C$2:$I$611,MATCH($B11,레시피북!$C$2:$C$611,0),7),"")</f>
        <v/>
      </c>
      <c r="D11" s="172"/>
      <c r="E11" s="193" t="str">
        <f>IFERROR(INDEX(레시피북!$C$2:$I$611,MATCH($D11,레시피북!$C$2:$C$611,0),7),"")</f>
        <v/>
      </c>
      <c r="F11" s="171"/>
      <c r="G11" s="193" t="str">
        <f>IFERROR(INDEX(레시피북!$C$2:$I$611,MATCH($F11,레시피북!$C$2:$C$611,0),7),"")</f>
        <v/>
      </c>
      <c r="H11" s="168"/>
      <c r="I11" s="193" t="str">
        <f>IFERROR(INDEX(레시피북!$C$2:$I$611,MATCH($H11,레시피북!$C$2:$C$611,0),7),"")</f>
        <v/>
      </c>
      <c r="J11" s="170"/>
      <c r="K11" s="193" t="str">
        <f>IFERROR(INDEX(레시피북!$C$2:$I$611,MATCH($J11,레시피북!$C$2:$C$611,0),7),"")</f>
        <v/>
      </c>
      <c r="L11" s="173"/>
      <c r="M11" s="193"/>
      <c r="P11" s="238"/>
      <c r="R11" s="238"/>
    </row>
    <row r="12" spans="1:18" ht="19.5" customHeight="1" thickBot="1">
      <c r="A12" s="316"/>
      <c r="B12" s="203"/>
      <c r="C12" s="194" t="str">
        <f>IFERROR(INDEX(레시피북!$C$2:$I$611,MATCH($B12,레시피북!$C$2:$C$611,0),7),"")</f>
        <v/>
      </c>
      <c r="D12" s="170"/>
      <c r="E12" s="194"/>
      <c r="F12" s="203"/>
      <c r="G12" s="193" t="str">
        <f>IFERROR(INDEX(레시피북!$C$2:$I$611,MATCH($F12,레시피북!$C$2:$C$611,0),7),"")</f>
        <v/>
      </c>
      <c r="H12" s="170"/>
      <c r="I12" s="194"/>
      <c r="J12" s="168"/>
      <c r="K12" s="193" t="str">
        <f>IFERROR(INDEX(레시피북!$C$2:$I$611,MATCH($J12,레시피북!$C$2:$C$611,0),7),"")</f>
        <v/>
      </c>
      <c r="L12" s="203"/>
      <c r="M12" s="194"/>
      <c r="P12" s="238"/>
      <c r="R12" s="238"/>
    </row>
    <row r="13" spans="1:18" ht="24.95" customHeight="1">
      <c r="A13" s="166" t="s">
        <v>908</v>
      </c>
      <c r="B13" s="307">
        <v>46244</v>
      </c>
      <c r="C13" s="308"/>
      <c r="D13" s="307">
        <v>46245</v>
      </c>
      <c r="E13" s="308"/>
      <c r="F13" s="307">
        <v>46246</v>
      </c>
      <c r="G13" s="308"/>
      <c r="H13" s="307">
        <v>46247</v>
      </c>
      <c r="I13" s="308"/>
      <c r="J13" s="307">
        <v>46248</v>
      </c>
      <c r="K13" s="308"/>
      <c r="L13" s="312"/>
      <c r="M13" s="313"/>
      <c r="N13" s="326"/>
      <c r="O13" s="327"/>
      <c r="R13" s="238"/>
    </row>
    <row r="14" spans="1:18" ht="20.100000000000001" customHeight="1" thickBot="1">
      <c r="A14" s="221" t="s">
        <v>910</v>
      </c>
      <c r="B14" s="207" t="s">
        <v>911</v>
      </c>
      <c r="C14" s="210" t="s">
        <v>912</v>
      </c>
      <c r="D14" s="207" t="s">
        <v>911</v>
      </c>
      <c r="E14" s="210" t="s">
        <v>912</v>
      </c>
      <c r="F14" s="207" t="s">
        <v>911</v>
      </c>
      <c r="G14" s="210" t="s">
        <v>912</v>
      </c>
      <c r="H14" s="207" t="s">
        <v>911</v>
      </c>
      <c r="I14" s="210" t="s">
        <v>912</v>
      </c>
      <c r="J14" s="207" t="s">
        <v>911</v>
      </c>
      <c r="K14" s="208" t="s">
        <v>912</v>
      </c>
      <c r="L14" s="206" t="s">
        <v>911</v>
      </c>
      <c r="M14" s="211" t="s">
        <v>912</v>
      </c>
      <c r="N14" s="206" t="s">
        <v>911</v>
      </c>
      <c r="O14" s="211" t="s">
        <v>912</v>
      </c>
      <c r="R14" s="238"/>
    </row>
    <row r="15" spans="1:18" ht="20.100000000000001" customHeight="1">
      <c r="A15" s="314" t="s">
        <v>914</v>
      </c>
      <c r="B15" s="234" t="s">
        <v>1777</v>
      </c>
      <c r="C15" s="250">
        <f>IFERROR(INDEX(레시피북!$C$2:$I$611,MATCH($B15,레시피북!$C$2:$C$611,0),7),"")</f>
        <v>0</v>
      </c>
      <c r="D15" s="174" t="s">
        <v>1774</v>
      </c>
      <c r="E15" s="193">
        <f>IFERROR(INDEX(레시피북!$C$2:$I$611,MATCH($D15,레시피북!$C$2:$C$611,0),7),"")</f>
        <v>0</v>
      </c>
      <c r="F15" s="234" t="s">
        <v>1775</v>
      </c>
      <c r="G15" s="193">
        <f>IFERROR(INDEX(레시피북!$C$2:$I$611,MATCH($F15,레시피북!$C$2:$C$611,0),7),"")</f>
        <v>0</v>
      </c>
      <c r="H15" s="174" t="s">
        <v>234</v>
      </c>
      <c r="I15" s="193">
        <f>IFERROR(INDEX(레시피북!$C$2:$I$611,MATCH($H15,레시피북!$C$2:$C$611,0),7),"")</f>
        <v>0</v>
      </c>
      <c r="J15" s="174" t="s">
        <v>1777</v>
      </c>
      <c r="K15" s="193">
        <f>IFERROR(INDEX(레시피북!$C$2:$I$611,MATCH($J15,레시피북!$C$2:$C$611,0),7),"")</f>
        <v>0</v>
      </c>
      <c r="L15" s="232"/>
      <c r="M15" s="231"/>
      <c r="N15" s="232"/>
      <c r="O15" s="231"/>
      <c r="R15" s="238"/>
    </row>
    <row r="16" spans="1:18" ht="20.100000000000001" customHeight="1">
      <c r="A16" s="315"/>
      <c r="B16" s="174" t="s">
        <v>2038</v>
      </c>
      <c r="C16" s="193" t="str">
        <f>IFERROR(INDEX(레시피북!$C$2:$I$611,MATCH($B16,레시피북!$C$2:$C$611,0),7),"")</f>
        <v>.1.5.6.10.16.18.</v>
      </c>
      <c r="D16" s="168" t="s">
        <v>1997</v>
      </c>
      <c r="E16" s="193" t="str">
        <f>IFERROR(INDEX(레시피북!$C$2:$I$611,MATCH($D16,레시피북!$C$2:$C$611,0),7),"")</f>
        <v>.5.16.21.</v>
      </c>
      <c r="F16" s="174" t="s">
        <v>2047</v>
      </c>
      <c r="G16" s="193" t="str">
        <f>IFERROR(INDEX(레시피북!$C$2:$I$611,MATCH($F16,레시피북!$C$2:$C$611,0),7),"")</f>
        <v>.5.6.10.21.</v>
      </c>
      <c r="H16" s="168" t="s">
        <v>2050</v>
      </c>
      <c r="I16" s="193" t="str">
        <f>IFERROR(INDEX(레시피북!$C$2:$I$611,MATCH($H16,레시피북!$C$2:$C$611,0),7),"")</f>
        <v>.5.6.15.21.</v>
      </c>
      <c r="J16" s="169" t="s">
        <v>2052</v>
      </c>
      <c r="K16" s="193" t="str">
        <f>IFERROR(INDEX(레시피북!$C$2:$I$611,MATCH($J16,레시피북!$C$2:$C$611,0),7),"")</f>
        <v>.1.2.5.6.10.12.15.16.</v>
      </c>
      <c r="L16" s="233"/>
      <c r="M16" s="231"/>
      <c r="N16" s="233"/>
      <c r="O16" s="231"/>
      <c r="R16" s="238"/>
    </row>
    <row r="17" spans="1:18" ht="20.100000000000001" customHeight="1">
      <c r="A17" s="315"/>
      <c r="B17" s="173" t="s">
        <v>366</v>
      </c>
      <c r="C17" s="193" t="str">
        <f>IFERROR(INDEX(레시피북!$C$2:$I$611,MATCH($B17,레시피북!$C$2:$C$611,0),7),"")</f>
        <v>.1.5.</v>
      </c>
      <c r="D17" s="170" t="s">
        <v>2045</v>
      </c>
      <c r="E17" s="193" t="str">
        <f>IFERROR(INDEX(레시피북!$C$2:$I$611,MATCH($D17,레시피북!$C$2:$C$611,0),7),"")</f>
        <v>.5.6.21.</v>
      </c>
      <c r="F17" s="173" t="s">
        <v>2048</v>
      </c>
      <c r="G17" s="193" t="str">
        <f>IFERROR(INDEX(레시피북!$C$2:$I$611,MATCH($F17,레시피북!$C$2:$C$611,0),7),"")</f>
        <v>.1.5.6.12.15.16.18.</v>
      </c>
      <c r="H17" s="170" t="s">
        <v>2063</v>
      </c>
      <c r="I17" s="193" t="str">
        <f>IFERROR(INDEX(레시피북!$C$2:$I$611,MATCH($H17,레시피북!$C$2:$C$611,0),7),"")</f>
        <v/>
      </c>
      <c r="J17" s="169" t="s">
        <v>2053</v>
      </c>
      <c r="K17" s="193" t="str">
        <f>IFERROR(INDEX(레시피북!$C$2:$I$611,MATCH($J17,레시피북!$C$2:$C$611,0),7),"")</f>
        <v>.5.6.16.21.</v>
      </c>
      <c r="L17" s="233"/>
      <c r="M17" s="231"/>
      <c r="N17" s="233"/>
      <c r="O17" s="231"/>
      <c r="R17" s="238"/>
    </row>
    <row r="18" spans="1:18" ht="20.100000000000001" customHeight="1">
      <c r="A18" s="315"/>
      <c r="B18" s="173" t="s">
        <v>2044</v>
      </c>
      <c r="C18" s="193" t="str">
        <f>IFERROR(INDEX(레시피북!$C$2:$I$611,MATCH($B18,레시피북!$C$2:$C$611,0),7),"")</f>
        <v>.1.5.6.19.</v>
      </c>
      <c r="D18" s="170" t="s">
        <v>1998</v>
      </c>
      <c r="E18" s="193" t="str">
        <f>IFERROR(INDEX(레시피북!$C$2:$I$611,MATCH($D18,레시피북!$C$2:$C$611,0),7),"")</f>
        <v>.5.21.</v>
      </c>
      <c r="F18" s="173" t="s">
        <v>368</v>
      </c>
      <c r="G18" s="193" t="str">
        <f>IFERROR(INDEX(레시피북!$C$2:$I$611,MATCH($F18,레시피북!$C$2:$C$611,0),7),"")</f>
        <v>.5.21.</v>
      </c>
      <c r="H18" s="170" t="s">
        <v>2051</v>
      </c>
      <c r="I18" s="193" t="str">
        <f>IFERROR(INDEX(레시피북!$C$2:$I$611,MATCH($H18,레시피북!$C$2:$C$611,0),7),"")</f>
        <v>.5.21.</v>
      </c>
      <c r="J18" s="169" t="s">
        <v>2054</v>
      </c>
      <c r="K18" s="193">
        <f>IFERROR(INDEX(레시피북!$C$2:$I$611,MATCH($J18,레시피북!$C$2:$C$611,0),7),"")</f>
        <v>0</v>
      </c>
      <c r="L18" s="233"/>
      <c r="M18" s="231"/>
      <c r="N18" s="233"/>
      <c r="O18" s="231"/>
    </row>
    <row r="19" spans="1:18" ht="20.100000000000001" customHeight="1">
      <c r="A19" s="315"/>
      <c r="B19" s="173" t="s">
        <v>290</v>
      </c>
      <c r="C19" s="193" t="str">
        <f>IFERROR(INDEX(레시피북!$C$2:$I$611,MATCH($B19,레시피북!$C$2:$C$611,0),7),"")</f>
        <v>.9.12.</v>
      </c>
      <c r="D19" s="170" t="s">
        <v>189</v>
      </c>
      <c r="E19" s="193" t="str">
        <f>IFERROR(INDEX(레시피북!$C$2:$I$611,MATCH($D19,레시피북!$C$2:$C$611,0),7),"")</f>
        <v>.6.9.</v>
      </c>
      <c r="F19" s="173" t="s">
        <v>1776</v>
      </c>
      <c r="G19" s="193">
        <f>IFERROR(INDEX(레시피북!$C$2:$I$611,MATCH($F19,레시피북!$C$2:$C$611,0),7),"")</f>
        <v>0</v>
      </c>
      <c r="H19" s="170" t="s">
        <v>189</v>
      </c>
      <c r="I19" s="193" t="str">
        <f>IFERROR(INDEX(레시피북!$C$2:$I$611,MATCH($H19,레시피북!$C$2:$C$611,0),7),"")</f>
        <v>.6.9.</v>
      </c>
      <c r="J19" s="169" t="s">
        <v>290</v>
      </c>
      <c r="K19" s="193" t="str">
        <f>IFERROR(INDEX(레시피북!$C$2:$I$611,MATCH($J19,레시피북!$C$2:$C$611,0),7),"")</f>
        <v>.9.12.</v>
      </c>
      <c r="L19" s="233"/>
      <c r="M19" s="231"/>
      <c r="N19" s="233"/>
      <c r="O19" s="231"/>
    </row>
    <row r="20" spans="1:18" ht="20.100000000000001" customHeight="1">
      <c r="A20" s="315"/>
      <c r="B20" s="173" t="s">
        <v>2039</v>
      </c>
      <c r="C20" s="193" t="str">
        <f>IFERROR(INDEX(레시피북!$C$2:$I$611,MATCH($B20,레시피북!$C$2:$C$611,0),7),"")</f>
        <v>.5.</v>
      </c>
      <c r="D20" s="170" t="s">
        <v>2046</v>
      </c>
      <c r="E20" s="193" t="str">
        <f>IFERROR(INDEX(레시피북!$C$2:$I$611,MATCH($D20,레시피북!$C$2:$C$611,0),7),"")</f>
        <v>.5.17.</v>
      </c>
      <c r="F20" s="173" t="s">
        <v>2049</v>
      </c>
      <c r="G20" s="193" t="str">
        <f>IFERROR(INDEX(레시피북!$C$2:$I$611,MATCH($F20,레시피북!$C$2:$C$611,0),7),"")</f>
        <v>.1.5.</v>
      </c>
      <c r="H20" s="170" t="s">
        <v>585</v>
      </c>
      <c r="I20" s="193" t="str">
        <f>IFERROR(INDEX(레시피북!$C$2:$I$611,MATCH($H20,레시피북!$C$2:$C$611,0),7),"")</f>
        <v>.5.16.</v>
      </c>
      <c r="J20" s="171" t="s">
        <v>2055</v>
      </c>
      <c r="K20" s="193" t="str">
        <f>IFERROR(INDEX(레시피북!$C$2:$I$611,MATCH($J20,레시피북!$C$2:$C$611,0),7),"")</f>
        <v>.5.15.</v>
      </c>
      <c r="L20" s="175"/>
      <c r="M20" s="193"/>
      <c r="N20" s="233"/>
      <c r="O20" s="231"/>
    </row>
    <row r="21" spans="1:18" ht="20.100000000000001" customHeight="1">
      <c r="A21" s="315"/>
      <c r="B21" s="173"/>
      <c r="C21" s="193" t="str">
        <f>IFERROR(INDEX(레시피북!$C$2:$I$611,MATCH($B21,레시피북!$C$2:$C$611,0),7),"")</f>
        <v/>
      </c>
      <c r="D21" s="172"/>
      <c r="E21" s="193" t="str">
        <f>IFERROR(INDEX(레시피북!$C$2:$I$611,MATCH($D21,레시피북!$C$2:$C$611,0),7),"")</f>
        <v/>
      </c>
      <c r="F21" s="171"/>
      <c r="G21" s="193" t="str">
        <f>IFERROR(INDEX(레시피북!$C$2:$I$611,MATCH($F21,레시피북!$C$2:$C$611,0),7),"")</f>
        <v/>
      </c>
      <c r="H21" s="168"/>
      <c r="I21" s="193" t="str">
        <f>IFERROR(INDEX(레시피북!$C$2:$I$611,MATCH($H21,레시피북!$C$2:$C$611,0),7),"")</f>
        <v/>
      </c>
      <c r="J21" s="170"/>
      <c r="K21" s="193" t="str">
        <f>IFERROR(INDEX(레시피북!$C$2:$I$611,MATCH($J21,레시피북!$C$2:$C$611,0),7),"")</f>
        <v/>
      </c>
      <c r="L21" s="173"/>
      <c r="M21" s="193"/>
      <c r="N21" s="173"/>
      <c r="O21" s="193"/>
    </row>
    <row r="22" spans="1:18" ht="20.100000000000001" customHeight="1" thickBot="1">
      <c r="A22" s="316"/>
      <c r="B22" s="203"/>
      <c r="C22" s="194" t="str">
        <f>IFERROR(INDEX(레시피북!$C$2:$I$611,MATCH($B22,레시피북!$C$2:$C$611,0),7),"")</f>
        <v/>
      </c>
      <c r="D22" s="170"/>
      <c r="E22" s="194"/>
      <c r="F22" s="203"/>
      <c r="G22" s="193" t="str">
        <f>IFERROR(INDEX(레시피북!$C$2:$I$611,MATCH($F22,레시피북!$C$2:$C$611,0),7),"")</f>
        <v/>
      </c>
      <c r="H22" s="170"/>
      <c r="I22" s="194"/>
      <c r="J22" s="168"/>
      <c r="K22" s="193" t="str">
        <f>IFERROR(INDEX(레시피북!$C$2:$I$611,MATCH($J22,레시피북!$C$2:$C$611,0),7),"")</f>
        <v/>
      </c>
      <c r="L22" s="203"/>
      <c r="M22" s="194"/>
      <c r="N22" s="203"/>
      <c r="O22" s="194"/>
    </row>
    <row r="23" spans="1:18" ht="24.95" customHeight="1">
      <c r="A23" s="166" t="s">
        <v>908</v>
      </c>
      <c r="B23" s="312">
        <v>46251</v>
      </c>
      <c r="C23" s="313"/>
      <c r="D23" s="312">
        <v>46252</v>
      </c>
      <c r="E23" s="313"/>
      <c r="F23" s="312">
        <v>46253</v>
      </c>
      <c r="G23" s="313"/>
      <c r="H23" s="312">
        <v>46254</v>
      </c>
      <c r="I23" s="313"/>
      <c r="J23" s="312">
        <v>46255</v>
      </c>
      <c r="K23" s="313"/>
      <c r="L23" s="324"/>
      <c r="M23" s="325"/>
      <c r="N23" s="326"/>
      <c r="O23" s="327"/>
    </row>
    <row r="24" spans="1:18" ht="20.100000000000001" customHeight="1" thickBot="1">
      <c r="A24" s="221" t="s">
        <v>910</v>
      </c>
      <c r="B24" s="207" t="s">
        <v>911</v>
      </c>
      <c r="C24" s="210" t="s">
        <v>912</v>
      </c>
      <c r="D24" s="207" t="s">
        <v>911</v>
      </c>
      <c r="E24" s="210" t="s">
        <v>912</v>
      </c>
      <c r="F24" s="207" t="s">
        <v>911</v>
      </c>
      <c r="G24" s="210" t="s">
        <v>912</v>
      </c>
      <c r="H24" s="207" t="s">
        <v>911</v>
      </c>
      <c r="I24" s="210" t="s">
        <v>912</v>
      </c>
      <c r="J24" s="207" t="s">
        <v>911</v>
      </c>
      <c r="K24" s="208" t="s">
        <v>912</v>
      </c>
      <c r="L24" s="207"/>
      <c r="M24" s="208"/>
      <c r="N24" s="206"/>
      <c r="O24" s="211"/>
    </row>
    <row r="25" spans="1:18" ht="20.100000000000001" customHeight="1">
      <c r="A25" s="314" t="s">
        <v>915</v>
      </c>
      <c r="B25" s="328" t="s">
        <v>2103</v>
      </c>
      <c r="C25" s="329"/>
      <c r="D25" s="174" t="s">
        <v>1774</v>
      </c>
      <c r="E25" s="193">
        <f>IFERROR(INDEX(레시피북!$C$2:$I$611,MATCH($D25,레시피북!$C$2:$C$611,0),7),"")</f>
        <v>0</v>
      </c>
      <c r="F25" s="234" t="s">
        <v>1775</v>
      </c>
      <c r="G25" s="193">
        <f>IFERROR(INDEX(레시피북!$C$2:$I$611,MATCH($F25,레시피북!$C$2:$C$611,0),7),"")</f>
        <v>0</v>
      </c>
      <c r="H25" s="174" t="s">
        <v>234</v>
      </c>
      <c r="I25" s="193">
        <f>IFERROR(INDEX(레시피북!$C$2:$I$611,MATCH($H25,레시피북!$C$2:$C$611,0),7),"")</f>
        <v>0</v>
      </c>
      <c r="J25" s="174" t="s">
        <v>1777</v>
      </c>
      <c r="K25" s="193">
        <f>IFERROR(INDEX(레시피북!$C$2:$I$611,MATCH($J25,레시피북!$C$2:$C$611,0),7),"")</f>
        <v>0</v>
      </c>
      <c r="L25" s="232"/>
      <c r="M25" s="231"/>
      <c r="N25" s="174"/>
      <c r="O25" s="193"/>
    </row>
    <row r="26" spans="1:18" ht="20.100000000000001" customHeight="1">
      <c r="A26" s="315"/>
      <c r="B26" s="330"/>
      <c r="C26" s="331"/>
      <c r="D26" s="174" t="s">
        <v>2066</v>
      </c>
      <c r="E26" s="193" t="str">
        <f>IFERROR(INDEX(레시피북!$C$2:$I$611,MATCH($D26,레시피북!$C$2:$C$611,0),7),"")</f>
        <v>.2.5.6.12.15.16.18.</v>
      </c>
      <c r="F26" s="168" t="s">
        <v>2069</v>
      </c>
      <c r="G26" s="193" t="str">
        <f>IFERROR(INDEX(레시피북!$C$2:$I$611,MATCH($F26,레시피북!$C$2:$C$611,0),7),"")</f>
        <v>.5.6.10.21.</v>
      </c>
      <c r="H26" s="168" t="s">
        <v>2074</v>
      </c>
      <c r="I26" s="193" t="str">
        <f>IFERROR(INDEX(레시피북!$C$2:$I$611,MATCH($H26,레시피북!$C$2:$C$611,0),7),"")</f>
        <v>.5.10.21.</v>
      </c>
      <c r="J26" s="169" t="s">
        <v>2078</v>
      </c>
      <c r="K26" s="193" t="str">
        <f>IFERROR(INDEX(레시피북!$C$2:$I$611,MATCH($J26,레시피북!$C$2:$C$611,0),7),"")</f>
        <v>.1.2.5.6.12.15.16.21.</v>
      </c>
      <c r="L26" s="233"/>
      <c r="M26" s="231"/>
      <c r="N26" s="173"/>
      <c r="O26" s="193"/>
    </row>
    <row r="27" spans="1:18" ht="20.100000000000001" customHeight="1">
      <c r="A27" s="315"/>
      <c r="B27" s="330"/>
      <c r="C27" s="331"/>
      <c r="D27" s="173" t="s">
        <v>2067</v>
      </c>
      <c r="E27" s="193" t="str">
        <f>IFERROR(INDEX(레시피북!$C$2:$I$611,MATCH($D27,레시피북!$C$2:$C$611,0),7),"")</f>
        <v>.1.5.6.9.</v>
      </c>
      <c r="F27" s="170" t="s">
        <v>373</v>
      </c>
      <c r="G27" s="193" t="str">
        <f>IFERROR(INDEX(레시피북!$C$2:$I$611,MATCH($F27,레시피북!$C$2:$C$611,0),7),"")</f>
        <v>.1.2.</v>
      </c>
      <c r="H27" s="170" t="s">
        <v>2075</v>
      </c>
      <c r="I27" s="193" t="str">
        <f>IFERROR(INDEX(레시피북!$C$2:$I$611,MATCH($H27,레시피북!$C$2:$C$611,0),7),"")</f>
        <v>.1.5.6.</v>
      </c>
      <c r="J27" s="169" t="s">
        <v>2079</v>
      </c>
      <c r="K27" s="193" t="str">
        <f>IFERROR(INDEX(레시피북!$C$2:$I$611,MATCH($J27,레시피북!$C$2:$C$611,0),7),"")</f>
        <v>.1.2.5.6.10.15.16.</v>
      </c>
      <c r="L27" s="233"/>
      <c r="M27" s="231"/>
      <c r="N27" s="173"/>
      <c r="O27" s="193"/>
    </row>
    <row r="28" spans="1:18" ht="20.100000000000001" customHeight="1">
      <c r="A28" s="315"/>
      <c r="B28" s="330"/>
      <c r="C28" s="331"/>
      <c r="D28" s="173" t="s">
        <v>2068</v>
      </c>
      <c r="E28" s="193" t="str">
        <f>IFERROR(INDEX(레시피북!$C$2:$I$611,MATCH($D28,레시피북!$C$2:$C$611,0),7),"")</f>
        <v>.2.4.12.</v>
      </c>
      <c r="F28" s="170" t="s">
        <v>2070</v>
      </c>
      <c r="G28" s="193" t="str">
        <f>IFERROR(INDEX(레시피북!$C$2:$I$611,MATCH($F28,레시피북!$C$2:$C$611,0),7),"")</f>
        <v>.5.21.</v>
      </c>
      <c r="H28" s="170" t="s">
        <v>2076</v>
      </c>
      <c r="I28" s="193" t="str">
        <f>IFERROR(INDEX(레시피북!$C$2:$I$611,MATCH($H28,레시피북!$C$2:$C$611,0),7),"")</f>
        <v>.1.2.5.6.8.12.21.</v>
      </c>
      <c r="J28" s="169" t="s">
        <v>2080</v>
      </c>
      <c r="K28" s="193" t="str">
        <f>IFERROR(INDEX(레시피북!$C$2:$I$611,MATCH($J28,레시피북!$C$2:$C$611,0),7),"")</f>
        <v>.1.12.19.</v>
      </c>
      <c r="L28" s="233"/>
      <c r="M28" s="231"/>
      <c r="N28" s="173"/>
      <c r="O28" s="193"/>
    </row>
    <row r="29" spans="1:18" ht="20.100000000000001" customHeight="1">
      <c r="A29" s="315"/>
      <c r="B29" s="330"/>
      <c r="C29" s="331"/>
      <c r="D29" s="170" t="s">
        <v>189</v>
      </c>
      <c r="E29" s="193" t="str">
        <f>IFERROR(INDEX(레시피북!$C$2:$I$611,MATCH($D29,레시피북!$C$2:$C$611,0),7),"")</f>
        <v>.6.9.</v>
      </c>
      <c r="F29" s="173" t="s">
        <v>1776</v>
      </c>
      <c r="G29" s="193">
        <f>IFERROR(INDEX(레시피북!$C$2:$I$611,MATCH($F29,레시피북!$C$2:$C$611,0),7),"")</f>
        <v>0</v>
      </c>
      <c r="H29" s="170" t="s">
        <v>189</v>
      </c>
      <c r="I29" s="193" t="str">
        <f>IFERROR(INDEX(레시피북!$C$2:$I$611,MATCH($H29,레시피북!$C$2:$C$611,0),7),"")</f>
        <v>.6.9.</v>
      </c>
      <c r="J29" s="169" t="s">
        <v>290</v>
      </c>
      <c r="K29" s="193" t="str">
        <f>IFERROR(INDEX(레시피북!$C$2:$I$611,MATCH($J29,레시피북!$C$2:$C$611,0),7),"")</f>
        <v>.9.12.</v>
      </c>
      <c r="L29" s="233"/>
      <c r="M29" s="231"/>
      <c r="N29" s="173"/>
      <c r="O29" s="193"/>
    </row>
    <row r="30" spans="1:18" ht="20.100000000000001" customHeight="1">
      <c r="A30" s="315"/>
      <c r="B30" s="330"/>
      <c r="C30" s="331"/>
      <c r="D30" s="170" t="s">
        <v>2077</v>
      </c>
      <c r="E30" s="193" t="str">
        <f>IFERROR(INDEX(레시피북!$C$2:$I$611,MATCH($D30,레시피북!$C$2:$C$611,0),7),"")</f>
        <v>.5.</v>
      </c>
      <c r="F30" s="170" t="s">
        <v>2100</v>
      </c>
      <c r="G30" s="193" t="str">
        <f>IFERROR(INDEX(레시피북!$C$2:$I$611,MATCH($F30,레시피북!$C$2:$C$611,0),7),"")</f>
        <v>.5.</v>
      </c>
      <c r="H30" s="170" t="s">
        <v>2071</v>
      </c>
      <c r="I30" s="193" t="str">
        <f>IFERROR(INDEX(레시피북!$C$2:$I$611,MATCH($H30,레시피북!$C$2:$C$611,0),7),"")</f>
        <v>.5.</v>
      </c>
      <c r="J30" s="171" t="s">
        <v>333</v>
      </c>
      <c r="K30" s="193" t="str">
        <f>IFERROR(INDEX(레시피북!$C$2:$I$611,MATCH($J30,레시피북!$C$2:$C$611,0),7),"")</f>
        <v>.5.9.16.</v>
      </c>
      <c r="L30" s="175"/>
      <c r="M30" s="193">
        <v>0</v>
      </c>
      <c r="N30" s="175"/>
      <c r="O30" s="193"/>
    </row>
    <row r="31" spans="1:18" ht="20.100000000000001" customHeight="1">
      <c r="A31" s="315"/>
      <c r="B31" s="330"/>
      <c r="C31" s="331"/>
      <c r="D31" s="172"/>
      <c r="E31" s="193" t="str">
        <f>IFERROR(INDEX(레시피북!$C$2:$I$611,MATCH($D31,레시피북!$C$2:$C$611,0),7),"")</f>
        <v/>
      </c>
      <c r="F31" s="171"/>
      <c r="G31" s="193" t="str">
        <f>IFERROR(INDEX(레시피북!$C$2:$I$611,MATCH($F31,레시피북!$C$2:$C$611,0),7),"")</f>
        <v/>
      </c>
      <c r="H31" s="168"/>
      <c r="I31" s="193" t="str">
        <f>IFERROR(INDEX(레시피북!$C$2:$I$611,MATCH($H31,레시피북!$C$2:$C$611,0),7),"")</f>
        <v/>
      </c>
      <c r="J31" s="170"/>
      <c r="K31" s="193" t="str">
        <f>IFERROR(INDEX(레시피북!$C$2:$I$611,MATCH($J31,레시피북!$C$2:$C$611,0),7),"")</f>
        <v/>
      </c>
      <c r="L31" s="173"/>
      <c r="M31" s="193"/>
      <c r="N31" s="173"/>
      <c r="O31" s="193"/>
    </row>
    <row r="32" spans="1:18" ht="20.100000000000001" customHeight="1" thickBot="1">
      <c r="A32" s="316"/>
      <c r="B32" s="332"/>
      <c r="C32" s="333"/>
      <c r="D32" s="170"/>
      <c r="E32" s="194"/>
      <c r="F32" s="203"/>
      <c r="G32" s="193" t="str">
        <f>IFERROR(INDEX(레시피북!$C$2:$I$611,MATCH($F32,레시피북!$C$2:$C$611,0),7),"")</f>
        <v/>
      </c>
      <c r="H32" s="170"/>
      <c r="I32" s="194"/>
      <c r="J32" s="168"/>
      <c r="K32" s="193" t="str">
        <f>IFERROR(INDEX(레시피북!$C$2:$I$611,MATCH($J32,레시피북!$C$2:$C$611,0),7),"")</f>
        <v/>
      </c>
      <c r="L32" s="203"/>
      <c r="M32" s="194"/>
      <c r="N32" s="203"/>
      <c r="O32" s="194"/>
    </row>
    <row r="33" spans="1:13" ht="24.95" customHeight="1">
      <c r="A33" s="166" t="s">
        <v>908</v>
      </c>
      <c r="B33" s="312">
        <v>46258</v>
      </c>
      <c r="C33" s="313"/>
      <c r="D33" s="312">
        <v>46259</v>
      </c>
      <c r="E33" s="313"/>
      <c r="F33" s="312">
        <v>46260</v>
      </c>
      <c r="G33" s="313"/>
      <c r="H33" s="312">
        <v>46261</v>
      </c>
      <c r="I33" s="313"/>
      <c r="J33" s="312">
        <v>46262</v>
      </c>
      <c r="K33" s="313"/>
      <c r="L33" s="324"/>
      <c r="M33" s="325"/>
    </row>
    <row r="34" spans="1:13" ht="20.100000000000001" customHeight="1" thickBot="1">
      <c r="A34" s="221" t="s">
        <v>910</v>
      </c>
      <c r="B34" s="207"/>
      <c r="C34" s="210" t="s">
        <v>912</v>
      </c>
      <c r="D34" s="207" t="s">
        <v>911</v>
      </c>
      <c r="E34" s="210" t="s">
        <v>912</v>
      </c>
      <c r="F34" s="207" t="s">
        <v>911</v>
      </c>
      <c r="G34" s="210" t="s">
        <v>912</v>
      </c>
      <c r="H34" s="207" t="s">
        <v>911</v>
      </c>
      <c r="I34" s="210" t="s">
        <v>912</v>
      </c>
      <c r="J34" s="207" t="s">
        <v>911</v>
      </c>
      <c r="K34" s="208" t="s">
        <v>912</v>
      </c>
      <c r="L34" s="207"/>
      <c r="M34" s="208"/>
    </row>
    <row r="35" spans="1:13" ht="20.100000000000001" customHeight="1">
      <c r="A35" s="315" t="s">
        <v>916</v>
      </c>
      <c r="B35" s="234" t="s">
        <v>1777</v>
      </c>
      <c r="C35" s="250">
        <f>IFERROR(INDEX(레시피북!$C$2:$I$611,MATCH($B35,레시피북!$C$2:$C$611,0),7),"")</f>
        <v>0</v>
      </c>
      <c r="D35" s="174" t="s">
        <v>1774</v>
      </c>
      <c r="E35" s="193">
        <f>IFERROR(INDEX(레시피북!$C$2:$I$611,MATCH($D35,레시피북!$C$2:$C$611,0),7),"")</f>
        <v>0</v>
      </c>
      <c r="F35" s="234" t="s">
        <v>1775</v>
      </c>
      <c r="G35" s="193">
        <f>IFERROR(INDEX(레시피북!$C$2:$I$611,MATCH($F35,레시피북!$C$2:$C$611,0),7),"")</f>
        <v>0</v>
      </c>
      <c r="H35" s="174" t="s">
        <v>234</v>
      </c>
      <c r="I35" s="193">
        <f>IFERROR(INDEX(레시피북!$C$2:$I$611,MATCH($H35,레시피북!$C$2:$C$611,0),7),"")</f>
        <v>0</v>
      </c>
      <c r="J35" s="174" t="s">
        <v>1777</v>
      </c>
      <c r="K35" s="193">
        <f>IFERROR(INDEX(레시피북!$C$2:$I$611,MATCH($J35,레시피북!$C$2:$C$611,0),7),"")</f>
        <v>0</v>
      </c>
      <c r="L35" s="232"/>
      <c r="M35" s="231"/>
    </row>
    <row r="36" spans="1:13" ht="20.100000000000001" customHeight="1">
      <c r="A36" s="315"/>
      <c r="B36" s="174" t="s">
        <v>1335</v>
      </c>
      <c r="C36" s="193" t="str">
        <f>IFERROR(INDEX(레시피북!$C$2:$I$611,MATCH($B36,레시피북!$C$2:$C$611,0),7),"")</f>
        <v>.1.5.6.10.</v>
      </c>
      <c r="D36" s="168" t="s">
        <v>2088</v>
      </c>
      <c r="E36" s="193" t="str">
        <f>IFERROR(INDEX(레시피북!$C$2:$I$611,MATCH($D36,레시피북!$C$2:$C$611,0),7),"")</f>
        <v>.2.5.6.15.21.</v>
      </c>
      <c r="F36" s="174" t="s">
        <v>348</v>
      </c>
      <c r="G36" s="193" t="str">
        <f>IFERROR(INDEX(레시피북!$C$2:$I$611,MATCH($F36,레시피북!$C$2:$C$611,0),7),"")</f>
        <v>.5.10.12.13.21.</v>
      </c>
      <c r="H36" s="168" t="s">
        <v>1587</v>
      </c>
      <c r="I36" s="193" t="str">
        <f>IFERROR(INDEX(레시피북!$C$2:$I$611,MATCH($H36,레시피북!$C$2:$C$611,0),7),"")</f>
        <v>.5.16.21.</v>
      </c>
      <c r="J36" s="169" t="s">
        <v>2090</v>
      </c>
      <c r="K36" s="193" t="str">
        <f>IFERROR(INDEX(레시피북!$C$2:$I$611,MATCH($J36,레시피북!$C$2:$C$611,0),7),"")</f>
        <v>.5.6.10.17.21.</v>
      </c>
      <c r="L36" s="233"/>
      <c r="M36" s="231"/>
    </row>
    <row r="37" spans="1:13" ht="20.100000000000001" customHeight="1">
      <c r="A37" s="315"/>
      <c r="B37" s="173" t="s">
        <v>1053</v>
      </c>
      <c r="C37" s="193" t="str">
        <f>IFERROR(INDEX(레시피북!$C$2:$I$611,MATCH($B37,레시피북!$C$2:$C$611,0),7),"")</f>
        <v>.5.</v>
      </c>
      <c r="D37" s="170" t="s">
        <v>253</v>
      </c>
      <c r="E37" s="193" t="str">
        <f>IFERROR(INDEX(레시피북!$C$2:$I$611,MATCH($D37,레시피북!$C$2:$C$611,0),7),"")</f>
        <v>.1.2.5.6.15.16.18.</v>
      </c>
      <c r="F37" s="173" t="s">
        <v>2089</v>
      </c>
      <c r="G37" s="193" t="str">
        <f>IFERROR(INDEX(레시피북!$C$2:$I$611,MATCH($F37,레시피북!$C$2:$C$611,0),7),"")</f>
        <v>.5.21.</v>
      </c>
      <c r="H37" s="170" t="s">
        <v>2104</v>
      </c>
      <c r="I37" s="193" t="str">
        <f>IFERROR(INDEX(레시피북!$C$2:$I$611,MATCH($H37,레시피북!$C$2:$C$611,0),7),"")</f>
        <v>.5.10.12.21.</v>
      </c>
      <c r="J37" s="169" t="s">
        <v>2091</v>
      </c>
      <c r="K37" s="193" t="str">
        <f>IFERROR(INDEX(레시피북!$C$2:$I$611,MATCH($J37,레시피북!$C$2:$C$611,0),7),"")</f>
        <v>.1.2.5.6.15.16.</v>
      </c>
      <c r="L37" s="233"/>
      <c r="M37" s="231"/>
    </row>
    <row r="38" spans="1:13" ht="20.100000000000001" customHeight="1">
      <c r="A38" s="315"/>
      <c r="B38" s="173" t="s">
        <v>2084</v>
      </c>
      <c r="C38" s="193" t="str">
        <f>IFERROR(INDEX(레시피북!$C$2:$I$611,MATCH($B38,레시피북!$C$2:$C$611,0),7),"")</f>
        <v>.1.5.6.10.15.16.</v>
      </c>
      <c r="D38" s="170" t="s">
        <v>1779</v>
      </c>
      <c r="E38" s="193" t="str">
        <f>IFERROR(INDEX(레시피북!$C$2:$I$611,MATCH($D38,레시피북!$C$2:$C$611,0),7),"")</f>
        <v>.5.21.22.</v>
      </c>
      <c r="F38" s="173" t="s">
        <v>405</v>
      </c>
      <c r="G38" s="193" t="str">
        <f>IFERROR(INDEX(레시피북!$C$2:$I$611,MATCH($F38,레시피북!$C$2:$C$611,0),7),"")</f>
        <v>.1.5.16.</v>
      </c>
      <c r="H38" s="170" t="s">
        <v>1646</v>
      </c>
      <c r="I38" s="193" t="str">
        <f>IFERROR(INDEX(레시피북!$C$2:$I$611,MATCH($H38,레시피북!$C$2:$C$611,0),7),"")</f>
        <v>.5.21.</v>
      </c>
      <c r="J38" s="169" t="s">
        <v>1928</v>
      </c>
      <c r="K38" s="193">
        <f>IFERROR(INDEX(레시피북!$C$2:$I$611,MATCH($J38,레시피북!$C$2:$C$611,0),7),"")</f>
        <v>0</v>
      </c>
      <c r="L38" s="233"/>
      <c r="M38" s="231"/>
    </row>
    <row r="39" spans="1:13" ht="20.100000000000001" customHeight="1">
      <c r="A39" s="315"/>
      <c r="B39" s="173" t="s">
        <v>2085</v>
      </c>
      <c r="C39" s="193" t="str">
        <f>IFERROR(INDEX(레시피북!$C$2:$I$611,MATCH($B39,레시피북!$C$2:$C$611,0),7),"")</f>
        <v>.5.21.</v>
      </c>
      <c r="D39" s="170" t="s">
        <v>189</v>
      </c>
      <c r="E39" s="193" t="str">
        <f>IFERROR(INDEX(레시피북!$C$2:$I$611,MATCH($D39,레시피북!$C$2:$C$611,0),7),"")</f>
        <v>.6.9.</v>
      </c>
      <c r="F39" s="173" t="s">
        <v>1776</v>
      </c>
      <c r="G39" s="193">
        <f>IFERROR(INDEX(레시피북!$C$2:$I$611,MATCH($F39,레시피북!$C$2:$C$611,0),7),"")</f>
        <v>0</v>
      </c>
      <c r="H39" s="170" t="s">
        <v>189</v>
      </c>
      <c r="I39" s="193" t="str">
        <f>IFERROR(INDEX(레시피북!$C$2:$I$611,MATCH($H39,레시피북!$C$2:$C$611,0),7),"")</f>
        <v>.6.9.</v>
      </c>
      <c r="J39" s="169" t="s">
        <v>1169</v>
      </c>
      <c r="K39" s="193" t="str">
        <f>IFERROR(INDEX(레시피북!$C$2:$I$611,MATCH($J39,레시피북!$C$2:$C$611,0),7),"")</f>
        <v>.5.6.13.21.</v>
      </c>
      <c r="L39" s="233"/>
      <c r="M39" s="231"/>
    </row>
    <row r="40" spans="1:13" ht="20.100000000000001" customHeight="1">
      <c r="A40" s="315"/>
      <c r="B40" s="173" t="s">
        <v>290</v>
      </c>
      <c r="C40" s="193" t="str">
        <f>IFERROR(INDEX(레시피북!$C$2:$I$611,MATCH($B40,레시피북!$C$2:$C$611,0),7),"")</f>
        <v>.9.12.</v>
      </c>
      <c r="D40" s="170" t="s">
        <v>321</v>
      </c>
      <c r="E40" s="193" t="str">
        <f>IFERROR(INDEX(레시피북!$C$2:$I$611,MATCH($D40,레시피북!$C$2:$C$611,0),7),"")</f>
        <v>.5.16.</v>
      </c>
      <c r="F40" s="173" t="s">
        <v>1768</v>
      </c>
      <c r="G40" s="193" t="str">
        <f>IFERROR(INDEX(레시피북!$C$2:$I$611,MATCH($F40,레시피북!$C$2:$C$611,0),7),"")</f>
        <v>.1.2.5.8.21.</v>
      </c>
      <c r="H40" s="173" t="s">
        <v>1201</v>
      </c>
      <c r="I40" s="193" t="str">
        <f>IFERROR(INDEX(레시피북!$C$2:$I$611,MATCH($H40,레시피북!$C$2:$C$611,0),7),"")</f>
        <v>.5.</v>
      </c>
      <c r="J40" s="169" t="s">
        <v>290</v>
      </c>
      <c r="K40" s="193" t="str">
        <f>IFERROR(INDEX(레시피북!$C$2:$I$611,MATCH($J40,레시피북!$C$2:$C$611,0),7),"")</f>
        <v>.9.12.</v>
      </c>
      <c r="L40" s="175"/>
      <c r="M40" s="193"/>
    </row>
    <row r="41" spans="1:13" ht="20.100000000000001" customHeight="1">
      <c r="A41" s="315"/>
      <c r="B41" s="173" t="s">
        <v>2086</v>
      </c>
      <c r="C41" s="193" t="str">
        <f>IFERROR(INDEX(레시피북!$C$2:$I$611,MATCH($B41,레시피북!$C$2:$C$611,0),7),"")</f>
        <v>.1.5.6.</v>
      </c>
      <c r="D41" s="172"/>
      <c r="E41" s="193" t="str">
        <f>IFERROR(INDEX(레시피북!$C$2:$I$611,MATCH($D41,레시피북!$C$2:$C$611,0),7),"")</f>
        <v/>
      </c>
      <c r="F41" s="171"/>
      <c r="G41" s="193" t="str">
        <f>IFERROR(INDEX(레시피북!$C$2:$I$611,MATCH($F41,레시피북!$C$2:$C$611,0),7),"")</f>
        <v/>
      </c>
      <c r="H41" s="170"/>
      <c r="I41" s="193" t="str">
        <f>IFERROR(INDEX(레시피북!$C$2:$I$611,MATCH($H41,레시피북!$C$2:$C$611,0),7),"")</f>
        <v/>
      </c>
      <c r="J41" s="171" t="s">
        <v>583</v>
      </c>
      <c r="K41" s="193" t="str">
        <f>IFERROR(INDEX(레시피북!$C$2:$I$611,MATCH($J41,레시피북!$C$2:$C$611,0),7),"")</f>
        <v>.5.9.</v>
      </c>
      <c r="L41" s="173"/>
      <c r="M41" s="193"/>
    </row>
    <row r="42" spans="1:13" ht="20.100000000000001" customHeight="1" thickBot="1">
      <c r="A42" s="315"/>
      <c r="B42" s="203"/>
      <c r="C42" s="194" t="str">
        <f>IFERROR(INDEX(레시피북!$C$2:$I$611,MATCH($B42,레시피북!$C$2:$C$611,0),7),"")</f>
        <v/>
      </c>
      <c r="D42" s="170"/>
      <c r="E42" s="194"/>
      <c r="F42" s="203"/>
      <c r="G42" s="193" t="str">
        <f>IFERROR(INDEX(레시피북!$C$2:$I$611,MATCH($F42,레시피북!$C$2:$C$611,0),7),"")</f>
        <v/>
      </c>
      <c r="H42" s="170"/>
      <c r="I42" s="194"/>
      <c r="J42" s="168"/>
      <c r="K42" s="193" t="str">
        <f>IFERROR(INDEX(레시피북!$C$2:$I$611,MATCH($J42,레시피북!$C$2:$C$611,0),7),"")</f>
        <v/>
      </c>
      <c r="L42" s="203"/>
      <c r="M42" s="194"/>
    </row>
    <row r="43" spans="1:13" ht="24.95" customHeight="1">
      <c r="A43" s="166" t="s">
        <v>908</v>
      </c>
      <c r="B43" s="324">
        <v>46265</v>
      </c>
      <c r="C43" s="325"/>
      <c r="D43" s="324"/>
      <c r="E43" s="325"/>
      <c r="F43" s="324"/>
      <c r="G43" s="325"/>
      <c r="H43" s="324"/>
      <c r="I43" s="325"/>
      <c r="J43" s="324"/>
      <c r="K43" s="325"/>
      <c r="L43" s="324"/>
      <c r="M43" s="325"/>
    </row>
    <row r="44" spans="1:13" ht="20.100000000000001" customHeight="1" thickBot="1">
      <c r="A44" s="221" t="s">
        <v>910</v>
      </c>
      <c r="B44" s="207" t="s">
        <v>911</v>
      </c>
      <c r="C44" s="222" t="s">
        <v>912</v>
      </c>
      <c r="D44" s="207" t="s">
        <v>911</v>
      </c>
      <c r="E44" s="210" t="s">
        <v>912</v>
      </c>
      <c r="F44" s="207" t="s">
        <v>911</v>
      </c>
      <c r="G44" s="210" t="s">
        <v>912</v>
      </c>
      <c r="H44" s="207" t="s">
        <v>911</v>
      </c>
      <c r="I44" s="210" t="s">
        <v>912</v>
      </c>
      <c r="J44" s="207" t="s">
        <v>911</v>
      </c>
      <c r="K44" s="208" t="s">
        <v>912</v>
      </c>
      <c r="L44" s="207"/>
      <c r="M44" s="208"/>
    </row>
    <row r="45" spans="1:13" ht="20.100000000000001" customHeight="1">
      <c r="A45" s="315" t="s">
        <v>2021</v>
      </c>
      <c r="B45" s="234" t="s">
        <v>1777</v>
      </c>
      <c r="C45" s="250">
        <f>IFERROR(INDEX(레시피북!$C$2:$I$611,MATCH($B45,레시피북!$C$2:$C$611,0),7),"")</f>
        <v>0</v>
      </c>
      <c r="D45" s="174"/>
      <c r="E45" s="193" t="str">
        <f>IFERROR(INDEX(레시피북!$C$2:$I$611,MATCH($D45,레시피북!$C$2:$C$611,0),7),"")</f>
        <v/>
      </c>
      <c r="F45" s="234"/>
      <c r="G45" s="193" t="str">
        <f>IFERROR(INDEX(레시피북!$C$2:$I$611,MATCH($F45,레시피북!$C$2:$C$611,0),7),"")</f>
        <v/>
      </c>
      <c r="H45" s="174"/>
      <c r="I45" s="193" t="str">
        <f>IFERROR(INDEX(레시피북!$C$2:$I$611,MATCH($H45,레시피북!$C$2:$C$611,0),7),"")</f>
        <v/>
      </c>
      <c r="J45" s="174"/>
      <c r="K45" s="193" t="str">
        <f>IFERROR(INDEX(레시피북!$C$2:$I$611,MATCH($J45,레시피북!$C$2:$C$611,0),7),"")</f>
        <v/>
      </c>
      <c r="L45" s="232"/>
      <c r="M45" s="231"/>
    </row>
    <row r="46" spans="1:13" ht="20.100000000000001" customHeight="1">
      <c r="A46" s="315"/>
      <c r="B46" s="174" t="s">
        <v>2096</v>
      </c>
      <c r="C46" s="193" t="str">
        <f>IFERROR(INDEX(레시피북!$C$2:$I$611,MATCH($B46,레시피북!$C$2:$C$611,0),7),"")</f>
        <v>.1.2.5.6.10.12.15.16.18.</v>
      </c>
      <c r="D46" s="168"/>
      <c r="E46" s="193" t="str">
        <f>IFERROR(INDEX(레시피북!$C$2:$I$611,MATCH($D46,레시피북!$C$2:$C$611,0),7),"")</f>
        <v/>
      </c>
      <c r="F46" s="174"/>
      <c r="G46" s="193" t="str">
        <f>IFERROR(INDEX(레시피북!$C$2:$I$611,MATCH($F46,레시피북!$C$2:$C$611,0),7),"")</f>
        <v/>
      </c>
      <c r="H46" s="168"/>
      <c r="I46" s="193" t="str">
        <f>IFERROR(INDEX(레시피북!$C$2:$I$611,MATCH($H46,레시피북!$C$2:$C$611,0),7),"")</f>
        <v/>
      </c>
      <c r="J46" s="169"/>
      <c r="K46" s="193" t="str">
        <f>IFERROR(INDEX(레시피북!$C$2:$I$611,MATCH($J46,레시피북!$C$2:$C$611,0),7),"")</f>
        <v/>
      </c>
      <c r="L46" s="233"/>
      <c r="M46" s="231"/>
    </row>
    <row r="47" spans="1:13" ht="20.100000000000001" customHeight="1">
      <c r="A47" s="315"/>
      <c r="B47" s="173" t="s">
        <v>2097</v>
      </c>
      <c r="C47" s="193" t="str">
        <f>IFERROR(INDEX(레시피북!$C$2:$I$611,MATCH($B47,레시피북!$C$2:$C$611,0),7),"")</f>
        <v>.2.5.6.10.12.15.16.</v>
      </c>
      <c r="D47" s="170"/>
      <c r="E47" s="193" t="str">
        <f>IFERROR(INDEX(레시피북!$C$2:$I$611,MATCH($D47,레시피북!$C$2:$C$611,0),7),"")</f>
        <v/>
      </c>
      <c r="F47" s="173"/>
      <c r="G47" s="193" t="str">
        <f>IFERROR(INDEX(레시피북!$C$2:$I$611,MATCH($F47,레시피북!$C$2:$C$611,0),7),"")</f>
        <v/>
      </c>
      <c r="H47" s="170"/>
      <c r="I47" s="193" t="str">
        <f>IFERROR(INDEX(레시피북!$C$2:$I$611,MATCH($H47,레시피북!$C$2:$C$611,0),7),"")</f>
        <v/>
      </c>
      <c r="J47" s="169"/>
      <c r="K47" s="193" t="str">
        <f>IFERROR(INDEX(레시피북!$C$2:$I$611,MATCH($J47,레시피북!$C$2:$C$611,0),7),"")</f>
        <v/>
      </c>
      <c r="L47" s="233"/>
      <c r="M47" s="231"/>
    </row>
    <row r="48" spans="1:13" ht="20.100000000000001" customHeight="1">
      <c r="A48" s="315"/>
      <c r="B48" s="173" t="s">
        <v>2098</v>
      </c>
      <c r="C48" s="193" t="str">
        <f>IFERROR(INDEX(레시피북!$C$2:$I$611,MATCH($B48,레시피북!$C$2:$C$611,0),7),"")</f>
        <v>.5.21.22.</v>
      </c>
      <c r="D48" s="170"/>
      <c r="E48" s="193" t="str">
        <f>IFERROR(INDEX(레시피북!$C$2:$I$611,MATCH($D48,레시피북!$C$2:$C$611,0),7),"")</f>
        <v/>
      </c>
      <c r="F48" s="173"/>
      <c r="G48" s="193" t="str">
        <f>IFERROR(INDEX(레시피북!$C$2:$I$611,MATCH($F48,레시피북!$C$2:$C$611,0),7),"")</f>
        <v/>
      </c>
      <c r="H48" s="170"/>
      <c r="I48" s="193" t="str">
        <f>IFERROR(INDEX(레시피북!$C$2:$I$611,MATCH($H48,레시피북!$C$2:$C$611,0),7),"")</f>
        <v/>
      </c>
      <c r="J48" s="169"/>
      <c r="K48" s="193" t="str">
        <f>IFERROR(INDEX(레시피북!$C$2:$I$611,MATCH($J48,레시피북!$C$2:$C$611,0),7),"")</f>
        <v/>
      </c>
      <c r="L48" s="233"/>
      <c r="M48" s="231"/>
    </row>
    <row r="49" spans="1:13" ht="20.100000000000001" customHeight="1">
      <c r="A49" s="315"/>
      <c r="B49" s="173" t="s">
        <v>290</v>
      </c>
      <c r="C49" s="193" t="str">
        <f>IFERROR(INDEX(레시피북!$C$2:$I$611,MATCH($B49,레시피북!$C$2:$C$611,0),7),"")</f>
        <v>.9.12.</v>
      </c>
      <c r="D49" s="170"/>
      <c r="E49" s="193" t="str">
        <f>IFERROR(INDEX(레시피북!$C$2:$I$611,MATCH($D49,레시피북!$C$2:$C$611,0),7),"")</f>
        <v/>
      </c>
      <c r="F49" s="173"/>
      <c r="G49" s="193" t="str">
        <f>IFERROR(INDEX(레시피북!$C$2:$I$611,MATCH($F49,레시피북!$C$2:$C$611,0),7),"")</f>
        <v/>
      </c>
      <c r="H49" s="170"/>
      <c r="I49" s="193" t="str">
        <f>IFERROR(INDEX(레시피북!$C$2:$I$611,MATCH($H49,레시피북!$C$2:$C$611,0),7),"")</f>
        <v/>
      </c>
      <c r="J49" s="169"/>
      <c r="K49" s="193" t="str">
        <f>IFERROR(INDEX(레시피북!$C$2:$I$611,MATCH($J49,레시피북!$C$2:$C$611,0),7),"")</f>
        <v/>
      </c>
      <c r="L49" s="233"/>
      <c r="M49" s="231"/>
    </row>
    <row r="50" spans="1:13" ht="20.100000000000001" customHeight="1">
      <c r="A50" s="315"/>
      <c r="B50" s="173" t="s">
        <v>2099</v>
      </c>
      <c r="C50" s="193" t="str">
        <f>IFERROR(INDEX(레시피북!$C$2:$I$611,MATCH($B50,레시피북!$C$2:$C$611,0),7),"")</f>
        <v>.5.</v>
      </c>
      <c r="D50" s="170"/>
      <c r="E50" s="193" t="str">
        <f>IFERROR(INDEX(레시피북!$C$2:$I$611,MATCH($D50,레시피북!$C$2:$C$611,0),7),"")</f>
        <v/>
      </c>
      <c r="F50" s="173"/>
      <c r="G50" s="193" t="str">
        <f>IFERROR(INDEX(레시피북!$C$2:$I$611,MATCH($F50,레시피북!$C$2:$C$611,0),7),"")</f>
        <v/>
      </c>
      <c r="H50" s="170"/>
      <c r="I50" s="193" t="str">
        <f>IFERROR(INDEX(레시피북!$C$2:$I$611,MATCH($H50,레시피북!$C$2:$C$611,0),7),"")</f>
        <v/>
      </c>
      <c r="J50" s="171"/>
      <c r="K50" s="193" t="str">
        <f>IFERROR(INDEX(레시피북!$C$2:$I$611,MATCH($J50,레시피북!$C$2:$C$611,0),7),"")</f>
        <v/>
      </c>
      <c r="L50" s="175"/>
      <c r="M50" s="193"/>
    </row>
    <row r="51" spans="1:13" ht="20.100000000000001" customHeight="1">
      <c r="A51" s="315"/>
      <c r="B51" s="173"/>
      <c r="C51" s="193" t="str">
        <f>IFERROR(INDEX(레시피북!$C$2:$I$611,MATCH($B51,레시피북!$C$2:$C$611,0),7),"")</f>
        <v/>
      </c>
      <c r="D51" s="172"/>
      <c r="E51" s="193" t="str">
        <f>IFERROR(INDEX(레시피북!$C$2:$I$611,MATCH($D51,레시피북!$C$2:$C$611,0),7),"")</f>
        <v/>
      </c>
      <c r="F51" s="171"/>
      <c r="G51" s="193" t="str">
        <f>IFERROR(INDEX(레시피북!$C$2:$I$611,MATCH($F51,레시피북!$C$2:$C$611,0),7),"")</f>
        <v/>
      </c>
      <c r="H51" s="168"/>
      <c r="I51" s="193" t="str">
        <f>IFERROR(INDEX(레시피북!$C$2:$I$611,MATCH($H51,레시피북!$C$2:$C$611,0),7),"")</f>
        <v/>
      </c>
      <c r="J51" s="170"/>
      <c r="K51" s="193" t="str">
        <f>IFERROR(INDEX(레시피북!$C$2:$I$611,MATCH($J51,레시피북!$C$2:$C$611,0),7),"")</f>
        <v/>
      </c>
      <c r="L51" s="173"/>
      <c r="M51" s="193"/>
    </row>
    <row r="52" spans="1:13" ht="19.5" customHeight="1" thickBot="1">
      <c r="A52" s="315"/>
      <c r="B52" s="203"/>
      <c r="C52" s="194" t="str">
        <f>IFERROR(INDEX(레시피북!$C$2:$I$611,MATCH($B52,레시피북!$C$2:$C$611,0),7),"")</f>
        <v/>
      </c>
      <c r="D52" s="170"/>
      <c r="E52" s="194"/>
      <c r="F52" s="203"/>
      <c r="G52" s="193" t="str">
        <f>IFERROR(INDEX(레시피북!$C$2:$I$611,MATCH($F52,레시피북!$C$2:$C$611,0),7),"")</f>
        <v/>
      </c>
      <c r="H52" s="170"/>
      <c r="I52" s="194"/>
      <c r="J52" s="168"/>
      <c r="K52" s="193" t="str">
        <f>IFERROR(INDEX(레시피북!$C$2:$I$611,MATCH($J52,레시피북!$C$2:$C$611,0),7),"")</f>
        <v/>
      </c>
      <c r="L52" s="203"/>
      <c r="M52" s="194"/>
    </row>
    <row r="53" spans="1:13" ht="150" customHeight="1" thickBot="1">
      <c r="A53" s="321" t="s">
        <v>1198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3"/>
    </row>
  </sheetData>
  <mergeCells count="45">
    <mergeCell ref="L43:M43"/>
    <mergeCell ref="A5:A12"/>
    <mergeCell ref="J13:K13"/>
    <mergeCell ref="H13:I13"/>
    <mergeCell ref="B13:C13"/>
    <mergeCell ref="D13:E13"/>
    <mergeCell ref="F13:G13"/>
    <mergeCell ref="J33:K33"/>
    <mergeCell ref="A25:A32"/>
    <mergeCell ref="B33:C33"/>
    <mergeCell ref="D33:E33"/>
    <mergeCell ref="A15:A22"/>
    <mergeCell ref="B23:C23"/>
    <mergeCell ref="D23:E23"/>
    <mergeCell ref="B25:C32"/>
    <mergeCell ref="B3:C3"/>
    <mergeCell ref="D3:E3"/>
    <mergeCell ref="F3:G3"/>
    <mergeCell ref="H3:I3"/>
    <mergeCell ref="A1:K1"/>
    <mergeCell ref="B2:C2"/>
    <mergeCell ref="D2:E2"/>
    <mergeCell ref="F2:G2"/>
    <mergeCell ref="H2:I2"/>
    <mergeCell ref="J2:K2"/>
    <mergeCell ref="A53:K53"/>
    <mergeCell ref="A35:A42"/>
    <mergeCell ref="B43:C43"/>
    <mergeCell ref="D43:E43"/>
    <mergeCell ref="F43:G43"/>
    <mergeCell ref="H43:I43"/>
    <mergeCell ref="J43:K43"/>
    <mergeCell ref="A45:A52"/>
    <mergeCell ref="L3:M3"/>
    <mergeCell ref="N13:O13"/>
    <mergeCell ref="F33:G33"/>
    <mergeCell ref="H33:I33"/>
    <mergeCell ref="L23:M23"/>
    <mergeCell ref="L13:M13"/>
    <mergeCell ref="J23:K23"/>
    <mergeCell ref="N23:O23"/>
    <mergeCell ref="L33:M33"/>
    <mergeCell ref="J3:K3"/>
    <mergeCell ref="F23:G23"/>
    <mergeCell ref="H23:I23"/>
  </mergeCells>
  <phoneticPr fontId="12" type="noConversion"/>
  <pageMargins left="0.7" right="0.7" top="0.75" bottom="0.75" header="0.3" footer="0.3"/>
  <pageSetup paperSize="9" scale="51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9">
    <tabColor rgb="FFFF0000"/>
    <pageSetUpPr fitToPage="1"/>
  </sheetPr>
  <dimension ref="A1:AR589"/>
  <sheetViews>
    <sheetView zoomScale="70" zoomScaleNormal="70" zoomScaleSheetLayoutView="75" workbookViewId="0">
      <pane xSplit="7" ySplit="1" topLeftCell="H64" activePane="bottomRight" state="frozen"/>
      <selection activeCell="G4" sqref="G4"/>
      <selection pane="topRight" activeCell="G4" sqref="G4"/>
      <selection pane="bottomLeft" activeCell="G4" sqref="G4"/>
      <selection pane="bottomRight" activeCell="H85" sqref="H85"/>
    </sheetView>
  </sheetViews>
  <sheetFormatPr defaultColWidth="9" defaultRowHeight="16.5"/>
  <cols>
    <col min="1" max="1" width="5.625" customWidth="1"/>
    <col min="2" max="2" width="7.625" customWidth="1"/>
    <col min="3" max="3" width="19.25" bestFit="1" customWidth="1"/>
    <col min="4" max="4" width="10.375" style="8" hidden="1" customWidth="1"/>
    <col min="5" max="5" width="8.625" style="8" hidden="1" customWidth="1"/>
    <col min="6" max="6" width="9.875" style="28" hidden="1" customWidth="1"/>
    <col min="7" max="7" width="9.375" style="28" hidden="1" customWidth="1"/>
    <col min="8" max="8" width="112.5" style="84" customWidth="1"/>
    <col min="9" max="9" width="17.125" style="192" customWidth="1"/>
    <col min="10" max="10" width="46.75" style="140" customWidth="1"/>
    <col min="11" max="11" width="10.75" style="28" bestFit="1" customWidth="1"/>
    <col min="12" max="14" width="10.625" style="8" customWidth="1"/>
    <col min="15" max="17" width="8.625" style="8" customWidth="1"/>
    <col min="18" max="18" width="5.625" style="54" customWidth="1"/>
    <col min="19" max="21" width="8.625" style="8" customWidth="1"/>
    <col min="22" max="22" width="5.625" style="54" customWidth="1"/>
    <col min="23" max="23" width="10" style="33" customWidth="1"/>
    <col min="24" max="24" width="49.875" style="18" customWidth="1"/>
    <col min="25" max="26" width="8.625" style="60" customWidth="1"/>
    <col min="30" max="30" width="9" style="24"/>
    <col min="31" max="31" width="10" style="33" customWidth="1"/>
    <col min="32" max="32" width="48.75" style="18" customWidth="1"/>
    <col min="36" max="36" width="9" style="24"/>
    <col min="37" max="37" width="10" style="33" customWidth="1"/>
    <col min="38" max="38" width="49.875" style="18" customWidth="1"/>
    <col min="42" max="42" width="9" style="24"/>
  </cols>
  <sheetData>
    <row r="1" spans="1:42" ht="53.25" customHeight="1">
      <c r="A1" s="1" t="s">
        <v>71</v>
      </c>
      <c r="B1" s="1" t="s">
        <v>67</v>
      </c>
      <c r="C1" s="1" t="s">
        <v>883</v>
      </c>
      <c r="D1" s="2" t="s">
        <v>268</v>
      </c>
      <c r="E1" s="2" t="s">
        <v>272</v>
      </c>
      <c r="F1" s="2" t="s">
        <v>249</v>
      </c>
      <c r="G1" s="2" t="s">
        <v>265</v>
      </c>
      <c r="H1" s="83" t="s">
        <v>289</v>
      </c>
      <c r="I1" s="83" t="s">
        <v>820</v>
      </c>
      <c r="J1" s="85" t="s">
        <v>580</v>
      </c>
      <c r="K1" s="3" t="s">
        <v>599</v>
      </c>
      <c r="L1" s="2" t="s">
        <v>259</v>
      </c>
      <c r="M1" s="2" t="s">
        <v>247</v>
      </c>
      <c r="N1" s="2" t="s">
        <v>260</v>
      </c>
      <c r="O1" s="43" t="s">
        <v>283</v>
      </c>
      <c r="P1" s="43" t="s">
        <v>276</v>
      </c>
      <c r="Q1" s="43" t="s">
        <v>279</v>
      </c>
      <c r="R1" s="52" t="s">
        <v>75</v>
      </c>
      <c r="S1" s="43" t="s">
        <v>282</v>
      </c>
      <c r="T1" s="43" t="s">
        <v>281</v>
      </c>
      <c r="U1" s="43" t="s">
        <v>277</v>
      </c>
      <c r="V1" s="52" t="s">
        <v>75</v>
      </c>
      <c r="W1" s="40" t="s">
        <v>269</v>
      </c>
      <c r="X1" s="41" t="s">
        <v>266</v>
      </c>
      <c r="Y1" s="59" t="s">
        <v>250</v>
      </c>
      <c r="Z1" s="59" t="s">
        <v>251</v>
      </c>
      <c r="AA1" s="62" t="s">
        <v>285</v>
      </c>
      <c r="AB1" s="62" t="s">
        <v>270</v>
      </c>
      <c r="AC1" s="62" t="s">
        <v>267</v>
      </c>
      <c r="AD1" s="42" t="s">
        <v>273</v>
      </c>
      <c r="AE1" s="37" t="s">
        <v>269</v>
      </c>
      <c r="AF1" s="38" t="s">
        <v>274</v>
      </c>
      <c r="AG1" s="39" t="s">
        <v>285</v>
      </c>
      <c r="AH1" s="39" t="s">
        <v>270</v>
      </c>
      <c r="AI1" s="39" t="s">
        <v>267</v>
      </c>
      <c r="AJ1" s="39" t="s">
        <v>273</v>
      </c>
      <c r="AK1" s="37" t="s">
        <v>269</v>
      </c>
      <c r="AL1" s="38" t="s">
        <v>284</v>
      </c>
      <c r="AM1" s="39" t="s">
        <v>285</v>
      </c>
      <c r="AN1" s="39" t="s">
        <v>270</v>
      </c>
      <c r="AO1" s="39" t="s">
        <v>267</v>
      </c>
      <c r="AP1" s="39" t="s">
        <v>273</v>
      </c>
    </row>
    <row r="2" spans="1:42" ht="27">
      <c r="A2" s="30">
        <v>1</v>
      </c>
      <c r="B2" s="145"/>
      <c r="C2" s="225" t="s">
        <v>1245</v>
      </c>
      <c r="D2" s="27"/>
      <c r="E2" s="27"/>
      <c r="F2" s="27"/>
      <c r="G2" s="27"/>
      <c r="H2" s="70" t="s">
        <v>606</v>
      </c>
      <c r="I2" s="176" t="s">
        <v>828</v>
      </c>
      <c r="J2" s="137" t="s">
        <v>2228</v>
      </c>
      <c r="K2" s="29"/>
      <c r="L2" s="11"/>
      <c r="M2" s="11"/>
      <c r="N2" s="11"/>
      <c r="O2" s="44"/>
      <c r="P2" s="44"/>
      <c r="Q2" s="44"/>
      <c r="R2" s="53"/>
      <c r="S2" s="44"/>
      <c r="T2" s="44"/>
      <c r="U2" s="44"/>
      <c r="V2" s="53"/>
      <c r="W2" s="31"/>
      <c r="X2" s="9"/>
      <c r="Y2" s="11"/>
      <c r="Z2" s="11"/>
      <c r="AA2" s="63"/>
      <c r="AB2" s="63"/>
      <c r="AC2" s="63"/>
      <c r="AD2" s="36"/>
      <c r="AE2" s="31"/>
      <c r="AF2" s="9"/>
      <c r="AG2" s="6"/>
      <c r="AH2" s="6"/>
      <c r="AI2" s="6"/>
      <c r="AJ2" s="36"/>
      <c r="AK2" s="31"/>
      <c r="AL2" s="9"/>
      <c r="AM2" s="6"/>
      <c r="AN2" s="6"/>
      <c r="AO2" s="6"/>
      <c r="AP2" s="36"/>
    </row>
    <row r="3" spans="1:42">
      <c r="A3" s="30">
        <v>2</v>
      </c>
      <c r="B3" s="145"/>
      <c r="C3" s="226" t="s">
        <v>1730</v>
      </c>
      <c r="D3" s="27"/>
      <c r="E3" s="27"/>
      <c r="F3" s="27"/>
      <c r="G3" s="27"/>
      <c r="H3" s="70" t="s">
        <v>1731</v>
      </c>
      <c r="I3" s="176" t="s">
        <v>864</v>
      </c>
      <c r="J3" s="137" t="s">
        <v>1860</v>
      </c>
      <c r="K3" s="117"/>
      <c r="L3" s="6"/>
      <c r="M3" s="6"/>
      <c r="N3" s="6"/>
      <c r="O3" s="6"/>
      <c r="P3" s="6"/>
      <c r="Q3" s="6"/>
      <c r="R3" s="29"/>
      <c r="S3" s="6"/>
      <c r="T3" s="6"/>
      <c r="U3" s="6"/>
      <c r="V3" s="29"/>
      <c r="W3" s="31"/>
      <c r="X3" s="9"/>
      <c r="Y3" s="11"/>
      <c r="Z3" s="11"/>
      <c r="AA3" s="6"/>
      <c r="AB3" s="6"/>
      <c r="AC3" s="6"/>
      <c r="AD3" s="36"/>
      <c r="AE3" s="31"/>
      <c r="AF3" s="9"/>
      <c r="AG3" s="6"/>
      <c r="AH3" s="6"/>
      <c r="AI3" s="6"/>
      <c r="AJ3" s="36"/>
      <c r="AK3" s="31"/>
      <c r="AL3" s="9"/>
      <c r="AM3" s="6"/>
      <c r="AN3" s="6"/>
      <c r="AO3" s="6"/>
      <c r="AP3" s="36"/>
    </row>
    <row r="4" spans="1:42">
      <c r="A4" s="30">
        <v>3</v>
      </c>
      <c r="B4" s="145"/>
      <c r="C4" s="225" t="s">
        <v>516</v>
      </c>
      <c r="D4" s="27"/>
      <c r="E4" s="27"/>
      <c r="F4" s="27"/>
      <c r="G4" s="27"/>
      <c r="H4" s="70" t="s">
        <v>567</v>
      </c>
      <c r="I4" s="176" t="s">
        <v>821</v>
      </c>
      <c r="J4" s="137" t="s">
        <v>1875</v>
      </c>
      <c r="K4" s="117"/>
      <c r="L4" s="6">
        <v>23450</v>
      </c>
      <c r="M4" s="6">
        <v>1172.5</v>
      </c>
      <c r="N4" s="6">
        <v>24622.5</v>
      </c>
      <c r="O4" s="44">
        <f>E4</f>
        <v>0</v>
      </c>
      <c r="P4" s="44">
        <f>D4</f>
        <v>0</v>
      </c>
      <c r="Q4" s="44">
        <f>D4</f>
        <v>0</v>
      </c>
      <c r="R4" s="53" t="s">
        <v>68</v>
      </c>
      <c r="S4" s="44">
        <f>E4</f>
        <v>0</v>
      </c>
      <c r="T4" s="44">
        <f>D4</f>
        <v>0</v>
      </c>
      <c r="U4" s="44">
        <f>D4</f>
        <v>0</v>
      </c>
      <c r="V4" s="53"/>
      <c r="W4" s="31">
        <v>192872</v>
      </c>
      <c r="X4" s="9" t="str">
        <f>IFERROR(INDEX([1]Sheet1!$A$2:$X$1948,MATCH($W$2:$W$270,[1]Sheet1!$G$2:$G$1948,0),8),"")</f>
        <v>소이원 콩나물(곱슬이_단채 4Kg/BOX)</v>
      </c>
      <c r="Y4" s="11">
        <v>4000</v>
      </c>
      <c r="Z4" s="11"/>
      <c r="AA4" s="63">
        <v>25</v>
      </c>
      <c r="AB4" s="63" t="e">
        <f>T4*AD4</f>
        <v>#DIV/0!</v>
      </c>
      <c r="AC4" s="63" t="e">
        <f>U4*AD4</f>
        <v>#DIV/0!</v>
      </c>
      <c r="AD4" s="36" t="e">
        <f>AA4/E4</f>
        <v>#DIV/0!</v>
      </c>
      <c r="AE4" s="31">
        <v>313570</v>
      </c>
      <c r="AF4" s="9" t="str">
        <f>IFERROR(INDEX([1]Sheet1!$A$2:$X$1948,MATCH($AE$2:$AE$270,[1]Sheet1!$G$2:$G$1948,0),8),"")</f>
        <v>프레시웨이 북어채(1Kg/EA)</v>
      </c>
      <c r="AG4" s="6">
        <v>5</v>
      </c>
      <c r="AH4" s="6" t="e">
        <f>P4*AJ4</f>
        <v>#DIV/0!</v>
      </c>
      <c r="AI4" s="6" t="e">
        <f>Q4*AJ4</f>
        <v>#DIV/0!</v>
      </c>
      <c r="AJ4" s="36" t="e">
        <f>AG4/$E4</f>
        <v>#DIV/0!</v>
      </c>
      <c r="AK4" s="31"/>
      <c r="AL4" s="9">
        <f>IFERROR(INDEX([1]Sheet1!$A$2:$X$1948,MATCH($AK$2:$AK$270,[1]Sheet1!$G$2:$G$1948,0),8),"")</f>
        <v>0</v>
      </c>
      <c r="AM4" s="6">
        <v>5</v>
      </c>
      <c r="AN4" s="6" t="e">
        <f>P4*AP4</f>
        <v>#DIV/0!</v>
      </c>
      <c r="AO4" s="6" t="e">
        <f>Q4*AP4</f>
        <v>#DIV/0!</v>
      </c>
      <c r="AP4" s="36" t="e">
        <f>AM4/$E4</f>
        <v>#DIV/0!</v>
      </c>
    </row>
    <row r="5" spans="1:42">
      <c r="A5" s="30">
        <v>4</v>
      </c>
      <c r="B5" s="145"/>
      <c r="C5" s="225" t="s">
        <v>1046</v>
      </c>
      <c r="D5" s="27"/>
      <c r="E5" s="27"/>
      <c r="F5" s="27"/>
      <c r="G5" s="27"/>
      <c r="H5" s="70" t="s">
        <v>1103</v>
      </c>
      <c r="I5" s="180" t="s">
        <v>876</v>
      </c>
      <c r="J5" s="136" t="s">
        <v>1900</v>
      </c>
      <c r="K5" s="29"/>
      <c r="L5" s="11"/>
      <c r="M5" s="11"/>
      <c r="N5" s="11"/>
      <c r="O5" s="44"/>
      <c r="P5" s="44"/>
      <c r="Q5" s="44"/>
      <c r="R5" s="53"/>
      <c r="S5" s="44"/>
      <c r="T5" s="46"/>
      <c r="U5" s="46"/>
      <c r="V5" s="53"/>
      <c r="W5" s="31"/>
      <c r="X5" s="9"/>
      <c r="Y5" s="11"/>
      <c r="Z5" s="11"/>
      <c r="AA5" s="63"/>
      <c r="AB5" s="63"/>
      <c r="AC5" s="63"/>
      <c r="AD5" s="36"/>
      <c r="AE5" s="31"/>
      <c r="AF5" s="9"/>
      <c r="AG5" s="6"/>
      <c r="AH5" s="6"/>
      <c r="AI5" s="6"/>
      <c r="AJ5" s="36"/>
      <c r="AK5" s="31"/>
      <c r="AL5" s="9"/>
      <c r="AM5" s="6"/>
      <c r="AN5" s="6"/>
      <c r="AO5" s="6"/>
      <c r="AP5" s="36"/>
    </row>
    <row r="6" spans="1:42">
      <c r="A6" s="30">
        <v>5</v>
      </c>
      <c r="B6" s="145"/>
      <c r="C6" s="225" t="s">
        <v>514</v>
      </c>
      <c r="D6" s="27"/>
      <c r="E6" s="27"/>
      <c r="F6" s="27"/>
      <c r="G6" s="27"/>
      <c r="H6" s="70" t="s">
        <v>1607</v>
      </c>
      <c r="I6" s="176" t="s">
        <v>821</v>
      </c>
      <c r="J6" s="136" t="s">
        <v>1820</v>
      </c>
      <c r="K6" s="117"/>
      <c r="L6" s="6">
        <v>21960</v>
      </c>
      <c r="M6" s="6">
        <v>1098</v>
      </c>
      <c r="N6" s="6">
        <v>23058</v>
      </c>
      <c r="O6" s="44">
        <f>E6</f>
        <v>0</v>
      </c>
      <c r="P6" s="44">
        <f>D6</f>
        <v>0</v>
      </c>
      <c r="Q6" s="44">
        <f>D6</f>
        <v>0</v>
      </c>
      <c r="R6" s="53" t="s">
        <v>68</v>
      </c>
      <c r="S6" s="44">
        <f>E6</f>
        <v>0</v>
      </c>
      <c r="T6" s="44">
        <f>D6</f>
        <v>0</v>
      </c>
      <c r="U6" s="44">
        <f>D6</f>
        <v>0</v>
      </c>
      <c r="V6" s="53"/>
      <c r="W6" s="31">
        <v>223306</v>
      </c>
      <c r="X6" s="9" t="str">
        <f>IFERROR(INDEX([1]Sheet1!$A$2:$X$1948,MATCH($W$2:$W$270,[1]Sheet1!$G$2:$G$1948,0),8),"")</f>
        <v>냉동근대(IQF 1Kg/EA)</v>
      </c>
      <c r="Y6" s="11">
        <v>1000</v>
      </c>
      <c r="Z6" s="11"/>
      <c r="AA6" s="63">
        <v>35</v>
      </c>
      <c r="AB6" s="63" t="e">
        <f>T6*AD6</f>
        <v>#DIV/0!</v>
      </c>
      <c r="AC6" s="63" t="e">
        <f>U6*AD6</f>
        <v>#DIV/0!</v>
      </c>
      <c r="AD6" s="36" t="e">
        <f>AA6/E6</f>
        <v>#DIV/0!</v>
      </c>
      <c r="AE6" s="31">
        <v>138570</v>
      </c>
      <c r="AF6" s="9" t="str">
        <f>IFERROR(INDEX([1]Sheet1!$A$2:$X$1948,MATCH($AE$2:$AE$270,[1]Sheet1!$G$2:$G$1948,0),8),"")</f>
        <v>면사랑 멸치육수(1.8L_보급형 1.8Kg/EA)</v>
      </c>
      <c r="AG6" s="6"/>
      <c r="AH6" s="6" t="e">
        <f>P6*AJ6</f>
        <v>#DIV/0!</v>
      </c>
      <c r="AI6" s="6" t="e">
        <f>Q6*AJ6</f>
        <v>#DIV/0!</v>
      </c>
      <c r="AJ6" s="36" t="e">
        <f>AG6/$E6</f>
        <v>#DIV/0!</v>
      </c>
      <c r="AK6" s="31"/>
      <c r="AL6" s="9">
        <f>IFERROR(INDEX([1]Sheet1!$A$2:$X$1948,MATCH($AK$2:$AK$270,[1]Sheet1!$G$2:$G$1948,0),8),"")</f>
        <v>0</v>
      </c>
      <c r="AM6" s="6"/>
      <c r="AN6" s="6"/>
      <c r="AO6" s="6"/>
      <c r="AP6" s="36"/>
    </row>
    <row r="7" spans="1:42">
      <c r="A7" s="30">
        <v>6</v>
      </c>
      <c r="B7" s="145"/>
      <c r="C7" s="225" t="s">
        <v>981</v>
      </c>
      <c r="D7" s="27"/>
      <c r="E7" s="27"/>
      <c r="F7" s="27"/>
      <c r="G7" s="27"/>
      <c r="H7" s="70" t="s">
        <v>1092</v>
      </c>
      <c r="I7" s="176" t="s">
        <v>867</v>
      </c>
      <c r="J7" s="137" t="s">
        <v>1770</v>
      </c>
      <c r="K7" s="117"/>
      <c r="L7" s="6"/>
      <c r="M7" s="6"/>
      <c r="N7" s="6"/>
      <c r="O7" s="44"/>
      <c r="P7" s="44"/>
      <c r="Q7" s="44"/>
      <c r="R7" s="53"/>
      <c r="S7" s="44"/>
      <c r="T7" s="44"/>
      <c r="U7" s="44"/>
      <c r="V7" s="53"/>
      <c r="W7" s="31"/>
      <c r="X7" s="9"/>
      <c r="Y7" s="11"/>
      <c r="Z7" s="11"/>
      <c r="AA7" s="63"/>
      <c r="AB7" s="63"/>
      <c r="AC7" s="63"/>
      <c r="AD7" s="36"/>
      <c r="AE7" s="31"/>
      <c r="AF7" s="9"/>
      <c r="AG7" s="6"/>
      <c r="AH7" s="6"/>
      <c r="AI7" s="6"/>
      <c r="AJ7" s="36"/>
      <c r="AK7" s="31"/>
      <c r="AL7" s="9"/>
      <c r="AM7" s="6"/>
      <c r="AN7" s="6"/>
      <c r="AO7" s="6"/>
      <c r="AP7" s="36"/>
    </row>
    <row r="8" spans="1:42">
      <c r="A8" s="30">
        <v>7</v>
      </c>
      <c r="B8" s="145"/>
      <c r="C8" s="225" t="s">
        <v>1553</v>
      </c>
      <c r="D8" s="27"/>
      <c r="E8" s="27"/>
      <c r="F8" s="27"/>
      <c r="G8" s="27"/>
      <c r="H8" s="70" t="s">
        <v>1554</v>
      </c>
      <c r="I8" s="176" t="s">
        <v>867</v>
      </c>
      <c r="J8" s="137" t="s">
        <v>1770</v>
      </c>
      <c r="K8" s="117"/>
      <c r="L8" s="6"/>
      <c r="M8" s="6"/>
      <c r="N8" s="6"/>
      <c r="O8" s="44"/>
      <c r="P8" s="44"/>
      <c r="Q8" s="44"/>
      <c r="R8" s="53"/>
      <c r="S8" s="44"/>
      <c r="T8" s="44"/>
      <c r="U8" s="44"/>
      <c r="V8" s="53"/>
      <c r="W8" s="31"/>
      <c r="X8" s="9"/>
      <c r="Y8" s="11"/>
      <c r="Z8" s="11"/>
      <c r="AA8" s="63"/>
      <c r="AB8" s="63"/>
      <c r="AC8" s="63"/>
      <c r="AD8" s="36"/>
      <c r="AE8" s="31"/>
      <c r="AF8" s="9"/>
      <c r="AG8" s="6"/>
      <c r="AH8" s="6"/>
      <c r="AI8" s="6"/>
      <c r="AJ8" s="36"/>
      <c r="AK8" s="31"/>
      <c r="AL8" s="9"/>
      <c r="AM8" s="6"/>
      <c r="AN8" s="6"/>
      <c r="AO8" s="6"/>
      <c r="AP8" s="36"/>
    </row>
    <row r="9" spans="1:42">
      <c r="A9" s="30">
        <v>8</v>
      </c>
      <c r="B9" s="145"/>
      <c r="C9" s="225" t="s">
        <v>1160</v>
      </c>
      <c r="D9" s="27"/>
      <c r="E9" s="27"/>
      <c r="F9" s="27"/>
      <c r="G9" s="27"/>
      <c r="H9" s="70" t="s">
        <v>1329</v>
      </c>
      <c r="I9" s="176" t="s">
        <v>1161</v>
      </c>
      <c r="J9" s="136" t="s">
        <v>1820</v>
      </c>
      <c r="K9" s="29"/>
      <c r="L9" s="11"/>
      <c r="M9" s="11"/>
      <c r="N9" s="11"/>
      <c r="O9" s="44"/>
      <c r="P9" s="44"/>
      <c r="Q9" s="44"/>
      <c r="R9" s="53"/>
      <c r="S9" s="44"/>
      <c r="T9" s="44"/>
      <c r="U9" s="44"/>
      <c r="V9" s="53"/>
      <c r="W9" s="31"/>
      <c r="X9" s="9"/>
      <c r="Y9" s="11"/>
      <c r="Z9" s="11"/>
      <c r="AA9" s="63"/>
      <c r="AB9" s="63"/>
      <c r="AC9" s="63"/>
      <c r="AD9" s="36"/>
      <c r="AE9" s="31"/>
      <c r="AF9" s="9"/>
      <c r="AG9" s="6"/>
      <c r="AH9" s="6"/>
      <c r="AI9" s="6"/>
      <c r="AJ9" s="36"/>
      <c r="AK9" s="31"/>
      <c r="AL9" s="9"/>
      <c r="AM9" s="6"/>
      <c r="AN9" s="6"/>
      <c r="AO9" s="6"/>
      <c r="AP9" s="36"/>
    </row>
    <row r="10" spans="1:42">
      <c r="A10" s="30">
        <v>9</v>
      </c>
      <c r="B10" s="145"/>
      <c r="C10" s="225" t="s">
        <v>2106</v>
      </c>
      <c r="D10" s="27"/>
      <c r="E10" s="27"/>
      <c r="F10" s="27"/>
      <c r="G10" s="27"/>
      <c r="H10" s="105" t="s">
        <v>2107</v>
      </c>
      <c r="I10" s="177" t="s">
        <v>875</v>
      </c>
      <c r="J10" s="136" t="s">
        <v>1818</v>
      </c>
      <c r="K10" s="29"/>
      <c r="L10" s="11"/>
      <c r="M10" s="11"/>
      <c r="N10" s="11"/>
      <c r="O10" s="44">
        <f>E10</f>
        <v>0</v>
      </c>
      <c r="P10" s="44">
        <f>D10</f>
        <v>0</v>
      </c>
      <c r="Q10" s="44">
        <f>D10</f>
        <v>0</v>
      </c>
      <c r="R10" s="53" t="s">
        <v>68</v>
      </c>
      <c r="S10" s="44">
        <f>E10</f>
        <v>0</v>
      </c>
      <c r="T10" s="44">
        <f>D10</f>
        <v>0</v>
      </c>
      <c r="U10" s="44">
        <f>D10</f>
        <v>0</v>
      </c>
      <c r="V10" s="53"/>
      <c r="W10" s="31">
        <v>204623</v>
      </c>
      <c r="X10" s="9" t="str">
        <f>IFERROR(INDEX([1]Sheet1!$A$2:$X$1948,MATCH($W$2:$W$270,[1]Sheet1!$G$2:$G$1948,0),8),"")</f>
        <v>애호박(특품 인큐베이터 KG)</v>
      </c>
      <c r="Y10" s="11">
        <v>1000</v>
      </c>
      <c r="Z10" s="11"/>
      <c r="AA10" s="63">
        <v>30</v>
      </c>
      <c r="AB10" s="63" t="e">
        <f>T10*AD10</f>
        <v>#DIV/0!</v>
      </c>
      <c r="AC10" s="63" t="e">
        <f>U10*AD10</f>
        <v>#DIV/0!</v>
      </c>
      <c r="AD10" s="36" t="e">
        <f>AA10/E10</f>
        <v>#DIV/0!</v>
      </c>
      <c r="AE10" s="31">
        <v>168257</v>
      </c>
      <c r="AF10" s="9" t="str">
        <f>IFERROR(INDEX([1]Sheet1!$A$2:$X$1948,MATCH($AE$2:$AE$270,[1]Sheet1!$G$2:$G$1948,0),8),"")</f>
        <v>명품 판두부(찌개용 3Kg/EA)</v>
      </c>
      <c r="AG10" s="6">
        <v>15</v>
      </c>
      <c r="AH10" s="6" t="e">
        <f>P10*AJ10</f>
        <v>#DIV/0!</v>
      </c>
      <c r="AI10" s="6" t="e">
        <f>Q10*AJ10</f>
        <v>#DIV/0!</v>
      </c>
      <c r="AJ10" s="36" t="e">
        <f>AG10/$E10</f>
        <v>#DIV/0!</v>
      </c>
      <c r="AK10" s="31"/>
      <c r="AL10" s="9">
        <f>IFERROR(INDEX([1]Sheet1!$A$2:$X$1948,MATCH($AK$2:$AK$270,[1]Sheet1!$G$2:$G$1948,0),8),"")</f>
        <v>0</v>
      </c>
      <c r="AM10" s="6"/>
      <c r="AN10" s="6"/>
      <c r="AO10" s="6"/>
      <c r="AP10" s="36"/>
    </row>
    <row r="11" spans="1:42">
      <c r="A11" s="30">
        <v>10</v>
      </c>
      <c r="B11" s="145"/>
      <c r="C11" s="225" t="s">
        <v>1856</v>
      </c>
      <c r="D11" s="27"/>
      <c r="E11" s="27"/>
      <c r="F11" s="27"/>
      <c r="G11" s="27"/>
      <c r="H11" s="70" t="s">
        <v>1086</v>
      </c>
      <c r="I11" s="176" t="s">
        <v>871</v>
      </c>
      <c r="J11" s="137"/>
      <c r="K11" s="117"/>
      <c r="L11" s="6">
        <v>600</v>
      </c>
      <c r="M11" s="6">
        <v>30</v>
      </c>
      <c r="N11" s="6">
        <v>630</v>
      </c>
      <c r="O11" s="44">
        <f>E11</f>
        <v>0</v>
      </c>
      <c r="P11" s="44">
        <f>D11</f>
        <v>0</v>
      </c>
      <c r="Q11" s="44">
        <f>D11</f>
        <v>0</v>
      </c>
      <c r="R11" s="53" t="s">
        <v>68</v>
      </c>
      <c r="S11" s="44">
        <f>E11</f>
        <v>0</v>
      </c>
      <c r="T11" s="44">
        <f>D11</f>
        <v>0</v>
      </c>
      <c r="U11" s="44">
        <f>D11</f>
        <v>0</v>
      </c>
      <c r="V11" s="53"/>
      <c r="W11" s="31">
        <v>193090</v>
      </c>
      <c r="X11" s="9" t="str">
        <f>IFERROR(INDEX([1]Sheet1!$A$2:$X$1948,MATCH($W$2:$W$270,[1]Sheet1!$G$2:$G$1948,0),8),"")</f>
        <v>냉동감자(절단_3~4cm 1Kg/EA)</v>
      </c>
      <c r="Y11" s="11">
        <v>1000</v>
      </c>
      <c r="Z11" s="11"/>
      <c r="AA11" s="63">
        <v>22</v>
      </c>
      <c r="AB11" s="63" t="e">
        <f>T11*AD11</f>
        <v>#DIV/0!</v>
      </c>
      <c r="AC11" s="63" t="e">
        <f>U11*AD11</f>
        <v>#DIV/0!</v>
      </c>
      <c r="AD11" s="36" t="e">
        <f>AA11/E11</f>
        <v>#DIV/0!</v>
      </c>
      <c r="AE11" s="31">
        <v>204623</v>
      </c>
      <c r="AF11" s="9" t="str">
        <f>IFERROR(INDEX([1]Sheet1!$A$2:$X$1948,MATCH($AE$2:$AE$270,[1]Sheet1!$G$2:$G$1948,0),8),"")</f>
        <v>애호박(특품 인큐베이터 KG)</v>
      </c>
      <c r="AG11" s="6"/>
      <c r="AH11" s="6" t="e">
        <f>P11*AJ11</f>
        <v>#DIV/0!</v>
      </c>
      <c r="AI11" s="6" t="e">
        <f>Q11*AJ11</f>
        <v>#DIV/0!</v>
      </c>
      <c r="AJ11" s="36" t="e">
        <f>AG11/$E11</f>
        <v>#DIV/0!</v>
      </c>
      <c r="AK11" s="31">
        <v>420010</v>
      </c>
      <c r="AL11" s="9" t="str">
        <f>IFERROR(INDEX([1]Sheet1!$A$2:$X$1948,MATCH($AK$2:$AK$270,[1]Sheet1!$G$2:$G$1948,0),8),"")</f>
        <v>알로팜 계란(왕란_무항생제_68g*30입 2.04Kg/EA)</v>
      </c>
      <c r="AM11" s="6"/>
      <c r="AN11" s="6"/>
      <c r="AO11" s="6"/>
      <c r="AP11" s="36"/>
    </row>
    <row r="12" spans="1:42">
      <c r="A12" s="30">
        <v>11</v>
      </c>
      <c r="B12" s="145"/>
      <c r="C12" s="225" t="s">
        <v>993</v>
      </c>
      <c r="D12" s="27"/>
      <c r="E12" s="27"/>
      <c r="F12" s="27"/>
      <c r="G12" s="27"/>
      <c r="H12" s="105" t="s">
        <v>1986</v>
      </c>
      <c r="I12" s="177" t="s">
        <v>834</v>
      </c>
      <c r="J12" s="137" t="s">
        <v>1770</v>
      </c>
      <c r="K12" s="117"/>
      <c r="L12" s="6"/>
      <c r="M12" s="6"/>
      <c r="N12" s="6"/>
      <c r="O12" s="44"/>
      <c r="P12" s="44"/>
      <c r="Q12" s="44"/>
      <c r="R12" s="53"/>
      <c r="S12" s="44"/>
      <c r="T12" s="44"/>
      <c r="U12" s="44"/>
      <c r="V12" s="53"/>
      <c r="W12" s="31"/>
      <c r="X12" s="9"/>
      <c r="Y12" s="11"/>
      <c r="Z12" s="11"/>
      <c r="AA12" s="63"/>
      <c r="AB12" s="63"/>
      <c r="AC12" s="63"/>
      <c r="AD12" s="36"/>
      <c r="AE12" s="31"/>
      <c r="AF12" s="9"/>
      <c r="AG12" s="6"/>
      <c r="AH12" s="6"/>
      <c r="AI12" s="6"/>
      <c r="AJ12" s="36"/>
      <c r="AK12" s="31"/>
      <c r="AL12" s="9"/>
      <c r="AM12" s="6"/>
      <c r="AN12" s="6"/>
      <c r="AO12" s="6"/>
      <c r="AP12" s="36"/>
    </row>
    <row r="13" spans="1:42">
      <c r="A13" s="30">
        <v>12</v>
      </c>
      <c r="B13" s="145"/>
      <c r="C13" s="225" t="s">
        <v>333</v>
      </c>
      <c r="D13" s="27"/>
      <c r="E13" s="27"/>
      <c r="F13" s="27"/>
      <c r="G13" s="27"/>
      <c r="H13" s="70" t="s">
        <v>1093</v>
      </c>
      <c r="I13" s="176" t="s">
        <v>847</v>
      </c>
      <c r="J13" s="137" t="s">
        <v>1804</v>
      </c>
      <c r="K13" s="117"/>
      <c r="L13" s="6"/>
      <c r="M13" s="6"/>
      <c r="N13" s="6"/>
      <c r="O13" s="44"/>
      <c r="P13" s="44"/>
      <c r="Q13" s="44"/>
      <c r="R13" s="53"/>
      <c r="S13" s="44"/>
      <c r="T13" s="44"/>
      <c r="U13" s="44"/>
      <c r="V13" s="53"/>
      <c r="W13" s="31"/>
      <c r="X13" s="9"/>
      <c r="Y13" s="11"/>
      <c r="Z13" s="11"/>
      <c r="AA13" s="63"/>
      <c r="AB13" s="63"/>
      <c r="AC13" s="63"/>
      <c r="AD13" s="36"/>
      <c r="AE13" s="31"/>
      <c r="AF13" s="9"/>
      <c r="AG13" s="6"/>
      <c r="AH13" s="6"/>
      <c r="AI13" s="6"/>
      <c r="AJ13" s="36"/>
      <c r="AK13" s="31"/>
      <c r="AL13" s="9"/>
      <c r="AM13" s="6"/>
      <c r="AN13" s="6"/>
      <c r="AO13" s="6"/>
      <c r="AP13" s="36"/>
    </row>
    <row r="14" spans="1:42">
      <c r="A14" s="30">
        <v>13</v>
      </c>
      <c r="B14" s="145"/>
      <c r="C14" s="225" t="s">
        <v>321</v>
      </c>
      <c r="D14" s="27"/>
      <c r="E14" s="27"/>
      <c r="F14" s="27"/>
      <c r="G14" s="27"/>
      <c r="H14" s="70" t="s">
        <v>1090</v>
      </c>
      <c r="I14" s="176" t="s">
        <v>875</v>
      </c>
      <c r="J14" s="137" t="s">
        <v>1803</v>
      </c>
      <c r="K14" s="117"/>
      <c r="L14" s="6">
        <v>16590</v>
      </c>
      <c r="M14" s="6">
        <v>829.5</v>
      </c>
      <c r="N14" s="6">
        <v>17419.5</v>
      </c>
      <c r="O14" s="44">
        <f>E14</f>
        <v>0</v>
      </c>
      <c r="P14" s="44">
        <f>D14</f>
        <v>0</v>
      </c>
      <c r="Q14" s="44">
        <f>D14</f>
        <v>0</v>
      </c>
      <c r="R14" s="53" t="s">
        <v>68</v>
      </c>
      <c r="S14" s="44">
        <f>E14</f>
        <v>0</v>
      </c>
      <c r="T14" s="44">
        <f>D14</f>
        <v>0</v>
      </c>
      <c r="U14" s="44">
        <f>D14</f>
        <v>0</v>
      </c>
      <c r="V14" s="53"/>
      <c r="W14" s="31">
        <v>145349</v>
      </c>
      <c r="X14" s="9" t="str">
        <f>IFERROR(INDEX([1]Sheet1!$A$2:$X$1948,MATCH($W$2:$W$270,[1]Sheet1!$G$2:$G$1948,0),8),"")</f>
        <v>이츠웰 사골엑기스(1Kg/EA)</v>
      </c>
      <c r="Y14" s="11">
        <v>1000</v>
      </c>
      <c r="Z14" s="11"/>
      <c r="AA14" s="63"/>
      <c r="AB14" s="63" t="e">
        <f>T14*AD14</f>
        <v>#DIV/0!</v>
      </c>
      <c r="AC14" s="63" t="e">
        <f>U14*AD14</f>
        <v>#DIV/0!</v>
      </c>
      <c r="AD14" s="36" t="e">
        <f>AA14/E14</f>
        <v>#DIV/0!</v>
      </c>
      <c r="AE14" s="31">
        <v>424285</v>
      </c>
      <c r="AF14" s="9" t="str">
        <f>IFERROR(INDEX([1]Sheet1!$A$2:$X$1948,MATCH($AE$2:$AE$270,[1]Sheet1!$G$2:$G$1948,0),8),"")</f>
        <v>소양지(3*2*0.3cm_저지방 키즈용_국거리용 KG)</v>
      </c>
      <c r="AG14" s="6"/>
      <c r="AH14" s="6" t="e">
        <f>P14*AJ14</f>
        <v>#DIV/0!</v>
      </c>
      <c r="AI14" s="6" t="e">
        <f>Q14*AJ14</f>
        <v>#DIV/0!</v>
      </c>
      <c r="AJ14" s="36" t="e">
        <f>AG14/$E14</f>
        <v>#DIV/0!</v>
      </c>
      <c r="AK14" s="31">
        <v>204418</v>
      </c>
      <c r="AL14" s="9" t="str">
        <f>IFERROR(INDEX([1]Sheet1!$A$2:$X$1948,MATCH($AK$2:$AK$270,[1]Sheet1!$G$2:$G$1948,0),8),"")</f>
        <v>무우(특품 9~12개입 18Kg/BOX)</v>
      </c>
      <c r="AM14" s="6"/>
      <c r="AN14" s="6"/>
      <c r="AO14" s="6"/>
      <c r="AP14" s="36"/>
    </row>
    <row r="15" spans="1:42">
      <c r="A15" s="30">
        <v>14</v>
      </c>
      <c r="B15" s="145"/>
      <c r="C15" s="225" t="s">
        <v>1558</v>
      </c>
      <c r="D15" s="27"/>
      <c r="E15" s="27"/>
      <c r="F15" s="27"/>
      <c r="G15" s="27"/>
      <c r="H15" s="70" t="s">
        <v>1559</v>
      </c>
      <c r="I15" s="176" t="s">
        <v>875</v>
      </c>
      <c r="J15" s="137"/>
      <c r="K15" s="117"/>
      <c r="L15" s="6"/>
      <c r="M15" s="6"/>
      <c r="N15" s="6"/>
      <c r="O15" s="44"/>
      <c r="P15" s="44"/>
      <c r="Q15" s="44"/>
      <c r="R15" s="53"/>
      <c r="S15" s="44"/>
      <c r="T15" s="44"/>
      <c r="U15" s="44"/>
      <c r="V15" s="53"/>
      <c r="W15" s="31"/>
      <c r="X15" s="9"/>
      <c r="Y15" s="11"/>
      <c r="Z15" s="11"/>
      <c r="AA15" s="63"/>
      <c r="AB15" s="63"/>
      <c r="AC15" s="63"/>
      <c r="AD15" s="36"/>
      <c r="AE15" s="31"/>
      <c r="AF15" s="9"/>
      <c r="AG15" s="6"/>
      <c r="AH15" s="6"/>
      <c r="AI15" s="6"/>
      <c r="AJ15" s="36"/>
      <c r="AK15" s="31"/>
      <c r="AL15" s="9"/>
      <c r="AM15" s="6"/>
      <c r="AN15" s="6"/>
      <c r="AO15" s="6"/>
      <c r="AP15" s="36"/>
    </row>
    <row r="16" spans="1:42">
      <c r="A16" s="30">
        <v>15</v>
      </c>
      <c r="B16" s="145"/>
      <c r="C16" s="225" t="s">
        <v>552</v>
      </c>
      <c r="D16" s="27"/>
      <c r="E16" s="27"/>
      <c r="F16" s="27"/>
      <c r="G16" s="27"/>
      <c r="H16" s="70" t="s">
        <v>1348</v>
      </c>
      <c r="I16" s="176" t="s">
        <v>864</v>
      </c>
      <c r="J16" s="136"/>
      <c r="K16" s="117"/>
      <c r="L16" s="6"/>
      <c r="M16" s="6"/>
      <c r="N16" s="6"/>
      <c r="O16" s="44"/>
      <c r="P16" s="44"/>
      <c r="Q16" s="44"/>
      <c r="R16" s="53"/>
      <c r="S16" s="44"/>
      <c r="T16" s="44"/>
      <c r="U16" s="44"/>
      <c r="V16" s="53"/>
      <c r="W16" s="31"/>
      <c r="X16" s="9"/>
      <c r="Y16" s="11"/>
      <c r="Z16" s="11"/>
      <c r="AA16" s="63"/>
      <c r="AB16" s="63"/>
      <c r="AC16" s="63"/>
      <c r="AD16" s="36"/>
      <c r="AE16" s="31"/>
      <c r="AF16" s="9"/>
      <c r="AG16" s="6"/>
      <c r="AH16" s="6"/>
      <c r="AI16" s="6"/>
      <c r="AJ16" s="36"/>
      <c r="AK16" s="31"/>
      <c r="AL16" s="9"/>
      <c r="AM16" s="6"/>
      <c r="AN16" s="6"/>
      <c r="AO16" s="6"/>
      <c r="AP16" s="36"/>
    </row>
    <row r="17" spans="1:42">
      <c r="A17" s="30">
        <v>16</v>
      </c>
      <c r="B17" s="145"/>
      <c r="C17" s="225" t="s">
        <v>585</v>
      </c>
      <c r="D17" s="27"/>
      <c r="E17" s="27"/>
      <c r="F17" s="27"/>
      <c r="G17" s="27"/>
      <c r="H17" s="70" t="s">
        <v>1094</v>
      </c>
      <c r="I17" s="176" t="s">
        <v>875</v>
      </c>
      <c r="J17" s="137" t="s">
        <v>1850</v>
      </c>
      <c r="K17" s="29"/>
      <c r="L17" s="11"/>
      <c r="M17" s="11"/>
      <c r="N17" s="11"/>
      <c r="O17" s="44"/>
      <c r="P17" s="44"/>
      <c r="Q17" s="44"/>
      <c r="R17" s="53"/>
      <c r="S17" s="47"/>
      <c r="T17" s="47"/>
      <c r="U17" s="47"/>
      <c r="V17" s="53"/>
      <c r="W17" s="31"/>
      <c r="X17" s="9"/>
      <c r="Y17" s="11"/>
      <c r="Z17" s="11"/>
      <c r="AA17" s="67"/>
      <c r="AB17" s="67"/>
      <c r="AC17" s="67"/>
      <c r="AD17" s="36"/>
      <c r="AE17" s="31"/>
      <c r="AF17" s="9"/>
      <c r="AG17" s="6"/>
      <c r="AH17" s="6"/>
      <c r="AI17" s="6"/>
      <c r="AJ17" s="36"/>
      <c r="AK17" s="31"/>
      <c r="AL17" s="9"/>
      <c r="AM17" s="6"/>
      <c r="AN17" s="6"/>
      <c r="AO17" s="6"/>
      <c r="AP17" s="36"/>
    </row>
    <row r="18" spans="1:42">
      <c r="A18" s="30">
        <v>17</v>
      </c>
      <c r="B18" s="145"/>
      <c r="C18" s="225" t="s">
        <v>931</v>
      </c>
      <c r="D18" s="27"/>
      <c r="E18" s="27"/>
      <c r="F18" s="27"/>
      <c r="G18" s="27"/>
      <c r="H18" s="132" t="s">
        <v>1102</v>
      </c>
      <c r="I18" s="180" t="s">
        <v>821</v>
      </c>
      <c r="J18" s="137" t="s">
        <v>1850</v>
      </c>
      <c r="K18" s="29"/>
      <c r="L18" s="11"/>
      <c r="M18" s="11"/>
      <c r="N18" s="11"/>
      <c r="O18" s="44"/>
      <c r="P18" s="44"/>
      <c r="Q18" s="44"/>
      <c r="R18" s="53"/>
      <c r="S18" s="44"/>
      <c r="T18" s="46"/>
      <c r="U18" s="46"/>
      <c r="V18" s="53"/>
      <c r="W18" s="31"/>
      <c r="X18" s="9"/>
      <c r="Y18" s="11"/>
      <c r="Z18" s="11"/>
      <c r="AA18" s="63"/>
      <c r="AB18" s="63"/>
      <c r="AC18" s="63"/>
      <c r="AD18" s="36"/>
      <c r="AE18" s="31"/>
      <c r="AF18" s="9"/>
      <c r="AG18" s="6"/>
      <c r="AH18" s="6"/>
      <c r="AI18" s="6"/>
      <c r="AJ18" s="36"/>
      <c r="AK18" s="31"/>
      <c r="AL18" s="9"/>
      <c r="AM18" s="6"/>
      <c r="AN18" s="6"/>
      <c r="AO18" s="6"/>
      <c r="AP18" s="36"/>
    </row>
    <row r="19" spans="1:42">
      <c r="A19" s="30">
        <v>18</v>
      </c>
      <c r="B19" s="145"/>
      <c r="C19" s="225" t="s">
        <v>583</v>
      </c>
      <c r="D19" s="27"/>
      <c r="E19" s="27"/>
      <c r="F19" s="27"/>
      <c r="G19" s="27"/>
      <c r="H19" s="70" t="s">
        <v>1083</v>
      </c>
      <c r="I19" s="176" t="s">
        <v>864</v>
      </c>
      <c r="J19" s="137" t="s">
        <v>1805</v>
      </c>
      <c r="K19" s="117"/>
      <c r="L19" s="6">
        <v>2565</v>
      </c>
      <c r="M19" s="6">
        <v>128.25</v>
      </c>
      <c r="N19" s="6">
        <v>2693.25</v>
      </c>
      <c r="O19" s="44">
        <f>E19</f>
        <v>0</v>
      </c>
      <c r="P19" s="44">
        <f>D19</f>
        <v>0</v>
      </c>
      <c r="Q19" s="44">
        <f>D19</f>
        <v>0</v>
      </c>
      <c r="R19" s="53" t="s">
        <v>68</v>
      </c>
      <c r="S19" s="44">
        <f>E19</f>
        <v>0</v>
      </c>
      <c r="T19" s="44">
        <f>D19</f>
        <v>0</v>
      </c>
      <c r="U19" s="44">
        <f>D19</f>
        <v>0</v>
      </c>
      <c r="V19" s="53"/>
      <c r="W19" s="31">
        <v>206631</v>
      </c>
      <c r="X19" s="9" t="str">
        <f>IFERROR(INDEX([1]Sheet1!$A$2:$X$1948,MATCH($W$2:$W$270,[1]Sheet1!$G$2:$G$1948,0),8),"")</f>
        <v>냉동아욱(상품 1Kg/PAC)</v>
      </c>
      <c r="Y19" s="11">
        <v>1000</v>
      </c>
      <c r="Z19" s="11"/>
      <c r="AA19" s="63">
        <v>32</v>
      </c>
      <c r="AB19" s="63" t="e">
        <f>T19*AD19</f>
        <v>#DIV/0!</v>
      </c>
      <c r="AC19" s="63" t="e">
        <f>U19*AD19</f>
        <v>#DIV/0!</v>
      </c>
      <c r="AD19" s="36" t="e">
        <f>AA19/E19</f>
        <v>#DIV/0!</v>
      </c>
      <c r="AE19" s="31">
        <v>313633</v>
      </c>
      <c r="AF19" s="9" t="str">
        <f>IFERROR(INDEX([1]Sheet1!$A$2:$X$1948,MATCH($AE$2:$AE$270,[1]Sheet1!$G$2:$G$1948,0),8),"")</f>
        <v>현대푸드 두절건새우(중 1Kg/EA)</v>
      </c>
      <c r="AG19" s="6"/>
      <c r="AH19" s="6" t="e">
        <f>P19*AJ19</f>
        <v>#DIV/0!</v>
      </c>
      <c r="AI19" s="6" t="e">
        <f>Q19*AJ19</f>
        <v>#DIV/0!</v>
      </c>
      <c r="AJ19" s="36" t="e">
        <f>AG19/$E19</f>
        <v>#DIV/0!</v>
      </c>
      <c r="AK19" s="31"/>
      <c r="AL19" s="9">
        <f>IFERROR(INDEX([1]Sheet1!$A$2:$X$1948,MATCH($AK$2:$AK$270,[1]Sheet1!$G$2:$G$1948,0),8),"")</f>
        <v>0</v>
      </c>
      <c r="AM19" s="6"/>
      <c r="AN19" s="6"/>
      <c r="AO19" s="6"/>
      <c r="AP19" s="36"/>
    </row>
    <row r="20" spans="1:42">
      <c r="A20" s="30">
        <v>19</v>
      </c>
      <c r="B20" s="145"/>
      <c r="C20" s="225" t="s">
        <v>1204</v>
      </c>
      <c r="D20" s="27"/>
      <c r="E20" s="27"/>
      <c r="F20" s="27"/>
      <c r="G20" s="27"/>
      <c r="H20" s="70" t="s">
        <v>1088</v>
      </c>
      <c r="I20" s="176" t="s">
        <v>821</v>
      </c>
      <c r="J20" s="137" t="s">
        <v>1089</v>
      </c>
      <c r="K20" s="117"/>
      <c r="L20" s="6"/>
      <c r="M20" s="6"/>
      <c r="N20" s="6"/>
      <c r="O20" s="44"/>
      <c r="P20" s="44"/>
      <c r="Q20" s="44"/>
      <c r="R20" s="53"/>
      <c r="S20" s="44"/>
      <c r="T20" s="44"/>
      <c r="U20" s="44"/>
      <c r="V20" s="53"/>
      <c r="W20" s="31"/>
      <c r="X20" s="9"/>
      <c r="Y20" s="11"/>
      <c r="Z20" s="11"/>
      <c r="AA20" s="63"/>
      <c r="AB20" s="63"/>
      <c r="AC20" s="63"/>
      <c r="AD20" s="36"/>
      <c r="AE20" s="31"/>
      <c r="AF20" s="9"/>
      <c r="AG20" s="6"/>
      <c r="AH20" s="6"/>
      <c r="AI20" s="6"/>
      <c r="AJ20" s="36"/>
      <c r="AK20" s="31"/>
      <c r="AL20" s="9"/>
      <c r="AM20" s="6"/>
      <c r="AN20" s="6"/>
      <c r="AO20" s="6"/>
      <c r="AP20" s="36"/>
    </row>
    <row r="21" spans="1:42">
      <c r="A21" s="30">
        <v>20</v>
      </c>
      <c r="B21" s="145"/>
      <c r="C21" s="225" t="s">
        <v>691</v>
      </c>
      <c r="D21" s="27"/>
      <c r="E21" s="27"/>
      <c r="F21" s="27"/>
      <c r="G21" s="27"/>
      <c r="H21" s="70" t="s">
        <v>1084</v>
      </c>
      <c r="I21" s="176" t="s">
        <v>821</v>
      </c>
      <c r="J21" s="137" t="s">
        <v>1876</v>
      </c>
      <c r="K21" s="117"/>
      <c r="L21" s="6"/>
      <c r="M21" s="6"/>
      <c r="N21" s="6"/>
      <c r="O21" s="44"/>
      <c r="P21" s="44"/>
      <c r="Q21" s="44"/>
      <c r="R21" s="53"/>
      <c r="S21" s="44"/>
      <c r="T21" s="44"/>
      <c r="U21" s="44"/>
      <c r="V21" s="53"/>
      <c r="W21" s="31"/>
      <c r="X21" s="9"/>
      <c r="Y21" s="11"/>
      <c r="Z21" s="11"/>
      <c r="AA21" s="63"/>
      <c r="AB21" s="63"/>
      <c r="AC21" s="63"/>
      <c r="AD21" s="36"/>
      <c r="AE21" s="31"/>
      <c r="AF21" s="9"/>
      <c r="AG21" s="6"/>
      <c r="AH21" s="6"/>
      <c r="AI21" s="6"/>
      <c r="AJ21" s="36"/>
      <c r="AK21" s="31"/>
      <c r="AL21" s="9"/>
      <c r="AM21" s="6"/>
      <c r="AN21" s="6"/>
      <c r="AO21" s="6"/>
      <c r="AP21" s="36"/>
    </row>
    <row r="22" spans="1:42">
      <c r="A22" s="30">
        <v>21</v>
      </c>
      <c r="B22" s="145"/>
      <c r="C22" s="225" t="s">
        <v>1939</v>
      </c>
      <c r="D22" s="27"/>
      <c r="E22" s="27"/>
      <c r="F22" s="27"/>
      <c r="G22" s="27"/>
      <c r="H22" s="70" t="s">
        <v>1940</v>
      </c>
      <c r="I22" s="176" t="s">
        <v>821</v>
      </c>
      <c r="J22" s="137" t="s">
        <v>1820</v>
      </c>
      <c r="K22" s="29"/>
      <c r="L22" s="11">
        <v>1200</v>
      </c>
      <c r="M22" s="11">
        <v>60</v>
      </c>
      <c r="N22" s="11">
        <v>1260</v>
      </c>
      <c r="O22" s="44">
        <f>E22</f>
        <v>0</v>
      </c>
      <c r="P22" s="44">
        <f>D22</f>
        <v>0</v>
      </c>
      <c r="Q22" s="44">
        <f>D22</f>
        <v>0</v>
      </c>
      <c r="R22" s="53" t="s">
        <v>68</v>
      </c>
      <c r="S22" s="44">
        <f>E22</f>
        <v>0</v>
      </c>
      <c r="T22" s="44">
        <f>D22</f>
        <v>0</v>
      </c>
      <c r="U22" s="44">
        <f>D22</f>
        <v>0</v>
      </c>
      <c r="V22" s="53"/>
      <c r="W22" s="31">
        <v>192872</v>
      </c>
      <c r="X22" s="9" t="str">
        <f>IFERROR(INDEX([1]Sheet1!$A$2:$X$1948,MATCH($W$2:$W$270,[1]Sheet1!$G$2:$G$1948,0),8),"")</f>
        <v>소이원 콩나물(곱슬이_단채 4Kg/BOX)</v>
      </c>
      <c r="Y22" s="11"/>
      <c r="Z22" s="11"/>
      <c r="AA22" s="63"/>
      <c r="AB22" s="63" t="e">
        <f>T22*AD22</f>
        <v>#DIV/0!</v>
      </c>
      <c r="AC22" s="63" t="e">
        <f>U22*AD22</f>
        <v>#DIV/0!</v>
      </c>
      <c r="AD22" s="36" t="e">
        <f>AA22/E22</f>
        <v>#DIV/0!</v>
      </c>
      <c r="AE22" s="31">
        <v>168257</v>
      </c>
      <c r="AF22" s="9" t="str">
        <f>IFERROR(INDEX([1]Sheet1!$A$2:$X$1948,MATCH($AE$2:$AE$270,[1]Sheet1!$G$2:$G$1948,0),8),"")</f>
        <v>명품 판두부(찌개용 3Kg/EA)</v>
      </c>
      <c r="AG22" s="6"/>
      <c r="AH22" s="6" t="e">
        <f>P22*AJ22</f>
        <v>#DIV/0!</v>
      </c>
      <c r="AI22" s="6" t="e">
        <f>Q22*AJ22</f>
        <v>#DIV/0!</v>
      </c>
      <c r="AJ22" s="36" t="e">
        <f>AG22/$E22</f>
        <v>#DIV/0!</v>
      </c>
      <c r="AK22" s="31"/>
      <c r="AL22" s="9">
        <f>IFERROR(INDEX([1]Sheet1!$A$2:$X$1948,MATCH($AK$2:$AK$270,[1]Sheet1!$G$2:$G$1948,0),8),"")</f>
        <v>0</v>
      </c>
      <c r="AM22" s="6"/>
      <c r="AN22" s="6"/>
      <c r="AO22" s="6"/>
      <c r="AP22" s="36"/>
    </row>
    <row r="23" spans="1:42">
      <c r="A23" s="30">
        <v>23</v>
      </c>
      <c r="B23" s="145"/>
      <c r="C23" s="225" t="s">
        <v>1444</v>
      </c>
      <c r="D23" s="27"/>
      <c r="E23" s="27"/>
      <c r="F23" s="27"/>
      <c r="G23" s="27"/>
      <c r="H23" s="70" t="s">
        <v>2220</v>
      </c>
      <c r="I23" s="176" t="s">
        <v>1445</v>
      </c>
      <c r="J23" s="137"/>
      <c r="K23" s="29"/>
      <c r="L23" s="11"/>
      <c r="M23" s="11"/>
      <c r="N23" s="11"/>
      <c r="O23" s="44"/>
      <c r="P23" s="44"/>
      <c r="Q23" s="44"/>
      <c r="R23" s="53"/>
      <c r="S23" s="44"/>
      <c r="T23" s="44"/>
      <c r="U23" s="44"/>
      <c r="V23" s="53"/>
      <c r="W23" s="31"/>
      <c r="X23" s="9"/>
      <c r="Y23" s="11"/>
      <c r="Z23" s="11"/>
      <c r="AA23" s="63"/>
      <c r="AB23" s="63"/>
      <c r="AC23" s="63"/>
      <c r="AD23" s="36"/>
      <c r="AE23" s="31"/>
      <c r="AF23" s="9"/>
      <c r="AG23" s="6"/>
      <c r="AH23" s="6"/>
      <c r="AI23" s="6"/>
      <c r="AJ23" s="36"/>
      <c r="AK23" s="31"/>
      <c r="AL23" s="9"/>
      <c r="AM23" s="6"/>
      <c r="AN23" s="6"/>
      <c r="AO23" s="6"/>
      <c r="AP23" s="36"/>
    </row>
    <row r="24" spans="1:42">
      <c r="A24" s="30">
        <v>24</v>
      </c>
      <c r="B24" s="145"/>
      <c r="C24" s="225" t="s">
        <v>1392</v>
      </c>
      <c r="D24" s="27"/>
      <c r="E24" s="27"/>
      <c r="F24" s="27"/>
      <c r="G24" s="27"/>
      <c r="H24" s="70" t="s">
        <v>1829</v>
      </c>
      <c r="I24" s="176" t="s">
        <v>876</v>
      </c>
      <c r="J24" s="137" t="s">
        <v>1895</v>
      </c>
      <c r="K24" s="117"/>
      <c r="L24" s="6"/>
      <c r="M24" s="6"/>
      <c r="N24" s="6"/>
      <c r="O24" s="44"/>
      <c r="P24" s="44"/>
      <c r="Q24" s="44"/>
      <c r="R24" s="53"/>
      <c r="S24" s="44"/>
      <c r="T24" s="44"/>
      <c r="U24" s="44"/>
      <c r="V24" s="53"/>
      <c r="W24" s="31"/>
      <c r="X24" s="9"/>
      <c r="Y24" s="11"/>
      <c r="Z24" s="11"/>
      <c r="AA24" s="63"/>
      <c r="AB24" s="63"/>
      <c r="AC24" s="63"/>
      <c r="AD24" s="36"/>
      <c r="AE24" s="31"/>
      <c r="AF24" s="9"/>
      <c r="AG24" s="6"/>
      <c r="AH24" s="6"/>
      <c r="AI24" s="6"/>
      <c r="AJ24" s="36"/>
      <c r="AK24" s="31"/>
      <c r="AL24" s="9"/>
      <c r="AM24" s="6"/>
      <c r="AN24" s="6"/>
      <c r="AO24" s="6"/>
      <c r="AP24" s="36"/>
    </row>
    <row r="25" spans="1:42">
      <c r="A25" s="30">
        <v>25</v>
      </c>
      <c r="B25" s="145"/>
      <c r="C25" s="225" t="s">
        <v>257</v>
      </c>
      <c r="D25" s="27"/>
      <c r="E25" s="27"/>
      <c r="F25" s="27"/>
      <c r="G25" s="27"/>
      <c r="H25" s="144" t="s">
        <v>734</v>
      </c>
      <c r="I25" s="178" t="s">
        <v>875</v>
      </c>
      <c r="J25" s="137" t="s">
        <v>2146</v>
      </c>
      <c r="K25" s="29"/>
      <c r="L25" s="11"/>
      <c r="M25" s="11"/>
      <c r="N25" s="11"/>
      <c r="O25" s="44">
        <f>E25</f>
        <v>0</v>
      </c>
      <c r="P25" s="44">
        <f>D25</f>
        <v>0</v>
      </c>
      <c r="Q25" s="44">
        <f>D25</f>
        <v>0</v>
      </c>
      <c r="R25" s="53" t="s">
        <v>68</v>
      </c>
      <c r="S25" s="44">
        <f>E25</f>
        <v>0</v>
      </c>
      <c r="T25" s="44">
        <f>D25</f>
        <v>0</v>
      </c>
      <c r="U25" s="44">
        <f>D25</f>
        <v>0</v>
      </c>
      <c r="V25" s="53"/>
      <c r="W25" s="31">
        <v>223307</v>
      </c>
      <c r="X25" s="9" t="str">
        <f>IFERROR(INDEX([1]Sheet1!$A$2:$X$1948,MATCH($W$2:$W$270,[1]Sheet1!$G$2:$G$1948,0),8),"")</f>
        <v>냉동얼갈이(IQF 1Kg/EA)</v>
      </c>
      <c r="Y25" s="11">
        <v>1000</v>
      </c>
      <c r="Z25" s="11"/>
      <c r="AA25" s="63">
        <v>42</v>
      </c>
      <c r="AB25" s="63" t="e">
        <f>T25*AD25</f>
        <v>#DIV/0!</v>
      </c>
      <c r="AC25" s="63" t="e">
        <f>U25*AD25</f>
        <v>#DIV/0!</v>
      </c>
      <c r="AD25" s="36" t="e">
        <f>AA25/E25</f>
        <v>#DIV/0!</v>
      </c>
      <c r="AE25" s="31">
        <v>145349</v>
      </c>
      <c r="AF25" s="9" t="str">
        <f>IFERROR(INDEX([1]Sheet1!$A$2:$X$1948,MATCH($AE$2:$AE$270,[1]Sheet1!$G$2:$G$1948,0),8),"")</f>
        <v>이츠웰 사골엑기스(1Kg/EA)</v>
      </c>
      <c r="AG25" s="6"/>
      <c r="AH25" s="6" t="e">
        <f>P25*AJ25</f>
        <v>#DIV/0!</v>
      </c>
      <c r="AI25" s="6" t="e">
        <f>Q25*AJ25</f>
        <v>#DIV/0!</v>
      </c>
      <c r="AJ25" s="36" t="e">
        <f>AG25/$E25</f>
        <v>#DIV/0!</v>
      </c>
      <c r="AK25" s="31"/>
      <c r="AL25" s="9">
        <f>IFERROR(INDEX([1]Sheet1!$A$2:$X$1948,MATCH($AK$2:$AK$270,[1]Sheet1!$G$2:$G$1948,0),8),"")</f>
        <v>0</v>
      </c>
      <c r="AM25" s="6"/>
      <c r="AN25" s="6"/>
      <c r="AO25" s="6"/>
      <c r="AP25" s="36"/>
    </row>
    <row r="26" spans="1:42">
      <c r="A26" s="30">
        <v>26</v>
      </c>
      <c r="B26" s="145"/>
      <c r="C26" s="227" t="s">
        <v>1152</v>
      </c>
      <c r="D26" s="27"/>
      <c r="E26" s="27"/>
      <c r="F26" s="27"/>
      <c r="G26" s="27"/>
      <c r="H26" s="70" t="s">
        <v>1085</v>
      </c>
      <c r="I26" s="176" t="s">
        <v>821</v>
      </c>
      <c r="J26" s="137" t="s">
        <v>1977</v>
      </c>
      <c r="K26" s="29"/>
      <c r="L26" s="11"/>
      <c r="M26" s="11"/>
      <c r="N26" s="11"/>
      <c r="O26" s="44"/>
      <c r="P26" s="44"/>
      <c r="Q26" s="44"/>
      <c r="R26" s="53"/>
      <c r="S26" s="44"/>
      <c r="T26" s="44"/>
      <c r="U26" s="44"/>
      <c r="V26" s="53"/>
      <c r="W26" s="31"/>
      <c r="X26" s="9"/>
      <c r="Y26" s="11"/>
      <c r="Z26" s="11"/>
      <c r="AA26" s="63"/>
      <c r="AB26" s="63"/>
      <c r="AC26" s="63"/>
      <c r="AD26" s="36"/>
      <c r="AE26" s="31"/>
      <c r="AF26" s="9"/>
      <c r="AG26" s="6"/>
      <c r="AH26" s="6"/>
      <c r="AI26" s="6"/>
      <c r="AJ26" s="36"/>
      <c r="AK26" s="31"/>
      <c r="AL26" s="9"/>
      <c r="AM26" s="6"/>
      <c r="AN26" s="6"/>
      <c r="AO26" s="6"/>
      <c r="AP26" s="36"/>
    </row>
    <row r="27" spans="1:42" ht="27">
      <c r="A27" s="30">
        <v>27</v>
      </c>
      <c r="B27" s="145"/>
      <c r="C27" s="133" t="s">
        <v>815</v>
      </c>
      <c r="D27" s="27"/>
      <c r="E27" s="27"/>
      <c r="F27" s="27"/>
      <c r="G27" s="27"/>
      <c r="H27" s="70" t="s">
        <v>1574</v>
      </c>
      <c r="I27" s="176" t="s">
        <v>878</v>
      </c>
      <c r="J27" s="137" t="s">
        <v>1805</v>
      </c>
      <c r="K27" s="117"/>
      <c r="L27" s="6"/>
      <c r="M27" s="6"/>
      <c r="N27" s="6"/>
      <c r="O27" s="44"/>
      <c r="P27" s="44"/>
      <c r="Q27" s="44"/>
      <c r="R27" s="53"/>
      <c r="S27" s="44"/>
      <c r="T27" s="44"/>
      <c r="U27" s="44"/>
      <c r="V27" s="53"/>
      <c r="W27" s="31"/>
      <c r="X27" s="9"/>
      <c r="Y27" s="11"/>
      <c r="Z27" s="11"/>
      <c r="AA27" s="63"/>
      <c r="AB27" s="63"/>
      <c r="AC27" s="63"/>
      <c r="AD27" s="36"/>
      <c r="AE27" s="31"/>
      <c r="AF27" s="9"/>
      <c r="AG27" s="6"/>
      <c r="AH27" s="6"/>
      <c r="AI27" s="6"/>
      <c r="AJ27" s="36"/>
      <c r="AK27" s="31"/>
      <c r="AL27" s="9"/>
      <c r="AM27" s="6"/>
      <c r="AN27" s="6"/>
      <c r="AO27" s="6"/>
      <c r="AP27" s="36"/>
    </row>
    <row r="28" spans="1:42">
      <c r="A28" s="30">
        <v>28</v>
      </c>
      <c r="B28" s="145"/>
      <c r="C28" s="133" t="s">
        <v>713</v>
      </c>
      <c r="D28" s="27"/>
      <c r="E28" s="27"/>
      <c r="F28" s="27"/>
      <c r="G28" s="27"/>
      <c r="H28" s="70" t="s">
        <v>2186</v>
      </c>
      <c r="I28" s="176" t="s">
        <v>832</v>
      </c>
      <c r="J28" s="137" t="s">
        <v>1820</v>
      </c>
      <c r="K28" s="29"/>
      <c r="L28" s="11"/>
      <c r="M28" s="11"/>
      <c r="N28" s="11"/>
      <c r="O28" s="44">
        <f>E28</f>
        <v>0</v>
      </c>
      <c r="P28" s="44">
        <f>D28</f>
        <v>0</v>
      </c>
      <c r="Q28" s="44">
        <f>D28</f>
        <v>0</v>
      </c>
      <c r="R28" s="53" t="s">
        <v>68</v>
      </c>
      <c r="S28" s="44">
        <f>E28</f>
        <v>0</v>
      </c>
      <c r="T28" s="44">
        <f>D28</f>
        <v>0</v>
      </c>
      <c r="U28" s="44">
        <f>D28</f>
        <v>0</v>
      </c>
      <c r="V28" s="53"/>
      <c r="W28" s="31">
        <v>192918</v>
      </c>
      <c r="X28" s="9" t="str">
        <f>IFERROR(INDEX([1]Sheet1!$A$2:$X$1948,MATCH($W$2:$W$270,[1]Sheet1!$G$2:$G$1948,0),8),"")</f>
        <v>양배추(겉잎제거 KG)</v>
      </c>
      <c r="Y28" s="11">
        <v>1000</v>
      </c>
      <c r="Z28" s="11"/>
      <c r="AA28" s="63">
        <v>35</v>
      </c>
      <c r="AB28" s="63" t="e">
        <f>T28*AD28</f>
        <v>#DIV/0!</v>
      </c>
      <c r="AC28" s="63" t="e">
        <f>U28*AD28</f>
        <v>#DIV/0!</v>
      </c>
      <c r="AD28" s="36" t="e">
        <f>AA28/E28</f>
        <v>#DIV/0!</v>
      </c>
      <c r="AE28" s="31">
        <v>424285</v>
      </c>
      <c r="AF28" s="9" t="str">
        <f>IFERROR(INDEX([1]Sheet1!$A$2:$X$1948,MATCH($AE$2:$AE$270,[1]Sheet1!$G$2:$G$1948,0),8),"")</f>
        <v>소양지(3*2*0.3cm_저지방 키즈용_국거리용 KG)</v>
      </c>
      <c r="AG28" s="6">
        <v>16</v>
      </c>
      <c r="AH28" s="6" t="e">
        <f>P28*AJ28</f>
        <v>#DIV/0!</v>
      </c>
      <c r="AI28" s="6" t="e">
        <f>Q28*AJ28</f>
        <v>#DIV/0!</v>
      </c>
      <c r="AJ28" s="36" t="e">
        <f>AG28/$E28</f>
        <v>#DIV/0!</v>
      </c>
      <c r="AK28" s="31"/>
      <c r="AL28" s="9">
        <f>IFERROR(INDEX([1]Sheet1!$A$2:$X$1948,MATCH($AK$2:$AK$270,[1]Sheet1!$G$2:$G$1948,0),8),"")</f>
        <v>0</v>
      </c>
      <c r="AM28" s="6"/>
      <c r="AN28" s="6"/>
      <c r="AO28" s="6"/>
      <c r="AP28" s="36"/>
    </row>
    <row r="29" spans="1:42">
      <c r="A29" s="30">
        <v>29</v>
      </c>
      <c r="B29" s="145"/>
      <c r="C29" s="133" t="s">
        <v>1030</v>
      </c>
      <c r="D29" s="27"/>
      <c r="E29" s="27"/>
      <c r="F29" s="27"/>
      <c r="G29" s="27"/>
      <c r="H29" s="70" t="s">
        <v>1091</v>
      </c>
      <c r="I29" s="176" t="s">
        <v>875</v>
      </c>
      <c r="J29" s="137" t="s">
        <v>1820</v>
      </c>
      <c r="K29" s="117"/>
      <c r="L29" s="6"/>
      <c r="M29" s="6"/>
      <c r="N29" s="6"/>
      <c r="O29" s="44"/>
      <c r="P29" s="44"/>
      <c r="Q29" s="44"/>
      <c r="R29" s="53"/>
      <c r="S29" s="44"/>
      <c r="T29" s="44"/>
      <c r="U29" s="44"/>
      <c r="V29" s="53"/>
      <c r="W29" s="31"/>
      <c r="X29" s="9"/>
      <c r="Y29" s="11"/>
      <c r="Z29" s="11"/>
      <c r="AA29" s="63"/>
      <c r="AB29" s="63"/>
      <c r="AC29" s="63"/>
      <c r="AD29" s="36"/>
      <c r="AE29" s="31"/>
      <c r="AF29" s="9"/>
      <c r="AG29" s="6"/>
      <c r="AH29" s="6"/>
      <c r="AI29" s="6"/>
      <c r="AJ29" s="36"/>
      <c r="AK29" s="31"/>
      <c r="AL29" s="9"/>
      <c r="AM29" s="6"/>
      <c r="AN29" s="6"/>
      <c r="AO29" s="6"/>
      <c r="AP29" s="36"/>
    </row>
    <row r="30" spans="1:42">
      <c r="A30" s="30">
        <v>30</v>
      </c>
      <c r="B30" s="145"/>
      <c r="C30" s="133" t="s">
        <v>256</v>
      </c>
      <c r="D30" s="27"/>
      <c r="E30" s="27"/>
      <c r="F30" s="27"/>
      <c r="G30" s="27"/>
      <c r="H30" s="70" t="s">
        <v>609</v>
      </c>
      <c r="I30" s="176" t="s">
        <v>828</v>
      </c>
      <c r="J30" s="137" t="s">
        <v>1820</v>
      </c>
      <c r="K30" s="117"/>
      <c r="L30" s="6">
        <v>2535</v>
      </c>
      <c r="M30" s="6">
        <v>126.75</v>
      </c>
      <c r="N30" s="6">
        <v>2661.75</v>
      </c>
      <c r="O30" s="44">
        <f>E30</f>
        <v>0</v>
      </c>
      <c r="P30" s="44">
        <f>D30</f>
        <v>0</v>
      </c>
      <c r="Q30" s="44">
        <f>D30</f>
        <v>0</v>
      </c>
      <c r="R30" s="53" t="s">
        <v>68</v>
      </c>
      <c r="S30" s="44">
        <f>E30</f>
        <v>0</v>
      </c>
      <c r="T30" s="44">
        <f>D30</f>
        <v>0</v>
      </c>
      <c r="U30" s="44">
        <f>D30</f>
        <v>0</v>
      </c>
      <c r="V30" s="53"/>
      <c r="W30" s="31">
        <v>211037</v>
      </c>
      <c r="X30" s="9" t="str">
        <f>IFERROR(INDEX([1]Sheet1!$A$2:$X$1948,MATCH($W$2:$W$270,[1]Sheet1!$G$2:$G$1948,0),8),"")</f>
        <v>느타리버섯(실속 균상 2Kg/EA)</v>
      </c>
      <c r="Y30" s="11">
        <v>2000</v>
      </c>
      <c r="Z30" s="11"/>
      <c r="AA30" s="63">
        <v>23</v>
      </c>
      <c r="AB30" s="63" t="e">
        <f>T30*AD30</f>
        <v>#DIV/0!</v>
      </c>
      <c r="AC30" s="63" t="e">
        <f>U30*AD30</f>
        <v>#DIV/0!</v>
      </c>
      <c r="AD30" s="36" t="e">
        <f>AA30/E30</f>
        <v>#DIV/0!</v>
      </c>
      <c r="AE30" s="31">
        <v>205745</v>
      </c>
      <c r="AF30" s="9" t="str">
        <f>IFERROR(INDEX([1]Sheet1!$A$2:$X$1948,MATCH($AE$2:$AE$270,[1]Sheet1!$G$2:$G$1948,0),8),"")</f>
        <v>총알새송이버섯(실속 2Kg/BOX)</v>
      </c>
      <c r="AG30" s="6">
        <v>11</v>
      </c>
      <c r="AH30" s="6" t="e">
        <f>P30*AJ30</f>
        <v>#DIV/0!</v>
      </c>
      <c r="AI30" s="6" t="e">
        <f>Q30*AJ30</f>
        <v>#DIV/0!</v>
      </c>
      <c r="AJ30" s="36" t="e">
        <f>AG30/$E30</f>
        <v>#DIV/0!</v>
      </c>
      <c r="AK30" s="31"/>
      <c r="AL30" s="9">
        <f>IFERROR(INDEX([1]Sheet1!$A$2:$X$1948,MATCH($AK$2:$AK$270,[1]Sheet1!$G$2:$G$1948,0),8),"")</f>
        <v>0</v>
      </c>
      <c r="AM30" s="6"/>
      <c r="AN30" s="6"/>
      <c r="AO30" s="6"/>
      <c r="AP30" s="36"/>
    </row>
    <row r="31" spans="1:42">
      <c r="A31" s="30">
        <v>31</v>
      </c>
      <c r="B31" s="145"/>
      <c r="C31" s="133" t="s">
        <v>1150</v>
      </c>
      <c r="D31" s="27"/>
      <c r="E31" s="27"/>
      <c r="F31" s="27"/>
      <c r="G31" s="27"/>
      <c r="H31" s="132" t="s">
        <v>1151</v>
      </c>
      <c r="I31" s="176" t="s">
        <v>821</v>
      </c>
      <c r="J31" s="137"/>
      <c r="K31" s="117"/>
      <c r="L31" s="6"/>
      <c r="M31" s="6"/>
      <c r="N31" s="6"/>
      <c r="O31" s="44">
        <f>E31</f>
        <v>0</v>
      </c>
      <c r="P31" s="44">
        <f>D31</f>
        <v>0</v>
      </c>
      <c r="Q31" s="44">
        <f>D31</f>
        <v>0</v>
      </c>
      <c r="R31" s="53" t="s">
        <v>68</v>
      </c>
      <c r="S31" s="44">
        <f>E31</f>
        <v>0</v>
      </c>
      <c r="T31" s="44">
        <f>D31</f>
        <v>0</v>
      </c>
      <c r="U31" s="44">
        <f>D31</f>
        <v>0</v>
      </c>
      <c r="V31" s="53"/>
      <c r="W31" s="31">
        <v>193090</v>
      </c>
      <c r="X31" s="9" t="str">
        <f>IFERROR(INDEX([1]Sheet1!$A$2:$X$1948,MATCH($W$2:$W$270,[1]Sheet1!$G$2:$G$1948,0),8),"")</f>
        <v>냉동감자(절단_3~4cm 1Kg/EA)</v>
      </c>
      <c r="Y31" s="11">
        <v>1000</v>
      </c>
      <c r="Z31" s="11"/>
      <c r="AA31" s="63">
        <v>30</v>
      </c>
      <c r="AB31" s="63" t="e">
        <f>T31*AD31</f>
        <v>#DIV/0!</v>
      </c>
      <c r="AC31" s="63" t="e">
        <f>U31*AD31</f>
        <v>#DIV/0!</v>
      </c>
      <c r="AD31" s="36" t="e">
        <f>AA31/E31</f>
        <v>#DIV/0!</v>
      </c>
      <c r="AE31" s="31">
        <v>204964</v>
      </c>
      <c r="AF31" s="9" t="str">
        <f>IFERROR(INDEX([1]Sheet1!$A$2:$X$1948,MATCH($AE$2:$AE$270,[1]Sheet1!$G$2:$G$1948,0),8),"")</f>
        <v>냉동표고버섯(슬라이스 1Kg/PAC)</v>
      </c>
      <c r="AG31" s="6">
        <v>13</v>
      </c>
      <c r="AH31" s="6" t="e">
        <f>P31*AJ31</f>
        <v>#DIV/0!</v>
      </c>
      <c r="AI31" s="6" t="e">
        <f>Q31*AJ31</f>
        <v>#DIV/0!</v>
      </c>
      <c r="AJ31" s="36" t="e">
        <f>AG31/$E31</f>
        <v>#DIV/0!</v>
      </c>
      <c r="AK31" s="31"/>
      <c r="AL31" s="9">
        <f>IFERROR(INDEX([1]Sheet1!$A$2:$X$1948,MATCH($AK$2:$AK$270,[1]Sheet1!$G$2:$G$1948,0),8),"")</f>
        <v>0</v>
      </c>
      <c r="AM31" s="6"/>
      <c r="AN31" s="6" t="e">
        <f>P31*AP31</f>
        <v>#DIV/0!</v>
      </c>
      <c r="AO31" s="6" t="e">
        <f>Q31*AP31</f>
        <v>#DIV/0!</v>
      </c>
      <c r="AP31" s="36" t="e">
        <f>AM31/$E31</f>
        <v>#DIV/0!</v>
      </c>
    </row>
    <row r="32" spans="1:42" ht="20.100000000000001" customHeight="1">
      <c r="A32" s="30">
        <v>32</v>
      </c>
      <c r="B32" s="145"/>
      <c r="C32" s="133" t="s">
        <v>1277</v>
      </c>
      <c r="D32" s="27"/>
      <c r="E32" s="27"/>
      <c r="F32" s="27"/>
      <c r="G32" s="27"/>
      <c r="H32" s="131" t="s">
        <v>1278</v>
      </c>
      <c r="I32" s="179" t="s">
        <v>875</v>
      </c>
      <c r="J32" s="137"/>
      <c r="K32" s="117"/>
      <c r="L32" s="6"/>
      <c r="M32" s="6"/>
      <c r="N32" s="6"/>
      <c r="O32" s="44"/>
      <c r="P32" s="44"/>
      <c r="Q32" s="44"/>
      <c r="R32" s="53"/>
      <c r="S32" s="44"/>
      <c r="T32" s="44"/>
      <c r="U32" s="44"/>
      <c r="V32" s="53"/>
      <c r="W32" s="31"/>
      <c r="X32" s="9"/>
      <c r="Y32" s="11"/>
      <c r="Z32" s="11"/>
      <c r="AA32" s="63"/>
      <c r="AB32" s="63"/>
      <c r="AC32" s="63"/>
      <c r="AD32" s="36"/>
      <c r="AE32" s="31"/>
      <c r="AF32" s="9"/>
      <c r="AG32" s="6"/>
      <c r="AH32" s="6"/>
      <c r="AI32" s="6"/>
      <c r="AJ32" s="36"/>
      <c r="AK32" s="31"/>
      <c r="AL32" s="9"/>
      <c r="AM32" s="6"/>
      <c r="AN32" s="6"/>
      <c r="AO32" s="6"/>
      <c r="AP32" s="36"/>
    </row>
    <row r="33" spans="1:42" ht="20.100000000000001" customHeight="1">
      <c r="A33" s="30">
        <v>33</v>
      </c>
      <c r="B33" s="145"/>
      <c r="C33" s="133" t="s">
        <v>1846</v>
      </c>
      <c r="D33" s="27"/>
      <c r="E33" s="27"/>
      <c r="F33" s="27"/>
      <c r="G33" s="27"/>
      <c r="H33" s="131" t="s">
        <v>1847</v>
      </c>
      <c r="I33" s="179" t="s">
        <v>1848</v>
      </c>
      <c r="J33" s="137" t="s">
        <v>1894</v>
      </c>
      <c r="K33" s="117"/>
      <c r="L33" s="6"/>
      <c r="M33" s="6"/>
      <c r="N33" s="6"/>
      <c r="O33" s="44"/>
      <c r="P33" s="44"/>
      <c r="Q33" s="44"/>
      <c r="R33" s="53"/>
      <c r="S33" s="44"/>
      <c r="T33" s="44"/>
      <c r="U33" s="44"/>
      <c r="V33" s="53"/>
      <c r="W33" s="31"/>
      <c r="X33" s="9"/>
      <c r="Y33" s="11"/>
      <c r="Z33" s="11"/>
      <c r="AA33" s="63"/>
      <c r="AB33" s="63"/>
      <c r="AC33" s="63"/>
      <c r="AD33" s="36"/>
      <c r="AE33" s="31"/>
      <c r="AF33" s="9"/>
      <c r="AG33" s="6"/>
      <c r="AH33" s="6"/>
      <c r="AI33" s="6"/>
      <c r="AJ33" s="36"/>
      <c r="AK33" s="31"/>
      <c r="AL33" s="9"/>
      <c r="AM33" s="6"/>
      <c r="AN33" s="6"/>
      <c r="AO33" s="6"/>
      <c r="AP33" s="36"/>
    </row>
    <row r="34" spans="1:42">
      <c r="A34" s="30">
        <v>34</v>
      </c>
      <c r="B34" s="145"/>
      <c r="C34" s="133" t="s">
        <v>331</v>
      </c>
      <c r="D34" s="27"/>
      <c r="E34" s="27"/>
      <c r="F34" s="27"/>
      <c r="G34" s="27"/>
      <c r="H34" s="70" t="s">
        <v>1098</v>
      </c>
      <c r="I34" s="176" t="s">
        <v>821</v>
      </c>
      <c r="J34" s="137"/>
      <c r="K34" s="117"/>
      <c r="L34" s="6"/>
      <c r="M34" s="6"/>
      <c r="N34" s="6"/>
      <c r="O34" s="44"/>
      <c r="P34" s="44"/>
      <c r="Q34" s="44"/>
      <c r="R34" s="53"/>
      <c r="S34" s="44"/>
      <c r="T34" s="44"/>
      <c r="U34" s="44"/>
      <c r="V34" s="53"/>
      <c r="W34" s="31"/>
      <c r="X34" s="9"/>
      <c r="Y34" s="11"/>
      <c r="Z34" s="11"/>
      <c r="AA34" s="63"/>
      <c r="AB34" s="63"/>
      <c r="AC34" s="63"/>
      <c r="AD34" s="36"/>
      <c r="AE34" s="31"/>
      <c r="AF34" s="9"/>
      <c r="AG34" s="6"/>
      <c r="AH34" s="6"/>
      <c r="AI34" s="6"/>
      <c r="AJ34" s="36"/>
      <c r="AK34" s="31"/>
      <c r="AL34" s="9"/>
      <c r="AM34" s="6"/>
      <c r="AN34" s="6"/>
      <c r="AO34" s="6"/>
      <c r="AP34" s="36"/>
    </row>
    <row r="35" spans="1:42">
      <c r="A35" s="30">
        <v>35</v>
      </c>
      <c r="B35" s="145"/>
      <c r="C35" s="133" t="s">
        <v>1866</v>
      </c>
      <c r="D35" s="27"/>
      <c r="E35" s="27"/>
      <c r="F35" s="27"/>
      <c r="G35" s="27"/>
      <c r="H35" s="70" t="s">
        <v>1393</v>
      </c>
      <c r="I35" s="176" t="s">
        <v>871</v>
      </c>
      <c r="J35" s="137" t="s">
        <v>1089</v>
      </c>
      <c r="K35" s="117"/>
      <c r="L35" s="6"/>
      <c r="M35" s="6"/>
      <c r="N35" s="6"/>
      <c r="O35" s="44"/>
      <c r="P35" s="44"/>
      <c r="Q35" s="44"/>
      <c r="R35" s="53"/>
      <c r="S35" s="44"/>
      <c r="T35" s="44"/>
      <c r="U35" s="44"/>
      <c r="V35" s="53"/>
      <c r="W35" s="31"/>
      <c r="X35" s="9"/>
      <c r="Y35" s="11"/>
      <c r="Z35" s="11"/>
      <c r="AA35" s="63"/>
      <c r="AB35" s="63"/>
      <c r="AC35" s="63"/>
      <c r="AD35" s="36"/>
      <c r="AE35" s="31"/>
      <c r="AF35" s="9"/>
      <c r="AG35" s="6"/>
      <c r="AH35" s="6"/>
      <c r="AI35" s="6"/>
      <c r="AJ35" s="36"/>
      <c r="AK35" s="31"/>
      <c r="AL35" s="9"/>
      <c r="AM35" s="6"/>
      <c r="AN35" s="6"/>
      <c r="AO35" s="6"/>
      <c r="AP35" s="36"/>
    </row>
    <row r="36" spans="1:42">
      <c r="A36" s="30">
        <v>36</v>
      </c>
      <c r="B36" s="145"/>
      <c r="C36" s="143" t="s">
        <v>1768</v>
      </c>
      <c r="D36" s="27"/>
      <c r="E36" s="27"/>
      <c r="F36" s="27"/>
      <c r="G36" s="27"/>
      <c r="H36" s="70" t="s">
        <v>1394</v>
      </c>
      <c r="I36" s="180" t="s">
        <v>1904</v>
      </c>
      <c r="J36" s="137"/>
      <c r="K36" s="117"/>
      <c r="L36" s="6"/>
      <c r="M36" s="6"/>
      <c r="N36" s="6"/>
      <c r="O36" s="44"/>
      <c r="P36" s="44"/>
      <c r="Q36" s="44"/>
      <c r="R36" s="53"/>
      <c r="S36" s="44"/>
      <c r="T36" s="44"/>
      <c r="U36" s="44"/>
      <c r="V36" s="53"/>
      <c r="W36" s="31"/>
      <c r="X36" s="9"/>
      <c r="Y36" s="11"/>
      <c r="Z36" s="11"/>
      <c r="AA36" s="63"/>
      <c r="AB36" s="63"/>
      <c r="AC36" s="63"/>
      <c r="AD36" s="36"/>
      <c r="AE36" s="31"/>
      <c r="AF36" s="9"/>
      <c r="AG36" s="6"/>
      <c r="AH36" s="6"/>
      <c r="AI36" s="6"/>
      <c r="AJ36" s="36"/>
      <c r="AK36" s="31"/>
      <c r="AL36" s="9"/>
      <c r="AM36" s="6"/>
      <c r="AN36" s="6"/>
      <c r="AO36" s="6"/>
      <c r="AP36" s="36"/>
    </row>
    <row r="37" spans="1:42">
      <c r="A37" s="30">
        <v>37</v>
      </c>
      <c r="B37" s="145"/>
      <c r="C37" s="133" t="s">
        <v>1201</v>
      </c>
      <c r="D37" s="27"/>
      <c r="E37" s="27"/>
      <c r="F37" s="27"/>
      <c r="G37" s="27"/>
      <c r="H37" s="70" t="s">
        <v>1213</v>
      </c>
      <c r="I37" s="176" t="s">
        <v>821</v>
      </c>
      <c r="J37" s="136" t="s">
        <v>1818</v>
      </c>
      <c r="K37" s="117"/>
      <c r="L37" s="6"/>
      <c r="M37" s="6"/>
      <c r="N37" s="6"/>
      <c r="O37" s="44"/>
      <c r="P37" s="44"/>
      <c r="Q37" s="44"/>
      <c r="R37" s="53"/>
      <c r="S37" s="44"/>
      <c r="T37" s="44"/>
      <c r="U37" s="44"/>
      <c r="V37" s="53"/>
      <c r="W37" s="31"/>
      <c r="X37" s="9"/>
      <c r="Y37" s="11"/>
      <c r="Z37" s="11"/>
      <c r="AA37" s="63"/>
      <c r="AB37" s="63"/>
      <c r="AC37" s="63"/>
      <c r="AD37" s="36"/>
      <c r="AE37" s="31"/>
      <c r="AF37" s="9"/>
      <c r="AG37" s="6"/>
      <c r="AH37" s="6"/>
      <c r="AI37" s="6"/>
      <c r="AJ37" s="36"/>
      <c r="AK37" s="31"/>
      <c r="AL37" s="9"/>
      <c r="AM37" s="6"/>
      <c r="AN37" s="6"/>
      <c r="AO37" s="6"/>
      <c r="AP37" s="36"/>
    </row>
    <row r="38" spans="1:42">
      <c r="A38" s="30">
        <v>38</v>
      </c>
      <c r="B38" s="145"/>
      <c r="C38" s="133" t="s">
        <v>1548</v>
      </c>
      <c r="D38" s="27"/>
      <c r="E38" s="27"/>
      <c r="F38" s="27"/>
      <c r="G38" s="27"/>
      <c r="H38" s="70" t="s">
        <v>1549</v>
      </c>
      <c r="I38" s="176" t="s">
        <v>821</v>
      </c>
      <c r="J38" s="136" t="s">
        <v>1818</v>
      </c>
      <c r="K38" s="117"/>
      <c r="L38" s="6"/>
      <c r="M38" s="6"/>
      <c r="N38" s="6"/>
      <c r="O38" s="44"/>
      <c r="P38" s="44"/>
      <c r="Q38" s="44"/>
      <c r="R38" s="53"/>
      <c r="S38" s="44"/>
      <c r="T38" s="44"/>
      <c r="U38" s="44"/>
      <c r="V38" s="53"/>
      <c r="W38" s="31"/>
      <c r="X38" s="9"/>
      <c r="Y38" s="11"/>
      <c r="Z38" s="11"/>
      <c r="AA38" s="63"/>
      <c r="AB38" s="63"/>
      <c r="AC38" s="63"/>
      <c r="AD38" s="36"/>
      <c r="AE38" s="31"/>
      <c r="AF38" s="9"/>
      <c r="AG38" s="6"/>
      <c r="AH38" s="6"/>
      <c r="AI38" s="6"/>
      <c r="AJ38" s="36"/>
      <c r="AK38" s="31"/>
      <c r="AL38" s="9"/>
      <c r="AM38" s="6"/>
      <c r="AN38" s="6"/>
      <c r="AO38" s="6"/>
      <c r="AP38" s="36"/>
    </row>
    <row r="39" spans="1:42">
      <c r="A39" s="30"/>
      <c r="B39" s="145"/>
      <c r="C39" s="133" t="s">
        <v>1806</v>
      </c>
      <c r="D39" s="27"/>
      <c r="E39" s="27"/>
      <c r="F39" s="27"/>
      <c r="G39" s="27"/>
      <c r="H39" s="70" t="s">
        <v>1807</v>
      </c>
      <c r="I39" s="176" t="s">
        <v>821</v>
      </c>
      <c r="J39" s="136" t="s">
        <v>1818</v>
      </c>
      <c r="K39" s="117"/>
      <c r="L39" s="6"/>
      <c r="M39" s="6"/>
      <c r="N39" s="6"/>
      <c r="O39" s="44"/>
      <c r="P39" s="44"/>
      <c r="Q39" s="44"/>
      <c r="R39" s="53"/>
      <c r="S39" s="44"/>
      <c r="T39" s="44"/>
      <c r="U39" s="44"/>
      <c r="V39" s="53"/>
      <c r="W39" s="31"/>
      <c r="X39" s="9"/>
      <c r="Y39" s="11"/>
      <c r="Z39" s="11"/>
      <c r="AA39" s="63"/>
      <c r="AB39" s="63"/>
      <c r="AC39" s="63"/>
      <c r="AD39" s="36"/>
      <c r="AE39" s="31"/>
      <c r="AF39" s="9"/>
      <c r="AG39" s="6"/>
      <c r="AH39" s="6"/>
      <c r="AI39" s="6"/>
      <c r="AJ39" s="36"/>
      <c r="AK39" s="31"/>
      <c r="AL39" s="9"/>
      <c r="AM39" s="6"/>
      <c r="AN39" s="6"/>
      <c r="AO39" s="6"/>
      <c r="AP39" s="36"/>
    </row>
    <row r="40" spans="1:42">
      <c r="A40" s="30">
        <v>37</v>
      </c>
      <c r="B40" s="145"/>
      <c r="C40" s="133" t="s">
        <v>1613</v>
      </c>
      <c r="D40" s="27"/>
      <c r="E40" s="27"/>
      <c r="F40" s="27"/>
      <c r="G40" s="27"/>
      <c r="H40" s="70" t="s">
        <v>1614</v>
      </c>
      <c r="I40" s="176" t="s">
        <v>821</v>
      </c>
      <c r="J40" s="136"/>
      <c r="K40" s="117"/>
      <c r="L40" s="6"/>
      <c r="M40" s="6"/>
      <c r="N40" s="6"/>
      <c r="O40" s="44"/>
      <c r="P40" s="44"/>
      <c r="Q40" s="44"/>
      <c r="R40" s="53"/>
      <c r="S40" s="44"/>
      <c r="T40" s="44"/>
      <c r="U40" s="44"/>
      <c r="V40" s="53"/>
      <c r="W40" s="31"/>
      <c r="X40" s="9"/>
      <c r="Y40" s="11"/>
      <c r="Z40" s="11"/>
      <c r="AA40" s="63"/>
      <c r="AB40" s="63"/>
      <c r="AC40" s="63"/>
      <c r="AD40" s="36"/>
      <c r="AE40" s="31"/>
      <c r="AF40" s="9"/>
      <c r="AG40" s="6"/>
      <c r="AH40" s="6"/>
      <c r="AI40" s="6"/>
      <c r="AJ40" s="36"/>
      <c r="AK40" s="31"/>
      <c r="AL40" s="9"/>
      <c r="AM40" s="6"/>
      <c r="AN40" s="6"/>
      <c r="AO40" s="6"/>
      <c r="AP40" s="36"/>
    </row>
    <row r="41" spans="1:42">
      <c r="A41" s="30"/>
      <c r="B41" s="145"/>
      <c r="C41" s="133" t="s">
        <v>1693</v>
      </c>
      <c r="D41" s="27"/>
      <c r="E41" s="27"/>
      <c r="F41" s="27"/>
      <c r="G41" s="27"/>
      <c r="H41" s="70" t="s">
        <v>1694</v>
      </c>
      <c r="I41" s="176" t="s">
        <v>1695</v>
      </c>
      <c r="J41" s="136"/>
      <c r="K41" s="117"/>
      <c r="L41" s="6"/>
      <c r="M41" s="6"/>
      <c r="N41" s="6"/>
      <c r="O41" s="44"/>
      <c r="P41" s="44"/>
      <c r="Q41" s="44"/>
      <c r="R41" s="53"/>
      <c r="S41" s="44"/>
      <c r="T41" s="44"/>
      <c r="U41" s="44"/>
      <c r="V41" s="53"/>
      <c r="W41" s="31"/>
      <c r="X41" s="9"/>
      <c r="Y41" s="11"/>
      <c r="Z41" s="11"/>
      <c r="AA41" s="63"/>
      <c r="AB41" s="63"/>
      <c r="AC41" s="63"/>
      <c r="AD41" s="36"/>
      <c r="AE41" s="31"/>
      <c r="AF41" s="9"/>
      <c r="AG41" s="6"/>
      <c r="AH41" s="6"/>
      <c r="AI41" s="6"/>
      <c r="AJ41" s="36"/>
      <c r="AK41" s="31"/>
      <c r="AL41" s="9"/>
      <c r="AM41" s="6"/>
      <c r="AN41" s="6"/>
      <c r="AO41" s="6"/>
      <c r="AP41" s="36"/>
    </row>
    <row r="42" spans="1:42">
      <c r="A42" s="30">
        <v>38</v>
      </c>
      <c r="B42" s="145"/>
      <c r="C42" s="133" t="s">
        <v>571</v>
      </c>
      <c r="D42" s="27"/>
      <c r="E42" s="27"/>
      <c r="F42" s="27"/>
      <c r="G42" s="27"/>
      <c r="H42" s="136" t="s">
        <v>572</v>
      </c>
      <c r="I42" s="181" t="s">
        <v>821</v>
      </c>
      <c r="J42" s="137"/>
      <c r="K42" s="29"/>
      <c r="L42" s="11"/>
      <c r="M42" s="11"/>
      <c r="N42" s="11"/>
      <c r="O42" s="44">
        <f>E42</f>
        <v>0</v>
      </c>
      <c r="P42" s="44">
        <v>120</v>
      </c>
      <c r="Q42" s="44"/>
      <c r="R42" s="53" t="s">
        <v>68</v>
      </c>
      <c r="S42" s="45">
        <v>2</v>
      </c>
      <c r="T42" s="45">
        <v>6</v>
      </c>
      <c r="U42" s="45">
        <v>10</v>
      </c>
      <c r="V42" s="53" t="s">
        <v>69</v>
      </c>
      <c r="W42" s="31">
        <v>127359</v>
      </c>
      <c r="X42" s="9" t="str">
        <f>IFERROR(INDEX([1]Sheet1!$A$2:$X$1948,MATCH($W$2:$W$270,[1]Sheet1!$G$2:$G$1948,0),8),"")</f>
        <v>사조대림 사각잡채군만두(32±1개입 800g/EA)</v>
      </c>
      <c r="Y42" s="11">
        <v>800</v>
      </c>
      <c r="Z42" s="11">
        <v>32</v>
      </c>
      <c r="AA42" s="64">
        <v>2</v>
      </c>
      <c r="AB42" s="64">
        <f>T42</f>
        <v>6</v>
      </c>
      <c r="AC42" s="64">
        <f>U42</f>
        <v>10</v>
      </c>
      <c r="AD42" s="36"/>
      <c r="AE42" s="31"/>
      <c r="AF42" s="9">
        <f>IFERROR(INDEX([1]Sheet1!$A$2:$X$1948,MATCH($AE$2:$AE$270,[1]Sheet1!$G$2:$G$1948,0),8),"")</f>
        <v>0</v>
      </c>
      <c r="AG42" s="6"/>
      <c r="AH42" s="6" t="e">
        <f>P42*AJ42</f>
        <v>#DIV/0!</v>
      </c>
      <c r="AI42" s="6" t="e">
        <f>Q42*AJ42</f>
        <v>#DIV/0!</v>
      </c>
      <c r="AJ42" s="36" t="e">
        <f>AG42/$E42</f>
        <v>#DIV/0!</v>
      </c>
      <c r="AK42" s="31"/>
      <c r="AL42" s="9">
        <f>IFERROR(INDEX([1]Sheet1!$A$2:$X$1948,MATCH($AK$2:$AK$270,[1]Sheet1!$G$2:$G$1948,0),8),"")</f>
        <v>0</v>
      </c>
      <c r="AM42" s="6"/>
      <c r="AN42" s="6" t="e">
        <f>P42*AP42</f>
        <v>#DIV/0!</v>
      </c>
      <c r="AO42" s="6" t="e">
        <f>Q42*AP42</f>
        <v>#DIV/0!</v>
      </c>
      <c r="AP42" s="36" t="e">
        <f>AM42/$E42</f>
        <v>#DIV/0!</v>
      </c>
    </row>
    <row r="43" spans="1:42">
      <c r="A43" s="30">
        <v>39</v>
      </c>
      <c r="B43" s="145"/>
      <c r="C43" s="133" t="s">
        <v>323</v>
      </c>
      <c r="D43" s="27"/>
      <c r="E43" s="27"/>
      <c r="F43" s="27"/>
      <c r="G43" s="27"/>
      <c r="H43" s="70" t="s">
        <v>1717</v>
      </c>
      <c r="I43" s="176" t="s">
        <v>875</v>
      </c>
      <c r="J43" s="137" t="s">
        <v>1965</v>
      </c>
      <c r="K43" s="29"/>
      <c r="L43" s="11"/>
      <c r="M43" s="11"/>
      <c r="N43" s="11"/>
      <c r="O43" s="44">
        <f>E43</f>
        <v>0</v>
      </c>
      <c r="P43" s="44">
        <f>D43</f>
        <v>0</v>
      </c>
      <c r="Q43" s="44">
        <f>D43</f>
        <v>0</v>
      </c>
      <c r="R43" s="53" t="s">
        <v>68</v>
      </c>
      <c r="S43" s="44">
        <f>E43</f>
        <v>0</v>
      </c>
      <c r="T43" s="44">
        <f>D43</f>
        <v>0</v>
      </c>
      <c r="U43" s="44">
        <f>D43</f>
        <v>0</v>
      </c>
      <c r="V43" s="53"/>
      <c r="W43" s="31">
        <v>211037</v>
      </c>
      <c r="X43" s="9" t="str">
        <f>IFERROR(INDEX([1]Sheet1!$A$2:$X$1948,MATCH($W$2:$W$270,[1]Sheet1!$G$2:$G$1948,0),8),"")</f>
        <v>느타리버섯(실속 균상 2Kg/EA)</v>
      </c>
      <c r="Y43" s="11">
        <v>2000</v>
      </c>
      <c r="Z43" s="11"/>
      <c r="AA43" s="63">
        <v>15</v>
      </c>
      <c r="AB43" s="63" t="e">
        <f>T43*AD43</f>
        <v>#DIV/0!</v>
      </c>
      <c r="AC43" s="63" t="e">
        <f>U43*AD43</f>
        <v>#DIV/0!</v>
      </c>
      <c r="AD43" s="36" t="e">
        <f>AA43/E43</f>
        <v>#DIV/0!</v>
      </c>
      <c r="AE43" s="31">
        <v>204964</v>
      </c>
      <c r="AF43" s="9" t="str">
        <f>IFERROR(INDEX([1]Sheet1!$A$2:$X$1948,MATCH($AE$2:$AE$270,[1]Sheet1!$G$2:$G$1948,0),8),"")</f>
        <v>냉동표고버섯(슬라이스 1Kg/PAC)</v>
      </c>
      <c r="AG43" s="6">
        <v>15</v>
      </c>
      <c r="AH43" s="6" t="e">
        <f>P43*AJ43</f>
        <v>#DIV/0!</v>
      </c>
      <c r="AI43" s="6" t="e">
        <f>Q43*AJ43</f>
        <v>#DIV/0!</v>
      </c>
      <c r="AJ43" s="36" t="e">
        <f>AG43/$E43</f>
        <v>#DIV/0!</v>
      </c>
      <c r="AK43" s="31">
        <v>226247</v>
      </c>
      <c r="AL43" s="9" t="str">
        <f>IFERROR(INDEX([1]Sheet1!$A$2:$X$1948,MATCH($AK$2:$AK$270,[1]Sheet1!$G$2:$G$1948,0),8),"")</f>
        <v>냉동표고버섯(1.5*1.5cm다이스 1Kg/EA)</v>
      </c>
      <c r="AM43" s="6"/>
      <c r="AN43" s="6"/>
      <c r="AO43" s="6"/>
      <c r="AP43" s="36"/>
    </row>
    <row r="44" spans="1:42">
      <c r="A44" s="30">
        <v>40</v>
      </c>
      <c r="B44" s="145"/>
      <c r="C44" s="133" t="s">
        <v>1206</v>
      </c>
      <c r="D44" s="27"/>
      <c r="E44" s="27"/>
      <c r="F44" s="27"/>
      <c r="G44" s="27"/>
      <c r="H44" s="70" t="s">
        <v>1208</v>
      </c>
      <c r="I44" s="176" t="s">
        <v>821</v>
      </c>
      <c r="J44" s="137" t="s">
        <v>1770</v>
      </c>
      <c r="K44" s="117"/>
      <c r="L44" s="6"/>
      <c r="M44" s="6"/>
      <c r="N44" s="6"/>
      <c r="O44" s="44"/>
      <c r="P44" s="44"/>
      <c r="Q44" s="44"/>
      <c r="R44" s="53"/>
      <c r="S44" s="44"/>
      <c r="T44" s="44"/>
      <c r="U44" s="44"/>
      <c r="V44" s="53"/>
      <c r="W44" s="31"/>
      <c r="X44" s="9"/>
      <c r="Y44" s="11"/>
      <c r="Z44" s="11"/>
      <c r="AA44" s="63"/>
      <c r="AB44" s="63"/>
      <c r="AC44" s="63"/>
      <c r="AD44" s="36"/>
      <c r="AE44" s="31"/>
      <c r="AF44" s="9"/>
      <c r="AG44" s="6"/>
      <c r="AH44" s="6"/>
      <c r="AI44" s="6"/>
      <c r="AJ44" s="36"/>
      <c r="AK44" s="31"/>
      <c r="AL44" s="9"/>
      <c r="AM44" s="6"/>
      <c r="AN44" s="6"/>
      <c r="AO44" s="6"/>
      <c r="AP44" s="36"/>
    </row>
    <row r="45" spans="1:42">
      <c r="A45" s="30">
        <v>42</v>
      </c>
      <c r="B45" s="145"/>
      <c r="C45" s="133" t="s">
        <v>1140</v>
      </c>
      <c r="D45" s="27"/>
      <c r="E45" s="27"/>
      <c r="F45" s="27"/>
      <c r="G45" s="27"/>
      <c r="H45" s="70" t="s">
        <v>1141</v>
      </c>
      <c r="I45" s="176" t="s">
        <v>830</v>
      </c>
      <c r="J45" s="137" t="s">
        <v>1860</v>
      </c>
      <c r="K45" s="117"/>
      <c r="L45" s="6">
        <v>320</v>
      </c>
      <c r="M45" s="6">
        <v>16</v>
      </c>
      <c r="N45" s="6">
        <v>336</v>
      </c>
      <c r="O45" s="44">
        <f>E45</f>
        <v>0</v>
      </c>
      <c r="P45" s="44">
        <f>D45</f>
        <v>0</v>
      </c>
      <c r="Q45" s="44">
        <f>D45</f>
        <v>0</v>
      </c>
      <c r="R45" s="53" t="s">
        <v>68</v>
      </c>
      <c r="S45" s="44">
        <f>E45</f>
        <v>0</v>
      </c>
      <c r="T45" s="44">
        <f>D45</f>
        <v>0</v>
      </c>
      <c r="U45" s="44">
        <f>D45</f>
        <v>0</v>
      </c>
      <c r="V45" s="53"/>
      <c r="W45" s="31">
        <v>318643</v>
      </c>
      <c r="X45" s="9" t="str">
        <f>IFERROR(INDEX([1]Sheet1!$A$2:$X$1948,MATCH($W$2:$W$270,[1]Sheet1!$G$2:$G$1948,0),8),"")</f>
        <v>아이누리 자른건미역(상품 200g/EA)</v>
      </c>
      <c r="Y45" s="11">
        <v>200</v>
      </c>
      <c r="Z45" s="11"/>
      <c r="AA45" s="63">
        <v>3</v>
      </c>
      <c r="AB45" s="63" t="e">
        <f>T45*AD45</f>
        <v>#DIV/0!</v>
      </c>
      <c r="AC45" s="63" t="e">
        <f>U45*AD45</f>
        <v>#DIV/0!</v>
      </c>
      <c r="AD45" s="36" t="e">
        <f>AA45/E45</f>
        <v>#DIV/0!</v>
      </c>
      <c r="AE45" s="31">
        <v>193090</v>
      </c>
      <c r="AF45" s="9" t="str">
        <f>IFERROR(INDEX([1]Sheet1!$A$2:$X$1948,MATCH($AE$2:$AE$270,[1]Sheet1!$G$2:$G$1948,0),8),"")</f>
        <v>냉동감자(절단_3~4cm 1Kg/EA)</v>
      </c>
      <c r="AG45" s="6">
        <v>17</v>
      </c>
      <c r="AH45" s="6" t="e">
        <f>P45*AJ45</f>
        <v>#DIV/0!</v>
      </c>
      <c r="AI45" s="6" t="e">
        <f>Q45*AJ45</f>
        <v>#DIV/0!</v>
      </c>
      <c r="AJ45" s="36" t="e">
        <f>AG45/$E45</f>
        <v>#DIV/0!</v>
      </c>
      <c r="AK45" s="31"/>
      <c r="AL45" s="9">
        <f>IFERROR(INDEX([1]Sheet1!$A$2:$X$1948,MATCH($AK$2:$AK$270,[1]Sheet1!$G$2:$G$1948,0),8),"")</f>
        <v>0</v>
      </c>
      <c r="AM45" s="6"/>
      <c r="AN45" s="6"/>
      <c r="AO45" s="6"/>
      <c r="AP45" s="36"/>
    </row>
    <row r="46" spans="1:42">
      <c r="A46" s="30">
        <v>43</v>
      </c>
      <c r="B46" s="145"/>
      <c r="C46" s="133" t="s">
        <v>792</v>
      </c>
      <c r="D46" s="27"/>
      <c r="E46" s="27"/>
      <c r="F46" s="27"/>
      <c r="G46" s="27"/>
      <c r="H46" s="70" t="s">
        <v>2221</v>
      </c>
      <c r="I46" s="176" t="s">
        <v>875</v>
      </c>
      <c r="J46" s="137" t="s">
        <v>2227</v>
      </c>
      <c r="K46" s="29"/>
      <c r="L46" s="11"/>
      <c r="M46" s="11"/>
      <c r="N46" s="11"/>
      <c r="O46" s="44"/>
      <c r="P46" s="44"/>
      <c r="Q46" s="44"/>
      <c r="R46" s="53"/>
      <c r="S46" s="44"/>
      <c r="T46" s="44"/>
      <c r="U46" s="44"/>
      <c r="V46" s="53"/>
      <c r="W46" s="31"/>
      <c r="X46" s="9"/>
      <c r="Y46" s="11"/>
      <c r="Z46" s="11"/>
      <c r="AA46" s="63"/>
      <c r="AB46" s="63"/>
      <c r="AC46" s="63"/>
      <c r="AD46" s="36"/>
      <c r="AE46" s="31"/>
      <c r="AF46" s="9"/>
      <c r="AG46" s="6"/>
      <c r="AH46" s="6"/>
      <c r="AI46" s="6"/>
      <c r="AJ46" s="36"/>
      <c r="AK46" s="31"/>
      <c r="AL46" s="9"/>
      <c r="AM46" s="6"/>
      <c r="AN46" s="6"/>
      <c r="AO46" s="6"/>
      <c r="AP46" s="36"/>
    </row>
    <row r="47" spans="1:42">
      <c r="A47" s="30">
        <v>44</v>
      </c>
      <c r="B47" s="145"/>
      <c r="C47" s="133" t="s">
        <v>2134</v>
      </c>
      <c r="D47" s="27"/>
      <c r="E47" s="27"/>
      <c r="F47" s="27"/>
      <c r="G47" s="27"/>
      <c r="H47" s="132" t="s">
        <v>1963</v>
      </c>
      <c r="I47" s="180" t="s">
        <v>821</v>
      </c>
      <c r="J47" s="137" t="s">
        <v>1817</v>
      </c>
      <c r="K47" s="117"/>
      <c r="L47" s="6"/>
      <c r="M47" s="6"/>
      <c r="N47" s="6"/>
      <c r="O47" s="44"/>
      <c r="P47" s="44"/>
      <c r="Q47" s="44"/>
      <c r="R47" s="53"/>
      <c r="S47" s="44"/>
      <c r="T47" s="44"/>
      <c r="U47" s="44"/>
      <c r="V47" s="53"/>
      <c r="W47" s="31"/>
      <c r="X47" s="9"/>
      <c r="Y47" s="11"/>
      <c r="Z47" s="11"/>
      <c r="AA47" s="63"/>
      <c r="AB47" s="63"/>
      <c r="AC47" s="63"/>
      <c r="AD47" s="36"/>
      <c r="AE47" s="31"/>
      <c r="AF47" s="9"/>
      <c r="AG47" s="6"/>
      <c r="AH47" s="6"/>
      <c r="AI47" s="6"/>
      <c r="AJ47" s="36"/>
      <c r="AK47" s="31"/>
      <c r="AL47" s="9"/>
      <c r="AM47" s="6"/>
      <c r="AN47" s="6"/>
      <c r="AO47" s="6"/>
      <c r="AP47" s="36"/>
    </row>
    <row r="48" spans="1:42">
      <c r="A48" s="30">
        <v>45</v>
      </c>
      <c r="B48" s="145"/>
      <c r="C48" s="133" t="s">
        <v>332</v>
      </c>
      <c r="D48" s="27"/>
      <c r="E48" s="27"/>
      <c r="F48" s="27"/>
      <c r="G48" s="27"/>
      <c r="H48" s="70" t="s">
        <v>1207</v>
      </c>
      <c r="I48" s="176" t="s">
        <v>821</v>
      </c>
      <c r="J48" s="137" t="s">
        <v>1798</v>
      </c>
      <c r="K48" s="29"/>
      <c r="L48" s="11"/>
      <c r="M48" s="11"/>
      <c r="N48" s="11"/>
      <c r="O48" s="44"/>
      <c r="P48" s="44"/>
      <c r="Q48" s="44"/>
      <c r="R48" s="53"/>
      <c r="S48" s="44"/>
      <c r="T48" s="44"/>
      <c r="U48" s="44"/>
      <c r="V48" s="53"/>
      <c r="W48" s="31"/>
      <c r="X48" s="9"/>
      <c r="Y48" s="11"/>
      <c r="Z48" s="11"/>
      <c r="AA48" s="63"/>
      <c r="AB48" s="63"/>
      <c r="AC48" s="63"/>
      <c r="AD48" s="36"/>
      <c r="AE48" s="31"/>
      <c r="AF48" s="9"/>
      <c r="AG48" s="6"/>
      <c r="AH48" s="6"/>
      <c r="AI48" s="6"/>
      <c r="AJ48" s="36"/>
      <c r="AK48" s="31"/>
      <c r="AL48" s="9"/>
      <c r="AM48" s="6"/>
      <c r="AN48" s="6"/>
      <c r="AO48" s="6"/>
      <c r="AP48" s="36"/>
    </row>
    <row r="49" spans="1:42">
      <c r="A49" s="30">
        <v>46</v>
      </c>
      <c r="B49" s="145"/>
      <c r="C49" s="225" t="s">
        <v>1455</v>
      </c>
      <c r="D49" s="27"/>
      <c r="E49" s="27"/>
      <c r="F49" s="27"/>
      <c r="G49" s="27"/>
      <c r="H49" s="70" t="s">
        <v>1456</v>
      </c>
      <c r="I49" s="176" t="s">
        <v>1541</v>
      </c>
      <c r="J49" s="137" t="s">
        <v>1817</v>
      </c>
      <c r="K49" s="117"/>
      <c r="L49" s="6"/>
      <c r="M49" s="6"/>
      <c r="N49" s="6"/>
      <c r="O49" s="44"/>
      <c r="P49" s="44"/>
      <c r="Q49" s="44"/>
      <c r="R49" s="53"/>
      <c r="S49" s="44"/>
      <c r="T49" s="44"/>
      <c r="U49" s="44"/>
      <c r="V49" s="53"/>
      <c r="W49" s="31"/>
      <c r="X49" s="9"/>
      <c r="Y49" s="11"/>
      <c r="Z49" s="11"/>
      <c r="AA49" s="63"/>
      <c r="AB49" s="63"/>
      <c r="AC49" s="63"/>
      <c r="AD49" s="36"/>
      <c r="AE49" s="31"/>
      <c r="AF49" s="9"/>
      <c r="AG49" s="6"/>
      <c r="AH49" s="6"/>
      <c r="AI49" s="6"/>
      <c r="AJ49" s="36"/>
      <c r="AK49" s="31"/>
      <c r="AL49" s="9"/>
      <c r="AM49" s="6"/>
      <c r="AN49" s="6"/>
      <c r="AO49" s="6"/>
      <c r="AP49" s="36"/>
    </row>
    <row r="50" spans="1:42">
      <c r="A50" s="30"/>
      <c r="B50" s="145"/>
      <c r="C50" s="225" t="s">
        <v>2100</v>
      </c>
      <c r="D50" s="27"/>
      <c r="E50" s="27"/>
      <c r="F50" s="27"/>
      <c r="G50" s="27"/>
      <c r="H50" s="70" t="s">
        <v>2101</v>
      </c>
      <c r="I50" s="176" t="s">
        <v>821</v>
      </c>
      <c r="J50" s="137"/>
      <c r="K50" s="117"/>
      <c r="L50" s="6"/>
      <c r="M50" s="6"/>
      <c r="N50" s="6"/>
      <c r="O50" s="44"/>
      <c r="P50" s="44"/>
      <c r="Q50" s="44"/>
      <c r="R50" s="53"/>
      <c r="S50" s="44"/>
      <c r="T50" s="44"/>
      <c r="U50" s="44"/>
      <c r="V50" s="53"/>
      <c r="W50" s="31"/>
      <c r="X50" s="9"/>
      <c r="Y50" s="11"/>
      <c r="Z50" s="11"/>
      <c r="AA50" s="63"/>
      <c r="AB50" s="63"/>
      <c r="AC50" s="63"/>
      <c r="AD50" s="36"/>
      <c r="AE50" s="31"/>
      <c r="AF50" s="9"/>
      <c r="AG50" s="6"/>
      <c r="AH50" s="6"/>
      <c r="AI50" s="6"/>
      <c r="AJ50" s="36"/>
      <c r="AK50" s="31"/>
      <c r="AL50" s="9"/>
      <c r="AM50" s="6"/>
      <c r="AN50" s="6"/>
      <c r="AO50" s="6"/>
      <c r="AP50" s="36"/>
    </row>
    <row r="51" spans="1:42">
      <c r="A51" s="30">
        <v>47</v>
      </c>
      <c r="B51" s="145"/>
      <c r="C51" s="225" t="s">
        <v>1660</v>
      </c>
      <c r="D51" s="27"/>
      <c r="E51" s="27"/>
      <c r="F51" s="27"/>
      <c r="G51" s="27"/>
      <c r="H51" s="70" t="s">
        <v>1759</v>
      </c>
      <c r="I51" s="176" t="s">
        <v>864</v>
      </c>
      <c r="J51" s="137"/>
      <c r="K51" s="117"/>
      <c r="L51" s="6"/>
      <c r="M51" s="6"/>
      <c r="N51" s="6"/>
      <c r="O51" s="44"/>
      <c r="P51" s="44"/>
      <c r="Q51" s="44"/>
      <c r="R51" s="53"/>
      <c r="S51" s="44"/>
      <c r="T51" s="44"/>
      <c r="U51" s="44"/>
      <c r="V51" s="53"/>
      <c r="W51" s="31"/>
      <c r="X51" s="9"/>
      <c r="Y51" s="11"/>
      <c r="Z51" s="11"/>
      <c r="AA51" s="63"/>
      <c r="AB51" s="63"/>
      <c r="AC51" s="63"/>
      <c r="AD51" s="36"/>
      <c r="AE51" s="31"/>
      <c r="AF51" s="9"/>
      <c r="AG51" s="6"/>
      <c r="AH51" s="6"/>
      <c r="AI51" s="6"/>
      <c r="AJ51" s="36"/>
      <c r="AK51" s="31"/>
      <c r="AL51" s="9"/>
      <c r="AM51" s="6"/>
      <c r="AN51" s="6"/>
      <c r="AO51" s="6"/>
      <c r="AP51" s="36"/>
    </row>
    <row r="52" spans="1:42">
      <c r="A52" s="30">
        <v>48</v>
      </c>
      <c r="B52" s="145"/>
      <c r="C52" s="225" t="s">
        <v>766</v>
      </c>
      <c r="D52" s="27"/>
      <c r="E52" s="27"/>
      <c r="F52" s="27"/>
      <c r="G52" s="27"/>
      <c r="H52" s="70" t="s">
        <v>1654</v>
      </c>
      <c r="I52" s="176" t="s">
        <v>821</v>
      </c>
      <c r="J52" s="137" t="s">
        <v>1818</v>
      </c>
      <c r="K52" s="117"/>
      <c r="L52" s="6"/>
      <c r="M52" s="6"/>
      <c r="N52" s="6"/>
      <c r="O52" s="44"/>
      <c r="P52" s="44"/>
      <c r="Q52" s="44"/>
      <c r="R52" s="53"/>
      <c r="S52" s="44"/>
      <c r="T52" s="44"/>
      <c r="U52" s="44"/>
      <c r="V52" s="53"/>
      <c r="W52" s="31"/>
      <c r="X52" s="9"/>
      <c r="Y52" s="11"/>
      <c r="Z52" s="11"/>
      <c r="AA52" s="63"/>
      <c r="AB52" s="63"/>
      <c r="AC52" s="63"/>
      <c r="AD52" s="36"/>
      <c r="AE52" s="31"/>
      <c r="AF52" s="9"/>
      <c r="AG52" s="6"/>
      <c r="AH52" s="6"/>
      <c r="AI52" s="6"/>
      <c r="AJ52" s="36"/>
      <c r="AK52" s="31"/>
      <c r="AL52" s="9"/>
      <c r="AM52" s="6"/>
      <c r="AN52" s="6"/>
      <c r="AO52" s="6"/>
      <c r="AP52" s="36"/>
    </row>
    <row r="53" spans="1:42" ht="27">
      <c r="A53" s="30">
        <v>49</v>
      </c>
      <c r="B53" s="145"/>
      <c r="C53" s="225" t="s">
        <v>996</v>
      </c>
      <c r="D53" s="27"/>
      <c r="E53" s="27"/>
      <c r="F53" s="27"/>
      <c r="G53" s="27"/>
      <c r="H53" s="70" t="s">
        <v>1105</v>
      </c>
      <c r="I53" s="176" t="s">
        <v>855</v>
      </c>
      <c r="J53" s="137" t="s">
        <v>1861</v>
      </c>
      <c r="K53" s="29"/>
      <c r="L53" s="11">
        <v>12870</v>
      </c>
      <c r="M53" s="11">
        <v>643.5</v>
      </c>
      <c r="N53" s="11">
        <v>13513.5</v>
      </c>
      <c r="O53" s="44">
        <f>E53</f>
        <v>0</v>
      </c>
      <c r="P53" s="44">
        <v>200</v>
      </c>
      <c r="Q53" s="44">
        <v>300</v>
      </c>
      <c r="R53" s="53" t="s">
        <v>68</v>
      </c>
      <c r="S53" s="44"/>
      <c r="T53" s="46"/>
      <c r="U53" s="46"/>
      <c r="V53" s="53"/>
      <c r="W53" s="31">
        <v>193090</v>
      </c>
      <c r="X53" s="9" t="str">
        <f>IFERROR(INDEX([1]Sheet1!$A$2:$X$1948,MATCH($W$2:$W$270,[1]Sheet1!$G$2:$G$1948,0),8),"")</f>
        <v>냉동감자(절단_3~4cm 1Kg/EA)</v>
      </c>
      <c r="Y53" s="11">
        <v>1000</v>
      </c>
      <c r="Z53" s="11"/>
      <c r="AA53" s="63">
        <v>23</v>
      </c>
      <c r="AB53" s="63" t="e">
        <f>P53*AD53</f>
        <v>#DIV/0!</v>
      </c>
      <c r="AC53" s="63" t="e">
        <f>Q53*AD53</f>
        <v>#DIV/0!</v>
      </c>
      <c r="AD53" s="36" t="e">
        <f>AA53/E53</f>
        <v>#DIV/0!</v>
      </c>
      <c r="AE53" s="31">
        <v>410401</v>
      </c>
      <c r="AF53" s="9" t="str">
        <f>IFERROR(INDEX([1]Sheet1!$A$2:$X$1948,MATCH($AE$2:$AE$270,[1]Sheet1!$G$2:$G$1948,0),8),"")</f>
        <v>체리부로 닭다리살(무항생_100±10g/덩어리_껍질있음 KG)</v>
      </c>
      <c r="AG53" s="6">
        <v>9</v>
      </c>
      <c r="AH53" s="6" t="e">
        <f>P53*AJ53</f>
        <v>#DIV/0!</v>
      </c>
      <c r="AI53" s="6" t="e">
        <f>Q53*AJ53</f>
        <v>#DIV/0!</v>
      </c>
      <c r="AJ53" s="36" t="e">
        <f>AG53/$E53</f>
        <v>#DIV/0!</v>
      </c>
      <c r="AK53" s="31"/>
      <c r="AL53" s="9">
        <f>IFERROR(INDEX([1]Sheet1!$A$2:$X$1948,MATCH($AK$2:$AK$270,[1]Sheet1!$G$2:$G$1948,0),8),"")</f>
        <v>0</v>
      </c>
      <c r="AM53" s="6"/>
      <c r="AN53" s="6" t="e">
        <f>P53*AP53</f>
        <v>#DIV/0!</v>
      </c>
      <c r="AO53" s="6" t="e">
        <f>Q53*AP53</f>
        <v>#DIV/0!</v>
      </c>
      <c r="AP53" s="36" t="e">
        <f>AM53/$E53</f>
        <v>#DIV/0!</v>
      </c>
    </row>
    <row r="54" spans="1:42">
      <c r="A54" s="30">
        <v>50</v>
      </c>
      <c r="B54" s="145"/>
      <c r="C54" s="225" t="s">
        <v>1408</v>
      </c>
      <c r="D54" s="27"/>
      <c r="E54" s="27"/>
      <c r="F54" s="27"/>
      <c r="G54" s="27"/>
      <c r="H54" s="70" t="s">
        <v>1610</v>
      </c>
      <c r="I54" s="176" t="s">
        <v>821</v>
      </c>
      <c r="J54" s="137" t="s">
        <v>1901</v>
      </c>
      <c r="K54" s="29"/>
      <c r="L54" s="11"/>
      <c r="M54" s="11"/>
      <c r="N54" s="11"/>
      <c r="O54" s="44">
        <f>E54</f>
        <v>0</v>
      </c>
      <c r="P54" s="44"/>
      <c r="Q54" s="44"/>
      <c r="R54" s="53" t="s">
        <v>68</v>
      </c>
      <c r="S54" s="44"/>
      <c r="T54" s="46"/>
      <c r="U54" s="46"/>
      <c r="V54" s="53"/>
      <c r="W54" s="31">
        <v>223307</v>
      </c>
      <c r="X54" s="9" t="str">
        <f>IFERROR(INDEX([1]Sheet1!$A$2:$X$1948,MATCH($W$2:$W$270,[1]Sheet1!$G$2:$G$1948,0),8),"")</f>
        <v>냉동얼갈이(IQF 1Kg/EA)</v>
      </c>
      <c r="Y54" s="11">
        <v>1000</v>
      </c>
      <c r="Z54" s="11"/>
      <c r="AA54" s="63">
        <v>26</v>
      </c>
      <c r="AB54" s="63" t="e">
        <f>P54*AD54</f>
        <v>#DIV/0!</v>
      </c>
      <c r="AC54" s="63" t="e">
        <f>Q54*AD54</f>
        <v>#DIV/0!</v>
      </c>
      <c r="AD54" s="36" t="e">
        <f>AA54/E54</f>
        <v>#DIV/0!</v>
      </c>
      <c r="AE54" s="31"/>
      <c r="AF54" s="9">
        <f>IFERROR(INDEX([1]Sheet1!$A$2:$X$1948,MATCH($AE$2:$AE$270,[1]Sheet1!$G$2:$G$1948,0),8),"")</f>
        <v>0</v>
      </c>
      <c r="AG54" s="6"/>
      <c r="AH54" s="6" t="e">
        <f>P54*AJ54</f>
        <v>#DIV/0!</v>
      </c>
      <c r="AI54" s="6" t="e">
        <f>Q54*AJ54</f>
        <v>#DIV/0!</v>
      </c>
      <c r="AJ54" s="36" t="e">
        <f>AG54/$E54</f>
        <v>#DIV/0!</v>
      </c>
      <c r="AK54" s="31"/>
      <c r="AL54" s="9">
        <f>IFERROR(INDEX([1]Sheet1!$A$2:$X$1948,MATCH($AK$2:$AK$270,[1]Sheet1!$G$2:$G$1948,0),8),"")</f>
        <v>0</v>
      </c>
      <c r="AM54" s="6"/>
      <c r="AN54" s="6" t="e">
        <f>P54*AP54</f>
        <v>#DIV/0!</v>
      </c>
      <c r="AO54" s="6" t="e">
        <f>Q54*AP54</f>
        <v>#DIV/0!</v>
      </c>
      <c r="AP54" s="36" t="e">
        <f>AM54/$E54</f>
        <v>#DIV/0!</v>
      </c>
    </row>
    <row r="55" spans="1:42">
      <c r="A55" s="30">
        <v>51</v>
      </c>
      <c r="B55" s="145"/>
      <c r="C55" s="225" t="s">
        <v>1165</v>
      </c>
      <c r="D55" s="27"/>
      <c r="E55" s="27"/>
      <c r="F55" s="27"/>
      <c r="G55" s="27"/>
      <c r="H55" s="70" t="s">
        <v>1166</v>
      </c>
      <c r="I55" s="176" t="s">
        <v>1161</v>
      </c>
      <c r="J55" s="137" t="s">
        <v>1816</v>
      </c>
      <c r="K55" s="29"/>
      <c r="L55" s="11"/>
      <c r="M55" s="11"/>
      <c r="N55" s="11"/>
      <c r="O55" s="44"/>
      <c r="P55" s="44"/>
      <c r="Q55" s="44"/>
      <c r="R55" s="53"/>
      <c r="S55" s="44"/>
      <c r="T55" s="44"/>
      <c r="U55" s="44"/>
      <c r="V55" s="53"/>
      <c r="W55" s="31"/>
      <c r="X55" s="9"/>
      <c r="Y55" s="11"/>
      <c r="Z55" s="11"/>
      <c r="AA55" s="63"/>
      <c r="AB55" s="63"/>
      <c r="AC55" s="63"/>
      <c r="AD55" s="36"/>
      <c r="AE55" s="31"/>
      <c r="AF55" s="9"/>
      <c r="AG55" s="6"/>
      <c r="AH55" s="6"/>
      <c r="AI55" s="6"/>
      <c r="AJ55" s="36"/>
      <c r="AK55" s="31"/>
      <c r="AL55" s="9"/>
      <c r="AM55" s="6"/>
      <c r="AN55" s="6"/>
      <c r="AO55" s="6"/>
      <c r="AP55" s="36"/>
    </row>
    <row r="56" spans="1:42">
      <c r="A56" s="30">
        <v>52</v>
      </c>
      <c r="B56" s="145"/>
      <c r="C56" s="225" t="s">
        <v>968</v>
      </c>
      <c r="D56" s="27"/>
      <c r="E56" s="27"/>
      <c r="F56" s="27"/>
      <c r="G56" s="27"/>
      <c r="H56" s="70" t="s">
        <v>1745</v>
      </c>
      <c r="I56" s="176" t="s">
        <v>821</v>
      </c>
      <c r="J56" s="137" t="s">
        <v>1819</v>
      </c>
      <c r="K56" s="117"/>
      <c r="L56" s="6"/>
      <c r="M56" s="6"/>
      <c r="N56" s="6"/>
      <c r="O56" s="44"/>
      <c r="P56" s="44"/>
      <c r="Q56" s="44"/>
      <c r="R56" s="53"/>
      <c r="S56" s="44"/>
      <c r="T56" s="44"/>
      <c r="U56" s="44"/>
      <c r="V56" s="53"/>
      <c r="W56" s="31"/>
      <c r="X56" s="9"/>
      <c r="Y56" s="11"/>
      <c r="Z56" s="11"/>
      <c r="AA56" s="63"/>
      <c r="AB56" s="63"/>
      <c r="AC56" s="63"/>
      <c r="AD56" s="36"/>
      <c r="AE56" s="31"/>
      <c r="AF56" s="9"/>
      <c r="AG56" s="6"/>
      <c r="AH56" s="6"/>
      <c r="AI56" s="6"/>
      <c r="AJ56" s="36"/>
      <c r="AK56" s="31"/>
      <c r="AL56" s="9"/>
      <c r="AM56" s="6"/>
      <c r="AN56" s="6"/>
      <c r="AO56" s="6"/>
      <c r="AP56" s="36"/>
    </row>
    <row r="57" spans="1:42">
      <c r="A57" s="30">
        <v>53</v>
      </c>
      <c r="B57" s="145"/>
      <c r="C57" s="225" t="s">
        <v>1019</v>
      </c>
      <c r="D57" s="27"/>
      <c r="E57" s="27"/>
      <c r="F57" s="27"/>
      <c r="G57" s="27"/>
      <c r="H57" s="70" t="s">
        <v>1304</v>
      </c>
      <c r="I57" s="176" t="s">
        <v>871</v>
      </c>
      <c r="J57" s="137"/>
      <c r="K57" s="117"/>
      <c r="L57" s="6"/>
      <c r="M57" s="6"/>
      <c r="N57" s="6"/>
      <c r="O57" s="44"/>
      <c r="P57" s="44"/>
      <c r="Q57" s="44"/>
      <c r="R57" s="53"/>
      <c r="S57" s="44"/>
      <c r="T57" s="44"/>
      <c r="U57" s="44"/>
      <c r="V57" s="53"/>
      <c r="W57" s="31"/>
      <c r="X57" s="9"/>
      <c r="Y57" s="11"/>
      <c r="Z57" s="11"/>
      <c r="AA57" s="63"/>
      <c r="AB57" s="63"/>
      <c r="AC57" s="63"/>
      <c r="AD57" s="36"/>
      <c r="AE57" s="31"/>
      <c r="AF57" s="9"/>
      <c r="AG57" s="6"/>
      <c r="AH57" s="6"/>
      <c r="AI57" s="6"/>
      <c r="AJ57" s="36"/>
      <c r="AK57" s="31"/>
      <c r="AL57" s="9"/>
      <c r="AM57" s="6"/>
      <c r="AN57" s="6"/>
      <c r="AO57" s="6"/>
      <c r="AP57" s="36"/>
    </row>
    <row r="58" spans="1:42">
      <c r="A58" s="30">
        <v>54</v>
      </c>
      <c r="B58" s="145"/>
      <c r="C58" s="225" t="s">
        <v>1857</v>
      </c>
      <c r="D58" s="27"/>
      <c r="E58" s="27"/>
      <c r="F58" s="27"/>
      <c r="G58" s="27"/>
      <c r="H58" s="70" t="s">
        <v>1858</v>
      </c>
      <c r="I58" s="176" t="s">
        <v>1859</v>
      </c>
      <c r="J58" s="137" t="s">
        <v>1860</v>
      </c>
      <c r="K58" s="117"/>
      <c r="L58" s="6"/>
      <c r="M58" s="6"/>
      <c r="N58" s="6"/>
      <c r="O58" s="44"/>
      <c r="P58" s="44"/>
      <c r="Q58" s="44"/>
      <c r="R58" s="53"/>
      <c r="S58" s="44"/>
      <c r="T58" s="44"/>
      <c r="U58" s="44"/>
      <c r="V58" s="53"/>
      <c r="W58" s="31"/>
      <c r="X58" s="9"/>
      <c r="Y58" s="11"/>
      <c r="Z58" s="11"/>
      <c r="AA58" s="63"/>
      <c r="AB58" s="63"/>
      <c r="AC58" s="63"/>
      <c r="AD58" s="36"/>
      <c r="AE58" s="31"/>
      <c r="AF58" s="9"/>
      <c r="AG58" s="6"/>
      <c r="AH58" s="6"/>
      <c r="AI58" s="6"/>
      <c r="AJ58" s="36"/>
      <c r="AK58" s="31"/>
      <c r="AL58" s="9"/>
      <c r="AM58" s="6"/>
      <c r="AN58" s="6"/>
      <c r="AO58" s="6"/>
      <c r="AP58" s="36"/>
    </row>
    <row r="59" spans="1:42" ht="20.100000000000001" customHeight="1">
      <c r="A59" s="30">
        <v>55</v>
      </c>
      <c r="B59" s="145"/>
      <c r="C59" s="225" t="s">
        <v>2065</v>
      </c>
      <c r="D59" s="27"/>
      <c r="E59" s="27"/>
      <c r="F59" s="27"/>
      <c r="G59" s="27"/>
      <c r="H59" s="131" t="s">
        <v>1209</v>
      </c>
      <c r="I59" s="179" t="s">
        <v>1180</v>
      </c>
      <c r="J59" s="137" t="s">
        <v>1770</v>
      </c>
      <c r="K59" s="117"/>
      <c r="L59" s="6"/>
      <c r="M59" s="6"/>
      <c r="N59" s="6"/>
      <c r="O59" s="44"/>
      <c r="P59" s="44"/>
      <c r="Q59" s="44"/>
      <c r="R59" s="53"/>
      <c r="S59" s="44"/>
      <c r="T59" s="44"/>
      <c r="U59" s="44"/>
      <c r="V59" s="53"/>
      <c r="W59" s="31"/>
      <c r="X59" s="9"/>
      <c r="Y59" s="11"/>
      <c r="Z59" s="11"/>
      <c r="AA59" s="63"/>
      <c r="AB59" s="63"/>
      <c r="AC59" s="63"/>
      <c r="AD59" s="36"/>
      <c r="AE59" s="31"/>
      <c r="AF59" s="9"/>
      <c r="AG59" s="6"/>
      <c r="AH59" s="6"/>
      <c r="AI59" s="6"/>
      <c r="AJ59" s="36"/>
      <c r="AK59" s="31"/>
      <c r="AL59" s="9"/>
      <c r="AM59" s="6"/>
      <c r="AN59" s="6"/>
      <c r="AO59" s="6"/>
      <c r="AP59" s="36"/>
    </row>
    <row r="60" spans="1:42">
      <c r="A60" s="30">
        <v>41</v>
      </c>
      <c r="B60" s="145"/>
      <c r="C60" s="133" t="s">
        <v>1269</v>
      </c>
      <c r="D60" s="27"/>
      <c r="E60" s="27"/>
      <c r="F60" s="27"/>
      <c r="G60" s="27"/>
      <c r="H60" s="70" t="s">
        <v>2064</v>
      </c>
      <c r="I60" s="176" t="s">
        <v>1180</v>
      </c>
      <c r="J60" s="137"/>
      <c r="K60" s="29"/>
      <c r="L60" s="11"/>
      <c r="M60" s="11"/>
      <c r="N60" s="11"/>
      <c r="O60" s="44"/>
      <c r="P60" s="44"/>
      <c r="Q60" s="44"/>
      <c r="R60" s="53"/>
      <c r="S60" s="44"/>
      <c r="T60" s="44"/>
      <c r="U60" s="44"/>
      <c r="V60" s="53"/>
      <c r="W60" s="31"/>
      <c r="X60" s="9"/>
      <c r="Y60" s="11"/>
      <c r="Z60" s="11"/>
      <c r="AA60" s="63"/>
      <c r="AB60" s="63"/>
      <c r="AC60" s="63"/>
      <c r="AD60" s="36"/>
      <c r="AE60" s="31"/>
      <c r="AF60" s="9"/>
      <c r="AG60" s="6"/>
      <c r="AH60" s="6"/>
      <c r="AI60" s="6"/>
      <c r="AJ60" s="36"/>
      <c r="AK60" s="31"/>
      <c r="AL60" s="9"/>
      <c r="AM60" s="6"/>
      <c r="AN60" s="6"/>
      <c r="AO60" s="6"/>
      <c r="AP60" s="36"/>
    </row>
    <row r="61" spans="1:42" ht="20.100000000000001" customHeight="1">
      <c r="A61" s="30">
        <v>56</v>
      </c>
      <c r="B61" s="145"/>
      <c r="C61" s="225" t="s">
        <v>1828</v>
      </c>
      <c r="D61" s="27"/>
      <c r="E61" s="27"/>
      <c r="F61" s="27"/>
      <c r="G61" s="27"/>
      <c r="H61" s="131" t="s">
        <v>1827</v>
      </c>
      <c r="I61" s="179" t="s">
        <v>1309</v>
      </c>
      <c r="J61" s="137" t="s">
        <v>1310</v>
      </c>
      <c r="K61" s="117"/>
      <c r="L61" s="6"/>
      <c r="M61" s="6"/>
      <c r="N61" s="6"/>
      <c r="O61" s="44"/>
      <c r="P61" s="44"/>
      <c r="Q61" s="44"/>
      <c r="R61" s="53"/>
      <c r="S61" s="44"/>
      <c r="T61" s="44"/>
      <c r="U61" s="44"/>
      <c r="V61" s="53"/>
      <c r="W61" s="31"/>
      <c r="X61" s="9"/>
      <c r="Y61" s="11"/>
      <c r="Z61" s="11"/>
      <c r="AA61" s="63"/>
      <c r="AB61" s="63"/>
      <c r="AC61" s="63"/>
      <c r="AD61" s="36"/>
      <c r="AE61" s="31"/>
      <c r="AF61" s="9"/>
      <c r="AG61" s="6"/>
      <c r="AH61" s="6"/>
      <c r="AI61" s="6"/>
      <c r="AJ61" s="36"/>
      <c r="AK61" s="31"/>
      <c r="AL61" s="9"/>
      <c r="AM61" s="6"/>
      <c r="AN61" s="6"/>
      <c r="AO61" s="6"/>
      <c r="AP61" s="36"/>
    </row>
    <row r="62" spans="1:42" ht="40.5">
      <c r="A62" s="30">
        <v>57</v>
      </c>
      <c r="B62" s="145"/>
      <c r="C62" s="225" t="s">
        <v>1946</v>
      </c>
      <c r="D62" s="27"/>
      <c r="E62" s="27"/>
      <c r="F62" s="27"/>
      <c r="G62" s="27"/>
      <c r="H62" s="132" t="s">
        <v>1949</v>
      </c>
      <c r="I62" s="180" t="s">
        <v>822</v>
      </c>
      <c r="J62" s="137" t="s">
        <v>1947</v>
      </c>
      <c r="K62" s="117"/>
      <c r="L62" s="6">
        <v>42080</v>
      </c>
      <c r="M62" s="6">
        <v>2104</v>
      </c>
      <c r="N62" s="6">
        <v>44184</v>
      </c>
      <c r="O62" s="44">
        <f>E62</f>
        <v>0</v>
      </c>
      <c r="P62" s="44">
        <f>D62</f>
        <v>0</v>
      </c>
      <c r="Q62" s="44">
        <f>D62</f>
        <v>0</v>
      </c>
      <c r="R62" s="53" t="s">
        <v>68</v>
      </c>
      <c r="S62" s="44">
        <f>E62</f>
        <v>0</v>
      </c>
      <c r="T62" s="44">
        <f>D62</f>
        <v>0</v>
      </c>
      <c r="U62" s="44">
        <f>D62</f>
        <v>0</v>
      </c>
      <c r="V62" s="53"/>
      <c r="W62" s="31">
        <v>204418</v>
      </c>
      <c r="X62" s="9" t="str">
        <f>IFERROR(INDEX([1]Sheet1!$A$2:$X$1948,MATCH($W$2:$W$270,[1]Sheet1!$G$2:$G$1948,0),8),"")</f>
        <v>무우(특품 9~12개입 18Kg/BOX)</v>
      </c>
      <c r="Y62" s="11">
        <v>18000</v>
      </c>
      <c r="Z62" s="11"/>
      <c r="AA62" s="63">
        <v>32</v>
      </c>
      <c r="AB62" s="63" t="e">
        <f>T62*AD62</f>
        <v>#DIV/0!</v>
      </c>
      <c r="AC62" s="63" t="e">
        <f>U62*AD62</f>
        <v>#DIV/0!</v>
      </c>
      <c r="AD62" s="36" t="e">
        <f>AA62/E62</f>
        <v>#DIV/0!</v>
      </c>
      <c r="AE62" s="31">
        <v>313064</v>
      </c>
      <c r="AF62" s="9" t="str">
        <f>IFERROR(INDEX([1]Sheet1!$A$2:$X$1948,MATCH($AE$2:$AE$270,[1]Sheet1!$G$2:$G$1948,0),8),"")</f>
        <v>아이누리 오징어몸채(500g/EA)</v>
      </c>
      <c r="AG62" s="6">
        <v>20</v>
      </c>
      <c r="AH62" s="6" t="e">
        <f>P62*AJ62</f>
        <v>#DIV/0!</v>
      </c>
      <c r="AI62" s="6" t="e">
        <f>Q62*AJ62</f>
        <v>#DIV/0!</v>
      </c>
      <c r="AJ62" s="36" t="e">
        <f>AG62/$E62</f>
        <v>#DIV/0!</v>
      </c>
      <c r="AK62" s="31"/>
      <c r="AL62" s="9">
        <f>IFERROR(INDEX([1]Sheet1!$A$2:$X$1948,MATCH($AK$2:$AK$270,[1]Sheet1!$G$2:$G$1948,0),8),"")</f>
        <v>0</v>
      </c>
      <c r="AM62" s="6"/>
      <c r="AN62" s="6"/>
      <c r="AO62" s="6"/>
      <c r="AP62" s="36"/>
    </row>
    <row r="63" spans="1:42" ht="27">
      <c r="A63" s="30">
        <v>58</v>
      </c>
      <c r="B63" s="145"/>
      <c r="C63" s="225" t="s">
        <v>1533</v>
      </c>
      <c r="D63" s="27"/>
      <c r="E63" s="27"/>
      <c r="F63" s="27"/>
      <c r="G63" s="27"/>
      <c r="H63" s="132" t="s">
        <v>1948</v>
      </c>
      <c r="I63" s="180" t="s">
        <v>933</v>
      </c>
      <c r="J63" s="137" t="s">
        <v>637</v>
      </c>
      <c r="K63" s="117"/>
      <c r="L63" s="6"/>
      <c r="M63" s="6"/>
      <c r="N63" s="6"/>
      <c r="O63" s="44"/>
      <c r="P63" s="44"/>
      <c r="Q63" s="44"/>
      <c r="R63" s="53"/>
      <c r="S63" s="44"/>
      <c r="T63" s="44"/>
      <c r="U63" s="44"/>
      <c r="V63" s="53"/>
      <c r="W63" s="31"/>
      <c r="X63" s="9"/>
      <c r="Y63" s="11"/>
      <c r="Z63" s="11"/>
      <c r="AA63" s="63"/>
      <c r="AB63" s="63"/>
      <c r="AC63" s="63"/>
      <c r="AD63" s="36"/>
      <c r="AE63" s="31"/>
      <c r="AF63" s="9"/>
      <c r="AG63" s="6"/>
      <c r="AH63" s="6"/>
      <c r="AI63" s="6"/>
      <c r="AJ63" s="36"/>
      <c r="AK63" s="31"/>
      <c r="AL63" s="9"/>
      <c r="AM63" s="6"/>
      <c r="AN63" s="6"/>
      <c r="AO63" s="6"/>
      <c r="AP63" s="36"/>
    </row>
    <row r="64" spans="1:42">
      <c r="A64" s="30">
        <v>59</v>
      </c>
      <c r="B64" s="145"/>
      <c r="C64" s="225" t="s">
        <v>1744</v>
      </c>
      <c r="D64" s="27"/>
      <c r="E64" s="27"/>
      <c r="F64" s="27"/>
      <c r="G64" s="27"/>
      <c r="H64" s="70" t="s">
        <v>1106</v>
      </c>
      <c r="I64" s="176" t="s">
        <v>821</v>
      </c>
      <c r="J64" s="137"/>
      <c r="K64" s="117"/>
      <c r="L64" s="6"/>
      <c r="M64" s="6"/>
      <c r="N64" s="6"/>
      <c r="O64" s="44"/>
      <c r="P64" s="44"/>
      <c r="Q64" s="44"/>
      <c r="R64" s="53"/>
      <c r="S64" s="44"/>
      <c r="T64" s="44"/>
      <c r="U64" s="44"/>
      <c r="V64" s="53"/>
      <c r="W64" s="31"/>
      <c r="X64" s="9"/>
      <c r="Y64" s="11"/>
      <c r="Z64" s="11"/>
      <c r="AA64" s="63"/>
      <c r="AB64" s="63"/>
      <c r="AC64" s="63"/>
      <c r="AD64" s="36"/>
      <c r="AE64" s="31"/>
      <c r="AF64" s="9"/>
      <c r="AG64" s="6"/>
      <c r="AH64" s="6"/>
      <c r="AI64" s="6"/>
      <c r="AJ64" s="36"/>
      <c r="AK64" s="31"/>
      <c r="AL64" s="9"/>
      <c r="AM64" s="6"/>
      <c r="AN64" s="6"/>
      <c r="AO64" s="6"/>
      <c r="AP64" s="36"/>
    </row>
    <row r="65" spans="1:42">
      <c r="A65" s="30">
        <v>60</v>
      </c>
      <c r="B65" s="145"/>
      <c r="C65" s="225" t="s">
        <v>1038</v>
      </c>
      <c r="D65" s="27"/>
      <c r="E65" s="27"/>
      <c r="F65" s="27"/>
      <c r="G65" s="27"/>
      <c r="H65" s="132" t="s">
        <v>1101</v>
      </c>
      <c r="I65" s="180" t="s">
        <v>821</v>
      </c>
      <c r="J65" s="137" t="s">
        <v>670</v>
      </c>
      <c r="K65" s="29"/>
      <c r="L65" s="11"/>
      <c r="M65" s="11"/>
      <c r="N65" s="11"/>
      <c r="O65" s="44"/>
      <c r="P65" s="44"/>
      <c r="Q65" s="44"/>
      <c r="R65" s="53"/>
      <c r="S65" s="44"/>
      <c r="T65" s="44"/>
      <c r="U65" s="44"/>
      <c r="V65" s="53"/>
      <c r="W65" s="31"/>
      <c r="X65" s="9"/>
      <c r="Y65" s="11"/>
      <c r="Z65" s="11"/>
      <c r="AA65" s="63"/>
      <c r="AB65" s="63"/>
      <c r="AC65" s="63"/>
      <c r="AD65" s="36"/>
      <c r="AE65" s="31"/>
      <c r="AF65" s="9"/>
      <c r="AG65" s="6"/>
      <c r="AH65" s="6"/>
      <c r="AI65" s="6"/>
      <c r="AJ65" s="36"/>
      <c r="AK65" s="31"/>
      <c r="AL65" s="9"/>
      <c r="AM65" s="6"/>
      <c r="AN65" s="6"/>
      <c r="AO65" s="6"/>
      <c r="AP65" s="36"/>
    </row>
    <row r="66" spans="1:42">
      <c r="A66" s="30">
        <v>61</v>
      </c>
      <c r="B66" s="145"/>
      <c r="C66" s="225" t="s">
        <v>1247</v>
      </c>
      <c r="D66" s="27"/>
      <c r="E66" s="27"/>
      <c r="F66" s="27"/>
      <c r="G66" s="27"/>
      <c r="H66" s="70" t="s">
        <v>1119</v>
      </c>
      <c r="I66" s="176" t="s">
        <v>821</v>
      </c>
      <c r="J66" s="137"/>
      <c r="K66" s="117"/>
      <c r="L66" s="6"/>
      <c r="M66" s="6"/>
      <c r="N66" s="6"/>
      <c r="O66" s="44">
        <f>E66</f>
        <v>0</v>
      </c>
      <c r="P66" s="44">
        <f>D66</f>
        <v>0</v>
      </c>
      <c r="Q66" s="44">
        <f>D66</f>
        <v>0</v>
      </c>
      <c r="R66" s="53" t="s">
        <v>68</v>
      </c>
      <c r="S66" s="44">
        <f>E66</f>
        <v>0</v>
      </c>
      <c r="T66" s="44">
        <f>D66</f>
        <v>0</v>
      </c>
      <c r="U66" s="44">
        <f>D66</f>
        <v>0</v>
      </c>
      <c r="V66" s="53"/>
      <c r="W66" s="31">
        <v>105902</v>
      </c>
      <c r="X66" s="9" t="str">
        <f>IFERROR(INDEX([1]Sheet1!$A$2:$X$1948,MATCH($W$2:$W$270,[1]Sheet1!$G$2:$G$1948,0),8),"")</f>
        <v>아와세 아까미소(일식용 1Kg/EA)</v>
      </c>
      <c r="Y66" s="11">
        <v>1000</v>
      </c>
      <c r="Z66" s="11"/>
      <c r="AA66" s="63">
        <v>15</v>
      </c>
      <c r="AB66" s="63" t="e">
        <f>T66*AD66</f>
        <v>#DIV/0!</v>
      </c>
      <c r="AC66" s="63" t="e">
        <f>U66*AD66</f>
        <v>#DIV/0!</v>
      </c>
      <c r="AD66" s="36" t="e">
        <f>AA66/E66</f>
        <v>#DIV/0!</v>
      </c>
      <c r="AE66" s="31">
        <v>318643</v>
      </c>
      <c r="AF66" s="9" t="str">
        <f>IFERROR(INDEX([1]Sheet1!$A$2:$X$1948,MATCH($AE$2:$AE$270,[1]Sheet1!$G$2:$G$1948,0),8),"")</f>
        <v>아이누리 자른건미역(상품 200g/EA)</v>
      </c>
      <c r="AG66" s="6">
        <v>3</v>
      </c>
      <c r="AH66" s="6" t="e">
        <f>P66*AJ66</f>
        <v>#DIV/0!</v>
      </c>
      <c r="AI66" s="6" t="e">
        <f>Q66*AJ66</f>
        <v>#DIV/0!</v>
      </c>
      <c r="AJ66" s="36" t="e">
        <f>AG66/$E66</f>
        <v>#DIV/0!</v>
      </c>
      <c r="AK66" s="31">
        <v>266412</v>
      </c>
      <c r="AL66" s="9" t="str">
        <f>IFERROR(INDEX([1]Sheet1!$A$2:$X$1948,MATCH($AK$2:$AK$270,[1]Sheet1!$G$2:$G$1948,0),8),"")</f>
        <v>한미식품 유부(슬라이스 1Kg/EA)</v>
      </c>
      <c r="AM66" s="6"/>
      <c r="AN66" s="6"/>
      <c r="AO66" s="6"/>
      <c r="AP66" s="36"/>
    </row>
    <row r="67" spans="1:42" ht="20.100000000000001" customHeight="1">
      <c r="A67" s="30">
        <v>62</v>
      </c>
      <c r="B67" s="145"/>
      <c r="C67" s="225" t="s">
        <v>773</v>
      </c>
      <c r="D67" s="27"/>
      <c r="E67" s="27"/>
      <c r="F67" s="27"/>
      <c r="G67" s="27"/>
      <c r="H67" s="70" t="s">
        <v>1096</v>
      </c>
      <c r="I67" s="176" t="s">
        <v>867</v>
      </c>
      <c r="J67" s="137" t="s">
        <v>1819</v>
      </c>
      <c r="K67" s="117"/>
      <c r="L67" s="6"/>
      <c r="M67" s="6"/>
      <c r="N67" s="6"/>
      <c r="O67" s="44"/>
      <c r="P67" s="44"/>
      <c r="Q67" s="44"/>
      <c r="R67" s="53"/>
      <c r="S67" s="44"/>
      <c r="T67" s="44"/>
      <c r="U67" s="44"/>
      <c r="V67" s="53"/>
      <c r="W67" s="31"/>
      <c r="X67" s="9"/>
      <c r="Y67" s="11"/>
      <c r="Z67" s="11"/>
      <c r="AA67" s="63"/>
      <c r="AB67" s="63"/>
      <c r="AC67" s="63"/>
      <c r="AD67" s="36"/>
      <c r="AE67" s="31"/>
      <c r="AF67" s="9"/>
      <c r="AG67" s="6"/>
      <c r="AH67" s="6"/>
      <c r="AI67" s="6"/>
      <c r="AJ67" s="36"/>
      <c r="AK67" s="31"/>
      <c r="AL67" s="9"/>
      <c r="AM67" s="6"/>
      <c r="AN67" s="6"/>
      <c r="AO67" s="6"/>
      <c r="AP67" s="36"/>
    </row>
    <row r="68" spans="1:42">
      <c r="A68" s="30">
        <v>63</v>
      </c>
      <c r="B68" s="145"/>
      <c r="C68" s="143" t="s">
        <v>952</v>
      </c>
      <c r="D68" s="27"/>
      <c r="E68" s="27"/>
      <c r="F68" s="27"/>
      <c r="G68" s="27"/>
      <c r="H68" s="70" t="s">
        <v>1099</v>
      </c>
      <c r="I68" s="176" t="s">
        <v>821</v>
      </c>
      <c r="J68" s="137" t="s">
        <v>1819</v>
      </c>
      <c r="K68" s="29"/>
      <c r="L68" s="11"/>
      <c r="M68" s="11"/>
      <c r="N68" s="11"/>
      <c r="O68" s="44">
        <f>E68</f>
        <v>0</v>
      </c>
      <c r="P68" s="44">
        <f>D68</f>
        <v>0</v>
      </c>
      <c r="Q68" s="44">
        <f>D68</f>
        <v>0</v>
      </c>
      <c r="R68" s="53" t="s">
        <v>68</v>
      </c>
      <c r="S68" s="44">
        <f>E68</f>
        <v>0</v>
      </c>
      <c r="T68" s="44">
        <f>D68</f>
        <v>0</v>
      </c>
      <c r="U68" s="44">
        <f>D68</f>
        <v>0</v>
      </c>
      <c r="V68" s="53"/>
      <c r="W68" s="31">
        <v>219387</v>
      </c>
      <c r="X68" s="9" t="str">
        <f>IFERROR(INDEX([1]Sheet1!$A$2:$X$1948,MATCH($W$2:$W$270,[1]Sheet1!$G$2:$G$1948,0),8),"")</f>
        <v>냉동배추우거지(1Kg/EA)</v>
      </c>
      <c r="Y68" s="11">
        <v>1000</v>
      </c>
      <c r="Z68" s="11"/>
      <c r="AA68" s="63">
        <v>26</v>
      </c>
      <c r="AB68" s="63" t="e">
        <f>T68*AD68</f>
        <v>#DIV/0!</v>
      </c>
      <c r="AC68" s="63" t="e">
        <f>U68*AD68</f>
        <v>#DIV/0!</v>
      </c>
      <c r="AD68" s="36" t="e">
        <f>AA68/E68</f>
        <v>#DIV/0!</v>
      </c>
      <c r="AE68" s="31">
        <v>168257</v>
      </c>
      <c r="AF68" s="9" t="str">
        <f>IFERROR(INDEX([1]Sheet1!$A$2:$X$1948,MATCH($AE$2:$AE$270,[1]Sheet1!$G$2:$G$1948,0),8),"")</f>
        <v>명품 판두부(찌개용 3Kg/EA)</v>
      </c>
      <c r="AG68" s="6">
        <v>17</v>
      </c>
      <c r="AH68" s="6" t="e">
        <f>P68*AJ68</f>
        <v>#DIV/0!</v>
      </c>
      <c r="AI68" s="6" t="e">
        <f>Q68*AJ68</f>
        <v>#DIV/0!</v>
      </c>
      <c r="AJ68" s="36" t="e">
        <f>AG68/$E68</f>
        <v>#DIV/0!</v>
      </c>
      <c r="AK68" s="31"/>
      <c r="AL68" s="9">
        <f>IFERROR(INDEX([1]Sheet1!$A$2:$X$1948,MATCH($AK$2:$AK$270,[1]Sheet1!$G$2:$G$1948,0),8),"")</f>
        <v>0</v>
      </c>
      <c r="AM68" s="6"/>
      <c r="AN68" s="6"/>
      <c r="AO68" s="6"/>
      <c r="AP68" s="36"/>
    </row>
    <row r="69" spans="1:42">
      <c r="A69" s="30">
        <v>64</v>
      </c>
      <c r="B69" s="145"/>
      <c r="C69" s="143" t="s">
        <v>1420</v>
      </c>
      <c r="D69" s="27"/>
      <c r="E69" s="27"/>
      <c r="F69" s="27"/>
      <c r="G69" s="27"/>
      <c r="H69" s="70" t="s">
        <v>1702</v>
      </c>
      <c r="I69" s="176" t="s">
        <v>875</v>
      </c>
      <c r="J69" s="137"/>
      <c r="K69" s="29"/>
      <c r="L69" s="11"/>
      <c r="M69" s="11"/>
      <c r="N69" s="11"/>
      <c r="O69" s="44">
        <f>E69</f>
        <v>0</v>
      </c>
      <c r="P69" s="44">
        <f>D69</f>
        <v>0</v>
      </c>
      <c r="Q69" s="44">
        <f>D69</f>
        <v>0</v>
      </c>
      <c r="R69" s="53" t="s">
        <v>68</v>
      </c>
      <c r="S69" s="44">
        <f>E69</f>
        <v>0</v>
      </c>
      <c r="T69" s="44">
        <f>D69</f>
        <v>0</v>
      </c>
      <c r="U69" s="44">
        <f>D69</f>
        <v>0</v>
      </c>
      <c r="V69" s="53"/>
      <c r="W69" s="31">
        <v>318643</v>
      </c>
      <c r="X69" s="9" t="str">
        <f>IFERROR(INDEX([1]Sheet1!$A$2:$X$1948,MATCH($W$2:$W$270,[1]Sheet1!$G$2:$G$1948,0),8),"")</f>
        <v>아이누리 자른건미역(상품 200g/EA)</v>
      </c>
      <c r="Y69" s="11">
        <v>200</v>
      </c>
      <c r="Z69" s="11"/>
      <c r="AA69" s="63">
        <v>3</v>
      </c>
      <c r="AB69" s="63" t="e">
        <f>T69*AD69</f>
        <v>#DIV/0!</v>
      </c>
      <c r="AC69" s="63" t="e">
        <f>U69*AD69</f>
        <v>#DIV/0!</v>
      </c>
      <c r="AD69" s="36" t="e">
        <f>AA69/E69</f>
        <v>#DIV/0!</v>
      </c>
      <c r="AE69" s="31">
        <v>424285</v>
      </c>
      <c r="AF69" s="9" t="str">
        <f>IFERROR(INDEX([1]Sheet1!$A$2:$X$1948,MATCH($AE$2:$AE$270,[1]Sheet1!$G$2:$G$1948,0),8),"")</f>
        <v>소양지(3*2*0.3cm_저지방 키즈용_국거리용 KG)</v>
      </c>
      <c r="AG69" s="6">
        <v>10</v>
      </c>
      <c r="AH69" s="6" t="e">
        <f>P69*AJ69</f>
        <v>#DIV/0!</v>
      </c>
      <c r="AI69" s="6" t="e">
        <f>Q69*AJ69</f>
        <v>#DIV/0!</v>
      </c>
      <c r="AJ69" s="36" t="e">
        <f>AG69/$E69</f>
        <v>#DIV/0!</v>
      </c>
      <c r="AK69" s="31"/>
      <c r="AL69" s="9">
        <f>IFERROR(INDEX([1]Sheet1!$A$2:$X$1948,MATCH($AK$2:$AK$270,[1]Sheet1!$G$2:$G$1948,0),8),"")</f>
        <v>0</v>
      </c>
      <c r="AM69" s="6"/>
      <c r="AN69" s="6"/>
      <c r="AO69" s="6"/>
      <c r="AP69" s="36"/>
    </row>
    <row r="70" spans="1:42">
      <c r="A70" s="30"/>
      <c r="B70" s="145"/>
      <c r="C70" s="143" t="s">
        <v>1700</v>
      </c>
      <c r="D70" s="27"/>
      <c r="E70" s="27"/>
      <c r="F70" s="27"/>
      <c r="G70" s="27"/>
      <c r="H70" s="70" t="s">
        <v>1701</v>
      </c>
      <c r="I70" s="176" t="s">
        <v>1180</v>
      </c>
      <c r="J70" s="137" t="s">
        <v>1770</v>
      </c>
      <c r="K70" s="29"/>
      <c r="L70" s="11"/>
      <c r="M70" s="11"/>
      <c r="N70" s="11"/>
      <c r="O70" s="44"/>
      <c r="P70" s="44"/>
      <c r="Q70" s="44"/>
      <c r="R70" s="53"/>
      <c r="S70" s="44"/>
      <c r="T70" s="44"/>
      <c r="U70" s="44"/>
      <c r="V70" s="53"/>
      <c r="W70" s="31"/>
      <c r="X70" s="9"/>
      <c r="Y70" s="11"/>
      <c r="Z70" s="11"/>
      <c r="AA70" s="63"/>
      <c r="AB70" s="63"/>
      <c r="AC70" s="63"/>
      <c r="AD70" s="36"/>
      <c r="AE70" s="31"/>
      <c r="AF70" s="9"/>
      <c r="AG70" s="6"/>
      <c r="AH70" s="6"/>
      <c r="AI70" s="6"/>
      <c r="AJ70" s="36"/>
      <c r="AK70" s="31"/>
      <c r="AL70" s="9"/>
      <c r="AM70" s="6"/>
      <c r="AN70" s="6"/>
      <c r="AO70" s="6"/>
      <c r="AP70" s="36"/>
    </row>
    <row r="71" spans="1:42">
      <c r="A71" s="30">
        <v>65</v>
      </c>
      <c r="B71" s="145"/>
      <c r="C71" s="143" t="s">
        <v>1421</v>
      </c>
      <c r="D71" s="27"/>
      <c r="E71" s="27"/>
      <c r="F71" s="27"/>
      <c r="G71" s="27"/>
      <c r="H71" s="70" t="s">
        <v>1582</v>
      </c>
      <c r="I71" s="176" t="s">
        <v>1422</v>
      </c>
      <c r="J71" s="137"/>
      <c r="K71" s="29"/>
      <c r="L71" s="11"/>
      <c r="M71" s="11"/>
      <c r="N71" s="11"/>
      <c r="O71" s="44"/>
      <c r="P71" s="44"/>
      <c r="Q71" s="44"/>
      <c r="R71" s="53"/>
      <c r="S71" s="44"/>
      <c r="T71" s="44"/>
      <c r="U71" s="44"/>
      <c r="V71" s="53"/>
      <c r="W71" s="31"/>
      <c r="X71" s="9"/>
      <c r="Y71" s="11"/>
      <c r="Z71" s="11"/>
      <c r="AA71" s="63"/>
      <c r="AB71" s="63"/>
      <c r="AC71" s="63"/>
      <c r="AD71" s="36"/>
      <c r="AE71" s="31"/>
      <c r="AF71" s="9"/>
      <c r="AG71" s="6"/>
      <c r="AH71" s="6"/>
      <c r="AI71" s="6"/>
      <c r="AJ71" s="36"/>
      <c r="AK71" s="31"/>
      <c r="AL71" s="9"/>
      <c r="AM71" s="6"/>
      <c r="AN71" s="6"/>
      <c r="AO71" s="6"/>
      <c r="AP71" s="36"/>
    </row>
    <row r="72" spans="1:42">
      <c r="A72" s="30">
        <v>66</v>
      </c>
      <c r="B72" s="145"/>
      <c r="C72" s="143" t="s">
        <v>1825</v>
      </c>
      <c r="D72" s="27"/>
      <c r="E72" s="27"/>
      <c r="F72" s="27"/>
      <c r="G72" s="27"/>
      <c r="H72" s="105" t="s">
        <v>1824</v>
      </c>
      <c r="I72" s="177" t="s">
        <v>889</v>
      </c>
      <c r="J72" s="137"/>
      <c r="K72" s="117"/>
      <c r="L72" s="6"/>
      <c r="M72" s="6"/>
      <c r="N72" s="6"/>
      <c r="O72" s="44"/>
      <c r="P72" s="44"/>
      <c r="Q72" s="44"/>
      <c r="R72" s="53"/>
      <c r="S72" s="44"/>
      <c r="T72" s="44"/>
      <c r="U72" s="44"/>
      <c r="V72" s="53"/>
      <c r="W72" s="31"/>
      <c r="X72" s="9"/>
      <c r="Y72" s="11"/>
      <c r="Z72" s="11"/>
      <c r="AA72" s="63"/>
      <c r="AB72" s="63"/>
      <c r="AC72" s="63"/>
      <c r="AD72" s="36"/>
      <c r="AE72" s="31"/>
      <c r="AF72" s="9"/>
      <c r="AG72" s="6"/>
      <c r="AH72" s="6"/>
      <c r="AI72" s="6"/>
      <c r="AJ72" s="36"/>
      <c r="AK72" s="31"/>
      <c r="AL72" s="9"/>
      <c r="AM72" s="6"/>
      <c r="AN72" s="6"/>
      <c r="AO72" s="6"/>
      <c r="AP72" s="36"/>
    </row>
    <row r="73" spans="1:42">
      <c r="A73" s="30">
        <v>67</v>
      </c>
      <c r="B73" s="145"/>
      <c r="C73" s="143" t="s">
        <v>542</v>
      </c>
      <c r="D73" s="27"/>
      <c r="E73" s="27"/>
      <c r="F73" s="27"/>
      <c r="G73" s="27"/>
      <c r="H73" s="70" t="s">
        <v>620</v>
      </c>
      <c r="I73" s="176" t="s">
        <v>828</v>
      </c>
      <c r="J73" s="137" t="s">
        <v>1854</v>
      </c>
      <c r="K73" s="117"/>
      <c r="L73" s="6"/>
      <c r="M73" s="6"/>
      <c r="N73" s="6"/>
      <c r="O73" s="44"/>
      <c r="P73" s="44"/>
      <c r="Q73" s="44"/>
      <c r="R73" s="53"/>
      <c r="S73" s="44"/>
      <c r="T73" s="44"/>
      <c r="U73" s="44"/>
      <c r="V73" s="53"/>
      <c r="W73" s="31"/>
      <c r="X73" s="9"/>
      <c r="Y73" s="11"/>
      <c r="Z73" s="11"/>
      <c r="AA73" s="63"/>
      <c r="AB73" s="63"/>
      <c r="AC73" s="63"/>
      <c r="AD73" s="36"/>
      <c r="AE73" s="31"/>
      <c r="AF73" s="9"/>
      <c r="AG73" s="6"/>
      <c r="AH73" s="6"/>
      <c r="AI73" s="6"/>
      <c r="AJ73" s="36"/>
      <c r="AK73" s="31"/>
      <c r="AL73" s="9"/>
      <c r="AM73" s="6"/>
      <c r="AN73" s="6"/>
      <c r="AO73" s="6"/>
      <c r="AP73" s="36"/>
    </row>
    <row r="74" spans="1:42">
      <c r="A74" s="30">
        <v>68</v>
      </c>
      <c r="B74" s="145"/>
      <c r="C74" s="143" t="s">
        <v>520</v>
      </c>
      <c r="D74" s="27"/>
      <c r="E74" s="27"/>
      <c r="F74" s="27"/>
      <c r="G74" s="27"/>
      <c r="H74" s="70" t="s">
        <v>824</v>
      </c>
      <c r="I74" s="176" t="s">
        <v>829</v>
      </c>
      <c r="J74" s="137"/>
      <c r="K74" s="117"/>
      <c r="L74" s="6"/>
      <c r="M74" s="6"/>
      <c r="N74" s="6"/>
      <c r="O74" s="44">
        <f>E74</f>
        <v>0</v>
      </c>
      <c r="P74" s="44">
        <f>D74</f>
        <v>0</v>
      </c>
      <c r="Q74" s="44">
        <f>D74</f>
        <v>0</v>
      </c>
      <c r="R74" s="53" t="s">
        <v>68</v>
      </c>
      <c r="S74" s="44">
        <f>E74</f>
        <v>0</v>
      </c>
      <c r="T74" s="44">
        <f>D74</f>
        <v>0</v>
      </c>
      <c r="U74" s="44">
        <f>D74</f>
        <v>0</v>
      </c>
      <c r="V74" s="53"/>
      <c r="W74" s="31">
        <v>143422</v>
      </c>
      <c r="X74" s="9" t="str">
        <f>IFERROR(INDEX([1]Sheet1!$A$2:$X$1948,MATCH($W$2:$W$270,[1]Sheet1!$G$2:$G$1948,0),8),"")</f>
        <v>이츠웰 순두부(1Kg/EA)</v>
      </c>
      <c r="Y74" s="11">
        <v>1000</v>
      </c>
      <c r="Z74" s="11"/>
      <c r="AA74" s="63">
        <v>43</v>
      </c>
      <c r="AB74" s="63" t="e">
        <f>T74*AD74</f>
        <v>#DIV/0!</v>
      </c>
      <c r="AC74" s="63" t="e">
        <f>U74*AD74</f>
        <v>#DIV/0!</v>
      </c>
      <c r="AD74" s="36" t="e">
        <f>AA74/E74</f>
        <v>#DIV/0!</v>
      </c>
      <c r="AE74" s="31">
        <v>138570</v>
      </c>
      <c r="AF74" s="9" t="str">
        <f>IFERROR(INDEX([1]Sheet1!$A$2:$X$1948,MATCH($AE$2:$AE$270,[1]Sheet1!$G$2:$G$1948,0),8),"")</f>
        <v>면사랑 멸치육수(1.8L_보급형 1.8Kg/EA)</v>
      </c>
      <c r="AG74" s="6"/>
      <c r="AH74" s="6" t="e">
        <f>P74*AJ74</f>
        <v>#DIV/0!</v>
      </c>
      <c r="AI74" s="6" t="e">
        <f>Q74*AJ74</f>
        <v>#DIV/0!</v>
      </c>
      <c r="AJ74" s="36" t="e">
        <f>AG74/$E74</f>
        <v>#DIV/0!</v>
      </c>
      <c r="AK74" s="31"/>
      <c r="AL74" s="9">
        <f>IFERROR(INDEX([1]Sheet1!$A$2:$X$1948,MATCH($AK$2:$AK$270,[1]Sheet1!$G$2:$G$1948,0),8),"")</f>
        <v>0</v>
      </c>
      <c r="AM74" s="6"/>
      <c r="AN74" s="6"/>
      <c r="AO74" s="6"/>
      <c r="AP74" s="36"/>
    </row>
    <row r="75" spans="1:42">
      <c r="A75" s="30">
        <v>69</v>
      </c>
      <c r="B75" s="145"/>
      <c r="C75" s="160" t="s">
        <v>1648</v>
      </c>
      <c r="D75" s="27"/>
      <c r="E75" s="27"/>
      <c r="F75" s="27"/>
      <c r="G75" s="27"/>
      <c r="H75" s="70" t="s">
        <v>1655</v>
      </c>
      <c r="I75" s="176" t="s">
        <v>821</v>
      </c>
      <c r="J75" s="137"/>
      <c r="K75" s="117"/>
      <c r="L75" s="6">
        <v>540</v>
      </c>
      <c r="M75" s="6">
        <v>27</v>
      </c>
      <c r="N75" s="6">
        <v>567</v>
      </c>
      <c r="O75" s="6">
        <f>E75</f>
        <v>0</v>
      </c>
      <c r="P75" s="6">
        <f>D75</f>
        <v>0</v>
      </c>
      <c r="Q75" s="6">
        <f>D75</f>
        <v>0</v>
      </c>
      <c r="R75" s="29" t="s">
        <v>68</v>
      </c>
      <c r="S75" s="6">
        <f>E75</f>
        <v>0</v>
      </c>
      <c r="T75" s="6">
        <f>D75</f>
        <v>0</v>
      </c>
      <c r="U75" s="6">
        <f>D75</f>
        <v>0</v>
      </c>
      <c r="V75" s="29"/>
      <c r="W75" s="31">
        <v>318643</v>
      </c>
      <c r="X75" s="9" t="str">
        <f>IFERROR(INDEX([1]Sheet1!$A$2:$X$1948,MATCH($W$2:$W$270,[1]Sheet1!$G$2:$G$1948,0),8),"")</f>
        <v>아이누리 자른건미역(상품 200g/EA)</v>
      </c>
      <c r="Y75" s="11">
        <v>200</v>
      </c>
      <c r="Z75" s="11"/>
      <c r="AA75" s="6">
        <v>3</v>
      </c>
      <c r="AB75" s="6" t="e">
        <f>T75*AD75</f>
        <v>#DIV/0!</v>
      </c>
      <c r="AC75" s="6" t="e">
        <f>U75*AD75</f>
        <v>#DIV/0!</v>
      </c>
      <c r="AD75" s="36" t="e">
        <f>AA75/E75</f>
        <v>#DIV/0!</v>
      </c>
      <c r="AE75" s="31"/>
      <c r="AF75" s="9">
        <f>IFERROR(INDEX([1]Sheet1!$A$2:$X$1948,MATCH($AE$2:$AE$270,[1]Sheet1!$G$2:$G$1948,0),8),"")</f>
        <v>0</v>
      </c>
      <c r="AG75" s="6"/>
      <c r="AH75" s="6" t="e">
        <f>P75*AJ75</f>
        <v>#DIV/0!</v>
      </c>
      <c r="AI75" s="6" t="e">
        <f>Q75*AJ75</f>
        <v>#DIV/0!</v>
      </c>
      <c r="AJ75" s="36" t="e">
        <f>AG75/$E75</f>
        <v>#DIV/0!</v>
      </c>
      <c r="AK75" s="31"/>
      <c r="AL75" s="9">
        <f>IFERROR(INDEX([1]Sheet1!$A$2:$X$1948,MATCH($AK$2:$AK$270,[1]Sheet1!$G$2:$G$1948,0),8),"")</f>
        <v>0</v>
      </c>
      <c r="AM75" s="6"/>
      <c r="AN75" s="6"/>
      <c r="AO75" s="6"/>
      <c r="AP75" s="36"/>
    </row>
    <row r="76" spans="1:42">
      <c r="A76" s="30">
        <v>70</v>
      </c>
      <c r="B76" s="145"/>
      <c r="C76" s="143" t="s">
        <v>1446</v>
      </c>
      <c r="D76" s="27"/>
      <c r="E76" s="27"/>
      <c r="F76" s="27"/>
      <c r="G76" s="27"/>
      <c r="H76" s="70" t="s">
        <v>1447</v>
      </c>
      <c r="I76" s="176" t="s">
        <v>1542</v>
      </c>
      <c r="J76" s="137" t="s">
        <v>1805</v>
      </c>
      <c r="K76" s="117"/>
      <c r="L76" s="6">
        <v>16590</v>
      </c>
      <c r="M76" s="6">
        <v>829.5</v>
      </c>
      <c r="N76" s="6">
        <v>17419.5</v>
      </c>
      <c r="O76" s="44">
        <f>E76</f>
        <v>0</v>
      </c>
      <c r="P76" s="44">
        <f>D76</f>
        <v>0</v>
      </c>
      <c r="Q76" s="44">
        <f>D76</f>
        <v>0</v>
      </c>
      <c r="R76" s="53" t="s">
        <v>68</v>
      </c>
      <c r="S76" s="44">
        <f>E76</f>
        <v>0</v>
      </c>
      <c r="T76" s="44">
        <f>D76</f>
        <v>0</v>
      </c>
      <c r="U76" s="44">
        <f>D76</f>
        <v>0</v>
      </c>
      <c r="V76" s="53"/>
      <c r="W76" s="31">
        <v>204418</v>
      </c>
      <c r="X76" s="9" t="str">
        <f>IFERROR(INDEX([1]Sheet1!$A$2:$X$1948,MATCH($W$2:$W$270,[1]Sheet1!$G$2:$G$1948,0),8),"")</f>
        <v>무우(특품 9~12개입 18Kg/BOX)</v>
      </c>
      <c r="Y76" s="11">
        <v>18000</v>
      </c>
      <c r="Z76" s="11"/>
      <c r="AA76" s="63">
        <v>28</v>
      </c>
      <c r="AB76" s="63" t="e">
        <f>T76*AD76</f>
        <v>#DIV/0!</v>
      </c>
      <c r="AC76" s="63" t="e">
        <f>U76*AD76</f>
        <v>#DIV/0!</v>
      </c>
      <c r="AD76" s="36" t="e">
        <f>AA76/E76</f>
        <v>#DIV/0!</v>
      </c>
      <c r="AE76" s="31">
        <v>424285</v>
      </c>
      <c r="AF76" s="9" t="str">
        <f>IFERROR(INDEX([1]Sheet1!$A$2:$X$1948,MATCH($AE$2:$AE$270,[1]Sheet1!$G$2:$G$1948,0),8),"")</f>
        <v>소양지(3*2*0.3cm_저지방 키즈용_국거리용 KG)</v>
      </c>
      <c r="AG76" s="6">
        <v>17</v>
      </c>
      <c r="AH76" s="6" t="e">
        <f>P76*AJ76</f>
        <v>#DIV/0!</v>
      </c>
      <c r="AI76" s="6" t="e">
        <f>Q76*AJ76</f>
        <v>#DIV/0!</v>
      </c>
      <c r="AJ76" s="36" t="e">
        <f>AG76/$E76</f>
        <v>#DIV/0!</v>
      </c>
      <c r="AK76" s="31"/>
      <c r="AL76" s="9">
        <f>IFERROR(INDEX([1]Sheet1!$A$2:$X$1948,MATCH($AK$2:$AK$270,[1]Sheet1!$G$2:$G$1948,0),8),"")</f>
        <v>0</v>
      </c>
      <c r="AM76" s="6"/>
      <c r="AN76" s="6"/>
      <c r="AO76" s="6"/>
      <c r="AP76" s="36"/>
    </row>
    <row r="77" spans="1:42">
      <c r="A77" s="30"/>
      <c r="B77" s="145"/>
      <c r="C77" s="143" t="s">
        <v>1758</v>
      </c>
      <c r="D77" s="27"/>
      <c r="E77" s="27"/>
      <c r="F77" s="27"/>
      <c r="G77" s="27"/>
      <c r="H77" s="70" t="s">
        <v>1760</v>
      </c>
      <c r="I77" s="176" t="s">
        <v>1761</v>
      </c>
      <c r="J77" s="137"/>
      <c r="K77" s="117"/>
      <c r="L77" s="6"/>
      <c r="M77" s="6"/>
      <c r="N77" s="6"/>
      <c r="O77" s="44"/>
      <c r="P77" s="44"/>
      <c r="Q77" s="44"/>
      <c r="R77" s="53"/>
      <c r="S77" s="44"/>
      <c r="T77" s="44"/>
      <c r="U77" s="44"/>
      <c r="V77" s="53"/>
      <c r="W77" s="31"/>
      <c r="X77" s="9"/>
      <c r="Y77" s="11"/>
      <c r="Z77" s="11"/>
      <c r="AA77" s="63"/>
      <c r="AB77" s="63"/>
      <c r="AC77" s="63"/>
      <c r="AD77" s="36"/>
      <c r="AE77" s="31"/>
      <c r="AF77" s="9"/>
      <c r="AG77" s="6"/>
      <c r="AH77" s="6"/>
      <c r="AI77" s="6"/>
      <c r="AJ77" s="36"/>
      <c r="AK77" s="31"/>
      <c r="AL77" s="9"/>
      <c r="AM77" s="6"/>
      <c r="AN77" s="6"/>
      <c r="AO77" s="6"/>
      <c r="AP77" s="36"/>
    </row>
    <row r="78" spans="1:42">
      <c r="A78" s="30">
        <v>71</v>
      </c>
      <c r="B78" s="145"/>
      <c r="C78" s="160" t="s">
        <v>992</v>
      </c>
      <c r="D78" s="27"/>
      <c r="E78" s="27"/>
      <c r="F78" s="27"/>
      <c r="G78" s="27"/>
      <c r="H78" s="70" t="s">
        <v>2184</v>
      </c>
      <c r="I78" s="176" t="s">
        <v>830</v>
      </c>
      <c r="J78" s="137" t="s">
        <v>1770</v>
      </c>
      <c r="K78" s="117"/>
      <c r="L78" s="6"/>
      <c r="M78" s="6"/>
      <c r="N78" s="6"/>
      <c r="O78" s="6"/>
      <c r="P78" s="6"/>
      <c r="Q78" s="6"/>
      <c r="R78" s="29"/>
      <c r="S78" s="6"/>
      <c r="T78" s="6"/>
      <c r="U78" s="6"/>
      <c r="V78" s="29"/>
      <c r="W78" s="31"/>
      <c r="X78" s="9"/>
      <c r="Y78" s="11"/>
      <c r="Z78" s="11"/>
      <c r="AA78" s="6"/>
      <c r="AB78" s="6"/>
      <c r="AC78" s="6"/>
      <c r="AD78" s="36"/>
      <c r="AE78" s="31"/>
      <c r="AF78" s="9"/>
      <c r="AG78" s="6"/>
      <c r="AH78" s="6"/>
      <c r="AI78" s="6"/>
      <c r="AJ78" s="36"/>
      <c r="AK78" s="31"/>
      <c r="AL78" s="9"/>
      <c r="AM78" s="6"/>
      <c r="AN78" s="6"/>
      <c r="AO78" s="6"/>
      <c r="AP78" s="36"/>
    </row>
    <row r="79" spans="1:42">
      <c r="A79" s="30">
        <v>72</v>
      </c>
      <c r="B79" s="145"/>
      <c r="C79" s="143" t="s">
        <v>693</v>
      </c>
      <c r="D79" s="27"/>
      <c r="E79" s="27"/>
      <c r="F79" s="27"/>
      <c r="G79" s="27"/>
      <c r="H79" s="70" t="s">
        <v>732</v>
      </c>
      <c r="I79" s="176"/>
      <c r="J79" s="137"/>
      <c r="K79" s="117"/>
      <c r="L79" s="6"/>
      <c r="M79" s="6"/>
      <c r="N79" s="6"/>
      <c r="O79" s="44"/>
      <c r="P79" s="44"/>
      <c r="Q79" s="44"/>
      <c r="R79" s="53"/>
      <c r="S79" s="44"/>
      <c r="T79" s="44"/>
      <c r="U79" s="44"/>
      <c r="V79" s="53"/>
      <c r="W79" s="31"/>
      <c r="X79" s="9"/>
      <c r="Y79" s="11"/>
      <c r="Z79" s="11"/>
      <c r="AA79" s="63"/>
      <c r="AB79" s="63"/>
      <c r="AC79" s="63"/>
      <c r="AD79" s="36"/>
      <c r="AE79" s="31"/>
      <c r="AF79" s="9"/>
      <c r="AG79" s="6"/>
      <c r="AH79" s="6"/>
      <c r="AI79" s="6"/>
      <c r="AJ79" s="36"/>
      <c r="AK79" s="31"/>
      <c r="AL79" s="9"/>
      <c r="AM79" s="6"/>
      <c r="AN79" s="6"/>
      <c r="AO79" s="6"/>
      <c r="AP79" s="36"/>
    </row>
    <row r="80" spans="1:42">
      <c r="A80" s="30">
        <v>73</v>
      </c>
      <c r="B80" s="145"/>
      <c r="C80" s="143" t="s">
        <v>506</v>
      </c>
      <c r="D80" s="27"/>
      <c r="E80" s="27"/>
      <c r="F80" s="27"/>
      <c r="G80" s="27"/>
      <c r="H80" s="70" t="s">
        <v>733</v>
      </c>
      <c r="I80" s="176" t="s">
        <v>821</v>
      </c>
      <c r="J80" s="137" t="s">
        <v>1819</v>
      </c>
      <c r="K80" s="29"/>
      <c r="L80" s="11"/>
      <c r="M80" s="11"/>
      <c r="N80" s="11"/>
      <c r="O80" s="44">
        <f>E80</f>
        <v>0</v>
      </c>
      <c r="P80" s="44">
        <f>D80</f>
        <v>0</v>
      </c>
      <c r="Q80" s="44">
        <f>D80</f>
        <v>0</v>
      </c>
      <c r="R80" s="53" t="s">
        <v>68</v>
      </c>
      <c r="S80" s="44">
        <f>E80</f>
        <v>0</v>
      </c>
      <c r="T80" s="44">
        <f>D80</f>
        <v>0</v>
      </c>
      <c r="U80" s="44">
        <f>D80</f>
        <v>0</v>
      </c>
      <c r="V80" s="53"/>
      <c r="W80" s="31">
        <v>193090</v>
      </c>
      <c r="X80" s="9" t="str">
        <f>IFERROR(INDEX([1]Sheet1!$A$2:$X$1948,MATCH($W$2:$W$270,[1]Sheet1!$G$2:$G$1948,0),8),"")</f>
        <v>냉동감자(절단_3~4cm 1Kg/EA)</v>
      </c>
      <c r="Y80" s="11">
        <v>1000</v>
      </c>
      <c r="Z80" s="11"/>
      <c r="AA80" s="63">
        <v>28</v>
      </c>
      <c r="AB80" s="63" t="e">
        <f>T80*AD80</f>
        <v>#DIV/0!</v>
      </c>
      <c r="AC80" s="63" t="e">
        <f>U80*AD80</f>
        <v>#DIV/0!</v>
      </c>
      <c r="AD80" s="36" t="e">
        <f>AA80/E80</f>
        <v>#DIV/0!</v>
      </c>
      <c r="AE80" s="31">
        <v>226247</v>
      </c>
      <c r="AF80" s="9" t="str">
        <f>IFERROR(INDEX([1]Sheet1!$A$2:$X$1948,MATCH($AE$2:$AE$270,[1]Sheet1!$G$2:$G$1948,0),8),"")</f>
        <v>냉동표고버섯(1.5*1.5cm다이스 1Kg/EA)</v>
      </c>
      <c r="AG80" s="6"/>
      <c r="AH80" s="6" t="e">
        <f>P80*AJ80</f>
        <v>#DIV/0!</v>
      </c>
      <c r="AI80" s="6" t="e">
        <f>Q80*AJ80</f>
        <v>#DIV/0!</v>
      </c>
      <c r="AJ80" s="36" t="e">
        <f>AG80/$E80</f>
        <v>#DIV/0!</v>
      </c>
      <c r="AK80" s="31">
        <v>420010</v>
      </c>
      <c r="AL80" s="9" t="str">
        <f>IFERROR(INDEX([1]Sheet1!$A$2:$X$1948,MATCH($AK$2:$AK$270,[1]Sheet1!$G$2:$G$1948,0),8),"")</f>
        <v>알로팜 계란(왕란_무항생제_68g*30입 2.04Kg/EA)</v>
      </c>
      <c r="AM80" s="6"/>
      <c r="AN80" s="6"/>
      <c r="AO80" s="6"/>
      <c r="AP80" s="36"/>
    </row>
    <row r="81" spans="1:42">
      <c r="A81" s="30">
        <v>74</v>
      </c>
      <c r="B81" s="145"/>
      <c r="C81" s="143" t="s">
        <v>1352</v>
      </c>
      <c r="D81" s="27"/>
      <c r="E81" s="27"/>
      <c r="F81" s="27"/>
      <c r="G81" s="27"/>
      <c r="H81" s="70" t="s">
        <v>1087</v>
      </c>
      <c r="I81" s="176" t="s">
        <v>871</v>
      </c>
      <c r="J81" s="137" t="s">
        <v>1820</v>
      </c>
      <c r="K81" s="117"/>
      <c r="L81" s="6"/>
      <c r="M81" s="6"/>
      <c r="N81" s="6"/>
      <c r="O81" s="44"/>
      <c r="P81" s="44"/>
      <c r="Q81" s="44"/>
      <c r="R81" s="53"/>
      <c r="S81" s="44"/>
      <c r="T81" s="44"/>
      <c r="U81" s="44"/>
      <c r="V81" s="53"/>
      <c r="W81" s="31"/>
      <c r="X81" s="9"/>
      <c r="Y81" s="11"/>
      <c r="Z81" s="11"/>
      <c r="AA81" s="63"/>
      <c r="AB81" s="63"/>
      <c r="AC81" s="63"/>
      <c r="AD81" s="36"/>
      <c r="AE81" s="31"/>
      <c r="AF81" s="9"/>
      <c r="AG81" s="6"/>
      <c r="AH81" s="6"/>
      <c r="AI81" s="6"/>
      <c r="AJ81" s="36"/>
      <c r="AK81" s="31"/>
      <c r="AL81" s="9"/>
      <c r="AM81" s="6"/>
      <c r="AN81" s="6"/>
      <c r="AO81" s="6"/>
      <c r="AP81" s="36"/>
    </row>
    <row r="82" spans="1:42">
      <c r="A82" s="30">
        <v>75</v>
      </c>
      <c r="B82" s="145"/>
      <c r="C82" s="143" t="s">
        <v>1437</v>
      </c>
      <c r="D82" s="27"/>
      <c r="E82" s="27"/>
      <c r="F82" s="27"/>
      <c r="G82" s="27"/>
      <c r="H82" s="131" t="s">
        <v>2222</v>
      </c>
      <c r="I82" s="179" t="s">
        <v>1438</v>
      </c>
      <c r="J82" s="137"/>
      <c r="K82" s="117"/>
      <c r="L82" s="6"/>
      <c r="M82" s="6"/>
      <c r="N82" s="6"/>
      <c r="O82" s="44"/>
      <c r="P82" s="44"/>
      <c r="Q82" s="44"/>
      <c r="R82" s="53"/>
      <c r="S82" s="44"/>
      <c r="T82" s="44"/>
      <c r="U82" s="44"/>
      <c r="V82" s="53"/>
      <c r="W82" s="31"/>
      <c r="X82" s="9"/>
      <c r="Y82" s="11"/>
      <c r="Z82" s="11"/>
      <c r="AA82" s="63"/>
      <c r="AB82" s="63"/>
      <c r="AC82" s="63"/>
      <c r="AD82" s="36"/>
      <c r="AE82" s="31"/>
      <c r="AF82" s="9"/>
      <c r="AG82" s="6"/>
      <c r="AH82" s="6"/>
      <c r="AI82" s="6"/>
      <c r="AJ82" s="36"/>
      <c r="AK82" s="31"/>
      <c r="AL82" s="9"/>
      <c r="AM82" s="6"/>
      <c r="AN82" s="6"/>
      <c r="AO82" s="6"/>
      <c r="AP82" s="36"/>
    </row>
    <row r="83" spans="1:42">
      <c r="A83" s="30">
        <v>76</v>
      </c>
      <c r="B83" s="145"/>
      <c r="C83" s="143" t="s">
        <v>1406</v>
      </c>
      <c r="D83" s="27"/>
      <c r="E83" s="27"/>
      <c r="F83" s="27"/>
      <c r="G83" s="27"/>
      <c r="H83" s="70" t="s">
        <v>1407</v>
      </c>
      <c r="I83" s="176" t="s">
        <v>871</v>
      </c>
      <c r="J83" s="137"/>
      <c r="K83" s="117"/>
      <c r="L83" s="6"/>
      <c r="M83" s="6"/>
      <c r="N83" s="6"/>
      <c r="O83" s="44"/>
      <c r="P83" s="44"/>
      <c r="Q83" s="44"/>
      <c r="R83" s="53"/>
      <c r="S83" s="44"/>
      <c r="T83" s="44"/>
      <c r="U83" s="44"/>
      <c r="V83" s="53"/>
      <c r="W83" s="31"/>
      <c r="X83" s="9"/>
      <c r="Y83" s="11"/>
      <c r="Z83" s="11"/>
      <c r="AA83" s="63"/>
      <c r="AB83" s="63"/>
      <c r="AC83" s="63"/>
      <c r="AD83" s="36"/>
      <c r="AE83" s="31"/>
      <c r="AF83" s="9"/>
      <c r="AG83" s="6"/>
      <c r="AH83" s="6"/>
      <c r="AI83" s="6"/>
      <c r="AJ83" s="36"/>
      <c r="AK83" s="31"/>
      <c r="AL83" s="9"/>
      <c r="AM83" s="6"/>
      <c r="AN83" s="6"/>
      <c r="AO83" s="6"/>
      <c r="AP83" s="36"/>
    </row>
    <row r="84" spans="1:42">
      <c r="A84" s="30">
        <v>77</v>
      </c>
      <c r="B84" s="145"/>
      <c r="C84" s="143" t="s">
        <v>1110</v>
      </c>
      <c r="D84" s="27"/>
      <c r="E84" s="27"/>
      <c r="F84" s="27"/>
      <c r="G84" s="27"/>
      <c r="H84" s="70" t="s">
        <v>1109</v>
      </c>
      <c r="I84" s="176" t="s">
        <v>821</v>
      </c>
      <c r="J84" s="137" t="s">
        <v>1901</v>
      </c>
      <c r="K84" s="117"/>
      <c r="L84" s="6"/>
      <c r="M84" s="6"/>
      <c r="N84" s="6"/>
      <c r="O84" s="44"/>
      <c r="P84" s="44"/>
      <c r="Q84" s="44"/>
      <c r="R84" s="53"/>
      <c r="S84" s="44"/>
      <c r="T84" s="44"/>
      <c r="U84" s="44"/>
      <c r="V84" s="53"/>
      <c r="W84" s="31"/>
      <c r="X84" s="9"/>
      <c r="Y84" s="11"/>
      <c r="Z84" s="11"/>
      <c r="AA84" s="63"/>
      <c r="AB84" s="63"/>
      <c r="AC84" s="63"/>
      <c r="AD84" s="36"/>
      <c r="AE84" s="31"/>
      <c r="AF84" s="9"/>
      <c r="AG84" s="6"/>
      <c r="AH84" s="6"/>
      <c r="AI84" s="6"/>
      <c r="AJ84" s="36"/>
      <c r="AK84" s="31"/>
      <c r="AL84" s="9"/>
      <c r="AM84" s="6"/>
      <c r="AN84" s="6"/>
      <c r="AO84" s="6"/>
      <c r="AP84" s="36"/>
    </row>
    <row r="85" spans="1:42">
      <c r="A85" s="30">
        <v>78</v>
      </c>
      <c r="B85" s="145"/>
      <c r="C85" s="143" t="s">
        <v>1346</v>
      </c>
      <c r="D85" s="27"/>
      <c r="E85" s="27"/>
      <c r="F85" s="27"/>
      <c r="G85" s="27"/>
      <c r="H85" s="70" t="s">
        <v>2347</v>
      </c>
      <c r="I85" s="176" t="s">
        <v>821</v>
      </c>
      <c r="J85" s="137"/>
      <c r="K85" s="117"/>
      <c r="L85" s="6"/>
      <c r="M85" s="6"/>
      <c r="N85" s="6"/>
      <c r="O85" s="44"/>
      <c r="P85" s="44"/>
      <c r="Q85" s="44"/>
      <c r="R85" s="53"/>
      <c r="S85" s="44"/>
      <c r="T85" s="44"/>
      <c r="U85" s="44"/>
      <c r="V85" s="53"/>
      <c r="W85" s="31"/>
      <c r="X85" s="9"/>
      <c r="Y85" s="11"/>
      <c r="Z85" s="11"/>
      <c r="AA85" s="63"/>
      <c r="AB85" s="63"/>
      <c r="AC85" s="63"/>
      <c r="AD85" s="36"/>
      <c r="AE85" s="31"/>
      <c r="AF85" s="9"/>
      <c r="AG85" s="6"/>
      <c r="AH85" s="6"/>
      <c r="AI85" s="6"/>
      <c r="AJ85" s="36"/>
      <c r="AK85" s="31"/>
      <c r="AL85" s="9"/>
      <c r="AM85" s="6"/>
      <c r="AN85" s="6"/>
      <c r="AO85" s="6"/>
      <c r="AP85" s="36"/>
    </row>
    <row r="86" spans="1:42" ht="27">
      <c r="A86" s="30">
        <v>79</v>
      </c>
      <c r="B86" s="145"/>
      <c r="C86" s="143" t="s">
        <v>1474</v>
      </c>
      <c r="D86" s="27"/>
      <c r="E86" s="27"/>
      <c r="F86" s="27"/>
      <c r="G86" s="27"/>
      <c r="H86" s="70" t="s">
        <v>1475</v>
      </c>
      <c r="I86" s="176" t="s">
        <v>876</v>
      </c>
      <c r="J86" s="137" t="s">
        <v>627</v>
      </c>
      <c r="K86" s="117"/>
      <c r="L86" s="6"/>
      <c r="M86" s="6"/>
      <c r="N86" s="6"/>
      <c r="O86" s="44"/>
      <c r="P86" s="44"/>
      <c r="Q86" s="44"/>
      <c r="R86" s="53"/>
      <c r="S86" s="44"/>
      <c r="T86" s="44"/>
      <c r="U86" s="44"/>
      <c r="V86" s="53"/>
      <c r="W86" s="31"/>
      <c r="X86" s="9"/>
      <c r="Y86" s="11"/>
      <c r="Z86" s="11"/>
      <c r="AA86" s="63"/>
      <c r="AB86" s="63"/>
      <c r="AC86" s="63"/>
      <c r="AD86" s="36"/>
      <c r="AE86" s="31"/>
      <c r="AF86" s="9"/>
      <c r="AG86" s="6"/>
      <c r="AH86" s="6"/>
      <c r="AI86" s="6"/>
      <c r="AJ86" s="36"/>
      <c r="AK86" s="31"/>
      <c r="AL86" s="9"/>
      <c r="AM86" s="6"/>
      <c r="AN86" s="6"/>
      <c r="AO86" s="6"/>
      <c r="AP86" s="36"/>
    </row>
    <row r="87" spans="1:42">
      <c r="A87" s="30">
        <v>80</v>
      </c>
      <c r="B87" s="145"/>
      <c r="C87" s="143" t="s">
        <v>809</v>
      </c>
      <c r="D87" s="27"/>
      <c r="E87" s="27"/>
      <c r="F87" s="27"/>
      <c r="G87" s="27"/>
      <c r="H87" s="70" t="s">
        <v>1994</v>
      </c>
      <c r="I87" s="176" t="s">
        <v>876</v>
      </c>
      <c r="J87" s="137" t="s">
        <v>1899</v>
      </c>
      <c r="K87" s="117"/>
      <c r="L87" s="6">
        <v>480</v>
      </c>
      <c r="M87" s="6">
        <v>24</v>
      </c>
      <c r="N87" s="6">
        <v>504</v>
      </c>
      <c r="O87" s="44">
        <f>E87</f>
        <v>0</v>
      </c>
      <c r="P87" s="44">
        <f>D87</f>
        <v>0</v>
      </c>
      <c r="Q87" s="44">
        <f>D87</f>
        <v>0</v>
      </c>
      <c r="R87" s="53" t="s">
        <v>68</v>
      </c>
      <c r="S87" s="44">
        <f>E87</f>
        <v>0</v>
      </c>
      <c r="T87" s="44">
        <f>D87</f>
        <v>0</v>
      </c>
      <c r="U87" s="44">
        <f>D87</f>
        <v>0</v>
      </c>
      <c r="V87" s="53"/>
      <c r="W87" s="31">
        <v>221871</v>
      </c>
      <c r="X87" s="9" t="str">
        <f>IFERROR(INDEX([1]Sheet1!$A$2:$X$1948,MATCH($W$2:$W$270,[1]Sheet1!$G$2:$G$1948,0),8),"")</f>
        <v>냉동시금치(IQF 1Kg/EA)</v>
      </c>
      <c r="Y87" s="11">
        <v>1000</v>
      </c>
      <c r="Z87" s="11"/>
      <c r="AA87" s="63">
        <v>21</v>
      </c>
      <c r="AB87" s="63" t="e">
        <f>T87*AD87</f>
        <v>#DIV/0!</v>
      </c>
      <c r="AC87" s="63" t="e">
        <f>U87*AD87</f>
        <v>#DIV/0!</v>
      </c>
      <c r="AD87" s="36" t="e">
        <f>AA87/E87</f>
        <v>#DIV/0!</v>
      </c>
      <c r="AE87" s="31">
        <v>168384</v>
      </c>
      <c r="AF87" s="9" t="str">
        <f>IFERROR(INDEX([1]Sheet1!$A$2:$X$1948,MATCH($AE$2:$AE$270,[1]Sheet1!$G$2:$G$1948,0),8),"")</f>
        <v>사조대림 사각어묵(알뜰 1Kg/EA)</v>
      </c>
      <c r="AG87" s="6">
        <v>17</v>
      </c>
      <c r="AH87" s="6" t="e">
        <f>P87*AJ87</f>
        <v>#DIV/0!</v>
      </c>
      <c r="AI87" s="6" t="e">
        <f>Q87*AJ87</f>
        <v>#DIV/0!</v>
      </c>
      <c r="AJ87" s="36" t="e">
        <f>AG87/$E87</f>
        <v>#DIV/0!</v>
      </c>
      <c r="AK87" s="31"/>
      <c r="AL87" s="9">
        <f>IFERROR(INDEX([1]Sheet1!$A$2:$X$1948,MATCH($AK$2:$AK$270,[1]Sheet1!$G$2:$G$1948,0),8),"")</f>
        <v>0</v>
      </c>
      <c r="AM87" s="6"/>
      <c r="AN87" s="6"/>
      <c r="AO87" s="6"/>
      <c r="AP87" s="36"/>
    </row>
    <row r="88" spans="1:42">
      <c r="A88" s="30">
        <v>81</v>
      </c>
      <c r="B88" s="145"/>
      <c r="C88" s="143" t="s">
        <v>1555</v>
      </c>
      <c r="D88" s="27"/>
      <c r="E88" s="27"/>
      <c r="F88" s="27"/>
      <c r="G88" s="27"/>
      <c r="H88" s="70" t="s">
        <v>1556</v>
      </c>
      <c r="I88" s="176" t="s">
        <v>821</v>
      </c>
      <c r="J88" s="137" t="s">
        <v>1089</v>
      </c>
      <c r="K88" s="29"/>
      <c r="L88" s="11">
        <v>25650</v>
      </c>
      <c r="M88" s="11">
        <v>1282.5</v>
      </c>
      <c r="N88" s="11">
        <v>26932.5</v>
      </c>
      <c r="O88" s="44">
        <f>E88</f>
        <v>0</v>
      </c>
      <c r="P88" s="44">
        <f>D88</f>
        <v>0</v>
      </c>
      <c r="Q88" s="44">
        <f>D88</f>
        <v>0</v>
      </c>
      <c r="R88" s="53" t="s">
        <v>68</v>
      </c>
      <c r="S88" s="44">
        <f>E88</f>
        <v>0</v>
      </c>
      <c r="T88" s="44">
        <f>D88</f>
        <v>0</v>
      </c>
      <c r="U88" s="44">
        <f>D88</f>
        <v>0</v>
      </c>
      <c r="V88" s="53"/>
      <c r="W88" s="31">
        <v>211696</v>
      </c>
      <c r="X88" s="9" t="str">
        <f>IFERROR(INDEX([1]Sheet1!$A$2:$X$1948,MATCH($W$2:$W$270,[1]Sheet1!$G$2:$G$1948,0),8),"")</f>
        <v>건시래기(데친것 KG)</v>
      </c>
      <c r="Y88" s="11">
        <v>1000</v>
      </c>
      <c r="Z88" s="11"/>
      <c r="AA88" s="63">
        <v>24</v>
      </c>
      <c r="AB88" s="63" t="e">
        <f>T88*AD88</f>
        <v>#DIV/0!</v>
      </c>
      <c r="AC88" s="63" t="e">
        <f>U88*AD88</f>
        <v>#DIV/0!</v>
      </c>
      <c r="AD88" s="36" t="e">
        <f>AA88/E88</f>
        <v>#DIV/0!</v>
      </c>
      <c r="AE88" s="31">
        <v>313570</v>
      </c>
      <c r="AF88" s="9" t="str">
        <f>IFERROR(INDEX([1]Sheet1!$A$2:$X$1948,MATCH($AE$2:$AE$270,[1]Sheet1!$G$2:$G$1948,0),8),"")</f>
        <v>프레시웨이 북어채(1Kg/EA)</v>
      </c>
      <c r="AG88" s="6">
        <v>8</v>
      </c>
      <c r="AH88" s="6" t="e">
        <f>P88*AJ88</f>
        <v>#DIV/0!</v>
      </c>
      <c r="AI88" s="6" t="e">
        <f>Q88*AJ88</f>
        <v>#DIV/0!</v>
      </c>
      <c r="AJ88" s="36" t="e">
        <f>AG88/$E88</f>
        <v>#DIV/0!</v>
      </c>
      <c r="AK88" s="31"/>
      <c r="AL88" s="9">
        <f>IFERROR(INDEX([1]Sheet1!$A$2:$X$1948,MATCH($AK$2:$AK$270,[1]Sheet1!$G$2:$G$1948,0),8),"")</f>
        <v>0</v>
      </c>
      <c r="AM88" s="6"/>
      <c r="AN88" s="6"/>
      <c r="AO88" s="6"/>
      <c r="AP88" s="36"/>
    </row>
    <row r="89" spans="1:42">
      <c r="A89" s="30">
        <v>82</v>
      </c>
      <c r="B89" s="145"/>
      <c r="C89" s="143" t="s">
        <v>1435</v>
      </c>
      <c r="D89" s="27"/>
      <c r="E89" s="27"/>
      <c r="F89" s="27"/>
      <c r="G89" s="27"/>
      <c r="H89" s="70" t="s">
        <v>1436</v>
      </c>
      <c r="I89" s="176" t="s">
        <v>1419</v>
      </c>
      <c r="J89" s="137"/>
      <c r="K89" s="117"/>
      <c r="L89" s="6"/>
      <c r="M89" s="6"/>
      <c r="N89" s="6"/>
      <c r="O89" s="44">
        <f>E89</f>
        <v>0</v>
      </c>
      <c r="P89" s="44">
        <f>D89</f>
        <v>0</v>
      </c>
      <c r="Q89" s="44">
        <f>D89</f>
        <v>0</v>
      </c>
      <c r="R89" s="53" t="s">
        <v>68</v>
      </c>
      <c r="S89" s="44">
        <f>E89</f>
        <v>0</v>
      </c>
      <c r="T89" s="44">
        <f>D89</f>
        <v>0</v>
      </c>
      <c r="U89" s="44">
        <f>D89</f>
        <v>0</v>
      </c>
      <c r="V89" s="53"/>
      <c r="W89" s="31">
        <v>221871</v>
      </c>
      <c r="X89" s="9" t="str">
        <f>IFERROR(INDEX([1]Sheet1!$A$2:$X$1948,MATCH($W$2:$W$270,[1]Sheet1!$G$2:$G$1948,0),8),"")</f>
        <v>냉동시금치(IQF 1Kg/EA)</v>
      </c>
      <c r="Y89" s="11">
        <v>1000</v>
      </c>
      <c r="Z89" s="11"/>
      <c r="AA89" s="63">
        <v>42</v>
      </c>
      <c r="AB89" s="63" t="e">
        <f>T89*AD89</f>
        <v>#DIV/0!</v>
      </c>
      <c r="AC89" s="63" t="e">
        <f>U89*AD89</f>
        <v>#DIV/0!</v>
      </c>
      <c r="AD89" s="36" t="e">
        <f>AA89/E89</f>
        <v>#DIV/0!</v>
      </c>
      <c r="AE89" s="31">
        <v>105943</v>
      </c>
      <c r="AF89" s="9" t="str">
        <f>IFERROR(INDEX([1]Sheet1!$A$2:$X$1948,MATCH($AE$2:$AE$270,[1]Sheet1!$G$2:$G$1948,0),8),"")</f>
        <v>대상 재래된장(지함_재래식숙성 14Kg/EA)</v>
      </c>
      <c r="AG89" s="6"/>
      <c r="AH89" s="6" t="e">
        <f>P89*AJ89</f>
        <v>#DIV/0!</v>
      </c>
      <c r="AI89" s="6" t="e">
        <f>Q89*AJ89</f>
        <v>#DIV/0!</v>
      </c>
      <c r="AJ89" s="36" t="e">
        <f>AG89/$E89</f>
        <v>#DIV/0!</v>
      </c>
      <c r="AK89" s="31"/>
      <c r="AL89" s="9">
        <f>IFERROR(INDEX([1]Sheet1!$A$2:$X$1948,MATCH($AK$2:$AK$270,[1]Sheet1!$G$2:$G$1948,0),8),"")</f>
        <v>0</v>
      </c>
      <c r="AM89" s="6"/>
      <c r="AN89" s="6"/>
      <c r="AO89" s="6"/>
      <c r="AP89" s="36"/>
    </row>
    <row r="90" spans="1:42">
      <c r="A90" s="30">
        <v>83</v>
      </c>
      <c r="B90" s="145"/>
      <c r="C90" s="143" t="s">
        <v>1579</v>
      </c>
      <c r="D90" s="27"/>
      <c r="E90" s="27"/>
      <c r="F90" s="27"/>
      <c r="G90" s="27"/>
      <c r="H90" s="70" t="s">
        <v>1594</v>
      </c>
      <c r="I90" s="176" t="s">
        <v>1418</v>
      </c>
      <c r="J90" s="247" t="s">
        <v>1595</v>
      </c>
      <c r="K90" s="117"/>
      <c r="L90" s="6"/>
      <c r="M90" s="6"/>
      <c r="N90" s="6"/>
      <c r="O90" s="44"/>
      <c r="P90" s="44"/>
      <c r="Q90" s="44"/>
      <c r="R90" s="53"/>
      <c r="S90" s="44"/>
      <c r="T90" s="44"/>
      <c r="U90" s="44"/>
      <c r="V90" s="53"/>
      <c r="W90" s="31"/>
      <c r="X90" s="9"/>
      <c r="Y90" s="11"/>
      <c r="Z90" s="11"/>
      <c r="AA90" s="63"/>
      <c r="AB90" s="63"/>
      <c r="AC90" s="63"/>
      <c r="AD90" s="36"/>
      <c r="AE90" s="31"/>
      <c r="AF90" s="9"/>
      <c r="AG90" s="6"/>
      <c r="AH90" s="6"/>
      <c r="AI90" s="6"/>
      <c r="AJ90" s="36"/>
      <c r="AK90" s="31"/>
      <c r="AL90" s="9"/>
      <c r="AM90" s="6"/>
      <c r="AN90" s="6"/>
      <c r="AO90" s="6"/>
      <c r="AP90" s="36"/>
    </row>
    <row r="91" spans="1:42">
      <c r="A91" s="30">
        <v>84</v>
      </c>
      <c r="B91" s="145"/>
      <c r="C91" s="143" t="s">
        <v>513</v>
      </c>
      <c r="D91" s="27"/>
      <c r="E91" s="27"/>
      <c r="F91" s="27"/>
      <c r="G91" s="27"/>
      <c r="H91" s="70" t="s">
        <v>1028</v>
      </c>
      <c r="I91" s="176" t="s">
        <v>821</v>
      </c>
      <c r="J91" s="137"/>
      <c r="K91" s="117"/>
      <c r="L91" s="6"/>
      <c r="M91" s="6"/>
      <c r="N91" s="6"/>
      <c r="O91" s="44"/>
      <c r="P91" s="44"/>
      <c r="Q91" s="44"/>
      <c r="R91" s="53"/>
      <c r="S91" s="44"/>
      <c r="T91" s="44"/>
      <c r="U91" s="44"/>
      <c r="V91" s="53"/>
      <c r="W91" s="31"/>
      <c r="X91" s="9"/>
      <c r="Y91" s="11"/>
      <c r="Z91" s="11"/>
      <c r="AA91" s="63"/>
      <c r="AB91" s="63"/>
      <c r="AC91" s="63"/>
      <c r="AD91" s="36"/>
      <c r="AE91" s="31"/>
      <c r="AF91" s="9"/>
      <c r="AG91" s="6"/>
      <c r="AH91" s="6"/>
      <c r="AI91" s="6"/>
      <c r="AJ91" s="36"/>
      <c r="AK91" s="31"/>
      <c r="AL91" s="9"/>
      <c r="AM91" s="6"/>
      <c r="AN91" s="6"/>
      <c r="AO91" s="6"/>
      <c r="AP91" s="36"/>
    </row>
    <row r="92" spans="1:42">
      <c r="A92" s="30">
        <v>85</v>
      </c>
      <c r="B92" s="145"/>
      <c r="C92" s="143" t="s">
        <v>530</v>
      </c>
      <c r="D92" s="27"/>
      <c r="E92" s="27"/>
      <c r="F92" s="27"/>
      <c r="G92" s="27"/>
      <c r="H92" s="136" t="s">
        <v>568</v>
      </c>
      <c r="I92" s="176" t="s">
        <v>876</v>
      </c>
      <c r="J92" s="137"/>
      <c r="K92" s="117"/>
      <c r="L92" s="6">
        <v>350</v>
      </c>
      <c r="M92" s="6">
        <v>17.5</v>
      </c>
      <c r="N92" s="6">
        <v>367.5</v>
      </c>
      <c r="O92" s="44">
        <f>E92</f>
        <v>0</v>
      </c>
      <c r="P92" s="44">
        <f>D92</f>
        <v>0</v>
      </c>
      <c r="Q92" s="44">
        <f>D92</f>
        <v>0</v>
      </c>
      <c r="R92" s="53" t="s">
        <v>68</v>
      </c>
      <c r="S92" s="44">
        <f>E92</f>
        <v>0</v>
      </c>
      <c r="T92" s="44">
        <f>D92</f>
        <v>0</v>
      </c>
      <c r="U92" s="44">
        <f>D92</f>
        <v>0</v>
      </c>
      <c r="V92" s="53"/>
      <c r="W92" s="31">
        <v>197120</v>
      </c>
      <c r="X92" s="9" t="str">
        <f>IFERROR(INDEX([1]Sheet1!$A$2:$X$1948,MATCH($W$2:$W$270,[1]Sheet1!$G$2:$G$1948,0),8),"")</f>
        <v>종가집 포기김치(숙성 10Kg/BOX)</v>
      </c>
      <c r="Y92" s="11">
        <v>10000</v>
      </c>
      <c r="Z92" s="11"/>
      <c r="AA92" s="63">
        <v>21</v>
      </c>
      <c r="AB92" s="63" t="e">
        <f>T92*AD92</f>
        <v>#DIV/0!</v>
      </c>
      <c r="AC92" s="63" t="e">
        <f>U92*AD92</f>
        <v>#DIV/0!</v>
      </c>
      <c r="AD92" s="36" t="e">
        <f>AA92/E92</f>
        <v>#DIV/0!</v>
      </c>
      <c r="AE92" s="31">
        <v>192872</v>
      </c>
      <c r="AF92" s="9" t="str">
        <f>IFERROR(INDEX([1]Sheet1!$A$2:$X$1948,MATCH($AE$2:$AE$270,[1]Sheet1!$G$2:$G$1948,0),8),"")</f>
        <v>소이원 콩나물(곱슬이_단채 4Kg/BOX)</v>
      </c>
      <c r="AG92" s="6">
        <v>15</v>
      </c>
      <c r="AH92" s="6" t="e">
        <f>P92*AJ92</f>
        <v>#DIV/0!</v>
      </c>
      <c r="AI92" s="6" t="e">
        <f>Q92*AJ92</f>
        <v>#DIV/0!</v>
      </c>
      <c r="AJ92" s="36" t="e">
        <f>AG92/$E92</f>
        <v>#DIV/0!</v>
      </c>
      <c r="AK92" s="31"/>
      <c r="AL92" s="9">
        <f>IFERROR(INDEX([1]Sheet1!$A$2:$X$1948,MATCH($AK$2:$AK$270,[1]Sheet1!$G$2:$G$1948,0),8),"")</f>
        <v>0</v>
      </c>
      <c r="AM92" s="6"/>
      <c r="AN92" s="6"/>
      <c r="AO92" s="6"/>
      <c r="AP92" s="36"/>
    </row>
    <row r="93" spans="1:42">
      <c r="A93" s="30">
        <v>86</v>
      </c>
      <c r="B93" s="145"/>
      <c r="C93" s="143" t="s">
        <v>1919</v>
      </c>
      <c r="D93" s="27"/>
      <c r="E93" s="27"/>
      <c r="F93" s="27"/>
      <c r="G93" s="27"/>
      <c r="H93" s="105" t="s">
        <v>1920</v>
      </c>
      <c r="I93" s="177" t="s">
        <v>871</v>
      </c>
      <c r="J93" s="137"/>
      <c r="K93" s="117"/>
      <c r="L93" s="6"/>
      <c r="M93" s="6"/>
      <c r="N93" s="6"/>
      <c r="O93" s="44"/>
      <c r="P93" s="44"/>
      <c r="Q93" s="44"/>
      <c r="R93" s="53"/>
      <c r="S93" s="44"/>
      <c r="T93" s="44"/>
      <c r="U93" s="44"/>
      <c r="V93" s="53"/>
      <c r="W93" s="31"/>
      <c r="X93" s="9"/>
      <c r="Y93" s="11"/>
      <c r="Z93" s="11"/>
      <c r="AA93" s="63"/>
      <c r="AB93" s="63"/>
      <c r="AC93" s="63"/>
      <c r="AD93" s="36"/>
      <c r="AE93" s="31"/>
      <c r="AF93" s="9"/>
      <c r="AG93" s="6"/>
      <c r="AH93" s="6"/>
      <c r="AI93" s="6"/>
      <c r="AJ93" s="36"/>
      <c r="AK93" s="31"/>
      <c r="AL93" s="9"/>
      <c r="AM93" s="6"/>
      <c r="AN93" s="6"/>
      <c r="AO93" s="6"/>
      <c r="AP93" s="36"/>
    </row>
    <row r="94" spans="1:42">
      <c r="A94" s="30">
        <v>87</v>
      </c>
      <c r="B94" s="145"/>
      <c r="C94" s="143" t="s">
        <v>1978</v>
      </c>
      <c r="D94" s="27"/>
      <c r="E94" s="27"/>
      <c r="F94" s="27"/>
      <c r="G94" s="27"/>
      <c r="H94" s="105" t="s">
        <v>1979</v>
      </c>
      <c r="I94" s="177" t="s">
        <v>1111</v>
      </c>
      <c r="J94" s="137"/>
      <c r="K94" s="117"/>
      <c r="L94" s="6"/>
      <c r="M94" s="6"/>
      <c r="N94" s="6"/>
      <c r="O94" s="44"/>
      <c r="P94" s="44"/>
      <c r="Q94" s="44"/>
      <c r="R94" s="53"/>
      <c r="S94" s="44"/>
      <c r="T94" s="44"/>
      <c r="U94" s="44"/>
      <c r="V94" s="53"/>
      <c r="W94" s="31"/>
      <c r="X94" s="9"/>
      <c r="Y94" s="11"/>
      <c r="Z94" s="11"/>
      <c r="AA94" s="63"/>
      <c r="AB94" s="63"/>
      <c r="AC94" s="63"/>
      <c r="AD94" s="36"/>
      <c r="AE94" s="31"/>
      <c r="AF94" s="9"/>
      <c r="AG94" s="6"/>
      <c r="AH94" s="6"/>
      <c r="AI94" s="6"/>
      <c r="AJ94" s="36"/>
      <c r="AK94" s="31"/>
      <c r="AL94" s="9"/>
      <c r="AM94" s="6"/>
      <c r="AN94" s="6"/>
      <c r="AO94" s="6"/>
      <c r="AP94" s="36"/>
    </row>
    <row r="95" spans="1:42">
      <c r="A95" s="30">
        <v>88</v>
      </c>
      <c r="B95" s="145"/>
      <c r="C95" s="143" t="s">
        <v>1524</v>
      </c>
      <c r="D95" s="27"/>
      <c r="E95" s="27"/>
      <c r="F95" s="27"/>
      <c r="G95" s="27"/>
      <c r="H95" s="105" t="s">
        <v>1525</v>
      </c>
      <c r="I95" s="177" t="s">
        <v>1526</v>
      </c>
      <c r="J95" s="137"/>
      <c r="K95" s="117"/>
      <c r="L95" s="6"/>
      <c r="M95" s="6"/>
      <c r="N95" s="6"/>
      <c r="O95" s="44"/>
      <c r="P95" s="44"/>
      <c r="Q95" s="44"/>
      <c r="R95" s="53"/>
      <c r="S95" s="44"/>
      <c r="T95" s="44"/>
      <c r="U95" s="44"/>
      <c r="V95" s="53"/>
      <c r="W95" s="31"/>
      <c r="X95" s="9"/>
      <c r="Y95" s="11"/>
      <c r="Z95" s="11"/>
      <c r="AA95" s="63"/>
      <c r="AB95" s="63"/>
      <c r="AC95" s="63"/>
      <c r="AD95" s="36"/>
      <c r="AE95" s="31"/>
      <c r="AF95" s="9"/>
      <c r="AG95" s="6"/>
      <c r="AH95" s="6"/>
      <c r="AI95" s="6"/>
      <c r="AJ95" s="36"/>
      <c r="AK95" s="31"/>
      <c r="AL95" s="9"/>
      <c r="AM95" s="6"/>
      <c r="AN95" s="6"/>
      <c r="AO95" s="6"/>
      <c r="AP95" s="36"/>
    </row>
    <row r="96" spans="1:42">
      <c r="A96" s="30">
        <v>89</v>
      </c>
      <c r="B96" s="145"/>
      <c r="C96" s="143" t="s">
        <v>956</v>
      </c>
      <c r="D96" s="27"/>
      <c r="E96" s="27"/>
      <c r="F96" s="27"/>
      <c r="G96" s="27"/>
      <c r="H96" s="70" t="s">
        <v>1100</v>
      </c>
      <c r="I96" s="176" t="s">
        <v>957</v>
      </c>
      <c r="J96" s="137"/>
      <c r="K96" s="29"/>
      <c r="L96" s="11"/>
      <c r="M96" s="11"/>
      <c r="N96" s="11"/>
      <c r="O96" s="44"/>
      <c r="P96" s="44"/>
      <c r="Q96" s="44"/>
      <c r="R96" s="53"/>
      <c r="S96" s="44"/>
      <c r="T96" s="44"/>
      <c r="U96" s="44"/>
      <c r="V96" s="53"/>
      <c r="W96" s="31"/>
      <c r="X96" s="9"/>
      <c r="Y96" s="11"/>
      <c r="Z96" s="11"/>
      <c r="AA96" s="63"/>
      <c r="AB96" s="63"/>
      <c r="AC96" s="63"/>
      <c r="AD96" s="36"/>
      <c r="AE96" s="31"/>
      <c r="AF96" s="9"/>
      <c r="AG96" s="6"/>
      <c r="AH96" s="6"/>
      <c r="AI96" s="6"/>
      <c r="AJ96" s="36"/>
      <c r="AK96" s="31"/>
      <c r="AL96" s="9"/>
      <c r="AM96" s="6"/>
      <c r="AN96" s="6"/>
      <c r="AO96" s="6"/>
      <c r="AP96" s="36"/>
    </row>
    <row r="97" spans="1:42" ht="20.100000000000001" customHeight="1">
      <c r="A97" s="30">
        <v>90</v>
      </c>
      <c r="B97" s="145"/>
      <c r="C97" s="143" t="s">
        <v>1051</v>
      </c>
      <c r="D97" s="27"/>
      <c r="E97" s="27"/>
      <c r="F97" s="27"/>
      <c r="G97" s="27"/>
      <c r="H97" s="70" t="s">
        <v>1048</v>
      </c>
      <c r="I97" s="176" t="s">
        <v>997</v>
      </c>
      <c r="J97" s="137"/>
      <c r="K97" s="117"/>
      <c r="L97" s="6"/>
      <c r="M97" s="6"/>
      <c r="N97" s="6"/>
      <c r="O97" s="44"/>
      <c r="P97" s="44"/>
      <c r="Q97" s="44"/>
      <c r="R97" s="53"/>
      <c r="S97" s="44"/>
      <c r="T97" s="44"/>
      <c r="U97" s="44"/>
      <c r="V97" s="53"/>
      <c r="W97" s="31"/>
      <c r="X97" s="9"/>
      <c r="Y97" s="11"/>
      <c r="Z97" s="11"/>
      <c r="AA97" s="63"/>
      <c r="AB97" s="63"/>
      <c r="AC97" s="63"/>
      <c r="AD97" s="36"/>
      <c r="AE97" s="31"/>
      <c r="AF97" s="9"/>
      <c r="AG97" s="6"/>
      <c r="AH97" s="6"/>
      <c r="AI97" s="6"/>
      <c r="AJ97" s="36"/>
      <c r="AK97" s="31"/>
      <c r="AL97" s="9"/>
      <c r="AM97" s="6"/>
      <c r="AN97" s="6"/>
      <c r="AO97" s="6"/>
      <c r="AP97" s="36"/>
    </row>
    <row r="98" spans="1:42" ht="20.100000000000001" customHeight="1">
      <c r="A98" s="30">
        <v>91</v>
      </c>
      <c r="B98" s="145"/>
      <c r="C98" s="143" t="s">
        <v>539</v>
      </c>
      <c r="D98" s="27"/>
      <c r="E98" s="27"/>
      <c r="F98" s="27"/>
      <c r="G98" s="27"/>
      <c r="H98" s="70" t="s">
        <v>1095</v>
      </c>
      <c r="I98" s="176" t="s">
        <v>821</v>
      </c>
      <c r="J98" s="137"/>
      <c r="K98" s="117"/>
      <c r="L98" s="6"/>
      <c r="M98" s="6"/>
      <c r="N98" s="6"/>
      <c r="O98" s="44"/>
      <c r="P98" s="44"/>
      <c r="Q98" s="44"/>
      <c r="R98" s="53"/>
      <c r="S98" s="44"/>
      <c r="T98" s="44"/>
      <c r="U98" s="44"/>
      <c r="V98" s="53"/>
      <c r="W98" s="31"/>
      <c r="X98" s="9"/>
      <c r="Y98" s="11"/>
      <c r="Z98" s="11"/>
      <c r="AA98" s="63"/>
      <c r="AB98" s="63"/>
      <c r="AC98" s="63"/>
      <c r="AD98" s="36"/>
      <c r="AE98" s="31"/>
      <c r="AF98" s="9"/>
      <c r="AG98" s="6"/>
      <c r="AH98" s="6"/>
      <c r="AI98" s="6"/>
      <c r="AJ98" s="36"/>
      <c r="AK98" s="31"/>
      <c r="AL98" s="9"/>
      <c r="AM98" s="6"/>
      <c r="AN98" s="6"/>
      <c r="AO98" s="6"/>
      <c r="AP98" s="36"/>
    </row>
    <row r="99" spans="1:42">
      <c r="A99" s="30">
        <v>92</v>
      </c>
      <c r="B99" s="145"/>
      <c r="C99" s="143" t="s">
        <v>1009</v>
      </c>
      <c r="D99" s="27"/>
      <c r="E99" s="27"/>
      <c r="F99" s="27"/>
      <c r="G99" s="27"/>
      <c r="H99" s="70" t="s">
        <v>1097</v>
      </c>
      <c r="I99" s="176" t="s">
        <v>876</v>
      </c>
      <c r="J99" s="137" t="s">
        <v>1010</v>
      </c>
      <c r="K99" s="117"/>
      <c r="L99" s="6"/>
      <c r="M99" s="6"/>
      <c r="N99" s="6"/>
      <c r="O99" s="44"/>
      <c r="P99" s="44"/>
      <c r="Q99" s="44"/>
      <c r="R99" s="53"/>
      <c r="S99" s="44"/>
      <c r="T99" s="44"/>
      <c r="U99" s="44"/>
      <c r="V99" s="53"/>
      <c r="W99" s="31"/>
      <c r="X99" s="9"/>
      <c r="Y99" s="11"/>
      <c r="Z99" s="11"/>
      <c r="AA99" s="63"/>
      <c r="AB99" s="63"/>
      <c r="AC99" s="63"/>
      <c r="AD99" s="36"/>
      <c r="AE99" s="31"/>
      <c r="AF99" s="9"/>
      <c r="AG99" s="6"/>
      <c r="AH99" s="6"/>
      <c r="AI99" s="6"/>
      <c r="AJ99" s="36"/>
      <c r="AK99" s="31"/>
      <c r="AL99" s="9"/>
      <c r="AM99" s="6"/>
      <c r="AN99" s="6"/>
      <c r="AO99" s="6"/>
      <c r="AP99" s="36"/>
    </row>
    <row r="100" spans="1:42" ht="21.95" customHeight="1">
      <c r="A100" s="30">
        <v>93</v>
      </c>
      <c r="B100" s="145"/>
      <c r="C100" s="143" t="s">
        <v>2102</v>
      </c>
      <c r="D100" s="27"/>
      <c r="E100" s="27"/>
      <c r="F100" s="27"/>
      <c r="G100" s="27"/>
      <c r="H100" s="70" t="s">
        <v>1941</v>
      </c>
      <c r="I100" s="176" t="s">
        <v>977</v>
      </c>
      <c r="J100" s="136" t="s">
        <v>1743</v>
      </c>
      <c r="K100" s="117"/>
      <c r="L100" s="6"/>
      <c r="M100" s="6"/>
      <c r="N100" s="6"/>
      <c r="O100" s="44"/>
      <c r="P100" s="44"/>
      <c r="Q100" s="44"/>
      <c r="R100" s="53"/>
      <c r="S100" s="44"/>
      <c r="T100" s="44"/>
      <c r="U100" s="44"/>
      <c r="V100" s="53"/>
      <c r="W100" s="31"/>
      <c r="X100" s="9"/>
      <c r="Y100" s="11"/>
      <c r="Z100" s="11"/>
      <c r="AA100" s="63"/>
      <c r="AB100" s="63"/>
      <c r="AC100" s="63"/>
      <c r="AD100" s="36"/>
      <c r="AE100" s="31"/>
      <c r="AF100" s="9"/>
      <c r="AG100" s="6"/>
      <c r="AH100" s="6"/>
      <c r="AI100" s="6"/>
      <c r="AJ100" s="36"/>
      <c r="AK100" s="31"/>
      <c r="AL100" s="9"/>
      <c r="AM100" s="6"/>
      <c r="AN100" s="6"/>
      <c r="AO100" s="6"/>
      <c r="AP100" s="36"/>
    </row>
    <row r="101" spans="1:42">
      <c r="A101" s="30">
        <v>94</v>
      </c>
      <c r="B101" s="145"/>
      <c r="C101" s="143" t="s">
        <v>552</v>
      </c>
      <c r="D101" s="27"/>
      <c r="E101" s="27"/>
      <c r="F101" s="27"/>
      <c r="G101" s="27"/>
      <c r="H101" s="132" t="s">
        <v>569</v>
      </c>
      <c r="I101" s="180"/>
      <c r="J101" s="137"/>
      <c r="K101" s="117"/>
      <c r="L101" s="6"/>
      <c r="M101" s="6"/>
      <c r="N101" s="6"/>
      <c r="O101" s="44"/>
      <c r="P101" s="44"/>
      <c r="Q101" s="44"/>
      <c r="R101" s="53"/>
      <c r="S101" s="44"/>
      <c r="T101" s="44"/>
      <c r="U101" s="44"/>
      <c r="V101" s="53"/>
      <c r="W101" s="31"/>
      <c r="X101" s="9"/>
      <c r="Y101" s="11"/>
      <c r="Z101" s="11"/>
      <c r="AA101" s="63"/>
      <c r="AB101" s="63"/>
      <c r="AC101" s="63"/>
      <c r="AD101" s="36"/>
      <c r="AE101" s="31"/>
      <c r="AF101" s="9"/>
      <c r="AG101" s="6"/>
      <c r="AH101" s="6"/>
      <c r="AI101" s="6"/>
      <c r="AJ101" s="36"/>
      <c r="AK101" s="31"/>
      <c r="AL101" s="9"/>
      <c r="AM101" s="6"/>
      <c r="AN101" s="6"/>
      <c r="AO101" s="6"/>
      <c r="AP101" s="36"/>
    </row>
    <row r="102" spans="1:42" ht="20.100000000000001" customHeight="1">
      <c r="A102" s="30">
        <v>95</v>
      </c>
      <c r="B102" s="145"/>
      <c r="C102" s="143" t="s">
        <v>1793</v>
      </c>
      <c r="D102" s="27"/>
      <c r="E102" s="27"/>
      <c r="F102" s="27"/>
      <c r="G102" s="27"/>
      <c r="H102" s="70" t="s">
        <v>1347</v>
      </c>
      <c r="I102" s="176" t="s">
        <v>834</v>
      </c>
      <c r="J102" s="136" t="s">
        <v>1830</v>
      </c>
      <c r="K102" s="117"/>
      <c r="L102" s="6"/>
      <c r="M102" s="6"/>
      <c r="N102" s="6"/>
      <c r="O102" s="44"/>
      <c r="P102" s="44"/>
      <c r="Q102" s="44"/>
      <c r="R102" s="53"/>
      <c r="S102" s="44"/>
      <c r="T102" s="44"/>
      <c r="U102" s="44"/>
      <c r="V102" s="53"/>
      <c r="W102" s="31"/>
      <c r="X102" s="9"/>
      <c r="Y102" s="11"/>
      <c r="Z102" s="11"/>
      <c r="AA102" s="63"/>
      <c r="AB102" s="63"/>
      <c r="AC102" s="63"/>
      <c r="AD102" s="36"/>
      <c r="AE102" s="31"/>
      <c r="AF102" s="9"/>
      <c r="AG102" s="6"/>
      <c r="AH102" s="6"/>
      <c r="AI102" s="6"/>
      <c r="AJ102" s="36"/>
      <c r="AK102" s="31"/>
      <c r="AL102" s="9"/>
      <c r="AM102" s="6"/>
      <c r="AN102" s="6"/>
      <c r="AO102" s="6"/>
      <c r="AP102" s="36"/>
    </row>
    <row r="103" spans="1:42">
      <c r="A103" s="30">
        <v>96</v>
      </c>
      <c r="B103" s="145"/>
      <c r="C103" s="143" t="s">
        <v>1980</v>
      </c>
      <c r="D103" s="27"/>
      <c r="E103" s="27"/>
      <c r="F103" s="27"/>
      <c r="G103" s="27"/>
      <c r="H103" s="70" t="s">
        <v>1389</v>
      </c>
      <c r="I103" s="176" t="s">
        <v>1365</v>
      </c>
      <c r="J103" s="136" t="s">
        <v>1830</v>
      </c>
      <c r="K103" s="117"/>
      <c r="L103" s="6"/>
      <c r="M103" s="6"/>
      <c r="N103" s="6"/>
      <c r="O103" s="44"/>
      <c r="P103" s="44"/>
      <c r="Q103" s="44"/>
      <c r="R103" s="53"/>
      <c r="S103" s="44"/>
      <c r="T103" s="44"/>
      <c r="U103" s="44"/>
      <c r="V103" s="53"/>
      <c r="W103" s="31"/>
      <c r="X103" s="9"/>
      <c r="Y103" s="11"/>
      <c r="Z103" s="11"/>
      <c r="AA103" s="63"/>
      <c r="AB103" s="63"/>
      <c r="AC103" s="63"/>
      <c r="AD103" s="36"/>
      <c r="AE103" s="31"/>
      <c r="AF103" s="9"/>
      <c r="AG103" s="6"/>
      <c r="AH103" s="6"/>
      <c r="AI103" s="6"/>
      <c r="AJ103" s="36"/>
      <c r="AK103" s="31"/>
      <c r="AL103" s="9"/>
      <c r="AM103" s="6"/>
      <c r="AN103" s="6"/>
      <c r="AO103" s="6"/>
      <c r="AP103" s="36"/>
    </row>
    <row r="104" spans="1:42">
      <c r="A104" s="30">
        <v>97</v>
      </c>
      <c r="B104" s="145"/>
      <c r="C104" s="143" t="s">
        <v>1640</v>
      </c>
      <c r="D104" s="27"/>
      <c r="E104" s="27"/>
      <c r="F104" s="27"/>
      <c r="G104" s="27"/>
      <c r="H104" s="70" t="s">
        <v>1641</v>
      </c>
      <c r="I104" s="176" t="s">
        <v>864</v>
      </c>
      <c r="J104" s="137"/>
      <c r="K104" s="117"/>
      <c r="L104" s="6"/>
      <c r="M104" s="6"/>
      <c r="N104" s="6"/>
      <c r="O104" s="44"/>
      <c r="P104" s="44"/>
      <c r="Q104" s="44"/>
      <c r="R104" s="53"/>
      <c r="S104" s="44"/>
      <c r="T104" s="44"/>
      <c r="U104" s="44"/>
      <c r="V104" s="53"/>
      <c r="W104" s="31"/>
      <c r="X104" s="9"/>
      <c r="Y104" s="11"/>
      <c r="Z104" s="11"/>
      <c r="AA104" s="63"/>
      <c r="AB104" s="63"/>
      <c r="AC104" s="63"/>
      <c r="AD104" s="36"/>
      <c r="AE104" s="31"/>
      <c r="AF104" s="9"/>
      <c r="AG104" s="6"/>
      <c r="AH104" s="6"/>
      <c r="AI104" s="6"/>
      <c r="AJ104" s="36"/>
      <c r="AK104" s="31"/>
      <c r="AL104" s="9"/>
      <c r="AM104" s="6"/>
      <c r="AN104" s="6"/>
      <c r="AO104" s="6"/>
      <c r="AP104" s="36"/>
    </row>
    <row r="105" spans="1:42">
      <c r="A105" s="30">
        <v>98</v>
      </c>
      <c r="B105" s="145"/>
      <c r="C105" s="143" t="s">
        <v>1995</v>
      </c>
      <c r="D105" s="27"/>
      <c r="E105" s="27"/>
      <c r="F105" s="27"/>
      <c r="G105" s="27"/>
      <c r="H105" s="70" t="s">
        <v>1580</v>
      </c>
      <c r="I105" s="176" t="s">
        <v>1581</v>
      </c>
      <c r="J105" s="137"/>
      <c r="K105" s="117"/>
      <c r="L105" s="6"/>
      <c r="M105" s="6"/>
      <c r="N105" s="6"/>
      <c r="O105" s="44"/>
      <c r="P105" s="44"/>
      <c r="Q105" s="44"/>
      <c r="R105" s="53"/>
      <c r="S105" s="44"/>
      <c r="T105" s="44"/>
      <c r="U105" s="44"/>
      <c r="V105" s="53"/>
      <c r="W105" s="31"/>
      <c r="X105" s="9"/>
      <c r="Y105" s="11"/>
      <c r="Z105" s="11"/>
      <c r="AA105" s="63"/>
      <c r="AB105" s="63"/>
      <c r="AC105" s="63"/>
      <c r="AD105" s="36"/>
      <c r="AE105" s="31"/>
      <c r="AF105" s="9"/>
      <c r="AG105" s="6"/>
      <c r="AH105" s="6"/>
      <c r="AI105" s="6"/>
      <c r="AJ105" s="36"/>
      <c r="AK105" s="31"/>
      <c r="AL105" s="9"/>
      <c r="AM105" s="6"/>
      <c r="AN105" s="6"/>
      <c r="AO105" s="6"/>
      <c r="AP105" s="36"/>
    </row>
    <row r="106" spans="1:42">
      <c r="A106" s="30">
        <v>99</v>
      </c>
      <c r="B106" s="145"/>
      <c r="C106" s="143" t="s">
        <v>1473</v>
      </c>
      <c r="D106" s="27"/>
      <c r="E106" s="27"/>
      <c r="F106" s="27"/>
      <c r="G106" s="27"/>
      <c r="H106" s="70" t="s">
        <v>2010</v>
      </c>
      <c r="I106" s="176" t="s">
        <v>864</v>
      </c>
      <c r="J106" s="137" t="s">
        <v>2011</v>
      </c>
      <c r="K106" s="117"/>
      <c r="L106" s="6"/>
      <c r="M106" s="6"/>
      <c r="N106" s="6"/>
      <c r="O106" s="44"/>
      <c r="P106" s="44"/>
      <c r="Q106" s="44"/>
      <c r="R106" s="53"/>
      <c r="S106" s="44"/>
      <c r="T106" s="44"/>
      <c r="U106" s="44"/>
      <c r="V106" s="53"/>
      <c r="W106" s="31"/>
      <c r="X106" s="9"/>
      <c r="Y106" s="11"/>
      <c r="Z106" s="11"/>
      <c r="AA106" s="63"/>
      <c r="AB106" s="63"/>
      <c r="AC106" s="63"/>
      <c r="AD106" s="36"/>
      <c r="AE106" s="31"/>
      <c r="AF106" s="9"/>
      <c r="AG106" s="6"/>
      <c r="AH106" s="6"/>
      <c r="AI106" s="6"/>
      <c r="AJ106" s="36"/>
      <c r="AK106" s="31"/>
      <c r="AL106" s="9"/>
      <c r="AM106" s="6"/>
      <c r="AN106" s="6"/>
      <c r="AO106" s="6"/>
      <c r="AP106" s="36"/>
    </row>
    <row r="107" spans="1:42">
      <c r="A107" s="30">
        <v>100</v>
      </c>
      <c r="B107" s="145"/>
      <c r="C107" s="143" t="s">
        <v>1643</v>
      </c>
      <c r="D107" s="27"/>
      <c r="E107" s="27"/>
      <c r="F107" s="27"/>
      <c r="G107" s="27"/>
      <c r="H107" s="70" t="s">
        <v>2012</v>
      </c>
      <c r="I107" s="176" t="s">
        <v>830</v>
      </c>
      <c r="J107" s="137" t="s">
        <v>2011</v>
      </c>
      <c r="K107" s="117"/>
      <c r="L107" s="6"/>
      <c r="M107" s="6"/>
      <c r="N107" s="6"/>
      <c r="O107" s="44"/>
      <c r="P107" s="44"/>
      <c r="Q107" s="44"/>
      <c r="R107" s="53"/>
      <c r="S107" s="44"/>
      <c r="T107" s="44"/>
      <c r="U107" s="44"/>
      <c r="V107" s="53"/>
      <c r="W107" s="31"/>
      <c r="X107" s="9"/>
      <c r="Y107" s="11"/>
      <c r="Z107" s="11"/>
      <c r="AA107" s="63"/>
      <c r="AB107" s="63"/>
      <c r="AC107" s="63"/>
      <c r="AD107" s="36"/>
      <c r="AE107" s="31"/>
      <c r="AF107" s="9"/>
      <c r="AG107" s="6"/>
      <c r="AH107" s="6"/>
      <c r="AI107" s="6"/>
      <c r="AJ107" s="36"/>
      <c r="AK107" s="31"/>
      <c r="AL107" s="9"/>
      <c r="AM107" s="6"/>
      <c r="AN107" s="6"/>
      <c r="AO107" s="6"/>
      <c r="AP107" s="36"/>
    </row>
    <row r="108" spans="1:42">
      <c r="A108" s="30">
        <v>101</v>
      </c>
      <c r="B108" s="145"/>
      <c r="C108" s="143" t="s">
        <v>545</v>
      </c>
      <c r="D108" s="27"/>
      <c r="E108" s="27"/>
      <c r="F108" s="27"/>
      <c r="G108" s="27"/>
      <c r="H108" s="70" t="s">
        <v>1104</v>
      </c>
      <c r="I108" s="176" t="s">
        <v>821</v>
      </c>
      <c r="J108" s="136"/>
      <c r="K108" s="29"/>
      <c r="L108" s="11">
        <v>24600</v>
      </c>
      <c r="M108" s="11">
        <v>1230</v>
      </c>
      <c r="N108" s="11">
        <v>25830</v>
      </c>
      <c r="O108" s="44">
        <f>E108</f>
        <v>0</v>
      </c>
      <c r="P108" s="44">
        <f>D108</f>
        <v>0</v>
      </c>
      <c r="Q108" s="44">
        <f>D108</f>
        <v>0</v>
      </c>
      <c r="R108" s="53" t="s">
        <v>68</v>
      </c>
      <c r="S108" s="44">
        <f>E108</f>
        <v>0</v>
      </c>
      <c r="T108" s="44">
        <f>D108</f>
        <v>0</v>
      </c>
      <c r="U108" s="44">
        <f>D108</f>
        <v>0</v>
      </c>
      <c r="V108" s="53"/>
      <c r="W108" s="31">
        <v>204418</v>
      </c>
      <c r="X108" s="9" t="str">
        <f>IFERROR(INDEX([1]Sheet1!$A$2:$X$1948,MATCH($W$2:$W$270,[1]Sheet1!$G$2:$G$1948,0),8),"")</f>
        <v>무우(특품 9~12개입 18Kg/BOX)</v>
      </c>
      <c r="Y108" s="11">
        <v>18000</v>
      </c>
      <c r="Z108" s="11"/>
      <c r="AA108" s="63">
        <v>30</v>
      </c>
      <c r="AB108" s="63" t="e">
        <f>T108*AD108</f>
        <v>#DIV/0!</v>
      </c>
      <c r="AC108" s="63" t="e">
        <f>U108*AD108</f>
        <v>#DIV/0!</v>
      </c>
      <c r="AD108" s="36" t="e">
        <f>AA108/E108</f>
        <v>#DIV/0!</v>
      </c>
      <c r="AE108" s="31">
        <v>317997</v>
      </c>
      <c r="AF108" s="9" t="str">
        <f>IFERROR(INDEX([1]Sheet1!$A$2:$X$1948,MATCH($AE$2:$AE$270,[1]Sheet1!$G$2:$G$1948,0),8),"")</f>
        <v>바지락살(자숙_100/200 250g/EA)</v>
      </c>
      <c r="AG108" s="6">
        <v>15</v>
      </c>
      <c r="AH108" s="6" t="e">
        <f>P108*AJ108</f>
        <v>#DIV/0!</v>
      </c>
      <c r="AI108" s="6" t="e">
        <f>Q108*AJ108</f>
        <v>#DIV/0!</v>
      </c>
      <c r="AJ108" s="36" t="e">
        <f>AG108/$E108</f>
        <v>#DIV/0!</v>
      </c>
      <c r="AK108" s="31"/>
      <c r="AL108" s="9">
        <f>IFERROR(INDEX([1]Sheet1!$A$2:$X$1948,MATCH($AK$2:$AK$270,[1]Sheet1!$G$2:$G$1948,0),8),"")</f>
        <v>0</v>
      </c>
      <c r="AM108" s="6"/>
      <c r="AN108" s="6"/>
      <c r="AO108" s="6"/>
      <c r="AP108" s="36"/>
    </row>
    <row r="109" spans="1:42" ht="27">
      <c r="A109" s="30">
        <v>102</v>
      </c>
      <c r="B109" s="145"/>
      <c r="C109" s="163" t="s">
        <v>1001</v>
      </c>
      <c r="D109" s="27"/>
      <c r="E109" s="27"/>
      <c r="F109" s="27"/>
      <c r="G109" s="27"/>
      <c r="H109" s="70" t="s">
        <v>1002</v>
      </c>
      <c r="I109" s="176" t="s">
        <v>963</v>
      </c>
      <c r="J109" s="137" t="s">
        <v>651</v>
      </c>
      <c r="K109" s="117"/>
      <c r="L109" s="6"/>
      <c r="M109" s="6"/>
      <c r="N109" s="6"/>
      <c r="O109" s="44">
        <f>E109</f>
        <v>0</v>
      </c>
      <c r="P109" s="44">
        <f>D109</f>
        <v>0</v>
      </c>
      <c r="Q109" s="44">
        <f>D109</f>
        <v>0</v>
      </c>
      <c r="R109" s="53" t="s">
        <v>68</v>
      </c>
      <c r="S109" s="44">
        <f>E109</f>
        <v>0</v>
      </c>
      <c r="T109" s="44">
        <f>D109</f>
        <v>0</v>
      </c>
      <c r="U109" s="44">
        <f>D109</f>
        <v>0</v>
      </c>
      <c r="V109" s="53"/>
      <c r="W109" s="31">
        <v>313570</v>
      </c>
      <c r="X109" s="9" t="str">
        <f>IFERROR(INDEX([1]Sheet1!$A$2:$X$1948,MATCH($W$2:$W$270,[1]Sheet1!$G$2:$G$1948,0),8),"")</f>
        <v>프레시웨이 북어채(1Kg/EA)</v>
      </c>
      <c r="Y109" s="11">
        <v>1000</v>
      </c>
      <c r="Z109" s="11"/>
      <c r="AA109" s="63">
        <v>5</v>
      </c>
      <c r="AB109" s="63" t="e">
        <f>T109*AD109</f>
        <v>#DIV/0!</v>
      </c>
      <c r="AC109" s="63" t="e">
        <f>U109*AD109</f>
        <v>#DIV/0!</v>
      </c>
      <c r="AD109" s="36" t="e">
        <f>AA109/E109</f>
        <v>#DIV/0!</v>
      </c>
      <c r="AE109" s="31">
        <v>168257</v>
      </c>
      <c r="AF109" s="9" t="str">
        <f>IFERROR(INDEX([1]Sheet1!$A$2:$X$1948,MATCH($AE$2:$AE$270,[1]Sheet1!$G$2:$G$1948,0),8),"")</f>
        <v>명품 판두부(찌개용 3Kg/EA)</v>
      </c>
      <c r="AG109" s="6"/>
      <c r="AH109" s="6" t="e">
        <f>P109*AJ109</f>
        <v>#DIV/0!</v>
      </c>
      <c r="AI109" s="6" t="e">
        <f>Q109*AJ109</f>
        <v>#DIV/0!</v>
      </c>
      <c r="AJ109" s="36" t="e">
        <f>AG109/$E109</f>
        <v>#DIV/0!</v>
      </c>
      <c r="AK109" s="31"/>
      <c r="AL109" s="9">
        <f>IFERROR(INDEX([1]Sheet1!$A$2:$X$1948,MATCH($AK$2:$AK$270,[1]Sheet1!$G$2:$G$1948,0),8),"")</f>
        <v>0</v>
      </c>
      <c r="AM109" s="6"/>
      <c r="AN109" s="6"/>
      <c r="AO109" s="6"/>
      <c r="AP109" s="36"/>
    </row>
    <row r="110" spans="1:42">
      <c r="A110" s="30"/>
      <c r="B110" s="145"/>
      <c r="C110" s="163" t="s">
        <v>1663</v>
      </c>
      <c r="D110" s="27"/>
      <c r="E110" s="27"/>
      <c r="F110" s="27"/>
      <c r="G110" s="27"/>
      <c r="H110" s="70" t="s">
        <v>1662</v>
      </c>
      <c r="I110" s="176" t="s">
        <v>1661</v>
      </c>
      <c r="J110" s="137" t="s">
        <v>651</v>
      </c>
      <c r="K110" s="117"/>
      <c r="L110" s="6"/>
      <c r="M110" s="6"/>
      <c r="N110" s="6"/>
      <c r="O110" s="44"/>
      <c r="P110" s="44"/>
      <c r="Q110" s="44"/>
      <c r="R110" s="53"/>
      <c r="S110" s="44"/>
      <c r="T110" s="44"/>
      <c r="U110" s="44"/>
      <c r="V110" s="53"/>
      <c r="W110" s="31"/>
      <c r="X110" s="9"/>
      <c r="Y110" s="11"/>
      <c r="Z110" s="11"/>
      <c r="AA110" s="63"/>
      <c r="AB110" s="63"/>
      <c r="AC110" s="63"/>
      <c r="AD110" s="36"/>
      <c r="AE110" s="31"/>
      <c r="AF110" s="9"/>
      <c r="AG110" s="6"/>
      <c r="AH110" s="6"/>
      <c r="AI110" s="6"/>
      <c r="AJ110" s="36"/>
      <c r="AK110" s="31"/>
      <c r="AL110" s="9"/>
      <c r="AM110" s="6"/>
      <c r="AN110" s="6"/>
      <c r="AO110" s="6"/>
      <c r="AP110" s="36"/>
    </row>
    <row r="111" spans="1:42" ht="27">
      <c r="A111" s="30">
        <v>169</v>
      </c>
      <c r="B111" s="130"/>
      <c r="C111" s="143" t="s">
        <v>961</v>
      </c>
      <c r="D111" s="27"/>
      <c r="E111" s="27"/>
      <c r="F111" s="27"/>
      <c r="G111" s="27"/>
      <c r="H111" s="70" t="s">
        <v>962</v>
      </c>
      <c r="I111" s="176" t="s">
        <v>963</v>
      </c>
      <c r="J111" s="137" t="s">
        <v>651</v>
      </c>
      <c r="K111" s="117"/>
      <c r="L111" s="6">
        <v>25650</v>
      </c>
      <c r="M111" s="6">
        <v>1282.5</v>
      </c>
      <c r="N111" s="6">
        <v>26932.5</v>
      </c>
      <c r="O111" s="44"/>
      <c r="P111" s="44"/>
      <c r="Q111" s="44"/>
      <c r="R111" s="53"/>
      <c r="S111" s="44"/>
      <c r="T111" s="44"/>
      <c r="U111" s="44"/>
      <c r="V111" s="53"/>
      <c r="W111" s="31"/>
      <c r="X111" s="9"/>
      <c r="Y111" s="11"/>
      <c r="Z111" s="11"/>
      <c r="AA111" s="63"/>
      <c r="AB111" s="63"/>
      <c r="AC111" s="63"/>
      <c r="AD111" s="36"/>
      <c r="AE111" s="31"/>
      <c r="AF111" s="9"/>
      <c r="AG111" s="6"/>
      <c r="AH111" s="6"/>
      <c r="AI111" s="6"/>
      <c r="AJ111" s="36"/>
      <c r="AK111" s="31"/>
      <c r="AL111" s="9"/>
      <c r="AM111" s="6"/>
      <c r="AN111" s="6"/>
      <c r="AO111" s="6"/>
      <c r="AP111" s="36"/>
    </row>
    <row r="112" spans="1:42">
      <c r="A112" s="30">
        <v>103</v>
      </c>
      <c r="B112" s="130"/>
      <c r="C112" s="228" t="s">
        <v>349</v>
      </c>
      <c r="D112" s="27"/>
      <c r="E112" s="27"/>
      <c r="F112" s="27"/>
      <c r="G112" s="27"/>
      <c r="H112" s="70" t="s">
        <v>597</v>
      </c>
      <c r="I112" s="176" t="s">
        <v>896</v>
      </c>
      <c r="J112" s="136" t="s">
        <v>596</v>
      </c>
      <c r="K112" s="29"/>
      <c r="L112" s="11">
        <v>7200</v>
      </c>
      <c r="M112" s="11">
        <v>360</v>
      </c>
      <c r="N112" s="11">
        <v>7560</v>
      </c>
      <c r="O112" s="44"/>
      <c r="P112" s="44"/>
      <c r="Q112" s="44"/>
      <c r="R112" s="53"/>
      <c r="S112" s="45"/>
      <c r="T112" s="45"/>
      <c r="U112" s="45"/>
      <c r="V112" s="53"/>
      <c r="W112" s="31"/>
      <c r="X112" s="9"/>
      <c r="Y112" s="11"/>
      <c r="Z112" s="11"/>
      <c r="AA112" s="63"/>
      <c r="AB112" s="63"/>
      <c r="AC112" s="63"/>
      <c r="AD112" s="36"/>
      <c r="AE112" s="31"/>
      <c r="AF112" s="9"/>
      <c r="AG112" s="6"/>
      <c r="AH112" s="6"/>
      <c r="AI112" s="6"/>
      <c r="AJ112" s="36"/>
      <c r="AK112" s="31"/>
      <c r="AL112" s="9"/>
      <c r="AM112" s="6"/>
      <c r="AN112" s="6"/>
      <c r="AO112" s="6"/>
      <c r="AP112" s="36"/>
    </row>
    <row r="113" spans="1:42">
      <c r="A113" s="30">
        <v>104</v>
      </c>
      <c r="B113" s="130"/>
      <c r="C113" s="225" t="s">
        <v>1587</v>
      </c>
      <c r="D113" s="27"/>
      <c r="E113" s="27"/>
      <c r="F113" s="27"/>
      <c r="G113" s="27"/>
      <c r="H113" s="70" t="s">
        <v>721</v>
      </c>
      <c r="I113" s="176" t="s">
        <v>841</v>
      </c>
      <c r="J113" s="137"/>
      <c r="K113" s="29"/>
      <c r="L113" s="11"/>
      <c r="M113" s="11"/>
      <c r="N113" s="11"/>
      <c r="O113" s="44"/>
      <c r="P113" s="44"/>
      <c r="Q113" s="44"/>
      <c r="R113" s="53"/>
      <c r="S113" s="44"/>
      <c r="T113" s="46"/>
      <c r="U113" s="46"/>
      <c r="V113" s="53"/>
      <c r="W113" s="74"/>
      <c r="X113" s="9"/>
      <c r="Y113" s="11"/>
      <c r="Z113" s="11"/>
      <c r="AA113" s="63"/>
      <c r="AB113" s="63"/>
      <c r="AC113" s="63"/>
      <c r="AD113" s="36"/>
      <c r="AE113" s="31"/>
      <c r="AF113" s="75"/>
      <c r="AG113" s="6"/>
      <c r="AH113" s="6"/>
      <c r="AI113" s="6"/>
      <c r="AJ113" s="36"/>
      <c r="AK113" s="31"/>
      <c r="AL113" s="9"/>
      <c r="AM113" s="6"/>
      <c r="AN113" s="6"/>
      <c r="AO113" s="6"/>
      <c r="AP113" s="36"/>
    </row>
    <row r="114" spans="1:42">
      <c r="A114" s="30">
        <v>105</v>
      </c>
      <c r="B114" s="130"/>
      <c r="C114" s="225" t="s">
        <v>1584</v>
      </c>
      <c r="D114" s="27"/>
      <c r="E114" s="27"/>
      <c r="F114" s="27"/>
      <c r="G114" s="27"/>
      <c r="H114" s="70" t="s">
        <v>1585</v>
      </c>
      <c r="I114" s="176" t="s">
        <v>881</v>
      </c>
      <c r="J114" s="137"/>
      <c r="K114" s="117"/>
      <c r="L114" s="6"/>
      <c r="M114" s="6"/>
      <c r="N114" s="6"/>
      <c r="O114" s="44"/>
      <c r="P114" s="44"/>
      <c r="Q114" s="44"/>
      <c r="R114" s="53"/>
      <c r="S114" s="44"/>
      <c r="T114" s="44"/>
      <c r="U114" s="44"/>
      <c r="V114" s="53"/>
      <c r="W114" s="31"/>
      <c r="X114" s="9"/>
      <c r="Y114" s="11"/>
      <c r="Z114" s="11"/>
      <c r="AA114" s="63"/>
      <c r="AB114" s="63"/>
      <c r="AC114" s="63"/>
      <c r="AD114" s="36"/>
      <c r="AE114" s="31"/>
      <c r="AF114" s="9"/>
      <c r="AG114" s="6"/>
      <c r="AH114" s="6"/>
      <c r="AI114" s="6"/>
      <c r="AJ114" s="36"/>
      <c r="AK114" s="31"/>
      <c r="AL114" s="9"/>
      <c r="AM114" s="6"/>
      <c r="AN114" s="6"/>
      <c r="AO114" s="6"/>
      <c r="AP114" s="36"/>
    </row>
    <row r="115" spans="1:42" ht="16.5" customHeight="1">
      <c r="A115" s="30">
        <v>106</v>
      </c>
      <c r="B115" s="130"/>
      <c r="C115" s="225" t="s">
        <v>1567</v>
      </c>
      <c r="D115" s="27"/>
      <c r="E115" s="27"/>
      <c r="F115" s="27"/>
      <c r="G115" s="27"/>
      <c r="H115" s="70" t="s">
        <v>1568</v>
      </c>
      <c r="I115" s="176" t="s">
        <v>881</v>
      </c>
      <c r="J115" s="137"/>
      <c r="K115" s="117"/>
      <c r="L115" s="6"/>
      <c r="M115" s="6"/>
      <c r="N115" s="6"/>
      <c r="O115" s="44"/>
      <c r="P115" s="44"/>
      <c r="Q115" s="44"/>
      <c r="R115" s="53"/>
      <c r="S115" s="44"/>
      <c r="T115" s="44"/>
      <c r="U115" s="44"/>
      <c r="V115" s="53"/>
      <c r="W115" s="31"/>
      <c r="X115" s="9"/>
      <c r="Y115" s="11"/>
      <c r="Z115" s="11"/>
      <c r="AA115" s="63"/>
      <c r="AB115" s="63"/>
      <c r="AC115" s="63"/>
      <c r="AD115" s="36"/>
      <c r="AE115" s="31"/>
      <c r="AF115" s="9"/>
      <c r="AG115" s="6"/>
      <c r="AH115" s="6"/>
      <c r="AI115" s="6"/>
      <c r="AJ115" s="36"/>
      <c r="AK115" s="31"/>
      <c r="AL115" s="9"/>
      <c r="AM115" s="6"/>
      <c r="AN115" s="6"/>
      <c r="AO115" s="6"/>
      <c r="AP115" s="36"/>
    </row>
    <row r="116" spans="1:42">
      <c r="A116" s="30">
        <v>107</v>
      </c>
      <c r="B116" s="130"/>
      <c r="C116" s="225" t="s">
        <v>1005</v>
      </c>
      <c r="D116" s="27"/>
      <c r="E116" s="27"/>
      <c r="F116" s="27"/>
      <c r="G116" s="27"/>
      <c r="H116" s="70" t="s">
        <v>1274</v>
      </c>
      <c r="I116" s="176" t="s">
        <v>1006</v>
      </c>
      <c r="J116" s="136"/>
      <c r="K116" s="117"/>
      <c r="L116" s="6"/>
      <c r="M116" s="6"/>
      <c r="N116" s="6"/>
      <c r="O116" s="44"/>
      <c r="P116" s="44"/>
      <c r="Q116" s="44"/>
      <c r="R116" s="53"/>
      <c r="S116" s="44"/>
      <c r="T116" s="44"/>
      <c r="U116" s="44"/>
      <c r="V116" s="53"/>
      <c r="W116" s="31"/>
      <c r="X116" s="9"/>
      <c r="Y116" s="11"/>
      <c r="Z116" s="11"/>
      <c r="AA116" s="63"/>
      <c r="AB116" s="63"/>
      <c r="AC116" s="63"/>
      <c r="AD116" s="36"/>
      <c r="AE116" s="31"/>
      <c r="AF116" s="9"/>
      <c r="AG116" s="6"/>
      <c r="AH116" s="6"/>
      <c r="AI116" s="6"/>
      <c r="AJ116" s="36"/>
      <c r="AK116" s="31"/>
      <c r="AL116" s="9"/>
      <c r="AM116" s="6"/>
      <c r="AN116" s="6"/>
      <c r="AO116" s="6"/>
      <c r="AP116" s="36"/>
    </row>
    <row r="117" spans="1:42" ht="30" customHeight="1">
      <c r="A117" s="30">
        <v>108</v>
      </c>
      <c r="B117" s="130"/>
      <c r="C117" s="225" t="s">
        <v>1515</v>
      </c>
      <c r="D117" s="27"/>
      <c r="E117" s="27"/>
      <c r="F117" s="27"/>
      <c r="G117" s="27"/>
      <c r="H117" s="70" t="s">
        <v>1226</v>
      </c>
      <c r="I117" s="176" t="s">
        <v>988</v>
      </c>
      <c r="J117" s="137" t="s">
        <v>607</v>
      </c>
      <c r="K117" s="120"/>
      <c r="L117" s="6"/>
      <c r="M117" s="6"/>
      <c r="N117" s="6"/>
      <c r="O117" s="44"/>
      <c r="P117" s="44"/>
      <c r="Q117" s="44"/>
      <c r="R117" s="53"/>
      <c r="S117" s="44"/>
      <c r="T117" s="44"/>
      <c r="U117" s="44"/>
      <c r="V117" s="53"/>
      <c r="W117" s="74"/>
      <c r="X117" s="9"/>
      <c r="Y117" s="11"/>
      <c r="Z117" s="11"/>
      <c r="AA117" s="63"/>
      <c r="AB117" s="63"/>
      <c r="AC117" s="63"/>
      <c r="AD117" s="36"/>
      <c r="AE117" s="31"/>
      <c r="AF117" s="9"/>
      <c r="AG117" s="6"/>
      <c r="AH117" s="6"/>
      <c r="AI117" s="6"/>
      <c r="AJ117" s="36"/>
      <c r="AK117" s="31"/>
      <c r="AL117" s="9"/>
      <c r="AM117" s="6"/>
      <c r="AN117" s="6"/>
      <c r="AO117" s="6"/>
      <c r="AP117" s="36"/>
    </row>
    <row r="118" spans="1:42" ht="20.100000000000001" customHeight="1">
      <c r="A118" s="30">
        <v>109</v>
      </c>
      <c r="B118" s="130"/>
      <c r="C118" s="229" t="s">
        <v>1275</v>
      </c>
      <c r="D118" s="27"/>
      <c r="E118" s="27"/>
      <c r="F118" s="27"/>
      <c r="G118" s="27"/>
      <c r="H118" s="132" t="s">
        <v>1276</v>
      </c>
      <c r="I118" s="180" t="s">
        <v>900</v>
      </c>
      <c r="J118" s="137"/>
      <c r="K118" s="29"/>
      <c r="L118" s="11"/>
      <c r="M118" s="11"/>
      <c r="N118" s="11"/>
      <c r="O118" s="44"/>
      <c r="P118" s="44"/>
      <c r="Q118" s="44"/>
      <c r="R118" s="53"/>
      <c r="S118" s="44"/>
      <c r="T118" s="46"/>
      <c r="U118" s="46"/>
      <c r="V118" s="53"/>
      <c r="W118" s="34"/>
      <c r="X118" s="35"/>
      <c r="Y118" s="61"/>
      <c r="Z118" s="61"/>
      <c r="AA118" s="63"/>
      <c r="AB118" s="63"/>
      <c r="AC118" s="63"/>
      <c r="AD118" s="36"/>
      <c r="AE118" s="34"/>
      <c r="AF118" s="35"/>
      <c r="AG118" s="6"/>
      <c r="AH118" s="6"/>
      <c r="AI118" s="6"/>
      <c r="AJ118" s="36"/>
      <c r="AK118" s="34"/>
      <c r="AL118" s="35"/>
      <c r="AM118" s="6"/>
      <c r="AN118" s="6"/>
      <c r="AO118" s="6"/>
      <c r="AP118" s="36"/>
    </row>
    <row r="119" spans="1:42">
      <c r="A119" s="30">
        <v>149</v>
      </c>
      <c r="B119" s="130"/>
      <c r="C119" s="133" t="s">
        <v>1867</v>
      </c>
      <c r="D119" s="27"/>
      <c r="E119" s="27"/>
      <c r="F119" s="27"/>
      <c r="G119" s="27"/>
      <c r="H119" s="70" t="s">
        <v>1884</v>
      </c>
      <c r="I119" s="176" t="s">
        <v>900</v>
      </c>
      <c r="J119" s="136"/>
      <c r="K119" s="117"/>
      <c r="L119" s="6"/>
      <c r="M119" s="6"/>
      <c r="N119" s="6"/>
      <c r="O119" s="44"/>
      <c r="P119" s="44"/>
      <c r="Q119" s="44"/>
      <c r="R119" s="53"/>
      <c r="S119" s="44"/>
      <c r="T119" s="44"/>
      <c r="U119" s="44"/>
      <c r="V119" s="53"/>
      <c r="W119" s="31"/>
      <c r="X119" s="9"/>
      <c r="Y119" s="11"/>
      <c r="Z119" s="11"/>
      <c r="AA119" s="63"/>
      <c r="AB119" s="63"/>
      <c r="AC119" s="63"/>
      <c r="AD119" s="36"/>
      <c r="AE119" s="31"/>
      <c r="AF119" s="9"/>
      <c r="AG119" s="6"/>
      <c r="AH119" s="6"/>
      <c r="AI119" s="6"/>
      <c r="AJ119" s="36"/>
      <c r="AK119" s="31"/>
      <c r="AL119" s="9"/>
      <c r="AM119" s="6"/>
      <c r="AN119" s="6"/>
      <c r="AO119" s="6"/>
      <c r="AP119" s="36"/>
    </row>
    <row r="120" spans="1:42" ht="30" customHeight="1">
      <c r="A120" s="30">
        <v>110</v>
      </c>
      <c r="B120" s="130"/>
      <c r="C120" s="230" t="s">
        <v>1788</v>
      </c>
      <c r="D120" s="27"/>
      <c r="E120" s="27"/>
      <c r="F120" s="27"/>
      <c r="G120" s="27"/>
      <c r="H120" s="70" t="s">
        <v>1538</v>
      </c>
      <c r="I120" s="176" t="s">
        <v>888</v>
      </c>
      <c r="J120" s="137" t="s">
        <v>811</v>
      </c>
      <c r="K120" s="117"/>
      <c r="L120" s="6">
        <v>19920</v>
      </c>
      <c r="M120" s="6">
        <v>996</v>
      </c>
      <c r="N120" s="6">
        <v>20916</v>
      </c>
      <c r="O120" s="44"/>
      <c r="P120" s="44"/>
      <c r="Q120" s="44"/>
      <c r="R120" s="53"/>
      <c r="S120" s="44"/>
      <c r="T120" s="44"/>
      <c r="U120" s="44"/>
      <c r="V120" s="53"/>
      <c r="W120" s="31"/>
      <c r="X120" s="9"/>
      <c r="Y120" s="11"/>
      <c r="Z120" s="11"/>
      <c r="AA120" s="63"/>
      <c r="AB120" s="63"/>
      <c r="AC120" s="63"/>
      <c r="AD120" s="36"/>
      <c r="AE120" s="31"/>
      <c r="AF120" s="9"/>
      <c r="AG120" s="6"/>
      <c r="AH120" s="6"/>
      <c r="AI120" s="6"/>
      <c r="AJ120" s="36"/>
      <c r="AK120" s="31"/>
      <c r="AL120" s="9"/>
      <c r="AM120" s="6"/>
      <c r="AN120" s="6"/>
      <c r="AO120" s="6"/>
      <c r="AP120" s="36"/>
    </row>
    <row r="121" spans="1:42" ht="18" customHeight="1">
      <c r="A121" s="30"/>
      <c r="B121" s="130"/>
      <c r="C121" s="230" t="s">
        <v>810</v>
      </c>
      <c r="D121" s="27"/>
      <c r="E121" s="27"/>
      <c r="F121" s="27"/>
      <c r="G121" s="27"/>
      <c r="H121" s="70" t="s">
        <v>1982</v>
      </c>
      <c r="I121" s="176" t="s">
        <v>888</v>
      </c>
      <c r="J121" s="137" t="s">
        <v>811</v>
      </c>
      <c r="K121" s="117"/>
      <c r="L121" s="6"/>
      <c r="M121" s="6"/>
      <c r="N121" s="6"/>
      <c r="O121" s="44"/>
      <c r="P121" s="44"/>
      <c r="Q121" s="44"/>
      <c r="R121" s="53"/>
      <c r="S121" s="44"/>
      <c r="T121" s="44"/>
      <c r="U121" s="44"/>
      <c r="V121" s="53"/>
      <c r="W121" s="31"/>
      <c r="X121" s="9"/>
      <c r="Y121" s="11"/>
      <c r="Z121" s="11"/>
      <c r="AA121" s="63"/>
      <c r="AB121" s="63"/>
      <c r="AC121" s="63"/>
      <c r="AD121" s="36"/>
      <c r="AE121" s="31"/>
      <c r="AF121" s="9"/>
      <c r="AG121" s="6"/>
      <c r="AH121" s="6"/>
      <c r="AI121" s="6"/>
      <c r="AJ121" s="36"/>
      <c r="AK121" s="31"/>
      <c r="AL121" s="9"/>
      <c r="AM121" s="6"/>
      <c r="AN121" s="6"/>
      <c r="AO121" s="6"/>
      <c r="AP121" s="36"/>
    </row>
    <row r="122" spans="1:42">
      <c r="A122" s="30">
        <v>111</v>
      </c>
      <c r="B122" s="130"/>
      <c r="C122" s="225" t="s">
        <v>1716</v>
      </c>
      <c r="D122" s="27"/>
      <c r="E122" s="27"/>
      <c r="F122" s="27"/>
      <c r="G122" s="27"/>
      <c r="H122" s="70" t="s">
        <v>1042</v>
      </c>
      <c r="I122" s="176" t="s">
        <v>900</v>
      </c>
      <c r="J122" s="137"/>
      <c r="K122" s="117"/>
      <c r="L122" s="6"/>
      <c r="M122" s="6"/>
      <c r="N122" s="6"/>
      <c r="O122" s="44"/>
      <c r="P122" s="44"/>
      <c r="Q122" s="44"/>
      <c r="R122" s="53"/>
      <c r="S122" s="45"/>
      <c r="T122" s="45"/>
      <c r="U122" s="45"/>
      <c r="V122" s="53"/>
      <c r="W122" s="31"/>
      <c r="X122" s="9"/>
      <c r="Y122" s="11"/>
      <c r="Z122" s="11"/>
      <c r="AA122" s="64"/>
      <c r="AB122" s="64"/>
      <c r="AC122" s="64"/>
      <c r="AD122" s="36"/>
      <c r="AE122" s="31"/>
      <c r="AF122" s="9"/>
      <c r="AG122" s="6"/>
      <c r="AH122" s="6"/>
      <c r="AI122" s="6"/>
      <c r="AJ122" s="36"/>
      <c r="AK122" s="31"/>
      <c r="AL122" s="9"/>
      <c r="AM122" s="6"/>
      <c r="AN122" s="6"/>
      <c r="AO122" s="6"/>
      <c r="AP122" s="36"/>
    </row>
    <row r="123" spans="1:42">
      <c r="A123" s="30"/>
      <c r="B123" s="130"/>
      <c r="C123" s="225" t="s">
        <v>1808</v>
      </c>
      <c r="D123" s="27"/>
      <c r="E123" s="27"/>
      <c r="F123" s="27"/>
      <c r="G123" s="27"/>
      <c r="H123" s="70" t="s">
        <v>1809</v>
      </c>
      <c r="I123" s="180" t="s">
        <v>1632</v>
      </c>
      <c r="J123" s="136" t="s">
        <v>1633</v>
      </c>
      <c r="K123" s="117"/>
      <c r="L123" s="6"/>
      <c r="M123" s="6"/>
      <c r="N123" s="6"/>
      <c r="O123" s="44"/>
      <c r="P123" s="44"/>
      <c r="Q123" s="44"/>
      <c r="R123" s="53"/>
      <c r="S123" s="45"/>
      <c r="T123" s="45"/>
      <c r="U123" s="45"/>
      <c r="V123" s="53"/>
      <c r="W123" s="31"/>
      <c r="X123" s="9"/>
      <c r="Y123" s="11"/>
      <c r="Z123" s="11"/>
      <c r="AA123" s="64"/>
      <c r="AB123" s="64"/>
      <c r="AC123" s="64"/>
      <c r="AD123" s="36"/>
      <c r="AE123" s="31"/>
      <c r="AF123" s="9"/>
      <c r="AG123" s="6"/>
      <c r="AH123" s="6"/>
      <c r="AI123" s="6"/>
      <c r="AJ123" s="36"/>
      <c r="AK123" s="31"/>
      <c r="AL123" s="9"/>
      <c r="AM123" s="6"/>
      <c r="AN123" s="6"/>
      <c r="AO123" s="6"/>
      <c r="AP123" s="36"/>
    </row>
    <row r="124" spans="1:42">
      <c r="A124" s="30">
        <v>112</v>
      </c>
      <c r="B124" s="130"/>
      <c r="C124" s="225" t="s">
        <v>1264</v>
      </c>
      <c r="D124" s="27"/>
      <c r="E124" s="27"/>
      <c r="F124" s="27"/>
      <c r="G124" s="27"/>
      <c r="H124" s="144" t="s">
        <v>738</v>
      </c>
      <c r="I124" s="178" t="s">
        <v>841</v>
      </c>
      <c r="J124" s="135"/>
      <c r="K124" s="117"/>
      <c r="L124" s="6">
        <v>25000</v>
      </c>
      <c r="M124" s="6">
        <v>1250</v>
      </c>
      <c r="N124" s="6">
        <v>26250</v>
      </c>
      <c r="O124" s="44">
        <f>E124</f>
        <v>0</v>
      </c>
      <c r="P124" s="44">
        <f>D124</f>
        <v>0</v>
      </c>
      <c r="Q124" s="44">
        <f>D124</f>
        <v>0</v>
      </c>
      <c r="R124" s="53" t="s">
        <v>68</v>
      </c>
      <c r="S124" s="44">
        <f>E124</f>
        <v>0</v>
      </c>
      <c r="T124" s="44">
        <f>D124</f>
        <v>0</v>
      </c>
      <c r="U124" s="44">
        <f>D124</f>
        <v>0</v>
      </c>
      <c r="V124" s="53"/>
      <c r="W124" s="31">
        <v>219387</v>
      </c>
      <c r="X124" s="9" t="str">
        <f>IFERROR(INDEX([1]Sheet1!$A$2:$X$1948,MATCH($W$2:$W$270,[1]Sheet1!$G$2:$G$1948,0),8),"")</f>
        <v>냉동배추우거지(1Kg/EA)</v>
      </c>
      <c r="Y124" s="11">
        <v>1000</v>
      </c>
      <c r="Z124" s="11"/>
      <c r="AA124" s="63">
        <v>30</v>
      </c>
      <c r="AB124" s="63" t="e">
        <f>T124*AD124</f>
        <v>#DIV/0!</v>
      </c>
      <c r="AC124" s="63" t="e">
        <f>U124*AD124</f>
        <v>#DIV/0!</v>
      </c>
      <c r="AD124" s="36" t="e">
        <f>AA124/E124</f>
        <v>#DIV/0!</v>
      </c>
      <c r="AE124" s="31">
        <v>424285</v>
      </c>
      <c r="AF124" s="9" t="str">
        <f>IFERROR(INDEX([1]Sheet1!$A$2:$X$1948,MATCH($AE$2:$AE$270,[1]Sheet1!$G$2:$G$1948,0),8),"")</f>
        <v>소양지(3*2*0.3cm_저지방 키즈용_국거리용 KG)</v>
      </c>
      <c r="AG124" s="6">
        <v>14</v>
      </c>
      <c r="AH124" s="6" t="e">
        <f>P124*AJ124</f>
        <v>#DIV/0!</v>
      </c>
      <c r="AI124" s="6" t="e">
        <f>Q124*AJ124</f>
        <v>#DIV/0!</v>
      </c>
      <c r="AJ124" s="36" t="e">
        <f>AG124/$E124</f>
        <v>#DIV/0!</v>
      </c>
      <c r="AK124" s="31"/>
      <c r="AL124" s="9">
        <f>IFERROR(INDEX([1]Sheet1!$A$2:$X$1948,MATCH($AK$2:$AK$270,[1]Sheet1!$G$2:$G$1948,0),8),"")</f>
        <v>0</v>
      </c>
      <c r="AM124" s="6"/>
      <c r="AN124" s="6"/>
      <c r="AO124" s="6"/>
      <c r="AP124" s="36"/>
    </row>
    <row r="125" spans="1:42">
      <c r="A125" s="30">
        <v>113</v>
      </c>
      <c r="B125" s="130"/>
      <c r="C125" s="230" t="s">
        <v>684</v>
      </c>
      <c r="D125" s="27"/>
      <c r="E125" s="27"/>
      <c r="F125" s="27"/>
      <c r="G125" s="27"/>
      <c r="H125" s="70" t="s">
        <v>1361</v>
      </c>
      <c r="I125" s="176" t="s">
        <v>1889</v>
      </c>
      <c r="J125" s="137" t="s">
        <v>1080</v>
      </c>
      <c r="K125" s="29"/>
      <c r="L125" s="11"/>
      <c r="M125" s="11"/>
      <c r="N125" s="11"/>
      <c r="O125" s="44"/>
      <c r="P125" s="44"/>
      <c r="Q125" s="44"/>
      <c r="R125" s="53"/>
      <c r="S125" s="44"/>
      <c r="T125" s="46"/>
      <c r="U125" s="46"/>
      <c r="V125" s="53"/>
      <c r="W125" s="74"/>
      <c r="X125" s="9"/>
      <c r="Y125" s="11"/>
      <c r="Z125" s="11"/>
      <c r="AA125" s="63"/>
      <c r="AB125" s="63"/>
      <c r="AC125" s="63"/>
      <c r="AD125" s="36"/>
      <c r="AE125" s="31"/>
      <c r="AF125" s="9"/>
      <c r="AG125" s="6"/>
      <c r="AH125" s="6"/>
      <c r="AI125" s="6"/>
      <c r="AJ125" s="36"/>
      <c r="AK125" s="31"/>
      <c r="AL125" s="9"/>
      <c r="AM125" s="6"/>
      <c r="AN125" s="6"/>
      <c r="AO125" s="6"/>
      <c r="AP125" s="36"/>
    </row>
    <row r="126" spans="1:42">
      <c r="A126" s="30">
        <v>114</v>
      </c>
      <c r="B126" s="130"/>
      <c r="C126" s="225" t="s">
        <v>1136</v>
      </c>
      <c r="D126" s="27"/>
      <c r="E126" s="27"/>
      <c r="F126" s="27"/>
      <c r="G126" s="27"/>
      <c r="H126" s="132" t="s">
        <v>1279</v>
      </c>
      <c r="I126" s="180" t="s">
        <v>890</v>
      </c>
      <c r="J126" s="136" t="s">
        <v>1885</v>
      </c>
      <c r="K126" s="29"/>
      <c r="L126" s="11"/>
      <c r="M126" s="11"/>
      <c r="N126" s="11"/>
      <c r="O126" s="44"/>
      <c r="P126" s="44"/>
      <c r="Q126" s="44"/>
      <c r="R126" s="53"/>
      <c r="S126" s="44"/>
      <c r="T126" s="46"/>
      <c r="U126" s="46"/>
      <c r="V126" s="53"/>
      <c r="W126" s="31"/>
      <c r="X126" s="9"/>
      <c r="Y126" s="11"/>
      <c r="Z126" s="11"/>
      <c r="AA126" s="63"/>
      <c r="AB126" s="63"/>
      <c r="AC126" s="63"/>
      <c r="AD126" s="36"/>
      <c r="AE126" s="31"/>
      <c r="AF126" s="9"/>
      <c r="AG126" s="6"/>
      <c r="AH126" s="6"/>
      <c r="AI126" s="6"/>
      <c r="AJ126" s="36"/>
      <c r="AK126" s="31"/>
      <c r="AL126" s="9"/>
      <c r="AM126" s="6"/>
      <c r="AN126" s="6"/>
      <c r="AO126" s="6"/>
      <c r="AP126" s="36"/>
    </row>
    <row r="127" spans="1:42">
      <c r="A127" s="30">
        <v>115</v>
      </c>
      <c r="B127" s="130"/>
      <c r="C127" s="225" t="s">
        <v>616</v>
      </c>
      <c r="D127" s="27"/>
      <c r="E127" s="27"/>
      <c r="F127" s="27"/>
      <c r="G127" s="27"/>
      <c r="H127" s="70" t="s">
        <v>735</v>
      </c>
      <c r="I127" s="176" t="s">
        <v>840</v>
      </c>
      <c r="J127" s="136" t="s">
        <v>631</v>
      </c>
      <c r="K127" s="117"/>
      <c r="L127" s="6">
        <v>600</v>
      </c>
      <c r="M127" s="6">
        <v>30</v>
      </c>
      <c r="N127" s="6">
        <v>630</v>
      </c>
      <c r="O127" s="44">
        <v>60</v>
      </c>
      <c r="P127" s="44">
        <v>200</v>
      </c>
      <c r="Q127" s="44">
        <v>300</v>
      </c>
      <c r="R127" s="53" t="s">
        <v>68</v>
      </c>
      <c r="S127" s="44"/>
      <c r="T127" s="44"/>
      <c r="U127" s="44"/>
      <c r="V127" s="53"/>
      <c r="W127" s="74">
        <v>411756</v>
      </c>
      <c r="X127" s="9" t="str">
        <f>IFERROR(INDEX([1]Sheet1!$A$2:$X$1948,MATCH($W$2:$W$270,[1]Sheet1!$G$2:$G$1948,0),8),"")</f>
        <v>프레시웨이 돈앞다리(6*5*0.3cm 불고기용 1Kg/EA)</v>
      </c>
      <c r="Y127" s="11">
        <v>1000</v>
      </c>
      <c r="Z127" s="11"/>
      <c r="AA127" s="63">
        <v>50</v>
      </c>
      <c r="AB127" s="63" t="e">
        <f>P127*AD127</f>
        <v>#DIV/0!</v>
      </c>
      <c r="AC127" s="63" t="e">
        <f>Q127*AD127</f>
        <v>#DIV/0!</v>
      </c>
      <c r="AD127" s="36" t="e">
        <f>AA127/E127</f>
        <v>#DIV/0!</v>
      </c>
      <c r="AE127" s="31">
        <v>208301</v>
      </c>
      <c r="AF127" s="9" t="str">
        <f>IFERROR(INDEX([1]Sheet1!$A$2:$X$1948,MATCH($AE$2:$AE$270,[1]Sheet1!$G$2:$G$1948,0),8),"")</f>
        <v>양파(특품 180~240g/개 1Kg/EA)</v>
      </c>
      <c r="AG127" s="6">
        <v>8</v>
      </c>
      <c r="AH127" s="6" t="e">
        <f>P127*AJ127</f>
        <v>#DIV/0!</v>
      </c>
      <c r="AI127" s="6" t="e">
        <f>Q127*AJ127</f>
        <v>#DIV/0!</v>
      </c>
      <c r="AJ127" s="36" t="e">
        <f>AG127/$E127</f>
        <v>#DIV/0!</v>
      </c>
      <c r="AK127" s="31"/>
      <c r="AL127" s="9">
        <f>IFERROR(INDEX([1]Sheet1!$A$2:$X$1948,MATCH($AK$2:$AK$270,[1]Sheet1!$G$2:$G$1948,0),8),"")</f>
        <v>0</v>
      </c>
      <c r="AM127" s="6">
        <v>8</v>
      </c>
      <c r="AN127" s="6" t="e">
        <f>P127*AP127</f>
        <v>#DIV/0!</v>
      </c>
      <c r="AO127" s="6" t="e">
        <f>Q127*AP127</f>
        <v>#DIV/0!</v>
      </c>
      <c r="AP127" s="36" t="e">
        <f>AM127/$E127</f>
        <v>#DIV/0!</v>
      </c>
    </row>
    <row r="128" spans="1:42">
      <c r="A128" s="30">
        <v>116</v>
      </c>
      <c r="B128" s="130"/>
      <c r="C128" s="225" t="s">
        <v>1520</v>
      </c>
      <c r="D128" s="27"/>
      <c r="E128" s="27"/>
      <c r="F128" s="27"/>
      <c r="G128" s="27"/>
      <c r="H128" s="70" t="s">
        <v>1202</v>
      </c>
      <c r="I128" s="176" t="s">
        <v>1203</v>
      </c>
      <c r="J128" s="137"/>
      <c r="K128" s="117"/>
      <c r="L128" s="6"/>
      <c r="M128" s="6"/>
      <c r="N128" s="6"/>
      <c r="O128" s="44"/>
      <c r="P128" s="44"/>
      <c r="Q128" s="44"/>
      <c r="R128" s="53"/>
      <c r="S128" s="44"/>
      <c r="T128" s="44"/>
      <c r="U128" s="44"/>
      <c r="V128" s="53"/>
      <c r="W128" s="31"/>
      <c r="X128" s="9"/>
      <c r="Y128" s="11"/>
      <c r="Z128" s="11"/>
      <c r="AA128" s="63"/>
      <c r="AB128" s="63"/>
      <c r="AC128" s="63"/>
      <c r="AD128" s="36"/>
      <c r="AE128" s="31"/>
      <c r="AF128" s="9"/>
      <c r="AG128" s="6"/>
      <c r="AH128" s="6"/>
      <c r="AI128" s="6"/>
      <c r="AJ128" s="36"/>
      <c r="AK128" s="31"/>
      <c r="AL128" s="9"/>
      <c r="AM128" s="6"/>
      <c r="AN128" s="6"/>
      <c r="AO128" s="6"/>
      <c r="AP128" s="36"/>
    </row>
    <row r="129" spans="1:42" ht="15" customHeight="1">
      <c r="A129" s="30">
        <v>117</v>
      </c>
      <c r="B129" s="130"/>
      <c r="C129" s="225" t="s">
        <v>1217</v>
      </c>
      <c r="D129" s="27"/>
      <c r="E129" s="27"/>
      <c r="F129" s="27"/>
      <c r="G129" s="27"/>
      <c r="H129" s="70" t="s">
        <v>1218</v>
      </c>
      <c r="I129" s="176" t="s">
        <v>934</v>
      </c>
      <c r="J129" s="139"/>
      <c r="K129" s="29"/>
      <c r="L129" s="11"/>
      <c r="M129" s="11"/>
      <c r="N129" s="9"/>
      <c r="O129" s="44"/>
      <c r="P129" s="44"/>
      <c r="Q129" s="44"/>
      <c r="R129" s="53"/>
      <c r="S129" s="44"/>
      <c r="T129" s="46"/>
      <c r="U129" s="46"/>
      <c r="V129" s="53"/>
      <c r="W129" s="31"/>
      <c r="X129" s="70"/>
      <c r="Y129" s="11"/>
      <c r="Z129" s="11"/>
      <c r="AA129" s="63"/>
      <c r="AB129" s="63"/>
      <c r="AC129" s="63"/>
      <c r="AD129" s="36"/>
      <c r="AE129" s="31"/>
      <c r="AF129" s="9"/>
      <c r="AG129" s="6"/>
      <c r="AH129" s="6"/>
      <c r="AI129" s="6"/>
      <c r="AJ129" s="36"/>
      <c r="AK129" s="31"/>
      <c r="AL129" s="9"/>
      <c r="AM129" s="6"/>
      <c r="AN129" s="6"/>
      <c r="AO129" s="6"/>
      <c r="AP129" s="36"/>
    </row>
    <row r="130" spans="1:42">
      <c r="A130" s="30">
        <v>118</v>
      </c>
      <c r="B130" s="130"/>
      <c r="C130" s="225" t="s">
        <v>695</v>
      </c>
      <c r="D130" s="27"/>
      <c r="E130" s="27"/>
      <c r="F130" s="27"/>
      <c r="G130" s="27"/>
      <c r="H130" s="132" t="s">
        <v>1961</v>
      </c>
      <c r="I130" s="180" t="s">
        <v>881</v>
      </c>
      <c r="J130" s="136"/>
      <c r="K130" s="29"/>
      <c r="L130" s="11"/>
      <c r="M130" s="11"/>
      <c r="N130" s="11"/>
      <c r="O130" s="44"/>
      <c r="P130" s="44"/>
      <c r="Q130" s="44"/>
      <c r="R130" s="53"/>
      <c r="S130" s="44"/>
      <c r="T130" s="46"/>
      <c r="U130" s="46"/>
      <c r="V130" s="53"/>
      <c r="W130" s="31"/>
      <c r="X130" s="9"/>
      <c r="Y130" s="11"/>
      <c r="Z130" s="11"/>
      <c r="AA130" s="63"/>
      <c r="AB130" s="63"/>
      <c r="AC130" s="63"/>
      <c r="AD130" s="36"/>
      <c r="AE130" s="31"/>
      <c r="AF130" s="9"/>
      <c r="AG130" s="6"/>
      <c r="AH130" s="6"/>
      <c r="AI130" s="6"/>
      <c r="AJ130" s="36"/>
      <c r="AK130" s="31"/>
      <c r="AL130" s="9"/>
      <c r="AM130" s="6"/>
      <c r="AN130" s="6"/>
      <c r="AO130" s="6"/>
      <c r="AP130" s="36"/>
    </row>
    <row r="131" spans="1:42" ht="27">
      <c r="A131" s="30">
        <v>119</v>
      </c>
      <c r="B131" s="130"/>
      <c r="C131" s="225" t="s">
        <v>1267</v>
      </c>
      <c r="D131" s="27"/>
      <c r="E131" s="27"/>
      <c r="F131" s="27"/>
      <c r="G131" s="27"/>
      <c r="H131" s="70" t="s">
        <v>1417</v>
      </c>
      <c r="I131" s="176" t="s">
        <v>841</v>
      </c>
      <c r="J131" s="137"/>
      <c r="K131" s="29"/>
      <c r="L131" s="11"/>
      <c r="M131" s="11"/>
      <c r="N131" s="11"/>
      <c r="O131" s="44"/>
      <c r="P131" s="44"/>
      <c r="Q131" s="44"/>
      <c r="R131" s="53"/>
      <c r="S131" s="44"/>
      <c r="T131" s="46"/>
      <c r="U131" s="46"/>
      <c r="V131" s="53"/>
      <c r="W131" s="74"/>
      <c r="X131" s="9"/>
      <c r="Y131" s="11"/>
      <c r="Z131" s="11"/>
      <c r="AA131" s="63"/>
      <c r="AB131" s="63"/>
      <c r="AC131" s="63"/>
      <c r="AD131" s="36"/>
      <c r="AE131" s="31"/>
      <c r="AF131" s="9"/>
      <c r="AG131" s="6"/>
      <c r="AH131" s="6"/>
      <c r="AI131" s="6"/>
      <c r="AJ131" s="36"/>
      <c r="AK131" s="31"/>
      <c r="AL131" s="9"/>
      <c r="AM131" s="6"/>
      <c r="AN131" s="6"/>
      <c r="AO131" s="6"/>
      <c r="AP131" s="36"/>
    </row>
    <row r="132" spans="1:42">
      <c r="A132" s="30">
        <v>120</v>
      </c>
      <c r="B132" s="130"/>
      <c r="C132" s="225" t="s">
        <v>1464</v>
      </c>
      <c r="D132" s="27"/>
      <c r="E132" s="27"/>
      <c r="F132" s="27"/>
      <c r="G132" s="27"/>
      <c r="H132" s="70" t="s">
        <v>1569</v>
      </c>
      <c r="I132" s="176" t="s">
        <v>1465</v>
      </c>
      <c r="J132" s="137"/>
      <c r="K132" s="29"/>
      <c r="L132" s="11"/>
      <c r="M132" s="11"/>
      <c r="N132" s="11"/>
      <c r="O132" s="44"/>
      <c r="P132" s="44"/>
      <c r="Q132" s="44"/>
      <c r="R132" s="53"/>
      <c r="S132" s="44"/>
      <c r="T132" s="46"/>
      <c r="U132" s="46"/>
      <c r="V132" s="53"/>
      <c r="W132" s="74"/>
      <c r="X132" s="9"/>
      <c r="Y132" s="11"/>
      <c r="Z132" s="11"/>
      <c r="AA132" s="63"/>
      <c r="AB132" s="63"/>
      <c r="AC132" s="63"/>
      <c r="AD132" s="36"/>
      <c r="AE132" s="31"/>
      <c r="AF132" s="9"/>
      <c r="AG132" s="6"/>
      <c r="AH132" s="6"/>
      <c r="AI132" s="6"/>
      <c r="AJ132" s="36"/>
      <c r="AK132" s="31"/>
      <c r="AL132" s="9"/>
      <c r="AM132" s="6"/>
      <c r="AN132" s="6"/>
      <c r="AO132" s="6"/>
      <c r="AP132" s="36"/>
    </row>
    <row r="133" spans="1:42">
      <c r="A133" s="30">
        <v>121</v>
      </c>
      <c r="B133" s="130"/>
      <c r="C133" s="225" t="s">
        <v>581</v>
      </c>
      <c r="D133" s="27"/>
      <c r="E133" s="27"/>
      <c r="F133" s="27"/>
      <c r="G133" s="27"/>
      <c r="H133" s="70" t="s">
        <v>1215</v>
      </c>
      <c r="I133" s="176" t="s">
        <v>1216</v>
      </c>
      <c r="J133" s="142" t="s">
        <v>1289</v>
      </c>
      <c r="K133" s="29"/>
      <c r="L133" s="11">
        <v>5400</v>
      </c>
      <c r="M133" s="11">
        <v>270</v>
      </c>
      <c r="N133" s="11">
        <v>5670</v>
      </c>
      <c r="O133" s="44">
        <f>E133</f>
        <v>0</v>
      </c>
      <c r="P133" s="44">
        <v>250</v>
      </c>
      <c r="Q133" s="44">
        <v>390</v>
      </c>
      <c r="R133" s="53" t="s">
        <v>68</v>
      </c>
      <c r="S133" s="44"/>
      <c r="T133" s="46"/>
      <c r="U133" s="46"/>
      <c r="V133" s="53"/>
      <c r="W133" s="74">
        <v>422627</v>
      </c>
      <c r="X133" s="9" t="str">
        <f>IFERROR(INDEX([1]Sheet1!$A$2:$X$1948,MATCH($W$2:$W$270,[1]Sheet1!$G$2:$G$1948,0),8),"")</f>
        <v>돈사태(2*2*2cm 키즈용_장조림용 KG)</v>
      </c>
      <c r="Y133" s="11">
        <v>1000</v>
      </c>
      <c r="Z133" s="11"/>
      <c r="AA133" s="63">
        <v>50</v>
      </c>
      <c r="AB133" s="63" t="e">
        <f>P133*AD133</f>
        <v>#DIV/0!</v>
      </c>
      <c r="AC133" s="63" t="e">
        <f>Q133*AD133</f>
        <v>#DIV/0!</v>
      </c>
      <c r="AD133" s="36" t="e">
        <f>AA133/E133</f>
        <v>#DIV/0!</v>
      </c>
      <c r="AE133" s="31">
        <v>210182</v>
      </c>
      <c r="AF133" s="9" t="str">
        <f>IFERROR(INDEX([1]Sheet1!$A$2:$X$1948,MATCH($AE$2:$AE$270,[1]Sheet1!$G$2:$G$1948,0),8),"")</f>
        <v>냉동홍피망(다이스 1Kg/EA)</v>
      </c>
      <c r="AG133" s="6"/>
      <c r="AH133" s="6" t="e">
        <f>P133*AJ133</f>
        <v>#DIV/0!</v>
      </c>
      <c r="AI133" s="6" t="e">
        <f>Q133*AJ133</f>
        <v>#DIV/0!</v>
      </c>
      <c r="AJ133" s="36" t="e">
        <f>AG133/$E133</f>
        <v>#DIV/0!</v>
      </c>
      <c r="AK133" s="31"/>
      <c r="AL133" s="9">
        <f>IFERROR(INDEX([1]Sheet1!$A$2:$X$1948,MATCH($AK$2:$AK$270,[1]Sheet1!$G$2:$G$1948,0),8),"")</f>
        <v>0</v>
      </c>
      <c r="AM133" s="6"/>
      <c r="AN133" s="6" t="e">
        <f>P133*AP133</f>
        <v>#DIV/0!</v>
      </c>
      <c r="AO133" s="6" t="e">
        <f>Q133*AP133</f>
        <v>#DIV/0!</v>
      </c>
      <c r="AP133" s="36" t="e">
        <f>AM133/$E133</f>
        <v>#DIV/0!</v>
      </c>
    </row>
    <row r="134" spans="1:42">
      <c r="A134" s="30">
        <v>122</v>
      </c>
      <c r="B134" s="130"/>
      <c r="C134" s="230" t="s">
        <v>646</v>
      </c>
      <c r="D134" s="27"/>
      <c r="E134" s="27"/>
      <c r="F134" s="27"/>
      <c r="G134" s="27"/>
      <c r="H134" s="70" t="s">
        <v>647</v>
      </c>
      <c r="I134" s="176" t="s">
        <v>955</v>
      </c>
      <c r="J134" s="137" t="s">
        <v>648</v>
      </c>
      <c r="K134" s="29"/>
      <c r="L134" s="11">
        <v>21960</v>
      </c>
      <c r="M134" s="11">
        <v>1098</v>
      </c>
      <c r="N134" s="11">
        <v>23058</v>
      </c>
      <c r="O134" s="44"/>
      <c r="P134" s="44"/>
      <c r="Q134" s="44"/>
      <c r="R134" s="53"/>
      <c r="S134" s="44"/>
      <c r="T134" s="46"/>
      <c r="U134" s="46"/>
      <c r="V134" s="53"/>
      <c r="W134" s="31"/>
      <c r="X134" s="9"/>
      <c r="Y134" s="11"/>
      <c r="Z134" s="11"/>
      <c r="AA134" s="63"/>
      <c r="AB134" s="63"/>
      <c r="AC134" s="63"/>
      <c r="AD134" s="36"/>
      <c r="AE134" s="31"/>
      <c r="AF134" s="9"/>
      <c r="AG134" s="6"/>
      <c r="AH134" s="6"/>
      <c r="AI134" s="6"/>
      <c r="AJ134" s="36"/>
      <c r="AK134" s="31"/>
      <c r="AL134" s="9"/>
      <c r="AM134" s="6"/>
      <c r="AN134" s="6"/>
      <c r="AO134" s="6"/>
      <c r="AP134" s="36"/>
    </row>
    <row r="135" spans="1:42">
      <c r="A135" s="30">
        <v>123</v>
      </c>
      <c r="B135" s="130"/>
      <c r="C135" s="225" t="s">
        <v>1063</v>
      </c>
      <c r="D135" s="27"/>
      <c r="E135" s="27"/>
      <c r="F135" s="27"/>
      <c r="G135" s="27"/>
      <c r="H135" s="132" t="s">
        <v>1391</v>
      </c>
      <c r="I135" s="180" t="s">
        <v>1055</v>
      </c>
      <c r="J135" s="136" t="s">
        <v>1056</v>
      </c>
      <c r="K135" s="29"/>
      <c r="L135" s="11"/>
      <c r="M135" s="11"/>
      <c r="N135" s="11"/>
      <c r="O135" s="44"/>
      <c r="P135" s="44"/>
      <c r="Q135" s="44"/>
      <c r="R135" s="53"/>
      <c r="S135" s="44"/>
      <c r="T135" s="46"/>
      <c r="U135" s="46"/>
      <c r="V135" s="53"/>
      <c r="W135" s="31"/>
      <c r="X135" s="9"/>
      <c r="Y135" s="11"/>
      <c r="Z135" s="11"/>
      <c r="AA135" s="63"/>
      <c r="AB135" s="63"/>
      <c r="AC135" s="63"/>
      <c r="AD135" s="36"/>
      <c r="AE135" s="31"/>
      <c r="AF135" s="9"/>
      <c r="AG135" s="6"/>
      <c r="AH135" s="6"/>
      <c r="AI135" s="6"/>
      <c r="AJ135" s="36"/>
      <c r="AK135" s="31"/>
      <c r="AL135" s="9"/>
      <c r="AM135" s="6"/>
      <c r="AN135" s="6"/>
      <c r="AO135" s="6"/>
      <c r="AP135" s="36"/>
    </row>
    <row r="136" spans="1:42">
      <c r="A136" s="30"/>
      <c r="B136" s="130"/>
      <c r="C136" s="225" t="s">
        <v>1834</v>
      </c>
      <c r="D136" s="27"/>
      <c r="E136" s="27"/>
      <c r="F136" s="27"/>
      <c r="G136" s="27"/>
      <c r="H136" s="132" t="s">
        <v>2143</v>
      </c>
      <c r="I136" s="180" t="s">
        <v>1835</v>
      </c>
      <c r="J136" s="136"/>
      <c r="K136" s="29"/>
      <c r="L136" s="11"/>
      <c r="M136" s="11"/>
      <c r="N136" s="11"/>
      <c r="O136" s="44"/>
      <c r="P136" s="44"/>
      <c r="Q136" s="44"/>
      <c r="R136" s="53"/>
      <c r="S136" s="44"/>
      <c r="T136" s="46"/>
      <c r="U136" s="46"/>
      <c r="V136" s="53"/>
      <c r="W136" s="31"/>
      <c r="X136" s="9"/>
      <c r="Y136" s="11"/>
      <c r="Z136" s="11"/>
      <c r="AA136" s="63"/>
      <c r="AB136" s="63"/>
      <c r="AC136" s="63"/>
      <c r="AD136" s="36"/>
      <c r="AE136" s="31"/>
      <c r="AF136" s="9"/>
      <c r="AG136" s="6"/>
      <c r="AH136" s="6"/>
      <c r="AI136" s="6"/>
      <c r="AJ136" s="36"/>
      <c r="AK136" s="31"/>
      <c r="AL136" s="9"/>
      <c r="AM136" s="6"/>
      <c r="AN136" s="6"/>
      <c r="AO136" s="6"/>
      <c r="AP136" s="36"/>
    </row>
    <row r="137" spans="1:42">
      <c r="A137" s="30">
        <v>124</v>
      </c>
      <c r="B137" s="130"/>
      <c r="C137" s="225" t="s">
        <v>2006</v>
      </c>
      <c r="D137" s="27"/>
      <c r="E137" s="27"/>
      <c r="F137" s="27"/>
      <c r="G137" s="27"/>
      <c r="H137" s="70" t="s">
        <v>1631</v>
      </c>
      <c r="I137" s="180" t="s">
        <v>1632</v>
      </c>
      <c r="J137" s="136" t="s">
        <v>1633</v>
      </c>
      <c r="K137" s="29"/>
      <c r="L137" s="11"/>
      <c r="M137" s="11"/>
      <c r="N137" s="11"/>
      <c r="O137" s="44"/>
      <c r="P137" s="44"/>
      <c r="Q137" s="44"/>
      <c r="R137" s="53"/>
      <c r="S137" s="44"/>
      <c r="T137" s="46"/>
      <c r="U137" s="46"/>
      <c r="V137" s="53"/>
      <c r="W137" s="31"/>
      <c r="X137" s="9"/>
      <c r="Y137" s="11"/>
      <c r="Z137" s="11"/>
      <c r="AA137" s="63"/>
      <c r="AB137" s="63"/>
      <c r="AC137" s="63"/>
      <c r="AD137" s="36"/>
      <c r="AE137" s="31"/>
      <c r="AF137" s="9"/>
      <c r="AG137" s="6"/>
      <c r="AH137" s="6"/>
      <c r="AI137" s="6"/>
      <c r="AJ137" s="36"/>
      <c r="AK137" s="31"/>
      <c r="AL137" s="9"/>
      <c r="AM137" s="6"/>
      <c r="AN137" s="6"/>
      <c r="AO137" s="6"/>
      <c r="AP137" s="36"/>
    </row>
    <row r="138" spans="1:42">
      <c r="A138" s="30">
        <v>125</v>
      </c>
      <c r="B138" s="130"/>
      <c r="C138" s="225" t="s">
        <v>1732</v>
      </c>
      <c r="D138" s="27"/>
      <c r="E138" s="27"/>
      <c r="F138" s="27"/>
      <c r="G138" s="27"/>
      <c r="H138" s="70" t="s">
        <v>1271</v>
      </c>
      <c r="I138" s="176" t="s">
        <v>841</v>
      </c>
      <c r="J138" s="137"/>
      <c r="K138" s="29"/>
      <c r="L138" s="11">
        <v>27600</v>
      </c>
      <c r="M138" s="11">
        <v>1380</v>
      </c>
      <c r="N138" s="11">
        <v>28980</v>
      </c>
      <c r="O138" s="44">
        <f>E138</f>
        <v>0</v>
      </c>
      <c r="P138" s="44">
        <v>200</v>
      </c>
      <c r="Q138" s="44">
        <v>300</v>
      </c>
      <c r="R138" s="53" t="s">
        <v>68</v>
      </c>
      <c r="S138" s="44"/>
      <c r="T138" s="46"/>
      <c r="U138" s="46"/>
      <c r="V138" s="53"/>
      <c r="W138" s="31">
        <v>205184</v>
      </c>
      <c r="X138" s="9" t="str">
        <f>IFERROR(INDEX([1]Sheet1!$A$2:$X$1948,MATCH($W$2:$W$270,[1]Sheet1!$G$2:$G$1948,0),8),"")</f>
        <v>단호박(상품 2등분_속제거 KG)</v>
      </c>
      <c r="Y138" s="11">
        <v>1000</v>
      </c>
      <c r="Z138" s="11"/>
      <c r="AA138" s="63">
        <v>27</v>
      </c>
      <c r="AB138" s="63" t="e">
        <f>P138*AD138</f>
        <v>#DIV/0!</v>
      </c>
      <c r="AC138" s="63" t="e">
        <f>Q138*AD138</f>
        <v>#DIV/0!</v>
      </c>
      <c r="AD138" s="36" t="e">
        <f>AA138/E138</f>
        <v>#DIV/0!</v>
      </c>
      <c r="AE138" s="31">
        <v>212132</v>
      </c>
      <c r="AF138" s="9" t="str">
        <f>IFERROR(INDEX([1]Sheet1!$A$2:$X$1948,MATCH($AE$2:$AE$270,[1]Sheet1!$G$2:$G$1948,0),8),"")</f>
        <v>냉동고구마(맛탕용 1Kg/EA)</v>
      </c>
      <c r="AG138" s="6">
        <v>12</v>
      </c>
      <c r="AH138" s="6" t="e">
        <f>P138*AJ138</f>
        <v>#DIV/0!</v>
      </c>
      <c r="AI138" s="6" t="e">
        <f>Q138*AJ138</f>
        <v>#DIV/0!</v>
      </c>
      <c r="AJ138" s="36" t="e">
        <f>AG138/$E138</f>
        <v>#DIV/0!</v>
      </c>
      <c r="AK138" s="31"/>
      <c r="AL138" s="9">
        <f>IFERROR(INDEX([1]Sheet1!$A$2:$X$1948,MATCH($AK$2:$AK$270,[1]Sheet1!$G$2:$G$1948,0),8),"")</f>
        <v>0</v>
      </c>
      <c r="AM138" s="6"/>
      <c r="AN138" s="6" t="e">
        <f>P138*AP138</f>
        <v>#DIV/0!</v>
      </c>
      <c r="AO138" s="6" t="e">
        <f>Q138*AP138</f>
        <v>#DIV/0!</v>
      </c>
      <c r="AP138" s="36" t="e">
        <f>AM138/$E138</f>
        <v>#DIV/0!</v>
      </c>
    </row>
    <row r="139" spans="1:42">
      <c r="A139" s="30">
        <v>126</v>
      </c>
      <c r="B139" s="130"/>
      <c r="C139" s="133" t="s">
        <v>1288</v>
      </c>
      <c r="D139" s="27"/>
      <c r="E139" s="27"/>
      <c r="F139" s="27"/>
      <c r="G139" s="27"/>
      <c r="H139" s="70" t="s">
        <v>1303</v>
      </c>
      <c r="I139" s="176" t="s">
        <v>840</v>
      </c>
      <c r="J139" s="142"/>
      <c r="K139" s="29"/>
      <c r="L139" s="11"/>
      <c r="M139" s="11"/>
      <c r="N139" s="11"/>
      <c r="O139" s="44"/>
      <c r="P139" s="44"/>
      <c r="Q139" s="44"/>
      <c r="R139" s="53"/>
      <c r="S139" s="44"/>
      <c r="T139" s="46"/>
      <c r="U139" s="46"/>
      <c r="V139" s="53"/>
      <c r="W139" s="74"/>
      <c r="X139" s="9"/>
      <c r="Y139" s="11"/>
      <c r="Z139" s="11"/>
      <c r="AA139" s="63"/>
      <c r="AB139" s="63"/>
      <c r="AC139" s="63"/>
      <c r="AD139" s="36"/>
      <c r="AE139" s="31"/>
      <c r="AF139" s="9"/>
      <c r="AG139" s="6"/>
      <c r="AH139" s="6"/>
      <c r="AI139" s="6"/>
      <c r="AJ139" s="36"/>
      <c r="AK139" s="31"/>
      <c r="AL139" s="9"/>
      <c r="AM139" s="6"/>
      <c r="AN139" s="6"/>
      <c r="AO139" s="6"/>
      <c r="AP139" s="36"/>
    </row>
    <row r="140" spans="1:42">
      <c r="A140" s="30">
        <v>127</v>
      </c>
      <c r="B140" s="130"/>
      <c r="C140" s="133" t="s">
        <v>1082</v>
      </c>
      <c r="D140" s="27"/>
      <c r="E140" s="27"/>
      <c r="F140" s="27"/>
      <c r="G140" s="27"/>
      <c r="H140" s="70" t="s">
        <v>1270</v>
      </c>
      <c r="I140" s="176" t="s">
        <v>841</v>
      </c>
      <c r="J140" s="137"/>
      <c r="K140" s="29"/>
      <c r="L140" s="11">
        <v>12240</v>
      </c>
      <c r="M140" s="11">
        <v>612</v>
      </c>
      <c r="N140" s="11">
        <v>12852</v>
      </c>
      <c r="O140" s="44">
        <f>E140</f>
        <v>0</v>
      </c>
      <c r="P140" s="44">
        <v>200</v>
      </c>
      <c r="Q140" s="44">
        <v>350</v>
      </c>
      <c r="R140" s="53" t="s">
        <v>68</v>
      </c>
      <c r="S140" s="44"/>
      <c r="T140" s="46"/>
      <c r="U140" s="46"/>
      <c r="V140" s="53"/>
      <c r="W140" s="74">
        <v>408460</v>
      </c>
      <c r="X140" s="9" t="str">
        <f>IFERROR(INDEX([1]Sheet1!$A$2:$X$1948,MATCH($W$2:$W$270,[1]Sheet1!$G$2:$G$1948,0),8),"")</f>
        <v>한우목심(2등급 4*4*0.3cm 불고기용 KG)</v>
      </c>
      <c r="Y140" s="11">
        <v>1000</v>
      </c>
      <c r="Z140" s="11"/>
      <c r="AA140" s="63">
        <v>60</v>
      </c>
      <c r="AB140" s="63" t="e">
        <f>P140*AD140</f>
        <v>#DIV/0!</v>
      </c>
      <c r="AC140" s="63" t="e">
        <f>Q140*AD140</f>
        <v>#DIV/0!</v>
      </c>
      <c r="AD140" s="36" t="e">
        <f>AA140/E140</f>
        <v>#DIV/0!</v>
      </c>
      <c r="AE140" s="31">
        <v>211037</v>
      </c>
      <c r="AF140" s="75" t="str">
        <f>IFERROR(INDEX([1]Sheet1!$A$2:$X$1948,MATCH($AE$2:$AE$270,[1]Sheet1!$G$2:$G$1948,0),8),"")</f>
        <v>느타리버섯(실속 균상 2Kg/EA)</v>
      </c>
      <c r="AG140" s="6">
        <v>10</v>
      </c>
      <c r="AH140" s="6" t="e">
        <f>P140*AJ140</f>
        <v>#DIV/0!</v>
      </c>
      <c r="AI140" s="6" t="e">
        <f>Q140*AJ140</f>
        <v>#DIV/0!</v>
      </c>
      <c r="AJ140" s="36" t="e">
        <f>AG140/$E140</f>
        <v>#DIV/0!</v>
      </c>
      <c r="AK140" s="31"/>
      <c r="AL140" s="9">
        <f>IFERROR(INDEX([1]Sheet1!$A$2:$X$1948,MATCH($AK$2:$AK$270,[1]Sheet1!$G$2:$G$1948,0),8),"")</f>
        <v>0</v>
      </c>
      <c r="AM140" s="6">
        <v>10</v>
      </c>
      <c r="AN140" s="6" t="e">
        <f>P140*AP140</f>
        <v>#DIV/0!</v>
      </c>
      <c r="AO140" s="6" t="e">
        <f>Q140*AP140</f>
        <v>#DIV/0!</v>
      </c>
      <c r="AP140" s="36" t="e">
        <f>AM140/$E140</f>
        <v>#DIV/0!</v>
      </c>
    </row>
    <row r="141" spans="1:42">
      <c r="A141" s="30"/>
      <c r="B141" s="130"/>
      <c r="C141" s="133" t="s">
        <v>1771</v>
      </c>
      <c r="D141" s="27"/>
      <c r="E141" s="27"/>
      <c r="F141" s="27"/>
      <c r="G141" s="27"/>
      <c r="H141" s="70" t="s">
        <v>1772</v>
      </c>
      <c r="I141" s="176" t="s">
        <v>841</v>
      </c>
      <c r="J141" s="137"/>
      <c r="K141" s="29"/>
      <c r="L141" s="11"/>
      <c r="M141" s="11"/>
      <c r="N141" s="11"/>
      <c r="O141" s="44"/>
      <c r="P141" s="44"/>
      <c r="Q141" s="44"/>
      <c r="R141" s="53"/>
      <c r="S141" s="44"/>
      <c r="T141" s="46"/>
      <c r="U141" s="46"/>
      <c r="V141" s="53"/>
      <c r="W141" s="74"/>
      <c r="X141" s="9"/>
      <c r="Y141" s="11"/>
      <c r="Z141" s="11"/>
      <c r="AA141" s="63"/>
      <c r="AB141" s="63"/>
      <c r="AC141" s="63"/>
      <c r="AD141" s="36"/>
      <c r="AE141" s="31"/>
      <c r="AF141" s="75"/>
      <c r="AG141" s="6"/>
      <c r="AH141" s="6"/>
      <c r="AI141" s="6"/>
      <c r="AJ141" s="36"/>
      <c r="AK141" s="31"/>
      <c r="AL141" s="9"/>
      <c r="AM141" s="6"/>
      <c r="AN141" s="6"/>
      <c r="AO141" s="6"/>
      <c r="AP141" s="36"/>
    </row>
    <row r="142" spans="1:42">
      <c r="A142" s="30"/>
      <c r="B142" s="130"/>
      <c r="C142" s="133" t="s">
        <v>1837</v>
      </c>
      <c r="D142" s="27"/>
      <c r="E142" s="27"/>
      <c r="F142" s="27"/>
      <c r="G142" s="27"/>
      <c r="H142" s="70" t="s">
        <v>1839</v>
      </c>
      <c r="I142" s="176" t="s">
        <v>841</v>
      </c>
      <c r="J142" s="137"/>
      <c r="K142" s="29"/>
      <c r="L142" s="11"/>
      <c r="M142" s="11"/>
      <c r="N142" s="11"/>
      <c r="O142" s="44"/>
      <c r="P142" s="44"/>
      <c r="Q142" s="44"/>
      <c r="R142" s="53"/>
      <c r="S142" s="44"/>
      <c r="T142" s="46"/>
      <c r="U142" s="46"/>
      <c r="V142" s="53"/>
      <c r="W142" s="74"/>
      <c r="X142" s="9"/>
      <c r="Y142" s="11"/>
      <c r="Z142" s="11"/>
      <c r="AA142" s="63"/>
      <c r="AB142" s="63"/>
      <c r="AC142" s="63"/>
      <c r="AD142" s="36"/>
      <c r="AE142" s="31"/>
      <c r="AF142" s="75"/>
      <c r="AG142" s="6"/>
      <c r="AH142" s="6"/>
      <c r="AI142" s="6"/>
      <c r="AJ142" s="36"/>
      <c r="AK142" s="31"/>
      <c r="AL142" s="9"/>
      <c r="AM142" s="6"/>
      <c r="AN142" s="6"/>
      <c r="AO142" s="6"/>
      <c r="AP142" s="36"/>
    </row>
    <row r="143" spans="1:42">
      <c r="A143" s="30">
        <v>128</v>
      </c>
      <c r="B143" s="130"/>
      <c r="C143" s="133" t="s">
        <v>711</v>
      </c>
      <c r="D143" s="27"/>
      <c r="E143" s="27"/>
      <c r="F143" s="27"/>
      <c r="G143" s="27"/>
      <c r="H143" s="137" t="s">
        <v>1229</v>
      </c>
      <c r="I143" s="176" t="s">
        <v>969</v>
      </c>
      <c r="J143" s="137" t="s">
        <v>1108</v>
      </c>
      <c r="K143" s="120"/>
      <c r="L143" s="6"/>
      <c r="M143" s="6"/>
      <c r="N143" s="6"/>
      <c r="O143" s="44"/>
      <c r="P143" s="44"/>
      <c r="Q143" s="44"/>
      <c r="R143" s="53"/>
      <c r="S143" s="44"/>
      <c r="T143" s="44"/>
      <c r="U143" s="44"/>
      <c r="V143" s="53"/>
      <c r="W143" s="74"/>
      <c r="X143" s="9"/>
      <c r="Y143" s="11"/>
      <c r="Z143" s="11"/>
      <c r="AA143" s="63"/>
      <c r="AB143" s="63"/>
      <c r="AC143" s="63"/>
      <c r="AD143" s="36"/>
      <c r="AE143" s="31"/>
      <c r="AF143" s="9"/>
      <c r="AG143" s="6"/>
      <c r="AH143" s="6"/>
      <c r="AI143" s="6"/>
      <c r="AJ143" s="36"/>
      <c r="AK143" s="31"/>
      <c r="AL143" s="9"/>
      <c r="AM143" s="6"/>
      <c r="AN143" s="6"/>
      <c r="AO143" s="6"/>
      <c r="AP143" s="36"/>
    </row>
    <row r="144" spans="1:42">
      <c r="A144" s="30">
        <v>129</v>
      </c>
      <c r="B144" s="130"/>
      <c r="C144" s="133" t="s">
        <v>1285</v>
      </c>
      <c r="D144" s="27"/>
      <c r="E144" s="27"/>
      <c r="F144" s="27"/>
      <c r="G144" s="27"/>
      <c r="H144" s="70" t="s">
        <v>1286</v>
      </c>
      <c r="I144" s="176" t="s">
        <v>1167</v>
      </c>
      <c r="J144" s="137"/>
      <c r="K144" s="29"/>
      <c r="L144" s="11"/>
      <c r="M144" s="11"/>
      <c r="N144" s="11"/>
      <c r="O144" s="44"/>
      <c r="P144" s="44"/>
      <c r="Q144" s="44"/>
      <c r="R144" s="53"/>
      <c r="S144" s="45"/>
      <c r="T144" s="45"/>
      <c r="U144" s="45"/>
      <c r="V144" s="53"/>
      <c r="W144" s="31"/>
      <c r="X144" s="9"/>
      <c r="Y144" s="11"/>
      <c r="Z144" s="11"/>
      <c r="AA144" s="64"/>
      <c r="AB144" s="64"/>
      <c r="AC144" s="64"/>
      <c r="AD144" s="36"/>
      <c r="AE144" s="31"/>
      <c r="AF144" s="9"/>
      <c r="AG144" s="6"/>
      <c r="AH144" s="6"/>
      <c r="AI144" s="6"/>
      <c r="AJ144" s="36"/>
      <c r="AK144" s="31"/>
      <c r="AL144" s="9"/>
      <c r="AM144" s="6"/>
      <c r="AN144" s="6"/>
      <c r="AO144" s="6"/>
      <c r="AP144" s="36"/>
    </row>
    <row r="145" spans="1:42">
      <c r="A145" s="30">
        <v>130</v>
      </c>
      <c r="B145" s="130"/>
      <c r="C145" s="133" t="s">
        <v>1338</v>
      </c>
      <c r="D145" s="27"/>
      <c r="E145" s="27"/>
      <c r="F145" s="27"/>
      <c r="G145" s="27"/>
      <c r="H145" s="70" t="s">
        <v>1838</v>
      </c>
      <c r="I145" s="176" t="s">
        <v>934</v>
      </c>
      <c r="J145" s="137" t="s">
        <v>1339</v>
      </c>
      <c r="K145" s="29"/>
      <c r="L145" s="11"/>
      <c r="M145" s="11"/>
      <c r="N145" s="11"/>
      <c r="O145" s="44"/>
      <c r="P145" s="44"/>
      <c r="Q145" s="44"/>
      <c r="R145" s="53"/>
      <c r="S145" s="45"/>
      <c r="T145" s="45"/>
      <c r="U145" s="45"/>
      <c r="V145" s="53"/>
      <c r="W145" s="31"/>
      <c r="X145" s="9"/>
      <c r="Y145" s="11"/>
      <c r="Z145" s="11"/>
      <c r="AA145" s="64"/>
      <c r="AB145" s="64"/>
      <c r="AC145" s="64"/>
      <c r="AD145" s="36"/>
      <c r="AE145" s="31"/>
      <c r="AF145" s="9"/>
      <c r="AG145" s="6"/>
      <c r="AH145" s="6"/>
      <c r="AI145" s="6"/>
      <c r="AJ145" s="36"/>
      <c r="AK145" s="31"/>
      <c r="AL145" s="9"/>
      <c r="AM145" s="6"/>
      <c r="AN145" s="6"/>
      <c r="AO145" s="6"/>
      <c r="AP145" s="36"/>
    </row>
    <row r="146" spans="1:42" ht="28.5" customHeight="1">
      <c r="A146" s="30">
        <v>131</v>
      </c>
      <c r="B146" s="130"/>
      <c r="C146" s="133" t="s">
        <v>1665</v>
      </c>
      <c r="D146" s="27"/>
      <c r="E146" s="27"/>
      <c r="F146" s="27"/>
      <c r="G146" s="27"/>
      <c r="H146" s="70" t="s">
        <v>1708</v>
      </c>
      <c r="I146" s="176" t="s">
        <v>1664</v>
      </c>
      <c r="J146" s="137"/>
      <c r="K146" s="117"/>
      <c r="L146" s="6"/>
      <c r="M146" s="6"/>
      <c r="N146" s="6"/>
      <c r="O146" s="44"/>
      <c r="P146" s="44"/>
      <c r="Q146" s="44"/>
      <c r="R146" s="53"/>
      <c r="S146" s="44"/>
      <c r="T146" s="44"/>
      <c r="U146" s="44"/>
      <c r="V146" s="53"/>
      <c r="W146" s="31"/>
      <c r="X146" s="9"/>
      <c r="Y146" s="11"/>
      <c r="Z146" s="11"/>
      <c r="AA146" s="63"/>
      <c r="AB146" s="63"/>
      <c r="AC146" s="63"/>
      <c r="AD146" s="36"/>
      <c r="AE146" s="31"/>
      <c r="AF146" s="9"/>
      <c r="AG146" s="6"/>
      <c r="AH146" s="6"/>
      <c r="AI146" s="6"/>
      <c r="AJ146" s="36"/>
      <c r="AK146" s="31"/>
      <c r="AL146" s="9"/>
      <c r="AM146" s="6"/>
      <c r="AN146" s="6"/>
      <c r="AO146" s="6"/>
      <c r="AP146" s="36"/>
    </row>
    <row r="147" spans="1:42">
      <c r="A147" s="30">
        <v>132</v>
      </c>
      <c r="B147" s="130"/>
      <c r="C147" s="133" t="s">
        <v>541</v>
      </c>
      <c r="D147" s="27"/>
      <c r="E147" s="27"/>
      <c r="F147" s="27"/>
      <c r="G147" s="27"/>
      <c r="H147" s="70" t="s">
        <v>1903</v>
      </c>
      <c r="I147" s="176" t="s">
        <v>841</v>
      </c>
      <c r="J147" s="137"/>
      <c r="K147" s="29"/>
      <c r="L147" s="11"/>
      <c r="M147" s="11"/>
      <c r="N147" s="11"/>
      <c r="O147" s="44"/>
      <c r="P147" s="44"/>
      <c r="Q147" s="44"/>
      <c r="R147" s="53"/>
      <c r="S147" s="44"/>
      <c r="T147" s="46"/>
      <c r="U147" s="46"/>
      <c r="V147" s="53"/>
      <c r="W147" s="74"/>
      <c r="X147" s="9"/>
      <c r="Y147" s="11"/>
      <c r="Z147" s="11"/>
      <c r="AA147" s="63"/>
      <c r="AB147" s="63"/>
      <c r="AC147" s="63"/>
      <c r="AD147" s="36"/>
      <c r="AE147" s="31"/>
      <c r="AF147" s="9"/>
      <c r="AG147" s="6"/>
      <c r="AH147" s="6"/>
      <c r="AI147" s="6"/>
      <c r="AJ147" s="36"/>
      <c r="AK147" s="31"/>
      <c r="AL147" s="9"/>
      <c r="AM147" s="6"/>
      <c r="AN147" s="6"/>
      <c r="AO147" s="6"/>
      <c r="AP147" s="36"/>
    </row>
    <row r="148" spans="1:42" ht="20.100000000000001" customHeight="1">
      <c r="A148" s="30">
        <v>133</v>
      </c>
      <c r="B148" s="130"/>
      <c r="C148" s="133" t="s">
        <v>1149</v>
      </c>
      <c r="D148" s="27"/>
      <c r="E148" s="27"/>
      <c r="F148" s="27"/>
      <c r="G148" s="27"/>
      <c r="H148" s="70" t="s">
        <v>1367</v>
      </c>
      <c r="I148" s="176" t="s">
        <v>842</v>
      </c>
      <c r="J148" s="137"/>
      <c r="K148" s="29"/>
      <c r="L148" s="11"/>
      <c r="M148" s="11"/>
      <c r="N148" s="11"/>
      <c r="O148" s="44">
        <f>E148</f>
        <v>0</v>
      </c>
      <c r="P148" s="44">
        <v>250</v>
      </c>
      <c r="Q148" s="44">
        <v>380</v>
      </c>
      <c r="R148" s="53" t="s">
        <v>68</v>
      </c>
      <c r="S148" s="44"/>
      <c r="T148" s="46"/>
      <c r="U148" s="46"/>
      <c r="V148" s="53"/>
      <c r="W148" s="74">
        <v>408460</v>
      </c>
      <c r="X148" s="70" t="s">
        <v>731</v>
      </c>
      <c r="Y148" s="11">
        <v>1000</v>
      </c>
      <c r="Z148" s="11"/>
      <c r="AA148" s="63">
        <v>30</v>
      </c>
      <c r="AB148" s="63" t="e">
        <f>P148*AD148</f>
        <v>#DIV/0!</v>
      </c>
      <c r="AC148" s="63" t="e">
        <f>Q148*AD148</f>
        <v>#DIV/0!</v>
      </c>
      <c r="AD148" s="36" t="e">
        <f>AA148/E148</f>
        <v>#DIV/0!</v>
      </c>
      <c r="AE148" s="31"/>
      <c r="AF148" s="9"/>
      <c r="AG148" s="6"/>
      <c r="AH148" s="6" t="e">
        <f>P148*AJ148</f>
        <v>#DIV/0!</v>
      </c>
      <c r="AI148" s="6" t="e">
        <f>Q148*AJ148</f>
        <v>#DIV/0!</v>
      </c>
      <c r="AJ148" s="36" t="e">
        <f>AG148/$E148</f>
        <v>#DIV/0!</v>
      </c>
      <c r="AK148" s="31"/>
      <c r="AL148" s="9">
        <f>IFERROR(INDEX([1]Sheet1!$A$2:$X$1948,MATCH($AK$2:$AK$270,[1]Sheet1!$G$2:$G$1948,0),8),"")</f>
        <v>0</v>
      </c>
      <c r="AM148" s="6"/>
      <c r="AN148" s="6" t="e">
        <f>P148*AP148</f>
        <v>#DIV/0!</v>
      </c>
      <c r="AO148" s="6" t="e">
        <f>Q148*AP148</f>
        <v>#DIV/0!</v>
      </c>
      <c r="AP148" s="36" t="e">
        <f>AM148/$E148</f>
        <v>#DIV/0!</v>
      </c>
    </row>
    <row r="149" spans="1:42" ht="20.100000000000001" customHeight="1">
      <c r="A149" s="30">
        <v>134</v>
      </c>
      <c r="B149" s="130"/>
      <c r="C149" s="225" t="s">
        <v>1210</v>
      </c>
      <c r="D149" s="27"/>
      <c r="E149" s="27"/>
      <c r="F149" s="27"/>
      <c r="G149" s="27"/>
      <c r="H149" s="70" t="s">
        <v>1211</v>
      </c>
      <c r="I149" s="176" t="s">
        <v>842</v>
      </c>
      <c r="J149" s="137" t="s">
        <v>835</v>
      </c>
      <c r="K149" s="29"/>
      <c r="L149" s="11"/>
      <c r="M149" s="11"/>
      <c r="N149" s="11"/>
      <c r="O149" s="44"/>
      <c r="P149" s="44"/>
      <c r="Q149" s="44"/>
      <c r="R149" s="53"/>
      <c r="S149" s="44"/>
      <c r="T149" s="46"/>
      <c r="U149" s="46"/>
      <c r="V149" s="53"/>
      <c r="W149" s="74"/>
      <c r="X149" s="70"/>
      <c r="Y149" s="11"/>
      <c r="Z149" s="11"/>
      <c r="AA149" s="63"/>
      <c r="AB149" s="63"/>
      <c r="AC149" s="63"/>
      <c r="AD149" s="36"/>
      <c r="AE149" s="31"/>
      <c r="AF149" s="9"/>
      <c r="AG149" s="6"/>
      <c r="AH149" s="6"/>
      <c r="AI149" s="6"/>
      <c r="AJ149" s="36"/>
      <c r="AK149" s="31"/>
      <c r="AL149" s="9"/>
      <c r="AM149" s="6"/>
      <c r="AN149" s="6"/>
      <c r="AO149" s="6"/>
      <c r="AP149" s="36"/>
    </row>
    <row r="150" spans="1:42" ht="20.100000000000001" customHeight="1">
      <c r="A150" s="30">
        <v>135</v>
      </c>
      <c r="B150" s="130"/>
      <c r="C150" s="143" t="s">
        <v>1870</v>
      </c>
      <c r="D150" s="27"/>
      <c r="E150" s="27"/>
      <c r="F150" s="27"/>
      <c r="G150" s="27"/>
      <c r="H150" s="70" t="s">
        <v>1871</v>
      </c>
      <c r="I150" s="176" t="s">
        <v>1872</v>
      </c>
      <c r="J150" s="137"/>
      <c r="K150" s="29"/>
      <c r="L150" s="11"/>
      <c r="M150" s="11"/>
      <c r="N150" s="11"/>
      <c r="O150" s="44"/>
      <c r="P150" s="44"/>
      <c r="Q150" s="44"/>
      <c r="R150" s="53"/>
      <c r="S150" s="44"/>
      <c r="T150" s="46"/>
      <c r="U150" s="46"/>
      <c r="V150" s="53"/>
      <c r="W150" s="74"/>
      <c r="X150" s="70"/>
      <c r="Y150" s="11"/>
      <c r="Z150" s="11"/>
      <c r="AA150" s="63"/>
      <c r="AB150" s="63"/>
      <c r="AC150" s="63"/>
      <c r="AD150" s="36"/>
      <c r="AE150" s="31"/>
      <c r="AF150" s="9"/>
      <c r="AG150" s="6"/>
      <c r="AH150" s="6"/>
      <c r="AI150" s="6"/>
      <c r="AJ150" s="36"/>
      <c r="AK150" s="31"/>
      <c r="AL150" s="9"/>
      <c r="AM150" s="6"/>
      <c r="AN150" s="6"/>
      <c r="AO150" s="6"/>
      <c r="AP150" s="36"/>
    </row>
    <row r="151" spans="1:42" ht="20.100000000000001" customHeight="1">
      <c r="A151" s="30">
        <v>136</v>
      </c>
      <c r="B151" s="130"/>
      <c r="C151" s="143" t="s">
        <v>1481</v>
      </c>
      <c r="D151" s="27"/>
      <c r="E151" s="27"/>
      <c r="F151" s="27"/>
      <c r="G151" s="27"/>
      <c r="H151" s="70" t="s">
        <v>1696</v>
      </c>
      <c r="I151" s="176" t="s">
        <v>828</v>
      </c>
      <c r="J151" s="137"/>
      <c r="K151" s="29"/>
      <c r="L151" s="11"/>
      <c r="M151" s="11"/>
      <c r="N151" s="11"/>
      <c r="O151" s="44"/>
      <c r="P151" s="44"/>
      <c r="Q151" s="44"/>
      <c r="R151" s="53"/>
      <c r="S151" s="44"/>
      <c r="T151" s="46"/>
      <c r="U151" s="46"/>
      <c r="V151" s="53"/>
      <c r="W151" s="74"/>
      <c r="X151" s="70"/>
      <c r="Y151" s="11"/>
      <c r="Z151" s="11"/>
      <c r="AA151" s="63"/>
      <c r="AB151" s="63"/>
      <c r="AC151" s="63"/>
      <c r="AD151" s="36"/>
      <c r="AE151" s="31"/>
      <c r="AF151" s="9"/>
      <c r="AG151" s="6"/>
      <c r="AH151" s="6"/>
      <c r="AI151" s="6"/>
      <c r="AJ151" s="36"/>
      <c r="AK151" s="31"/>
      <c r="AL151" s="9"/>
      <c r="AM151" s="6"/>
      <c r="AN151" s="6"/>
      <c r="AO151" s="6"/>
      <c r="AP151" s="36"/>
    </row>
    <row r="152" spans="1:42">
      <c r="A152" s="30">
        <v>138</v>
      </c>
      <c r="B152" s="130"/>
      <c r="C152" s="133" t="s">
        <v>843</v>
      </c>
      <c r="D152" s="27"/>
      <c r="E152" s="27"/>
      <c r="F152" s="27"/>
      <c r="G152" s="27"/>
      <c r="H152" s="70" t="s">
        <v>1117</v>
      </c>
      <c r="I152" s="176" t="s">
        <v>1888</v>
      </c>
      <c r="J152" s="136" t="s">
        <v>1886</v>
      </c>
      <c r="K152" s="117"/>
      <c r="L152" s="6"/>
      <c r="M152" s="6"/>
      <c r="N152" s="6"/>
      <c r="O152" s="44"/>
      <c r="P152" s="44"/>
      <c r="Q152" s="44"/>
      <c r="R152" s="53"/>
      <c r="S152" s="44"/>
      <c r="T152" s="44"/>
      <c r="U152" s="44"/>
      <c r="V152" s="53"/>
      <c r="W152" s="31"/>
      <c r="X152" s="9"/>
      <c r="Y152" s="11"/>
      <c r="Z152" s="11"/>
      <c r="AA152" s="63"/>
      <c r="AB152" s="63"/>
      <c r="AC152" s="63"/>
      <c r="AD152" s="36"/>
      <c r="AE152" s="31"/>
      <c r="AF152" s="9"/>
      <c r="AG152" s="6"/>
      <c r="AH152" s="6"/>
      <c r="AI152" s="6"/>
      <c r="AJ152" s="36"/>
      <c r="AK152" s="31"/>
      <c r="AL152" s="9"/>
      <c r="AM152" s="6"/>
      <c r="AN152" s="6"/>
      <c r="AO152" s="6"/>
      <c r="AP152" s="36"/>
    </row>
    <row r="153" spans="1:42" ht="27">
      <c r="A153" s="30">
        <v>139</v>
      </c>
      <c r="B153" s="130"/>
      <c r="C153" s="133" t="s">
        <v>944</v>
      </c>
      <c r="D153" s="27"/>
      <c r="E153" s="27"/>
      <c r="F153" s="27"/>
      <c r="G153" s="27"/>
      <c r="H153" s="70" t="s">
        <v>1507</v>
      </c>
      <c r="I153" s="176" t="s">
        <v>1482</v>
      </c>
      <c r="J153" s="137" t="s">
        <v>631</v>
      </c>
      <c r="K153" s="117"/>
      <c r="L153" s="6">
        <v>20200</v>
      </c>
      <c r="M153" s="6">
        <v>1010</v>
      </c>
      <c r="N153" s="6">
        <v>21210</v>
      </c>
      <c r="O153" s="44">
        <f>E153</f>
        <v>0</v>
      </c>
      <c r="P153" s="44">
        <v>160</v>
      </c>
      <c r="Q153" s="44">
        <v>270</v>
      </c>
      <c r="R153" s="53" t="s">
        <v>68</v>
      </c>
      <c r="S153" s="44"/>
      <c r="T153" s="44"/>
      <c r="U153" s="44"/>
      <c r="V153" s="53"/>
      <c r="W153" s="74">
        <v>400950</v>
      </c>
      <c r="X153" s="9" t="str">
        <f>IFERROR(INDEX([1]Sheet1!$A$2:$X$1948,MATCH($W$2:$W$270,[1]Sheet1!$G$2:$G$1948,0),8),"")</f>
        <v>돈뒷다리(0.5*0.5*5cm 잡채용 KG)</v>
      </c>
      <c r="Y153" s="11">
        <v>1000</v>
      </c>
      <c r="Z153" s="11"/>
      <c r="AA153" s="63">
        <v>25</v>
      </c>
      <c r="AB153" s="63" t="e">
        <f>P153*AD153</f>
        <v>#DIV/0!</v>
      </c>
      <c r="AC153" s="63" t="e">
        <f>Q153*AD153</f>
        <v>#DIV/0!</v>
      </c>
      <c r="AD153" s="36" t="e">
        <f>AA153/E153</f>
        <v>#DIV/0!</v>
      </c>
      <c r="AE153" s="31">
        <v>210182</v>
      </c>
      <c r="AF153" s="9" t="str">
        <f>IFERROR(INDEX([1]Sheet1!$A$2:$X$1948,MATCH($AE$2:$AE$270,[1]Sheet1!$G$2:$G$1948,0),8),"")</f>
        <v>냉동홍피망(다이스 1Kg/EA)</v>
      </c>
      <c r="AG153" s="6">
        <v>12</v>
      </c>
      <c r="AH153" s="6" t="e">
        <f>P153*AJ153</f>
        <v>#DIV/0!</v>
      </c>
      <c r="AI153" s="6" t="e">
        <f>Q153*AJ153</f>
        <v>#DIV/0!</v>
      </c>
      <c r="AJ153" s="36" t="e">
        <f>AG153/$E153</f>
        <v>#DIV/0!</v>
      </c>
      <c r="AK153" s="31"/>
      <c r="AL153" s="9">
        <f>IFERROR(INDEX([1]Sheet1!$A$2:$X$1948,MATCH($AK$2:$AK$270,[1]Sheet1!$G$2:$G$1948,0),8),"")</f>
        <v>0</v>
      </c>
      <c r="AM153" s="6">
        <v>12</v>
      </c>
      <c r="AN153" s="6" t="e">
        <f>P153*AP153</f>
        <v>#DIV/0!</v>
      </c>
      <c r="AO153" s="6" t="e">
        <f>Q153*AP153</f>
        <v>#DIV/0!</v>
      </c>
      <c r="AP153" s="36" t="e">
        <f>AM153/$E153</f>
        <v>#DIV/0!</v>
      </c>
    </row>
    <row r="154" spans="1:42">
      <c r="A154" s="30">
        <v>140</v>
      </c>
      <c r="B154" s="130"/>
      <c r="C154" s="133" t="s">
        <v>1501</v>
      </c>
      <c r="D154" s="27"/>
      <c r="E154" s="27"/>
      <c r="F154" s="27"/>
      <c r="G154" s="27"/>
      <c r="H154" s="70" t="s">
        <v>1799</v>
      </c>
      <c r="I154" s="176" t="s">
        <v>1482</v>
      </c>
      <c r="J154" s="137"/>
      <c r="K154" s="117"/>
      <c r="L154" s="6"/>
      <c r="M154" s="6"/>
      <c r="N154" s="6"/>
      <c r="O154" s="44"/>
      <c r="P154" s="44"/>
      <c r="Q154" s="44"/>
      <c r="R154" s="53"/>
      <c r="S154" s="44"/>
      <c r="T154" s="44"/>
      <c r="U154" s="44"/>
      <c r="V154" s="53"/>
      <c r="W154" s="74"/>
      <c r="X154" s="9"/>
      <c r="Y154" s="11"/>
      <c r="Z154" s="11"/>
      <c r="AA154" s="63"/>
      <c r="AB154" s="63"/>
      <c r="AC154" s="63"/>
      <c r="AD154" s="36"/>
      <c r="AE154" s="31"/>
      <c r="AF154" s="9"/>
      <c r="AG154" s="6"/>
      <c r="AH154" s="6"/>
      <c r="AI154" s="6"/>
      <c r="AJ154" s="36"/>
      <c r="AK154" s="31"/>
      <c r="AL154" s="9"/>
      <c r="AM154" s="6"/>
      <c r="AN154" s="6"/>
      <c r="AO154" s="6"/>
      <c r="AP154" s="36"/>
    </row>
    <row r="155" spans="1:42">
      <c r="A155" s="30">
        <v>141</v>
      </c>
      <c r="B155" s="130"/>
      <c r="C155" s="133" t="s">
        <v>1742</v>
      </c>
      <c r="D155" s="27"/>
      <c r="E155" s="27"/>
      <c r="F155" s="27"/>
      <c r="G155" s="27"/>
      <c r="H155" s="103" t="s">
        <v>697</v>
      </c>
      <c r="I155" s="177" t="s">
        <v>917</v>
      </c>
      <c r="J155" s="137" t="s">
        <v>1811</v>
      </c>
      <c r="K155" s="117"/>
      <c r="L155" s="6"/>
      <c r="M155" s="6"/>
      <c r="N155" s="6"/>
      <c r="O155" s="44"/>
      <c r="P155" s="44"/>
      <c r="Q155" s="44"/>
      <c r="R155" s="53"/>
      <c r="S155" s="44"/>
      <c r="T155" s="44"/>
      <c r="U155" s="44"/>
      <c r="V155" s="53"/>
      <c r="W155" s="31"/>
      <c r="X155" s="9"/>
      <c r="Y155" s="11"/>
      <c r="Z155" s="11"/>
      <c r="AA155" s="63"/>
      <c r="AB155" s="63"/>
      <c r="AC155" s="63"/>
      <c r="AD155" s="36"/>
      <c r="AE155" s="31"/>
      <c r="AF155" s="9"/>
      <c r="AG155" s="6"/>
      <c r="AH155" s="6"/>
      <c r="AI155" s="6"/>
      <c r="AJ155" s="36"/>
      <c r="AK155" s="31"/>
      <c r="AL155" s="9"/>
      <c r="AM155" s="6"/>
      <c r="AN155" s="6"/>
      <c r="AO155" s="6"/>
      <c r="AP155" s="36"/>
    </row>
    <row r="156" spans="1:42" ht="15" customHeight="1">
      <c r="A156" s="30">
        <v>142</v>
      </c>
      <c r="B156" s="130"/>
      <c r="C156" s="133" t="s">
        <v>2017</v>
      </c>
      <c r="D156" s="27"/>
      <c r="E156" s="27"/>
      <c r="F156" s="27"/>
      <c r="G156" s="27"/>
      <c r="H156" s="70" t="s">
        <v>2018</v>
      </c>
      <c r="I156" s="176" t="s">
        <v>840</v>
      </c>
      <c r="J156" s="139"/>
      <c r="K156" s="29"/>
      <c r="L156" s="11"/>
      <c r="M156" s="11"/>
      <c r="N156" s="9"/>
      <c r="O156" s="44"/>
      <c r="P156" s="44"/>
      <c r="Q156" s="44"/>
      <c r="R156" s="53"/>
      <c r="S156" s="44"/>
      <c r="T156" s="46"/>
      <c r="U156" s="46"/>
      <c r="V156" s="53"/>
      <c r="W156" s="31"/>
      <c r="X156" s="70"/>
      <c r="Y156" s="11"/>
      <c r="Z156" s="11"/>
      <c r="AA156" s="63"/>
      <c r="AB156" s="63"/>
      <c r="AC156" s="63"/>
      <c r="AD156" s="36"/>
      <c r="AE156" s="31"/>
      <c r="AF156" s="9"/>
      <c r="AG156" s="6"/>
      <c r="AH156" s="6"/>
      <c r="AI156" s="6"/>
      <c r="AJ156" s="36"/>
      <c r="AK156" s="31"/>
      <c r="AL156" s="9"/>
      <c r="AM156" s="6"/>
      <c r="AN156" s="6"/>
      <c r="AO156" s="6"/>
      <c r="AP156" s="36"/>
    </row>
    <row r="157" spans="1:42">
      <c r="A157" s="30">
        <v>143</v>
      </c>
      <c r="B157" s="130"/>
      <c r="C157" s="133" t="s">
        <v>1291</v>
      </c>
      <c r="D157" s="27"/>
      <c r="E157" s="27"/>
      <c r="F157" s="27"/>
      <c r="G157" s="27"/>
      <c r="H157" s="70" t="s">
        <v>1163</v>
      </c>
      <c r="I157" s="176" t="s">
        <v>1164</v>
      </c>
      <c r="J157" s="136"/>
      <c r="K157" s="117"/>
      <c r="L157" s="6"/>
      <c r="M157" s="6"/>
      <c r="N157" s="6"/>
      <c r="O157" s="44"/>
      <c r="P157" s="44"/>
      <c r="Q157" s="44"/>
      <c r="R157" s="53"/>
      <c r="S157" s="44"/>
      <c r="T157" s="44"/>
      <c r="U157" s="44"/>
      <c r="V157" s="53"/>
      <c r="W157" s="31"/>
      <c r="X157" s="9"/>
      <c r="Y157" s="11"/>
      <c r="Z157" s="11"/>
      <c r="AA157" s="63"/>
      <c r="AB157" s="63"/>
      <c r="AC157" s="63"/>
      <c r="AD157" s="36"/>
      <c r="AE157" s="31"/>
      <c r="AF157" s="9"/>
      <c r="AG157" s="6"/>
      <c r="AH157" s="6"/>
      <c r="AI157" s="6"/>
      <c r="AJ157" s="36"/>
      <c r="AK157" s="31"/>
      <c r="AL157" s="9"/>
      <c r="AM157" s="6"/>
      <c r="AN157" s="6"/>
      <c r="AO157" s="6"/>
      <c r="AP157" s="36"/>
    </row>
    <row r="158" spans="1:42">
      <c r="A158" s="30">
        <v>144</v>
      </c>
      <c r="B158" s="130"/>
      <c r="C158" s="133" t="s">
        <v>1714</v>
      </c>
      <c r="D158" s="27"/>
      <c r="E158" s="27"/>
      <c r="F158" s="27"/>
      <c r="G158" s="27"/>
      <c r="H158" s="70" t="s">
        <v>1168</v>
      </c>
      <c r="I158" s="176" t="s">
        <v>934</v>
      </c>
      <c r="J158" s="137"/>
      <c r="K158" s="29"/>
      <c r="L158" s="11"/>
      <c r="M158" s="11"/>
      <c r="N158" s="11"/>
      <c r="O158" s="44"/>
      <c r="P158" s="44"/>
      <c r="Q158" s="44"/>
      <c r="R158" s="53"/>
      <c r="S158" s="45"/>
      <c r="T158" s="45"/>
      <c r="U158" s="45"/>
      <c r="V158" s="53"/>
      <c r="W158" s="31"/>
      <c r="X158" s="9"/>
      <c r="Y158" s="11"/>
      <c r="Z158" s="11"/>
      <c r="AA158" s="64"/>
      <c r="AB158" s="64"/>
      <c r="AC158" s="64"/>
      <c r="AD158" s="36"/>
      <c r="AE158" s="31"/>
      <c r="AF158" s="9"/>
      <c r="AG158" s="6"/>
      <c r="AH158" s="6"/>
      <c r="AI158" s="6"/>
      <c r="AJ158" s="36"/>
      <c r="AK158" s="31"/>
      <c r="AL158" s="9"/>
      <c r="AM158" s="6"/>
      <c r="AN158" s="6"/>
      <c r="AO158" s="6"/>
      <c r="AP158" s="36"/>
    </row>
    <row r="159" spans="1:42">
      <c r="A159" s="30">
        <v>145</v>
      </c>
      <c r="B159" s="130"/>
      <c r="C159" s="133" t="s">
        <v>575</v>
      </c>
      <c r="D159" s="27"/>
      <c r="E159" s="27"/>
      <c r="F159" s="27"/>
      <c r="G159" s="27"/>
      <c r="H159" s="70" t="s">
        <v>1880</v>
      </c>
      <c r="I159" s="176" t="s">
        <v>1882</v>
      </c>
      <c r="J159" s="137" t="s">
        <v>1881</v>
      </c>
      <c r="K159" s="117"/>
      <c r="L159" s="6">
        <v>12275</v>
      </c>
      <c r="M159" s="6">
        <v>613.75</v>
      </c>
      <c r="N159" s="6">
        <v>12888.75</v>
      </c>
      <c r="O159" s="44">
        <f>E159</f>
        <v>0</v>
      </c>
      <c r="P159" s="44">
        <v>170</v>
      </c>
      <c r="Q159" s="44">
        <v>240</v>
      </c>
      <c r="R159" s="53" t="s">
        <v>68</v>
      </c>
      <c r="S159" s="44"/>
      <c r="T159" s="44"/>
      <c r="U159" s="44"/>
      <c r="V159" s="53"/>
      <c r="W159" s="74">
        <v>400950</v>
      </c>
      <c r="X159" s="9" t="str">
        <f>IFERROR(INDEX([1]Sheet1!$A$2:$X$1948,MATCH($W$2:$W$270,[1]Sheet1!$G$2:$G$1948,0),8),"")</f>
        <v>돈뒷다리(0.5*0.5*5cm 잡채용 KG)</v>
      </c>
      <c r="Y159" s="11">
        <v>1000</v>
      </c>
      <c r="Z159" s="11"/>
      <c r="AA159" s="63">
        <v>10</v>
      </c>
      <c r="AB159" s="63" t="e">
        <f>P159*AD159</f>
        <v>#DIV/0!</v>
      </c>
      <c r="AC159" s="63" t="e">
        <f>Q159*AD159</f>
        <v>#DIV/0!</v>
      </c>
      <c r="AD159" s="36" t="e">
        <f>AA159/E159</f>
        <v>#DIV/0!</v>
      </c>
      <c r="AE159" s="31">
        <v>111912</v>
      </c>
      <c r="AF159" s="9" t="str">
        <f>IFERROR(INDEX([1]Sheet1!$A$2:$X$1948,MATCH($AE$2:$AE$270,[1]Sheet1!$G$2:$G$1948,0),8),"")</f>
        <v>이츠웰 찰당면(14Kg/EA)</v>
      </c>
      <c r="AG159" s="6">
        <v>12</v>
      </c>
      <c r="AH159" s="6" t="e">
        <f>P159*AJ159</f>
        <v>#DIV/0!</v>
      </c>
      <c r="AI159" s="6" t="e">
        <f>Q159*AJ159</f>
        <v>#DIV/0!</v>
      </c>
      <c r="AJ159" s="36" t="e">
        <f>AG159/$E159</f>
        <v>#DIV/0!</v>
      </c>
      <c r="AK159" s="31"/>
      <c r="AL159" s="9">
        <f>IFERROR(INDEX([1]Sheet1!$A$2:$X$1948,MATCH($AK$2:$AK$270,[1]Sheet1!$G$2:$G$1948,0),8),"")</f>
        <v>0</v>
      </c>
      <c r="AM159" s="6">
        <v>12</v>
      </c>
      <c r="AN159" s="6" t="e">
        <f>P159*AP159</f>
        <v>#DIV/0!</v>
      </c>
      <c r="AO159" s="6" t="e">
        <f>Q159*AP159</f>
        <v>#DIV/0!</v>
      </c>
      <c r="AP159" s="36" t="e">
        <f>AM159/$E159</f>
        <v>#DIV/0!</v>
      </c>
    </row>
    <row r="160" spans="1:42" ht="27">
      <c r="A160" s="30">
        <v>146</v>
      </c>
      <c r="B160" s="130"/>
      <c r="C160" s="133" t="s">
        <v>2043</v>
      </c>
      <c r="D160" s="27"/>
      <c r="E160" s="27"/>
      <c r="F160" s="27"/>
      <c r="G160" s="27"/>
      <c r="H160" s="70" t="s">
        <v>2040</v>
      </c>
      <c r="I160" s="176" t="s">
        <v>2042</v>
      </c>
      <c r="J160" s="136" t="s">
        <v>2041</v>
      </c>
      <c r="K160" s="29"/>
      <c r="L160" s="11">
        <v>17430</v>
      </c>
      <c r="M160" s="11">
        <v>871.5</v>
      </c>
      <c r="N160" s="11">
        <v>18301.5</v>
      </c>
      <c r="O160" s="44"/>
      <c r="P160" s="44"/>
      <c r="Q160" s="44"/>
      <c r="R160" s="53"/>
      <c r="S160" s="47"/>
      <c r="T160" s="47"/>
      <c r="U160" s="47"/>
      <c r="V160" s="53"/>
      <c r="W160" s="31"/>
      <c r="X160" s="9"/>
      <c r="Y160" s="11"/>
      <c r="Z160" s="11"/>
      <c r="AA160" s="67"/>
      <c r="AB160" s="67"/>
      <c r="AC160" s="67"/>
      <c r="AD160" s="36"/>
      <c r="AE160" s="31"/>
      <c r="AF160" s="9"/>
      <c r="AG160" s="6"/>
      <c r="AH160" s="6"/>
      <c r="AI160" s="6"/>
      <c r="AJ160" s="36"/>
      <c r="AK160" s="31"/>
      <c r="AL160" s="9"/>
      <c r="AM160" s="6"/>
      <c r="AN160" s="6"/>
      <c r="AO160" s="6"/>
      <c r="AP160" s="36"/>
    </row>
    <row r="161" spans="1:42" ht="27">
      <c r="A161" s="30">
        <v>235</v>
      </c>
      <c r="B161" s="130"/>
      <c r="C161" s="159" t="s">
        <v>1052</v>
      </c>
      <c r="D161" s="27"/>
      <c r="E161" s="27"/>
      <c r="F161" s="27"/>
      <c r="G161" s="27"/>
      <c r="H161" s="70" t="s">
        <v>1971</v>
      </c>
      <c r="I161" s="176" t="s">
        <v>928</v>
      </c>
      <c r="J161" s="261" t="s">
        <v>1954</v>
      </c>
      <c r="K161" s="117"/>
      <c r="L161" s="6"/>
      <c r="M161" s="6"/>
      <c r="N161" s="6"/>
      <c r="O161" s="44"/>
      <c r="P161" s="44"/>
      <c r="Q161" s="44"/>
      <c r="R161" s="53"/>
      <c r="S161" s="48"/>
      <c r="T161" s="48"/>
      <c r="U161" s="48"/>
      <c r="V161" s="53"/>
      <c r="W161" s="31"/>
      <c r="X161" s="9"/>
      <c r="Y161" s="11"/>
      <c r="Z161" s="11"/>
      <c r="AA161" s="66"/>
      <c r="AB161" s="66"/>
      <c r="AC161" s="66"/>
      <c r="AD161" s="36"/>
      <c r="AE161" s="31"/>
      <c r="AF161" s="9"/>
      <c r="AG161" s="6"/>
      <c r="AH161" s="6"/>
      <c r="AI161" s="6"/>
      <c r="AJ161" s="36"/>
      <c r="AK161" s="31"/>
      <c r="AL161" s="9"/>
      <c r="AM161" s="6"/>
      <c r="AN161" s="6"/>
      <c r="AO161" s="6"/>
      <c r="AP161" s="36"/>
    </row>
    <row r="162" spans="1:42" ht="27">
      <c r="A162" s="30">
        <v>147</v>
      </c>
      <c r="B162" s="130"/>
      <c r="C162" s="133" t="s">
        <v>1018</v>
      </c>
      <c r="D162" s="27"/>
      <c r="E162" s="27"/>
      <c r="F162" s="27"/>
      <c r="G162" s="27"/>
      <c r="H162" s="70" t="s">
        <v>715</v>
      </c>
      <c r="I162" s="176" t="s">
        <v>880</v>
      </c>
      <c r="J162" s="137"/>
      <c r="K162" s="117"/>
      <c r="L162" s="6"/>
      <c r="M162" s="6"/>
      <c r="N162" s="6"/>
      <c r="O162" s="44"/>
      <c r="P162" s="44"/>
      <c r="Q162" s="44"/>
      <c r="R162" s="53"/>
      <c r="S162" s="44"/>
      <c r="T162" s="44"/>
      <c r="U162" s="44"/>
      <c r="V162" s="53"/>
      <c r="W162" s="74"/>
      <c r="X162" s="9"/>
      <c r="Y162" s="11"/>
      <c r="Z162" s="11"/>
      <c r="AA162" s="63"/>
      <c r="AB162" s="63"/>
      <c r="AC162" s="63"/>
      <c r="AD162" s="36"/>
      <c r="AE162" s="31"/>
      <c r="AF162" s="9"/>
      <c r="AG162" s="6"/>
      <c r="AH162" s="6"/>
      <c r="AI162" s="6"/>
      <c r="AJ162" s="36"/>
      <c r="AK162" s="31"/>
      <c r="AL162" s="9"/>
      <c r="AM162" s="6"/>
      <c r="AN162" s="6"/>
      <c r="AO162" s="6"/>
      <c r="AP162" s="36"/>
    </row>
    <row r="163" spans="1:42" ht="27">
      <c r="A163" s="30">
        <v>148</v>
      </c>
      <c r="B163" s="130"/>
      <c r="C163" s="133" t="s">
        <v>1989</v>
      </c>
      <c r="D163" s="27"/>
      <c r="E163" s="27"/>
      <c r="F163" s="27"/>
      <c r="G163" s="27"/>
      <c r="H163" s="70" t="s">
        <v>1658</v>
      </c>
      <c r="I163" s="176" t="s">
        <v>880</v>
      </c>
      <c r="J163" s="137"/>
      <c r="K163" s="117"/>
      <c r="L163" s="6"/>
      <c r="M163" s="6"/>
      <c r="N163" s="6"/>
      <c r="O163" s="44"/>
      <c r="P163" s="44"/>
      <c r="Q163" s="44"/>
      <c r="R163" s="53"/>
      <c r="S163" s="44"/>
      <c r="T163" s="44"/>
      <c r="U163" s="44"/>
      <c r="V163" s="53"/>
      <c r="W163" s="74"/>
      <c r="X163" s="9"/>
      <c r="Y163" s="11"/>
      <c r="Z163" s="11"/>
      <c r="AA163" s="63"/>
      <c r="AB163" s="63"/>
      <c r="AC163" s="63"/>
      <c r="AD163" s="36"/>
      <c r="AE163" s="31"/>
      <c r="AF163" s="9"/>
      <c r="AG163" s="6"/>
      <c r="AH163" s="6"/>
      <c r="AI163" s="6"/>
      <c r="AJ163" s="36"/>
      <c r="AK163" s="31"/>
      <c r="AL163" s="9"/>
      <c r="AM163" s="6"/>
      <c r="AN163" s="6"/>
      <c r="AO163" s="6"/>
      <c r="AP163" s="36"/>
    </row>
    <row r="164" spans="1:42" ht="27">
      <c r="A164" s="30"/>
      <c r="B164" s="130"/>
      <c r="C164" s="133" t="s">
        <v>1657</v>
      </c>
      <c r="D164" s="27"/>
      <c r="E164" s="27"/>
      <c r="F164" s="27"/>
      <c r="G164" s="27"/>
      <c r="H164" s="70" t="s">
        <v>1659</v>
      </c>
      <c r="I164" s="176" t="s">
        <v>880</v>
      </c>
      <c r="J164" s="137"/>
      <c r="K164" s="117"/>
      <c r="L164" s="6"/>
      <c r="M164" s="6"/>
      <c r="N164" s="6"/>
      <c r="O164" s="44"/>
      <c r="P164" s="44"/>
      <c r="Q164" s="44"/>
      <c r="R164" s="53"/>
      <c r="S164" s="44"/>
      <c r="T164" s="44"/>
      <c r="U164" s="44"/>
      <c r="V164" s="53"/>
      <c r="W164" s="74"/>
      <c r="X164" s="9"/>
      <c r="Y164" s="11"/>
      <c r="Z164" s="11"/>
      <c r="AA164" s="63"/>
      <c r="AB164" s="63"/>
      <c r="AC164" s="63"/>
      <c r="AD164" s="36"/>
      <c r="AE164" s="31"/>
      <c r="AF164" s="9"/>
      <c r="AG164" s="6"/>
      <c r="AH164" s="6"/>
      <c r="AI164" s="6"/>
      <c r="AJ164" s="36"/>
      <c r="AK164" s="31"/>
      <c r="AL164" s="9"/>
      <c r="AM164" s="6"/>
      <c r="AN164" s="6"/>
      <c r="AO164" s="6"/>
      <c r="AP164" s="36"/>
    </row>
    <row r="165" spans="1:42">
      <c r="A165" s="30">
        <v>150</v>
      </c>
      <c r="B165" s="130"/>
      <c r="C165" s="133" t="s">
        <v>702</v>
      </c>
      <c r="D165" s="27"/>
      <c r="E165" s="27"/>
      <c r="F165" s="27"/>
      <c r="G165" s="27"/>
      <c r="H165" s="70" t="s">
        <v>813</v>
      </c>
      <c r="I165" s="176" t="s">
        <v>1543</v>
      </c>
      <c r="J165" s="137"/>
      <c r="K165" s="29"/>
      <c r="L165" s="11"/>
      <c r="M165" s="11"/>
      <c r="N165" s="11"/>
      <c r="O165" s="44"/>
      <c r="P165" s="44"/>
      <c r="Q165" s="44"/>
      <c r="R165" s="53"/>
      <c r="S165" s="45"/>
      <c r="T165" s="45"/>
      <c r="U165" s="45"/>
      <c r="V165" s="53"/>
      <c r="W165" s="31"/>
      <c r="X165" s="9"/>
      <c r="Y165" s="11"/>
      <c r="Z165" s="11"/>
      <c r="AA165" s="63"/>
      <c r="AB165" s="63"/>
      <c r="AC165" s="63"/>
      <c r="AD165" s="36"/>
      <c r="AE165" s="31"/>
      <c r="AF165" s="9"/>
      <c r="AG165" s="6"/>
      <c r="AH165" s="6"/>
      <c r="AI165" s="6"/>
      <c r="AJ165" s="36"/>
      <c r="AK165" s="31"/>
      <c r="AL165" s="9"/>
      <c r="AM165" s="6"/>
      <c r="AN165" s="6"/>
      <c r="AO165" s="6"/>
      <c r="AP165" s="36"/>
    </row>
    <row r="166" spans="1:42" ht="20.100000000000001" customHeight="1">
      <c r="A166" s="30">
        <v>151</v>
      </c>
      <c r="B166" s="130"/>
      <c r="C166" s="133" t="s">
        <v>1785</v>
      </c>
      <c r="D166" s="27"/>
      <c r="E166" s="27"/>
      <c r="F166" s="27"/>
      <c r="G166" s="27"/>
      <c r="H166" s="70" t="s">
        <v>1368</v>
      </c>
      <c r="I166" s="176" t="s">
        <v>1251</v>
      </c>
      <c r="J166" s="257" t="s">
        <v>1910</v>
      </c>
      <c r="K166" s="29"/>
      <c r="L166" s="11"/>
      <c r="M166" s="11"/>
      <c r="N166" s="11"/>
      <c r="O166" s="44"/>
      <c r="P166" s="44"/>
      <c r="Q166" s="44"/>
      <c r="R166" s="53"/>
      <c r="S166" s="44"/>
      <c r="T166" s="46"/>
      <c r="U166" s="46"/>
      <c r="V166" s="53"/>
      <c r="W166" s="74"/>
      <c r="X166" s="70"/>
      <c r="Y166" s="11"/>
      <c r="Z166" s="11"/>
      <c r="AA166" s="63"/>
      <c r="AB166" s="63"/>
      <c r="AC166" s="63"/>
      <c r="AD166" s="36"/>
      <c r="AE166" s="31"/>
      <c r="AF166" s="9"/>
      <c r="AG166" s="6"/>
      <c r="AH166" s="6"/>
      <c r="AI166" s="6"/>
      <c r="AJ166" s="36"/>
      <c r="AK166" s="31"/>
      <c r="AL166" s="9"/>
      <c r="AM166" s="6"/>
      <c r="AN166" s="6"/>
      <c r="AO166" s="6"/>
      <c r="AP166" s="36"/>
    </row>
    <row r="167" spans="1:42">
      <c r="A167" s="30">
        <v>152</v>
      </c>
      <c r="B167" s="130"/>
      <c r="C167" s="230" t="s">
        <v>1079</v>
      </c>
      <c r="D167" s="27"/>
      <c r="E167" s="27"/>
      <c r="F167" s="27"/>
      <c r="G167" s="27"/>
      <c r="H167" s="70" t="s">
        <v>1362</v>
      </c>
      <c r="I167" s="176" t="s">
        <v>1081</v>
      </c>
      <c r="J167" s="137" t="s">
        <v>1080</v>
      </c>
      <c r="K167" s="29"/>
      <c r="L167" s="11"/>
      <c r="M167" s="11"/>
      <c r="N167" s="11"/>
      <c r="O167" s="44"/>
      <c r="P167" s="44"/>
      <c r="Q167" s="44"/>
      <c r="R167" s="53"/>
      <c r="S167" s="44"/>
      <c r="T167" s="46"/>
      <c r="U167" s="46"/>
      <c r="V167" s="53"/>
      <c r="W167" s="74"/>
      <c r="X167" s="9"/>
      <c r="Y167" s="11"/>
      <c r="Z167" s="11"/>
      <c r="AA167" s="63"/>
      <c r="AB167" s="63"/>
      <c r="AC167" s="63"/>
      <c r="AD167" s="36"/>
      <c r="AE167" s="31"/>
      <c r="AF167" s="9"/>
      <c r="AG167" s="6"/>
      <c r="AH167" s="6"/>
      <c r="AI167" s="6"/>
      <c r="AJ167" s="36"/>
      <c r="AK167" s="31"/>
      <c r="AL167" s="9"/>
      <c r="AM167" s="6"/>
      <c r="AN167" s="6"/>
      <c r="AO167" s="6"/>
      <c r="AP167" s="36"/>
    </row>
    <row r="168" spans="1:42">
      <c r="A168" s="30">
        <v>153</v>
      </c>
      <c r="B168" s="130"/>
      <c r="C168" s="225" t="s">
        <v>1020</v>
      </c>
      <c r="D168" s="27"/>
      <c r="E168" s="27"/>
      <c r="F168" s="27"/>
      <c r="G168" s="27"/>
      <c r="H168" s="70" t="s">
        <v>818</v>
      </c>
      <c r="I168" s="176" t="s">
        <v>885</v>
      </c>
      <c r="J168" s="137"/>
      <c r="K168" s="29"/>
      <c r="L168" s="11"/>
      <c r="M168" s="11"/>
      <c r="N168" s="11"/>
      <c r="O168" s="44"/>
      <c r="P168" s="44"/>
      <c r="Q168" s="44"/>
      <c r="R168" s="53"/>
      <c r="S168" s="44"/>
      <c r="T168" s="46"/>
      <c r="U168" s="46"/>
      <c r="V168" s="53"/>
      <c r="W168" s="74"/>
      <c r="X168" s="9"/>
      <c r="Y168" s="11"/>
      <c r="Z168" s="11"/>
      <c r="AA168" s="63"/>
      <c r="AB168" s="63"/>
      <c r="AC168" s="63"/>
      <c r="AD168" s="36"/>
      <c r="AE168" s="31"/>
      <c r="AF168" s="75"/>
      <c r="AG168" s="6"/>
      <c r="AH168" s="6"/>
      <c r="AI168" s="6"/>
      <c r="AJ168" s="36"/>
      <c r="AK168" s="31"/>
      <c r="AL168" s="9"/>
      <c r="AM168" s="6"/>
      <c r="AN168" s="6"/>
      <c r="AO168" s="6"/>
      <c r="AP168" s="36"/>
    </row>
    <row r="169" spans="1:42" ht="20.100000000000001" customHeight="1">
      <c r="A169" s="30">
        <v>154</v>
      </c>
      <c r="B169" s="130"/>
      <c r="C169" s="229" t="s">
        <v>706</v>
      </c>
      <c r="D169" s="27"/>
      <c r="E169" s="27"/>
      <c r="F169" s="27"/>
      <c r="G169" s="27"/>
      <c r="H169" s="132" t="s">
        <v>1883</v>
      </c>
      <c r="I169" s="180" t="s">
        <v>900</v>
      </c>
      <c r="J169" s="137" t="s">
        <v>1896</v>
      </c>
      <c r="K169" s="29"/>
      <c r="L169" s="11"/>
      <c r="M169" s="11"/>
      <c r="N169" s="11"/>
      <c r="O169" s="44"/>
      <c r="P169" s="44"/>
      <c r="Q169" s="44"/>
      <c r="R169" s="53"/>
      <c r="S169" s="44"/>
      <c r="T169" s="46"/>
      <c r="U169" s="46"/>
      <c r="V169" s="53"/>
      <c r="W169" s="34"/>
      <c r="X169" s="35"/>
      <c r="Y169" s="61"/>
      <c r="Z169" s="61"/>
      <c r="AA169" s="63"/>
      <c r="AB169" s="63"/>
      <c r="AC169" s="63"/>
      <c r="AD169" s="36"/>
      <c r="AE169" s="34"/>
      <c r="AF169" s="35"/>
      <c r="AG169" s="6"/>
      <c r="AH169" s="6"/>
      <c r="AI169" s="6"/>
      <c r="AJ169" s="36"/>
      <c r="AK169" s="34"/>
      <c r="AL169" s="35"/>
      <c r="AM169" s="6"/>
      <c r="AN169" s="6"/>
      <c r="AO169" s="6"/>
      <c r="AP169" s="36"/>
    </row>
    <row r="170" spans="1:42">
      <c r="A170" s="30">
        <v>155</v>
      </c>
      <c r="B170" s="130"/>
      <c r="C170" s="225" t="s">
        <v>348</v>
      </c>
      <c r="D170" s="27"/>
      <c r="E170" s="27"/>
      <c r="F170" s="27"/>
      <c r="G170" s="27"/>
      <c r="H170" s="199" t="s">
        <v>1892</v>
      </c>
      <c r="I170" s="184" t="s">
        <v>1216</v>
      </c>
      <c r="J170" s="137" t="s">
        <v>1881</v>
      </c>
      <c r="K170" s="29"/>
      <c r="L170" s="11"/>
      <c r="M170" s="11"/>
      <c r="N170" s="11"/>
      <c r="O170" s="44"/>
      <c r="P170" s="44"/>
      <c r="Q170" s="44"/>
      <c r="R170" s="53"/>
      <c r="S170" s="44"/>
      <c r="T170" s="46"/>
      <c r="U170" s="46"/>
      <c r="V170" s="53"/>
      <c r="W170" s="31"/>
      <c r="X170" s="9"/>
      <c r="Y170" s="11"/>
      <c r="Z170" s="11"/>
      <c r="AA170" s="63"/>
      <c r="AB170" s="63"/>
      <c r="AC170" s="63"/>
      <c r="AD170" s="36"/>
      <c r="AE170" s="31"/>
      <c r="AF170" s="9"/>
      <c r="AG170" s="6"/>
      <c r="AH170" s="6"/>
      <c r="AI170" s="6"/>
      <c r="AJ170" s="36"/>
      <c r="AK170" s="31"/>
      <c r="AL170" s="9"/>
      <c r="AM170" s="6"/>
      <c r="AN170" s="6"/>
      <c r="AO170" s="6"/>
      <c r="AP170" s="36"/>
    </row>
    <row r="171" spans="1:42">
      <c r="A171" s="30">
        <v>156</v>
      </c>
      <c r="B171" s="130"/>
      <c r="C171" s="225" t="s">
        <v>1518</v>
      </c>
      <c r="D171" s="27"/>
      <c r="E171" s="27"/>
      <c r="F171" s="27"/>
      <c r="G171" s="27"/>
      <c r="H171" s="199" t="s">
        <v>1893</v>
      </c>
      <c r="I171" s="184" t="s">
        <v>1879</v>
      </c>
      <c r="J171" s="137" t="s">
        <v>1881</v>
      </c>
      <c r="K171" s="29"/>
      <c r="L171" s="11"/>
      <c r="M171" s="11"/>
      <c r="N171" s="11"/>
      <c r="O171" s="44"/>
      <c r="P171" s="44"/>
      <c r="Q171" s="44"/>
      <c r="R171" s="53"/>
      <c r="S171" s="44"/>
      <c r="T171" s="46"/>
      <c r="U171" s="46"/>
      <c r="V171" s="53"/>
      <c r="W171" s="31"/>
      <c r="X171" s="9"/>
      <c r="Y171" s="11"/>
      <c r="Z171" s="11"/>
      <c r="AA171" s="63"/>
      <c r="AB171" s="63"/>
      <c r="AC171" s="63"/>
      <c r="AD171" s="36"/>
      <c r="AE171" s="31"/>
      <c r="AF171" s="9"/>
      <c r="AG171" s="6"/>
      <c r="AH171" s="6"/>
      <c r="AI171" s="6"/>
      <c r="AJ171" s="36"/>
      <c r="AK171" s="31"/>
      <c r="AL171" s="9"/>
      <c r="AM171" s="6"/>
      <c r="AN171" s="6"/>
      <c r="AO171" s="6"/>
      <c r="AP171" s="36"/>
    </row>
    <row r="172" spans="1:42">
      <c r="A172" s="30">
        <v>157</v>
      </c>
      <c r="B172" s="130"/>
      <c r="C172" s="225" t="s">
        <v>524</v>
      </c>
      <c r="D172" s="27"/>
      <c r="E172" s="27"/>
      <c r="F172" s="27"/>
      <c r="G172" s="27"/>
      <c r="H172" s="70" t="s">
        <v>1897</v>
      </c>
      <c r="I172" s="176" t="s">
        <v>881</v>
      </c>
      <c r="J172" s="136" t="s">
        <v>638</v>
      </c>
      <c r="K172" s="117"/>
      <c r="L172" s="6"/>
      <c r="M172" s="6"/>
      <c r="N172" s="6"/>
      <c r="O172" s="44"/>
      <c r="P172" s="44"/>
      <c r="Q172" s="44"/>
      <c r="R172" s="53"/>
      <c r="S172" s="44"/>
      <c r="T172" s="44"/>
      <c r="U172" s="44"/>
      <c r="V172" s="53"/>
      <c r="W172" s="31"/>
      <c r="X172" s="9"/>
      <c r="Y172" s="11"/>
      <c r="Z172" s="11"/>
      <c r="AA172" s="63"/>
      <c r="AB172" s="63"/>
      <c r="AC172" s="63"/>
      <c r="AD172" s="36"/>
      <c r="AE172" s="31"/>
      <c r="AF172" s="9"/>
      <c r="AG172" s="6"/>
      <c r="AH172" s="6"/>
      <c r="AI172" s="6"/>
      <c r="AJ172" s="36"/>
      <c r="AK172" s="31"/>
      <c r="AL172" s="9"/>
      <c r="AM172" s="6"/>
      <c r="AN172" s="6"/>
      <c r="AO172" s="6"/>
      <c r="AP172" s="36"/>
    </row>
    <row r="173" spans="1:42">
      <c r="A173" s="30">
        <v>158</v>
      </c>
      <c r="B173" s="130"/>
      <c r="C173" s="225" t="s">
        <v>1814</v>
      </c>
      <c r="D173" s="27"/>
      <c r="E173" s="27"/>
      <c r="F173" s="27"/>
      <c r="G173" s="27"/>
      <c r="H173" s="70" t="s">
        <v>1898</v>
      </c>
      <c r="I173" s="176" t="s">
        <v>1873</v>
      </c>
      <c r="J173" s="136" t="s">
        <v>638</v>
      </c>
      <c r="K173" s="117"/>
      <c r="L173" s="6"/>
      <c r="M173" s="6"/>
      <c r="N173" s="6"/>
      <c r="O173" s="44"/>
      <c r="P173" s="44"/>
      <c r="Q173" s="44"/>
      <c r="R173" s="53"/>
      <c r="S173" s="44"/>
      <c r="T173" s="44"/>
      <c r="U173" s="44"/>
      <c r="V173" s="53"/>
      <c r="W173" s="31"/>
      <c r="X173" s="9"/>
      <c r="Y173" s="11"/>
      <c r="Z173" s="11"/>
      <c r="AA173" s="63"/>
      <c r="AB173" s="63"/>
      <c r="AC173" s="63"/>
      <c r="AD173" s="36"/>
      <c r="AE173" s="31"/>
      <c r="AF173" s="9"/>
      <c r="AG173" s="6"/>
      <c r="AH173" s="6"/>
      <c r="AI173" s="6"/>
      <c r="AJ173" s="36"/>
      <c r="AK173" s="31"/>
      <c r="AL173" s="9"/>
      <c r="AM173" s="6"/>
      <c r="AN173" s="6"/>
      <c r="AO173" s="6"/>
      <c r="AP173" s="36"/>
    </row>
    <row r="174" spans="1:42">
      <c r="A174" s="30">
        <v>159</v>
      </c>
      <c r="B174" s="130"/>
      <c r="C174" s="225" t="s">
        <v>971</v>
      </c>
      <c r="D174" s="27"/>
      <c r="E174" s="27"/>
      <c r="F174" s="27"/>
      <c r="G174" s="27"/>
      <c r="H174" s="70" t="s">
        <v>650</v>
      </c>
      <c r="I174" s="176" t="s">
        <v>887</v>
      </c>
      <c r="J174" s="136" t="s">
        <v>1821</v>
      </c>
      <c r="K174" s="117"/>
      <c r="L174" s="6">
        <v>27450</v>
      </c>
      <c r="M174" s="6">
        <v>1372.5</v>
      </c>
      <c r="N174" s="6">
        <v>28822.5</v>
      </c>
      <c r="O174" s="44"/>
      <c r="P174" s="44"/>
      <c r="Q174" s="44"/>
      <c r="R174" s="53"/>
      <c r="S174" s="45"/>
      <c r="T174" s="45"/>
      <c r="U174" s="45"/>
      <c r="V174" s="53"/>
      <c r="W174" s="31"/>
      <c r="X174" s="9"/>
      <c r="Y174" s="11"/>
      <c r="Z174" s="11"/>
      <c r="AA174" s="68"/>
      <c r="AB174" s="68"/>
      <c r="AC174" s="68"/>
      <c r="AD174" s="36"/>
      <c r="AE174" s="31"/>
      <c r="AF174" s="9"/>
      <c r="AG174" s="6"/>
      <c r="AH174" s="6"/>
      <c r="AI174" s="6"/>
      <c r="AJ174" s="36"/>
      <c r="AK174" s="31"/>
      <c r="AL174" s="9"/>
      <c r="AM174" s="6"/>
      <c r="AN174" s="6"/>
      <c r="AO174" s="6"/>
      <c r="AP174" s="36"/>
    </row>
    <row r="175" spans="1:42">
      <c r="A175" s="30">
        <v>160</v>
      </c>
      <c r="B175" s="130"/>
      <c r="C175" s="225" t="s">
        <v>1621</v>
      </c>
      <c r="D175" s="27"/>
      <c r="E175" s="27"/>
      <c r="F175" s="27"/>
      <c r="G175" s="27"/>
      <c r="H175" s="70" t="s">
        <v>1305</v>
      </c>
      <c r="I175" s="176" t="s">
        <v>900</v>
      </c>
      <c r="J175" s="137"/>
      <c r="K175" s="117"/>
      <c r="L175" s="6"/>
      <c r="M175" s="6"/>
      <c r="N175" s="6"/>
      <c r="O175" s="44"/>
      <c r="P175" s="44"/>
      <c r="Q175" s="44"/>
      <c r="R175" s="53"/>
      <c r="S175" s="44"/>
      <c r="T175" s="44"/>
      <c r="U175" s="44"/>
      <c r="V175" s="53"/>
      <c r="W175" s="31"/>
      <c r="X175" s="9"/>
      <c r="Y175" s="11"/>
      <c r="Z175" s="11"/>
      <c r="AA175" s="63"/>
      <c r="AB175" s="63"/>
      <c r="AC175" s="63"/>
      <c r="AD175" s="36"/>
      <c r="AE175" s="31"/>
      <c r="AF175" s="9"/>
      <c r="AG175" s="6"/>
      <c r="AH175" s="6"/>
      <c r="AI175" s="6"/>
      <c r="AJ175" s="36"/>
      <c r="AK175" s="31"/>
      <c r="AL175" s="9"/>
      <c r="AM175" s="6"/>
      <c r="AN175" s="6"/>
      <c r="AO175" s="6"/>
      <c r="AP175" s="36"/>
    </row>
    <row r="176" spans="1:42">
      <c r="A176" s="30">
        <v>161</v>
      </c>
      <c r="B176" s="130"/>
      <c r="C176" s="225" t="s">
        <v>1502</v>
      </c>
      <c r="D176" s="27"/>
      <c r="E176" s="27"/>
      <c r="F176" s="27"/>
      <c r="G176" s="27"/>
      <c r="H176" s="70" t="s">
        <v>948</v>
      </c>
      <c r="I176" s="176" t="s">
        <v>880</v>
      </c>
      <c r="J176" s="137"/>
      <c r="K176" s="117"/>
      <c r="L176" s="6"/>
      <c r="M176" s="6"/>
      <c r="N176" s="6"/>
      <c r="O176" s="44"/>
      <c r="P176" s="44"/>
      <c r="Q176" s="44"/>
      <c r="R176" s="53"/>
      <c r="S176" s="44"/>
      <c r="T176" s="44"/>
      <c r="U176" s="44"/>
      <c r="V176" s="53"/>
      <c r="W176" s="74"/>
      <c r="X176" s="9"/>
      <c r="Y176" s="11"/>
      <c r="Z176" s="11"/>
      <c r="AA176" s="63"/>
      <c r="AB176" s="63"/>
      <c r="AC176" s="63"/>
      <c r="AD176" s="36"/>
      <c r="AE176" s="31"/>
      <c r="AF176" s="9"/>
      <c r="AG176" s="6"/>
      <c r="AH176" s="6"/>
      <c r="AI176" s="6"/>
      <c r="AJ176" s="36"/>
      <c r="AK176" s="31"/>
      <c r="AL176" s="9"/>
      <c r="AM176" s="6"/>
      <c r="AN176" s="6"/>
      <c r="AO176" s="6"/>
      <c r="AP176" s="36"/>
    </row>
    <row r="177" spans="1:42" ht="15" customHeight="1">
      <c r="A177" s="30">
        <v>162</v>
      </c>
      <c r="B177" s="130"/>
      <c r="C177" s="225" t="s">
        <v>1433</v>
      </c>
      <c r="D177" s="27"/>
      <c r="E177" s="27"/>
      <c r="F177" s="27"/>
      <c r="G177" s="27"/>
      <c r="H177" s="70" t="s">
        <v>1434</v>
      </c>
      <c r="I177" s="176" t="s">
        <v>934</v>
      </c>
      <c r="J177" s="139"/>
      <c r="K177" s="29"/>
      <c r="L177" s="11"/>
      <c r="M177" s="11"/>
      <c r="N177" s="9"/>
      <c r="O177" s="44"/>
      <c r="P177" s="44"/>
      <c r="Q177" s="44"/>
      <c r="R177" s="53"/>
      <c r="S177" s="44"/>
      <c r="T177" s="46"/>
      <c r="U177" s="46"/>
      <c r="V177" s="53"/>
      <c r="W177" s="31"/>
      <c r="X177" s="70"/>
      <c r="Y177" s="11"/>
      <c r="Z177" s="11"/>
      <c r="AA177" s="63"/>
      <c r="AB177" s="63"/>
      <c r="AC177" s="63"/>
      <c r="AD177" s="36"/>
      <c r="AE177" s="31"/>
      <c r="AF177" s="9"/>
      <c r="AG177" s="6"/>
      <c r="AH177" s="6"/>
      <c r="AI177" s="6"/>
      <c r="AJ177" s="36"/>
      <c r="AK177" s="31"/>
      <c r="AL177" s="9"/>
      <c r="AM177" s="6"/>
      <c r="AN177" s="6"/>
      <c r="AO177" s="6"/>
      <c r="AP177" s="36"/>
    </row>
    <row r="178" spans="1:42" ht="15" customHeight="1">
      <c r="A178" s="30">
        <v>163</v>
      </c>
      <c r="B178" s="130"/>
      <c r="C178" s="225" t="s">
        <v>1750</v>
      </c>
      <c r="D178" s="27"/>
      <c r="E178" s="27"/>
      <c r="F178" s="27"/>
      <c r="G178" s="27"/>
      <c r="H178" s="70" t="s">
        <v>1890</v>
      </c>
      <c r="I178" s="176" t="s">
        <v>934</v>
      </c>
      <c r="J178" s="139"/>
      <c r="K178" s="29"/>
      <c r="L178" s="11"/>
      <c r="M178" s="11"/>
      <c r="N178" s="9"/>
      <c r="O178" s="44"/>
      <c r="P178" s="44"/>
      <c r="Q178" s="44"/>
      <c r="R178" s="53"/>
      <c r="S178" s="44"/>
      <c r="T178" s="46"/>
      <c r="U178" s="46"/>
      <c r="V178" s="53"/>
      <c r="W178" s="31"/>
      <c r="X178" s="70"/>
      <c r="Y178" s="11"/>
      <c r="Z178" s="11"/>
      <c r="AA178" s="63"/>
      <c r="AB178" s="63"/>
      <c r="AC178" s="63"/>
      <c r="AD178" s="36"/>
      <c r="AE178" s="31"/>
      <c r="AF178" s="9"/>
      <c r="AG178" s="6"/>
      <c r="AH178" s="6"/>
      <c r="AI178" s="6"/>
      <c r="AJ178" s="36"/>
      <c r="AK178" s="31"/>
      <c r="AL178" s="9"/>
      <c r="AM178" s="6"/>
      <c r="AN178" s="6"/>
      <c r="AO178" s="6"/>
      <c r="AP178" s="36"/>
    </row>
    <row r="179" spans="1:42" ht="15" customHeight="1">
      <c r="A179" s="30"/>
      <c r="B179" s="130"/>
      <c r="C179" s="225" t="s">
        <v>1836</v>
      </c>
      <c r="D179" s="27"/>
      <c r="E179" s="27"/>
      <c r="F179" s="27"/>
      <c r="G179" s="27"/>
      <c r="H179" s="70" t="s">
        <v>1891</v>
      </c>
      <c r="I179" s="176" t="s">
        <v>934</v>
      </c>
      <c r="J179" s="139"/>
      <c r="K179" s="29"/>
      <c r="L179" s="11"/>
      <c r="M179" s="11"/>
      <c r="N179" s="9"/>
      <c r="O179" s="44"/>
      <c r="P179" s="44"/>
      <c r="Q179" s="44"/>
      <c r="R179" s="53"/>
      <c r="S179" s="44"/>
      <c r="T179" s="46"/>
      <c r="U179" s="46"/>
      <c r="V179" s="53"/>
      <c r="W179" s="31"/>
      <c r="X179" s="70"/>
      <c r="Y179" s="11"/>
      <c r="Z179" s="11"/>
      <c r="AA179" s="63"/>
      <c r="AB179" s="63"/>
      <c r="AC179" s="63"/>
      <c r="AD179" s="36"/>
      <c r="AE179" s="31"/>
      <c r="AF179" s="9"/>
      <c r="AG179" s="6"/>
      <c r="AH179" s="6"/>
      <c r="AI179" s="6"/>
      <c r="AJ179" s="36"/>
      <c r="AK179" s="31"/>
      <c r="AL179" s="9"/>
      <c r="AM179" s="6"/>
      <c r="AN179" s="6"/>
      <c r="AO179" s="6"/>
      <c r="AP179" s="36"/>
    </row>
    <row r="180" spans="1:42">
      <c r="A180" s="30">
        <v>164</v>
      </c>
      <c r="B180" s="130"/>
      <c r="C180" s="225" t="s">
        <v>1792</v>
      </c>
      <c r="D180" s="27"/>
      <c r="E180" s="27"/>
      <c r="F180" s="27"/>
      <c r="G180" s="27"/>
      <c r="H180" s="70" t="s">
        <v>1228</v>
      </c>
      <c r="I180" s="176" t="s">
        <v>958</v>
      </c>
      <c r="J180" s="137" t="s">
        <v>607</v>
      </c>
      <c r="K180" s="120"/>
      <c r="L180" s="6"/>
      <c r="M180" s="6"/>
      <c r="N180" s="6"/>
      <c r="O180" s="44"/>
      <c r="P180" s="44"/>
      <c r="Q180" s="44"/>
      <c r="R180" s="53"/>
      <c r="S180" s="44"/>
      <c r="T180" s="44"/>
      <c r="U180" s="44"/>
      <c r="V180" s="53"/>
      <c r="W180" s="74"/>
      <c r="X180" s="9"/>
      <c r="Y180" s="11"/>
      <c r="Z180" s="11"/>
      <c r="AA180" s="63"/>
      <c r="AB180" s="63"/>
      <c r="AC180" s="63"/>
      <c r="AD180" s="36"/>
      <c r="AE180" s="31"/>
      <c r="AF180" s="9"/>
      <c r="AG180" s="6"/>
      <c r="AH180" s="6"/>
      <c r="AI180" s="6"/>
      <c r="AJ180" s="36"/>
      <c r="AK180" s="31"/>
      <c r="AL180" s="9"/>
      <c r="AM180" s="6"/>
      <c r="AN180" s="6"/>
      <c r="AO180" s="6"/>
      <c r="AP180" s="36"/>
    </row>
    <row r="181" spans="1:42">
      <c r="A181" s="30">
        <v>165</v>
      </c>
      <c r="B181" s="130"/>
      <c r="C181" s="225" t="s">
        <v>1405</v>
      </c>
      <c r="D181" s="27"/>
      <c r="E181" s="27"/>
      <c r="F181" s="27"/>
      <c r="G181" s="27"/>
      <c r="H181" s="103" t="s">
        <v>2000</v>
      </c>
      <c r="I181" s="176" t="s">
        <v>917</v>
      </c>
      <c r="J181" s="137" t="s">
        <v>698</v>
      </c>
      <c r="K181" s="120"/>
      <c r="L181" s="6"/>
      <c r="M181" s="6"/>
      <c r="N181" s="6"/>
      <c r="O181" s="44"/>
      <c r="P181" s="44"/>
      <c r="Q181" s="44"/>
      <c r="R181" s="53"/>
      <c r="S181" s="44"/>
      <c r="T181" s="44"/>
      <c r="U181" s="44"/>
      <c r="V181" s="53"/>
      <c r="W181" s="74"/>
      <c r="X181" s="9"/>
      <c r="Y181" s="11"/>
      <c r="Z181" s="11"/>
      <c r="AA181" s="63"/>
      <c r="AB181" s="63"/>
      <c r="AC181" s="63"/>
      <c r="AD181" s="36"/>
      <c r="AE181" s="31"/>
      <c r="AF181" s="9"/>
      <c r="AG181" s="6"/>
      <c r="AH181" s="6"/>
      <c r="AI181" s="6"/>
      <c r="AJ181" s="36"/>
      <c r="AK181" s="31"/>
      <c r="AL181" s="9"/>
      <c r="AM181" s="6"/>
      <c r="AN181" s="6"/>
      <c r="AO181" s="6"/>
      <c r="AP181" s="36"/>
    </row>
    <row r="182" spans="1:42" ht="24">
      <c r="A182" s="30">
        <v>166</v>
      </c>
      <c r="B182" s="130"/>
      <c r="C182" s="225" t="s">
        <v>1306</v>
      </c>
      <c r="D182" s="27"/>
      <c r="E182" s="27"/>
      <c r="F182" s="27"/>
      <c r="G182" s="27"/>
      <c r="H182" s="136" t="s">
        <v>1307</v>
      </c>
      <c r="I182" s="181" t="s">
        <v>894</v>
      </c>
      <c r="J182" s="137" t="s">
        <v>1308</v>
      </c>
      <c r="K182" s="117"/>
      <c r="L182" s="6">
        <v>22500</v>
      </c>
      <c r="M182" s="6">
        <v>1125</v>
      </c>
      <c r="N182" s="6">
        <v>23625</v>
      </c>
      <c r="O182" s="44"/>
      <c r="P182" s="44"/>
      <c r="Q182" s="44"/>
      <c r="R182" s="53"/>
      <c r="S182" s="45"/>
      <c r="T182" s="45"/>
      <c r="U182" s="45"/>
      <c r="V182" s="53"/>
      <c r="W182" s="31"/>
      <c r="X182" s="9"/>
      <c r="Y182" s="11"/>
      <c r="Z182" s="11"/>
      <c r="AA182" s="64"/>
      <c r="AB182" s="64"/>
      <c r="AC182" s="64"/>
      <c r="AD182" s="36"/>
      <c r="AE182" s="31"/>
      <c r="AF182" s="9"/>
      <c r="AG182" s="6"/>
      <c r="AH182" s="6"/>
      <c r="AI182" s="6"/>
      <c r="AJ182" s="36"/>
      <c r="AK182" s="31"/>
      <c r="AL182" s="9"/>
      <c r="AM182" s="6"/>
      <c r="AN182" s="6"/>
      <c r="AO182" s="6"/>
      <c r="AP182" s="36"/>
    </row>
    <row r="183" spans="1:42">
      <c r="A183" s="30">
        <v>167</v>
      </c>
      <c r="B183" s="130"/>
      <c r="C183" s="225" t="s">
        <v>1822</v>
      </c>
      <c r="D183" s="27"/>
      <c r="E183" s="27"/>
      <c r="F183" s="27"/>
      <c r="G183" s="27"/>
      <c r="H183" s="70" t="s">
        <v>1823</v>
      </c>
      <c r="I183" s="176" t="s">
        <v>969</v>
      </c>
      <c r="J183" s="136"/>
      <c r="K183" s="117"/>
      <c r="L183" s="6">
        <v>22750</v>
      </c>
      <c r="M183" s="6">
        <v>1137.5</v>
      </c>
      <c r="N183" s="6">
        <v>23887.5</v>
      </c>
      <c r="O183" s="44"/>
      <c r="P183" s="44"/>
      <c r="Q183" s="44"/>
      <c r="R183" s="53"/>
      <c r="S183" s="45"/>
      <c r="T183" s="45"/>
      <c r="U183" s="45"/>
      <c r="V183" s="53"/>
      <c r="W183" s="31"/>
      <c r="X183" s="9"/>
      <c r="Y183" s="11"/>
      <c r="Z183" s="11"/>
      <c r="AA183" s="64"/>
      <c r="AB183" s="64"/>
      <c r="AC183" s="64"/>
      <c r="AD183" s="36"/>
      <c r="AE183" s="31"/>
      <c r="AF183" s="9"/>
      <c r="AG183" s="6"/>
      <c r="AH183" s="6"/>
      <c r="AI183" s="6"/>
      <c r="AJ183" s="36"/>
      <c r="AK183" s="31"/>
      <c r="AL183" s="9"/>
      <c r="AM183" s="6"/>
      <c r="AN183" s="6"/>
      <c r="AO183" s="6"/>
      <c r="AP183" s="36"/>
    </row>
    <row r="184" spans="1:42">
      <c r="A184" s="30">
        <v>168</v>
      </c>
      <c r="B184" s="130"/>
      <c r="C184" s="143" t="s">
        <v>1571</v>
      </c>
      <c r="D184" s="27"/>
      <c r="E184" s="27"/>
      <c r="F184" s="27"/>
      <c r="G184" s="27"/>
      <c r="H184" s="70" t="s">
        <v>1572</v>
      </c>
      <c r="I184" s="176" t="s">
        <v>855</v>
      </c>
      <c r="J184" s="137" t="s">
        <v>1573</v>
      </c>
      <c r="K184" s="117"/>
      <c r="L184" s="6"/>
      <c r="M184" s="6"/>
      <c r="N184" s="6"/>
      <c r="O184" s="44"/>
      <c r="P184" s="44"/>
      <c r="Q184" s="44"/>
      <c r="R184" s="53"/>
      <c r="S184" s="45"/>
      <c r="T184" s="45"/>
      <c r="U184" s="45"/>
      <c r="V184" s="53"/>
      <c r="W184" s="31"/>
      <c r="X184" s="9"/>
      <c r="Y184" s="11"/>
      <c r="Z184" s="11"/>
      <c r="AA184" s="64"/>
      <c r="AB184" s="64"/>
      <c r="AC184" s="64"/>
      <c r="AD184" s="36"/>
      <c r="AE184" s="31"/>
      <c r="AF184" s="9"/>
      <c r="AG184" s="6"/>
      <c r="AH184" s="6"/>
      <c r="AI184" s="6"/>
      <c r="AJ184" s="36"/>
      <c r="AK184" s="31"/>
      <c r="AL184" s="9"/>
      <c r="AM184" s="6"/>
      <c r="AN184" s="6"/>
      <c r="AO184" s="6"/>
      <c r="AP184" s="36"/>
    </row>
    <row r="185" spans="1:42">
      <c r="A185" s="30">
        <v>170</v>
      </c>
      <c r="B185" s="130"/>
      <c r="C185" s="143" t="s">
        <v>589</v>
      </c>
      <c r="D185" s="27"/>
      <c r="E185" s="27"/>
      <c r="F185" s="27"/>
      <c r="G185" s="27"/>
      <c r="H185" s="136" t="s">
        <v>1311</v>
      </c>
      <c r="I185" s="176" t="s">
        <v>2256</v>
      </c>
      <c r="J185" s="137"/>
      <c r="K185" s="117"/>
      <c r="L185" s="6"/>
      <c r="M185" s="6"/>
      <c r="N185" s="6"/>
      <c r="O185" s="44"/>
      <c r="P185" s="44"/>
      <c r="Q185" s="44"/>
      <c r="R185" s="53"/>
      <c r="S185" s="44"/>
      <c r="T185" s="44"/>
      <c r="U185" s="44"/>
      <c r="V185" s="53"/>
      <c r="W185" s="31"/>
      <c r="X185" s="9"/>
      <c r="Y185" s="11"/>
      <c r="Z185" s="11"/>
      <c r="AA185" s="63"/>
      <c r="AB185" s="63"/>
      <c r="AC185" s="63"/>
      <c r="AD185" s="36"/>
      <c r="AE185" s="31"/>
      <c r="AF185" s="9"/>
      <c r="AG185" s="6"/>
      <c r="AH185" s="6"/>
      <c r="AI185" s="6"/>
      <c r="AJ185" s="36"/>
      <c r="AK185" s="31"/>
      <c r="AL185" s="9"/>
      <c r="AM185" s="6"/>
      <c r="AN185" s="6"/>
      <c r="AO185" s="6"/>
      <c r="AP185" s="36"/>
    </row>
    <row r="186" spans="1:42">
      <c r="A186" s="30">
        <v>171</v>
      </c>
      <c r="B186" s="130"/>
      <c r="C186" s="143" t="s">
        <v>1293</v>
      </c>
      <c r="D186" s="27"/>
      <c r="E186" s="27"/>
      <c r="F186" s="27"/>
      <c r="G186" s="27"/>
      <c r="H186" s="70" t="s">
        <v>1294</v>
      </c>
      <c r="I186" s="176" t="s">
        <v>840</v>
      </c>
      <c r="J186" s="136" t="s">
        <v>1885</v>
      </c>
      <c r="K186" s="117"/>
      <c r="L186" s="6"/>
      <c r="M186" s="6"/>
      <c r="N186" s="6"/>
      <c r="O186" s="44"/>
      <c r="P186" s="44"/>
      <c r="Q186" s="44"/>
      <c r="R186" s="53"/>
      <c r="S186" s="44"/>
      <c r="T186" s="44"/>
      <c r="U186" s="44"/>
      <c r="V186" s="53"/>
      <c r="W186" s="31"/>
      <c r="X186" s="9"/>
      <c r="Y186" s="11"/>
      <c r="Z186" s="11"/>
      <c r="AA186" s="63"/>
      <c r="AB186" s="63"/>
      <c r="AC186" s="63"/>
      <c r="AD186" s="36"/>
      <c r="AE186" s="31"/>
      <c r="AF186" s="9"/>
      <c r="AG186" s="6"/>
      <c r="AH186" s="6"/>
      <c r="AI186" s="6"/>
      <c r="AJ186" s="36"/>
      <c r="AK186" s="31"/>
      <c r="AL186" s="9"/>
      <c r="AM186" s="6"/>
      <c r="AN186" s="6"/>
      <c r="AO186" s="6"/>
      <c r="AP186" s="36"/>
    </row>
    <row r="187" spans="1:42">
      <c r="A187" s="30">
        <v>172</v>
      </c>
      <c r="B187" s="130"/>
      <c r="C187" s="143" t="s">
        <v>2110</v>
      </c>
      <c r="D187" s="27"/>
      <c r="E187" s="27"/>
      <c r="F187" s="27"/>
      <c r="G187" s="27"/>
      <c r="H187" s="70" t="s">
        <v>2111</v>
      </c>
      <c r="I187" s="176" t="s">
        <v>840</v>
      </c>
      <c r="J187" s="136"/>
      <c r="K187" s="117"/>
      <c r="L187" s="6"/>
      <c r="M187" s="6"/>
      <c r="N187" s="6"/>
      <c r="O187" s="44"/>
      <c r="P187" s="44"/>
      <c r="Q187" s="44"/>
      <c r="R187" s="53"/>
      <c r="S187" s="44"/>
      <c r="T187" s="44"/>
      <c r="U187" s="44"/>
      <c r="V187" s="53"/>
      <c r="W187" s="31"/>
      <c r="X187" s="9"/>
      <c r="Y187" s="11"/>
      <c r="Z187" s="11"/>
      <c r="AA187" s="63"/>
      <c r="AB187" s="63"/>
      <c r="AC187" s="63"/>
      <c r="AD187" s="36"/>
      <c r="AE187" s="31"/>
      <c r="AF187" s="9"/>
      <c r="AG187" s="6"/>
      <c r="AH187" s="6"/>
      <c r="AI187" s="6"/>
      <c r="AJ187" s="36"/>
      <c r="AK187" s="31"/>
      <c r="AL187" s="9"/>
      <c r="AM187" s="6"/>
      <c r="AN187" s="6"/>
      <c r="AO187" s="6"/>
      <c r="AP187" s="36"/>
    </row>
    <row r="188" spans="1:42">
      <c r="A188" s="30">
        <v>173</v>
      </c>
      <c r="B188" s="130"/>
      <c r="C188" s="143" t="s">
        <v>2123</v>
      </c>
      <c r="D188" s="27"/>
      <c r="E188" s="27"/>
      <c r="F188" s="27"/>
      <c r="G188" s="27"/>
      <c r="H188" s="70" t="s">
        <v>1851</v>
      </c>
      <c r="I188" s="176" t="s">
        <v>1482</v>
      </c>
      <c r="J188" s="136"/>
      <c r="K188" s="117"/>
      <c r="L188" s="6"/>
      <c r="M188" s="6"/>
      <c r="N188" s="6"/>
      <c r="O188" s="44"/>
      <c r="P188" s="44"/>
      <c r="Q188" s="44"/>
      <c r="R188" s="53"/>
      <c r="S188" s="44"/>
      <c r="T188" s="44"/>
      <c r="U188" s="44"/>
      <c r="V188" s="53"/>
      <c r="W188" s="31"/>
      <c r="X188" s="9"/>
      <c r="Y188" s="11"/>
      <c r="Z188" s="11"/>
      <c r="AA188" s="63"/>
      <c r="AB188" s="63"/>
      <c r="AC188" s="63"/>
      <c r="AD188" s="36"/>
      <c r="AE188" s="31"/>
      <c r="AF188" s="9"/>
      <c r="AG188" s="6"/>
      <c r="AH188" s="6"/>
      <c r="AI188" s="6"/>
      <c r="AJ188" s="36"/>
      <c r="AK188" s="31"/>
      <c r="AL188" s="9"/>
      <c r="AM188" s="6"/>
      <c r="AN188" s="6"/>
      <c r="AO188" s="6"/>
      <c r="AP188" s="36"/>
    </row>
    <row r="189" spans="1:42">
      <c r="A189" s="30">
        <v>174</v>
      </c>
      <c r="B189" s="130"/>
      <c r="C189" s="143" t="s">
        <v>1272</v>
      </c>
      <c r="D189" s="27"/>
      <c r="E189" s="27"/>
      <c r="F189" s="27"/>
      <c r="G189" s="27"/>
      <c r="H189" s="70" t="s">
        <v>1181</v>
      </c>
      <c r="I189" s="176" t="s">
        <v>1182</v>
      </c>
      <c r="J189" s="136"/>
      <c r="K189" s="117"/>
      <c r="L189" s="6"/>
      <c r="M189" s="6"/>
      <c r="N189" s="6"/>
      <c r="O189" s="44"/>
      <c r="P189" s="44"/>
      <c r="Q189" s="44"/>
      <c r="R189" s="53"/>
      <c r="S189" s="44"/>
      <c r="T189" s="44"/>
      <c r="U189" s="44"/>
      <c r="V189" s="53"/>
      <c r="W189" s="31"/>
      <c r="X189" s="9"/>
      <c r="Y189" s="11"/>
      <c r="Z189" s="11"/>
      <c r="AA189" s="63"/>
      <c r="AB189" s="63"/>
      <c r="AC189" s="63"/>
      <c r="AD189" s="36"/>
      <c r="AE189" s="31"/>
      <c r="AF189" s="9"/>
      <c r="AG189" s="6"/>
      <c r="AH189" s="6"/>
      <c r="AI189" s="6"/>
      <c r="AJ189" s="36"/>
      <c r="AK189" s="31"/>
      <c r="AL189" s="9"/>
      <c r="AM189" s="6"/>
      <c r="AN189" s="6"/>
      <c r="AO189" s="6"/>
      <c r="AP189" s="36"/>
    </row>
    <row r="190" spans="1:42" ht="27">
      <c r="A190" s="30">
        <v>175</v>
      </c>
      <c r="B190" s="130"/>
      <c r="C190" s="143" t="s">
        <v>1324</v>
      </c>
      <c r="D190" s="27"/>
      <c r="E190" s="27"/>
      <c r="F190" s="27"/>
      <c r="G190" s="27"/>
      <c r="H190" s="70" t="s">
        <v>1260</v>
      </c>
      <c r="I190" s="176" t="s">
        <v>1000</v>
      </c>
      <c r="J190" s="136"/>
      <c r="K190" s="117"/>
      <c r="L190" s="6"/>
      <c r="M190" s="6"/>
      <c r="N190" s="6"/>
      <c r="O190" s="44"/>
      <c r="P190" s="44"/>
      <c r="Q190" s="44"/>
      <c r="R190" s="53"/>
      <c r="S190" s="44"/>
      <c r="T190" s="44"/>
      <c r="U190" s="44"/>
      <c r="V190" s="53"/>
      <c r="W190" s="31"/>
      <c r="X190" s="9"/>
      <c r="Y190" s="11"/>
      <c r="Z190" s="11"/>
      <c r="AA190" s="63"/>
      <c r="AB190" s="63"/>
      <c r="AC190" s="63"/>
      <c r="AD190" s="36"/>
      <c r="AE190" s="31"/>
      <c r="AF190" s="9"/>
      <c r="AG190" s="6"/>
      <c r="AH190" s="6"/>
      <c r="AI190" s="6"/>
      <c r="AJ190" s="36"/>
      <c r="AK190" s="31"/>
      <c r="AL190" s="9"/>
      <c r="AM190" s="6"/>
      <c r="AN190" s="6"/>
      <c r="AO190" s="6"/>
      <c r="AP190" s="36"/>
    </row>
    <row r="191" spans="1:42">
      <c r="A191" s="30">
        <v>176</v>
      </c>
      <c r="B191" s="130"/>
      <c r="C191" s="143" t="s">
        <v>1491</v>
      </c>
      <c r="D191" s="27"/>
      <c r="E191" s="27"/>
      <c r="F191" s="27"/>
      <c r="G191" s="27"/>
      <c r="H191" s="70" t="s">
        <v>1492</v>
      </c>
      <c r="I191" s="176" t="s">
        <v>1493</v>
      </c>
      <c r="J191" s="136"/>
      <c r="K191" s="117"/>
      <c r="L191" s="6"/>
      <c r="M191" s="6"/>
      <c r="N191" s="6"/>
      <c r="O191" s="44"/>
      <c r="P191" s="44"/>
      <c r="Q191" s="44"/>
      <c r="R191" s="53"/>
      <c r="S191" s="44"/>
      <c r="T191" s="44"/>
      <c r="U191" s="44"/>
      <c r="V191" s="53"/>
      <c r="W191" s="31"/>
      <c r="X191" s="9"/>
      <c r="Y191" s="11"/>
      <c r="Z191" s="11"/>
      <c r="AA191" s="63"/>
      <c r="AB191" s="63"/>
      <c r="AC191" s="63"/>
      <c r="AD191" s="36"/>
      <c r="AE191" s="31"/>
      <c r="AF191" s="9"/>
      <c r="AG191" s="6"/>
      <c r="AH191" s="6"/>
      <c r="AI191" s="6"/>
      <c r="AJ191" s="36"/>
      <c r="AK191" s="31"/>
      <c r="AL191" s="9"/>
      <c r="AM191" s="6"/>
      <c r="AN191" s="6"/>
      <c r="AO191" s="6"/>
      <c r="AP191" s="36"/>
    </row>
    <row r="192" spans="1:42">
      <c r="A192" s="30">
        <v>177</v>
      </c>
      <c r="B192" s="130"/>
      <c r="C192" s="143" t="s">
        <v>783</v>
      </c>
      <c r="D192" s="27"/>
      <c r="E192" s="27"/>
      <c r="F192" s="27"/>
      <c r="G192" s="27"/>
      <c r="H192" s="9" t="s">
        <v>784</v>
      </c>
      <c r="I192" s="182"/>
      <c r="J192" s="137"/>
      <c r="K192" s="117"/>
      <c r="L192" s="6"/>
      <c r="M192" s="6"/>
      <c r="N192" s="6"/>
      <c r="O192" s="44"/>
      <c r="P192" s="44"/>
      <c r="Q192" s="44"/>
      <c r="R192" s="53"/>
      <c r="S192" s="44"/>
      <c r="T192" s="44"/>
      <c r="U192" s="44"/>
      <c r="V192" s="53"/>
      <c r="W192" s="31"/>
      <c r="X192" s="9"/>
      <c r="Y192" s="11"/>
      <c r="Z192" s="11"/>
      <c r="AA192" s="63"/>
      <c r="AB192" s="63"/>
      <c r="AC192" s="63"/>
      <c r="AD192" s="36"/>
      <c r="AE192" s="31"/>
      <c r="AF192" s="9"/>
      <c r="AG192" s="6"/>
      <c r="AH192" s="6"/>
      <c r="AI192" s="6"/>
      <c r="AJ192" s="36"/>
      <c r="AK192" s="31"/>
      <c r="AL192" s="9"/>
      <c r="AM192" s="6"/>
      <c r="AN192" s="6"/>
      <c r="AO192" s="6"/>
      <c r="AP192" s="36"/>
    </row>
    <row r="193" spans="1:42" ht="27">
      <c r="A193" s="30">
        <v>178</v>
      </c>
      <c r="B193" s="130"/>
      <c r="C193" s="143" t="s">
        <v>2253</v>
      </c>
      <c r="D193" s="27"/>
      <c r="E193" s="27"/>
      <c r="F193" s="27"/>
      <c r="G193" s="27"/>
      <c r="H193" s="70" t="s">
        <v>736</v>
      </c>
      <c r="I193" s="176" t="s">
        <v>880</v>
      </c>
      <c r="J193" s="137"/>
      <c r="K193" s="117"/>
      <c r="L193" s="6">
        <v>23805</v>
      </c>
      <c r="M193" s="6">
        <v>1190.25</v>
      </c>
      <c r="N193" s="6">
        <v>24995.25</v>
      </c>
      <c r="O193" s="44">
        <f>E193</f>
        <v>0</v>
      </c>
      <c r="P193" s="44">
        <v>300</v>
      </c>
      <c r="Q193" s="44">
        <v>400</v>
      </c>
      <c r="R193" s="53" t="s">
        <v>68</v>
      </c>
      <c r="S193" s="44"/>
      <c r="T193" s="44"/>
      <c r="U193" s="44"/>
      <c r="V193" s="53"/>
      <c r="W193" s="74">
        <v>411752</v>
      </c>
      <c r="X193" s="9" t="str">
        <f>IFERROR(INDEX([1]Sheet1!$A$2:$X$1948,MATCH($W$2:$W$270,[1]Sheet1!$G$2:$G$1948,0),8),"")</f>
        <v>프레시웨이 돈등심(2.5*2.5*2.5cm 장조림용 5Kg/EA)</v>
      </c>
      <c r="Y193" s="11">
        <v>5000</v>
      </c>
      <c r="Z193" s="11"/>
      <c r="AA193" s="63">
        <v>60</v>
      </c>
      <c r="AB193" s="63" t="e">
        <f>P193*AD193</f>
        <v>#DIV/0!</v>
      </c>
      <c r="AC193" s="63" t="e">
        <f>Q193*AD193</f>
        <v>#DIV/0!</v>
      </c>
      <c r="AD193" s="36" t="e">
        <f>AA193/E193</f>
        <v>#DIV/0!</v>
      </c>
      <c r="AE193" s="31"/>
      <c r="AF193" s="9">
        <f>IFERROR(INDEX([1]Sheet1!$A$2:$X$1948,MATCH($AE$2:$AE$270,[1]Sheet1!$G$2:$G$1948,0),8),"")</f>
        <v>0</v>
      </c>
      <c r="AG193" s="6"/>
      <c r="AH193" s="6" t="e">
        <f>P193*AJ193</f>
        <v>#DIV/0!</v>
      </c>
      <c r="AI193" s="6" t="e">
        <f>Q193*AJ193</f>
        <v>#DIV/0!</v>
      </c>
      <c r="AJ193" s="36" t="e">
        <f>AG193/$E193</f>
        <v>#DIV/0!</v>
      </c>
      <c r="AK193" s="31"/>
      <c r="AL193" s="9">
        <f>IFERROR(INDEX([1]Sheet1!$A$2:$X$1948,MATCH($AK$2:$AK$270,[1]Sheet1!$G$2:$G$1948,0),8),"")</f>
        <v>0</v>
      </c>
      <c r="AM193" s="6"/>
      <c r="AN193" s="6" t="e">
        <f>P193*AP193</f>
        <v>#DIV/0!</v>
      </c>
      <c r="AO193" s="6" t="e">
        <f>Q193*AP193</f>
        <v>#DIV/0!</v>
      </c>
      <c r="AP193" s="36" t="e">
        <f>AM193/$E193</f>
        <v>#DIV/0!</v>
      </c>
    </row>
    <row r="194" spans="1:42">
      <c r="A194" s="30">
        <v>179</v>
      </c>
      <c r="B194" s="130"/>
      <c r="C194" s="143" t="s">
        <v>1479</v>
      </c>
      <c r="D194" s="27"/>
      <c r="E194" s="27"/>
      <c r="F194" s="27"/>
      <c r="G194" s="27"/>
      <c r="H194" s="70" t="s">
        <v>1480</v>
      </c>
      <c r="I194" s="176" t="s">
        <v>880</v>
      </c>
      <c r="J194" s="137"/>
      <c r="K194" s="117"/>
      <c r="L194" s="6"/>
      <c r="M194" s="6"/>
      <c r="N194" s="6"/>
      <c r="O194" s="44"/>
      <c r="P194" s="44"/>
      <c r="Q194" s="44"/>
      <c r="R194" s="53"/>
      <c r="S194" s="44"/>
      <c r="T194" s="44"/>
      <c r="U194" s="44"/>
      <c r="V194" s="53"/>
      <c r="W194" s="74"/>
      <c r="X194" s="9"/>
      <c r="Y194" s="11"/>
      <c r="Z194" s="11"/>
      <c r="AA194" s="63"/>
      <c r="AB194" s="63"/>
      <c r="AC194" s="63"/>
      <c r="AD194" s="36"/>
      <c r="AE194" s="31"/>
      <c r="AF194" s="9"/>
      <c r="AG194" s="6"/>
      <c r="AH194" s="6"/>
      <c r="AI194" s="6"/>
      <c r="AJ194" s="36"/>
      <c r="AK194" s="31"/>
      <c r="AL194" s="9"/>
      <c r="AM194" s="6"/>
      <c r="AN194" s="6"/>
      <c r="AO194" s="6"/>
      <c r="AP194" s="36"/>
    </row>
    <row r="195" spans="1:42" ht="27">
      <c r="A195" s="30">
        <v>180</v>
      </c>
      <c r="B195" s="130"/>
      <c r="C195" s="143" t="s">
        <v>2136</v>
      </c>
      <c r="D195" s="27"/>
      <c r="E195" s="27"/>
      <c r="F195" s="27"/>
      <c r="G195" s="27"/>
      <c r="H195" s="70" t="s">
        <v>2138</v>
      </c>
      <c r="I195" s="176" t="s">
        <v>851</v>
      </c>
      <c r="J195" s="137" t="s">
        <v>2139</v>
      </c>
      <c r="K195" s="117"/>
      <c r="L195" s="6"/>
      <c r="M195" s="6"/>
      <c r="N195" s="6"/>
      <c r="O195" s="44"/>
      <c r="P195" s="44"/>
      <c r="Q195" s="44"/>
      <c r="R195" s="53"/>
      <c r="S195" s="44"/>
      <c r="T195" s="44"/>
      <c r="U195" s="44"/>
      <c r="V195" s="53"/>
      <c r="W195" s="74"/>
      <c r="X195" s="9"/>
      <c r="Y195" s="11"/>
      <c r="Z195" s="11"/>
      <c r="AA195" s="63"/>
      <c r="AB195" s="63"/>
      <c r="AC195" s="63"/>
      <c r="AD195" s="36"/>
      <c r="AE195" s="31"/>
      <c r="AF195" s="9"/>
      <c r="AG195" s="6"/>
      <c r="AH195" s="6"/>
      <c r="AI195" s="6"/>
      <c r="AJ195" s="36"/>
      <c r="AK195" s="31"/>
      <c r="AL195" s="9"/>
      <c r="AM195" s="6"/>
      <c r="AN195" s="6"/>
      <c r="AO195" s="6"/>
      <c r="AP195" s="36"/>
    </row>
    <row r="196" spans="1:42" ht="27">
      <c r="A196" s="30">
        <v>181</v>
      </c>
      <c r="B196" s="130"/>
      <c r="C196" s="143" t="s">
        <v>2135</v>
      </c>
      <c r="D196" s="27"/>
      <c r="E196" s="27"/>
      <c r="F196" s="27"/>
      <c r="G196" s="27"/>
      <c r="H196" s="70" t="s">
        <v>2137</v>
      </c>
      <c r="I196" s="176" t="s">
        <v>880</v>
      </c>
      <c r="J196" s="137"/>
      <c r="K196" s="117"/>
      <c r="L196" s="6"/>
      <c r="M196" s="6"/>
      <c r="N196" s="6"/>
      <c r="O196" s="44"/>
      <c r="P196" s="44"/>
      <c r="Q196" s="44"/>
      <c r="R196" s="53"/>
      <c r="S196" s="44"/>
      <c r="T196" s="44"/>
      <c r="U196" s="44"/>
      <c r="V196" s="53"/>
      <c r="W196" s="74"/>
      <c r="X196" s="9"/>
      <c r="Y196" s="11"/>
      <c r="Z196" s="11"/>
      <c r="AA196" s="63"/>
      <c r="AB196" s="63"/>
      <c r="AC196" s="63"/>
      <c r="AD196" s="36"/>
      <c r="AE196" s="31"/>
      <c r="AF196" s="9"/>
      <c r="AG196" s="6"/>
      <c r="AH196" s="6"/>
      <c r="AI196" s="6"/>
      <c r="AJ196" s="36"/>
      <c r="AK196" s="31"/>
      <c r="AL196" s="9"/>
      <c r="AM196" s="6"/>
      <c r="AN196" s="6"/>
      <c r="AO196" s="6"/>
      <c r="AP196" s="36"/>
    </row>
    <row r="197" spans="1:42">
      <c r="A197" s="30">
        <v>182</v>
      </c>
      <c r="B197" s="130"/>
      <c r="C197" s="143" t="s">
        <v>1996</v>
      </c>
      <c r="D197" s="27"/>
      <c r="E197" s="27"/>
      <c r="F197" s="27"/>
      <c r="G197" s="27"/>
      <c r="H197" s="70" t="s">
        <v>1396</v>
      </c>
      <c r="I197" s="176" t="s">
        <v>1035</v>
      </c>
      <c r="J197" s="137"/>
      <c r="K197" s="117"/>
      <c r="L197" s="6"/>
      <c r="M197" s="6"/>
      <c r="N197" s="6"/>
      <c r="O197" s="44"/>
      <c r="P197" s="44"/>
      <c r="Q197" s="44"/>
      <c r="R197" s="53"/>
      <c r="S197" s="44"/>
      <c r="T197" s="44"/>
      <c r="U197" s="44"/>
      <c r="V197" s="53"/>
      <c r="W197" s="74"/>
      <c r="X197" s="9"/>
      <c r="Y197" s="11"/>
      <c r="Z197" s="11"/>
      <c r="AA197" s="63"/>
      <c r="AB197" s="63"/>
      <c r="AC197" s="63"/>
      <c r="AD197" s="36"/>
      <c r="AE197" s="31"/>
      <c r="AF197" s="9"/>
      <c r="AG197" s="6"/>
      <c r="AH197" s="6"/>
      <c r="AI197" s="6"/>
      <c r="AJ197" s="36"/>
      <c r="AK197" s="31"/>
      <c r="AL197" s="9"/>
      <c r="AM197" s="6"/>
      <c r="AN197" s="6"/>
      <c r="AO197" s="6"/>
      <c r="AP197" s="36"/>
    </row>
    <row r="198" spans="1:42">
      <c r="A198" s="30">
        <v>183</v>
      </c>
      <c r="B198" s="130"/>
      <c r="C198" s="143" t="s">
        <v>1833</v>
      </c>
      <c r="D198" s="27"/>
      <c r="E198" s="27"/>
      <c r="F198" s="27"/>
      <c r="G198" s="27"/>
      <c r="H198" s="70" t="s">
        <v>1656</v>
      </c>
      <c r="I198" s="176" t="s">
        <v>898</v>
      </c>
      <c r="J198" s="139" t="s">
        <v>591</v>
      </c>
      <c r="K198" s="117"/>
      <c r="L198" s="6"/>
      <c r="M198" s="6"/>
      <c r="N198" s="6"/>
      <c r="O198" s="44"/>
      <c r="P198" s="44"/>
      <c r="Q198" s="44"/>
      <c r="R198" s="53"/>
      <c r="S198" s="44"/>
      <c r="T198" s="44"/>
      <c r="U198" s="44"/>
      <c r="V198" s="53"/>
      <c r="W198" s="74"/>
      <c r="X198" s="9"/>
      <c r="Y198" s="11"/>
      <c r="Z198" s="11"/>
      <c r="AA198" s="63"/>
      <c r="AB198" s="63"/>
      <c r="AC198" s="63"/>
      <c r="AD198" s="36"/>
      <c r="AE198" s="31"/>
      <c r="AF198" s="9"/>
      <c r="AG198" s="6"/>
      <c r="AH198" s="6"/>
      <c r="AI198" s="6"/>
      <c r="AJ198" s="36"/>
      <c r="AK198" s="31"/>
      <c r="AL198" s="9"/>
      <c r="AM198" s="6"/>
      <c r="AN198" s="6"/>
      <c r="AO198" s="6"/>
      <c r="AP198" s="36"/>
    </row>
    <row r="199" spans="1:42" ht="15" customHeight="1">
      <c r="A199" s="30">
        <v>184</v>
      </c>
      <c r="B199" s="130"/>
      <c r="C199" s="143" t="s">
        <v>694</v>
      </c>
      <c r="D199" s="27"/>
      <c r="E199" s="27"/>
      <c r="F199" s="27"/>
      <c r="G199" s="27"/>
      <c r="H199" s="70" t="s">
        <v>1917</v>
      </c>
      <c r="I199" s="176" t="s">
        <v>1918</v>
      </c>
      <c r="J199" s="139"/>
      <c r="K199" s="29"/>
      <c r="L199" s="11">
        <v>18810</v>
      </c>
      <c r="M199" s="11">
        <v>940.5</v>
      </c>
      <c r="N199" s="9"/>
      <c r="O199" s="44">
        <f>E199</f>
        <v>0</v>
      </c>
      <c r="P199" s="44">
        <v>170</v>
      </c>
      <c r="Q199" s="44">
        <v>260</v>
      </c>
      <c r="R199" s="53" t="s">
        <v>68</v>
      </c>
      <c r="S199" s="44"/>
      <c r="T199" s="46"/>
      <c r="U199" s="46"/>
      <c r="V199" s="53"/>
      <c r="W199" s="31">
        <v>408460</v>
      </c>
      <c r="X199" s="70" t="s">
        <v>731</v>
      </c>
      <c r="Y199" s="11">
        <v>1000</v>
      </c>
      <c r="Z199" s="11"/>
      <c r="AA199" s="63">
        <v>60</v>
      </c>
      <c r="AB199" s="63" t="e">
        <f>P199*AD199</f>
        <v>#DIV/0!</v>
      </c>
      <c r="AC199" s="63" t="e">
        <f>Q199*AD199</f>
        <v>#DIV/0!</v>
      </c>
      <c r="AD199" s="36" t="e">
        <f>AA199/E199</f>
        <v>#DIV/0!</v>
      </c>
      <c r="AE199" s="31"/>
      <c r="AF199" s="9"/>
      <c r="AG199" s="6"/>
      <c r="AH199" s="6" t="e">
        <f>P199*AJ199</f>
        <v>#DIV/0!</v>
      </c>
      <c r="AI199" s="6" t="e">
        <f>Q199*AJ199</f>
        <v>#DIV/0!</v>
      </c>
      <c r="AJ199" s="36" t="e">
        <f>AG199/$E199</f>
        <v>#DIV/0!</v>
      </c>
      <c r="AK199" s="31"/>
      <c r="AL199" s="9">
        <f>IFERROR(INDEX([1]Sheet1!$A$2:$X$1948,MATCH($AK$2:$AK$270,[1]Sheet1!$G$2:$G$1948,0),8),"")</f>
        <v>0</v>
      </c>
      <c r="AM199" s="6"/>
      <c r="AN199" s="6" t="e">
        <f>P199*AP199</f>
        <v>#DIV/0!</v>
      </c>
      <c r="AO199" s="6" t="e">
        <f>Q199*AP199</f>
        <v>#DIV/0!</v>
      </c>
      <c r="AP199" s="36" t="e">
        <f>AM199/$E199</f>
        <v>#DIV/0!</v>
      </c>
    </row>
    <row r="200" spans="1:42" ht="15" customHeight="1">
      <c r="A200" s="30">
        <v>185</v>
      </c>
      <c r="B200" s="130"/>
      <c r="C200" s="143" t="s">
        <v>1395</v>
      </c>
      <c r="D200" s="27"/>
      <c r="E200" s="27"/>
      <c r="F200" s="27"/>
      <c r="G200" s="27"/>
      <c r="H200" s="70" t="s">
        <v>1397</v>
      </c>
      <c r="I200" s="176" t="s">
        <v>876</v>
      </c>
      <c r="J200" s="139" t="s">
        <v>1453</v>
      </c>
      <c r="K200" s="29"/>
      <c r="L200" s="11"/>
      <c r="M200" s="11"/>
      <c r="N200" s="9"/>
      <c r="O200" s="44"/>
      <c r="P200" s="44"/>
      <c r="Q200" s="44"/>
      <c r="R200" s="53"/>
      <c r="S200" s="44"/>
      <c r="T200" s="46"/>
      <c r="U200" s="46"/>
      <c r="V200" s="53"/>
      <c r="W200" s="31"/>
      <c r="X200" s="70"/>
      <c r="Y200" s="11"/>
      <c r="Z200" s="11"/>
      <c r="AA200" s="63"/>
      <c r="AB200" s="63"/>
      <c r="AC200" s="63"/>
      <c r="AD200" s="36"/>
      <c r="AE200" s="31"/>
      <c r="AF200" s="9"/>
      <c r="AG200" s="6"/>
      <c r="AH200" s="6"/>
      <c r="AI200" s="6"/>
      <c r="AJ200" s="36"/>
      <c r="AK200" s="31"/>
      <c r="AL200" s="9"/>
      <c r="AM200" s="6"/>
      <c r="AN200" s="6"/>
      <c r="AO200" s="6"/>
      <c r="AP200" s="36"/>
    </row>
    <row r="201" spans="1:42" ht="27">
      <c r="A201" s="30">
        <v>186</v>
      </c>
      <c r="B201" s="130"/>
      <c r="C201" s="143" t="s">
        <v>1451</v>
      </c>
      <c r="D201" s="27"/>
      <c r="E201" s="27"/>
      <c r="F201" s="27"/>
      <c r="G201" s="27"/>
      <c r="H201" s="132" t="s">
        <v>1452</v>
      </c>
      <c r="I201" s="180" t="s">
        <v>1115</v>
      </c>
      <c r="J201" s="139" t="s">
        <v>1453</v>
      </c>
      <c r="K201" s="29"/>
      <c r="L201" s="11"/>
      <c r="M201" s="11"/>
      <c r="N201" s="11"/>
      <c r="O201" s="44"/>
      <c r="P201" s="44"/>
      <c r="Q201" s="44"/>
      <c r="R201" s="53"/>
      <c r="S201" s="44"/>
      <c r="T201" s="46"/>
      <c r="U201" s="46"/>
      <c r="V201" s="53"/>
      <c r="W201" s="74"/>
      <c r="X201" s="9"/>
      <c r="Y201" s="11"/>
      <c r="Z201" s="11"/>
      <c r="AA201" s="63"/>
      <c r="AB201" s="63"/>
      <c r="AC201" s="63"/>
      <c r="AD201" s="36"/>
      <c r="AE201" s="31"/>
      <c r="AF201" s="9"/>
      <c r="AG201" s="6"/>
      <c r="AH201" s="6"/>
      <c r="AI201" s="6"/>
      <c r="AJ201" s="36"/>
      <c r="AK201" s="31"/>
      <c r="AL201" s="9"/>
      <c r="AM201" s="6"/>
      <c r="AN201" s="6"/>
      <c r="AO201" s="6"/>
      <c r="AP201" s="36"/>
    </row>
    <row r="202" spans="1:42" ht="15" customHeight="1">
      <c r="A202" s="30">
        <v>187</v>
      </c>
      <c r="B202" s="130"/>
      <c r="C202" s="143" t="s">
        <v>345</v>
      </c>
      <c r="D202" s="27"/>
      <c r="E202" s="27"/>
      <c r="F202" s="27"/>
      <c r="G202" s="27"/>
      <c r="H202" s="70" t="s">
        <v>722</v>
      </c>
      <c r="I202" s="176" t="s">
        <v>869</v>
      </c>
      <c r="J202" s="136" t="s">
        <v>231</v>
      </c>
      <c r="K202" s="29"/>
      <c r="L202" s="11"/>
      <c r="M202" s="11"/>
      <c r="N202" s="9"/>
      <c r="O202" s="44"/>
      <c r="P202" s="44"/>
      <c r="Q202" s="44"/>
      <c r="R202" s="53"/>
      <c r="S202" s="44"/>
      <c r="T202" s="46"/>
      <c r="U202" s="46"/>
      <c r="V202" s="53"/>
      <c r="W202" s="31"/>
      <c r="X202" s="70"/>
      <c r="Y202" s="11"/>
      <c r="Z202" s="11"/>
      <c r="AA202" s="63"/>
      <c r="AB202" s="63"/>
      <c r="AC202" s="63"/>
      <c r="AD202" s="36"/>
      <c r="AE202" s="31"/>
      <c r="AF202" s="9"/>
      <c r="AG202" s="6"/>
      <c r="AH202" s="6"/>
      <c r="AI202" s="6"/>
      <c r="AJ202" s="36"/>
      <c r="AK202" s="31"/>
      <c r="AL202" s="9"/>
      <c r="AM202" s="6"/>
      <c r="AN202" s="6"/>
      <c r="AO202" s="6"/>
      <c r="AP202" s="36"/>
    </row>
    <row r="203" spans="1:42">
      <c r="A203" s="30">
        <v>188</v>
      </c>
      <c r="B203" s="130"/>
      <c r="C203" s="143" t="s">
        <v>1966</v>
      </c>
      <c r="D203" s="27"/>
      <c r="E203" s="27"/>
      <c r="F203" s="27"/>
      <c r="G203" s="27"/>
      <c r="H203" s="106" t="s">
        <v>622</v>
      </c>
      <c r="I203" s="183" t="s">
        <v>870</v>
      </c>
      <c r="J203" s="137" t="s">
        <v>621</v>
      </c>
      <c r="K203" s="117"/>
      <c r="L203" s="6">
        <v>600</v>
      </c>
      <c r="M203" s="6">
        <v>30</v>
      </c>
      <c r="N203" s="6">
        <v>630</v>
      </c>
      <c r="O203" s="44">
        <f>E203</f>
        <v>0</v>
      </c>
      <c r="P203" s="44">
        <v>2</v>
      </c>
      <c r="Q203" s="44">
        <v>2.5</v>
      </c>
      <c r="R203" s="53" t="s">
        <v>68</v>
      </c>
      <c r="S203" s="48">
        <v>0.5</v>
      </c>
      <c r="T203" s="48">
        <v>2</v>
      </c>
      <c r="U203" s="48">
        <v>2.5</v>
      </c>
      <c r="V203" s="53" t="s">
        <v>70</v>
      </c>
      <c r="W203" s="31">
        <v>173374</v>
      </c>
      <c r="X203" s="9" t="str">
        <f>IFERROR(INDEX([1]Sheet1!$A$2:$X$1948,MATCH($W$2:$W$270,[1]Sheet1!$G$2:$G$1948,0),8),"")</f>
        <v>쉐프솔루션 진짜통등심돈까스(130g*20입 2.6Kg/EA)</v>
      </c>
      <c r="Y203" s="11">
        <v>2600</v>
      </c>
      <c r="Z203" s="11">
        <v>20</v>
      </c>
      <c r="AA203" s="66">
        <v>0.5</v>
      </c>
      <c r="AB203" s="66">
        <v>2.5</v>
      </c>
      <c r="AC203" s="66">
        <v>3</v>
      </c>
      <c r="AD203" s="36"/>
      <c r="AE203" s="31"/>
      <c r="AF203" s="9">
        <f>IFERROR(INDEX([1]Sheet1!$A$2:$X$1948,MATCH($AE$2:$AE$270,[1]Sheet1!$G$2:$G$1948,0),8),"")</f>
        <v>0</v>
      </c>
      <c r="AG203" s="6"/>
      <c r="AH203" s="6" t="e">
        <f>P203*AJ203</f>
        <v>#DIV/0!</v>
      </c>
      <c r="AI203" s="6" t="e">
        <f>Q203*AJ203</f>
        <v>#DIV/0!</v>
      </c>
      <c r="AJ203" s="36" t="e">
        <f>AG203/$E203</f>
        <v>#DIV/0!</v>
      </c>
      <c r="AK203" s="31"/>
      <c r="AL203" s="9">
        <f>IFERROR(INDEX([1]Sheet1!$A$2:$X$1948,MATCH($AK$2:$AK$270,[1]Sheet1!$G$2:$G$1948,0),8),"")</f>
        <v>0</v>
      </c>
      <c r="AM203" s="6"/>
      <c r="AN203" s="6" t="e">
        <f>P203*AP203</f>
        <v>#DIV/0!</v>
      </c>
      <c r="AO203" s="6" t="e">
        <f>Q203*AP203</f>
        <v>#DIV/0!</v>
      </c>
      <c r="AP203" s="36" t="e">
        <f>AM203/$E203</f>
        <v>#DIV/0!</v>
      </c>
    </row>
    <row r="204" spans="1:42">
      <c r="A204" s="30">
        <v>189</v>
      </c>
      <c r="B204" s="130"/>
      <c r="C204" s="143" t="s">
        <v>547</v>
      </c>
      <c r="D204" s="27"/>
      <c r="E204" s="27"/>
      <c r="F204" s="27"/>
      <c r="G204" s="27"/>
      <c r="H204" s="70" t="s">
        <v>1454</v>
      </c>
      <c r="I204" s="176"/>
      <c r="J204" s="136"/>
      <c r="K204" s="29"/>
      <c r="L204" s="11"/>
      <c r="M204" s="11"/>
      <c r="N204" s="11"/>
      <c r="O204" s="44"/>
      <c r="P204" s="44"/>
      <c r="Q204" s="44"/>
      <c r="R204" s="53"/>
      <c r="S204" s="44"/>
      <c r="T204" s="46"/>
      <c r="U204" s="46"/>
      <c r="V204" s="53"/>
      <c r="W204" s="74"/>
      <c r="X204" s="9"/>
      <c r="Y204" s="11"/>
      <c r="Z204" s="11"/>
      <c r="AA204" s="63"/>
      <c r="AB204" s="63"/>
      <c r="AC204" s="63"/>
      <c r="AD204" s="36"/>
      <c r="AE204" s="31"/>
      <c r="AF204" s="9"/>
      <c r="AG204" s="6"/>
      <c r="AH204" s="6"/>
      <c r="AI204" s="6"/>
      <c r="AJ204" s="36"/>
      <c r="AK204" s="31"/>
      <c r="AL204" s="9"/>
      <c r="AM204" s="6"/>
      <c r="AN204" s="6"/>
      <c r="AO204" s="6"/>
      <c r="AP204" s="36"/>
    </row>
    <row r="205" spans="1:42">
      <c r="A205" s="30">
        <v>192</v>
      </c>
      <c r="B205" s="130"/>
      <c r="C205" s="143" t="s">
        <v>538</v>
      </c>
      <c r="D205" s="27"/>
      <c r="E205" s="27"/>
      <c r="F205" s="27"/>
      <c r="G205" s="27"/>
      <c r="H205" s="70" t="s">
        <v>737</v>
      </c>
      <c r="I205" s="176" t="s">
        <v>841</v>
      </c>
      <c r="J205" s="137"/>
      <c r="K205" s="29"/>
      <c r="L205" s="11"/>
      <c r="M205" s="11"/>
      <c r="N205" s="11"/>
      <c r="O205" s="44">
        <f>E205</f>
        <v>0</v>
      </c>
      <c r="P205" s="44"/>
      <c r="Q205" s="44"/>
      <c r="R205" s="53"/>
      <c r="S205" s="45"/>
      <c r="T205" s="45"/>
      <c r="U205" s="45"/>
      <c r="V205" s="53"/>
      <c r="W205" s="31"/>
      <c r="X205" s="9"/>
      <c r="Y205" s="11"/>
      <c r="Z205" s="11"/>
      <c r="AA205" s="63"/>
      <c r="AB205" s="63"/>
      <c r="AC205" s="63"/>
      <c r="AD205" s="36"/>
      <c r="AE205" s="31"/>
      <c r="AF205" s="9"/>
      <c r="AG205" s="6"/>
      <c r="AH205" s="6"/>
      <c r="AI205" s="6"/>
      <c r="AJ205" s="36" t="e">
        <f>AG205/$E205</f>
        <v>#DIV/0!</v>
      </c>
      <c r="AK205" s="31"/>
      <c r="AL205" s="9"/>
      <c r="AM205" s="6"/>
      <c r="AN205" s="6"/>
      <c r="AO205" s="6"/>
      <c r="AP205" s="36" t="e">
        <f>AM205/$E205</f>
        <v>#DIV/0!</v>
      </c>
    </row>
    <row r="206" spans="1:42">
      <c r="A206" s="30"/>
      <c r="B206" s="130"/>
      <c r="C206" s="143" t="s">
        <v>1674</v>
      </c>
      <c r="D206" s="27"/>
      <c r="E206" s="27"/>
      <c r="F206" s="27"/>
      <c r="G206" s="27"/>
      <c r="H206" s="70" t="s">
        <v>1678</v>
      </c>
      <c r="I206" s="176" t="s">
        <v>1679</v>
      </c>
      <c r="J206" s="137"/>
      <c r="K206" s="29"/>
      <c r="L206" s="11"/>
      <c r="M206" s="11"/>
      <c r="N206" s="11"/>
      <c r="O206" s="44"/>
      <c r="P206" s="44"/>
      <c r="Q206" s="44"/>
      <c r="R206" s="53"/>
      <c r="S206" s="45"/>
      <c r="T206" s="45"/>
      <c r="U206" s="45"/>
      <c r="V206" s="53"/>
      <c r="W206" s="31"/>
      <c r="X206" s="9"/>
      <c r="Y206" s="11"/>
      <c r="Z206" s="11"/>
      <c r="AA206" s="63"/>
      <c r="AB206" s="63"/>
      <c r="AC206" s="63"/>
      <c r="AD206" s="36"/>
      <c r="AE206" s="31"/>
      <c r="AF206" s="9"/>
      <c r="AG206" s="6"/>
      <c r="AH206" s="6"/>
      <c r="AI206" s="6"/>
      <c r="AJ206" s="36"/>
      <c r="AK206" s="31"/>
      <c r="AL206" s="9"/>
      <c r="AM206" s="6"/>
      <c r="AN206" s="6"/>
      <c r="AO206" s="6"/>
      <c r="AP206" s="36"/>
    </row>
    <row r="207" spans="1:42">
      <c r="A207" s="30">
        <v>193</v>
      </c>
      <c r="B207" s="130"/>
      <c r="C207" s="143" t="s">
        <v>601</v>
      </c>
      <c r="D207" s="27"/>
      <c r="E207" s="27"/>
      <c r="F207" s="27"/>
      <c r="G207" s="27"/>
      <c r="H207" s="132" t="s">
        <v>2223</v>
      </c>
      <c r="I207" s="178" t="s">
        <v>841</v>
      </c>
      <c r="J207" s="137"/>
      <c r="K207" s="29"/>
      <c r="L207" s="11"/>
      <c r="M207" s="11"/>
      <c r="N207" s="11"/>
      <c r="O207" s="44">
        <f>E207</f>
        <v>0</v>
      </c>
      <c r="P207" s="44"/>
      <c r="Q207" s="44"/>
      <c r="R207" s="53"/>
      <c r="S207" s="47"/>
      <c r="T207" s="47"/>
      <c r="U207" s="47"/>
      <c r="V207" s="53"/>
      <c r="W207" s="31"/>
      <c r="X207" s="9"/>
      <c r="Y207" s="11"/>
      <c r="Z207" s="11"/>
      <c r="AA207" s="67"/>
      <c r="AB207" s="67"/>
      <c r="AC207" s="67"/>
      <c r="AD207" s="36"/>
      <c r="AE207" s="31"/>
      <c r="AF207" s="9"/>
      <c r="AG207" s="6"/>
      <c r="AH207" s="6"/>
      <c r="AI207" s="6"/>
      <c r="AJ207" s="36" t="e">
        <f>AG207/$E207</f>
        <v>#DIV/0!</v>
      </c>
      <c r="AK207" s="31"/>
      <c r="AL207" s="9"/>
      <c r="AM207" s="6"/>
      <c r="AN207" s="6"/>
      <c r="AO207" s="6"/>
      <c r="AP207" s="36" t="e">
        <f>AM207/$E207</f>
        <v>#DIV/0!</v>
      </c>
    </row>
    <row r="208" spans="1:42">
      <c r="A208" s="30">
        <v>194</v>
      </c>
      <c r="B208" s="130"/>
      <c r="C208" s="159" t="s">
        <v>950</v>
      </c>
      <c r="D208" s="27"/>
      <c r="E208" s="27"/>
      <c r="F208" s="27"/>
      <c r="G208" s="27"/>
      <c r="H208" s="70" t="s">
        <v>1363</v>
      </c>
      <c r="I208" s="176" t="s">
        <v>1055</v>
      </c>
      <c r="J208" s="137" t="s">
        <v>1080</v>
      </c>
      <c r="K208" s="29"/>
      <c r="L208" s="11"/>
      <c r="M208" s="11"/>
      <c r="N208" s="11"/>
      <c r="O208" s="44"/>
      <c r="P208" s="44"/>
      <c r="Q208" s="44"/>
      <c r="R208" s="53"/>
      <c r="S208" s="44"/>
      <c r="T208" s="46"/>
      <c r="U208" s="46"/>
      <c r="V208" s="53"/>
      <c r="W208" s="74"/>
      <c r="X208" s="9"/>
      <c r="Y208" s="11"/>
      <c r="Z208" s="11"/>
      <c r="AA208" s="63"/>
      <c r="AB208" s="63"/>
      <c r="AC208" s="63"/>
      <c r="AD208" s="36"/>
      <c r="AE208" s="31"/>
      <c r="AF208" s="9"/>
      <c r="AG208" s="6"/>
      <c r="AH208" s="6"/>
      <c r="AI208" s="6"/>
      <c r="AJ208" s="36"/>
      <c r="AK208" s="31"/>
      <c r="AL208" s="9"/>
      <c r="AM208" s="6"/>
      <c r="AN208" s="6"/>
      <c r="AO208" s="6"/>
      <c r="AP208" s="36"/>
    </row>
    <row r="209" spans="1:42">
      <c r="A209" s="30">
        <v>195</v>
      </c>
      <c r="B209" s="130"/>
      <c r="C209" s="143" t="s">
        <v>1219</v>
      </c>
      <c r="D209" s="27"/>
      <c r="E209" s="27"/>
      <c r="F209" s="27"/>
      <c r="G209" s="27"/>
      <c r="H209" s="132" t="s">
        <v>1220</v>
      </c>
      <c r="I209" s="180" t="s">
        <v>1221</v>
      </c>
      <c r="J209" s="137"/>
      <c r="K209" s="29"/>
      <c r="L209" s="11"/>
      <c r="M209" s="11"/>
      <c r="N209" s="11"/>
      <c r="O209" s="44"/>
      <c r="P209" s="44"/>
      <c r="Q209" s="44"/>
      <c r="R209" s="53"/>
      <c r="S209" s="44"/>
      <c r="T209" s="46"/>
      <c r="U209" s="46"/>
      <c r="V209" s="53"/>
      <c r="W209" s="74"/>
      <c r="X209" s="9"/>
      <c r="Y209" s="11"/>
      <c r="Z209" s="11"/>
      <c r="AA209" s="63"/>
      <c r="AB209" s="63"/>
      <c r="AC209" s="63"/>
      <c r="AD209" s="36"/>
      <c r="AE209" s="31"/>
      <c r="AF209" s="9"/>
      <c r="AG209" s="6"/>
      <c r="AH209" s="6"/>
      <c r="AI209" s="6"/>
      <c r="AJ209" s="36"/>
      <c r="AK209" s="31"/>
      <c r="AL209" s="9"/>
      <c r="AM209" s="6"/>
      <c r="AN209" s="6"/>
      <c r="AO209" s="6"/>
      <c r="AP209" s="36"/>
    </row>
    <row r="210" spans="1:42">
      <c r="A210" s="30">
        <v>196</v>
      </c>
      <c r="B210" s="130"/>
      <c r="C210" s="161" t="s">
        <v>1647</v>
      </c>
      <c r="D210" s="27"/>
      <c r="E210" s="27"/>
      <c r="F210" s="27"/>
      <c r="G210" s="27"/>
      <c r="H210" s="132" t="s">
        <v>1379</v>
      </c>
      <c r="I210" s="180" t="s">
        <v>1380</v>
      </c>
      <c r="J210" s="137"/>
      <c r="K210" s="29"/>
      <c r="L210" s="11"/>
      <c r="M210" s="11"/>
      <c r="N210" s="11"/>
      <c r="O210" s="44"/>
      <c r="P210" s="44"/>
      <c r="Q210" s="44"/>
      <c r="R210" s="53"/>
      <c r="S210" s="44"/>
      <c r="T210" s="46"/>
      <c r="U210" s="46"/>
      <c r="V210" s="53"/>
      <c r="W210" s="74"/>
      <c r="X210" s="9"/>
      <c r="Y210" s="11"/>
      <c r="Z210" s="11"/>
      <c r="AA210" s="63"/>
      <c r="AB210" s="63"/>
      <c r="AC210" s="63"/>
      <c r="AD210" s="36"/>
      <c r="AE210" s="31"/>
      <c r="AF210" s="9"/>
      <c r="AG210" s="6"/>
      <c r="AH210" s="6"/>
      <c r="AI210" s="6"/>
      <c r="AJ210" s="36"/>
      <c r="AK210" s="31"/>
      <c r="AL210" s="9"/>
      <c r="AM210" s="6"/>
      <c r="AN210" s="6"/>
      <c r="AO210" s="6"/>
      <c r="AP210" s="36"/>
    </row>
    <row r="211" spans="1:42">
      <c r="A211" s="30">
        <v>197</v>
      </c>
      <c r="B211" s="130"/>
      <c r="C211" s="143" t="s">
        <v>1476</v>
      </c>
      <c r="D211" s="27"/>
      <c r="E211" s="27"/>
      <c r="F211" s="27"/>
      <c r="G211" s="27"/>
      <c r="H211" s="132" t="s">
        <v>1477</v>
      </c>
      <c r="I211" s="180" t="s">
        <v>1478</v>
      </c>
      <c r="J211" s="137"/>
      <c r="K211" s="29"/>
      <c r="L211" s="11"/>
      <c r="M211" s="11"/>
      <c r="N211" s="11"/>
      <c r="O211" s="44"/>
      <c r="P211" s="44"/>
      <c r="Q211" s="44"/>
      <c r="R211" s="53"/>
      <c r="S211" s="44"/>
      <c r="T211" s="46"/>
      <c r="U211" s="46"/>
      <c r="V211" s="53"/>
      <c r="W211" s="74"/>
      <c r="X211" s="9"/>
      <c r="Y211" s="11"/>
      <c r="Z211" s="11"/>
      <c r="AA211" s="63"/>
      <c r="AB211" s="63"/>
      <c r="AC211" s="63"/>
      <c r="AD211" s="36"/>
      <c r="AE211" s="31"/>
      <c r="AF211" s="9"/>
      <c r="AG211" s="6"/>
      <c r="AH211" s="6"/>
      <c r="AI211" s="6"/>
      <c r="AJ211" s="36"/>
      <c r="AK211" s="31"/>
      <c r="AL211" s="9"/>
      <c r="AM211" s="6"/>
      <c r="AN211" s="6"/>
      <c r="AO211" s="6"/>
      <c r="AP211" s="36"/>
    </row>
    <row r="212" spans="1:42">
      <c r="A212" s="30">
        <v>198</v>
      </c>
      <c r="B212" s="130"/>
      <c r="C212" s="143" t="s">
        <v>994</v>
      </c>
      <c r="D212" s="27"/>
      <c r="E212" s="27"/>
      <c r="F212" s="27"/>
      <c r="G212" s="27"/>
      <c r="H212" s="132" t="s">
        <v>995</v>
      </c>
      <c r="I212" s="180" t="s">
        <v>923</v>
      </c>
      <c r="J212" s="137"/>
      <c r="K212" s="29"/>
      <c r="L212" s="11"/>
      <c r="M212" s="11"/>
      <c r="N212" s="11"/>
      <c r="O212" s="44"/>
      <c r="P212" s="44"/>
      <c r="Q212" s="44"/>
      <c r="R212" s="53"/>
      <c r="S212" s="44"/>
      <c r="T212" s="46"/>
      <c r="U212" s="46"/>
      <c r="V212" s="53"/>
      <c r="W212" s="74"/>
      <c r="X212" s="9"/>
      <c r="Y212" s="11"/>
      <c r="Z212" s="11"/>
      <c r="AA212" s="63"/>
      <c r="AB212" s="63"/>
      <c r="AC212" s="63"/>
      <c r="AD212" s="36"/>
      <c r="AE212" s="31"/>
      <c r="AF212" s="9"/>
      <c r="AG212" s="6"/>
      <c r="AH212" s="6"/>
      <c r="AI212" s="6"/>
      <c r="AJ212" s="36"/>
      <c r="AK212" s="31"/>
      <c r="AL212" s="9"/>
      <c r="AM212" s="6"/>
      <c r="AN212" s="6"/>
      <c r="AO212" s="6"/>
      <c r="AP212" s="36"/>
    </row>
    <row r="213" spans="1:42">
      <c r="A213" s="30">
        <v>199</v>
      </c>
      <c r="B213" s="130"/>
      <c r="C213" s="237" t="s">
        <v>1402</v>
      </c>
      <c r="D213" s="27"/>
      <c r="E213" s="27"/>
      <c r="F213" s="27"/>
      <c r="G213" s="27"/>
      <c r="H213" s="70" t="s">
        <v>1902</v>
      </c>
      <c r="I213" s="180" t="s">
        <v>1404</v>
      </c>
      <c r="J213" s="137" t="s">
        <v>1403</v>
      </c>
      <c r="K213" s="29"/>
      <c r="L213" s="11"/>
      <c r="M213" s="11"/>
      <c r="N213" s="11"/>
      <c r="O213" s="44"/>
      <c r="P213" s="44"/>
      <c r="Q213" s="44"/>
      <c r="R213" s="53"/>
      <c r="S213" s="44"/>
      <c r="T213" s="46"/>
      <c r="U213" s="46"/>
      <c r="V213" s="53"/>
      <c r="W213" s="74"/>
      <c r="X213" s="9"/>
      <c r="Y213" s="11"/>
      <c r="Z213" s="11"/>
      <c r="AA213" s="63"/>
      <c r="AB213" s="63"/>
      <c r="AC213" s="63"/>
      <c r="AD213" s="36"/>
      <c r="AE213" s="31"/>
      <c r="AF213" s="9"/>
      <c r="AG213" s="6"/>
      <c r="AH213" s="6"/>
      <c r="AI213" s="6"/>
      <c r="AJ213" s="36"/>
      <c r="AK213" s="31"/>
      <c r="AL213" s="9"/>
      <c r="AM213" s="6"/>
      <c r="AN213" s="6"/>
      <c r="AO213" s="6"/>
      <c r="AP213" s="36"/>
    </row>
    <row r="214" spans="1:42">
      <c r="A214" s="30">
        <v>200</v>
      </c>
      <c r="B214" s="130"/>
      <c r="C214" s="143" t="s">
        <v>681</v>
      </c>
      <c r="D214" s="27"/>
      <c r="E214" s="27"/>
      <c r="F214" s="27"/>
      <c r="G214" s="27"/>
      <c r="H214" s="132" t="s">
        <v>739</v>
      </c>
      <c r="I214" s="180"/>
      <c r="J214" s="137"/>
      <c r="K214" s="29"/>
      <c r="L214" s="11"/>
      <c r="M214" s="11"/>
      <c r="N214" s="11"/>
      <c r="O214" s="44"/>
      <c r="P214" s="44"/>
      <c r="Q214" s="44"/>
      <c r="R214" s="53"/>
      <c r="S214" s="44"/>
      <c r="T214" s="46"/>
      <c r="U214" s="46"/>
      <c r="V214" s="53"/>
      <c r="W214" s="74"/>
      <c r="X214" s="9"/>
      <c r="Y214" s="11"/>
      <c r="Z214" s="11"/>
      <c r="AA214" s="63"/>
      <c r="AB214" s="63"/>
      <c r="AC214" s="63"/>
      <c r="AD214" s="36"/>
      <c r="AE214" s="31"/>
      <c r="AF214" s="9"/>
      <c r="AG214" s="6"/>
      <c r="AH214" s="6"/>
      <c r="AI214" s="6"/>
      <c r="AJ214" s="36"/>
      <c r="AK214" s="31"/>
      <c r="AL214" s="9"/>
      <c r="AM214" s="6"/>
      <c r="AN214" s="6"/>
      <c r="AO214" s="6"/>
      <c r="AP214" s="36"/>
    </row>
    <row r="215" spans="1:42">
      <c r="A215" s="30">
        <v>201</v>
      </c>
      <c r="B215" s="130"/>
      <c r="C215" s="143" t="s">
        <v>1865</v>
      </c>
      <c r="D215" s="27"/>
      <c r="E215" s="27"/>
      <c r="F215" s="27"/>
      <c r="G215" s="27"/>
      <c r="H215" s="132" t="s">
        <v>1214</v>
      </c>
      <c r="I215" s="180" t="s">
        <v>841</v>
      </c>
      <c r="J215" s="137"/>
      <c r="K215" s="29"/>
      <c r="L215" s="11"/>
      <c r="M215" s="11"/>
      <c r="N215" s="11"/>
      <c r="O215" s="44"/>
      <c r="P215" s="44"/>
      <c r="Q215" s="44"/>
      <c r="R215" s="53"/>
      <c r="S215" s="44"/>
      <c r="T215" s="46"/>
      <c r="U215" s="46"/>
      <c r="V215" s="53"/>
      <c r="W215" s="74"/>
      <c r="X215" s="9"/>
      <c r="Y215" s="11"/>
      <c r="Z215" s="11"/>
      <c r="AA215" s="63"/>
      <c r="AB215" s="63"/>
      <c r="AC215" s="63"/>
      <c r="AD215" s="36"/>
      <c r="AE215" s="31"/>
      <c r="AF215" s="9"/>
      <c r="AG215" s="6"/>
      <c r="AH215" s="6"/>
      <c r="AI215" s="6"/>
      <c r="AJ215" s="36"/>
      <c r="AK215" s="31"/>
      <c r="AL215" s="9"/>
      <c r="AM215" s="6"/>
      <c r="AN215" s="6"/>
      <c r="AO215" s="6"/>
      <c r="AP215" s="36"/>
    </row>
    <row r="216" spans="1:42">
      <c r="A216" s="30">
        <v>202</v>
      </c>
      <c r="B216" s="130"/>
      <c r="C216" s="143" t="s">
        <v>1634</v>
      </c>
      <c r="D216" s="27"/>
      <c r="E216" s="27"/>
      <c r="F216" s="27"/>
      <c r="G216" s="27"/>
      <c r="H216" s="132" t="s">
        <v>1635</v>
      </c>
      <c r="I216" s="180" t="s">
        <v>1636</v>
      </c>
      <c r="J216" s="137"/>
      <c r="K216" s="29"/>
      <c r="L216" s="11"/>
      <c r="M216" s="11"/>
      <c r="N216" s="11"/>
      <c r="O216" s="44"/>
      <c r="P216" s="44"/>
      <c r="Q216" s="44"/>
      <c r="R216" s="53"/>
      <c r="S216" s="44"/>
      <c r="T216" s="46"/>
      <c r="U216" s="46"/>
      <c r="V216" s="53"/>
      <c r="W216" s="74"/>
      <c r="X216" s="9"/>
      <c r="Y216" s="11"/>
      <c r="Z216" s="11"/>
      <c r="AA216" s="63"/>
      <c r="AB216" s="63"/>
      <c r="AC216" s="63"/>
      <c r="AD216" s="36"/>
      <c r="AE216" s="31"/>
      <c r="AF216" s="9"/>
      <c r="AG216" s="6"/>
      <c r="AH216" s="6"/>
      <c r="AI216" s="6"/>
      <c r="AJ216" s="36"/>
      <c r="AK216" s="31"/>
      <c r="AL216" s="9"/>
      <c r="AM216" s="6"/>
      <c r="AN216" s="6"/>
      <c r="AO216" s="6"/>
      <c r="AP216" s="36"/>
    </row>
    <row r="217" spans="1:42" ht="27">
      <c r="A217" s="30">
        <v>203</v>
      </c>
      <c r="B217" s="130"/>
      <c r="C217" s="143" t="s">
        <v>526</v>
      </c>
      <c r="D217" s="27"/>
      <c r="E217" s="27"/>
      <c r="F217" s="27"/>
      <c r="G217" s="27"/>
      <c r="H217" s="70" t="s">
        <v>812</v>
      </c>
      <c r="I217" s="176" t="s">
        <v>884</v>
      </c>
      <c r="J217" s="137" t="s">
        <v>632</v>
      </c>
      <c r="K217" s="29"/>
      <c r="L217" s="11"/>
      <c r="M217" s="11"/>
      <c r="N217" s="11"/>
      <c r="O217" s="44"/>
      <c r="P217" s="44"/>
      <c r="Q217" s="44"/>
      <c r="R217" s="53"/>
      <c r="S217" s="44"/>
      <c r="T217" s="46"/>
      <c r="U217" s="46"/>
      <c r="V217" s="53"/>
      <c r="W217" s="74"/>
      <c r="X217" s="9"/>
      <c r="Y217" s="11"/>
      <c r="Z217" s="11"/>
      <c r="AA217" s="63"/>
      <c r="AB217" s="63"/>
      <c r="AC217" s="63"/>
      <c r="AD217" s="36"/>
      <c r="AE217" s="31"/>
      <c r="AF217" s="75"/>
      <c r="AG217" s="6"/>
      <c r="AH217" s="6"/>
      <c r="AI217" s="6"/>
      <c r="AJ217" s="36"/>
      <c r="AK217" s="31"/>
      <c r="AL217" s="9"/>
      <c r="AM217" s="6"/>
      <c r="AN217" s="6"/>
      <c r="AO217" s="6"/>
      <c r="AP217" s="36"/>
    </row>
    <row r="218" spans="1:42" ht="17.25" customHeight="1">
      <c r="A218" s="30">
        <v>204</v>
      </c>
      <c r="B218" s="130"/>
      <c r="C218" s="143" t="s">
        <v>561</v>
      </c>
      <c r="D218" s="27"/>
      <c r="E218" s="27"/>
      <c r="F218" s="27"/>
      <c r="G218" s="27"/>
      <c r="H218" s="70" t="s">
        <v>1273</v>
      </c>
      <c r="I218" s="176" t="s">
        <v>864</v>
      </c>
      <c r="J218" s="136"/>
      <c r="K218" s="117"/>
      <c r="L218" s="6"/>
      <c r="M218" s="6"/>
      <c r="N218" s="6"/>
      <c r="O218" s="44"/>
      <c r="P218" s="44"/>
      <c r="Q218" s="44"/>
      <c r="R218" s="53"/>
      <c r="S218" s="44"/>
      <c r="T218" s="44"/>
      <c r="U218" s="44"/>
      <c r="V218" s="53"/>
      <c r="W218" s="74"/>
      <c r="X218" s="9"/>
      <c r="Y218" s="11"/>
      <c r="Z218" s="11"/>
      <c r="AA218" s="63"/>
      <c r="AB218" s="63"/>
      <c r="AC218" s="63"/>
      <c r="AD218" s="36"/>
      <c r="AE218" s="31"/>
      <c r="AF218" s="9"/>
      <c r="AG218" s="6"/>
      <c r="AH218" s="6"/>
      <c r="AI218" s="6"/>
      <c r="AJ218" s="36"/>
      <c r="AK218" s="31"/>
      <c r="AL218" s="9"/>
      <c r="AM218" s="6"/>
      <c r="AN218" s="6"/>
      <c r="AO218" s="6"/>
      <c r="AP218" s="36"/>
    </row>
    <row r="219" spans="1:42">
      <c r="A219" s="30">
        <v>205</v>
      </c>
      <c r="B219" s="130"/>
      <c r="C219" s="143" t="s">
        <v>1499</v>
      </c>
      <c r="D219" s="27"/>
      <c r="E219" s="27"/>
      <c r="F219" s="27"/>
      <c r="G219" s="27"/>
      <c r="H219" s="70" t="s">
        <v>1500</v>
      </c>
      <c r="I219" s="176" t="s">
        <v>933</v>
      </c>
      <c r="J219" s="137" t="s">
        <v>1540</v>
      </c>
      <c r="K219" s="117"/>
      <c r="L219" s="6"/>
      <c r="M219" s="6"/>
      <c r="N219" s="6"/>
      <c r="O219" s="44"/>
      <c r="P219" s="44"/>
      <c r="Q219" s="44"/>
      <c r="R219" s="53"/>
      <c r="S219" s="44"/>
      <c r="T219" s="44"/>
      <c r="U219" s="44"/>
      <c r="V219" s="53"/>
      <c r="W219" s="31"/>
      <c r="X219" s="9"/>
      <c r="Y219" s="11"/>
      <c r="Z219" s="11"/>
      <c r="AA219" s="63"/>
      <c r="AB219" s="63"/>
      <c r="AC219" s="63"/>
      <c r="AD219" s="36"/>
      <c r="AE219" s="31"/>
      <c r="AF219" s="9"/>
      <c r="AG219" s="6"/>
      <c r="AH219" s="6"/>
      <c r="AI219" s="6"/>
      <c r="AJ219" s="36"/>
      <c r="AK219" s="31"/>
      <c r="AL219" s="9"/>
      <c r="AM219" s="6"/>
      <c r="AN219" s="6"/>
      <c r="AO219" s="6"/>
      <c r="AP219" s="36"/>
    </row>
    <row r="220" spans="1:42">
      <c r="A220" s="30"/>
      <c r="B220" s="130"/>
      <c r="C220" s="143" t="s">
        <v>2152</v>
      </c>
      <c r="D220" s="27"/>
      <c r="E220" s="27"/>
      <c r="F220" s="27"/>
      <c r="G220" s="27"/>
      <c r="H220" s="70" t="s">
        <v>2153</v>
      </c>
      <c r="I220" s="176" t="s">
        <v>2154</v>
      </c>
      <c r="J220" s="137" t="s">
        <v>2151</v>
      </c>
      <c r="K220" s="117"/>
      <c r="L220" s="6"/>
      <c r="M220" s="6"/>
      <c r="N220" s="6"/>
      <c r="O220" s="44"/>
      <c r="P220" s="44"/>
      <c r="Q220" s="44"/>
      <c r="R220" s="53"/>
      <c r="S220" s="44"/>
      <c r="T220" s="44"/>
      <c r="U220" s="44"/>
      <c r="V220" s="53"/>
      <c r="W220" s="31"/>
      <c r="X220" s="9"/>
      <c r="Y220" s="11"/>
      <c r="Z220" s="11"/>
      <c r="AA220" s="63"/>
      <c r="AB220" s="63"/>
      <c r="AC220" s="63"/>
      <c r="AD220" s="36"/>
      <c r="AE220" s="31"/>
      <c r="AF220" s="9"/>
      <c r="AG220" s="6"/>
      <c r="AH220" s="6"/>
      <c r="AI220" s="6"/>
      <c r="AJ220" s="36"/>
      <c r="AK220" s="31"/>
      <c r="AL220" s="9"/>
      <c r="AM220" s="6"/>
      <c r="AN220" s="6"/>
      <c r="AO220" s="6"/>
      <c r="AP220" s="36"/>
    </row>
    <row r="221" spans="1:42">
      <c r="A221" s="30">
        <v>206</v>
      </c>
      <c r="B221" s="130"/>
      <c r="C221" s="143" t="s">
        <v>1739</v>
      </c>
      <c r="D221" s="27"/>
      <c r="E221" s="27"/>
      <c r="F221" s="27"/>
      <c r="G221" s="27"/>
      <c r="H221" s="70" t="s">
        <v>1740</v>
      </c>
      <c r="I221" s="176" t="s">
        <v>1357</v>
      </c>
      <c r="J221" s="137"/>
      <c r="K221" s="117"/>
      <c r="L221" s="6"/>
      <c r="M221" s="6"/>
      <c r="N221" s="6"/>
      <c r="O221" s="44"/>
      <c r="P221" s="44"/>
      <c r="Q221" s="44"/>
      <c r="R221" s="53"/>
      <c r="S221" s="44"/>
      <c r="T221" s="44"/>
      <c r="U221" s="44"/>
      <c r="V221" s="53"/>
      <c r="W221" s="31"/>
      <c r="X221" s="9"/>
      <c r="Y221" s="11"/>
      <c r="Z221" s="11"/>
      <c r="AA221" s="63"/>
      <c r="AB221" s="63"/>
      <c r="AC221" s="63"/>
      <c r="AD221" s="36"/>
      <c r="AE221" s="31"/>
      <c r="AF221" s="9"/>
      <c r="AG221" s="6"/>
      <c r="AH221" s="6"/>
      <c r="AI221" s="6"/>
      <c r="AJ221" s="36"/>
      <c r="AK221" s="31"/>
      <c r="AL221" s="9"/>
      <c r="AM221" s="6"/>
      <c r="AN221" s="6"/>
      <c r="AO221" s="6"/>
      <c r="AP221" s="36"/>
    </row>
    <row r="222" spans="1:42">
      <c r="A222" s="30">
        <v>207</v>
      </c>
      <c r="B222" s="130"/>
      <c r="C222" s="143" t="s">
        <v>507</v>
      </c>
      <c r="D222" s="27"/>
      <c r="E222" s="27"/>
      <c r="F222" s="27"/>
      <c r="G222" s="27"/>
      <c r="H222" s="70" t="s">
        <v>987</v>
      </c>
      <c r="I222" s="176" t="s">
        <v>900</v>
      </c>
      <c r="J222" s="137"/>
      <c r="K222" s="117"/>
      <c r="L222" s="6">
        <v>600</v>
      </c>
      <c r="M222" s="6">
        <v>30</v>
      </c>
      <c r="N222" s="6">
        <v>630</v>
      </c>
      <c r="O222" s="44"/>
      <c r="P222" s="44"/>
      <c r="Q222" s="44"/>
      <c r="R222" s="53"/>
      <c r="S222" s="45"/>
      <c r="T222" s="45"/>
      <c r="U222" s="45"/>
      <c r="V222" s="53"/>
      <c r="W222" s="31"/>
      <c r="X222" s="9"/>
      <c r="Y222" s="11"/>
      <c r="Z222" s="11"/>
      <c r="AA222" s="64"/>
      <c r="AB222" s="64"/>
      <c r="AC222" s="64"/>
      <c r="AD222" s="36"/>
      <c r="AE222" s="31"/>
      <c r="AF222" s="9"/>
      <c r="AG222" s="6"/>
      <c r="AH222" s="6"/>
      <c r="AI222" s="6"/>
      <c r="AJ222" s="36"/>
      <c r="AK222" s="31"/>
      <c r="AL222" s="9"/>
      <c r="AM222" s="6"/>
      <c r="AN222" s="6"/>
      <c r="AO222" s="6"/>
      <c r="AP222" s="36"/>
    </row>
    <row r="223" spans="1:42">
      <c r="A223" s="30">
        <v>208</v>
      </c>
      <c r="B223" s="130"/>
      <c r="C223" s="143" t="s">
        <v>643</v>
      </c>
      <c r="D223" s="27"/>
      <c r="E223" s="27"/>
      <c r="F223" s="27"/>
      <c r="G223" s="27"/>
      <c r="H223" s="70" t="s">
        <v>942</v>
      </c>
      <c r="I223" s="176" t="s">
        <v>1466</v>
      </c>
      <c r="J223" s="136" t="s">
        <v>638</v>
      </c>
      <c r="K223" s="117"/>
      <c r="L223" s="6"/>
      <c r="M223" s="6"/>
      <c r="N223" s="6"/>
      <c r="O223" s="44"/>
      <c r="P223" s="44"/>
      <c r="Q223" s="44"/>
      <c r="R223" s="53"/>
      <c r="S223" s="44"/>
      <c r="T223" s="44"/>
      <c r="U223" s="44"/>
      <c r="V223" s="53"/>
      <c r="W223" s="31"/>
      <c r="X223" s="9"/>
      <c r="Y223" s="11"/>
      <c r="Z223" s="11"/>
      <c r="AA223" s="63"/>
      <c r="AB223" s="63"/>
      <c r="AC223" s="63"/>
      <c r="AD223" s="36"/>
      <c r="AE223" s="31"/>
      <c r="AF223" s="9"/>
      <c r="AG223" s="6"/>
      <c r="AH223" s="6"/>
      <c r="AI223" s="6"/>
      <c r="AJ223" s="36"/>
      <c r="AK223" s="31"/>
      <c r="AL223" s="9"/>
      <c r="AM223" s="6"/>
      <c r="AN223" s="6"/>
      <c r="AO223" s="6"/>
      <c r="AP223" s="36"/>
    </row>
    <row r="224" spans="1:42">
      <c r="A224" s="30">
        <v>209</v>
      </c>
      <c r="B224" s="130"/>
      <c r="C224" s="143" t="s">
        <v>1327</v>
      </c>
      <c r="D224" s="27"/>
      <c r="E224" s="27"/>
      <c r="F224" s="27"/>
      <c r="G224" s="27"/>
      <c r="H224" s="103" t="s">
        <v>1981</v>
      </c>
      <c r="I224" s="177" t="s">
        <v>2083</v>
      </c>
      <c r="J224" s="137"/>
      <c r="K224" s="117"/>
      <c r="L224" s="6"/>
      <c r="M224" s="6"/>
      <c r="N224" s="6"/>
      <c r="O224" s="44"/>
      <c r="P224" s="44"/>
      <c r="Q224" s="44"/>
      <c r="R224" s="53"/>
      <c r="S224" s="44"/>
      <c r="T224" s="44"/>
      <c r="U224" s="44"/>
      <c r="V224" s="53"/>
      <c r="W224" s="31"/>
      <c r="X224" s="9"/>
      <c r="AA224" s="112"/>
      <c r="AB224" s="112"/>
      <c r="AC224" s="112"/>
      <c r="AE224" s="111"/>
      <c r="AG224" s="8"/>
      <c r="AH224" s="8"/>
      <c r="AI224" s="8"/>
      <c r="AK224" s="111"/>
      <c r="AM224" s="8"/>
      <c r="AN224" s="8"/>
      <c r="AO224" s="8"/>
    </row>
    <row r="225" spans="1:42">
      <c r="A225" s="30"/>
      <c r="B225" s="130"/>
      <c r="C225" s="143" t="s">
        <v>2081</v>
      </c>
      <c r="D225" s="27"/>
      <c r="E225" s="27"/>
      <c r="F225" s="27"/>
      <c r="G225" s="27"/>
      <c r="H225" s="103" t="s">
        <v>2082</v>
      </c>
      <c r="I225" s="177" t="s">
        <v>2083</v>
      </c>
      <c r="J225" s="137"/>
      <c r="K225" s="117"/>
      <c r="L225" s="6"/>
      <c r="M225" s="6"/>
      <c r="N225" s="6"/>
      <c r="O225" s="44"/>
      <c r="P225" s="44"/>
      <c r="Q225" s="44"/>
      <c r="R225" s="53"/>
      <c r="S225" s="44"/>
      <c r="T225" s="44"/>
      <c r="U225" s="44"/>
      <c r="V225" s="53"/>
      <c r="W225" s="31"/>
      <c r="X225" s="9"/>
      <c r="AA225" s="112"/>
      <c r="AB225" s="112"/>
      <c r="AC225" s="112"/>
      <c r="AE225" s="111"/>
      <c r="AG225" s="8"/>
      <c r="AH225" s="8"/>
      <c r="AI225" s="8"/>
      <c r="AK225" s="111"/>
      <c r="AM225" s="8"/>
      <c r="AN225" s="8"/>
      <c r="AO225" s="8"/>
    </row>
    <row r="226" spans="1:42">
      <c r="A226" s="30">
        <v>210</v>
      </c>
      <c r="B226" s="130"/>
      <c r="C226" s="143" t="s">
        <v>1381</v>
      </c>
      <c r="D226" s="27"/>
      <c r="E226" s="27"/>
      <c r="F226" s="27"/>
      <c r="G226" s="27"/>
      <c r="H226" s="103" t="s">
        <v>1382</v>
      </c>
      <c r="I226" s="177" t="s">
        <v>1927</v>
      </c>
      <c r="J226" s="137" t="s">
        <v>1383</v>
      </c>
      <c r="K226" s="117"/>
      <c r="L226" s="6"/>
      <c r="M226" s="6"/>
      <c r="N226" s="6"/>
      <c r="O226" s="44"/>
      <c r="P226" s="44"/>
      <c r="Q226" s="44"/>
      <c r="R226" s="53"/>
      <c r="S226" s="44"/>
      <c r="T226" s="44"/>
      <c r="U226" s="44"/>
      <c r="V226" s="53"/>
      <c r="W226" s="31"/>
      <c r="X226" s="9"/>
      <c r="AA226" s="112"/>
      <c r="AB226" s="112"/>
      <c r="AC226" s="112"/>
      <c r="AE226" s="111"/>
      <c r="AG226" s="8"/>
      <c r="AH226" s="8"/>
      <c r="AI226" s="8"/>
      <c r="AK226" s="111"/>
      <c r="AM226" s="8"/>
      <c r="AN226" s="8"/>
      <c r="AO226" s="8"/>
    </row>
    <row r="227" spans="1:42">
      <c r="A227" s="30">
        <v>211</v>
      </c>
      <c r="B227" s="130"/>
      <c r="C227" s="143" t="s">
        <v>807</v>
      </c>
      <c r="D227" s="27"/>
      <c r="E227" s="27"/>
      <c r="F227" s="27"/>
      <c r="G227" s="27"/>
      <c r="H227" s="103" t="s">
        <v>816</v>
      </c>
      <c r="I227" s="177" t="s">
        <v>967</v>
      </c>
      <c r="J227" s="137" t="s">
        <v>817</v>
      </c>
      <c r="K227" s="117"/>
      <c r="L227" s="6"/>
      <c r="M227" s="6"/>
      <c r="N227" s="6"/>
      <c r="O227" s="44"/>
      <c r="P227" s="44"/>
      <c r="Q227" s="44"/>
      <c r="R227" s="53"/>
      <c r="S227" s="44"/>
      <c r="T227" s="44"/>
      <c r="U227" s="44"/>
      <c r="V227" s="53"/>
      <c r="W227" s="31"/>
      <c r="X227" s="9"/>
      <c r="AA227" s="112"/>
      <c r="AB227" s="112"/>
      <c r="AC227" s="112"/>
      <c r="AE227" s="111"/>
      <c r="AG227" s="8"/>
      <c r="AH227" s="8"/>
      <c r="AI227" s="8"/>
      <c r="AK227" s="111"/>
      <c r="AM227" s="8"/>
      <c r="AN227" s="8"/>
      <c r="AO227" s="8"/>
    </row>
    <row r="228" spans="1:42">
      <c r="A228" s="30">
        <v>212</v>
      </c>
      <c r="B228" s="130"/>
      <c r="C228" s="143" t="s">
        <v>1399</v>
      </c>
      <c r="D228" s="27"/>
      <c r="E228" s="27"/>
      <c r="F228" s="27"/>
      <c r="G228" s="27"/>
      <c r="H228" s="103" t="s">
        <v>718</v>
      </c>
      <c r="I228" s="177" t="s">
        <v>935</v>
      </c>
      <c r="J228" s="137"/>
      <c r="K228" s="117"/>
      <c r="L228" s="6"/>
      <c r="M228" s="6"/>
      <c r="N228" s="6"/>
      <c r="O228" s="44"/>
      <c r="P228" s="44"/>
      <c r="Q228" s="44"/>
      <c r="R228" s="53"/>
      <c r="S228" s="44"/>
      <c r="T228" s="44"/>
      <c r="U228" s="44"/>
      <c r="V228" s="53"/>
      <c r="W228" s="31"/>
      <c r="X228" s="9"/>
      <c r="AA228" s="112"/>
      <c r="AB228" s="112"/>
      <c r="AC228" s="112"/>
      <c r="AE228" s="111"/>
      <c r="AG228" s="8"/>
      <c r="AH228" s="8"/>
      <c r="AI228" s="8"/>
      <c r="AK228" s="111"/>
      <c r="AM228" s="8"/>
      <c r="AN228" s="8"/>
      <c r="AO228" s="8"/>
    </row>
    <row r="229" spans="1:42">
      <c r="A229" s="30">
        <v>213</v>
      </c>
      <c r="B229" s="130"/>
      <c r="C229" s="143" t="s">
        <v>1677</v>
      </c>
      <c r="D229" s="27"/>
      <c r="E229" s="27"/>
      <c r="F229" s="27"/>
      <c r="G229" s="27"/>
      <c r="H229" s="103" t="s">
        <v>1675</v>
      </c>
      <c r="I229" s="177" t="s">
        <v>1175</v>
      </c>
      <c r="J229" s="137" t="s">
        <v>1676</v>
      </c>
      <c r="K229" s="117"/>
      <c r="L229" s="6"/>
      <c r="M229" s="6"/>
      <c r="N229" s="6"/>
      <c r="O229" s="44"/>
      <c r="P229" s="44"/>
      <c r="Q229" s="44"/>
      <c r="R229" s="53"/>
      <c r="S229" s="44"/>
      <c r="T229" s="44"/>
      <c r="U229" s="44"/>
      <c r="V229" s="53"/>
      <c r="W229" s="31"/>
      <c r="X229" s="9"/>
      <c r="AA229" s="112"/>
      <c r="AB229" s="112"/>
      <c r="AC229" s="112"/>
      <c r="AE229" s="111"/>
      <c r="AG229" s="8"/>
      <c r="AH229" s="8"/>
      <c r="AI229" s="8"/>
      <c r="AK229" s="111"/>
      <c r="AM229" s="8"/>
      <c r="AN229" s="8"/>
      <c r="AO229" s="8"/>
    </row>
    <row r="230" spans="1:42" ht="20.100000000000001" customHeight="1">
      <c r="A230" s="30">
        <v>214</v>
      </c>
      <c r="B230" s="130"/>
      <c r="C230" s="143" t="s">
        <v>642</v>
      </c>
      <c r="D230" s="27"/>
      <c r="E230" s="27"/>
      <c r="F230" s="27"/>
      <c r="G230" s="27"/>
      <c r="H230" s="70" t="s">
        <v>720</v>
      </c>
      <c r="I230" s="176" t="s">
        <v>840</v>
      </c>
      <c r="J230" s="136" t="s">
        <v>638</v>
      </c>
      <c r="K230" s="29"/>
      <c r="L230" s="11">
        <v>30800</v>
      </c>
      <c r="M230" s="11">
        <v>1540</v>
      </c>
      <c r="N230" s="11">
        <v>32340</v>
      </c>
      <c r="O230" s="44"/>
      <c r="P230" s="44"/>
      <c r="Q230" s="44"/>
      <c r="R230" s="53"/>
      <c r="S230" s="44"/>
      <c r="T230" s="46"/>
      <c r="U230" s="46"/>
      <c r="V230" s="53"/>
      <c r="W230" s="34"/>
      <c r="X230" s="35"/>
      <c r="Y230" s="61"/>
      <c r="Z230" s="61"/>
      <c r="AA230" s="63"/>
      <c r="AB230" s="63"/>
      <c r="AC230" s="63"/>
      <c r="AD230" s="36"/>
      <c r="AE230" s="34"/>
      <c r="AF230" s="35"/>
      <c r="AG230" s="6"/>
      <c r="AH230" s="6"/>
      <c r="AI230" s="6"/>
      <c r="AJ230" s="36"/>
      <c r="AK230" s="34"/>
      <c r="AL230" s="35"/>
      <c r="AM230" s="6"/>
      <c r="AN230" s="6"/>
      <c r="AO230" s="6"/>
      <c r="AP230" s="36"/>
    </row>
    <row r="231" spans="1:42" ht="20.100000000000001" customHeight="1">
      <c r="A231" s="30">
        <v>215</v>
      </c>
      <c r="B231" s="130"/>
      <c r="C231" s="143" t="s">
        <v>1012</v>
      </c>
      <c r="D231" s="27"/>
      <c r="E231" s="27"/>
      <c r="F231" s="27"/>
      <c r="G231" s="27"/>
      <c r="H231" s="132" t="s">
        <v>730</v>
      </c>
      <c r="I231" s="180" t="s">
        <v>1013</v>
      </c>
      <c r="J231" s="137"/>
      <c r="K231" s="29"/>
      <c r="L231" s="11"/>
      <c r="M231" s="11"/>
      <c r="N231" s="11"/>
      <c r="O231" s="44"/>
      <c r="P231" s="44"/>
      <c r="Q231" s="44"/>
      <c r="R231" s="53"/>
      <c r="S231" s="44"/>
      <c r="T231" s="46"/>
      <c r="U231" s="46"/>
      <c r="V231" s="53"/>
      <c r="W231" s="34"/>
      <c r="X231" s="35"/>
      <c r="Y231" s="61"/>
      <c r="Z231" s="61"/>
      <c r="AA231" s="63"/>
      <c r="AB231" s="63"/>
      <c r="AC231" s="63"/>
      <c r="AD231" s="36"/>
      <c r="AE231" s="34"/>
      <c r="AF231" s="35"/>
      <c r="AG231" s="6"/>
      <c r="AH231" s="6"/>
      <c r="AI231" s="6"/>
      <c r="AJ231" s="36"/>
      <c r="AK231" s="34"/>
      <c r="AL231" s="35"/>
      <c r="AM231" s="6"/>
      <c r="AN231" s="6"/>
      <c r="AO231" s="6"/>
      <c r="AP231" s="36"/>
    </row>
    <row r="232" spans="1:42" ht="20.100000000000001" customHeight="1">
      <c r="A232" s="30">
        <v>216</v>
      </c>
      <c r="B232" s="130"/>
      <c r="C232" s="143" t="s">
        <v>965</v>
      </c>
      <c r="D232" s="27"/>
      <c r="E232" s="27"/>
      <c r="F232" s="27"/>
      <c r="G232" s="27"/>
      <c r="H232" s="132" t="s">
        <v>966</v>
      </c>
      <c r="I232" s="180" t="s">
        <v>873</v>
      </c>
      <c r="J232" s="137"/>
      <c r="K232" s="29"/>
      <c r="L232" s="11"/>
      <c r="M232" s="11"/>
      <c r="N232" s="11"/>
      <c r="O232" s="44"/>
      <c r="P232" s="44"/>
      <c r="Q232" s="44"/>
      <c r="R232" s="53"/>
      <c r="S232" s="44"/>
      <c r="T232" s="46"/>
      <c r="U232" s="46"/>
      <c r="V232" s="53"/>
      <c r="W232" s="34"/>
      <c r="X232" s="35"/>
      <c r="Y232" s="61"/>
      <c r="Z232" s="61"/>
      <c r="AA232" s="63"/>
      <c r="AB232" s="63"/>
      <c r="AC232" s="63"/>
      <c r="AD232" s="36"/>
      <c r="AE232" s="34"/>
      <c r="AF232" s="35"/>
      <c r="AG232" s="6"/>
      <c r="AH232" s="6"/>
      <c r="AI232" s="6"/>
      <c r="AJ232" s="36"/>
      <c r="AK232" s="34"/>
      <c r="AL232" s="35"/>
      <c r="AM232" s="6"/>
      <c r="AN232" s="6"/>
      <c r="AO232" s="6"/>
      <c r="AP232" s="36"/>
    </row>
    <row r="233" spans="1:42">
      <c r="A233" s="30">
        <v>217</v>
      </c>
      <c r="B233" s="130"/>
      <c r="C233" s="143" t="s">
        <v>1576</v>
      </c>
      <c r="D233" s="27"/>
      <c r="E233" s="27"/>
      <c r="F233" s="27"/>
      <c r="G233" s="27"/>
      <c r="H233" s="104" t="s">
        <v>1355</v>
      </c>
      <c r="I233" s="185" t="s">
        <v>1126</v>
      </c>
      <c r="J233" s="136" t="s">
        <v>1356</v>
      </c>
      <c r="K233" s="29"/>
      <c r="L233" s="11"/>
      <c r="M233" s="11"/>
      <c r="N233" s="11"/>
      <c r="O233" s="44"/>
      <c r="P233" s="44"/>
      <c r="Q233" s="44"/>
      <c r="R233" s="53"/>
      <c r="S233" s="44"/>
      <c r="T233" s="46"/>
      <c r="U233" s="46"/>
      <c r="V233" s="53"/>
      <c r="W233" s="31"/>
      <c r="X233" s="9"/>
      <c r="Y233" s="11"/>
      <c r="Z233" s="11"/>
      <c r="AA233" s="63"/>
      <c r="AB233" s="63"/>
      <c r="AC233" s="63"/>
      <c r="AD233" s="36"/>
      <c r="AE233" s="31"/>
      <c r="AF233" s="9"/>
      <c r="AG233" s="6"/>
      <c r="AH233" s="6"/>
      <c r="AI233" s="6"/>
      <c r="AJ233" s="36"/>
      <c r="AK233" s="31"/>
      <c r="AL233" s="9"/>
      <c r="AM233" s="6"/>
      <c r="AN233" s="6"/>
      <c r="AO233" s="6"/>
      <c r="AP233" s="36"/>
    </row>
    <row r="234" spans="1:42">
      <c r="A234" s="30">
        <v>218</v>
      </c>
      <c r="B234" s="130"/>
      <c r="C234" s="143" t="s">
        <v>563</v>
      </c>
      <c r="D234" s="27"/>
      <c r="E234" s="27"/>
      <c r="F234" s="27"/>
      <c r="G234" s="27"/>
      <c r="H234" s="104" t="s">
        <v>740</v>
      </c>
      <c r="I234" s="185"/>
      <c r="J234" s="136"/>
      <c r="K234" s="117"/>
      <c r="L234" s="6">
        <v>24885</v>
      </c>
      <c r="M234" s="6">
        <v>1244.25</v>
      </c>
      <c r="N234" s="6">
        <v>26129.25</v>
      </c>
      <c r="O234" s="44"/>
      <c r="P234" s="44"/>
      <c r="Q234" s="44"/>
      <c r="R234" s="53"/>
      <c r="S234" s="44"/>
      <c r="T234" s="44"/>
      <c r="U234" s="44"/>
      <c r="V234" s="53"/>
      <c r="W234" s="31"/>
      <c r="X234" s="9"/>
      <c r="Y234" s="11"/>
      <c r="Z234" s="11"/>
      <c r="AA234" s="63"/>
      <c r="AB234" s="63"/>
      <c r="AC234" s="63"/>
      <c r="AD234" s="36"/>
      <c r="AE234" s="31"/>
      <c r="AF234" s="9"/>
      <c r="AG234" s="6"/>
      <c r="AH234" s="6"/>
      <c r="AI234" s="6"/>
      <c r="AJ234" s="36"/>
      <c r="AK234" s="31"/>
      <c r="AL234" s="9"/>
      <c r="AM234" s="6"/>
      <c r="AN234" s="6"/>
      <c r="AO234" s="6"/>
      <c r="AP234" s="36"/>
    </row>
    <row r="235" spans="1:42" ht="27">
      <c r="A235" s="30">
        <v>219</v>
      </c>
      <c r="B235" s="130"/>
      <c r="C235" s="143" t="s">
        <v>329</v>
      </c>
      <c r="D235" s="27"/>
      <c r="E235" s="27"/>
      <c r="F235" s="27"/>
      <c r="G235" s="27"/>
      <c r="H235" s="70" t="s">
        <v>1194</v>
      </c>
      <c r="I235" s="176"/>
      <c r="J235" s="136" t="s">
        <v>1887</v>
      </c>
      <c r="K235" s="117"/>
      <c r="L235" s="6"/>
      <c r="M235" s="6"/>
      <c r="N235" s="6"/>
      <c r="O235" s="44"/>
      <c r="P235" s="44"/>
      <c r="Q235" s="44"/>
      <c r="R235" s="53"/>
      <c r="S235" s="44"/>
      <c r="T235" s="44"/>
      <c r="U235" s="44"/>
      <c r="V235" s="53"/>
      <c r="W235" s="31"/>
      <c r="X235" s="9"/>
      <c r="Y235" s="11"/>
      <c r="Z235" s="11"/>
      <c r="AA235" s="63"/>
      <c r="AB235" s="63"/>
      <c r="AC235" s="63"/>
      <c r="AD235" s="36"/>
      <c r="AE235" s="31"/>
      <c r="AF235" s="9"/>
      <c r="AG235" s="6"/>
      <c r="AH235" s="6"/>
      <c r="AI235" s="6"/>
      <c r="AJ235" s="36"/>
      <c r="AK235" s="31"/>
      <c r="AL235" s="9"/>
      <c r="AM235" s="6"/>
      <c r="AN235" s="6"/>
      <c r="AO235" s="6"/>
      <c r="AP235" s="36"/>
    </row>
    <row r="236" spans="1:42">
      <c r="A236" s="30">
        <v>220</v>
      </c>
      <c r="B236" s="130"/>
      <c r="C236" s="143" t="s">
        <v>1637</v>
      </c>
      <c r="D236" s="27"/>
      <c r="E236" s="27"/>
      <c r="F236" s="27"/>
      <c r="G236" s="27"/>
      <c r="H236" s="70" t="s">
        <v>1638</v>
      </c>
      <c r="I236" s="176" t="s">
        <v>1175</v>
      </c>
      <c r="J236" s="136" t="s">
        <v>1639</v>
      </c>
      <c r="K236" s="117"/>
      <c r="L236" s="6"/>
      <c r="M236" s="6"/>
      <c r="N236" s="6"/>
      <c r="O236" s="44"/>
      <c r="P236" s="44"/>
      <c r="Q236" s="44"/>
      <c r="R236" s="53"/>
      <c r="S236" s="44"/>
      <c r="T236" s="44"/>
      <c r="U236" s="44"/>
      <c r="V236" s="53"/>
      <c r="W236" s="31"/>
      <c r="X236" s="9"/>
      <c r="Y236" s="11"/>
      <c r="Z236" s="11"/>
      <c r="AA236" s="63"/>
      <c r="AB236" s="63"/>
      <c r="AC236" s="63"/>
      <c r="AD236" s="36"/>
      <c r="AE236" s="31"/>
      <c r="AF236" s="9"/>
      <c r="AG236" s="6"/>
      <c r="AH236" s="6"/>
      <c r="AI236" s="6"/>
      <c r="AJ236" s="36"/>
      <c r="AK236" s="31"/>
      <c r="AL236" s="9"/>
      <c r="AM236" s="6"/>
      <c r="AN236" s="6"/>
      <c r="AO236" s="6"/>
      <c r="AP236" s="36"/>
    </row>
    <row r="237" spans="1:42">
      <c r="A237" s="30">
        <v>137</v>
      </c>
      <c r="B237" s="130"/>
      <c r="C237" s="133" t="s">
        <v>1043</v>
      </c>
      <c r="D237" s="27"/>
      <c r="E237" s="27"/>
      <c r="F237" s="27"/>
      <c r="G237" s="27"/>
      <c r="H237" s="70" t="s">
        <v>1969</v>
      </c>
      <c r="I237" s="176" t="s">
        <v>1970</v>
      </c>
      <c r="J237" s="136" t="s">
        <v>1534</v>
      </c>
      <c r="K237" s="29"/>
      <c r="L237" s="11"/>
      <c r="M237" s="11"/>
      <c r="N237" s="11"/>
      <c r="O237" s="44"/>
      <c r="P237" s="44"/>
      <c r="Q237" s="44"/>
      <c r="R237" s="53"/>
      <c r="S237" s="44"/>
      <c r="T237" s="46"/>
      <c r="U237" s="46"/>
      <c r="V237" s="53"/>
      <c r="W237" s="31"/>
      <c r="X237" s="9"/>
      <c r="Y237" s="11"/>
      <c r="Z237" s="11"/>
      <c r="AA237" s="63"/>
      <c r="AB237" s="63"/>
      <c r="AC237" s="63"/>
      <c r="AD237" s="36"/>
      <c r="AE237" s="31"/>
      <c r="AF237" s="9"/>
      <c r="AG237" s="6"/>
      <c r="AH237" s="6"/>
      <c r="AI237" s="6"/>
      <c r="AJ237" s="36"/>
      <c r="AK237" s="31"/>
      <c r="AL237" s="9"/>
      <c r="AM237" s="6"/>
      <c r="AN237" s="6"/>
      <c r="AO237" s="6"/>
      <c r="AP237" s="36"/>
    </row>
    <row r="238" spans="1:42">
      <c r="A238" s="30">
        <v>190</v>
      </c>
      <c r="B238" s="130"/>
      <c r="C238" s="143" t="s">
        <v>1053</v>
      </c>
      <c r="D238" s="27"/>
      <c r="E238" s="27"/>
      <c r="F238" s="27"/>
      <c r="G238" s="27"/>
      <c r="H238" s="196" t="s">
        <v>1057</v>
      </c>
      <c r="I238" s="176" t="s">
        <v>821</v>
      </c>
      <c r="J238" s="136" t="s">
        <v>619</v>
      </c>
      <c r="K238" s="29"/>
      <c r="L238" s="11"/>
      <c r="M238" s="11"/>
      <c r="N238" s="11"/>
      <c r="O238" s="44"/>
      <c r="P238" s="44"/>
      <c r="Q238" s="44"/>
      <c r="R238" s="53"/>
      <c r="S238" s="44"/>
      <c r="T238" s="46"/>
      <c r="U238" s="46"/>
      <c r="V238" s="53"/>
      <c r="W238" s="34"/>
      <c r="X238" s="35"/>
      <c r="Y238" s="61"/>
      <c r="Z238" s="61"/>
      <c r="AA238" s="63"/>
      <c r="AB238" s="63"/>
      <c r="AC238" s="63"/>
      <c r="AD238" s="36"/>
      <c r="AE238" s="34"/>
      <c r="AF238" s="35"/>
      <c r="AG238" s="6"/>
      <c r="AH238" s="6"/>
      <c r="AI238" s="6"/>
      <c r="AJ238" s="36"/>
      <c r="AK238" s="34"/>
      <c r="AL238" s="35"/>
      <c r="AM238" s="6"/>
      <c r="AN238" s="6"/>
      <c r="AO238" s="6"/>
      <c r="AP238" s="36"/>
    </row>
    <row r="239" spans="1:42">
      <c r="A239" s="30">
        <v>191</v>
      </c>
      <c r="B239" s="130"/>
      <c r="C239" s="143" t="s">
        <v>1448</v>
      </c>
      <c r="D239" s="27"/>
      <c r="E239" s="27"/>
      <c r="F239" s="27"/>
      <c r="G239" s="27"/>
      <c r="H239" s="70" t="s">
        <v>1449</v>
      </c>
      <c r="I239" s="176" t="s">
        <v>1450</v>
      </c>
      <c r="J239" s="136"/>
      <c r="K239" s="29"/>
      <c r="L239" s="11"/>
      <c r="M239" s="11"/>
      <c r="N239" s="11"/>
      <c r="O239" s="44"/>
      <c r="P239" s="44"/>
      <c r="Q239" s="44"/>
      <c r="R239" s="53"/>
      <c r="S239" s="45"/>
      <c r="T239" s="45"/>
      <c r="U239" s="45"/>
      <c r="V239" s="53"/>
      <c r="W239" s="31"/>
      <c r="X239" s="9"/>
      <c r="Y239" s="11"/>
      <c r="Z239" s="11"/>
      <c r="AA239" s="63"/>
      <c r="AB239" s="63"/>
      <c r="AC239" s="63"/>
      <c r="AD239" s="36"/>
      <c r="AE239" s="31"/>
      <c r="AF239" s="9"/>
      <c r="AG239" s="6"/>
      <c r="AH239" s="6"/>
      <c r="AI239" s="6"/>
      <c r="AJ239" s="36"/>
      <c r="AK239" s="31"/>
      <c r="AL239" s="9"/>
      <c r="AM239" s="6"/>
      <c r="AN239" s="6"/>
      <c r="AO239" s="6"/>
      <c r="AP239" s="36"/>
    </row>
    <row r="240" spans="1:42" ht="27">
      <c r="A240" s="30">
        <v>221</v>
      </c>
      <c r="B240" s="130"/>
      <c r="C240" s="143" t="s">
        <v>1335</v>
      </c>
      <c r="D240" s="27"/>
      <c r="E240" s="27"/>
      <c r="F240" s="27"/>
      <c r="G240" s="27"/>
      <c r="H240" s="70" t="s">
        <v>1487</v>
      </c>
      <c r="I240" s="176" t="s">
        <v>1354</v>
      </c>
      <c r="J240" s="136" t="s">
        <v>1812</v>
      </c>
      <c r="K240" s="29"/>
      <c r="L240" s="11"/>
      <c r="M240" s="11"/>
      <c r="N240" s="11"/>
      <c r="O240" s="44"/>
      <c r="P240" s="44"/>
      <c r="Q240" s="44"/>
      <c r="R240" s="53"/>
      <c r="S240" s="45"/>
      <c r="T240" s="45"/>
      <c r="U240" s="45"/>
      <c r="V240" s="53"/>
      <c r="W240" s="31"/>
      <c r="X240" s="9"/>
      <c r="Y240" s="11"/>
      <c r="Z240" s="11"/>
      <c r="AA240" s="64"/>
      <c r="AB240" s="64"/>
      <c r="AC240" s="64"/>
      <c r="AD240" s="36"/>
      <c r="AE240" s="31"/>
      <c r="AF240" s="9"/>
      <c r="AG240" s="6"/>
      <c r="AH240" s="6"/>
      <c r="AI240" s="6"/>
      <c r="AJ240" s="36"/>
      <c r="AK240" s="31"/>
      <c r="AL240" s="9"/>
      <c r="AM240" s="6"/>
      <c r="AN240" s="6"/>
      <c r="AO240" s="6"/>
      <c r="AP240" s="36"/>
    </row>
    <row r="241" spans="1:44" ht="27">
      <c r="A241" s="30"/>
      <c r="B241" s="130"/>
      <c r="C241" s="143" t="s">
        <v>1973</v>
      </c>
      <c r="D241" s="27"/>
      <c r="E241" s="27"/>
      <c r="F241" s="27"/>
      <c r="G241" s="27"/>
      <c r="H241" s="70" t="s">
        <v>2158</v>
      </c>
      <c r="I241" s="176" t="s">
        <v>2159</v>
      </c>
      <c r="J241" s="136" t="s">
        <v>2157</v>
      </c>
      <c r="K241" s="29"/>
      <c r="L241" s="11"/>
      <c r="M241" s="11"/>
      <c r="N241" s="11"/>
      <c r="O241" s="44"/>
      <c r="P241" s="44"/>
      <c r="Q241" s="44"/>
      <c r="R241" s="53"/>
      <c r="S241" s="45"/>
      <c r="T241" s="45"/>
      <c r="U241" s="45"/>
      <c r="V241" s="53"/>
      <c r="W241" s="31"/>
      <c r="X241" s="9"/>
      <c r="Y241" s="11"/>
      <c r="Z241" s="11"/>
      <c r="AA241" s="64"/>
      <c r="AB241" s="64"/>
      <c r="AC241" s="64"/>
      <c r="AD241" s="36"/>
      <c r="AE241" s="31"/>
      <c r="AF241" s="9"/>
      <c r="AG241" s="6"/>
      <c r="AH241" s="6"/>
      <c r="AI241" s="6"/>
      <c r="AJ241" s="36"/>
      <c r="AK241" s="31"/>
      <c r="AL241" s="9"/>
      <c r="AM241" s="6"/>
      <c r="AN241" s="6"/>
      <c r="AO241" s="6"/>
      <c r="AP241" s="36"/>
    </row>
    <row r="242" spans="1:44" ht="27">
      <c r="A242" s="30">
        <v>353</v>
      </c>
      <c r="B242" s="130"/>
      <c r="C242" s="143" t="s">
        <v>1413</v>
      </c>
      <c r="D242" s="27"/>
      <c r="E242" s="27"/>
      <c r="F242" s="27"/>
      <c r="G242" s="27"/>
      <c r="H242" s="70" t="s">
        <v>1412</v>
      </c>
      <c r="I242" s="176" t="s">
        <v>1773</v>
      </c>
      <c r="J242" s="137" t="s">
        <v>852</v>
      </c>
      <c r="K242" s="29"/>
      <c r="L242" s="11"/>
      <c r="M242" s="11"/>
      <c r="N242" s="11"/>
      <c r="O242" s="44"/>
      <c r="P242" s="44"/>
      <c r="Q242" s="44"/>
      <c r="R242" s="53"/>
      <c r="S242" s="90"/>
      <c r="T242" s="90"/>
      <c r="U242" s="90"/>
      <c r="V242" s="53"/>
      <c r="W242" s="31"/>
      <c r="X242" s="9"/>
      <c r="Y242" s="11"/>
      <c r="Z242" s="11"/>
      <c r="AA242" s="91"/>
      <c r="AB242" s="91"/>
      <c r="AC242" s="91"/>
      <c r="AD242" s="36"/>
      <c r="AE242" s="31"/>
      <c r="AF242" s="9"/>
      <c r="AG242" s="6"/>
      <c r="AH242" s="6"/>
      <c r="AI242" s="6"/>
      <c r="AJ242" s="36"/>
      <c r="AK242" s="31"/>
      <c r="AL242" s="9"/>
      <c r="AM242" s="6"/>
      <c r="AN242" s="6"/>
      <c r="AO242" s="6"/>
      <c r="AP242" s="36"/>
    </row>
    <row r="243" spans="1:44">
      <c r="A243" s="30">
        <v>222</v>
      </c>
      <c r="B243" s="130"/>
      <c r="C243" s="143" t="s">
        <v>525</v>
      </c>
      <c r="D243" s="27"/>
      <c r="E243" s="27"/>
      <c r="F243" s="27"/>
      <c r="G243" s="27"/>
      <c r="H243" s="70" t="s">
        <v>1489</v>
      </c>
      <c r="I243" s="176" t="s">
        <v>891</v>
      </c>
      <c r="J243" s="137" t="s">
        <v>953</v>
      </c>
      <c r="K243" s="117"/>
      <c r="L243" s="6"/>
      <c r="M243" s="6"/>
      <c r="N243" s="6"/>
      <c r="O243" s="44"/>
      <c r="P243" s="44"/>
      <c r="Q243" s="44"/>
      <c r="R243" s="53"/>
      <c r="S243" s="48"/>
      <c r="T243" s="48"/>
      <c r="U243" s="48"/>
      <c r="V243" s="53"/>
      <c r="W243" s="31"/>
      <c r="X243" s="9"/>
      <c r="Y243" s="11"/>
      <c r="Z243" s="11"/>
      <c r="AA243" s="66"/>
      <c r="AB243" s="66"/>
      <c r="AC243" s="66"/>
      <c r="AD243" s="36"/>
      <c r="AE243" s="31"/>
      <c r="AF243" s="9"/>
      <c r="AG243" s="6"/>
      <c r="AH243" s="6"/>
      <c r="AI243" s="6"/>
      <c r="AJ243" s="36"/>
      <c r="AK243" s="31"/>
      <c r="AL243" s="9"/>
      <c r="AM243" s="6"/>
      <c r="AN243" s="6"/>
      <c r="AO243" s="6"/>
      <c r="AP243" s="36"/>
    </row>
    <row r="244" spans="1:44" ht="27">
      <c r="A244" s="30">
        <v>223</v>
      </c>
      <c r="B244" s="130"/>
      <c r="C244" s="143" t="s">
        <v>578</v>
      </c>
      <c r="D244" s="27"/>
      <c r="E244" s="27"/>
      <c r="F244" s="27"/>
      <c r="G244" s="27"/>
      <c r="H244" s="70" t="s">
        <v>1488</v>
      </c>
      <c r="I244" s="176" t="s">
        <v>1490</v>
      </c>
      <c r="J244" s="137" t="s">
        <v>618</v>
      </c>
      <c r="K244" s="29"/>
      <c r="L244" s="11"/>
      <c r="M244" s="11"/>
      <c r="N244" s="11"/>
      <c r="O244" s="44"/>
      <c r="P244" s="44"/>
      <c r="Q244" s="44"/>
      <c r="R244" s="53"/>
      <c r="S244" s="44"/>
      <c r="T244" s="46"/>
      <c r="U244" s="46"/>
      <c r="V244" s="53"/>
      <c r="W244" s="31"/>
      <c r="X244" s="9"/>
      <c r="Y244" s="11"/>
      <c r="Z244" s="11"/>
      <c r="AA244" s="63"/>
      <c r="AB244" s="63"/>
      <c r="AC244" s="63"/>
      <c r="AD244" s="36"/>
      <c r="AE244" s="31"/>
      <c r="AF244" s="9"/>
      <c r="AG244" s="6"/>
      <c r="AH244" s="6"/>
      <c r="AI244" s="6"/>
      <c r="AJ244" s="36"/>
      <c r="AK244" s="31"/>
      <c r="AL244" s="9"/>
      <c r="AM244" s="6"/>
      <c r="AN244" s="6"/>
      <c r="AO244" s="6"/>
      <c r="AP244" s="36"/>
    </row>
    <row r="245" spans="1:44">
      <c r="A245" s="30">
        <v>224</v>
      </c>
      <c r="B245" s="130"/>
      <c r="C245" s="143" t="s">
        <v>998</v>
      </c>
      <c r="D245" s="27"/>
      <c r="E245" s="27"/>
      <c r="F245" s="27"/>
      <c r="G245" s="27"/>
      <c r="H245" s="134" t="s">
        <v>1652</v>
      </c>
      <c r="I245" s="176" t="s">
        <v>1225</v>
      </c>
      <c r="J245" s="137" t="s">
        <v>1653</v>
      </c>
      <c r="K245" s="99">
        <v>276200</v>
      </c>
      <c r="L245" s="11">
        <v>24200</v>
      </c>
      <c r="M245" s="11">
        <v>1210</v>
      </c>
      <c r="N245" s="11">
        <v>25410</v>
      </c>
      <c r="O245" s="44"/>
      <c r="P245" s="44"/>
      <c r="Q245" s="44"/>
      <c r="R245" s="53"/>
      <c r="S245" s="47"/>
      <c r="T245" s="47"/>
      <c r="U245" s="47"/>
      <c r="V245" s="53"/>
      <c r="W245" s="31"/>
      <c r="X245" s="9"/>
      <c r="Y245" s="11"/>
      <c r="Z245" s="11"/>
      <c r="AA245" s="67"/>
      <c r="AB245" s="67"/>
      <c r="AC245" s="67"/>
      <c r="AD245" s="36"/>
      <c r="AE245" s="31"/>
      <c r="AF245" s="9"/>
      <c r="AG245" s="6"/>
      <c r="AH245" s="6"/>
      <c r="AI245" s="6"/>
      <c r="AJ245" s="36"/>
      <c r="AK245" s="31"/>
      <c r="AL245" s="9"/>
      <c r="AM245" s="6"/>
      <c r="AN245" s="6"/>
      <c r="AO245" s="6"/>
      <c r="AP245" s="36"/>
    </row>
    <row r="246" spans="1:44">
      <c r="A246" s="30">
        <v>225</v>
      </c>
      <c r="B246" s="130"/>
      <c r="C246" s="143" t="s">
        <v>505</v>
      </c>
      <c r="D246" s="27"/>
      <c r="E246" s="27"/>
      <c r="F246" s="27"/>
      <c r="G246" s="27"/>
      <c r="H246" s="129" t="s">
        <v>657</v>
      </c>
      <c r="I246" s="186" t="s">
        <v>1064</v>
      </c>
      <c r="J246" s="137" t="s">
        <v>656</v>
      </c>
      <c r="K246" s="29"/>
      <c r="L246" s="11">
        <v>16929</v>
      </c>
      <c r="M246" s="11">
        <v>846.45</v>
      </c>
      <c r="N246" s="11">
        <v>17775.45</v>
      </c>
      <c r="O246" s="44"/>
      <c r="P246" s="44"/>
      <c r="Q246" s="44"/>
      <c r="R246" s="53"/>
      <c r="S246" s="148" t="s">
        <v>662</v>
      </c>
      <c r="T246" s="45"/>
      <c r="U246" s="45"/>
      <c r="V246" s="53"/>
      <c r="W246" s="31"/>
      <c r="X246" s="9"/>
      <c r="Y246" s="11"/>
      <c r="Z246" s="11"/>
      <c r="AA246" s="63"/>
      <c r="AB246" s="63"/>
      <c r="AC246" s="63"/>
      <c r="AD246" s="36"/>
      <c r="AE246" s="31"/>
      <c r="AF246" s="9"/>
      <c r="AG246" s="6"/>
      <c r="AH246" s="6"/>
      <c r="AI246" s="6"/>
      <c r="AJ246" s="36"/>
      <c r="AK246" s="31"/>
      <c r="AL246" s="9"/>
      <c r="AM246" s="6"/>
      <c r="AN246" s="6"/>
      <c r="AO246" s="6"/>
      <c r="AP246" s="36"/>
    </row>
    <row r="247" spans="1:44">
      <c r="A247" s="30">
        <v>226</v>
      </c>
      <c r="B247" s="130"/>
      <c r="C247" s="143" t="s">
        <v>982</v>
      </c>
      <c r="D247" s="27"/>
      <c r="E247" s="27"/>
      <c r="F247" s="27"/>
      <c r="G247" s="27"/>
      <c r="H247" s="287" t="s">
        <v>2255</v>
      </c>
      <c r="I247" s="186" t="s">
        <v>897</v>
      </c>
      <c r="J247" s="137" t="s">
        <v>658</v>
      </c>
      <c r="K247" s="117"/>
      <c r="L247" s="6">
        <v>540</v>
      </c>
      <c r="M247" s="6">
        <v>27</v>
      </c>
      <c r="N247" s="6">
        <v>567</v>
      </c>
      <c r="O247" s="44"/>
      <c r="P247" s="44"/>
      <c r="Q247" s="44"/>
      <c r="R247" s="53"/>
      <c r="S247" s="44"/>
      <c r="T247" s="44"/>
      <c r="U247" s="44"/>
      <c r="V247" s="53"/>
      <c r="W247" s="74"/>
      <c r="X247" s="9"/>
      <c r="Y247" s="11"/>
      <c r="Z247" s="11"/>
      <c r="AA247" s="63"/>
      <c r="AB247" s="63"/>
      <c r="AC247" s="63"/>
      <c r="AD247" s="36"/>
      <c r="AE247" s="31"/>
      <c r="AF247" s="9"/>
      <c r="AG247" s="6"/>
      <c r="AH247" s="6"/>
      <c r="AI247" s="6"/>
      <c r="AJ247" s="36"/>
      <c r="AK247" s="31"/>
      <c r="AL247" s="9"/>
      <c r="AM247" s="6"/>
      <c r="AN247" s="6"/>
      <c r="AO247" s="6"/>
      <c r="AP247" s="36"/>
    </row>
    <row r="248" spans="1:44">
      <c r="A248" s="30">
        <v>227</v>
      </c>
      <c r="B248" s="130"/>
      <c r="C248" s="143" t="s">
        <v>1463</v>
      </c>
      <c r="D248" s="27"/>
      <c r="E248" s="27"/>
      <c r="F248" s="27"/>
      <c r="G248" s="27"/>
      <c r="H248" s="70" t="s">
        <v>1227</v>
      </c>
      <c r="I248" s="176" t="s">
        <v>822</v>
      </c>
      <c r="J248" s="137" t="s">
        <v>607</v>
      </c>
      <c r="K248" s="120">
        <v>123913</v>
      </c>
      <c r="L248" s="6"/>
      <c r="M248" s="6"/>
      <c r="N248" s="6"/>
      <c r="O248" s="44"/>
      <c r="P248" s="44"/>
      <c r="Q248" s="44"/>
      <c r="R248" s="53"/>
      <c r="S248" s="44"/>
      <c r="T248" s="44"/>
      <c r="U248" s="44"/>
      <c r="V248" s="53"/>
      <c r="W248" s="74"/>
      <c r="X248" s="9"/>
      <c r="Y248" s="11"/>
      <c r="Z248" s="11"/>
      <c r="AA248" s="63"/>
      <c r="AB248" s="63"/>
      <c r="AC248" s="63"/>
      <c r="AD248" s="36"/>
      <c r="AE248" s="31"/>
      <c r="AF248" s="9"/>
      <c r="AG248" s="6"/>
      <c r="AH248" s="6"/>
      <c r="AI248" s="6"/>
      <c r="AJ248" s="36"/>
      <c r="AK248" s="31"/>
      <c r="AL248" s="9"/>
      <c r="AM248" s="6"/>
      <c r="AN248" s="6"/>
      <c r="AO248" s="6"/>
      <c r="AP248" s="36"/>
    </row>
    <row r="249" spans="1:44">
      <c r="A249" s="30">
        <v>228</v>
      </c>
      <c r="B249" s="130"/>
      <c r="C249" s="143" t="s">
        <v>1752</v>
      </c>
      <c r="D249" s="27"/>
      <c r="E249" s="27"/>
      <c r="F249" s="27"/>
      <c r="G249" s="27"/>
      <c r="H249" s="287" t="s">
        <v>2287</v>
      </c>
      <c r="I249" s="176" t="s">
        <v>822</v>
      </c>
      <c r="J249" s="137" t="s">
        <v>607</v>
      </c>
      <c r="K249" s="117"/>
      <c r="L249" s="6"/>
      <c r="M249" s="6"/>
      <c r="N249" s="6"/>
      <c r="O249" s="44"/>
      <c r="P249" s="44"/>
      <c r="Q249" s="44"/>
      <c r="R249" s="53"/>
      <c r="S249" s="44"/>
      <c r="T249" s="44"/>
      <c r="U249" s="44"/>
      <c r="V249" s="53"/>
      <c r="W249" s="74"/>
      <c r="X249" s="9"/>
      <c r="Y249" s="11"/>
      <c r="Z249" s="11"/>
      <c r="AA249" s="63"/>
      <c r="AB249" s="63"/>
      <c r="AC249" s="63"/>
      <c r="AD249" s="36"/>
      <c r="AE249" s="31"/>
      <c r="AF249" s="9"/>
      <c r="AG249" s="6"/>
      <c r="AH249" s="6"/>
      <c r="AI249" s="6"/>
      <c r="AJ249" s="36"/>
      <c r="AK249" s="31"/>
      <c r="AL249" s="9"/>
      <c r="AM249" s="6"/>
      <c r="AN249" s="6"/>
      <c r="AO249" s="6"/>
      <c r="AP249" s="36"/>
    </row>
    <row r="250" spans="1:44">
      <c r="A250" s="30">
        <v>229</v>
      </c>
      <c r="B250" s="130"/>
      <c r="C250" s="143" t="s">
        <v>2056</v>
      </c>
      <c r="D250" s="27"/>
      <c r="E250" s="27"/>
      <c r="F250" s="27"/>
      <c r="G250" s="27"/>
      <c r="H250" s="134" t="s">
        <v>2058</v>
      </c>
      <c r="I250" s="176" t="s">
        <v>2059</v>
      </c>
      <c r="J250" s="137" t="s">
        <v>2057</v>
      </c>
      <c r="K250" s="117"/>
      <c r="L250" s="6">
        <v>540</v>
      </c>
      <c r="M250" s="6">
        <v>27</v>
      </c>
      <c r="N250" s="6">
        <v>567</v>
      </c>
      <c r="O250" s="44"/>
      <c r="P250" s="44"/>
      <c r="Q250" s="44"/>
      <c r="R250" s="53"/>
      <c r="S250" s="44"/>
      <c r="T250" s="44"/>
      <c r="U250" s="44"/>
      <c r="V250" s="53"/>
      <c r="W250" s="74"/>
      <c r="X250" s="25"/>
      <c r="Y250" s="11"/>
      <c r="Z250" s="11"/>
      <c r="AA250" s="63"/>
      <c r="AB250" s="63"/>
      <c r="AC250" s="63"/>
      <c r="AD250" s="36"/>
      <c r="AE250" s="31"/>
      <c r="AF250" s="25"/>
      <c r="AG250" s="6"/>
      <c r="AH250" s="6"/>
      <c r="AI250" s="6"/>
      <c r="AJ250" s="36"/>
      <c r="AK250" s="31"/>
      <c r="AL250" s="25"/>
      <c r="AM250" s="6"/>
      <c r="AN250" s="6"/>
      <c r="AO250" s="6"/>
      <c r="AP250" s="36"/>
    </row>
    <row r="251" spans="1:44">
      <c r="A251" s="30">
        <v>230</v>
      </c>
      <c r="B251" s="130"/>
      <c r="C251" s="143" t="s">
        <v>1709</v>
      </c>
      <c r="D251" s="27"/>
      <c r="E251" s="27"/>
      <c r="F251" s="27"/>
      <c r="G251" s="27"/>
      <c r="H251" s="137" t="s">
        <v>1710</v>
      </c>
      <c r="I251" s="176" t="s">
        <v>969</v>
      </c>
      <c r="J251" s="137" t="s">
        <v>592</v>
      </c>
      <c r="K251" s="29"/>
      <c r="L251" s="11"/>
      <c r="M251" s="11"/>
      <c r="N251" s="11"/>
      <c r="O251" s="6"/>
      <c r="P251" s="11"/>
      <c r="Q251" s="11"/>
      <c r="R251" s="29"/>
      <c r="S251" s="6"/>
      <c r="T251" s="11"/>
      <c r="U251" s="11"/>
      <c r="V251" s="29"/>
      <c r="W251" s="31"/>
      <c r="X251" s="9"/>
      <c r="Y251" s="11"/>
      <c r="Z251" s="11"/>
      <c r="AA251" s="6"/>
      <c r="AB251" s="6"/>
      <c r="AC251" s="6"/>
      <c r="AD251" s="36"/>
      <c r="AE251" s="31"/>
      <c r="AF251" s="9"/>
      <c r="AG251" s="6"/>
      <c r="AH251" s="6"/>
      <c r="AI251" s="6"/>
      <c r="AJ251" s="36"/>
      <c r="AK251" s="31"/>
      <c r="AL251" s="9"/>
      <c r="AM251" s="6"/>
      <c r="AN251" s="6"/>
      <c r="AO251" s="6"/>
      <c r="AP251" s="36"/>
    </row>
    <row r="252" spans="1:44">
      <c r="A252" s="30">
        <v>231</v>
      </c>
      <c r="B252" s="130"/>
      <c r="C252" s="159" t="s">
        <v>1238</v>
      </c>
      <c r="D252" s="27"/>
      <c r="E252" s="27"/>
      <c r="F252" s="27"/>
      <c r="G252" s="27"/>
      <c r="H252" s="137" t="s">
        <v>2224</v>
      </c>
      <c r="I252" s="176" t="s">
        <v>1239</v>
      </c>
      <c r="J252" s="137"/>
      <c r="K252" s="29"/>
      <c r="L252" s="11"/>
      <c r="M252" s="11"/>
      <c r="N252" s="11"/>
      <c r="O252" s="6"/>
      <c r="P252" s="11"/>
      <c r="Q252" s="11"/>
      <c r="R252" s="29"/>
      <c r="S252" s="6"/>
      <c r="T252" s="11"/>
      <c r="U252" s="11"/>
      <c r="V252" s="29"/>
      <c r="W252" s="31"/>
      <c r="X252" s="9"/>
      <c r="Y252" s="11"/>
      <c r="Z252" s="11"/>
      <c r="AA252" s="6"/>
      <c r="AB252" s="6"/>
      <c r="AC252" s="6"/>
      <c r="AD252" s="36"/>
      <c r="AE252" s="31"/>
      <c r="AF252" s="9"/>
      <c r="AG252" s="6"/>
      <c r="AH252" s="6"/>
      <c r="AI252" s="6"/>
      <c r="AJ252" s="36"/>
      <c r="AK252" s="31"/>
      <c r="AL252" s="9"/>
      <c r="AM252" s="6"/>
      <c r="AN252" s="6"/>
      <c r="AO252" s="6"/>
      <c r="AP252" s="36"/>
    </row>
    <row r="253" spans="1:44" ht="27">
      <c r="A253" s="30">
        <v>232</v>
      </c>
      <c r="B253" s="130"/>
      <c r="C253" s="143" t="s">
        <v>1243</v>
      </c>
      <c r="D253" s="27"/>
      <c r="E253" s="27"/>
      <c r="F253" s="27"/>
      <c r="G253" s="27"/>
      <c r="H253" s="70" t="s">
        <v>1244</v>
      </c>
      <c r="I253" s="176" t="s">
        <v>851</v>
      </c>
      <c r="J253" s="137" t="s">
        <v>593</v>
      </c>
      <c r="K253" s="117"/>
      <c r="L253" s="6"/>
      <c r="M253" s="6"/>
      <c r="N253" s="6"/>
      <c r="O253" s="44"/>
      <c r="P253" s="44"/>
      <c r="Q253" s="44"/>
      <c r="R253" s="53"/>
      <c r="S253" s="44"/>
      <c r="T253" s="44"/>
      <c r="U253" s="44"/>
      <c r="V253" s="53"/>
      <c r="W253" s="74"/>
      <c r="X253" s="25"/>
      <c r="Y253" s="11"/>
      <c r="Z253" s="11"/>
      <c r="AA253" s="63"/>
      <c r="AB253" s="63"/>
      <c r="AC253" s="63"/>
      <c r="AD253" s="36"/>
      <c r="AE253" s="31"/>
      <c r="AF253" s="9"/>
      <c r="AG253" s="6"/>
      <c r="AH253" s="6"/>
      <c r="AI253" s="6"/>
      <c r="AJ253" s="36"/>
      <c r="AK253" s="31"/>
      <c r="AL253" s="25"/>
      <c r="AM253" s="6"/>
      <c r="AN253" s="6"/>
      <c r="AO253" s="6"/>
      <c r="AP253" s="36"/>
      <c r="AR253" s="58"/>
    </row>
    <row r="254" spans="1:44">
      <c r="A254" s="30">
        <v>233</v>
      </c>
      <c r="B254" s="130"/>
      <c r="C254" s="143" t="s">
        <v>1686</v>
      </c>
      <c r="D254" s="27"/>
      <c r="E254" s="27"/>
      <c r="F254" s="27"/>
      <c r="G254" s="27"/>
      <c r="H254" s="70" t="s">
        <v>1728</v>
      </c>
      <c r="I254" s="176" t="s">
        <v>899</v>
      </c>
      <c r="J254" s="137" t="s">
        <v>1729</v>
      </c>
      <c r="K254" s="29"/>
      <c r="L254" s="11">
        <v>26840</v>
      </c>
      <c r="M254" s="11">
        <v>1342</v>
      </c>
      <c r="N254" s="11">
        <v>28182</v>
      </c>
      <c r="O254" s="44"/>
      <c r="P254" s="44"/>
      <c r="Q254" s="44"/>
      <c r="R254" s="53"/>
      <c r="S254" s="44"/>
      <c r="T254" s="46"/>
      <c r="U254" s="46"/>
      <c r="V254" s="53"/>
      <c r="W254" s="74"/>
      <c r="X254" s="25"/>
      <c r="Y254" s="11"/>
      <c r="Z254" s="11"/>
      <c r="AA254" s="63"/>
      <c r="AB254" s="63"/>
      <c r="AC254" s="63"/>
      <c r="AD254" s="36"/>
      <c r="AE254" s="31"/>
      <c r="AF254" s="9"/>
      <c r="AG254" s="6"/>
      <c r="AH254" s="6"/>
      <c r="AI254" s="6"/>
      <c r="AJ254" s="36"/>
      <c r="AK254" s="31"/>
      <c r="AL254" s="25"/>
      <c r="AM254" s="6"/>
      <c r="AN254" s="6"/>
      <c r="AO254" s="6"/>
      <c r="AP254" s="36"/>
    </row>
    <row r="255" spans="1:44">
      <c r="A255" s="30">
        <v>234</v>
      </c>
      <c r="B255" s="130"/>
      <c r="C255" s="143" t="s">
        <v>579</v>
      </c>
      <c r="D255" s="27"/>
      <c r="E255" s="27"/>
      <c r="F255" s="27"/>
      <c r="G255" s="27"/>
      <c r="H255" s="70" t="s">
        <v>729</v>
      </c>
      <c r="I255" s="176" t="s">
        <v>928</v>
      </c>
      <c r="J255" s="136" t="s">
        <v>1687</v>
      </c>
      <c r="K255" s="117"/>
      <c r="L255" s="6">
        <v>600</v>
      </c>
      <c r="M255" s="6">
        <v>30</v>
      </c>
      <c r="N255" s="6">
        <v>630</v>
      </c>
      <c r="O255" s="44"/>
      <c r="P255" s="44"/>
      <c r="Q255" s="44"/>
      <c r="R255" s="53"/>
      <c r="S255" s="48"/>
      <c r="T255" s="48"/>
      <c r="U255" s="48"/>
      <c r="V255" s="53"/>
      <c r="W255" s="31"/>
      <c r="X255" s="9"/>
      <c r="Y255" s="11"/>
      <c r="Z255" s="11"/>
      <c r="AA255" s="66"/>
      <c r="AB255" s="66"/>
      <c r="AC255" s="66"/>
      <c r="AD255" s="36"/>
      <c r="AE255" s="31"/>
      <c r="AF255" s="9"/>
      <c r="AG255" s="6"/>
      <c r="AH255" s="6"/>
      <c r="AI255" s="6"/>
      <c r="AJ255" s="36"/>
      <c r="AK255" s="31"/>
      <c r="AL255" s="9"/>
      <c r="AM255" s="6"/>
      <c r="AN255" s="6"/>
      <c r="AO255" s="6"/>
      <c r="AP255" s="36"/>
    </row>
    <row r="256" spans="1:44">
      <c r="A256" s="30">
        <v>236</v>
      </c>
      <c r="B256" s="130"/>
      <c r="C256" s="143" t="s">
        <v>1068</v>
      </c>
      <c r="D256" s="27"/>
      <c r="E256" s="27"/>
      <c r="F256" s="27"/>
      <c r="G256" s="27"/>
      <c r="H256" s="70" t="s">
        <v>1069</v>
      </c>
      <c r="I256" s="176" t="s">
        <v>926</v>
      </c>
      <c r="J256" s="136" t="s">
        <v>1070</v>
      </c>
      <c r="K256" s="117"/>
      <c r="L256" s="6"/>
      <c r="M256" s="6"/>
      <c r="N256" s="6"/>
      <c r="O256" s="44"/>
      <c r="P256" s="44"/>
      <c r="Q256" s="44"/>
      <c r="R256" s="53"/>
      <c r="S256" s="48"/>
      <c r="T256" s="48"/>
      <c r="U256" s="48"/>
      <c r="V256" s="53"/>
      <c r="W256" s="31"/>
      <c r="X256" s="9"/>
      <c r="Y256" s="11"/>
      <c r="Z256" s="11"/>
      <c r="AA256" s="66"/>
      <c r="AB256" s="66"/>
      <c r="AC256" s="66"/>
      <c r="AD256" s="36"/>
      <c r="AE256" s="31"/>
      <c r="AF256" s="9"/>
      <c r="AG256" s="6"/>
      <c r="AH256" s="6"/>
      <c r="AI256" s="6"/>
      <c r="AJ256" s="36"/>
      <c r="AK256" s="31"/>
      <c r="AL256" s="9"/>
      <c r="AM256" s="6"/>
      <c r="AN256" s="6"/>
      <c r="AO256" s="6"/>
      <c r="AP256" s="36"/>
    </row>
    <row r="257" spans="1:42">
      <c r="A257" s="30">
        <v>237</v>
      </c>
      <c r="B257" s="130"/>
      <c r="C257" s="143" t="s">
        <v>1195</v>
      </c>
      <c r="D257" s="27"/>
      <c r="E257" s="27"/>
      <c r="F257" s="27"/>
      <c r="G257" s="27"/>
      <c r="H257" s="70" t="s">
        <v>2289</v>
      </c>
      <c r="I257" s="176" t="s">
        <v>831</v>
      </c>
      <c r="J257" s="137" t="s">
        <v>798</v>
      </c>
      <c r="K257" s="29"/>
      <c r="L257" s="11">
        <v>15480</v>
      </c>
      <c r="M257" s="11">
        <v>774</v>
      </c>
      <c r="N257" s="11">
        <v>16254</v>
      </c>
      <c r="O257" s="44"/>
      <c r="P257" s="44"/>
      <c r="Q257" s="44"/>
      <c r="R257" s="53"/>
      <c r="S257" s="44"/>
      <c r="T257" s="46"/>
      <c r="U257" s="46"/>
      <c r="V257" s="53"/>
      <c r="W257" s="31"/>
      <c r="X257" s="9"/>
      <c r="Y257" s="11"/>
      <c r="Z257" s="11"/>
      <c r="AA257" s="63"/>
      <c r="AB257" s="63"/>
      <c r="AC257" s="63"/>
      <c r="AD257" s="36"/>
      <c r="AE257" s="31"/>
      <c r="AF257" s="9"/>
      <c r="AG257" s="6"/>
      <c r="AH257" s="6"/>
      <c r="AI257" s="6"/>
      <c r="AJ257" s="36"/>
      <c r="AK257" s="31"/>
      <c r="AL257" s="9"/>
      <c r="AM257" s="6"/>
      <c r="AN257" s="6"/>
      <c r="AO257" s="6"/>
      <c r="AP257" s="36"/>
    </row>
    <row r="258" spans="1:42">
      <c r="A258" s="30">
        <v>238</v>
      </c>
      <c r="B258" s="130"/>
      <c r="C258" s="143" t="s">
        <v>1280</v>
      </c>
      <c r="D258" s="27"/>
      <c r="E258" s="27"/>
      <c r="F258" s="27"/>
      <c r="G258" s="27"/>
      <c r="H258" s="70" t="s">
        <v>1281</v>
      </c>
      <c r="I258" s="176" t="s">
        <v>864</v>
      </c>
      <c r="J258" s="137" t="s">
        <v>1282</v>
      </c>
      <c r="K258" s="117"/>
      <c r="L258" s="6"/>
      <c r="M258" s="6"/>
      <c r="N258" s="6"/>
      <c r="O258" s="44"/>
      <c r="P258" s="44"/>
      <c r="Q258" s="44"/>
      <c r="R258" s="53"/>
      <c r="S258" s="48"/>
      <c r="T258" s="48"/>
      <c r="U258" s="48"/>
      <c r="V258" s="53"/>
      <c r="W258" s="31"/>
      <c r="X258" s="9"/>
      <c r="Y258" s="11"/>
      <c r="Z258" s="11"/>
      <c r="AA258" s="66"/>
      <c r="AB258" s="66"/>
      <c r="AC258" s="66"/>
      <c r="AD258" s="36"/>
      <c r="AE258" s="31"/>
      <c r="AF258" s="9"/>
      <c r="AG258" s="6"/>
      <c r="AH258" s="6"/>
      <c r="AI258" s="6"/>
      <c r="AJ258" s="36"/>
      <c r="AK258" s="31"/>
      <c r="AL258" s="9"/>
      <c r="AM258" s="6"/>
      <c r="AN258" s="6"/>
      <c r="AO258" s="6"/>
      <c r="AP258" s="36"/>
    </row>
    <row r="259" spans="1:42">
      <c r="A259" s="30">
        <v>239</v>
      </c>
      <c r="B259" s="130"/>
      <c r="C259" s="143" t="s">
        <v>1050</v>
      </c>
      <c r="D259" s="27"/>
      <c r="E259" s="27"/>
      <c r="F259" s="27"/>
      <c r="G259" s="27"/>
      <c r="H259" s="70" t="s">
        <v>1049</v>
      </c>
      <c r="I259" s="176" t="s">
        <v>921</v>
      </c>
      <c r="J259" s="137" t="s">
        <v>618</v>
      </c>
      <c r="K259" s="29"/>
      <c r="L259" s="11"/>
      <c r="M259" s="11"/>
      <c r="N259" s="11"/>
      <c r="O259" s="44"/>
      <c r="P259" s="44"/>
      <c r="Q259" s="44"/>
      <c r="R259" s="53"/>
      <c r="S259" s="44"/>
      <c r="T259" s="46"/>
      <c r="U259" s="46"/>
      <c r="V259" s="53"/>
      <c r="W259" s="31"/>
      <c r="X259" s="9"/>
      <c r="Y259" s="11"/>
      <c r="Z259" s="11"/>
      <c r="AA259" s="63"/>
      <c r="AB259" s="63"/>
      <c r="AC259" s="63"/>
      <c r="AD259" s="36"/>
      <c r="AE259" s="31"/>
      <c r="AF259" s="9"/>
      <c r="AG259" s="6"/>
      <c r="AH259" s="6"/>
      <c r="AI259" s="6"/>
      <c r="AJ259" s="36"/>
      <c r="AK259" s="31"/>
      <c r="AL259" s="9"/>
      <c r="AM259" s="6"/>
      <c r="AN259" s="6"/>
      <c r="AO259" s="6"/>
      <c r="AP259" s="36"/>
    </row>
    <row r="260" spans="1:42">
      <c r="A260" s="30">
        <v>240</v>
      </c>
      <c r="B260" s="130"/>
      <c r="C260" s="143" t="s">
        <v>1241</v>
      </c>
      <c r="D260" s="27"/>
      <c r="E260" s="27"/>
      <c r="F260" s="27"/>
      <c r="G260" s="27"/>
      <c r="H260" s="70" t="s">
        <v>1242</v>
      </c>
      <c r="I260" s="176" t="s">
        <v>1180</v>
      </c>
      <c r="J260" s="136"/>
      <c r="K260" s="117"/>
      <c r="L260" s="6"/>
      <c r="M260" s="6"/>
      <c r="N260" s="6"/>
      <c r="O260" s="44"/>
      <c r="P260" s="44"/>
      <c r="Q260" s="44"/>
      <c r="R260" s="53"/>
      <c r="S260" s="44"/>
      <c r="T260" s="44"/>
      <c r="U260" s="44"/>
      <c r="V260" s="53"/>
      <c r="W260" s="31"/>
      <c r="X260" s="9"/>
      <c r="Y260" s="11"/>
      <c r="Z260" s="11"/>
      <c r="AA260" s="63"/>
      <c r="AB260" s="63"/>
      <c r="AC260" s="63"/>
      <c r="AD260" s="36"/>
      <c r="AE260" s="31"/>
      <c r="AF260" s="9"/>
      <c r="AG260" s="6"/>
      <c r="AH260" s="6"/>
      <c r="AI260" s="6"/>
      <c r="AJ260" s="36"/>
      <c r="AK260" s="31"/>
      <c r="AL260" s="9"/>
      <c r="AM260" s="6"/>
      <c r="AN260" s="6"/>
      <c r="AO260" s="6"/>
      <c r="AP260" s="36"/>
    </row>
    <row r="261" spans="1:42" ht="27">
      <c r="A261" s="30">
        <v>241</v>
      </c>
      <c r="B261" s="130"/>
      <c r="C261" s="159" t="s">
        <v>1461</v>
      </c>
      <c r="D261" s="27"/>
      <c r="E261" s="27"/>
      <c r="F261" s="27"/>
      <c r="G261" s="27"/>
      <c r="H261" s="70" t="s">
        <v>857</v>
      </c>
      <c r="I261" s="176" t="s">
        <v>858</v>
      </c>
      <c r="J261" s="137" t="s">
        <v>856</v>
      </c>
      <c r="K261" s="118"/>
      <c r="L261" s="86"/>
      <c r="M261" s="86"/>
      <c r="N261" s="86"/>
      <c r="O261" s="44"/>
      <c r="P261" s="44"/>
      <c r="Q261" s="44"/>
      <c r="R261" s="53"/>
      <c r="S261" s="44"/>
      <c r="T261" s="44"/>
      <c r="U261" s="44"/>
      <c r="V261" s="53"/>
      <c r="W261" s="111"/>
      <c r="AA261" s="112"/>
      <c r="AB261" s="112"/>
      <c r="AC261" s="112"/>
      <c r="AE261" s="111"/>
      <c r="AG261" s="8"/>
      <c r="AH261" s="8"/>
      <c r="AI261" s="8"/>
      <c r="AK261" s="111"/>
      <c r="AM261" s="8"/>
      <c r="AN261" s="8"/>
      <c r="AO261" s="8"/>
    </row>
    <row r="262" spans="1:42">
      <c r="A262" s="30">
        <v>242</v>
      </c>
      <c r="B262" s="130"/>
      <c r="C262" s="159" t="s">
        <v>2160</v>
      </c>
      <c r="D262" s="27"/>
      <c r="E262" s="27"/>
      <c r="F262" s="27"/>
      <c r="G262" s="27"/>
      <c r="H262" s="70" t="s">
        <v>2161</v>
      </c>
      <c r="I262" s="176" t="s">
        <v>871</v>
      </c>
      <c r="J262" s="137" t="s">
        <v>2162</v>
      </c>
      <c r="K262" s="118"/>
      <c r="L262" s="86"/>
      <c r="M262" s="86"/>
      <c r="N262" s="86"/>
      <c r="O262" s="44"/>
      <c r="P262" s="44"/>
      <c r="Q262" s="44"/>
      <c r="R262" s="53"/>
      <c r="S262" s="44"/>
      <c r="T262" s="44"/>
      <c r="U262" s="44"/>
      <c r="V262" s="53"/>
      <c r="W262" s="111"/>
      <c r="AA262" s="112"/>
      <c r="AB262" s="112"/>
      <c r="AC262" s="112"/>
      <c r="AE262" s="111"/>
      <c r="AG262" s="8"/>
      <c r="AH262" s="8"/>
      <c r="AI262" s="8"/>
      <c r="AK262" s="111"/>
      <c r="AM262" s="8"/>
      <c r="AN262" s="8"/>
      <c r="AO262" s="8"/>
    </row>
    <row r="263" spans="1:42">
      <c r="A263" s="30"/>
      <c r="B263" s="130"/>
      <c r="C263" s="159" t="s">
        <v>2173</v>
      </c>
      <c r="D263" s="27"/>
      <c r="E263" s="27"/>
      <c r="F263" s="27"/>
      <c r="G263" s="27"/>
      <c r="H263" s="70" t="s">
        <v>2174</v>
      </c>
      <c r="I263" s="176" t="s">
        <v>2183</v>
      </c>
      <c r="J263" s="137" t="s">
        <v>2175</v>
      </c>
      <c r="K263" s="118"/>
      <c r="L263" s="86"/>
      <c r="M263" s="86"/>
      <c r="N263" s="86"/>
      <c r="O263" s="44"/>
      <c r="P263" s="44"/>
      <c r="Q263" s="44"/>
      <c r="R263" s="53"/>
      <c r="S263" s="44"/>
      <c r="T263" s="44"/>
      <c r="U263" s="44"/>
      <c r="V263" s="53"/>
      <c r="W263" s="111"/>
      <c r="AA263" s="112"/>
      <c r="AB263" s="112"/>
      <c r="AC263" s="112"/>
      <c r="AE263" s="111"/>
      <c r="AG263" s="8"/>
      <c r="AH263" s="8"/>
      <c r="AI263" s="8"/>
      <c r="AK263" s="111"/>
      <c r="AM263" s="8"/>
      <c r="AN263" s="8"/>
      <c r="AO263" s="8"/>
    </row>
    <row r="264" spans="1:42">
      <c r="A264" s="30">
        <v>243</v>
      </c>
      <c r="B264" s="130"/>
      <c r="C264" s="143" t="s">
        <v>1690</v>
      </c>
      <c r="D264" s="27"/>
      <c r="E264" s="27"/>
      <c r="F264" s="27"/>
      <c r="G264" s="27"/>
      <c r="H264" s="86" t="s">
        <v>1691</v>
      </c>
      <c r="I264" s="187" t="s">
        <v>1692</v>
      </c>
      <c r="J264" s="139" t="s">
        <v>1173</v>
      </c>
      <c r="K264" s="118"/>
      <c r="L264" s="86"/>
      <c r="M264" s="86"/>
      <c r="N264" s="86"/>
      <c r="O264" s="44"/>
      <c r="P264" s="44"/>
      <c r="Q264" s="44"/>
      <c r="R264" s="53"/>
      <c r="S264" s="44"/>
      <c r="T264" s="44"/>
      <c r="U264" s="44"/>
      <c r="V264" s="53"/>
      <c r="W264" s="111"/>
      <c r="AA264" s="112"/>
      <c r="AB264" s="112"/>
      <c r="AC264" s="112"/>
      <c r="AE264" s="111"/>
      <c r="AG264" s="8"/>
      <c r="AH264" s="8"/>
      <c r="AI264" s="8"/>
      <c r="AK264" s="111"/>
      <c r="AM264" s="8"/>
      <c r="AN264" s="8"/>
      <c r="AO264" s="8"/>
    </row>
    <row r="265" spans="1:42">
      <c r="A265" s="30">
        <v>244</v>
      </c>
      <c r="B265" s="130"/>
      <c r="C265" s="143" t="s">
        <v>1177</v>
      </c>
      <c r="D265" s="27"/>
      <c r="E265" s="27"/>
      <c r="F265" s="27"/>
      <c r="G265" s="27"/>
      <c r="H265" s="86" t="s">
        <v>1179</v>
      </c>
      <c r="I265" s="187" t="s">
        <v>1180</v>
      </c>
      <c r="J265" s="139" t="s">
        <v>1178</v>
      </c>
      <c r="K265" s="118"/>
      <c r="L265" s="86"/>
      <c r="M265" s="86"/>
      <c r="N265" s="86"/>
      <c r="O265" s="44"/>
      <c r="P265" s="44"/>
      <c r="Q265" s="44"/>
      <c r="R265" s="53"/>
      <c r="S265" s="44"/>
      <c r="T265" s="44"/>
      <c r="U265" s="44"/>
      <c r="V265" s="53"/>
      <c r="W265" s="111"/>
      <c r="AA265" s="112"/>
      <c r="AB265" s="112"/>
      <c r="AC265" s="112"/>
      <c r="AE265" s="111"/>
      <c r="AG265" s="8"/>
      <c r="AH265" s="8"/>
      <c r="AI265" s="8"/>
      <c r="AK265" s="111"/>
      <c r="AM265" s="8"/>
      <c r="AN265" s="8"/>
      <c r="AO265" s="8"/>
    </row>
    <row r="266" spans="1:42">
      <c r="A266" s="30">
        <v>245</v>
      </c>
      <c r="B266" s="130"/>
      <c r="C266" s="143" t="s">
        <v>1340</v>
      </c>
      <c r="D266" s="27"/>
      <c r="E266" s="27"/>
      <c r="F266" s="27"/>
      <c r="G266" s="27"/>
      <c r="H266" s="86" t="s">
        <v>1341</v>
      </c>
      <c r="I266" s="187" t="s">
        <v>1342</v>
      </c>
      <c r="J266" s="139" t="s">
        <v>1359</v>
      </c>
      <c r="K266" s="118"/>
      <c r="L266" s="86"/>
      <c r="M266" s="86"/>
      <c r="N266" s="86"/>
      <c r="O266" s="44"/>
      <c r="P266" s="44"/>
      <c r="Q266" s="44"/>
      <c r="R266" s="53"/>
      <c r="S266" s="44"/>
      <c r="T266" s="44"/>
      <c r="U266" s="44"/>
      <c r="V266" s="53"/>
      <c r="W266" s="111"/>
      <c r="AA266" s="112"/>
      <c r="AB266" s="112"/>
      <c r="AC266" s="112"/>
      <c r="AE266" s="111"/>
      <c r="AG266" s="8"/>
      <c r="AH266" s="8"/>
      <c r="AI266" s="8"/>
      <c r="AK266" s="111"/>
      <c r="AM266" s="8"/>
      <c r="AN266" s="8"/>
      <c r="AO266" s="8"/>
    </row>
    <row r="267" spans="1:42" ht="27">
      <c r="A267" s="30">
        <v>246</v>
      </c>
      <c r="B267" s="130"/>
      <c r="C267" s="143" t="s">
        <v>1343</v>
      </c>
      <c r="D267" s="27"/>
      <c r="E267" s="27"/>
      <c r="F267" s="27"/>
      <c r="G267" s="27"/>
      <c r="H267" s="70" t="s">
        <v>1345</v>
      </c>
      <c r="I267" s="188" t="s">
        <v>1225</v>
      </c>
      <c r="J267" s="139" t="s">
        <v>1344</v>
      </c>
      <c r="K267" s="29"/>
      <c r="L267" s="11">
        <v>25200</v>
      </c>
      <c r="M267" s="11">
        <v>1260</v>
      </c>
      <c r="N267" s="9"/>
      <c r="O267" s="44"/>
      <c r="P267" s="44"/>
      <c r="Q267" s="44"/>
      <c r="R267" s="53"/>
      <c r="S267" s="44"/>
      <c r="T267" s="46"/>
      <c r="U267" s="46"/>
      <c r="V267" s="53"/>
      <c r="W267" s="31"/>
      <c r="X267" s="9"/>
      <c r="Y267" s="11"/>
      <c r="Z267" s="11"/>
      <c r="AA267" s="63"/>
      <c r="AB267" s="63"/>
      <c r="AC267" s="63"/>
      <c r="AD267" s="36"/>
      <c r="AE267" s="31"/>
      <c r="AF267" s="9"/>
      <c r="AG267" s="6"/>
      <c r="AH267" s="6"/>
      <c r="AI267" s="6"/>
      <c r="AJ267" s="36"/>
      <c r="AK267" s="31"/>
      <c r="AL267" s="9"/>
      <c r="AM267" s="6"/>
      <c r="AN267" s="6"/>
      <c r="AO267" s="6"/>
      <c r="AP267" s="36"/>
    </row>
    <row r="268" spans="1:42">
      <c r="A268" s="30"/>
      <c r="B268" s="130"/>
      <c r="C268" s="143" t="s">
        <v>1942</v>
      </c>
      <c r="D268" s="27"/>
      <c r="E268" s="27"/>
      <c r="F268" s="27"/>
      <c r="G268" s="27"/>
      <c r="H268" s="70" t="s">
        <v>1943</v>
      </c>
      <c r="I268" s="176" t="s">
        <v>1944</v>
      </c>
      <c r="J268" s="139" t="s">
        <v>1945</v>
      </c>
      <c r="K268" s="54"/>
      <c r="L268" s="60"/>
      <c r="M268" s="60"/>
      <c r="N268" s="18"/>
      <c r="O268" s="109"/>
      <c r="P268" s="109"/>
      <c r="Q268" s="109"/>
      <c r="R268" s="110"/>
      <c r="S268" s="109"/>
      <c r="T268" s="260"/>
      <c r="U268" s="260"/>
      <c r="V268" s="110"/>
      <c r="W268" s="111"/>
      <c r="AA268" s="112"/>
      <c r="AB268" s="112"/>
      <c r="AC268" s="112"/>
      <c r="AE268" s="111"/>
      <c r="AG268" s="8"/>
      <c r="AH268" s="8"/>
      <c r="AI268" s="8"/>
      <c r="AK268" s="111"/>
      <c r="AM268" s="8"/>
      <c r="AN268" s="8"/>
      <c r="AO268" s="8"/>
    </row>
    <row r="269" spans="1:42">
      <c r="A269" s="30">
        <v>247</v>
      </c>
      <c r="B269" s="130"/>
      <c r="C269" s="143" t="s">
        <v>1439</v>
      </c>
      <c r="D269" s="27"/>
      <c r="E269" s="27"/>
      <c r="F269" s="27"/>
      <c r="G269" s="27"/>
      <c r="H269" s="70" t="s">
        <v>1440</v>
      </c>
      <c r="I269" s="176" t="s">
        <v>1441</v>
      </c>
      <c r="J269" s="139" t="s">
        <v>1442</v>
      </c>
      <c r="N269"/>
      <c r="O269" s="109"/>
      <c r="P269" s="109"/>
      <c r="Q269" s="109"/>
      <c r="R269" s="110"/>
      <c r="S269" s="109"/>
      <c r="T269" s="109"/>
      <c r="U269" s="109"/>
      <c r="V269" s="110"/>
      <c r="W269" s="111"/>
      <c r="AA269" s="112"/>
      <c r="AB269" s="112"/>
      <c r="AC269" s="112"/>
      <c r="AE269" s="111"/>
      <c r="AG269" s="8"/>
      <c r="AH269" s="8"/>
      <c r="AI269" s="8"/>
      <c r="AK269" s="111"/>
      <c r="AM269" s="8"/>
      <c r="AN269" s="8"/>
      <c r="AO269" s="8"/>
    </row>
    <row r="270" spans="1:42">
      <c r="A270" s="30">
        <v>248</v>
      </c>
      <c r="B270" s="130"/>
      <c r="C270" s="143" t="s">
        <v>932</v>
      </c>
      <c r="D270" s="27"/>
      <c r="E270" s="27"/>
      <c r="F270" s="27"/>
      <c r="G270" s="27"/>
      <c r="H270" s="70" t="s">
        <v>793</v>
      </c>
      <c r="I270" s="176" t="s">
        <v>909</v>
      </c>
      <c r="J270" s="139"/>
      <c r="K270" s="117"/>
      <c r="L270" s="6">
        <v>192</v>
      </c>
      <c r="M270" s="6">
        <v>9.6000000000000014</v>
      </c>
      <c r="N270" s="5"/>
      <c r="O270" s="44"/>
      <c r="P270" s="44"/>
      <c r="Q270" s="44"/>
      <c r="R270" s="53"/>
      <c r="S270" s="44"/>
      <c r="T270" s="44"/>
      <c r="U270" s="44"/>
      <c r="V270" s="53"/>
      <c r="W270" s="31"/>
      <c r="X270" s="9"/>
      <c r="Y270" s="11"/>
      <c r="Z270" s="11"/>
      <c r="AA270" s="63"/>
      <c r="AB270" s="63"/>
      <c r="AC270" s="63"/>
      <c r="AD270" s="36"/>
      <c r="AE270" s="31"/>
      <c r="AF270" s="9"/>
      <c r="AG270" s="6"/>
      <c r="AH270" s="6"/>
      <c r="AI270" s="6"/>
      <c r="AJ270" s="36"/>
      <c r="AK270" s="31"/>
      <c r="AL270" s="9"/>
      <c r="AM270" s="6"/>
      <c r="AN270" s="6"/>
      <c r="AO270" s="6"/>
      <c r="AP270" s="36"/>
    </row>
    <row r="271" spans="1:42">
      <c r="A271" s="30">
        <v>249</v>
      </c>
      <c r="B271" s="130"/>
      <c r="C271" s="143" t="s">
        <v>939</v>
      </c>
      <c r="D271" s="27"/>
      <c r="E271" s="27"/>
      <c r="F271" s="27"/>
      <c r="G271" s="27"/>
      <c r="H271" s="70" t="s">
        <v>793</v>
      </c>
      <c r="I271" s="176" t="s">
        <v>909</v>
      </c>
      <c r="J271" s="139"/>
      <c r="K271" s="117"/>
      <c r="L271" s="6"/>
      <c r="M271" s="6"/>
      <c r="N271" s="5"/>
      <c r="O271" s="44"/>
      <c r="P271" s="44"/>
      <c r="Q271" s="44"/>
      <c r="R271" s="53"/>
      <c r="S271" s="44"/>
      <c r="T271" s="44"/>
      <c r="U271" s="44"/>
      <c r="V271" s="53"/>
      <c r="W271" s="31"/>
      <c r="X271" s="9"/>
      <c r="AA271" s="112"/>
      <c r="AB271" s="112"/>
      <c r="AC271" s="112"/>
      <c r="AE271" s="111"/>
      <c r="AG271" s="8"/>
      <c r="AH271" s="8"/>
      <c r="AI271" s="8"/>
      <c r="AK271" s="111"/>
      <c r="AM271" s="8"/>
      <c r="AN271" s="8"/>
      <c r="AO271" s="8"/>
    </row>
    <row r="272" spans="1:42">
      <c r="A272" s="30">
        <v>250</v>
      </c>
      <c r="B272" s="130"/>
      <c r="C272" s="143" t="s">
        <v>1008</v>
      </c>
      <c r="D272" s="27"/>
      <c r="E272" s="27"/>
      <c r="F272" s="27"/>
      <c r="G272" s="27"/>
      <c r="H272" s="70" t="s">
        <v>1711</v>
      </c>
      <c r="I272" s="176" t="s">
        <v>921</v>
      </c>
      <c r="J272" s="139" t="s">
        <v>920</v>
      </c>
      <c r="K272" s="118"/>
      <c r="L272" s="86"/>
      <c r="M272" s="86"/>
      <c r="N272" s="86"/>
      <c r="O272" s="44"/>
      <c r="P272" s="44"/>
      <c r="Q272" s="44"/>
      <c r="R272" s="53"/>
      <c r="S272" s="44"/>
      <c r="T272" s="44"/>
      <c r="U272" s="44"/>
      <c r="V272" s="53"/>
      <c r="W272" s="31"/>
      <c r="X272" s="9"/>
      <c r="AA272" s="112"/>
      <c r="AB272" s="112"/>
      <c r="AC272" s="112"/>
      <c r="AE272" s="111"/>
      <c r="AG272" s="8"/>
      <c r="AH272" s="8"/>
      <c r="AI272" s="8"/>
      <c r="AK272" s="111"/>
      <c r="AM272" s="8"/>
      <c r="AN272" s="8"/>
      <c r="AO272" s="8"/>
    </row>
    <row r="273" spans="1:42">
      <c r="A273" s="30">
        <v>251</v>
      </c>
      <c r="B273" s="130"/>
      <c r="C273" s="143" t="s">
        <v>1718</v>
      </c>
      <c r="D273" s="27"/>
      <c r="E273" s="27"/>
      <c r="F273" s="27"/>
      <c r="G273" s="27"/>
      <c r="H273" s="70" t="s">
        <v>1719</v>
      </c>
      <c r="I273" s="176" t="s">
        <v>1720</v>
      </c>
      <c r="J273" s="139" t="s">
        <v>920</v>
      </c>
      <c r="K273" s="118"/>
      <c r="L273" s="86"/>
      <c r="M273" s="86"/>
      <c r="N273" s="86"/>
      <c r="O273" s="44"/>
      <c r="P273" s="44"/>
      <c r="Q273" s="44"/>
      <c r="R273" s="53"/>
      <c r="S273" s="44"/>
      <c r="T273" s="44"/>
      <c r="U273" s="44"/>
      <c r="V273" s="53"/>
      <c r="W273" s="74"/>
      <c r="X273" s="9"/>
      <c r="Y273" s="11"/>
      <c r="Z273" s="11"/>
      <c r="AA273" s="63"/>
      <c r="AB273" s="63"/>
      <c r="AC273" s="63"/>
      <c r="AD273" s="36"/>
      <c r="AE273" s="31"/>
      <c r="AF273" s="9"/>
      <c r="AG273" s="6"/>
      <c r="AH273" s="6"/>
      <c r="AI273" s="6"/>
      <c r="AJ273" s="36"/>
      <c r="AK273" s="31"/>
      <c r="AL273" s="9"/>
      <c r="AM273" s="6"/>
      <c r="AN273" s="6"/>
      <c r="AO273" s="6"/>
      <c r="AP273" s="36"/>
    </row>
    <row r="274" spans="1:42">
      <c r="A274" s="30">
        <v>252</v>
      </c>
      <c r="B274" s="133"/>
      <c r="C274" s="143" t="s">
        <v>1107</v>
      </c>
      <c r="D274" s="27"/>
      <c r="E274" s="27"/>
      <c r="F274" s="27"/>
      <c r="G274" s="27"/>
      <c r="H274" s="70" t="s">
        <v>565</v>
      </c>
      <c r="I274" s="258" t="s">
        <v>933</v>
      </c>
      <c r="J274" s="259" t="s">
        <v>1916</v>
      </c>
      <c r="K274" s="118"/>
      <c r="L274" s="86"/>
      <c r="M274" s="86"/>
      <c r="N274" s="86"/>
      <c r="O274" s="44"/>
      <c r="P274" s="44"/>
      <c r="Q274" s="44"/>
      <c r="R274" s="53"/>
      <c r="S274" s="44"/>
      <c r="T274" s="44"/>
      <c r="U274" s="44"/>
      <c r="V274" s="53"/>
      <c r="W274" s="31"/>
      <c r="X274" s="9"/>
      <c r="AA274" s="112"/>
      <c r="AB274" s="112"/>
      <c r="AC274" s="112"/>
      <c r="AE274" s="111"/>
      <c r="AG274" s="8"/>
      <c r="AH274" s="8"/>
      <c r="AI274" s="8"/>
      <c r="AK274" s="111"/>
      <c r="AM274" s="8"/>
      <c r="AN274" s="8"/>
      <c r="AO274" s="8"/>
    </row>
    <row r="275" spans="1:42" ht="27">
      <c r="A275" s="30">
        <v>253</v>
      </c>
      <c r="B275" s="133"/>
      <c r="C275" s="143" t="s">
        <v>1321</v>
      </c>
      <c r="D275" s="27"/>
      <c r="E275" s="27"/>
      <c r="F275" s="27"/>
      <c r="G275" s="27"/>
      <c r="H275" s="70" t="s">
        <v>1322</v>
      </c>
      <c r="I275" s="176" t="s">
        <v>1172</v>
      </c>
      <c r="J275" s="139" t="s">
        <v>1323</v>
      </c>
      <c r="K275" s="118"/>
      <c r="L275" s="86"/>
      <c r="M275" s="86"/>
      <c r="N275" s="86"/>
      <c r="O275" s="44"/>
      <c r="P275" s="44"/>
      <c r="Q275" s="44"/>
      <c r="R275" s="53"/>
      <c r="S275" s="44"/>
      <c r="T275" s="44"/>
      <c r="U275" s="44"/>
      <c r="V275" s="53"/>
      <c r="W275" s="31"/>
      <c r="X275" s="9"/>
      <c r="AA275" s="112"/>
      <c r="AB275" s="112"/>
      <c r="AC275" s="112"/>
      <c r="AE275" s="111"/>
      <c r="AG275" s="8"/>
      <c r="AH275" s="8"/>
      <c r="AI275" s="8"/>
      <c r="AK275" s="111"/>
      <c r="AM275" s="8"/>
      <c r="AN275" s="8"/>
      <c r="AO275" s="8"/>
    </row>
    <row r="276" spans="1:42">
      <c r="A276" s="30">
        <v>254</v>
      </c>
      <c r="B276" s="133"/>
      <c r="C276" s="197" t="s">
        <v>1029</v>
      </c>
      <c r="D276" s="198"/>
      <c r="E276" s="198"/>
      <c r="F276" s="198"/>
      <c r="G276" s="198"/>
      <c r="H276" s="199" t="s">
        <v>794</v>
      </c>
      <c r="I276" s="200" t="s">
        <v>929</v>
      </c>
      <c r="J276" s="137" t="s">
        <v>795</v>
      </c>
      <c r="K276" s="117"/>
      <c r="L276" s="6"/>
      <c r="M276" s="6"/>
      <c r="N276" s="6"/>
      <c r="O276" s="44"/>
      <c r="P276" s="44"/>
      <c r="Q276" s="44"/>
      <c r="R276" s="53"/>
      <c r="S276" s="45"/>
      <c r="T276" s="45"/>
      <c r="U276" s="45"/>
      <c r="V276" s="53"/>
      <c r="W276" s="31"/>
      <c r="X276" s="9"/>
      <c r="Y276" s="11"/>
      <c r="Z276" s="29"/>
      <c r="AA276" s="68"/>
      <c r="AB276" s="68"/>
      <c r="AC276" s="68"/>
      <c r="AD276" s="36"/>
      <c r="AE276" s="31"/>
      <c r="AF276" s="9"/>
      <c r="AG276" s="6"/>
      <c r="AH276" s="6"/>
      <c r="AI276" s="6"/>
      <c r="AJ276" s="36"/>
      <c r="AK276" s="31"/>
      <c r="AL276" s="9"/>
      <c r="AM276" s="6"/>
      <c r="AN276" s="6"/>
      <c r="AO276" s="6"/>
      <c r="AP276" s="36"/>
    </row>
    <row r="277" spans="1:42">
      <c r="A277" s="30">
        <v>255</v>
      </c>
      <c r="B277" s="133"/>
      <c r="C277" s="143" t="s">
        <v>582</v>
      </c>
      <c r="D277" s="27"/>
      <c r="E277" s="27"/>
      <c r="F277" s="27"/>
      <c r="G277" s="27"/>
      <c r="H277" s="132" t="s">
        <v>741</v>
      </c>
      <c r="I277" s="180"/>
      <c r="J277" s="134"/>
      <c r="K277" s="118"/>
      <c r="L277" s="86"/>
      <c r="M277" s="86"/>
      <c r="N277" s="86"/>
      <c r="O277" s="44"/>
      <c r="P277" s="44"/>
      <c r="Q277" s="44"/>
      <c r="R277" s="53"/>
      <c r="S277" s="44"/>
      <c r="T277" s="44"/>
      <c r="U277" s="44"/>
      <c r="V277" s="53"/>
      <c r="W277" s="31"/>
      <c r="X277" s="9"/>
      <c r="AA277" s="112"/>
      <c r="AB277" s="112"/>
      <c r="AC277" s="112"/>
      <c r="AE277" s="111"/>
      <c r="AG277" s="8"/>
      <c r="AH277" s="8"/>
      <c r="AI277" s="8"/>
      <c r="AK277" s="111"/>
      <c r="AM277" s="8"/>
      <c r="AN277" s="8"/>
      <c r="AO277" s="8"/>
    </row>
    <row r="278" spans="1:42">
      <c r="A278" s="30">
        <v>256</v>
      </c>
      <c r="B278" s="133"/>
      <c r="C278" s="143" t="s">
        <v>1511</v>
      </c>
      <c r="D278" s="27"/>
      <c r="E278" s="27"/>
      <c r="F278" s="27"/>
      <c r="G278" s="27"/>
      <c r="H278" s="70" t="s">
        <v>1707</v>
      </c>
      <c r="I278" s="176" t="s">
        <v>999</v>
      </c>
      <c r="J278" s="139" t="s">
        <v>1642</v>
      </c>
      <c r="K278" s="118"/>
      <c r="L278" s="86"/>
      <c r="M278" s="86"/>
      <c r="N278" s="86"/>
      <c r="O278" s="44"/>
      <c r="P278" s="44"/>
      <c r="Q278" s="44"/>
      <c r="R278" s="53"/>
      <c r="S278" s="44"/>
      <c r="T278" s="44"/>
      <c r="U278" s="44"/>
      <c r="V278" s="53"/>
      <c r="W278" s="31"/>
      <c r="X278" s="9"/>
      <c r="AA278" s="112"/>
      <c r="AB278" s="112"/>
      <c r="AC278" s="112"/>
      <c r="AE278" s="111"/>
      <c r="AG278" s="8"/>
      <c r="AH278" s="8"/>
      <c r="AI278" s="8"/>
      <c r="AK278" s="111"/>
      <c r="AM278" s="8"/>
      <c r="AN278" s="8"/>
      <c r="AO278" s="8"/>
    </row>
    <row r="279" spans="1:42">
      <c r="A279" s="30">
        <v>257</v>
      </c>
      <c r="B279" s="133"/>
      <c r="C279" s="143" t="s">
        <v>680</v>
      </c>
      <c r="D279" s="27"/>
      <c r="E279" s="27"/>
      <c r="F279" s="27"/>
      <c r="G279" s="27"/>
      <c r="H279" s="70" t="s">
        <v>1027</v>
      </c>
      <c r="I279" s="176" t="s">
        <v>955</v>
      </c>
      <c r="J279" s="139" t="s">
        <v>1026</v>
      </c>
      <c r="K279" s="118"/>
      <c r="L279" s="86"/>
      <c r="M279" s="86"/>
      <c r="N279" s="86"/>
      <c r="O279" s="44"/>
      <c r="P279" s="44"/>
      <c r="Q279" s="44"/>
      <c r="R279" s="53"/>
      <c r="S279" s="44"/>
      <c r="T279" s="44"/>
      <c r="U279" s="44"/>
      <c r="V279" s="53"/>
      <c r="W279" s="31"/>
      <c r="X279" s="9"/>
      <c r="AA279" s="112"/>
      <c r="AB279" s="112"/>
      <c r="AC279" s="112"/>
      <c r="AE279" s="111"/>
      <c r="AG279" s="8"/>
      <c r="AH279" s="8"/>
      <c r="AI279" s="8"/>
      <c r="AK279" s="111"/>
      <c r="AM279" s="8"/>
      <c r="AN279" s="8"/>
      <c r="AO279" s="8"/>
    </row>
    <row r="280" spans="1:42">
      <c r="A280" s="30"/>
      <c r="B280" s="133"/>
      <c r="C280" s="143" t="s">
        <v>1724</v>
      </c>
      <c r="D280" s="27"/>
      <c r="E280" s="27"/>
      <c r="F280" s="27"/>
      <c r="G280" s="27"/>
      <c r="H280" s="70" t="s">
        <v>1725</v>
      </c>
      <c r="I280" s="176" t="s">
        <v>1726</v>
      </c>
      <c r="J280" s="139" t="s">
        <v>1727</v>
      </c>
      <c r="K280" s="118"/>
      <c r="L280" s="86"/>
      <c r="M280" s="86"/>
      <c r="N280" s="86"/>
      <c r="O280" s="44"/>
      <c r="P280" s="44"/>
      <c r="Q280" s="44"/>
      <c r="R280" s="53"/>
      <c r="S280" s="44"/>
      <c r="T280" s="44"/>
      <c r="U280" s="44"/>
      <c r="V280" s="53"/>
      <c r="W280" s="31"/>
      <c r="X280" s="9"/>
      <c r="AA280" s="112"/>
      <c r="AB280" s="112"/>
      <c r="AC280" s="112"/>
      <c r="AE280" s="111"/>
      <c r="AG280" s="8"/>
      <c r="AH280" s="8"/>
      <c r="AI280" s="8"/>
      <c r="AK280" s="111"/>
      <c r="AM280" s="8"/>
      <c r="AN280" s="8"/>
      <c r="AO280" s="8"/>
    </row>
    <row r="281" spans="1:42">
      <c r="A281" s="30">
        <v>258</v>
      </c>
      <c r="B281" s="133"/>
      <c r="C281" s="143" t="s">
        <v>1014</v>
      </c>
      <c r="D281" s="27"/>
      <c r="E281" s="27"/>
      <c r="F281" s="27"/>
      <c r="G281" s="27"/>
      <c r="H281" s="70" t="s">
        <v>1016</v>
      </c>
      <c r="I281" s="176" t="s">
        <v>1017</v>
      </c>
      <c r="J281" s="139" t="s">
        <v>1015</v>
      </c>
      <c r="K281" s="118"/>
      <c r="L281" s="86"/>
      <c r="M281" s="86"/>
      <c r="N281" s="86"/>
      <c r="O281" s="44"/>
      <c r="P281" s="44"/>
      <c r="Q281" s="44"/>
      <c r="R281" s="53"/>
      <c r="S281" s="44"/>
      <c r="T281" s="44"/>
      <c r="U281" s="44"/>
      <c r="V281" s="53"/>
      <c r="W281" s="31"/>
      <c r="X281" s="9"/>
      <c r="AA281" s="112"/>
      <c r="AB281" s="112"/>
      <c r="AC281" s="112"/>
      <c r="AE281" s="111"/>
      <c r="AG281" s="8"/>
      <c r="AH281" s="8"/>
      <c r="AI281" s="8"/>
      <c r="AK281" s="111"/>
      <c r="AM281" s="8"/>
      <c r="AN281" s="8"/>
      <c r="AO281" s="8"/>
    </row>
    <row r="282" spans="1:42" ht="27">
      <c r="A282" s="30">
        <v>259</v>
      </c>
      <c r="B282" s="133"/>
      <c r="C282" s="143" t="s">
        <v>780</v>
      </c>
      <c r="D282" s="27"/>
      <c r="E282" s="27"/>
      <c r="F282" s="27"/>
      <c r="G282" s="27"/>
      <c r="H282" s="70" t="s">
        <v>782</v>
      </c>
      <c r="I282" s="176"/>
      <c r="J282" s="139" t="s">
        <v>781</v>
      </c>
      <c r="K282" s="118"/>
      <c r="L282" s="86"/>
      <c r="M282" s="86"/>
      <c r="N282" s="86"/>
      <c r="O282" s="44"/>
      <c r="P282" s="44"/>
      <c r="Q282" s="44"/>
      <c r="R282" s="53"/>
      <c r="S282" s="44"/>
      <c r="T282" s="44"/>
      <c r="U282" s="44"/>
      <c r="V282" s="53"/>
      <c r="W282" s="31"/>
      <c r="X282" s="9"/>
      <c r="AA282" s="112"/>
      <c r="AB282" s="112"/>
      <c r="AC282" s="112"/>
      <c r="AE282" s="111"/>
      <c r="AG282" s="8"/>
      <c r="AH282" s="8"/>
      <c r="AI282" s="8"/>
      <c r="AK282" s="111"/>
      <c r="AM282" s="8"/>
      <c r="AN282" s="8"/>
      <c r="AO282" s="8"/>
    </row>
    <row r="283" spans="1:42" ht="27">
      <c r="A283" s="30">
        <v>260</v>
      </c>
      <c r="B283" s="133"/>
      <c r="C283" s="143" t="s">
        <v>1252</v>
      </c>
      <c r="D283" s="27"/>
      <c r="E283" s="27"/>
      <c r="F283" s="27"/>
      <c r="G283" s="27"/>
      <c r="H283" s="70" t="s">
        <v>1257</v>
      </c>
      <c r="I283" s="176" t="s">
        <v>1258</v>
      </c>
      <c r="J283" s="139" t="s">
        <v>1261</v>
      </c>
      <c r="K283" s="118"/>
      <c r="L283" s="86"/>
      <c r="M283" s="86"/>
      <c r="N283" s="86"/>
      <c r="O283" s="44"/>
      <c r="P283" s="44"/>
      <c r="Q283" s="44"/>
      <c r="R283" s="53"/>
      <c r="S283" s="44"/>
      <c r="T283" s="44"/>
      <c r="U283" s="44"/>
      <c r="V283" s="53"/>
      <c r="W283" s="31"/>
      <c r="X283" s="9"/>
      <c r="AA283" s="112"/>
      <c r="AB283" s="112"/>
      <c r="AC283" s="112"/>
      <c r="AE283" s="111"/>
      <c r="AG283" s="8"/>
      <c r="AH283" s="8"/>
      <c r="AI283" s="8"/>
      <c r="AK283" s="111"/>
      <c r="AM283" s="8"/>
      <c r="AN283" s="8"/>
      <c r="AO283" s="8"/>
    </row>
    <row r="284" spans="1:42">
      <c r="A284" s="30">
        <v>262</v>
      </c>
      <c r="B284" s="133"/>
      <c r="C284" s="143" t="s">
        <v>1253</v>
      </c>
      <c r="D284" s="27"/>
      <c r="E284" s="27"/>
      <c r="F284" s="27"/>
      <c r="G284" s="27"/>
      <c r="H284" s="70" t="s">
        <v>1256</v>
      </c>
      <c r="I284" s="176" t="s">
        <v>1188</v>
      </c>
      <c r="J284" s="139"/>
      <c r="K284" s="118"/>
      <c r="L284" s="86"/>
      <c r="M284" s="86"/>
      <c r="N284" s="86"/>
      <c r="O284" s="44"/>
      <c r="P284" s="44"/>
      <c r="Q284" s="44"/>
      <c r="R284" s="53"/>
      <c r="S284" s="44"/>
      <c r="T284" s="44"/>
      <c r="U284" s="44"/>
      <c r="V284" s="53"/>
      <c r="W284" s="31"/>
      <c r="X284" s="9"/>
      <c r="AA284" s="112"/>
      <c r="AB284" s="112"/>
      <c r="AC284" s="112"/>
      <c r="AE284" s="111"/>
      <c r="AG284" s="8"/>
      <c r="AH284" s="8"/>
      <c r="AI284" s="8"/>
      <c r="AK284" s="111"/>
      <c r="AM284" s="8"/>
      <c r="AN284" s="8"/>
      <c r="AO284" s="8"/>
    </row>
    <row r="285" spans="1:42">
      <c r="A285" s="30">
        <v>263</v>
      </c>
      <c r="B285" s="133"/>
      <c r="C285" s="143" t="s">
        <v>704</v>
      </c>
      <c r="D285" s="27"/>
      <c r="E285" s="27"/>
      <c r="F285" s="27"/>
      <c r="G285" s="27"/>
      <c r="H285" s="70" t="s">
        <v>699</v>
      </c>
      <c r="I285" s="176" t="s">
        <v>855</v>
      </c>
      <c r="J285" s="139" t="s">
        <v>700</v>
      </c>
      <c r="K285" s="118"/>
      <c r="L285" s="86"/>
      <c r="M285" s="86"/>
      <c r="N285" s="86"/>
      <c r="O285" s="44"/>
      <c r="P285" s="44"/>
      <c r="Q285" s="44"/>
      <c r="R285" s="53"/>
      <c r="S285" s="44"/>
      <c r="T285" s="44"/>
      <c r="U285" s="44"/>
      <c r="V285" s="53"/>
      <c r="W285" s="31"/>
      <c r="X285" s="9"/>
      <c r="AA285" s="112"/>
      <c r="AB285" s="112"/>
      <c r="AC285" s="112"/>
      <c r="AE285" s="111"/>
      <c r="AG285" s="8"/>
      <c r="AH285" s="8"/>
      <c r="AI285" s="8"/>
      <c r="AK285" s="111"/>
      <c r="AM285" s="8"/>
      <c r="AN285" s="8"/>
      <c r="AO285" s="8"/>
    </row>
    <row r="286" spans="1:42">
      <c r="A286" s="30">
        <v>264</v>
      </c>
      <c r="B286" s="133"/>
      <c r="C286" s="143" t="s">
        <v>1649</v>
      </c>
      <c r="D286" s="27"/>
      <c r="E286" s="27"/>
      <c r="F286" s="27"/>
      <c r="G286" s="27"/>
      <c r="H286" s="70" t="s">
        <v>1650</v>
      </c>
      <c r="I286" s="189" t="s">
        <v>1651</v>
      </c>
      <c r="J286" s="137" t="s">
        <v>1616</v>
      </c>
      <c r="K286" s="118"/>
      <c r="L286" s="86"/>
      <c r="M286" s="86"/>
      <c r="N286" s="86"/>
      <c r="O286" s="44"/>
      <c r="P286" s="44"/>
      <c r="Q286" s="44"/>
      <c r="R286" s="53"/>
      <c r="S286" s="44"/>
      <c r="T286" s="44"/>
      <c r="U286" s="44"/>
      <c r="V286" s="53"/>
      <c r="W286" s="31"/>
      <c r="X286" s="9"/>
      <c r="AA286" s="112"/>
      <c r="AB286" s="112"/>
      <c r="AC286" s="112"/>
      <c r="AE286" s="111"/>
      <c r="AG286" s="8"/>
      <c r="AH286" s="8"/>
      <c r="AI286" s="8"/>
      <c r="AK286" s="111"/>
      <c r="AM286" s="8"/>
      <c r="AN286" s="8"/>
      <c r="AO286" s="8"/>
    </row>
    <row r="287" spans="1:42">
      <c r="A287" s="30"/>
      <c r="B287" s="133"/>
      <c r="C287" s="143" t="s">
        <v>1840</v>
      </c>
      <c r="D287" s="27"/>
      <c r="E287" s="27"/>
      <c r="F287" s="27"/>
      <c r="G287" s="27"/>
      <c r="H287" s="132" t="s">
        <v>1841</v>
      </c>
      <c r="I287" s="180" t="s">
        <v>917</v>
      </c>
      <c r="J287" s="137"/>
      <c r="K287" s="118"/>
      <c r="L287" s="86"/>
      <c r="M287" s="86"/>
      <c r="N287" s="86"/>
      <c r="O287" s="44"/>
      <c r="P287" s="44"/>
      <c r="Q287" s="44"/>
      <c r="R287" s="53"/>
      <c r="S287" s="44"/>
      <c r="T287" s="44"/>
      <c r="U287" s="44"/>
      <c r="V287" s="53"/>
      <c r="W287" s="31"/>
      <c r="X287" s="9"/>
      <c r="AA287" s="112"/>
      <c r="AB287" s="112"/>
      <c r="AC287" s="112"/>
      <c r="AE287" s="111"/>
      <c r="AG287" s="8"/>
      <c r="AH287" s="8"/>
      <c r="AI287" s="8"/>
      <c r="AK287" s="111"/>
      <c r="AM287" s="8"/>
      <c r="AN287" s="8"/>
      <c r="AO287" s="8"/>
    </row>
    <row r="288" spans="1:42">
      <c r="A288" s="30">
        <v>265</v>
      </c>
      <c r="B288" s="130"/>
      <c r="C288" s="162" t="s">
        <v>1615</v>
      </c>
      <c r="D288" s="202"/>
      <c r="E288" s="202"/>
      <c r="F288" s="202"/>
      <c r="G288" s="202"/>
      <c r="H288" s="142" t="s">
        <v>1617</v>
      </c>
      <c r="I288" s="189" t="s">
        <v>933</v>
      </c>
      <c r="J288" s="137" t="s">
        <v>1616</v>
      </c>
      <c r="K288" s="117"/>
      <c r="L288" s="6"/>
      <c r="M288" s="6"/>
      <c r="N288" s="6"/>
      <c r="O288" s="44"/>
      <c r="P288" s="44"/>
      <c r="Q288" s="44"/>
      <c r="R288" s="53"/>
      <c r="S288" s="44"/>
      <c r="T288" s="44"/>
      <c r="U288" s="44"/>
      <c r="V288" s="53"/>
      <c r="W288" s="31"/>
      <c r="X288" s="9"/>
      <c r="Y288" s="11"/>
      <c r="Z288" s="11"/>
      <c r="AA288" s="63"/>
      <c r="AB288" s="63"/>
      <c r="AC288" s="63"/>
      <c r="AD288" s="36"/>
      <c r="AE288" s="31"/>
      <c r="AF288" s="9"/>
      <c r="AG288" s="6"/>
      <c r="AH288" s="6"/>
      <c r="AI288" s="6"/>
      <c r="AJ288" s="36"/>
      <c r="AK288" s="31"/>
      <c r="AL288" s="9"/>
      <c r="AM288" s="6"/>
      <c r="AN288" s="6"/>
      <c r="AO288" s="6"/>
      <c r="AP288" s="36"/>
    </row>
    <row r="289" spans="1:42">
      <c r="A289" s="30">
        <v>266</v>
      </c>
      <c r="B289" s="130"/>
      <c r="C289" s="143" t="s">
        <v>949</v>
      </c>
      <c r="D289" s="27"/>
      <c r="E289" s="27"/>
      <c r="F289" s="27"/>
      <c r="G289" s="27"/>
      <c r="H289" s="132" t="s">
        <v>717</v>
      </c>
      <c r="J289" s="137"/>
      <c r="K289" s="29"/>
      <c r="L289" s="11"/>
      <c r="M289" s="11"/>
      <c r="N289" s="11"/>
      <c r="O289" s="44"/>
      <c r="P289" s="44"/>
      <c r="Q289" s="44"/>
      <c r="R289" s="53"/>
      <c r="S289" s="44"/>
      <c r="T289" s="46"/>
      <c r="U289" s="46"/>
      <c r="V289" s="53"/>
      <c r="W289" s="31"/>
      <c r="X289" s="9"/>
      <c r="Y289" s="11"/>
      <c r="Z289" s="11"/>
      <c r="AA289" s="63"/>
      <c r="AB289" s="63"/>
      <c r="AC289" s="63"/>
      <c r="AD289" s="36"/>
      <c r="AE289" s="31"/>
      <c r="AF289" s="9"/>
      <c r="AG289" s="6"/>
      <c r="AH289" s="6"/>
      <c r="AI289" s="6"/>
      <c r="AJ289" s="36"/>
      <c r="AK289" s="31"/>
      <c r="AL289" s="9"/>
      <c r="AM289" s="6"/>
      <c r="AN289" s="6"/>
      <c r="AO289" s="6"/>
      <c r="AP289" s="36"/>
    </row>
    <row r="290" spans="1:42">
      <c r="A290" s="30"/>
      <c r="B290" s="130"/>
      <c r="C290" s="143" t="s">
        <v>1794</v>
      </c>
      <c r="D290" s="27"/>
      <c r="E290" s="27"/>
      <c r="F290" s="27"/>
      <c r="G290" s="27"/>
      <c r="H290" s="132" t="s">
        <v>1795</v>
      </c>
      <c r="I290" s="180" t="s">
        <v>1246</v>
      </c>
      <c r="J290" s="137"/>
      <c r="K290" s="29"/>
      <c r="L290" s="11"/>
      <c r="M290" s="11"/>
      <c r="N290" s="11"/>
      <c r="O290" s="44"/>
      <c r="P290" s="44"/>
      <c r="Q290" s="44"/>
      <c r="R290" s="53"/>
      <c r="S290" s="44"/>
      <c r="T290" s="46"/>
      <c r="U290" s="46"/>
      <c r="V290" s="53"/>
      <c r="W290" s="31"/>
      <c r="X290" s="9"/>
      <c r="Y290" s="11"/>
      <c r="Z290" s="11"/>
      <c r="AA290" s="63"/>
      <c r="AB290" s="63"/>
      <c r="AC290" s="63"/>
      <c r="AD290" s="36"/>
      <c r="AE290" s="31"/>
      <c r="AF290" s="9"/>
      <c r="AG290" s="6"/>
      <c r="AH290" s="6"/>
      <c r="AI290" s="6"/>
      <c r="AJ290" s="36"/>
      <c r="AK290" s="31"/>
      <c r="AL290" s="9"/>
      <c r="AM290" s="6"/>
      <c r="AN290" s="6"/>
      <c r="AO290" s="6"/>
      <c r="AP290" s="36"/>
    </row>
    <row r="291" spans="1:42">
      <c r="A291" s="30">
        <v>267</v>
      </c>
      <c r="B291" s="130"/>
      <c r="C291" s="143" t="s">
        <v>1162</v>
      </c>
      <c r="D291" s="27"/>
      <c r="E291" s="27"/>
      <c r="F291" s="27"/>
      <c r="G291" s="27"/>
      <c r="H291" s="70" t="s">
        <v>1223</v>
      </c>
      <c r="I291" s="176" t="s">
        <v>829</v>
      </c>
      <c r="J291" s="137"/>
      <c r="K291" s="29"/>
      <c r="L291" s="11"/>
      <c r="M291" s="11"/>
      <c r="N291" s="11"/>
      <c r="O291" s="44"/>
      <c r="P291" s="44"/>
      <c r="Q291" s="44"/>
      <c r="R291" s="53"/>
      <c r="S291" s="44"/>
      <c r="T291" s="46"/>
      <c r="U291" s="46"/>
      <c r="V291" s="53"/>
      <c r="W291" s="31"/>
      <c r="X291" s="9"/>
      <c r="Y291" s="11"/>
      <c r="Z291" s="11"/>
      <c r="AA291" s="63"/>
      <c r="AB291" s="63"/>
      <c r="AC291" s="63"/>
      <c r="AD291" s="36"/>
      <c r="AE291" s="31"/>
      <c r="AF291" s="9"/>
      <c r="AG291" s="6"/>
      <c r="AH291" s="6"/>
      <c r="AI291" s="6"/>
      <c r="AJ291" s="36"/>
      <c r="AK291" s="31"/>
      <c r="AL291" s="9"/>
      <c r="AM291" s="6"/>
      <c r="AN291" s="6"/>
      <c r="AO291" s="6"/>
      <c r="AP291" s="36"/>
    </row>
    <row r="292" spans="1:42">
      <c r="A292" s="30">
        <v>268</v>
      </c>
      <c r="B292" s="133"/>
      <c r="C292" s="143" t="s">
        <v>1800</v>
      </c>
      <c r="D292" s="27"/>
      <c r="E292" s="27"/>
      <c r="F292" s="27"/>
      <c r="G292" s="27"/>
      <c r="H292" s="70" t="s">
        <v>1801</v>
      </c>
      <c r="I292" s="176" t="s">
        <v>1126</v>
      </c>
      <c r="J292" s="137" t="s">
        <v>1802</v>
      </c>
      <c r="K292" s="29"/>
      <c r="L292" s="11"/>
      <c r="M292" s="11"/>
      <c r="N292" s="11"/>
      <c r="O292" s="44"/>
      <c r="P292" s="44"/>
      <c r="Q292" s="44"/>
      <c r="R292" s="53"/>
      <c r="S292" s="44"/>
      <c r="T292" s="46"/>
      <c r="U292" s="46"/>
      <c r="V292" s="53"/>
      <c r="W292" s="31"/>
      <c r="X292" s="9"/>
      <c r="Y292" s="11"/>
      <c r="Z292" s="11"/>
      <c r="AA292" s="63"/>
      <c r="AB292" s="63"/>
      <c r="AC292" s="63"/>
      <c r="AD292" s="36"/>
      <c r="AE292" s="31"/>
      <c r="AF292" s="9"/>
      <c r="AG292" s="6"/>
      <c r="AH292" s="6"/>
      <c r="AI292" s="6"/>
      <c r="AJ292" s="36"/>
      <c r="AK292" s="31"/>
      <c r="AL292" s="9"/>
      <c r="AM292" s="6"/>
      <c r="AN292" s="6"/>
      <c r="AO292" s="6"/>
      <c r="AP292" s="36"/>
    </row>
    <row r="293" spans="1:42">
      <c r="A293" s="30">
        <v>269</v>
      </c>
      <c r="B293" s="130"/>
      <c r="C293" s="143" t="s">
        <v>1116</v>
      </c>
      <c r="D293" s="27"/>
      <c r="E293" s="27"/>
      <c r="F293" s="27"/>
      <c r="G293" s="27"/>
      <c r="H293" s="70" t="s">
        <v>791</v>
      </c>
      <c r="I293" s="176" t="s">
        <v>828</v>
      </c>
      <c r="J293" s="137"/>
      <c r="K293" s="29"/>
      <c r="L293" s="11"/>
      <c r="M293" s="11"/>
      <c r="N293" s="11"/>
      <c r="O293" s="44"/>
      <c r="P293" s="44"/>
      <c r="Q293" s="44"/>
      <c r="R293" s="53"/>
      <c r="S293" s="44"/>
      <c r="T293" s="46"/>
      <c r="U293" s="46"/>
      <c r="V293" s="53"/>
      <c r="W293" s="31"/>
      <c r="X293" s="9"/>
      <c r="Y293" s="11"/>
      <c r="Z293" s="11"/>
      <c r="AA293" s="63"/>
      <c r="AB293" s="63"/>
      <c r="AC293" s="63"/>
      <c r="AD293" s="36"/>
      <c r="AE293" s="31"/>
      <c r="AF293" s="9"/>
      <c r="AG293" s="6"/>
      <c r="AH293" s="6"/>
      <c r="AI293" s="6"/>
      <c r="AJ293" s="36"/>
      <c r="AK293" s="31"/>
      <c r="AL293" s="9"/>
      <c r="AM293" s="6"/>
      <c r="AN293" s="6"/>
      <c r="AO293" s="6"/>
      <c r="AP293" s="36"/>
    </row>
    <row r="294" spans="1:42">
      <c r="A294" s="30">
        <v>270</v>
      </c>
      <c r="B294" s="133"/>
      <c r="C294" s="143" t="s">
        <v>544</v>
      </c>
      <c r="D294" s="27"/>
      <c r="E294" s="27"/>
      <c r="F294" s="27"/>
      <c r="G294" s="27"/>
      <c r="H294" s="70" t="s">
        <v>688</v>
      </c>
      <c r="I294" s="176" t="s">
        <v>1129</v>
      </c>
      <c r="J294" s="137" t="s">
        <v>1134</v>
      </c>
      <c r="K294" s="29"/>
      <c r="L294" s="11"/>
      <c r="M294" s="11"/>
      <c r="N294" s="11"/>
      <c r="O294" s="44"/>
      <c r="P294" s="44"/>
      <c r="Q294" s="44"/>
      <c r="R294" s="53"/>
      <c r="S294" s="44"/>
      <c r="T294" s="46"/>
      <c r="U294" s="46"/>
      <c r="V294" s="53"/>
      <c r="W294" s="31"/>
      <c r="X294" s="9"/>
      <c r="Y294" s="11"/>
      <c r="Z294" s="11"/>
      <c r="AA294" s="63"/>
      <c r="AB294" s="63"/>
      <c r="AC294" s="63"/>
      <c r="AD294" s="36"/>
      <c r="AE294" s="31"/>
      <c r="AF294" s="9"/>
      <c r="AG294" s="6"/>
      <c r="AH294" s="6"/>
      <c r="AI294" s="6"/>
      <c r="AJ294" s="36"/>
      <c r="AK294" s="31"/>
      <c r="AL294" s="9"/>
      <c r="AM294" s="6"/>
      <c r="AN294" s="6"/>
      <c r="AO294" s="6"/>
      <c r="AP294" s="36"/>
    </row>
    <row r="295" spans="1:42">
      <c r="A295" s="30">
        <v>271</v>
      </c>
      <c r="B295" s="133"/>
      <c r="C295" s="143" t="s">
        <v>1990</v>
      </c>
      <c r="D295" s="27"/>
      <c r="E295" s="27"/>
      <c r="F295" s="27"/>
      <c r="G295" s="27"/>
      <c r="H295" s="70" t="s">
        <v>1991</v>
      </c>
      <c r="I295" s="176" t="s">
        <v>1601</v>
      </c>
      <c r="J295" s="137" t="s">
        <v>1600</v>
      </c>
      <c r="K295" s="29"/>
      <c r="L295" s="11"/>
      <c r="M295" s="11"/>
      <c r="N295" s="11"/>
      <c r="O295" s="44"/>
      <c r="P295" s="44"/>
      <c r="Q295" s="44"/>
      <c r="R295" s="53"/>
      <c r="S295" s="44"/>
      <c r="T295" s="46"/>
      <c r="U295" s="46"/>
      <c r="V295" s="53"/>
      <c r="W295" s="31"/>
      <c r="X295" s="9"/>
      <c r="Y295" s="11"/>
      <c r="Z295" s="11"/>
      <c r="AA295" s="63"/>
      <c r="AB295" s="63"/>
      <c r="AC295" s="63"/>
      <c r="AD295" s="36"/>
      <c r="AE295" s="31"/>
      <c r="AF295" s="9"/>
      <c r="AG295" s="6"/>
      <c r="AH295" s="6"/>
      <c r="AI295" s="6"/>
      <c r="AJ295" s="36"/>
      <c r="AK295" s="31"/>
      <c r="AL295" s="9"/>
      <c r="AM295" s="6"/>
      <c r="AN295" s="6"/>
      <c r="AO295" s="6"/>
      <c r="AP295" s="36"/>
    </row>
    <row r="296" spans="1:42">
      <c r="A296" s="30">
        <v>272</v>
      </c>
      <c r="B296" s="133"/>
      <c r="C296" s="143" t="s">
        <v>1521</v>
      </c>
      <c r="D296" s="27"/>
      <c r="E296" s="27"/>
      <c r="F296" s="27"/>
      <c r="G296" s="27"/>
      <c r="H296" s="70" t="s">
        <v>1522</v>
      </c>
      <c r="I296" s="176" t="s">
        <v>1523</v>
      </c>
      <c r="J296" s="137"/>
      <c r="K296" s="29"/>
      <c r="L296" s="11"/>
      <c r="M296" s="11"/>
      <c r="N296" s="11"/>
      <c r="O296" s="44"/>
      <c r="P296" s="44"/>
      <c r="Q296" s="44"/>
      <c r="R296" s="53"/>
      <c r="S296" s="44"/>
      <c r="T296" s="46"/>
      <c r="U296" s="46"/>
      <c r="V296" s="53"/>
      <c r="W296" s="31"/>
      <c r="X296" s="9"/>
      <c r="Y296" s="11"/>
      <c r="Z296" s="11"/>
      <c r="AA296" s="63"/>
      <c r="AB296" s="63"/>
      <c r="AC296" s="63"/>
      <c r="AD296" s="36"/>
      <c r="AE296" s="31"/>
      <c r="AF296" s="9"/>
      <c r="AG296" s="6"/>
      <c r="AH296" s="6"/>
      <c r="AI296" s="6"/>
      <c r="AJ296" s="36"/>
      <c r="AK296" s="31"/>
      <c r="AL296" s="9"/>
      <c r="AM296" s="6"/>
      <c r="AN296" s="6"/>
      <c r="AO296" s="6"/>
      <c r="AP296" s="36"/>
    </row>
    <row r="297" spans="1:42">
      <c r="A297" s="30">
        <v>273</v>
      </c>
      <c r="B297" s="133"/>
      <c r="C297" s="143" t="s">
        <v>1972</v>
      </c>
      <c r="D297" s="27"/>
      <c r="E297" s="27"/>
      <c r="F297" s="27"/>
      <c r="G297" s="27"/>
      <c r="H297" s="70" t="s">
        <v>2155</v>
      </c>
      <c r="I297" s="176" t="s">
        <v>846</v>
      </c>
      <c r="J297" s="137" t="s">
        <v>1133</v>
      </c>
      <c r="K297" s="29"/>
      <c r="L297" s="11"/>
      <c r="M297" s="11"/>
      <c r="N297" s="11"/>
      <c r="O297" s="44"/>
      <c r="P297" s="44"/>
      <c r="Q297" s="44"/>
      <c r="R297" s="53"/>
      <c r="S297" s="44"/>
      <c r="T297" s="46"/>
      <c r="U297" s="46"/>
      <c r="V297" s="53"/>
      <c r="W297" s="31"/>
      <c r="X297" s="9"/>
      <c r="Y297" s="11"/>
      <c r="Z297" s="11"/>
      <c r="AA297" s="63"/>
      <c r="AB297" s="63"/>
      <c r="AC297" s="63"/>
      <c r="AD297" s="36"/>
      <c r="AE297" s="31"/>
      <c r="AF297" s="9"/>
      <c r="AG297" s="6"/>
      <c r="AH297" s="6"/>
      <c r="AI297" s="6"/>
      <c r="AJ297" s="36"/>
      <c r="AK297" s="31"/>
      <c r="AL297" s="9"/>
      <c r="AM297" s="6"/>
      <c r="AN297" s="6"/>
      <c r="AO297" s="6"/>
      <c r="AP297" s="36"/>
    </row>
    <row r="298" spans="1:42">
      <c r="A298" s="30">
        <v>274</v>
      </c>
      <c r="B298" s="130"/>
      <c r="C298" s="143" t="s">
        <v>775</v>
      </c>
      <c r="D298" s="27"/>
      <c r="E298" s="27"/>
      <c r="F298" s="27"/>
      <c r="G298" s="27"/>
      <c r="H298" s="70" t="s">
        <v>767</v>
      </c>
      <c r="I298" s="176" t="s">
        <v>879</v>
      </c>
      <c r="J298" s="137"/>
      <c r="K298" s="29"/>
      <c r="L298" s="11"/>
      <c r="M298" s="11"/>
      <c r="N298" s="11"/>
      <c r="O298" s="44"/>
      <c r="P298" s="44"/>
      <c r="Q298" s="44"/>
      <c r="R298" s="53"/>
      <c r="S298" s="44"/>
      <c r="T298" s="46"/>
      <c r="U298" s="46"/>
      <c r="V298" s="53"/>
      <c r="W298" s="31"/>
      <c r="X298" s="9"/>
      <c r="Y298" s="11"/>
      <c r="Z298" s="11"/>
      <c r="AA298" s="63"/>
      <c r="AB298" s="63"/>
      <c r="AC298" s="63"/>
      <c r="AD298" s="36"/>
      <c r="AE298" s="31"/>
      <c r="AF298" s="9"/>
      <c r="AG298" s="6"/>
      <c r="AH298" s="6"/>
      <c r="AI298" s="6"/>
      <c r="AJ298" s="36"/>
      <c r="AK298" s="31"/>
      <c r="AL298" s="9"/>
      <c r="AM298" s="6"/>
      <c r="AN298" s="6"/>
      <c r="AO298" s="6"/>
      <c r="AP298" s="36"/>
    </row>
    <row r="299" spans="1:42">
      <c r="A299" s="30">
        <v>275</v>
      </c>
      <c r="B299" s="130"/>
      <c r="C299" s="143" t="s">
        <v>983</v>
      </c>
      <c r="D299" s="27"/>
      <c r="E299" s="27"/>
      <c r="F299" s="27"/>
      <c r="G299" s="27"/>
      <c r="H299" s="70" t="s">
        <v>984</v>
      </c>
      <c r="I299" s="176" t="s">
        <v>985</v>
      </c>
      <c r="J299" s="136" t="s">
        <v>986</v>
      </c>
      <c r="K299" s="29"/>
      <c r="L299" s="11"/>
      <c r="M299" s="11"/>
      <c r="N299" s="11"/>
      <c r="O299" s="44"/>
      <c r="P299" s="44"/>
      <c r="Q299" s="44"/>
      <c r="R299" s="53"/>
      <c r="S299" s="44"/>
      <c r="T299" s="46"/>
      <c r="U299" s="46"/>
      <c r="V299" s="53"/>
      <c r="W299" s="31"/>
      <c r="X299" s="9"/>
      <c r="Y299" s="11"/>
      <c r="Z299" s="11"/>
      <c r="AA299" s="63"/>
      <c r="AB299" s="63"/>
      <c r="AC299" s="63"/>
      <c r="AD299" s="36"/>
      <c r="AE299" s="31"/>
      <c r="AF299" s="9"/>
      <c r="AG299" s="6"/>
      <c r="AH299" s="6"/>
      <c r="AI299" s="6"/>
      <c r="AJ299" s="36"/>
      <c r="AK299" s="31"/>
      <c r="AL299" s="9"/>
      <c r="AM299" s="6"/>
      <c r="AN299" s="6"/>
      <c r="AO299" s="6"/>
      <c r="AP299" s="36"/>
    </row>
    <row r="300" spans="1:42">
      <c r="A300" s="30">
        <v>276</v>
      </c>
      <c r="B300" s="130"/>
      <c r="C300" s="143" t="s">
        <v>1200</v>
      </c>
      <c r="D300" s="27"/>
      <c r="E300" s="27"/>
      <c r="F300" s="27"/>
      <c r="G300" s="27"/>
      <c r="H300" s="70" t="s">
        <v>1387</v>
      </c>
      <c r="I300" s="176" t="s">
        <v>821</v>
      </c>
      <c r="J300" s="136"/>
      <c r="K300" s="29"/>
      <c r="L300" s="11"/>
      <c r="M300" s="11"/>
      <c r="N300" s="11"/>
      <c r="O300" s="44"/>
      <c r="P300" s="44"/>
      <c r="Q300" s="44"/>
      <c r="R300" s="53"/>
      <c r="S300" s="44"/>
      <c r="T300" s="46"/>
      <c r="U300" s="46"/>
      <c r="V300" s="53"/>
      <c r="W300" s="31"/>
      <c r="X300" s="9"/>
      <c r="Y300" s="11"/>
      <c r="Z300" s="11"/>
      <c r="AA300" s="63"/>
      <c r="AB300" s="63"/>
      <c r="AC300" s="63"/>
      <c r="AD300" s="36"/>
      <c r="AE300" s="31"/>
      <c r="AF300" s="9"/>
      <c r="AG300" s="6"/>
      <c r="AH300" s="6"/>
      <c r="AI300" s="6"/>
      <c r="AJ300" s="36"/>
      <c r="AK300" s="31"/>
      <c r="AL300" s="9"/>
      <c r="AM300" s="6"/>
      <c r="AN300" s="6"/>
      <c r="AO300" s="6"/>
      <c r="AP300" s="36"/>
    </row>
    <row r="301" spans="1:42">
      <c r="A301" s="30">
        <v>277</v>
      </c>
      <c r="B301" s="130"/>
      <c r="C301" s="143" t="s">
        <v>602</v>
      </c>
      <c r="D301" s="27"/>
      <c r="E301" s="27"/>
      <c r="F301" s="27"/>
      <c r="G301" s="27"/>
      <c r="H301" s="70" t="s">
        <v>1907</v>
      </c>
      <c r="I301" s="176" t="s">
        <v>842</v>
      </c>
      <c r="J301" s="137" t="s">
        <v>627</v>
      </c>
      <c r="K301" s="29"/>
      <c r="L301" s="11">
        <v>11560</v>
      </c>
      <c r="M301" s="11">
        <v>578</v>
      </c>
      <c r="N301" s="11">
        <v>12138</v>
      </c>
      <c r="O301" s="44"/>
      <c r="P301" s="44"/>
      <c r="Q301" s="44"/>
      <c r="R301" s="53"/>
      <c r="S301" s="44"/>
      <c r="T301" s="46"/>
      <c r="U301" s="46"/>
      <c r="V301" s="53"/>
      <c r="W301" s="31"/>
      <c r="X301" s="9"/>
      <c r="Y301" s="11"/>
      <c r="Z301" s="11"/>
      <c r="AA301" s="63"/>
      <c r="AB301" s="63"/>
      <c r="AC301" s="63"/>
      <c r="AD301" s="36"/>
      <c r="AE301" s="31"/>
      <c r="AF301" s="9"/>
      <c r="AG301" s="6"/>
      <c r="AH301" s="6"/>
      <c r="AI301" s="6"/>
      <c r="AJ301" s="36"/>
      <c r="AK301" s="31"/>
      <c r="AL301" s="9"/>
      <c r="AM301" s="6"/>
      <c r="AN301" s="6"/>
      <c r="AO301" s="6"/>
      <c r="AP301" s="36"/>
    </row>
    <row r="302" spans="1:42" ht="27">
      <c r="A302" s="30">
        <v>278</v>
      </c>
      <c r="B302" s="145"/>
      <c r="C302" s="143" t="s">
        <v>1905</v>
      </c>
      <c r="D302" s="27"/>
      <c r="E302" s="27"/>
      <c r="F302" s="27"/>
      <c r="G302" s="27"/>
      <c r="H302" s="70" t="s">
        <v>1906</v>
      </c>
      <c r="I302" s="176" t="s">
        <v>863</v>
      </c>
      <c r="J302" s="137" t="s">
        <v>1045</v>
      </c>
      <c r="K302" s="117"/>
      <c r="L302" s="6"/>
      <c r="M302" s="6"/>
      <c r="N302" s="6"/>
      <c r="O302" s="44"/>
      <c r="P302" s="44"/>
      <c r="Q302" s="44"/>
      <c r="R302" s="53"/>
      <c r="S302" s="44"/>
      <c r="T302" s="44"/>
      <c r="U302" s="44"/>
      <c r="V302" s="53"/>
      <c r="W302" s="31"/>
      <c r="X302" s="9"/>
      <c r="Y302" s="11"/>
      <c r="Z302" s="11"/>
      <c r="AA302" s="63"/>
      <c r="AB302" s="63"/>
      <c r="AC302" s="63"/>
      <c r="AD302" s="36"/>
      <c r="AE302" s="31"/>
      <c r="AF302" s="9"/>
      <c r="AG302" s="6"/>
      <c r="AH302" s="6"/>
      <c r="AI302" s="6"/>
      <c r="AJ302" s="36"/>
      <c r="AK302" s="31"/>
      <c r="AL302" s="9"/>
      <c r="AM302" s="6"/>
      <c r="AN302" s="6"/>
      <c r="AO302" s="6"/>
      <c r="AP302" s="36"/>
    </row>
    <row r="303" spans="1:42">
      <c r="A303" s="30">
        <v>279</v>
      </c>
      <c r="B303" s="130"/>
      <c r="C303" s="143" t="s">
        <v>388</v>
      </c>
      <c r="D303" s="27"/>
      <c r="E303" s="27"/>
      <c r="F303" s="27"/>
      <c r="G303" s="27"/>
      <c r="H303" s="70" t="s">
        <v>860</v>
      </c>
      <c r="I303" s="176" t="s">
        <v>861</v>
      </c>
      <c r="J303" s="137" t="s">
        <v>859</v>
      </c>
      <c r="K303" s="117"/>
      <c r="L303" s="6"/>
      <c r="M303" s="6"/>
      <c r="N303" s="6"/>
      <c r="O303" s="44"/>
      <c r="P303" s="44"/>
      <c r="Q303" s="44"/>
      <c r="R303" s="53"/>
      <c r="S303" s="47"/>
      <c r="T303" s="47"/>
      <c r="U303" s="47"/>
      <c r="V303" s="53"/>
      <c r="W303" s="31"/>
      <c r="X303" s="9"/>
      <c r="Y303" s="11"/>
      <c r="Z303" s="11"/>
      <c r="AA303" s="91"/>
      <c r="AB303" s="91"/>
      <c r="AC303" s="91"/>
      <c r="AD303" s="36"/>
      <c r="AE303" s="31"/>
      <c r="AF303" s="9"/>
      <c r="AG303" s="92"/>
      <c r="AH303" s="92"/>
      <c r="AI303" s="92"/>
      <c r="AJ303" s="36"/>
      <c r="AK303" s="31"/>
      <c r="AL303" s="9"/>
      <c r="AM303" s="6"/>
      <c r="AN303" s="6"/>
      <c r="AO303" s="6"/>
      <c r="AP303" s="36"/>
    </row>
    <row r="304" spans="1:42">
      <c r="A304" s="30"/>
      <c r="B304" s="130"/>
      <c r="C304" s="143" t="s">
        <v>1782</v>
      </c>
      <c r="D304" s="27"/>
      <c r="E304" s="27"/>
      <c r="F304" s="27"/>
      <c r="G304" s="27"/>
      <c r="H304" s="70" t="s">
        <v>1783</v>
      </c>
      <c r="I304" s="176" t="s">
        <v>1632</v>
      </c>
      <c r="J304" s="137"/>
      <c r="K304" s="117"/>
      <c r="L304" s="6"/>
      <c r="M304" s="6"/>
      <c r="N304" s="6"/>
      <c r="O304" s="44"/>
      <c r="P304" s="44"/>
      <c r="Q304" s="44"/>
      <c r="R304" s="53"/>
      <c r="S304" s="47"/>
      <c r="T304" s="47"/>
      <c r="U304" s="47"/>
      <c r="V304" s="53"/>
      <c r="W304" s="31"/>
      <c r="X304" s="9"/>
      <c r="Y304" s="11"/>
      <c r="Z304" s="11"/>
      <c r="AA304" s="91"/>
      <c r="AB304" s="91"/>
      <c r="AC304" s="91"/>
      <c r="AD304" s="36"/>
      <c r="AE304" s="31"/>
      <c r="AF304" s="9"/>
      <c r="AG304" s="92"/>
      <c r="AH304" s="92"/>
      <c r="AI304" s="92"/>
      <c r="AJ304" s="36"/>
      <c r="AK304" s="31"/>
      <c r="AL304" s="9"/>
      <c r="AM304" s="6"/>
      <c r="AN304" s="6"/>
      <c r="AO304" s="6"/>
      <c r="AP304" s="36"/>
    </row>
    <row r="305" spans="1:42">
      <c r="A305" s="30">
        <v>280</v>
      </c>
      <c r="B305" s="130"/>
      <c r="C305" s="143" t="s">
        <v>1863</v>
      </c>
      <c r="D305" s="27"/>
      <c r="E305" s="27"/>
      <c r="F305" s="27"/>
      <c r="G305" s="27"/>
      <c r="H305" s="70" t="s">
        <v>1864</v>
      </c>
      <c r="I305" s="176" t="s">
        <v>895</v>
      </c>
      <c r="J305" s="289" t="s">
        <v>2290</v>
      </c>
      <c r="K305" s="29"/>
      <c r="L305" s="11">
        <v>67200</v>
      </c>
      <c r="M305" s="11">
        <v>3360</v>
      </c>
      <c r="N305" s="11">
        <v>70560</v>
      </c>
      <c r="O305" s="44"/>
      <c r="P305" s="44"/>
      <c r="Q305" s="44"/>
      <c r="R305" s="53"/>
      <c r="S305" s="44"/>
      <c r="T305" s="46"/>
      <c r="U305" s="46"/>
      <c r="V305" s="53"/>
      <c r="W305" s="31"/>
      <c r="X305" s="9"/>
      <c r="Y305" s="11"/>
      <c r="Z305" s="11"/>
      <c r="AA305" s="63"/>
      <c r="AB305" s="63"/>
      <c r="AC305" s="63"/>
      <c r="AD305" s="36"/>
      <c r="AE305" s="31"/>
      <c r="AF305" s="9"/>
      <c r="AG305" s="6"/>
      <c r="AH305" s="6"/>
      <c r="AI305" s="6"/>
      <c r="AJ305" s="36"/>
      <c r="AK305" s="31"/>
      <c r="AL305" s="9"/>
      <c r="AM305" s="6"/>
      <c r="AN305" s="6"/>
      <c r="AO305" s="6"/>
      <c r="AP305" s="36"/>
    </row>
    <row r="306" spans="1:42">
      <c r="A306" s="30">
        <v>281</v>
      </c>
      <c r="B306" s="130"/>
      <c r="C306" s="143" t="s">
        <v>1460</v>
      </c>
      <c r="D306" s="27"/>
      <c r="E306" s="27"/>
      <c r="F306" s="27"/>
      <c r="G306" s="27"/>
      <c r="H306" s="70"/>
      <c r="I306" s="176" t="s">
        <v>850</v>
      </c>
      <c r="J306" s="137" t="s">
        <v>849</v>
      </c>
      <c r="K306" s="117"/>
      <c r="L306" s="6"/>
      <c r="M306" s="6"/>
      <c r="N306" s="6"/>
      <c r="O306" s="44"/>
      <c r="P306" s="44"/>
      <c r="Q306" s="44"/>
      <c r="R306" s="53"/>
      <c r="S306" s="44"/>
      <c r="T306" s="44"/>
      <c r="U306" s="44"/>
      <c r="V306" s="53"/>
      <c r="W306" s="31"/>
      <c r="X306" s="9"/>
      <c r="Y306" s="11"/>
      <c r="Z306" s="11"/>
      <c r="AA306" s="63"/>
      <c r="AB306" s="63"/>
      <c r="AC306" s="63"/>
      <c r="AD306" s="36"/>
      <c r="AE306" s="31"/>
      <c r="AF306" s="9"/>
      <c r="AG306" s="6"/>
      <c r="AH306" s="6"/>
      <c r="AI306" s="6"/>
      <c r="AJ306" s="36"/>
      <c r="AK306" s="31"/>
      <c r="AL306" s="9"/>
      <c r="AM306" s="6"/>
      <c r="AN306" s="6"/>
      <c r="AO306" s="6"/>
      <c r="AP306" s="36"/>
    </row>
    <row r="307" spans="1:42">
      <c r="A307" s="30">
        <v>282</v>
      </c>
      <c r="B307" s="130"/>
      <c r="C307" s="143" t="s">
        <v>1512</v>
      </c>
      <c r="D307" s="27"/>
      <c r="E307" s="27"/>
      <c r="F307" s="27"/>
      <c r="G307" s="27"/>
      <c r="H307" s="70" t="s">
        <v>1301</v>
      </c>
      <c r="I307" s="176" t="s">
        <v>1302</v>
      </c>
      <c r="J307" s="137" t="s">
        <v>1300</v>
      </c>
      <c r="K307" s="117"/>
      <c r="L307" s="6"/>
      <c r="M307" s="6"/>
      <c r="N307" s="6"/>
      <c r="O307" s="44"/>
      <c r="P307" s="44"/>
      <c r="Q307" s="44"/>
      <c r="R307" s="53"/>
      <c r="S307" s="44"/>
      <c r="T307" s="44"/>
      <c r="U307" s="44"/>
      <c r="V307" s="53"/>
      <c r="W307" s="31"/>
      <c r="X307" s="9"/>
      <c r="Y307" s="11"/>
      <c r="Z307" s="11"/>
      <c r="AA307" s="63"/>
      <c r="AB307" s="63"/>
      <c r="AC307" s="63"/>
      <c r="AD307" s="36"/>
      <c r="AE307" s="31"/>
      <c r="AF307" s="9"/>
      <c r="AG307" s="6"/>
      <c r="AH307" s="6"/>
      <c r="AI307" s="6"/>
      <c r="AJ307" s="36"/>
      <c r="AK307" s="31"/>
      <c r="AL307" s="9"/>
      <c r="AM307" s="6"/>
      <c r="AN307" s="6"/>
      <c r="AO307" s="6"/>
      <c r="AP307" s="36"/>
    </row>
    <row r="308" spans="1:42">
      <c r="A308" s="30">
        <v>283</v>
      </c>
      <c r="B308" s="130"/>
      <c r="C308" s="143" t="s">
        <v>534</v>
      </c>
      <c r="D308" s="27"/>
      <c r="E308" s="27"/>
      <c r="F308" s="27"/>
      <c r="G308" s="27"/>
      <c r="H308" s="70" t="s">
        <v>2185</v>
      </c>
      <c r="I308" s="176" t="s">
        <v>841</v>
      </c>
      <c r="J308" s="137"/>
      <c r="K308" s="117"/>
      <c r="L308" s="6">
        <v>0</v>
      </c>
      <c r="M308" s="6">
        <v>0</v>
      </c>
      <c r="N308" s="6">
        <v>0</v>
      </c>
      <c r="O308" s="44"/>
      <c r="P308" s="44"/>
      <c r="Q308" s="44"/>
      <c r="R308" s="53"/>
      <c r="S308" s="45"/>
      <c r="T308" s="45"/>
      <c r="U308" s="45"/>
      <c r="V308" s="53"/>
      <c r="W308" s="31"/>
      <c r="X308" s="9"/>
      <c r="Y308" s="11"/>
      <c r="Z308" s="29"/>
      <c r="AA308" s="68"/>
      <c r="AB308" s="68"/>
      <c r="AC308" s="68"/>
      <c r="AD308" s="36"/>
      <c r="AE308" s="31"/>
      <c r="AF308" s="9"/>
      <c r="AG308" s="6"/>
      <c r="AH308" s="6"/>
      <c r="AI308" s="6"/>
      <c r="AJ308" s="36"/>
      <c r="AK308" s="31"/>
      <c r="AL308" s="9"/>
      <c r="AM308" s="6"/>
      <c r="AN308" s="6"/>
      <c r="AO308" s="6"/>
      <c r="AP308" s="36"/>
    </row>
    <row r="309" spans="1:42">
      <c r="A309" s="30">
        <v>284</v>
      </c>
      <c r="B309" s="130"/>
      <c r="C309" s="143" t="s">
        <v>918</v>
      </c>
      <c r="D309" s="27"/>
      <c r="E309" s="27"/>
      <c r="F309" s="27"/>
      <c r="G309" s="27"/>
      <c r="H309" s="70" t="s">
        <v>1987</v>
      </c>
      <c r="I309" s="176" t="s">
        <v>919</v>
      </c>
      <c r="J309" s="137"/>
      <c r="K309" s="117"/>
      <c r="L309" s="6"/>
      <c r="M309" s="6"/>
      <c r="N309" s="6"/>
      <c r="O309" s="44"/>
      <c r="P309" s="44"/>
      <c r="Q309" s="44"/>
      <c r="R309" s="53"/>
      <c r="S309" s="45"/>
      <c r="T309" s="45"/>
      <c r="U309" s="45"/>
      <c r="V309" s="53"/>
      <c r="W309" s="31"/>
      <c r="X309" s="9"/>
      <c r="Y309" s="11"/>
      <c r="Z309" s="29"/>
      <c r="AA309" s="68"/>
      <c r="AB309" s="68"/>
      <c r="AC309" s="68"/>
      <c r="AD309" s="36"/>
      <c r="AE309" s="31"/>
      <c r="AF309" s="9"/>
      <c r="AG309" s="6"/>
      <c r="AH309" s="6"/>
      <c r="AI309" s="6"/>
      <c r="AJ309" s="36"/>
      <c r="AK309" s="31"/>
      <c r="AL309" s="9"/>
      <c r="AM309" s="6"/>
      <c r="AN309" s="6"/>
      <c r="AO309" s="6"/>
      <c r="AP309" s="36"/>
    </row>
    <row r="310" spans="1:42">
      <c r="A310" s="30"/>
      <c r="B310" s="130"/>
      <c r="C310" s="143" t="s">
        <v>2060</v>
      </c>
      <c r="D310" s="27"/>
      <c r="E310" s="27"/>
      <c r="F310" s="27"/>
      <c r="G310" s="27"/>
      <c r="H310" s="70" t="s">
        <v>2061</v>
      </c>
      <c r="I310" s="176" t="s">
        <v>919</v>
      </c>
      <c r="J310" s="137" t="s">
        <v>2062</v>
      </c>
      <c r="K310" s="117"/>
      <c r="L310" s="6"/>
      <c r="M310" s="6"/>
      <c r="N310" s="6"/>
      <c r="O310" s="44"/>
      <c r="P310" s="44"/>
      <c r="Q310" s="44"/>
      <c r="R310" s="53"/>
      <c r="S310" s="45"/>
      <c r="T310" s="45"/>
      <c r="U310" s="45"/>
      <c r="V310" s="53"/>
      <c r="W310" s="31"/>
      <c r="X310" s="9"/>
      <c r="Y310" s="11"/>
      <c r="Z310" s="29"/>
      <c r="AA310" s="68"/>
      <c r="AB310" s="68"/>
      <c r="AC310" s="68"/>
      <c r="AD310" s="36"/>
      <c r="AE310" s="31"/>
      <c r="AF310" s="9"/>
      <c r="AG310" s="6"/>
      <c r="AH310" s="6"/>
      <c r="AI310" s="6"/>
      <c r="AJ310" s="36"/>
      <c r="AK310" s="31"/>
      <c r="AL310" s="9"/>
      <c r="AM310" s="6"/>
      <c r="AN310" s="6"/>
      <c r="AO310" s="6"/>
      <c r="AP310" s="36"/>
    </row>
    <row r="311" spans="1:42" ht="27">
      <c r="A311" s="30">
        <v>286</v>
      </c>
      <c r="B311" s="130"/>
      <c r="C311" s="143" t="s">
        <v>371</v>
      </c>
      <c r="D311" s="27"/>
      <c r="E311" s="27"/>
      <c r="F311" s="27"/>
      <c r="G311" s="27"/>
      <c r="H311" s="70" t="s">
        <v>634</v>
      </c>
      <c r="I311" s="176" t="s">
        <v>922</v>
      </c>
      <c r="J311" s="136" t="s">
        <v>612</v>
      </c>
      <c r="K311" s="117"/>
      <c r="L311" s="6">
        <v>25000</v>
      </c>
      <c r="M311" s="6">
        <v>1250</v>
      </c>
      <c r="N311" s="6">
        <v>26250</v>
      </c>
      <c r="O311" s="44"/>
      <c r="P311" s="44"/>
      <c r="Q311" s="44"/>
      <c r="R311" s="53"/>
      <c r="S311" s="45"/>
      <c r="T311" s="45"/>
      <c r="U311" s="45"/>
      <c r="V311" s="53"/>
      <c r="W311" s="31"/>
      <c r="X311" s="9"/>
      <c r="Y311" s="11"/>
      <c r="Z311" s="11"/>
      <c r="AA311" s="64"/>
      <c r="AB311" s="64"/>
      <c r="AC311" s="64"/>
      <c r="AD311" s="36"/>
      <c r="AE311" s="31"/>
      <c r="AF311" s="9"/>
      <c r="AG311" s="6"/>
      <c r="AH311" s="6"/>
      <c r="AI311" s="6"/>
      <c r="AJ311" s="36"/>
      <c r="AK311" s="31"/>
      <c r="AL311" s="9"/>
      <c r="AM311" s="6"/>
      <c r="AN311" s="6"/>
      <c r="AO311" s="6"/>
      <c r="AP311" s="36"/>
    </row>
    <row r="312" spans="1:42">
      <c r="A312" s="30">
        <v>287</v>
      </c>
      <c r="B312" s="130"/>
      <c r="C312" s="143" t="s">
        <v>1369</v>
      </c>
      <c r="D312" s="27"/>
      <c r="E312" s="27"/>
      <c r="F312" s="27"/>
      <c r="G312" s="27"/>
      <c r="H312" s="132" t="s">
        <v>1193</v>
      </c>
      <c r="I312" s="180" t="s">
        <v>938</v>
      </c>
      <c r="J312" s="136" t="s">
        <v>1192</v>
      </c>
      <c r="K312" s="117"/>
      <c r="L312" s="6"/>
      <c r="M312" s="6"/>
      <c r="N312" s="6"/>
      <c r="O312" s="44"/>
      <c r="P312" s="44"/>
      <c r="Q312" s="44"/>
      <c r="R312" s="53"/>
      <c r="S312" s="48"/>
      <c r="T312" s="48"/>
      <c r="U312" s="48"/>
      <c r="V312" s="53"/>
      <c r="W312" s="31"/>
      <c r="X312" s="9"/>
      <c r="Y312" s="11"/>
      <c r="Z312" s="11"/>
      <c r="AA312" s="66"/>
      <c r="AB312" s="66"/>
      <c r="AC312" s="66"/>
      <c r="AD312" s="36"/>
      <c r="AE312" s="31"/>
      <c r="AF312" s="9"/>
      <c r="AG312" s="77"/>
      <c r="AH312" s="77"/>
      <c r="AI312" s="77"/>
      <c r="AJ312" s="36"/>
      <c r="AK312" s="31"/>
      <c r="AL312" s="9"/>
      <c r="AM312" s="6"/>
      <c r="AN312" s="6"/>
      <c r="AO312" s="6"/>
      <c r="AP312" s="36"/>
    </row>
    <row r="313" spans="1:42" ht="24">
      <c r="A313" s="30">
        <v>289</v>
      </c>
      <c r="B313" s="130"/>
      <c r="C313" s="143" t="s">
        <v>975</v>
      </c>
      <c r="D313" s="27"/>
      <c r="E313" s="27"/>
      <c r="F313" s="27"/>
      <c r="G313" s="27"/>
      <c r="H313" s="136" t="s">
        <v>976</v>
      </c>
      <c r="I313" s="181" t="s">
        <v>977</v>
      </c>
      <c r="J313" s="137"/>
      <c r="K313" s="117"/>
      <c r="L313" s="6"/>
      <c r="M313" s="6"/>
      <c r="N313" s="6"/>
      <c r="O313" s="44"/>
      <c r="P313" s="44"/>
      <c r="Q313" s="44"/>
      <c r="R313" s="53"/>
      <c r="S313" s="48"/>
      <c r="T313" s="48"/>
      <c r="U313" s="48"/>
      <c r="V313" s="53"/>
      <c r="W313" s="31"/>
      <c r="X313" s="9"/>
      <c r="Y313" s="11"/>
      <c r="Z313" s="11"/>
      <c r="AA313" s="66"/>
      <c r="AB313" s="66"/>
      <c r="AC313" s="66"/>
      <c r="AD313" s="36"/>
      <c r="AE313" s="31"/>
      <c r="AF313" s="9"/>
      <c r="AG313" s="77"/>
      <c r="AH313" s="77"/>
      <c r="AI313" s="77"/>
      <c r="AJ313" s="36"/>
      <c r="AK313" s="31"/>
      <c r="AL313" s="9"/>
      <c r="AM313" s="6"/>
      <c r="AN313" s="6"/>
      <c r="AO313" s="6"/>
      <c r="AP313" s="36"/>
    </row>
    <row r="314" spans="1:42">
      <c r="A314" s="30">
        <v>290</v>
      </c>
      <c r="B314" s="130"/>
      <c r="C314" s="143" t="s">
        <v>1232</v>
      </c>
      <c r="D314" s="27"/>
      <c r="E314" s="27"/>
      <c r="F314" s="27"/>
      <c r="G314" s="27"/>
      <c r="H314" s="70" t="s">
        <v>1233</v>
      </c>
      <c r="I314" s="176"/>
      <c r="J314" s="137"/>
      <c r="K314" s="117"/>
      <c r="L314" s="6">
        <v>22860</v>
      </c>
      <c r="M314" s="6">
        <v>1143</v>
      </c>
      <c r="N314" s="6">
        <v>24003</v>
      </c>
      <c r="O314" s="44"/>
      <c r="P314" s="44"/>
      <c r="Q314" s="44"/>
      <c r="R314" s="53"/>
      <c r="S314" s="45"/>
      <c r="T314" s="45"/>
      <c r="U314" s="45"/>
      <c r="V314" s="53"/>
      <c r="W314" s="31"/>
      <c r="X314" s="9"/>
      <c r="Y314" s="11"/>
      <c r="Z314" s="11"/>
      <c r="AA314" s="68"/>
      <c r="AB314" s="68"/>
      <c r="AC314" s="68"/>
      <c r="AD314" s="36"/>
      <c r="AE314" s="31"/>
      <c r="AF314" s="9"/>
      <c r="AG314" s="6"/>
      <c r="AH314" s="6"/>
      <c r="AI314" s="6"/>
      <c r="AJ314" s="36"/>
      <c r="AK314" s="31"/>
      <c r="AL314" s="9"/>
      <c r="AM314" s="6"/>
      <c r="AN314" s="6"/>
      <c r="AO314" s="6"/>
      <c r="AP314" s="36"/>
    </row>
    <row r="315" spans="1:42" s="101" customFormat="1">
      <c r="A315" s="30">
        <v>291</v>
      </c>
      <c r="B315" s="130"/>
      <c r="C315" s="143" t="s">
        <v>1058</v>
      </c>
      <c r="D315" s="27"/>
      <c r="E315" s="27"/>
      <c r="F315" s="27"/>
      <c r="G315" s="27"/>
      <c r="H315" s="70" t="s">
        <v>1059</v>
      </c>
      <c r="I315" s="176" t="s">
        <v>917</v>
      </c>
      <c r="J315" s="139" t="s">
        <v>1810</v>
      </c>
      <c r="K315" s="117"/>
      <c r="L315" s="6"/>
      <c r="M315" s="6"/>
      <c r="N315" s="6"/>
      <c r="O315" s="98"/>
      <c r="P315" s="98"/>
      <c r="Q315" s="98"/>
      <c r="R315" s="99"/>
      <c r="S315" s="98"/>
      <c r="T315" s="98"/>
      <c r="U315" s="98"/>
      <c r="V315" s="99"/>
      <c r="W315" s="74"/>
      <c r="X315" s="75"/>
      <c r="Y315" s="97"/>
      <c r="Z315" s="97"/>
      <c r="AA315" s="98"/>
      <c r="AB315" s="98"/>
      <c r="AC315" s="98"/>
      <c r="AD315" s="100"/>
      <c r="AE315" s="74"/>
      <c r="AF315" s="75"/>
      <c r="AG315" s="98"/>
      <c r="AH315" s="98"/>
      <c r="AI315" s="98"/>
      <c r="AJ315" s="100"/>
      <c r="AK315" s="74"/>
      <c r="AL315" s="75"/>
      <c r="AM315" s="98"/>
      <c r="AN315" s="98"/>
      <c r="AO315" s="98"/>
      <c r="AP315" s="100"/>
    </row>
    <row r="316" spans="1:42">
      <c r="A316" s="30">
        <v>292</v>
      </c>
      <c r="B316" s="130"/>
      <c r="C316" s="143" t="s">
        <v>719</v>
      </c>
      <c r="D316" s="27"/>
      <c r="E316" s="27"/>
      <c r="F316" s="27"/>
      <c r="G316" s="27"/>
      <c r="H316" s="70" t="s">
        <v>1263</v>
      </c>
      <c r="I316" s="176" t="s">
        <v>960</v>
      </c>
      <c r="J316" s="136" t="s">
        <v>1697</v>
      </c>
      <c r="K316" s="117"/>
      <c r="L316" s="6">
        <v>33085</v>
      </c>
      <c r="M316" s="6">
        <v>1654.25</v>
      </c>
      <c r="N316" s="5"/>
      <c r="O316" s="44"/>
      <c r="P316" s="44"/>
      <c r="Q316" s="44"/>
      <c r="R316" s="53"/>
      <c r="S316" s="44"/>
      <c r="T316" s="44"/>
      <c r="U316" s="44"/>
      <c r="V316" s="53"/>
      <c r="W316" s="31"/>
      <c r="X316" s="9"/>
      <c r="Y316" s="11"/>
      <c r="Z316" s="11"/>
      <c r="AA316" s="63"/>
      <c r="AB316" s="63"/>
      <c r="AC316" s="63"/>
      <c r="AD316" s="36"/>
      <c r="AE316" s="31"/>
      <c r="AF316" s="9"/>
      <c r="AG316" s="6"/>
      <c r="AH316" s="6"/>
      <c r="AI316" s="6"/>
      <c r="AJ316" s="36"/>
      <c r="AK316" s="31"/>
      <c r="AL316" s="9"/>
      <c r="AM316" s="6"/>
      <c r="AN316" s="6"/>
      <c r="AO316" s="6"/>
      <c r="AP316" s="36"/>
    </row>
    <row r="317" spans="1:42">
      <c r="A317" s="30">
        <v>293</v>
      </c>
      <c r="B317" s="130"/>
      <c r="C317" s="143" t="s">
        <v>1826</v>
      </c>
      <c r="D317" s="27"/>
      <c r="E317" s="27"/>
      <c r="F317" s="27"/>
      <c r="G317" s="27"/>
      <c r="H317" s="70" t="s">
        <v>2144</v>
      </c>
      <c r="I317" s="176" t="s">
        <v>842</v>
      </c>
      <c r="J317" s="137" t="s">
        <v>2145</v>
      </c>
      <c r="K317" s="117"/>
      <c r="L317" s="6">
        <v>240</v>
      </c>
      <c r="M317" s="6">
        <v>12</v>
      </c>
      <c r="N317" s="6">
        <v>252</v>
      </c>
      <c r="O317" s="44"/>
      <c r="P317" s="44"/>
      <c r="Q317" s="44"/>
      <c r="R317" s="53"/>
      <c r="S317" s="44"/>
      <c r="T317" s="44"/>
      <c r="U317" s="44"/>
      <c r="V317" s="53"/>
      <c r="W317" s="31"/>
      <c r="X317" s="9"/>
      <c r="Y317" s="11"/>
      <c r="Z317" s="11"/>
      <c r="AA317" s="63"/>
      <c r="AB317" s="63"/>
      <c r="AC317" s="63"/>
      <c r="AD317" s="36"/>
      <c r="AE317" s="31"/>
      <c r="AF317" s="9"/>
      <c r="AG317" s="6"/>
      <c r="AH317" s="6"/>
      <c r="AI317" s="6"/>
      <c r="AJ317" s="36"/>
      <c r="AK317" s="31"/>
      <c r="AL317" s="9"/>
      <c r="AM317" s="6"/>
      <c r="AN317" s="6"/>
      <c r="AO317" s="6"/>
      <c r="AP317" s="36"/>
    </row>
    <row r="318" spans="1:42">
      <c r="A318" s="30">
        <v>294</v>
      </c>
      <c r="B318" s="130"/>
      <c r="C318" s="143" t="s">
        <v>785</v>
      </c>
      <c r="D318" s="27"/>
      <c r="E318" s="27"/>
      <c r="F318" s="27"/>
      <c r="G318" s="27"/>
      <c r="H318" s="70" t="s">
        <v>786</v>
      </c>
      <c r="I318" s="176" t="s">
        <v>842</v>
      </c>
      <c r="J318" s="137"/>
      <c r="K318" s="117"/>
      <c r="L318" s="6"/>
      <c r="M318" s="6"/>
      <c r="N318" s="6"/>
      <c r="O318" s="44"/>
      <c r="P318" s="44"/>
      <c r="Q318" s="44"/>
      <c r="R318" s="53"/>
      <c r="S318" s="44"/>
      <c r="T318" s="44"/>
      <c r="U318" s="44"/>
      <c r="V318" s="53"/>
      <c r="W318" s="31"/>
      <c r="X318" s="9"/>
      <c r="Y318" s="11"/>
      <c r="Z318" s="11"/>
      <c r="AA318" s="63"/>
      <c r="AB318" s="63"/>
      <c r="AC318" s="63"/>
      <c r="AD318" s="36"/>
      <c r="AE318" s="31"/>
      <c r="AF318" s="9"/>
      <c r="AG318" s="6"/>
      <c r="AH318" s="6"/>
      <c r="AI318" s="6"/>
      <c r="AJ318" s="36"/>
      <c r="AK318" s="31"/>
      <c r="AL318" s="9"/>
      <c r="AM318" s="6"/>
      <c r="AN318" s="6"/>
      <c r="AO318" s="6"/>
      <c r="AP318" s="36"/>
    </row>
    <row r="319" spans="1:42">
      <c r="A319" s="30">
        <v>295</v>
      </c>
      <c r="B319" s="130"/>
      <c r="C319" s="143" t="s">
        <v>703</v>
      </c>
      <c r="D319" s="27"/>
      <c r="E319" s="27"/>
      <c r="F319" s="27"/>
      <c r="G319" s="27"/>
      <c r="H319" s="70" t="s">
        <v>1667</v>
      </c>
      <c r="I319" s="176" t="s">
        <v>842</v>
      </c>
      <c r="J319" s="137"/>
      <c r="K319" s="117"/>
      <c r="L319" s="6"/>
      <c r="M319" s="6"/>
      <c r="N319" s="6"/>
      <c r="O319" s="44"/>
      <c r="P319" s="44"/>
      <c r="Q319" s="44"/>
      <c r="R319" s="53"/>
      <c r="S319" s="44"/>
      <c r="T319" s="44"/>
      <c r="U319" s="44"/>
      <c r="V319" s="53"/>
      <c r="W319" s="31"/>
      <c r="X319" s="9"/>
      <c r="Y319" s="11"/>
      <c r="Z319" s="11"/>
      <c r="AA319" s="63"/>
      <c r="AB319" s="63"/>
      <c r="AC319" s="63"/>
      <c r="AD319" s="36"/>
      <c r="AE319" s="31"/>
      <c r="AF319" s="9"/>
      <c r="AG319" s="6"/>
      <c r="AH319" s="6"/>
      <c r="AI319" s="6"/>
      <c r="AJ319" s="36"/>
      <c r="AK319" s="31"/>
      <c r="AL319" s="9"/>
      <c r="AM319" s="6"/>
      <c r="AN319" s="6"/>
      <c r="AO319" s="6"/>
      <c r="AP319" s="36"/>
    </row>
    <row r="320" spans="1:42">
      <c r="A320" s="30">
        <v>296</v>
      </c>
      <c r="B320" s="130"/>
      <c r="C320" s="143" t="s">
        <v>1666</v>
      </c>
      <c r="D320" s="27"/>
      <c r="E320" s="27"/>
      <c r="F320" s="27"/>
      <c r="G320" s="27"/>
      <c r="H320" s="70" t="s">
        <v>1668</v>
      </c>
      <c r="I320" s="176" t="s">
        <v>842</v>
      </c>
      <c r="J320" s="137"/>
      <c r="K320" s="117"/>
      <c r="L320" s="6">
        <v>20360</v>
      </c>
      <c r="M320" s="6">
        <v>1018</v>
      </c>
      <c r="N320" s="5"/>
      <c r="O320" s="78"/>
      <c r="P320" s="78"/>
      <c r="Q320" s="78"/>
      <c r="R320" s="53"/>
      <c r="S320" s="57"/>
      <c r="T320" s="73"/>
      <c r="U320" s="73"/>
      <c r="V320" s="53"/>
      <c r="W320" s="31"/>
      <c r="X320" s="9"/>
      <c r="Y320" s="11"/>
      <c r="Z320" s="11"/>
      <c r="AA320" s="72"/>
      <c r="AB320" s="71"/>
      <c r="AC320" s="71"/>
      <c r="AD320" s="36"/>
      <c r="AE320" s="32"/>
      <c r="AF320" s="9"/>
      <c r="AG320" s="6"/>
      <c r="AH320" s="6"/>
      <c r="AI320" s="6"/>
      <c r="AJ320" s="36"/>
      <c r="AK320" s="32"/>
      <c r="AL320" s="9"/>
      <c r="AM320" s="6"/>
      <c r="AN320" s="6"/>
      <c r="AO320" s="6"/>
      <c r="AP320" s="36"/>
    </row>
    <row r="321" spans="1:42">
      <c r="A321" s="30">
        <v>297</v>
      </c>
      <c r="B321" s="130"/>
      <c r="C321" s="143" t="s">
        <v>1712</v>
      </c>
      <c r="D321" s="27"/>
      <c r="E321" s="27"/>
      <c r="F321" s="27"/>
      <c r="G321" s="27"/>
      <c r="H321" s="70" t="s">
        <v>893</v>
      </c>
      <c r="I321" s="176" t="s">
        <v>891</v>
      </c>
      <c r="J321" s="137" t="s">
        <v>777</v>
      </c>
      <c r="K321" s="117"/>
      <c r="L321" s="6"/>
      <c r="M321" s="6"/>
      <c r="N321" s="5"/>
      <c r="O321" s="78"/>
      <c r="P321" s="78"/>
      <c r="Q321" s="78"/>
      <c r="R321" s="53"/>
      <c r="S321" s="57"/>
      <c r="T321" s="73"/>
      <c r="U321" s="73"/>
      <c r="V321" s="53"/>
      <c r="W321" s="31"/>
      <c r="X321" s="9"/>
      <c r="Y321" s="11"/>
      <c r="Z321" s="11"/>
      <c r="AA321" s="72"/>
      <c r="AB321" s="71"/>
      <c r="AC321" s="71"/>
      <c r="AD321" s="36"/>
      <c r="AE321" s="32"/>
      <c r="AF321" s="9"/>
      <c r="AG321" s="6"/>
      <c r="AH321" s="6"/>
      <c r="AI321" s="6"/>
      <c r="AJ321" s="36"/>
      <c r="AK321" s="32"/>
      <c r="AL321" s="9"/>
      <c r="AM321" s="6"/>
      <c r="AN321" s="6"/>
      <c r="AO321" s="6"/>
      <c r="AP321" s="36"/>
    </row>
    <row r="322" spans="1:42" ht="27">
      <c r="A322" s="30">
        <v>298</v>
      </c>
      <c r="B322" s="130"/>
      <c r="C322" s="133" t="s">
        <v>2166</v>
      </c>
      <c r="D322" s="27"/>
      <c r="E322" s="27"/>
      <c r="F322" s="27"/>
      <c r="G322" s="27"/>
      <c r="H322" s="70" t="s">
        <v>2167</v>
      </c>
      <c r="I322" s="176" t="s">
        <v>2168</v>
      </c>
      <c r="J322" s="137"/>
      <c r="K322" s="117"/>
      <c r="L322" s="6"/>
      <c r="M322" s="6"/>
      <c r="N322" s="5"/>
      <c r="O322" s="78"/>
      <c r="P322" s="78"/>
      <c r="Q322" s="78"/>
      <c r="R322" s="53"/>
      <c r="S322" s="57"/>
      <c r="T322" s="73"/>
      <c r="U322" s="73"/>
      <c r="V322" s="53"/>
      <c r="W322" s="31"/>
      <c r="X322" s="9"/>
      <c r="Y322" s="11"/>
      <c r="Z322" s="11"/>
      <c r="AA322" s="72"/>
      <c r="AB322" s="71"/>
      <c r="AC322" s="71"/>
      <c r="AD322" s="36"/>
      <c r="AE322" s="32"/>
      <c r="AF322" s="9"/>
      <c r="AG322" s="6"/>
      <c r="AH322" s="6"/>
      <c r="AI322" s="6"/>
      <c r="AJ322" s="36"/>
      <c r="AK322" s="32"/>
      <c r="AL322" s="9"/>
      <c r="AM322" s="6"/>
      <c r="AN322" s="6"/>
      <c r="AO322" s="6"/>
      <c r="AP322" s="36"/>
    </row>
    <row r="323" spans="1:42">
      <c r="A323" s="30">
        <v>299</v>
      </c>
      <c r="B323" s="130"/>
      <c r="C323" s="143" t="s">
        <v>989</v>
      </c>
      <c r="D323" s="27"/>
      <c r="E323" s="27"/>
      <c r="F323" s="27"/>
      <c r="G323" s="27"/>
      <c r="H323" s="70" t="s">
        <v>806</v>
      </c>
      <c r="I323" s="176" t="s">
        <v>930</v>
      </c>
      <c r="J323" s="137" t="s">
        <v>60</v>
      </c>
      <c r="K323" s="117"/>
      <c r="L323" s="6"/>
      <c r="M323" s="6"/>
      <c r="N323" s="5"/>
      <c r="O323" s="78"/>
      <c r="P323" s="78"/>
      <c r="Q323" s="78"/>
      <c r="R323" s="53"/>
      <c r="S323" s="57"/>
      <c r="T323" s="73"/>
      <c r="U323" s="73"/>
      <c r="V323" s="53"/>
      <c r="W323" s="31"/>
      <c r="X323" s="9"/>
      <c r="Y323" s="11"/>
      <c r="Z323" s="11"/>
      <c r="AA323" s="72"/>
      <c r="AB323" s="71"/>
      <c r="AC323" s="71"/>
      <c r="AD323" s="36"/>
      <c r="AE323" s="32"/>
      <c r="AF323" s="9"/>
      <c r="AG323" s="6"/>
      <c r="AH323" s="6"/>
      <c r="AI323" s="6"/>
      <c r="AJ323" s="36"/>
      <c r="AK323" s="32"/>
      <c r="AL323" s="9"/>
      <c r="AM323" s="6"/>
      <c r="AN323" s="6"/>
      <c r="AO323" s="6"/>
      <c r="AP323" s="36"/>
    </row>
    <row r="324" spans="1:42">
      <c r="A324" s="30">
        <v>300</v>
      </c>
      <c r="B324" s="130"/>
      <c r="C324" s="143" t="s">
        <v>1733</v>
      </c>
      <c r="D324" s="27"/>
      <c r="E324" s="27"/>
      <c r="F324" s="27"/>
      <c r="G324" s="27"/>
      <c r="H324" s="70" t="s">
        <v>1734</v>
      </c>
      <c r="I324" s="176" t="s">
        <v>930</v>
      </c>
      <c r="J324" s="137"/>
      <c r="K324" s="117"/>
      <c r="L324" s="6">
        <v>540</v>
      </c>
      <c r="M324" s="6">
        <v>27</v>
      </c>
      <c r="N324" s="6">
        <v>567</v>
      </c>
      <c r="O324" s="44"/>
      <c r="P324" s="44"/>
      <c r="Q324" s="44"/>
      <c r="R324" s="53"/>
      <c r="S324" s="45"/>
      <c r="T324" s="49"/>
      <c r="U324" s="49"/>
      <c r="V324" s="53"/>
      <c r="W324" s="31"/>
      <c r="X324" s="9"/>
      <c r="Y324" s="11"/>
      <c r="Z324" s="11"/>
      <c r="AA324" s="69"/>
      <c r="AB324" s="69"/>
      <c r="AC324" s="69"/>
      <c r="AD324" s="36"/>
      <c r="AE324" s="31"/>
      <c r="AF324" s="9"/>
      <c r="AG324" s="6"/>
      <c r="AH324" s="6"/>
      <c r="AI324" s="6"/>
      <c r="AJ324" s="36"/>
      <c r="AK324" s="31"/>
      <c r="AL324" s="9"/>
      <c r="AM324" s="6"/>
      <c r="AN324" s="6"/>
      <c r="AO324" s="6"/>
      <c r="AP324" s="36"/>
    </row>
    <row r="325" spans="1:42">
      <c r="A325" s="30">
        <v>301</v>
      </c>
      <c r="B325" s="130"/>
      <c r="C325" s="143" t="s">
        <v>1236</v>
      </c>
      <c r="D325" s="27"/>
      <c r="E325" s="27"/>
      <c r="F325" s="27"/>
      <c r="G325" s="27"/>
      <c r="H325" s="70" t="s">
        <v>1237</v>
      </c>
      <c r="I325" s="176" t="s">
        <v>930</v>
      </c>
      <c r="J325" s="137" t="s">
        <v>584</v>
      </c>
      <c r="K325" s="117"/>
      <c r="L325" s="6"/>
      <c r="M325" s="6"/>
      <c r="N325" s="6"/>
      <c r="O325" s="44"/>
      <c r="P325" s="44"/>
      <c r="Q325" s="44"/>
      <c r="R325" s="53"/>
      <c r="S325" s="45"/>
      <c r="T325" s="49"/>
      <c r="U325" s="49"/>
      <c r="V325" s="53"/>
      <c r="W325" s="31"/>
      <c r="X325" s="9"/>
      <c r="Y325" s="11"/>
      <c r="Z325" s="11"/>
      <c r="AA325" s="69"/>
      <c r="AB325" s="69"/>
      <c r="AC325" s="69"/>
      <c r="AD325" s="36"/>
      <c r="AE325" s="31"/>
      <c r="AF325" s="9"/>
      <c r="AG325" s="6"/>
      <c r="AH325" s="6"/>
      <c r="AI325" s="6"/>
      <c r="AJ325" s="36"/>
      <c r="AK325" s="31"/>
      <c r="AL325" s="9"/>
      <c r="AM325" s="6"/>
      <c r="AN325" s="6"/>
      <c r="AO325" s="6"/>
      <c r="AP325" s="36"/>
    </row>
    <row r="326" spans="1:42">
      <c r="A326" s="30">
        <v>302</v>
      </c>
      <c r="B326" s="130"/>
      <c r="C326" s="143" t="s">
        <v>1999</v>
      </c>
      <c r="D326" s="27"/>
      <c r="E326" s="27"/>
      <c r="F326" s="27"/>
      <c r="G326" s="27"/>
      <c r="H326" s="70" t="s">
        <v>2187</v>
      </c>
      <c r="I326" s="176" t="s">
        <v>930</v>
      </c>
      <c r="J326" s="137"/>
      <c r="K326" s="117"/>
      <c r="L326" s="6"/>
      <c r="M326" s="6"/>
      <c r="N326" s="6"/>
      <c r="O326" s="44"/>
      <c r="P326" s="44"/>
      <c r="Q326" s="44"/>
      <c r="R326" s="53"/>
      <c r="S326" s="45"/>
      <c r="T326" s="49"/>
      <c r="U326" s="49"/>
      <c r="V326" s="53"/>
      <c r="W326" s="31"/>
      <c r="X326" s="9"/>
      <c r="Y326" s="11"/>
      <c r="Z326" s="11"/>
      <c r="AA326" s="69"/>
      <c r="AB326" s="69"/>
      <c r="AC326" s="69"/>
      <c r="AD326" s="36"/>
      <c r="AE326" s="31"/>
      <c r="AF326" s="9"/>
      <c r="AG326" s="6"/>
      <c r="AH326" s="6"/>
      <c r="AI326" s="6"/>
      <c r="AJ326" s="36"/>
      <c r="AK326" s="31"/>
      <c r="AL326" s="9"/>
      <c r="AM326" s="6"/>
      <c r="AN326" s="6"/>
      <c r="AO326" s="6"/>
      <c r="AP326" s="36"/>
    </row>
    <row r="327" spans="1:42">
      <c r="A327" s="30">
        <v>303</v>
      </c>
      <c r="B327" s="130"/>
      <c r="C327" s="143" t="s">
        <v>363</v>
      </c>
      <c r="D327" s="27"/>
      <c r="E327" s="27"/>
      <c r="F327" s="27"/>
      <c r="G327" s="27"/>
      <c r="H327" s="70" t="s">
        <v>723</v>
      </c>
      <c r="I327" s="176" t="s">
        <v>841</v>
      </c>
      <c r="J327" s="137"/>
      <c r="K327" s="117"/>
      <c r="L327" s="6">
        <v>600</v>
      </c>
      <c r="M327" s="6">
        <v>30</v>
      </c>
      <c r="N327" s="6">
        <v>630</v>
      </c>
      <c r="O327" s="44"/>
      <c r="P327" s="44"/>
      <c r="Q327" s="44"/>
      <c r="R327" s="53"/>
      <c r="S327" s="45"/>
      <c r="T327" s="49"/>
      <c r="U327" s="49"/>
      <c r="V327" s="53"/>
      <c r="W327" s="31"/>
      <c r="X327" s="9"/>
      <c r="Y327" s="11"/>
      <c r="Z327" s="11"/>
      <c r="AA327" s="69"/>
      <c r="AB327" s="69"/>
      <c r="AC327" s="69"/>
      <c r="AD327" s="36"/>
      <c r="AE327" s="31"/>
      <c r="AF327" s="9"/>
      <c r="AG327" s="6"/>
      <c r="AH327" s="6"/>
      <c r="AI327" s="6"/>
      <c r="AJ327" s="36"/>
      <c r="AK327" s="31"/>
      <c r="AL327" s="9"/>
      <c r="AM327" s="6"/>
      <c r="AN327" s="6"/>
      <c r="AO327" s="6"/>
      <c r="AP327" s="36"/>
    </row>
    <row r="328" spans="1:42">
      <c r="A328" s="30">
        <v>304</v>
      </c>
      <c r="B328" s="130"/>
      <c r="C328" s="143" t="s">
        <v>689</v>
      </c>
      <c r="D328" s="27"/>
      <c r="E328" s="27"/>
      <c r="F328" s="27"/>
      <c r="G328" s="27"/>
      <c r="H328" s="70" t="s">
        <v>724</v>
      </c>
      <c r="I328" s="176"/>
      <c r="J328" s="137"/>
      <c r="K328" s="117"/>
      <c r="L328" s="6"/>
      <c r="M328" s="6"/>
      <c r="N328" s="6"/>
      <c r="O328" s="44"/>
      <c r="P328" s="44"/>
      <c r="Q328" s="44"/>
      <c r="R328" s="53"/>
      <c r="S328" s="45"/>
      <c r="T328" s="49"/>
      <c r="U328" s="49"/>
      <c r="V328" s="53"/>
      <c r="W328" s="31"/>
      <c r="X328" s="9"/>
      <c r="Y328" s="11"/>
      <c r="Z328" s="11"/>
      <c r="AA328" s="69"/>
      <c r="AB328" s="69"/>
      <c r="AC328" s="69"/>
      <c r="AD328" s="36"/>
      <c r="AE328" s="31"/>
      <c r="AF328" s="9"/>
      <c r="AG328" s="6"/>
      <c r="AH328" s="6"/>
      <c r="AI328" s="6"/>
      <c r="AJ328" s="36"/>
      <c r="AK328" s="31"/>
      <c r="AL328" s="9"/>
      <c r="AM328" s="6"/>
      <c r="AN328" s="6"/>
      <c r="AO328" s="6"/>
      <c r="AP328" s="36"/>
    </row>
    <row r="329" spans="1:42" ht="24">
      <c r="A329" s="30">
        <v>305</v>
      </c>
      <c r="B329" s="130"/>
      <c r="C329" s="143" t="s">
        <v>2005</v>
      </c>
      <c r="D329" s="27"/>
      <c r="E329" s="27"/>
      <c r="F329" s="27"/>
      <c r="G329" s="27"/>
      <c r="H329" s="136" t="s">
        <v>1723</v>
      </c>
      <c r="I329" s="176" t="s">
        <v>964</v>
      </c>
      <c r="J329" s="137" t="s">
        <v>636</v>
      </c>
      <c r="K329" s="117"/>
      <c r="L329" s="6"/>
      <c r="M329" s="6"/>
      <c r="N329" s="6"/>
      <c r="O329" s="44"/>
      <c r="P329" s="44"/>
      <c r="Q329" s="44"/>
      <c r="R329" s="53"/>
      <c r="S329" s="44"/>
      <c r="T329" s="44"/>
      <c r="U329" s="44"/>
      <c r="V329" s="53"/>
      <c r="W329" s="74"/>
      <c r="X329" s="9"/>
      <c r="Y329" s="11"/>
      <c r="Z329" s="11"/>
      <c r="AA329" s="63"/>
      <c r="AB329" s="63"/>
      <c r="AC329" s="63"/>
      <c r="AD329" s="36"/>
      <c r="AE329" s="31"/>
      <c r="AF329" s="9"/>
      <c r="AG329" s="6"/>
      <c r="AH329" s="6"/>
      <c r="AI329" s="6"/>
      <c r="AJ329" s="36"/>
      <c r="AK329" s="31"/>
      <c r="AL329" s="9"/>
      <c r="AM329" s="6"/>
      <c r="AN329" s="6"/>
      <c r="AO329" s="6"/>
      <c r="AP329" s="36"/>
    </row>
    <row r="330" spans="1:42" ht="27">
      <c r="A330" s="30">
        <v>306</v>
      </c>
      <c r="B330" s="130"/>
      <c r="C330" s="143" t="s">
        <v>1583</v>
      </c>
      <c r="D330" s="27"/>
      <c r="E330" s="27"/>
      <c r="F330" s="27"/>
      <c r="G330" s="27"/>
      <c r="H330" s="70" t="s">
        <v>1611</v>
      </c>
      <c r="I330" s="176" t="s">
        <v>964</v>
      </c>
      <c r="J330" s="137" t="s">
        <v>1199</v>
      </c>
      <c r="K330" s="117"/>
      <c r="L330" s="6"/>
      <c r="M330" s="6"/>
      <c r="N330" s="6"/>
      <c r="O330" s="44"/>
      <c r="P330" s="44"/>
      <c r="Q330" s="44"/>
      <c r="R330" s="53"/>
      <c r="S330" s="44"/>
      <c r="T330" s="44"/>
      <c r="U330" s="44"/>
      <c r="V330" s="53"/>
      <c r="W330" s="74"/>
      <c r="X330" s="9"/>
      <c r="Y330" s="11"/>
      <c r="Z330" s="11"/>
      <c r="AA330" s="63"/>
      <c r="AB330" s="63"/>
      <c r="AC330" s="63"/>
      <c r="AD330" s="36"/>
      <c r="AE330" s="31"/>
      <c r="AF330" s="9"/>
      <c r="AG330" s="6"/>
      <c r="AH330" s="6"/>
      <c r="AI330" s="6"/>
      <c r="AJ330" s="36"/>
      <c r="AK330" s="31"/>
      <c r="AL330" s="9"/>
      <c r="AM330" s="6"/>
      <c r="AN330" s="6"/>
      <c r="AO330" s="6"/>
      <c r="AP330" s="36"/>
    </row>
    <row r="331" spans="1:42">
      <c r="A331" s="30">
        <v>307</v>
      </c>
      <c r="B331" s="130"/>
      <c r="C331" s="143" t="s">
        <v>1171</v>
      </c>
      <c r="D331" s="27"/>
      <c r="E331" s="27"/>
      <c r="F331" s="27"/>
      <c r="G331" s="27"/>
      <c r="H331" s="70" t="s">
        <v>1332</v>
      </c>
      <c r="I331" s="176" t="s">
        <v>1184</v>
      </c>
      <c r="J331" s="137" t="s">
        <v>1183</v>
      </c>
      <c r="K331" s="117"/>
      <c r="L331" s="6"/>
      <c r="M331" s="6"/>
      <c r="N331" s="6"/>
      <c r="O331" s="44"/>
      <c r="P331" s="44"/>
      <c r="Q331" s="44"/>
      <c r="R331" s="53"/>
      <c r="S331" s="44"/>
      <c r="T331" s="44"/>
      <c r="U331" s="44"/>
      <c r="V331" s="53"/>
      <c r="W331" s="74"/>
      <c r="X331" s="9"/>
      <c r="Y331" s="11"/>
      <c r="Z331" s="11"/>
      <c r="AA331" s="63"/>
      <c r="AB331" s="63"/>
      <c r="AC331" s="63"/>
      <c r="AD331" s="36"/>
      <c r="AE331" s="31"/>
      <c r="AF331" s="9"/>
      <c r="AG331" s="6"/>
      <c r="AH331" s="6"/>
      <c r="AI331" s="6"/>
      <c r="AJ331" s="36"/>
      <c r="AK331" s="31"/>
      <c r="AL331" s="9"/>
      <c r="AM331" s="6"/>
      <c r="AN331" s="6"/>
      <c r="AO331" s="6"/>
      <c r="AP331" s="36"/>
    </row>
    <row r="332" spans="1:42">
      <c r="A332" s="30">
        <v>308</v>
      </c>
      <c r="B332" s="130"/>
      <c r="C332" s="143" t="s">
        <v>2275</v>
      </c>
      <c r="D332" s="27"/>
      <c r="E332" s="27"/>
      <c r="F332" s="27"/>
      <c r="G332" s="27"/>
      <c r="H332" s="136" t="s">
        <v>1911</v>
      </c>
      <c r="I332" s="176" t="s">
        <v>1912</v>
      </c>
      <c r="J332" s="137" t="s">
        <v>636</v>
      </c>
      <c r="K332" s="117"/>
      <c r="L332" s="6">
        <v>22905</v>
      </c>
      <c r="M332" s="6">
        <v>1145.25</v>
      </c>
      <c r="N332" s="6">
        <v>24050.25</v>
      </c>
      <c r="O332" s="44"/>
      <c r="P332" s="44"/>
      <c r="Q332" s="44"/>
      <c r="R332" s="53"/>
      <c r="S332" s="45"/>
      <c r="T332" s="45"/>
      <c r="U332" s="45"/>
      <c r="V332" s="53"/>
      <c r="W332" s="31"/>
      <c r="X332" s="9"/>
      <c r="Y332" s="11"/>
      <c r="Z332" s="11"/>
      <c r="AA332" s="64"/>
      <c r="AB332" s="64"/>
      <c r="AC332" s="64"/>
      <c r="AD332" s="36"/>
      <c r="AE332" s="31"/>
      <c r="AF332" s="9"/>
      <c r="AG332" s="6"/>
      <c r="AH332" s="6"/>
      <c r="AI332" s="6"/>
      <c r="AJ332" s="36"/>
      <c r="AK332" s="31"/>
      <c r="AL332" s="9"/>
      <c r="AM332" s="6"/>
      <c r="AN332" s="6"/>
      <c r="AO332" s="6"/>
      <c r="AP332" s="36"/>
    </row>
    <row r="333" spans="1:42" ht="27">
      <c r="A333" s="30">
        <v>309</v>
      </c>
      <c r="B333" s="130"/>
      <c r="C333" s="143" t="s">
        <v>2104</v>
      </c>
      <c r="D333" s="27"/>
      <c r="E333" s="27"/>
      <c r="F333" s="27"/>
      <c r="G333" s="27"/>
      <c r="H333" s="70" t="s">
        <v>742</v>
      </c>
      <c r="I333" s="176" t="s">
        <v>1212</v>
      </c>
      <c r="J333" s="137" t="s">
        <v>676</v>
      </c>
      <c r="K333" s="117"/>
      <c r="L333" s="6"/>
      <c r="M333" s="6"/>
      <c r="N333" s="6"/>
      <c r="O333" s="44"/>
      <c r="P333" s="44"/>
      <c r="Q333" s="44"/>
      <c r="R333" s="53"/>
      <c r="S333" s="44"/>
      <c r="T333" s="44"/>
      <c r="U333" s="44"/>
      <c r="V333" s="53"/>
      <c r="W333" s="31"/>
      <c r="X333" s="9"/>
      <c r="Y333" s="11"/>
      <c r="Z333" s="11"/>
      <c r="AA333" s="63"/>
      <c r="AB333" s="63"/>
      <c r="AC333" s="63"/>
      <c r="AD333" s="36"/>
      <c r="AE333" s="31"/>
      <c r="AF333" s="9"/>
      <c r="AG333" s="6"/>
      <c r="AH333" s="6"/>
      <c r="AI333" s="6"/>
      <c r="AJ333" s="36"/>
      <c r="AK333" s="31"/>
      <c r="AL333" s="9"/>
      <c r="AM333" s="6"/>
      <c r="AN333" s="6"/>
      <c r="AO333" s="6"/>
      <c r="AP333" s="36"/>
    </row>
    <row r="334" spans="1:42">
      <c r="A334" s="30">
        <v>310</v>
      </c>
      <c r="B334" s="130"/>
      <c r="C334" s="143" t="s">
        <v>1254</v>
      </c>
      <c r="D334" s="27"/>
      <c r="E334" s="27"/>
      <c r="F334" s="27"/>
      <c r="G334" s="27"/>
      <c r="H334" s="70" t="s">
        <v>1255</v>
      </c>
      <c r="I334" s="176" t="s">
        <v>997</v>
      </c>
      <c r="J334" s="137"/>
      <c r="K334" s="117"/>
      <c r="L334" s="6"/>
      <c r="M334" s="6"/>
      <c r="N334" s="6"/>
      <c r="O334" s="44"/>
      <c r="P334" s="44"/>
      <c r="Q334" s="44"/>
      <c r="R334" s="53"/>
      <c r="S334" s="44"/>
      <c r="T334" s="44"/>
      <c r="U334" s="44"/>
      <c r="V334" s="53"/>
      <c r="W334" s="31"/>
      <c r="X334" s="9"/>
      <c r="Y334" s="11"/>
      <c r="Z334" s="11"/>
      <c r="AA334" s="63"/>
      <c r="AB334" s="63"/>
      <c r="AC334" s="63"/>
      <c r="AD334" s="36"/>
      <c r="AE334" s="31"/>
      <c r="AF334" s="9"/>
      <c r="AG334" s="6"/>
      <c r="AH334" s="6"/>
      <c r="AI334" s="6"/>
      <c r="AJ334" s="36"/>
      <c r="AK334" s="31"/>
      <c r="AL334" s="9"/>
      <c r="AM334" s="6"/>
      <c r="AN334" s="6"/>
      <c r="AO334" s="6"/>
      <c r="AP334" s="36"/>
    </row>
    <row r="335" spans="1:42">
      <c r="A335" s="30">
        <v>311</v>
      </c>
      <c r="B335" s="130"/>
      <c r="C335" s="143" t="s">
        <v>675</v>
      </c>
      <c r="D335" s="27"/>
      <c r="E335" s="27"/>
      <c r="F335" s="27"/>
      <c r="G335" s="27"/>
      <c r="H335" s="70" t="s">
        <v>677</v>
      </c>
      <c r="I335" s="176" t="s">
        <v>1047</v>
      </c>
      <c r="J335" s="137" t="s">
        <v>676</v>
      </c>
      <c r="K335" s="117"/>
      <c r="L335" s="6"/>
      <c r="M335" s="6"/>
      <c r="N335" s="6"/>
      <c r="O335" s="44"/>
      <c r="P335" s="44"/>
      <c r="Q335" s="44"/>
      <c r="R335" s="53"/>
      <c r="S335" s="44"/>
      <c r="T335" s="44"/>
      <c r="U335" s="44"/>
      <c r="V335" s="53"/>
      <c r="W335" s="31"/>
      <c r="X335" s="9"/>
      <c r="Y335" s="11"/>
      <c r="Z335" s="11"/>
      <c r="AA335" s="63"/>
      <c r="AB335" s="63"/>
      <c r="AC335" s="63"/>
      <c r="AD335" s="36"/>
      <c r="AE335" s="31"/>
      <c r="AF335" s="9"/>
      <c r="AG335" s="6"/>
      <c r="AH335" s="6"/>
      <c r="AI335" s="6"/>
      <c r="AJ335" s="36"/>
      <c r="AK335" s="31"/>
      <c r="AL335" s="9"/>
      <c r="AM335" s="6"/>
      <c r="AN335" s="6"/>
      <c r="AO335" s="6"/>
      <c r="AP335" s="36"/>
    </row>
    <row r="336" spans="1:42">
      <c r="A336" s="30">
        <v>312</v>
      </c>
      <c r="B336" s="130"/>
      <c r="C336" s="143" t="s">
        <v>504</v>
      </c>
      <c r="D336" s="27"/>
      <c r="E336" s="27"/>
      <c r="F336" s="27"/>
      <c r="G336" s="27"/>
      <c r="H336" s="70" t="s">
        <v>2095</v>
      </c>
      <c r="I336" s="176" t="s">
        <v>917</v>
      </c>
      <c r="J336" s="137" t="s">
        <v>1125</v>
      </c>
      <c r="K336" s="117"/>
      <c r="L336" s="6"/>
      <c r="M336" s="6"/>
      <c r="N336" s="6"/>
      <c r="O336" s="44"/>
      <c r="P336" s="44"/>
      <c r="Q336" s="44"/>
      <c r="R336" s="53"/>
      <c r="S336" s="44"/>
      <c r="T336" s="44"/>
      <c r="U336" s="44"/>
      <c r="V336" s="53"/>
      <c r="W336" s="31"/>
      <c r="X336" s="9"/>
      <c r="Y336" s="11"/>
      <c r="Z336" s="11"/>
      <c r="AA336" s="63"/>
      <c r="AB336" s="63"/>
      <c r="AC336" s="63"/>
      <c r="AD336" s="36"/>
      <c r="AE336" s="31"/>
      <c r="AF336" s="9"/>
      <c r="AG336" s="6"/>
      <c r="AH336" s="6"/>
      <c r="AI336" s="6"/>
      <c r="AJ336" s="36"/>
      <c r="AK336" s="31"/>
      <c r="AL336" s="9"/>
      <c r="AM336" s="6"/>
      <c r="AN336" s="6"/>
      <c r="AO336" s="6"/>
      <c r="AP336" s="36"/>
    </row>
    <row r="337" spans="1:42">
      <c r="A337" s="30">
        <v>313</v>
      </c>
      <c r="B337" s="130"/>
      <c r="C337" s="143" t="s">
        <v>2092</v>
      </c>
      <c r="D337" s="27"/>
      <c r="E337" s="27"/>
      <c r="F337" s="27"/>
      <c r="G337" s="27"/>
      <c r="H337" s="70" t="s">
        <v>2094</v>
      </c>
      <c r="I337" s="176" t="s">
        <v>917</v>
      </c>
      <c r="J337" s="137" t="s">
        <v>2093</v>
      </c>
      <c r="K337" s="117"/>
      <c r="L337" s="6"/>
      <c r="M337" s="6"/>
      <c r="N337" s="6"/>
      <c r="O337" s="44"/>
      <c r="P337" s="44"/>
      <c r="Q337" s="44"/>
      <c r="R337" s="53"/>
      <c r="S337" s="44"/>
      <c r="T337" s="44"/>
      <c r="U337" s="44"/>
      <c r="V337" s="53"/>
      <c r="W337" s="31"/>
      <c r="X337" s="9"/>
      <c r="Y337" s="11"/>
      <c r="Z337" s="11"/>
      <c r="AA337" s="63"/>
      <c r="AB337" s="63"/>
      <c r="AC337" s="63"/>
      <c r="AD337" s="36"/>
      <c r="AE337" s="31"/>
      <c r="AF337" s="9"/>
      <c r="AG337" s="6"/>
      <c r="AH337" s="6"/>
      <c r="AI337" s="6"/>
      <c r="AJ337" s="36"/>
      <c r="AK337" s="31"/>
      <c r="AL337" s="9"/>
      <c r="AM337" s="6"/>
      <c r="AN337" s="6"/>
      <c r="AO337" s="6"/>
      <c r="AP337" s="36"/>
    </row>
    <row r="338" spans="1:42">
      <c r="A338" s="30">
        <v>314</v>
      </c>
      <c r="B338" s="130"/>
      <c r="C338" s="143" t="s">
        <v>1586</v>
      </c>
      <c r="D338" s="27"/>
      <c r="E338" s="27"/>
      <c r="F338" s="27"/>
      <c r="G338" s="27"/>
      <c r="H338" s="70" t="s">
        <v>776</v>
      </c>
      <c r="I338" s="176" t="s">
        <v>829</v>
      </c>
      <c r="J338" s="137"/>
      <c r="K338" s="117"/>
      <c r="L338" s="6"/>
      <c r="M338" s="6"/>
      <c r="N338" s="6"/>
      <c r="O338" s="44"/>
      <c r="P338" s="44"/>
      <c r="Q338" s="44"/>
      <c r="R338" s="53"/>
      <c r="S338" s="44"/>
      <c r="T338" s="44"/>
      <c r="U338" s="44"/>
      <c r="V338" s="53"/>
      <c r="W338" s="31"/>
      <c r="X338" s="9"/>
      <c r="Y338" s="11"/>
      <c r="Z338" s="11"/>
      <c r="AA338" s="63"/>
      <c r="AB338" s="63"/>
      <c r="AC338" s="63"/>
      <c r="AD338" s="36"/>
      <c r="AE338" s="31"/>
      <c r="AF338" s="9"/>
      <c r="AG338" s="6"/>
      <c r="AH338" s="6"/>
      <c r="AI338" s="6"/>
      <c r="AJ338" s="36"/>
      <c r="AK338" s="31"/>
      <c r="AL338" s="9"/>
      <c r="AM338" s="6"/>
      <c r="AN338" s="6"/>
      <c r="AO338" s="6"/>
      <c r="AP338" s="36"/>
    </row>
    <row r="339" spans="1:42">
      <c r="A339" s="30">
        <v>315</v>
      </c>
      <c r="B339" s="130"/>
      <c r="C339" s="159" t="s">
        <v>838</v>
      </c>
      <c r="D339" s="27"/>
      <c r="E339" s="27"/>
      <c r="F339" s="27"/>
      <c r="G339" s="27"/>
      <c r="H339" s="70" t="s">
        <v>839</v>
      </c>
      <c r="I339" s="176" t="s">
        <v>1041</v>
      </c>
      <c r="J339" s="137"/>
      <c r="K339" s="117"/>
      <c r="L339" s="6"/>
      <c r="M339" s="6"/>
      <c r="N339" s="6"/>
      <c r="O339" s="44"/>
      <c r="P339" s="44"/>
      <c r="Q339" s="44"/>
      <c r="R339" s="53"/>
      <c r="S339" s="44"/>
      <c r="T339" s="44"/>
      <c r="U339" s="44"/>
      <c r="V339" s="53"/>
      <c r="W339" s="31"/>
      <c r="X339" s="9"/>
      <c r="Y339" s="11"/>
      <c r="Z339" s="11"/>
      <c r="AA339" s="63"/>
      <c r="AB339" s="63"/>
      <c r="AC339" s="63"/>
      <c r="AD339" s="36"/>
      <c r="AE339" s="31"/>
      <c r="AF339" s="9"/>
      <c r="AG339" s="6"/>
      <c r="AH339" s="6"/>
      <c r="AI339" s="6"/>
      <c r="AJ339" s="36"/>
      <c r="AK339" s="31"/>
      <c r="AL339" s="9"/>
      <c r="AM339" s="6"/>
      <c r="AN339" s="6"/>
      <c r="AO339" s="6"/>
      <c r="AP339" s="36"/>
    </row>
    <row r="340" spans="1:42">
      <c r="A340" s="30">
        <v>316</v>
      </c>
      <c r="B340" s="130"/>
      <c r="C340" s="143" t="s">
        <v>1121</v>
      </c>
      <c r="D340" s="27"/>
      <c r="E340" s="27"/>
      <c r="F340" s="27"/>
      <c r="G340" s="27"/>
      <c r="H340" s="70" t="s">
        <v>972</v>
      </c>
      <c r="I340" s="176" t="s">
        <v>1040</v>
      </c>
      <c r="J340" s="137"/>
      <c r="K340" s="117"/>
      <c r="L340" s="6"/>
      <c r="M340" s="6"/>
      <c r="N340" s="6"/>
      <c r="O340" s="44"/>
      <c r="P340" s="44"/>
      <c r="Q340" s="44"/>
      <c r="R340" s="53"/>
      <c r="S340" s="81"/>
      <c r="T340" s="81"/>
      <c r="U340" s="81"/>
      <c r="V340" s="53"/>
      <c r="W340" s="31"/>
      <c r="X340" s="9"/>
      <c r="Y340" s="11"/>
      <c r="Z340" s="80"/>
      <c r="AA340" s="65"/>
      <c r="AB340" s="65"/>
      <c r="AC340" s="65"/>
      <c r="AD340" s="36"/>
      <c r="AE340" s="31"/>
      <c r="AF340" s="9"/>
      <c r="AG340" s="6"/>
      <c r="AH340" s="6"/>
      <c r="AI340" s="6"/>
      <c r="AJ340" s="36"/>
      <c r="AK340" s="31"/>
      <c r="AL340" s="9"/>
      <c r="AM340" s="6"/>
      <c r="AN340" s="6"/>
      <c r="AO340" s="6"/>
      <c r="AP340" s="36"/>
    </row>
    <row r="341" spans="1:42">
      <c r="A341" s="30">
        <v>317</v>
      </c>
      <c r="B341" s="130"/>
      <c r="C341" s="143" t="s">
        <v>1353</v>
      </c>
      <c r="D341" s="27"/>
      <c r="E341" s="27"/>
      <c r="F341" s="27"/>
      <c r="G341" s="27"/>
      <c r="H341" s="70" t="s">
        <v>826</v>
      </c>
      <c r="I341" s="176" t="s">
        <v>863</v>
      </c>
      <c r="J341" s="137"/>
      <c r="K341" s="117"/>
      <c r="L341" s="6"/>
      <c r="M341" s="6"/>
      <c r="N341" s="6"/>
      <c r="O341" s="44"/>
      <c r="P341" s="44"/>
      <c r="Q341" s="44"/>
      <c r="R341" s="53"/>
      <c r="S341" s="44"/>
      <c r="T341" s="44"/>
      <c r="U341" s="44"/>
      <c r="V341" s="53"/>
      <c r="W341" s="31"/>
      <c r="X341" s="9"/>
      <c r="Y341" s="11"/>
      <c r="Z341" s="11"/>
      <c r="AA341" s="63"/>
      <c r="AB341" s="63"/>
      <c r="AC341" s="63"/>
      <c r="AD341" s="36"/>
      <c r="AE341" s="31"/>
      <c r="AF341" s="9"/>
      <c r="AG341" s="6"/>
      <c r="AH341" s="6"/>
      <c r="AI341" s="6"/>
      <c r="AJ341" s="36"/>
      <c r="AK341" s="31"/>
      <c r="AL341" s="9"/>
      <c r="AM341" s="6"/>
      <c r="AN341" s="6"/>
      <c r="AO341" s="6"/>
      <c r="AP341" s="36"/>
    </row>
    <row r="342" spans="1:42">
      <c r="A342" s="30">
        <v>318</v>
      </c>
      <c r="B342" s="130"/>
      <c r="C342" s="143" t="s">
        <v>551</v>
      </c>
      <c r="D342" s="27"/>
      <c r="E342" s="27"/>
      <c r="F342" s="27"/>
      <c r="G342" s="27"/>
      <c r="H342" s="70" t="s">
        <v>827</v>
      </c>
      <c r="I342" s="176" t="s">
        <v>895</v>
      </c>
      <c r="J342" s="176" t="s">
        <v>895</v>
      </c>
      <c r="K342" s="117"/>
      <c r="L342" s="6">
        <v>480</v>
      </c>
      <c r="M342" s="6">
        <v>24</v>
      </c>
      <c r="N342" s="6">
        <v>504</v>
      </c>
      <c r="O342" s="44"/>
      <c r="P342" s="44"/>
      <c r="Q342" s="44"/>
      <c r="R342" s="53"/>
      <c r="S342" s="44"/>
      <c r="T342" s="44"/>
      <c r="U342" s="44"/>
      <c r="V342" s="53"/>
      <c r="W342" s="31"/>
      <c r="X342" s="9"/>
      <c r="Y342" s="11"/>
      <c r="Z342" s="11"/>
      <c r="AA342" s="63"/>
      <c r="AB342" s="63"/>
      <c r="AC342" s="63"/>
      <c r="AD342" s="36"/>
      <c r="AE342" s="31"/>
      <c r="AF342" s="9"/>
      <c r="AG342" s="6"/>
      <c r="AH342" s="6"/>
      <c r="AI342" s="6"/>
      <c r="AJ342" s="36"/>
      <c r="AK342" s="31"/>
      <c r="AL342" s="9"/>
      <c r="AM342" s="6"/>
      <c r="AN342" s="6"/>
      <c r="AO342" s="6"/>
      <c r="AP342" s="36"/>
    </row>
    <row r="343" spans="1:42" ht="27">
      <c r="A343" s="30">
        <v>319</v>
      </c>
      <c r="B343" s="130"/>
      <c r="C343" s="143" t="s">
        <v>1078</v>
      </c>
      <c r="D343" s="27"/>
      <c r="E343" s="27"/>
      <c r="F343" s="27"/>
      <c r="G343" s="27"/>
      <c r="H343" s="70" t="s">
        <v>801</v>
      </c>
      <c r="I343" s="176" t="s">
        <v>933</v>
      </c>
      <c r="J343" s="137" t="s">
        <v>802</v>
      </c>
      <c r="K343" s="117"/>
      <c r="L343" s="6"/>
      <c r="M343" s="6"/>
      <c r="N343" s="6"/>
      <c r="O343" s="44"/>
      <c r="P343" s="44"/>
      <c r="Q343" s="44"/>
      <c r="R343" s="53"/>
      <c r="S343" s="44"/>
      <c r="T343" s="44"/>
      <c r="U343" s="44"/>
      <c r="V343" s="53"/>
      <c r="W343" s="31"/>
      <c r="X343" s="9"/>
      <c r="Y343" s="11"/>
      <c r="Z343" s="11"/>
      <c r="AA343" s="63"/>
      <c r="AB343" s="63"/>
      <c r="AC343" s="63"/>
      <c r="AD343" s="36"/>
      <c r="AE343" s="31"/>
      <c r="AF343" s="9"/>
      <c r="AG343" s="6"/>
      <c r="AH343" s="6"/>
      <c r="AI343" s="6"/>
      <c r="AJ343" s="36"/>
      <c r="AK343" s="31"/>
      <c r="AL343" s="9"/>
      <c r="AM343" s="6"/>
      <c r="AN343" s="6"/>
      <c r="AO343" s="6"/>
      <c r="AP343" s="36"/>
    </row>
    <row r="344" spans="1:42" ht="27">
      <c r="A344" s="30">
        <v>320</v>
      </c>
      <c r="B344" s="130"/>
      <c r="C344" s="143" t="s">
        <v>803</v>
      </c>
      <c r="D344" s="27"/>
      <c r="E344" s="27"/>
      <c r="F344" s="27"/>
      <c r="G344" s="27"/>
      <c r="H344" s="70" t="s">
        <v>804</v>
      </c>
      <c r="I344" s="176" t="s">
        <v>1023</v>
      </c>
      <c r="J344" s="137" t="s">
        <v>805</v>
      </c>
      <c r="K344" s="117"/>
      <c r="L344" s="6"/>
      <c r="M344" s="6"/>
      <c r="N344" s="6"/>
      <c r="O344" s="44"/>
      <c r="P344" s="44"/>
      <c r="Q344" s="44"/>
      <c r="R344" s="53"/>
      <c r="S344" s="44"/>
      <c r="T344" s="44"/>
      <c r="U344" s="44"/>
      <c r="V344" s="53"/>
      <c r="W344" s="31"/>
      <c r="X344" s="9"/>
      <c r="Y344" s="11"/>
      <c r="Z344" s="11"/>
      <c r="AA344" s="63"/>
      <c r="AB344" s="63"/>
      <c r="AC344" s="63"/>
      <c r="AD344" s="36"/>
      <c r="AE344" s="31"/>
      <c r="AF344" s="9"/>
      <c r="AG344" s="6"/>
      <c r="AH344" s="6"/>
      <c r="AI344" s="6"/>
      <c r="AJ344" s="36"/>
      <c r="AK344" s="31"/>
      <c r="AL344" s="9"/>
      <c r="AM344" s="6"/>
      <c r="AN344" s="6"/>
      <c r="AO344" s="6"/>
      <c r="AP344" s="36"/>
    </row>
    <row r="345" spans="1:42">
      <c r="A345" s="30">
        <v>321</v>
      </c>
      <c r="B345" s="130"/>
      <c r="C345" s="143" t="s">
        <v>1432</v>
      </c>
      <c r="D345" s="27"/>
      <c r="E345" s="27"/>
      <c r="F345" s="27"/>
      <c r="G345" s="27"/>
      <c r="H345" s="70" t="s">
        <v>1698</v>
      </c>
      <c r="I345" s="176" t="s">
        <v>888</v>
      </c>
      <c r="J345" s="137" t="s">
        <v>1699</v>
      </c>
      <c r="K345" s="117"/>
      <c r="L345" s="6">
        <v>24900</v>
      </c>
      <c r="M345" s="6">
        <v>1245</v>
      </c>
      <c r="N345" s="6">
        <v>26145</v>
      </c>
      <c r="O345" s="44"/>
      <c r="P345" s="44"/>
      <c r="Q345" s="44"/>
      <c r="R345" s="53"/>
      <c r="S345" s="44"/>
      <c r="T345" s="44"/>
      <c r="U345" s="44"/>
      <c r="V345" s="53"/>
      <c r="W345" s="74"/>
      <c r="X345" s="9"/>
      <c r="Y345" s="11"/>
      <c r="Z345" s="11"/>
      <c r="AA345" s="63"/>
      <c r="AB345" s="63"/>
      <c r="AC345" s="63"/>
      <c r="AD345" s="36"/>
      <c r="AE345" s="31"/>
      <c r="AF345" s="9"/>
      <c r="AG345" s="6"/>
      <c r="AH345" s="6"/>
      <c r="AI345" s="6"/>
      <c r="AJ345" s="36"/>
      <c r="AK345" s="31"/>
      <c r="AL345" s="9"/>
      <c r="AM345" s="6"/>
      <c r="AN345" s="6"/>
      <c r="AO345" s="6"/>
      <c r="AP345" s="36"/>
    </row>
    <row r="346" spans="1:42">
      <c r="A346" s="30"/>
      <c r="B346" s="130"/>
      <c r="C346" s="143" t="s">
        <v>2229</v>
      </c>
      <c r="D346" s="27"/>
      <c r="E346" s="27"/>
      <c r="F346" s="27"/>
      <c r="G346" s="27"/>
      <c r="H346" s="70" t="s">
        <v>2230</v>
      </c>
      <c r="I346" s="176" t="s">
        <v>828</v>
      </c>
      <c r="J346" s="137"/>
      <c r="K346" s="117"/>
      <c r="L346" s="6"/>
      <c r="M346" s="6"/>
      <c r="N346" s="6"/>
      <c r="O346" s="44"/>
      <c r="P346" s="44"/>
      <c r="Q346" s="44"/>
      <c r="R346" s="53"/>
      <c r="S346" s="44"/>
      <c r="T346" s="44"/>
      <c r="U346" s="44"/>
      <c r="V346" s="53"/>
      <c r="W346" s="74"/>
      <c r="X346" s="9"/>
      <c r="Y346" s="11"/>
      <c r="Z346" s="11"/>
      <c r="AA346" s="63"/>
      <c r="AB346" s="63"/>
      <c r="AC346" s="63"/>
      <c r="AD346" s="36"/>
      <c r="AE346" s="31"/>
      <c r="AF346" s="9"/>
      <c r="AG346" s="6"/>
      <c r="AH346" s="6"/>
      <c r="AI346" s="6"/>
      <c r="AJ346" s="36"/>
      <c r="AK346" s="31"/>
      <c r="AL346" s="9"/>
      <c r="AM346" s="6"/>
      <c r="AN346" s="6"/>
      <c r="AO346" s="6"/>
      <c r="AP346" s="36"/>
    </row>
    <row r="347" spans="1:42">
      <c r="A347" s="30">
        <v>322</v>
      </c>
      <c r="B347" s="130"/>
      <c r="C347" s="143" t="s">
        <v>556</v>
      </c>
      <c r="D347" s="27"/>
      <c r="E347" s="27"/>
      <c r="F347" s="27"/>
      <c r="G347" s="27"/>
      <c r="H347" s="70" t="s">
        <v>743</v>
      </c>
      <c r="I347" s="176" t="s">
        <v>892</v>
      </c>
      <c r="J347" s="137" t="s">
        <v>639</v>
      </c>
      <c r="K347" s="117"/>
      <c r="L347" s="6"/>
      <c r="M347" s="6"/>
      <c r="N347" s="6"/>
      <c r="O347" s="44"/>
      <c r="P347" s="44"/>
      <c r="Q347" s="44"/>
      <c r="R347" s="53"/>
      <c r="S347" s="44"/>
      <c r="T347" s="44"/>
      <c r="U347" s="44"/>
      <c r="V347" s="53"/>
      <c r="W347" s="74"/>
      <c r="X347" s="9"/>
      <c r="Y347" s="11"/>
      <c r="Z347" s="11"/>
      <c r="AA347" s="63"/>
      <c r="AB347" s="63"/>
      <c r="AC347" s="63"/>
      <c r="AD347" s="36"/>
      <c r="AE347" s="31"/>
      <c r="AF347" s="9"/>
      <c r="AG347" s="6"/>
      <c r="AH347" s="6"/>
      <c r="AI347" s="6"/>
      <c r="AJ347" s="36"/>
      <c r="AK347" s="31"/>
      <c r="AL347" s="9"/>
      <c r="AM347" s="6"/>
      <c r="AN347" s="6"/>
      <c r="AO347" s="6"/>
      <c r="AP347" s="36"/>
    </row>
    <row r="348" spans="1:42" ht="20.100000000000001" customHeight="1">
      <c r="A348" s="30">
        <v>323</v>
      </c>
      <c r="B348" s="130"/>
      <c r="C348" s="143" t="s">
        <v>1364</v>
      </c>
      <c r="D348" s="27"/>
      <c r="E348" s="27"/>
      <c r="F348" s="27"/>
      <c r="G348" s="27"/>
      <c r="H348" s="70" t="s">
        <v>1295</v>
      </c>
      <c r="I348" s="176" t="s">
        <v>960</v>
      </c>
      <c r="J348" s="137"/>
      <c r="K348" s="117"/>
      <c r="L348" s="6">
        <v>600</v>
      </c>
      <c r="M348" s="6">
        <v>30</v>
      </c>
      <c r="N348" s="6">
        <v>630</v>
      </c>
      <c r="O348" s="44"/>
      <c r="P348" s="44"/>
      <c r="Q348" s="44"/>
      <c r="R348" s="53"/>
      <c r="S348" s="44"/>
      <c r="T348" s="44"/>
      <c r="U348" s="44"/>
      <c r="V348" s="53"/>
      <c r="W348" s="31"/>
      <c r="X348" s="9"/>
      <c r="Y348" s="11"/>
      <c r="Z348" s="11"/>
      <c r="AA348" s="63"/>
      <c r="AB348" s="63"/>
      <c r="AC348" s="63"/>
      <c r="AD348" s="36"/>
      <c r="AE348" s="31"/>
      <c r="AF348" s="9"/>
      <c r="AG348" s="6"/>
      <c r="AH348" s="6"/>
      <c r="AI348" s="6"/>
      <c r="AJ348" s="36"/>
      <c r="AK348" s="31"/>
      <c r="AL348" s="9"/>
      <c r="AM348" s="6"/>
      <c r="AN348" s="6"/>
      <c r="AO348" s="6"/>
      <c r="AP348" s="36"/>
    </row>
    <row r="349" spans="1:42" ht="20.100000000000001" customHeight="1">
      <c r="A349" s="30">
        <v>324</v>
      </c>
      <c r="B349" s="130"/>
      <c r="C349" s="143" t="s">
        <v>1688</v>
      </c>
      <c r="D349" s="27"/>
      <c r="E349" s="27"/>
      <c r="F349" s="27"/>
      <c r="G349" s="27"/>
      <c r="H349" s="70" t="s">
        <v>1689</v>
      </c>
      <c r="I349" s="176" t="s">
        <v>927</v>
      </c>
      <c r="J349" s="137"/>
      <c r="K349" s="117"/>
      <c r="L349" s="6"/>
      <c r="M349" s="6"/>
      <c r="N349" s="6"/>
      <c r="O349" s="44"/>
      <c r="P349" s="44"/>
      <c r="Q349" s="44"/>
      <c r="R349" s="53"/>
      <c r="S349" s="44"/>
      <c r="T349" s="44"/>
      <c r="U349" s="44"/>
      <c r="V349" s="53"/>
      <c r="W349" s="31"/>
      <c r="X349" s="9"/>
      <c r="Y349" s="11"/>
      <c r="Z349" s="11"/>
      <c r="AA349" s="63"/>
      <c r="AB349" s="63"/>
      <c r="AC349" s="63"/>
      <c r="AD349" s="36"/>
      <c r="AE349" s="31"/>
      <c r="AF349" s="9"/>
      <c r="AG349" s="6"/>
      <c r="AH349" s="6"/>
      <c r="AI349" s="6"/>
      <c r="AJ349" s="36"/>
      <c r="AK349" s="31"/>
      <c r="AL349" s="9"/>
      <c r="AM349" s="6"/>
      <c r="AN349" s="6"/>
      <c r="AO349" s="6"/>
      <c r="AP349" s="36"/>
    </row>
    <row r="350" spans="1:42">
      <c r="A350" s="30">
        <v>325</v>
      </c>
      <c r="B350" s="130"/>
      <c r="C350" s="143" t="s">
        <v>559</v>
      </c>
      <c r="D350" s="27"/>
      <c r="E350" s="27"/>
      <c r="F350" s="27"/>
      <c r="G350" s="27"/>
      <c r="H350" s="70" t="s">
        <v>553</v>
      </c>
      <c r="I350" s="176" t="s">
        <v>886</v>
      </c>
      <c r="J350" s="137" t="s">
        <v>654</v>
      </c>
      <c r="K350" s="117"/>
      <c r="L350" s="6">
        <v>480</v>
      </c>
      <c r="M350" s="6">
        <v>24</v>
      </c>
      <c r="N350" s="6">
        <v>504</v>
      </c>
      <c r="O350" s="44"/>
      <c r="P350" s="44"/>
      <c r="Q350" s="44"/>
      <c r="R350" s="53"/>
      <c r="S350" s="44"/>
      <c r="T350" s="44"/>
      <c r="U350" s="44"/>
      <c r="V350" s="53"/>
      <c r="W350" s="31"/>
      <c r="X350" s="9"/>
      <c r="Y350" s="11"/>
      <c r="Z350" s="11"/>
      <c r="AA350" s="63"/>
      <c r="AB350" s="63"/>
      <c r="AC350" s="63"/>
      <c r="AD350" s="36"/>
      <c r="AE350" s="31"/>
      <c r="AF350" s="9"/>
      <c r="AG350" s="6"/>
      <c r="AH350" s="6"/>
      <c r="AI350" s="6"/>
      <c r="AJ350" s="36"/>
      <c r="AK350" s="31"/>
      <c r="AL350" s="9"/>
      <c r="AM350" s="6"/>
      <c r="AN350" s="6"/>
      <c r="AO350" s="6"/>
      <c r="AP350" s="36"/>
    </row>
    <row r="351" spans="1:42">
      <c r="A351" s="30">
        <v>326</v>
      </c>
      <c r="B351" s="130"/>
      <c r="C351" s="143" t="s">
        <v>770</v>
      </c>
      <c r="D351" s="27"/>
      <c r="E351" s="27"/>
      <c r="F351" s="27"/>
      <c r="G351" s="27"/>
      <c r="H351" s="70" t="s">
        <v>640</v>
      </c>
      <c r="I351" s="176" t="s">
        <v>876</v>
      </c>
      <c r="J351" s="137" t="s">
        <v>641</v>
      </c>
      <c r="K351" s="117"/>
      <c r="L351" s="6"/>
      <c r="M351" s="6"/>
      <c r="N351" s="6"/>
      <c r="O351" s="44"/>
      <c r="P351" s="44"/>
      <c r="Q351" s="44"/>
      <c r="R351" s="53"/>
      <c r="S351" s="45"/>
      <c r="T351" s="45"/>
      <c r="U351" s="45"/>
      <c r="V351" s="53"/>
      <c r="W351" s="74"/>
      <c r="X351" s="9"/>
      <c r="Y351" s="11"/>
      <c r="Z351" s="11"/>
      <c r="AA351" s="64"/>
      <c r="AB351" s="64"/>
      <c r="AC351" s="64"/>
      <c r="AD351" s="36"/>
      <c r="AE351" s="31"/>
      <c r="AF351" s="9"/>
      <c r="AG351" s="6"/>
      <c r="AH351" s="6"/>
      <c r="AI351" s="6"/>
      <c r="AJ351" s="36"/>
      <c r="AK351" s="31"/>
      <c r="AL351" s="9"/>
      <c r="AM351" s="6"/>
      <c r="AN351" s="6"/>
      <c r="AO351" s="6"/>
      <c r="AP351" s="36"/>
    </row>
    <row r="352" spans="1:42">
      <c r="A352" s="30">
        <v>327</v>
      </c>
      <c r="B352" s="130"/>
      <c r="C352" s="143" t="s">
        <v>1625</v>
      </c>
      <c r="D352" s="27"/>
      <c r="E352" s="27"/>
      <c r="F352" s="27"/>
      <c r="G352" s="27"/>
      <c r="H352" s="70" t="s">
        <v>1624</v>
      </c>
      <c r="I352" s="176" t="s">
        <v>830</v>
      </c>
      <c r="J352" s="137"/>
      <c r="K352" s="117"/>
      <c r="L352" s="6"/>
      <c r="M352" s="6"/>
      <c r="N352" s="6"/>
      <c r="O352" s="44"/>
      <c r="P352" s="44"/>
      <c r="Q352" s="44"/>
      <c r="R352" s="53"/>
      <c r="S352" s="45"/>
      <c r="T352" s="45"/>
      <c r="U352" s="45"/>
      <c r="V352" s="53"/>
      <c r="W352" s="31"/>
      <c r="X352" s="9"/>
      <c r="Y352" s="11"/>
      <c r="Z352" s="11"/>
      <c r="AA352" s="64"/>
      <c r="AB352" s="64"/>
      <c r="AC352" s="64"/>
      <c r="AD352" s="36"/>
      <c r="AE352" s="31"/>
      <c r="AF352" s="9"/>
      <c r="AG352" s="6"/>
      <c r="AH352" s="6"/>
      <c r="AI352" s="6"/>
      <c r="AJ352" s="36"/>
      <c r="AK352" s="31"/>
      <c r="AL352" s="9"/>
      <c r="AM352" s="6"/>
      <c r="AN352" s="6"/>
      <c r="AO352" s="6"/>
      <c r="AP352" s="36"/>
    </row>
    <row r="353" spans="1:42">
      <c r="A353" s="30">
        <v>328</v>
      </c>
      <c r="B353" s="130"/>
      <c r="C353" s="143" t="s">
        <v>1681</v>
      </c>
      <c r="D353" s="27"/>
      <c r="E353" s="27"/>
      <c r="F353" s="27"/>
      <c r="G353" s="27"/>
      <c r="H353" s="70" t="s">
        <v>1682</v>
      </c>
      <c r="I353" s="176" t="s">
        <v>828</v>
      </c>
      <c r="J353" s="137"/>
      <c r="K353" s="117"/>
      <c r="L353" s="6"/>
      <c r="M353" s="6"/>
      <c r="N353" s="6"/>
      <c r="O353" s="44"/>
      <c r="P353" s="44"/>
      <c r="Q353" s="44"/>
      <c r="R353" s="53"/>
      <c r="S353" s="45"/>
      <c r="T353" s="45"/>
      <c r="U353" s="45"/>
      <c r="V353" s="53"/>
      <c r="W353" s="31"/>
      <c r="X353" s="9"/>
      <c r="Y353" s="11"/>
      <c r="Z353" s="11"/>
      <c r="AA353" s="64"/>
      <c r="AB353" s="64"/>
      <c r="AC353" s="64"/>
      <c r="AD353" s="36"/>
      <c r="AE353" s="31"/>
      <c r="AF353" s="9"/>
      <c r="AG353" s="6"/>
      <c r="AH353" s="6"/>
      <c r="AI353" s="6"/>
      <c r="AJ353" s="36"/>
      <c r="AK353" s="31"/>
      <c r="AL353" s="9"/>
      <c r="AM353" s="6"/>
      <c r="AN353" s="6"/>
      <c r="AO353" s="6"/>
      <c r="AP353" s="36"/>
    </row>
    <row r="354" spans="1:42">
      <c r="A354" s="30">
        <v>329</v>
      </c>
      <c r="B354" s="130"/>
      <c r="C354" s="143" t="s">
        <v>1132</v>
      </c>
      <c r="D354" s="27"/>
      <c r="E354" s="27"/>
      <c r="F354" s="27"/>
      <c r="G354" s="27"/>
      <c r="H354" s="70" t="s">
        <v>1135</v>
      </c>
      <c r="I354" s="176" t="s">
        <v>934</v>
      </c>
      <c r="J354" s="137"/>
      <c r="K354" s="117"/>
      <c r="L354" s="6"/>
      <c r="M354" s="6"/>
      <c r="N354" s="6"/>
      <c r="O354" s="44"/>
      <c r="P354" s="44"/>
      <c r="Q354" s="44"/>
      <c r="R354" s="53"/>
      <c r="S354" s="45"/>
      <c r="T354" s="45"/>
      <c r="U354" s="45"/>
      <c r="V354" s="53"/>
      <c r="W354" s="31"/>
      <c r="X354" s="9"/>
      <c r="Y354" s="11"/>
      <c r="Z354" s="11"/>
      <c r="AA354" s="64"/>
      <c r="AB354" s="64"/>
      <c r="AC354" s="64"/>
      <c r="AD354" s="36"/>
      <c r="AE354" s="31"/>
      <c r="AF354" s="9"/>
      <c r="AG354" s="6"/>
      <c r="AH354" s="6"/>
      <c r="AI354" s="6"/>
      <c r="AJ354" s="36"/>
      <c r="AK354" s="31"/>
      <c r="AL354" s="9"/>
      <c r="AM354" s="6"/>
      <c r="AN354" s="6"/>
      <c r="AO354" s="6"/>
      <c r="AP354" s="36"/>
    </row>
    <row r="355" spans="1:42">
      <c r="A355" s="30">
        <v>330</v>
      </c>
      <c r="B355" s="130"/>
      <c r="C355" s="143" t="s">
        <v>1118</v>
      </c>
      <c r="D355" s="27"/>
      <c r="E355" s="27"/>
      <c r="F355" s="27"/>
      <c r="G355" s="27"/>
      <c r="H355" s="70" t="s">
        <v>970</v>
      </c>
      <c r="I355" s="176" t="s">
        <v>829</v>
      </c>
      <c r="J355" s="137" t="s">
        <v>671</v>
      </c>
      <c r="K355" s="29"/>
      <c r="L355" s="11">
        <v>22000</v>
      </c>
      <c r="M355" s="11">
        <v>1100</v>
      </c>
      <c r="N355" s="11">
        <v>23100</v>
      </c>
      <c r="O355" s="44"/>
      <c r="P355" s="44"/>
      <c r="Q355" s="44"/>
      <c r="R355" s="53"/>
      <c r="S355" s="44"/>
      <c r="T355" s="46"/>
      <c r="U355" s="46"/>
      <c r="V355" s="53"/>
      <c r="W355" s="31"/>
      <c r="X355" s="9"/>
      <c r="Y355" s="11"/>
      <c r="Z355" s="11"/>
      <c r="AA355" s="63"/>
      <c r="AB355" s="63"/>
      <c r="AC355" s="63"/>
      <c r="AD355" s="36"/>
      <c r="AE355" s="31"/>
      <c r="AF355" s="9"/>
      <c r="AG355" s="6"/>
      <c r="AH355" s="6"/>
      <c r="AI355" s="6"/>
      <c r="AJ355" s="36"/>
      <c r="AK355" s="31"/>
      <c r="AL355" s="9"/>
      <c r="AM355" s="6"/>
      <c r="AN355" s="6"/>
      <c r="AO355" s="6"/>
      <c r="AP355" s="36"/>
    </row>
    <row r="356" spans="1:42">
      <c r="A356" s="30">
        <v>331</v>
      </c>
      <c r="B356" s="130"/>
      <c r="C356" s="143" t="s">
        <v>872</v>
      </c>
      <c r="D356" s="27"/>
      <c r="E356" s="27"/>
      <c r="F356" s="27"/>
      <c r="G356" s="27"/>
      <c r="H356" s="136" t="s">
        <v>1328</v>
      </c>
      <c r="I356" s="181" t="s">
        <v>871</v>
      </c>
      <c r="J356" s="137" t="s">
        <v>2013</v>
      </c>
      <c r="K356" s="117"/>
      <c r="L356" s="6">
        <v>600</v>
      </c>
      <c r="M356" s="6">
        <v>30</v>
      </c>
      <c r="N356" s="6">
        <v>630</v>
      </c>
      <c r="O356" s="44"/>
      <c r="P356" s="44"/>
      <c r="Q356" s="44"/>
      <c r="R356" s="53"/>
      <c r="S356" s="44"/>
      <c r="T356" s="44"/>
      <c r="U356" s="44"/>
      <c r="V356" s="53"/>
      <c r="W356" s="31"/>
      <c r="X356" s="9"/>
      <c r="Y356" s="11"/>
      <c r="Z356" s="11"/>
      <c r="AA356" s="63"/>
      <c r="AB356" s="63"/>
      <c r="AC356" s="63"/>
      <c r="AD356" s="36"/>
      <c r="AE356" s="31"/>
      <c r="AF356" s="9"/>
      <c r="AG356" s="6"/>
      <c r="AH356" s="6"/>
      <c r="AI356" s="6"/>
      <c r="AJ356" s="36"/>
      <c r="AK356" s="31"/>
      <c r="AL356" s="9"/>
      <c r="AM356" s="6"/>
      <c r="AN356" s="6"/>
      <c r="AO356" s="6"/>
      <c r="AP356" s="36"/>
    </row>
    <row r="357" spans="1:42">
      <c r="A357" s="30"/>
      <c r="B357" s="130"/>
      <c r="C357" s="143" t="s">
        <v>2072</v>
      </c>
      <c r="D357" s="27"/>
      <c r="E357" s="27"/>
      <c r="F357" s="27"/>
      <c r="G357" s="27"/>
      <c r="H357" s="136" t="s">
        <v>2073</v>
      </c>
      <c r="I357" s="181" t="s">
        <v>871</v>
      </c>
      <c r="J357" s="137" t="s">
        <v>2013</v>
      </c>
      <c r="K357" s="117"/>
      <c r="L357" s="6"/>
      <c r="M357" s="6"/>
      <c r="N357" s="6"/>
      <c r="O357" s="44"/>
      <c r="P357" s="44"/>
      <c r="Q357" s="44"/>
      <c r="R357" s="53"/>
      <c r="S357" s="44"/>
      <c r="T357" s="44"/>
      <c r="U357" s="44"/>
      <c r="V357" s="53"/>
      <c r="W357" s="31"/>
      <c r="X357" s="9"/>
      <c r="Y357" s="11"/>
      <c r="Z357" s="11"/>
      <c r="AA357" s="63"/>
      <c r="AB357" s="63"/>
      <c r="AC357" s="63"/>
      <c r="AD357" s="36"/>
      <c r="AE357" s="31"/>
      <c r="AF357" s="9"/>
      <c r="AG357" s="6"/>
      <c r="AH357" s="6"/>
      <c r="AI357" s="6"/>
      <c r="AJ357" s="36"/>
      <c r="AK357" s="31"/>
      <c r="AL357" s="9"/>
      <c r="AM357" s="6"/>
      <c r="AN357" s="6"/>
      <c r="AO357" s="6"/>
      <c r="AP357" s="36"/>
    </row>
    <row r="358" spans="1:42">
      <c r="A358" s="30">
        <v>332</v>
      </c>
      <c r="B358" s="130"/>
      <c r="C358" s="143" t="s">
        <v>523</v>
      </c>
      <c r="D358" s="27"/>
      <c r="E358" s="27"/>
      <c r="F358" s="27"/>
      <c r="G358" s="27"/>
      <c r="H358" s="106" t="s">
        <v>2231</v>
      </c>
      <c r="I358" s="183" t="s">
        <v>1427</v>
      </c>
      <c r="J358" s="137" t="s">
        <v>1428</v>
      </c>
      <c r="K358" s="117"/>
      <c r="L358" s="6">
        <v>0</v>
      </c>
      <c r="M358" s="6">
        <v>0</v>
      </c>
      <c r="N358" s="6">
        <v>0</v>
      </c>
      <c r="O358" s="44"/>
      <c r="P358" s="44"/>
      <c r="Q358" s="44"/>
      <c r="R358" s="53"/>
      <c r="S358" s="44"/>
      <c r="T358" s="44"/>
      <c r="U358" s="44"/>
      <c r="V358" s="53"/>
      <c r="W358" s="31"/>
      <c r="X358" s="9"/>
      <c r="Y358" s="11"/>
      <c r="Z358" s="11"/>
      <c r="AA358" s="63"/>
      <c r="AB358" s="63"/>
      <c r="AC358" s="63"/>
      <c r="AD358" s="36"/>
      <c r="AE358" s="31"/>
      <c r="AF358" s="9"/>
      <c r="AG358" s="6"/>
      <c r="AH358" s="6"/>
      <c r="AI358" s="6"/>
      <c r="AJ358" s="36"/>
      <c r="AK358" s="31"/>
      <c r="AL358" s="9"/>
      <c r="AM358" s="6"/>
      <c r="AN358" s="6"/>
      <c r="AO358" s="6"/>
      <c r="AP358" s="36"/>
    </row>
    <row r="359" spans="1:42">
      <c r="A359" s="30">
        <v>333</v>
      </c>
      <c r="B359" s="130"/>
      <c r="C359" s="143" t="s">
        <v>2001</v>
      </c>
      <c r="D359" s="27"/>
      <c r="E359" s="27"/>
      <c r="F359" s="27"/>
      <c r="G359" s="27"/>
      <c r="H359" s="70" t="s">
        <v>1988</v>
      </c>
      <c r="I359" s="176" t="s">
        <v>829</v>
      </c>
      <c r="J359" s="137"/>
      <c r="K359" s="117"/>
      <c r="L359" s="6">
        <v>25400</v>
      </c>
      <c r="M359" s="6">
        <v>1270</v>
      </c>
      <c r="N359" s="6">
        <v>26670</v>
      </c>
      <c r="O359" s="44"/>
      <c r="P359" s="44"/>
      <c r="Q359" s="44"/>
      <c r="R359" s="53"/>
      <c r="S359" s="44"/>
      <c r="T359" s="44"/>
      <c r="U359" s="44"/>
      <c r="V359" s="53"/>
      <c r="W359" s="31"/>
      <c r="X359" s="9"/>
      <c r="Y359" s="11"/>
      <c r="Z359" s="11"/>
      <c r="AA359" s="63"/>
      <c r="AB359" s="63"/>
      <c r="AC359" s="63"/>
      <c r="AD359" s="36"/>
      <c r="AE359" s="31"/>
      <c r="AF359" s="9"/>
      <c r="AG359" s="6"/>
      <c r="AH359" s="6"/>
      <c r="AI359" s="6"/>
      <c r="AJ359" s="36"/>
      <c r="AK359" s="31"/>
      <c r="AL359" s="9"/>
      <c r="AM359" s="6"/>
      <c r="AN359" s="6"/>
      <c r="AO359" s="6"/>
      <c r="AP359" s="36"/>
    </row>
    <row r="360" spans="1:42">
      <c r="A360" s="30">
        <v>334</v>
      </c>
      <c r="B360" s="130"/>
      <c r="C360" s="143" t="s">
        <v>1753</v>
      </c>
      <c r="D360" s="27"/>
      <c r="E360" s="27"/>
      <c r="F360" s="27"/>
      <c r="G360" s="27"/>
      <c r="H360" s="70" t="s">
        <v>1852</v>
      </c>
      <c r="I360" s="176" t="s">
        <v>1958</v>
      </c>
      <c r="J360" s="137"/>
      <c r="K360" s="117"/>
      <c r="L360" s="6"/>
      <c r="M360" s="6"/>
      <c r="N360" s="6"/>
      <c r="O360" s="44"/>
      <c r="P360" s="44"/>
      <c r="Q360" s="44"/>
      <c r="R360" s="53"/>
      <c r="S360" s="50"/>
      <c r="T360" s="50"/>
      <c r="U360" s="50"/>
      <c r="V360" s="53"/>
      <c r="W360" s="31"/>
      <c r="X360" s="9"/>
      <c r="Y360" s="11"/>
      <c r="Z360" s="11"/>
      <c r="AA360" s="82"/>
      <c r="AB360" s="82"/>
      <c r="AC360" s="82"/>
      <c r="AD360" s="36"/>
      <c r="AE360" s="31"/>
      <c r="AF360" s="9"/>
      <c r="AG360" s="6"/>
      <c r="AH360" s="6"/>
      <c r="AI360" s="6"/>
      <c r="AJ360" s="36"/>
      <c r="AK360" s="31"/>
      <c r="AL360" s="9"/>
      <c r="AM360" s="6"/>
      <c r="AN360" s="6"/>
      <c r="AO360" s="6"/>
      <c r="AP360" s="36"/>
    </row>
    <row r="361" spans="1:42">
      <c r="A361" s="30">
        <v>335</v>
      </c>
      <c r="B361" s="130"/>
      <c r="C361" s="143" t="s">
        <v>1262</v>
      </c>
      <c r="D361" s="27"/>
      <c r="E361" s="27"/>
      <c r="F361" s="27"/>
      <c r="G361" s="27"/>
      <c r="H361" s="70" t="s">
        <v>1250</v>
      </c>
      <c r="I361" s="176" t="s">
        <v>828</v>
      </c>
      <c r="J361" s="137"/>
      <c r="K361" s="117"/>
      <c r="L361" s="6">
        <v>19160</v>
      </c>
      <c r="M361" s="6">
        <v>958</v>
      </c>
      <c r="N361" s="6">
        <v>20118</v>
      </c>
      <c r="O361" s="44"/>
      <c r="P361" s="44"/>
      <c r="Q361" s="44"/>
      <c r="R361" s="53"/>
      <c r="S361" s="81"/>
      <c r="T361" s="81"/>
      <c r="U361" s="81"/>
      <c r="V361" s="53"/>
      <c r="W361" s="31"/>
      <c r="X361" s="9"/>
      <c r="Y361" s="11"/>
      <c r="Z361" s="11"/>
      <c r="AA361" s="65"/>
      <c r="AB361" s="65"/>
      <c r="AC361" s="65"/>
      <c r="AD361" s="36"/>
      <c r="AE361" s="31"/>
      <c r="AF361" s="9"/>
      <c r="AG361" s="6"/>
      <c r="AH361" s="6"/>
      <c r="AI361" s="6"/>
      <c r="AJ361" s="36"/>
      <c r="AK361" s="31"/>
      <c r="AL361" s="9"/>
      <c r="AM361" s="6"/>
      <c r="AN361" s="6"/>
      <c r="AO361" s="6"/>
      <c r="AP361" s="36"/>
    </row>
    <row r="362" spans="1:42">
      <c r="A362" s="30">
        <v>336</v>
      </c>
      <c r="B362" s="130"/>
      <c r="C362" s="143" t="s">
        <v>1025</v>
      </c>
      <c r="D362" s="27"/>
      <c r="E362" s="27"/>
      <c r="F362" s="27"/>
      <c r="G362" s="27"/>
      <c r="H362" s="70" t="s">
        <v>1044</v>
      </c>
      <c r="I362" s="176" t="s">
        <v>828</v>
      </c>
      <c r="J362" s="137"/>
      <c r="K362" s="117"/>
      <c r="L362" s="6"/>
      <c r="M362" s="6"/>
      <c r="N362" s="6"/>
      <c r="O362" s="44"/>
      <c r="P362" s="44"/>
      <c r="Q362" s="44"/>
      <c r="R362" s="53"/>
      <c r="S362" s="81"/>
      <c r="T362" s="81"/>
      <c r="U362" s="81"/>
      <c r="V362" s="53"/>
      <c r="W362" s="31"/>
      <c r="X362" s="9"/>
      <c r="Y362" s="11"/>
      <c r="Z362" s="11"/>
      <c r="AA362" s="65"/>
      <c r="AB362" s="65"/>
      <c r="AC362" s="65"/>
      <c r="AD362" s="36"/>
      <c r="AE362" s="31"/>
      <c r="AF362" s="9"/>
      <c r="AG362" s="6"/>
      <c r="AH362" s="6"/>
      <c r="AI362" s="6"/>
      <c r="AJ362" s="36"/>
      <c r="AK362" s="31"/>
      <c r="AL362" s="9"/>
      <c r="AM362" s="6"/>
      <c r="AN362" s="6"/>
      <c r="AO362" s="6"/>
      <c r="AP362" s="36"/>
    </row>
    <row r="363" spans="1:42">
      <c r="A363" s="30">
        <v>337</v>
      </c>
      <c r="B363" s="130"/>
      <c r="C363" s="143" t="s">
        <v>1815</v>
      </c>
      <c r="D363" s="27"/>
      <c r="E363" s="27"/>
      <c r="F363" s="27"/>
      <c r="G363" s="27"/>
      <c r="H363" s="70" t="s">
        <v>1004</v>
      </c>
      <c r="I363" s="176" t="s">
        <v>842</v>
      </c>
      <c r="J363" s="137"/>
      <c r="K363" s="117"/>
      <c r="L363" s="6"/>
      <c r="M363" s="6"/>
      <c r="N363" s="6"/>
      <c r="O363" s="44"/>
      <c r="P363" s="44"/>
      <c r="Q363" s="44"/>
      <c r="R363" s="53"/>
      <c r="S363" s="81"/>
      <c r="T363" s="81"/>
      <c r="U363" s="81"/>
      <c r="V363" s="53"/>
      <c r="W363" s="31"/>
      <c r="X363" s="9"/>
      <c r="Y363" s="11"/>
      <c r="Z363" s="11"/>
      <c r="AA363" s="65"/>
      <c r="AB363" s="65"/>
      <c r="AC363" s="65"/>
      <c r="AD363" s="36"/>
      <c r="AE363" s="31"/>
      <c r="AF363" s="9"/>
      <c r="AG363" s="6"/>
      <c r="AH363" s="6"/>
      <c r="AI363" s="6"/>
      <c r="AJ363" s="36"/>
      <c r="AK363" s="31"/>
      <c r="AL363" s="9"/>
      <c r="AM363" s="6"/>
      <c r="AN363" s="6"/>
      <c r="AO363" s="6"/>
      <c r="AP363" s="36"/>
    </row>
    <row r="364" spans="1:42">
      <c r="A364" s="30">
        <v>338</v>
      </c>
      <c r="B364" s="130"/>
      <c r="C364" s="143" t="s">
        <v>1137</v>
      </c>
      <c r="D364" s="27"/>
      <c r="E364" s="27"/>
      <c r="F364" s="27"/>
      <c r="G364" s="27"/>
      <c r="H364" s="70" t="s">
        <v>1138</v>
      </c>
      <c r="I364" s="176" t="s">
        <v>842</v>
      </c>
      <c r="J364" s="137" t="s">
        <v>1139</v>
      </c>
      <c r="K364" s="117"/>
      <c r="L364" s="6"/>
      <c r="M364" s="6"/>
      <c r="N364" s="6"/>
      <c r="O364" s="44"/>
      <c r="P364" s="44"/>
      <c r="Q364" s="44"/>
      <c r="R364" s="53"/>
      <c r="S364" s="81"/>
      <c r="T364" s="81"/>
      <c r="U364" s="81"/>
      <c r="V364" s="53"/>
      <c r="W364" s="31"/>
      <c r="X364" s="9"/>
      <c r="Y364" s="11"/>
      <c r="Z364" s="11"/>
      <c r="AA364" s="65"/>
      <c r="AB364" s="65"/>
      <c r="AC364" s="65"/>
      <c r="AD364" s="36"/>
      <c r="AE364" s="31"/>
      <c r="AF364" s="9"/>
      <c r="AG364" s="6"/>
      <c r="AH364" s="6"/>
      <c r="AI364" s="6"/>
      <c r="AJ364" s="36"/>
      <c r="AK364" s="31"/>
      <c r="AL364" s="9"/>
      <c r="AM364" s="6"/>
      <c r="AN364" s="6"/>
      <c r="AO364" s="6"/>
      <c r="AP364" s="36"/>
    </row>
    <row r="365" spans="1:42">
      <c r="A365" s="30">
        <v>339</v>
      </c>
      <c r="B365" s="130"/>
      <c r="C365" s="143" t="s">
        <v>789</v>
      </c>
      <c r="D365" s="27"/>
      <c r="E365" s="27"/>
      <c r="F365" s="27"/>
      <c r="G365" s="27"/>
      <c r="H365" s="70" t="s">
        <v>790</v>
      </c>
      <c r="I365" s="176" t="s">
        <v>828</v>
      </c>
      <c r="J365" s="137"/>
      <c r="K365" s="117"/>
      <c r="L365" s="6"/>
      <c r="M365" s="6"/>
      <c r="N365" s="6"/>
      <c r="O365" s="44"/>
      <c r="P365" s="44"/>
      <c r="Q365" s="44"/>
      <c r="R365" s="53"/>
      <c r="S365" s="44"/>
      <c r="T365" s="44"/>
      <c r="U365" s="44"/>
      <c r="V365" s="53"/>
      <c r="W365" s="31"/>
      <c r="X365" s="9"/>
      <c r="Y365" s="11"/>
      <c r="Z365" s="11"/>
      <c r="AA365" s="63"/>
      <c r="AB365" s="63"/>
      <c r="AC365" s="63"/>
      <c r="AD365" s="36"/>
      <c r="AE365" s="31"/>
      <c r="AF365" s="9"/>
      <c r="AG365" s="6"/>
      <c r="AH365" s="6"/>
      <c r="AI365" s="6"/>
      <c r="AJ365" s="36"/>
      <c r="AK365" s="31"/>
      <c r="AL365" s="9"/>
      <c r="AM365" s="6"/>
      <c r="AN365" s="6"/>
      <c r="AO365" s="6"/>
      <c r="AP365" s="36"/>
    </row>
    <row r="366" spans="1:42">
      <c r="A366" s="30">
        <v>340</v>
      </c>
      <c r="B366" s="130"/>
      <c r="C366" s="143" t="s">
        <v>413</v>
      </c>
      <c r="D366" s="27"/>
      <c r="E366" s="27"/>
      <c r="F366" s="27"/>
      <c r="G366" s="27"/>
      <c r="H366" s="70" t="s">
        <v>1360</v>
      </c>
      <c r="I366" s="176" t="s">
        <v>848</v>
      </c>
      <c r="J366" s="137"/>
      <c r="K366" s="117"/>
      <c r="L366" s="6"/>
      <c r="M366" s="6"/>
      <c r="N366" s="6"/>
      <c r="O366" s="44"/>
      <c r="P366" s="44"/>
      <c r="Q366" s="44"/>
      <c r="R366" s="53"/>
      <c r="S366" s="44"/>
      <c r="T366" s="44"/>
      <c r="U366" s="44"/>
      <c r="V366" s="53"/>
      <c r="W366" s="31"/>
      <c r="X366" s="9"/>
      <c r="Y366" s="11"/>
      <c r="Z366" s="11"/>
      <c r="AA366" s="63"/>
      <c r="AB366" s="63"/>
      <c r="AC366" s="63"/>
      <c r="AD366" s="36"/>
      <c r="AE366" s="31"/>
      <c r="AF366" s="9"/>
      <c r="AG366" s="6"/>
      <c r="AH366" s="6"/>
      <c r="AI366" s="6"/>
      <c r="AJ366" s="36"/>
      <c r="AK366" s="31"/>
      <c r="AL366" s="9"/>
      <c r="AM366" s="6"/>
      <c r="AN366" s="6"/>
      <c r="AO366" s="6"/>
      <c r="AP366" s="36"/>
    </row>
    <row r="367" spans="1:42">
      <c r="A367" s="30">
        <v>341</v>
      </c>
      <c r="B367" s="130"/>
      <c r="C367" s="143" t="s">
        <v>515</v>
      </c>
      <c r="D367" s="27"/>
      <c r="E367" s="27"/>
      <c r="F367" s="27"/>
      <c r="G367" s="27"/>
      <c r="H367" s="70" t="s">
        <v>943</v>
      </c>
      <c r="I367" s="176" t="s">
        <v>828</v>
      </c>
      <c r="J367" s="137"/>
      <c r="K367" s="29"/>
      <c r="L367" s="11"/>
      <c r="M367" s="11"/>
      <c r="N367" s="11"/>
      <c r="O367" s="44"/>
      <c r="P367" s="44"/>
      <c r="Q367" s="44"/>
      <c r="R367" s="53"/>
      <c r="S367" s="47"/>
      <c r="T367" s="51"/>
      <c r="U367" s="51"/>
      <c r="V367" s="53"/>
      <c r="W367" s="31"/>
      <c r="X367" s="9"/>
      <c r="Y367" s="11"/>
      <c r="Z367" s="11"/>
      <c r="AA367" s="63"/>
      <c r="AB367" s="63"/>
      <c r="AC367" s="63"/>
      <c r="AD367" s="36"/>
      <c r="AE367" s="31"/>
      <c r="AF367" s="9"/>
      <c r="AG367" s="6"/>
      <c r="AH367" s="6"/>
      <c r="AI367" s="6"/>
      <c r="AJ367" s="36"/>
      <c r="AK367" s="31"/>
      <c r="AL367" s="9"/>
      <c r="AM367" s="6"/>
      <c r="AN367" s="6"/>
      <c r="AO367" s="6"/>
      <c r="AP367" s="36"/>
    </row>
    <row r="368" spans="1:42">
      <c r="A368" s="30">
        <v>342</v>
      </c>
      <c r="B368" s="130"/>
      <c r="C368" s="143" t="s">
        <v>1299</v>
      </c>
      <c r="D368" s="27"/>
      <c r="E368" s="27"/>
      <c r="F368" s="27"/>
      <c r="G368" s="27"/>
      <c r="H368" s="70" t="s">
        <v>1297</v>
      </c>
      <c r="I368" s="176" t="s">
        <v>1296</v>
      </c>
      <c r="J368" s="137" t="s">
        <v>1298</v>
      </c>
      <c r="K368" s="29"/>
      <c r="L368" s="11"/>
      <c r="M368" s="11"/>
      <c r="N368" s="11"/>
      <c r="O368" s="44"/>
      <c r="P368" s="44"/>
      <c r="Q368" s="44"/>
      <c r="R368" s="53"/>
      <c r="S368" s="47"/>
      <c r="T368" s="51"/>
      <c r="U368" s="51"/>
      <c r="V368" s="53"/>
      <c r="W368" s="31"/>
      <c r="X368" s="9"/>
      <c r="Y368" s="11"/>
      <c r="Z368" s="11"/>
      <c r="AA368" s="63"/>
      <c r="AB368" s="63"/>
      <c r="AC368" s="63"/>
      <c r="AD368" s="36"/>
      <c r="AE368" s="31"/>
      <c r="AF368" s="9"/>
      <c r="AG368" s="6"/>
      <c r="AH368" s="6"/>
      <c r="AI368" s="6"/>
      <c r="AJ368" s="36"/>
      <c r="AK368" s="31"/>
      <c r="AL368" s="9"/>
      <c r="AM368" s="6"/>
      <c r="AN368" s="6"/>
      <c r="AO368" s="6"/>
      <c r="AP368" s="36"/>
    </row>
    <row r="369" spans="1:42">
      <c r="A369" s="30">
        <v>343</v>
      </c>
      <c r="B369" s="130"/>
      <c r="C369" s="143" t="s">
        <v>1372</v>
      </c>
      <c r="D369" s="27"/>
      <c r="E369" s="27"/>
      <c r="F369" s="27"/>
      <c r="G369" s="27"/>
      <c r="H369" s="70" t="s">
        <v>1374</v>
      </c>
      <c r="I369" s="176" t="s">
        <v>1375</v>
      </c>
      <c r="J369" s="137" t="s">
        <v>1373</v>
      </c>
      <c r="K369" s="29"/>
      <c r="L369" s="11">
        <v>12400</v>
      </c>
      <c r="M369" s="11">
        <v>620</v>
      </c>
      <c r="N369" s="11">
        <v>13020</v>
      </c>
      <c r="O369" s="44"/>
      <c r="P369" s="44"/>
      <c r="Q369" s="44"/>
      <c r="R369" s="53"/>
      <c r="S369" s="44"/>
      <c r="T369" s="46"/>
      <c r="U369" s="46"/>
      <c r="V369" s="53"/>
      <c r="W369" s="31"/>
      <c r="X369" s="9"/>
      <c r="Y369" s="11"/>
      <c r="Z369" s="11"/>
      <c r="AA369" s="63"/>
      <c r="AB369" s="63"/>
      <c r="AC369" s="63"/>
      <c r="AD369" s="36"/>
      <c r="AE369" s="31"/>
      <c r="AF369" s="9"/>
      <c r="AG369" s="6"/>
      <c r="AH369" s="6"/>
      <c r="AI369" s="6"/>
      <c r="AJ369" s="36"/>
      <c r="AK369" s="31"/>
      <c r="AL369" s="9"/>
      <c r="AM369" s="6"/>
      <c r="AN369" s="6"/>
      <c r="AO369" s="6"/>
      <c r="AP369" s="36"/>
    </row>
    <row r="370" spans="1:42">
      <c r="A370" s="30">
        <v>344</v>
      </c>
      <c r="B370" s="130"/>
      <c r="C370" s="143" t="s">
        <v>951</v>
      </c>
      <c r="D370" s="27"/>
      <c r="E370" s="27"/>
      <c r="F370" s="27"/>
      <c r="G370" s="27"/>
      <c r="H370" s="70" t="s">
        <v>635</v>
      </c>
      <c r="I370" s="176"/>
      <c r="J370" s="137" t="s">
        <v>778</v>
      </c>
      <c r="K370" s="29"/>
      <c r="L370" s="11">
        <v>12400</v>
      </c>
      <c r="M370" s="11">
        <v>620</v>
      </c>
      <c r="N370" s="11">
        <v>13020</v>
      </c>
      <c r="O370" s="44"/>
      <c r="P370" s="44"/>
      <c r="Q370" s="44"/>
      <c r="R370" s="53"/>
      <c r="S370" s="44"/>
      <c r="T370" s="46"/>
      <c r="U370" s="46"/>
      <c r="V370" s="53"/>
      <c r="W370" s="111"/>
      <c r="AA370" s="112"/>
      <c r="AB370" s="112"/>
      <c r="AC370" s="112"/>
      <c r="AE370" s="111"/>
      <c r="AG370" s="8"/>
      <c r="AH370" s="8"/>
      <c r="AI370" s="8"/>
      <c r="AK370" s="111"/>
      <c r="AM370" s="8"/>
      <c r="AN370" s="8"/>
      <c r="AO370" s="8"/>
    </row>
    <row r="371" spans="1:42" ht="27">
      <c r="A371" s="30">
        <v>345</v>
      </c>
      <c r="B371" s="130"/>
      <c r="C371" s="143" t="s">
        <v>2002</v>
      </c>
      <c r="D371" s="27"/>
      <c r="E371" s="27"/>
      <c r="F371" s="27"/>
      <c r="G371" s="27"/>
      <c r="H371" s="70" t="s">
        <v>2004</v>
      </c>
      <c r="I371" s="176" t="s">
        <v>1175</v>
      </c>
      <c r="J371" s="137" t="s">
        <v>2003</v>
      </c>
      <c r="K371" s="29"/>
      <c r="L371" s="11"/>
      <c r="M371" s="11"/>
      <c r="N371" s="11"/>
      <c r="O371" s="44"/>
      <c r="P371" s="44"/>
      <c r="Q371" s="44"/>
      <c r="R371" s="53"/>
      <c r="S371" s="44"/>
      <c r="T371" s="46"/>
      <c r="U371" s="46"/>
      <c r="V371" s="53"/>
      <c r="W371" s="111"/>
      <c r="AA371" s="112"/>
      <c r="AB371" s="112"/>
      <c r="AC371" s="112"/>
      <c r="AE371" s="111"/>
      <c r="AG371" s="8"/>
      <c r="AH371" s="8"/>
      <c r="AI371" s="8"/>
      <c r="AK371" s="111"/>
      <c r="AM371" s="8"/>
      <c r="AN371" s="8"/>
      <c r="AO371" s="8"/>
    </row>
    <row r="372" spans="1:42">
      <c r="A372" s="30">
        <v>346</v>
      </c>
      <c r="B372" s="130"/>
      <c r="C372" s="143" t="s">
        <v>1185</v>
      </c>
      <c r="D372" s="27"/>
      <c r="E372" s="27"/>
      <c r="F372" s="27"/>
      <c r="G372" s="27"/>
      <c r="H372" s="106" t="s">
        <v>959</v>
      </c>
      <c r="I372" s="183" t="s">
        <v>941</v>
      </c>
      <c r="J372" s="137"/>
      <c r="K372" s="29"/>
      <c r="L372" s="11"/>
      <c r="M372" s="11"/>
      <c r="N372" s="11"/>
      <c r="O372" s="44"/>
      <c r="P372" s="44"/>
      <c r="Q372" s="44"/>
      <c r="R372" s="53"/>
      <c r="S372" s="44"/>
      <c r="T372" s="46"/>
      <c r="U372" s="46"/>
      <c r="V372" s="53"/>
      <c r="W372" s="111"/>
      <c r="AA372" s="112"/>
      <c r="AB372" s="112"/>
      <c r="AC372" s="112"/>
      <c r="AE372" s="111"/>
      <c r="AG372" s="8"/>
      <c r="AH372" s="8"/>
      <c r="AI372" s="8"/>
      <c r="AK372" s="111"/>
      <c r="AM372" s="8"/>
      <c r="AN372" s="8"/>
      <c r="AO372" s="8"/>
    </row>
    <row r="373" spans="1:42">
      <c r="A373" s="30">
        <v>347</v>
      </c>
      <c r="B373" s="130"/>
      <c r="C373" s="143" t="s">
        <v>1384</v>
      </c>
      <c r="D373" s="27"/>
      <c r="E373" s="27"/>
      <c r="F373" s="27"/>
      <c r="G373" s="27"/>
      <c r="H373" s="106" t="s">
        <v>1385</v>
      </c>
      <c r="I373" s="183" t="s">
        <v>941</v>
      </c>
      <c r="J373" s="137" t="s">
        <v>1386</v>
      </c>
      <c r="K373" s="29"/>
      <c r="L373" s="11"/>
      <c r="M373" s="11"/>
      <c r="N373" s="11"/>
      <c r="O373" s="44"/>
      <c r="P373" s="44"/>
      <c r="Q373" s="44"/>
      <c r="R373" s="53"/>
      <c r="S373" s="44"/>
      <c r="T373" s="46"/>
      <c r="U373" s="46"/>
      <c r="V373" s="53"/>
      <c r="W373" s="111"/>
      <c r="AA373" s="112"/>
      <c r="AB373" s="112"/>
      <c r="AC373" s="112"/>
      <c r="AE373" s="111"/>
      <c r="AG373" s="8"/>
      <c r="AH373" s="8"/>
      <c r="AI373" s="8"/>
      <c r="AK373" s="111"/>
      <c r="AM373" s="8"/>
      <c r="AN373" s="8"/>
      <c r="AO373" s="8"/>
    </row>
    <row r="374" spans="1:42" ht="27">
      <c r="A374" s="30">
        <v>348</v>
      </c>
      <c r="B374" s="130"/>
      <c r="C374" s="143" t="s">
        <v>560</v>
      </c>
      <c r="D374" s="27"/>
      <c r="E374" s="27"/>
      <c r="F374" s="27"/>
      <c r="G374" s="27"/>
      <c r="H374" s="70" t="s">
        <v>744</v>
      </c>
      <c r="I374" s="176"/>
      <c r="J374" s="137"/>
      <c r="K374" s="29"/>
      <c r="L374" s="11">
        <v>12400</v>
      </c>
      <c r="M374" s="11">
        <v>620</v>
      </c>
      <c r="N374" s="11">
        <v>13020</v>
      </c>
      <c r="O374" s="44"/>
      <c r="P374" s="44"/>
      <c r="Q374" s="44"/>
      <c r="R374" s="53"/>
      <c r="S374" s="44"/>
      <c r="T374" s="46"/>
      <c r="U374" s="46"/>
      <c r="V374" s="53"/>
      <c r="W374" s="111"/>
      <c r="AA374" s="112"/>
      <c r="AB374" s="112"/>
      <c r="AC374" s="112"/>
      <c r="AE374" s="111"/>
      <c r="AG374" s="8"/>
      <c r="AH374" s="8"/>
      <c r="AI374" s="8"/>
      <c r="AK374" s="111"/>
      <c r="AM374" s="8"/>
      <c r="AN374" s="8"/>
      <c r="AO374" s="8"/>
    </row>
    <row r="375" spans="1:42">
      <c r="A375" s="30">
        <v>349</v>
      </c>
      <c r="B375" s="130"/>
      <c r="C375" s="143" t="s">
        <v>1913</v>
      </c>
      <c r="D375" s="27"/>
      <c r="E375" s="27"/>
      <c r="F375" s="27"/>
      <c r="G375" s="27"/>
      <c r="H375" s="70" t="s">
        <v>1964</v>
      </c>
      <c r="I375" s="176" t="s">
        <v>1914</v>
      </c>
      <c r="J375" s="137" t="s">
        <v>655</v>
      </c>
      <c r="K375" s="29"/>
      <c r="L375" s="11">
        <v>12400</v>
      </c>
      <c r="M375" s="11">
        <v>620</v>
      </c>
      <c r="N375" s="11">
        <v>13020</v>
      </c>
      <c r="O375" s="44"/>
      <c r="P375" s="44"/>
      <c r="Q375" s="44"/>
      <c r="R375" s="53"/>
      <c r="S375" s="44"/>
      <c r="T375" s="46"/>
      <c r="U375" s="46"/>
      <c r="V375" s="53"/>
      <c r="W375" s="111"/>
      <c r="AA375" s="112"/>
      <c r="AB375" s="112"/>
      <c r="AC375" s="112"/>
      <c r="AE375" s="111"/>
      <c r="AG375" s="8"/>
      <c r="AH375" s="8"/>
      <c r="AI375" s="8"/>
      <c r="AK375" s="111"/>
      <c r="AM375" s="8"/>
      <c r="AN375" s="8"/>
      <c r="AO375" s="8"/>
    </row>
    <row r="376" spans="1:42">
      <c r="A376" s="30">
        <v>350</v>
      </c>
      <c r="B376" s="130"/>
      <c r="C376" s="143" t="s">
        <v>595</v>
      </c>
      <c r="D376" s="27"/>
      <c r="E376" s="27"/>
      <c r="F376" s="27"/>
      <c r="G376" s="27"/>
      <c r="H376" s="70" t="s">
        <v>1915</v>
      </c>
      <c r="I376" s="176" t="s">
        <v>1914</v>
      </c>
      <c r="J376" s="137" t="s">
        <v>614</v>
      </c>
      <c r="K376" s="29"/>
      <c r="L376" s="11"/>
      <c r="M376" s="11"/>
      <c r="N376" s="11"/>
      <c r="O376" s="44"/>
      <c r="P376" s="44"/>
      <c r="Q376" s="44"/>
      <c r="R376" s="53"/>
      <c r="S376" s="44"/>
      <c r="T376" s="46"/>
      <c r="U376" s="46"/>
      <c r="V376" s="53"/>
      <c r="W376" s="111"/>
      <c r="AA376" s="112"/>
      <c r="AB376" s="112"/>
      <c r="AC376" s="112"/>
      <c r="AE376" s="111"/>
      <c r="AG376" s="8"/>
      <c r="AH376" s="8"/>
      <c r="AI376" s="8"/>
      <c r="AK376" s="111"/>
      <c r="AM376" s="8"/>
      <c r="AN376" s="8"/>
      <c r="AO376" s="8"/>
    </row>
    <row r="377" spans="1:42">
      <c r="A377" s="30">
        <v>351</v>
      </c>
      <c r="B377" s="130"/>
      <c r="C377" s="143" t="s">
        <v>1513</v>
      </c>
      <c r="D377" s="27"/>
      <c r="E377" s="27"/>
      <c r="F377" s="27"/>
      <c r="G377" s="27"/>
      <c r="H377" s="70" t="s">
        <v>1514</v>
      </c>
      <c r="I377" s="176"/>
      <c r="J377" s="137" t="s">
        <v>144</v>
      </c>
      <c r="K377" s="29"/>
      <c r="L377" s="11">
        <v>12400</v>
      </c>
      <c r="M377" s="11">
        <v>620</v>
      </c>
      <c r="N377" s="11">
        <v>13020</v>
      </c>
      <c r="O377" s="44"/>
      <c r="P377" s="44"/>
      <c r="Q377" s="44"/>
      <c r="R377" s="53"/>
      <c r="S377" s="44"/>
      <c r="T377" s="46"/>
      <c r="U377" s="46"/>
      <c r="V377" s="53"/>
      <c r="W377" s="111"/>
      <c r="AA377" s="112"/>
      <c r="AB377" s="112"/>
      <c r="AC377" s="112"/>
      <c r="AE377" s="111"/>
      <c r="AG377" s="8"/>
      <c r="AH377" s="8"/>
      <c r="AI377" s="8"/>
      <c r="AK377" s="111"/>
      <c r="AM377" s="8"/>
      <c r="AN377" s="8"/>
      <c r="AO377" s="8"/>
    </row>
    <row r="378" spans="1:42">
      <c r="A378" s="30">
        <v>352</v>
      </c>
      <c r="B378" s="130"/>
      <c r="C378" s="143" t="s">
        <v>364</v>
      </c>
      <c r="D378" s="27"/>
      <c r="E378" s="27"/>
      <c r="F378" s="27"/>
      <c r="G378" s="27"/>
      <c r="H378" s="70" t="s">
        <v>1423</v>
      </c>
      <c r="I378" s="176" t="s">
        <v>1424</v>
      </c>
      <c r="J378" s="137" t="s">
        <v>611</v>
      </c>
      <c r="K378" s="117"/>
      <c r="L378" s="6">
        <v>7020</v>
      </c>
      <c r="M378" s="6">
        <v>351</v>
      </c>
      <c r="N378" s="6">
        <v>7371</v>
      </c>
      <c r="O378" s="44"/>
      <c r="P378" s="44"/>
      <c r="Q378" s="44"/>
      <c r="R378" s="53"/>
      <c r="S378" s="44"/>
      <c r="T378" s="44"/>
      <c r="U378" s="44"/>
      <c r="V378" s="53"/>
      <c r="W378" s="31"/>
      <c r="X378" s="9"/>
      <c r="Y378" s="11"/>
      <c r="Z378" s="11"/>
      <c r="AA378" s="63"/>
      <c r="AB378" s="63"/>
      <c r="AC378" s="63"/>
      <c r="AD378" s="36"/>
      <c r="AE378" s="31"/>
      <c r="AF378" s="9"/>
      <c r="AG378" s="6"/>
      <c r="AH378" s="6"/>
      <c r="AI378" s="6"/>
      <c r="AJ378" s="36"/>
      <c r="AK378" s="31"/>
      <c r="AL378" s="9"/>
      <c r="AM378" s="6"/>
      <c r="AN378" s="6"/>
      <c r="AO378" s="6"/>
      <c r="AP378" s="36"/>
    </row>
    <row r="379" spans="1:42">
      <c r="A379" s="30">
        <v>353</v>
      </c>
      <c r="B379" s="130"/>
      <c r="C379" s="143" t="s">
        <v>280</v>
      </c>
      <c r="D379" s="27"/>
      <c r="E379" s="27"/>
      <c r="F379" s="27"/>
      <c r="G379" s="27"/>
      <c r="H379" s="70" t="s">
        <v>1425</v>
      </c>
      <c r="I379" s="176" t="s">
        <v>946</v>
      </c>
      <c r="J379" s="137" t="s">
        <v>611</v>
      </c>
      <c r="K379" s="117"/>
      <c r="L379" s="6">
        <v>480</v>
      </c>
      <c r="M379" s="6">
        <v>24</v>
      </c>
      <c r="N379" s="6">
        <v>504</v>
      </c>
      <c r="O379" s="44"/>
      <c r="P379" s="44"/>
      <c r="Q379" s="44"/>
      <c r="R379" s="53"/>
      <c r="S379" s="45"/>
      <c r="T379" s="45"/>
      <c r="U379" s="45"/>
      <c r="V379" s="53"/>
      <c r="W379" s="31"/>
      <c r="X379" s="9"/>
      <c r="Y379" s="11"/>
      <c r="Z379" s="11"/>
      <c r="AA379" s="63"/>
      <c r="AB379" s="63"/>
      <c r="AC379" s="63"/>
      <c r="AD379" s="36"/>
      <c r="AE379" s="31"/>
      <c r="AF379" s="9"/>
      <c r="AG379" s="6"/>
      <c r="AH379" s="6"/>
      <c r="AI379" s="6"/>
      <c r="AJ379" s="36"/>
      <c r="AK379" s="31"/>
      <c r="AL379" s="9"/>
      <c r="AM379" s="6"/>
      <c r="AN379" s="6"/>
      <c r="AO379" s="6"/>
      <c r="AP379" s="36"/>
    </row>
    <row r="380" spans="1:42">
      <c r="A380" s="30">
        <v>354</v>
      </c>
      <c r="B380" s="130"/>
      <c r="C380" s="143" t="s">
        <v>2260</v>
      </c>
      <c r="D380" s="27"/>
      <c r="E380" s="27"/>
      <c r="F380" s="27"/>
      <c r="G380" s="27"/>
      <c r="H380" s="70" t="s">
        <v>745</v>
      </c>
      <c r="I380" s="176" t="s">
        <v>871</v>
      </c>
      <c r="J380" s="137" t="s">
        <v>683</v>
      </c>
      <c r="K380" s="117"/>
      <c r="L380" s="6"/>
      <c r="M380" s="6"/>
      <c r="N380" s="6"/>
      <c r="O380" s="44"/>
      <c r="P380" s="44"/>
      <c r="Q380" s="44"/>
      <c r="R380" s="53"/>
      <c r="S380" s="45"/>
      <c r="T380" s="45"/>
      <c r="U380" s="45"/>
      <c r="V380" s="53"/>
      <c r="W380" s="31"/>
      <c r="X380" s="9"/>
      <c r="Y380" s="11"/>
      <c r="Z380" s="11"/>
      <c r="AA380" s="63"/>
      <c r="AB380" s="63"/>
      <c r="AC380" s="63"/>
      <c r="AD380" s="36"/>
      <c r="AE380" s="31"/>
      <c r="AF380" s="9"/>
      <c r="AG380" s="6"/>
      <c r="AH380" s="6"/>
      <c r="AI380" s="6"/>
      <c r="AJ380" s="36"/>
      <c r="AK380" s="31"/>
      <c r="AL380" s="9"/>
      <c r="AM380" s="6"/>
      <c r="AN380" s="6"/>
      <c r="AO380" s="6"/>
      <c r="AP380" s="36"/>
    </row>
    <row r="381" spans="1:42">
      <c r="A381" s="30">
        <v>355</v>
      </c>
      <c r="B381" s="130"/>
      <c r="C381" s="143" t="s">
        <v>1950</v>
      </c>
      <c r="D381" s="27"/>
      <c r="E381" s="27"/>
      <c r="F381" s="27"/>
      <c r="G381" s="27"/>
      <c r="H381" s="70" t="s">
        <v>1951</v>
      </c>
      <c r="I381" s="176" t="s">
        <v>871</v>
      </c>
      <c r="J381" s="137"/>
      <c r="K381" s="117"/>
      <c r="L381" s="6"/>
      <c r="M381" s="6"/>
      <c r="N381" s="6"/>
      <c r="O381" s="44"/>
      <c r="P381" s="44"/>
      <c r="Q381" s="44"/>
      <c r="R381" s="53"/>
      <c r="S381" s="45"/>
      <c r="T381" s="45"/>
      <c r="U381" s="45"/>
      <c r="V381" s="53"/>
      <c r="W381" s="31"/>
      <c r="X381" s="9"/>
      <c r="Y381" s="11"/>
      <c r="Z381" s="11"/>
      <c r="AA381" s="63"/>
      <c r="AB381" s="63"/>
      <c r="AC381" s="63"/>
      <c r="AD381" s="36"/>
      <c r="AE381" s="31"/>
      <c r="AF381" s="9"/>
      <c r="AG381" s="6"/>
      <c r="AH381" s="6"/>
      <c r="AI381" s="6"/>
      <c r="AJ381" s="36"/>
      <c r="AK381" s="31"/>
      <c r="AL381" s="9"/>
      <c r="AM381" s="6"/>
      <c r="AN381" s="6"/>
      <c r="AO381" s="6"/>
      <c r="AP381" s="36"/>
    </row>
    <row r="382" spans="1:42" ht="27">
      <c r="A382" s="30">
        <v>356</v>
      </c>
      <c r="B382" s="130"/>
      <c r="C382" s="143" t="s">
        <v>255</v>
      </c>
      <c r="D382" s="27"/>
      <c r="E382" s="27"/>
      <c r="F382" s="27"/>
      <c r="G382" s="27"/>
      <c r="H382" s="70" t="s">
        <v>853</v>
      </c>
      <c r="I382" s="176" t="s">
        <v>854</v>
      </c>
      <c r="J382" s="137" t="s">
        <v>852</v>
      </c>
      <c r="K382" s="29"/>
      <c r="L382" s="11">
        <v>21600</v>
      </c>
      <c r="M382" s="11">
        <v>1080</v>
      </c>
      <c r="N382" s="11">
        <v>22680</v>
      </c>
      <c r="O382" s="44"/>
      <c r="P382" s="44"/>
      <c r="Q382" s="44"/>
      <c r="R382" s="53"/>
      <c r="S382" s="90"/>
      <c r="T382" s="90"/>
      <c r="U382" s="90"/>
      <c r="V382" s="53"/>
      <c r="W382" s="31"/>
      <c r="X382" s="9"/>
      <c r="Y382" s="11"/>
      <c r="Z382" s="11"/>
      <c r="AA382" s="91"/>
      <c r="AB382" s="91"/>
      <c r="AC382" s="91"/>
      <c r="AD382" s="36"/>
      <c r="AE382" s="31"/>
      <c r="AF382" s="9"/>
      <c r="AG382" s="6"/>
      <c r="AH382" s="6"/>
      <c r="AI382" s="6"/>
      <c r="AJ382" s="36"/>
      <c r="AK382" s="31"/>
      <c r="AL382" s="9"/>
      <c r="AM382" s="6"/>
      <c r="AN382" s="6"/>
      <c r="AO382" s="6"/>
      <c r="AP382" s="36"/>
    </row>
    <row r="383" spans="1:42" ht="27">
      <c r="A383" s="30">
        <v>357</v>
      </c>
      <c r="B383" s="130"/>
      <c r="C383" s="143" t="s">
        <v>1378</v>
      </c>
      <c r="D383" s="27"/>
      <c r="E383" s="27"/>
      <c r="F383" s="27"/>
      <c r="G383" s="27"/>
      <c r="H383" s="70" t="s">
        <v>1376</v>
      </c>
      <c r="I383" s="176" t="s">
        <v>869</v>
      </c>
      <c r="J383" s="137" t="s">
        <v>1377</v>
      </c>
      <c r="K383" s="29"/>
      <c r="L383" s="11"/>
      <c r="M383" s="11"/>
      <c r="N383" s="11"/>
      <c r="O383" s="44"/>
      <c r="P383" s="44"/>
      <c r="Q383" s="44"/>
      <c r="R383" s="53"/>
      <c r="S383" s="90"/>
      <c r="T383" s="90"/>
      <c r="U383" s="90"/>
      <c r="V383" s="53"/>
      <c r="W383" s="31"/>
      <c r="X383" s="9"/>
      <c r="Y383" s="11"/>
      <c r="Z383" s="11"/>
      <c r="AA383" s="91"/>
      <c r="AB383" s="91"/>
      <c r="AC383" s="91"/>
      <c r="AD383" s="36"/>
      <c r="AE383" s="31"/>
      <c r="AF383" s="9"/>
      <c r="AG383" s="6"/>
      <c r="AH383" s="6"/>
      <c r="AI383" s="6"/>
      <c r="AJ383" s="36"/>
      <c r="AK383" s="31"/>
      <c r="AL383" s="9"/>
      <c r="AM383" s="6"/>
      <c r="AN383" s="6"/>
      <c r="AO383" s="6"/>
      <c r="AP383" s="36"/>
    </row>
    <row r="384" spans="1:42">
      <c r="A384" s="30">
        <v>358</v>
      </c>
      <c r="B384" s="130"/>
      <c r="C384" s="143" t="s">
        <v>1509</v>
      </c>
      <c r="D384" s="27"/>
      <c r="E384" s="27"/>
      <c r="F384" s="27"/>
      <c r="G384" s="27"/>
      <c r="H384" s="70" t="s">
        <v>1486</v>
      </c>
      <c r="I384" s="176" t="s">
        <v>1485</v>
      </c>
      <c r="J384" s="137" t="s">
        <v>1484</v>
      </c>
      <c r="K384" s="29"/>
      <c r="L384" s="11"/>
      <c r="M384" s="11"/>
      <c r="N384" s="11"/>
      <c r="O384" s="44"/>
      <c r="P384" s="44"/>
      <c r="Q384" s="44"/>
      <c r="R384" s="53"/>
      <c r="S384" s="90"/>
      <c r="T384" s="90"/>
      <c r="U384" s="90"/>
      <c r="V384" s="53"/>
      <c r="W384" s="31"/>
      <c r="X384" s="9"/>
      <c r="Y384" s="11"/>
      <c r="Z384" s="11"/>
      <c r="AA384" s="91"/>
      <c r="AB384" s="91"/>
      <c r="AC384" s="91"/>
      <c r="AD384" s="36"/>
      <c r="AE384" s="31"/>
      <c r="AF384" s="9"/>
      <c r="AG384" s="6"/>
      <c r="AH384" s="6"/>
      <c r="AI384" s="6"/>
      <c r="AJ384" s="36"/>
      <c r="AK384" s="31"/>
      <c r="AL384" s="9"/>
      <c r="AM384" s="6"/>
      <c r="AN384" s="6"/>
      <c r="AO384" s="6"/>
      <c r="AP384" s="36"/>
    </row>
    <row r="385" spans="1:42" ht="27">
      <c r="A385" s="30">
        <v>359</v>
      </c>
      <c r="B385" s="130"/>
      <c r="C385" s="143" t="s">
        <v>1789</v>
      </c>
      <c r="D385" s="27"/>
      <c r="E385" s="27"/>
      <c r="F385" s="27"/>
      <c r="G385" s="27"/>
      <c r="H385" s="70" t="s">
        <v>788</v>
      </c>
      <c r="I385" s="176" t="s">
        <v>855</v>
      </c>
      <c r="J385" s="137" t="s">
        <v>252</v>
      </c>
      <c r="K385" s="29"/>
      <c r="L385" s="11"/>
      <c r="M385" s="11"/>
      <c r="N385" s="11"/>
      <c r="O385" s="44"/>
      <c r="P385" s="44"/>
      <c r="Q385" s="44"/>
      <c r="R385" s="53"/>
      <c r="S385" s="90"/>
      <c r="T385" s="90"/>
      <c r="U385" s="90"/>
      <c r="V385" s="53"/>
      <c r="W385" s="31"/>
      <c r="X385" s="9"/>
      <c r="Y385" s="11"/>
      <c r="Z385" s="11"/>
      <c r="AA385" s="91"/>
      <c r="AB385" s="91"/>
      <c r="AC385" s="91"/>
      <c r="AD385" s="36"/>
      <c r="AE385" s="31"/>
      <c r="AF385" s="9"/>
      <c r="AG385" s="6"/>
      <c r="AH385" s="6"/>
      <c r="AI385" s="6"/>
      <c r="AJ385" s="36"/>
      <c r="AK385" s="31"/>
      <c r="AL385" s="9"/>
      <c r="AM385" s="6"/>
      <c r="AN385" s="6"/>
      <c r="AO385" s="6"/>
      <c r="AP385" s="36"/>
    </row>
    <row r="386" spans="1:42">
      <c r="A386" s="30">
        <v>360</v>
      </c>
      <c r="B386" s="130"/>
      <c r="C386" s="143" t="s">
        <v>1122</v>
      </c>
      <c r="D386" s="27"/>
      <c r="E386" s="27"/>
      <c r="F386" s="27"/>
      <c r="G386" s="27"/>
      <c r="H386" s="70" t="s">
        <v>665</v>
      </c>
      <c r="I386" s="176" t="s">
        <v>868</v>
      </c>
      <c r="J386" s="137" t="s">
        <v>664</v>
      </c>
      <c r="K386" s="29"/>
      <c r="L386" s="11">
        <v>3915</v>
      </c>
      <c r="M386" s="11">
        <v>195.75</v>
      </c>
      <c r="N386" s="11">
        <v>4110.75</v>
      </c>
      <c r="O386" s="44"/>
      <c r="P386" s="44"/>
      <c r="Q386" s="44"/>
      <c r="R386" s="53"/>
      <c r="S386" s="44"/>
      <c r="T386" s="46"/>
      <c r="U386" s="46"/>
      <c r="V386" s="53"/>
      <c r="W386" s="31"/>
      <c r="X386" s="9"/>
      <c r="Y386" s="11"/>
      <c r="Z386" s="11"/>
      <c r="AA386" s="63"/>
      <c r="AB386" s="63"/>
      <c r="AC386" s="63"/>
      <c r="AD386" s="36"/>
      <c r="AE386" s="31"/>
      <c r="AF386" s="9"/>
      <c r="AG386" s="6"/>
      <c r="AH386" s="6"/>
      <c r="AI386" s="6"/>
      <c r="AJ386" s="36"/>
      <c r="AK386" s="31"/>
      <c r="AL386" s="9"/>
      <c r="AM386" s="6"/>
      <c r="AN386" s="6"/>
      <c r="AO386" s="6"/>
      <c r="AP386" s="36"/>
    </row>
    <row r="387" spans="1:42">
      <c r="A387" s="30">
        <v>361</v>
      </c>
      <c r="B387" s="130"/>
      <c r="C387" s="143" t="s">
        <v>617</v>
      </c>
      <c r="D387" s="27"/>
      <c r="E387" s="27"/>
      <c r="F387" s="27"/>
      <c r="G387" s="27"/>
      <c r="H387" s="70" t="s">
        <v>746</v>
      </c>
      <c r="I387" s="176"/>
      <c r="J387" s="137"/>
      <c r="K387" s="117"/>
      <c r="L387" s="6">
        <v>400</v>
      </c>
      <c r="M387" s="6">
        <v>20</v>
      </c>
      <c r="N387" s="6">
        <v>420</v>
      </c>
      <c r="O387" s="44"/>
      <c r="P387" s="44"/>
      <c r="Q387" s="44"/>
      <c r="R387" s="53"/>
      <c r="S387" s="44"/>
      <c r="T387" s="44"/>
      <c r="U387" s="44"/>
      <c r="V387" s="53"/>
      <c r="W387" s="31"/>
      <c r="X387" s="9"/>
      <c r="Y387" s="11"/>
      <c r="Z387" s="11"/>
      <c r="AA387" s="63"/>
      <c r="AB387" s="63"/>
      <c r="AC387" s="63"/>
      <c r="AD387" s="36"/>
      <c r="AE387" s="31"/>
      <c r="AF387" s="9"/>
      <c r="AG387" s="6"/>
      <c r="AH387" s="6"/>
      <c r="AI387" s="6"/>
      <c r="AJ387" s="36"/>
      <c r="AK387" s="31"/>
      <c r="AL387" s="9"/>
      <c r="AM387" s="6"/>
      <c r="AN387" s="6"/>
      <c r="AO387" s="6"/>
      <c r="AP387" s="36"/>
    </row>
    <row r="388" spans="1:42">
      <c r="A388" s="30">
        <v>362</v>
      </c>
      <c r="B388" s="130"/>
      <c r="C388" s="143" t="s">
        <v>548</v>
      </c>
      <c r="D388" s="27"/>
      <c r="E388" s="27"/>
      <c r="F388" s="27"/>
      <c r="G388" s="27"/>
      <c r="H388" s="70" t="s">
        <v>747</v>
      </c>
      <c r="I388" s="176" t="s">
        <v>940</v>
      </c>
      <c r="J388" s="137" t="s">
        <v>603</v>
      </c>
      <c r="K388" s="29"/>
      <c r="L388" s="11">
        <v>24130</v>
      </c>
      <c r="M388" s="11">
        <v>1206.5</v>
      </c>
      <c r="N388" s="11">
        <v>25336.5</v>
      </c>
      <c r="O388" s="44"/>
      <c r="P388" s="44"/>
      <c r="Q388" s="44"/>
      <c r="R388" s="53"/>
      <c r="S388" s="44"/>
      <c r="T388" s="46"/>
      <c r="U388" s="46"/>
      <c r="V388" s="53"/>
      <c r="W388" s="31"/>
      <c r="X388" s="9"/>
      <c r="Y388" s="11"/>
      <c r="Z388" s="11"/>
      <c r="AA388" s="63"/>
      <c r="AB388" s="63"/>
      <c r="AC388" s="63"/>
      <c r="AD388" s="36"/>
      <c r="AE388" s="31"/>
      <c r="AF388" s="9"/>
      <c r="AG388" s="6"/>
      <c r="AH388" s="6"/>
      <c r="AI388" s="6"/>
      <c r="AJ388" s="36"/>
      <c r="AK388" s="31"/>
      <c r="AL388" s="9"/>
      <c r="AM388" s="6"/>
      <c r="AN388" s="6"/>
      <c r="AO388" s="6"/>
      <c r="AP388" s="36"/>
    </row>
    <row r="389" spans="1:42">
      <c r="A389" s="30">
        <v>363</v>
      </c>
      <c r="B389" s="130"/>
      <c r="C389" s="163" t="s">
        <v>1680</v>
      </c>
      <c r="D389" s="195"/>
      <c r="E389" s="195"/>
      <c r="F389" s="195"/>
      <c r="G389" s="195"/>
      <c r="H389" s="70" t="s">
        <v>1669</v>
      </c>
      <c r="I389" s="176" t="s">
        <v>1472</v>
      </c>
      <c r="J389" s="137"/>
      <c r="K389" s="120"/>
      <c r="L389" s="6"/>
      <c r="M389" s="6"/>
      <c r="N389" s="6"/>
      <c r="O389" s="44"/>
      <c r="P389" s="44"/>
      <c r="Q389" s="44"/>
      <c r="R389" s="53"/>
      <c r="S389" s="44"/>
      <c r="T389" s="44"/>
      <c r="U389" s="44"/>
      <c r="V389" s="53"/>
      <c r="W389" s="31"/>
      <c r="X389" s="9"/>
      <c r="Y389" s="11"/>
      <c r="Z389" s="11"/>
      <c r="AA389" s="63"/>
      <c r="AB389" s="63"/>
      <c r="AC389" s="63"/>
      <c r="AD389" s="36"/>
      <c r="AE389" s="31"/>
      <c r="AF389" s="9"/>
      <c r="AG389" s="6"/>
      <c r="AH389" s="6"/>
      <c r="AI389" s="6"/>
      <c r="AJ389" s="36"/>
      <c r="AK389" s="31"/>
      <c r="AL389" s="9"/>
      <c r="AM389" s="6"/>
      <c r="AN389" s="6"/>
      <c r="AO389" s="6"/>
      <c r="AP389" s="36"/>
    </row>
    <row r="390" spans="1:42">
      <c r="A390" s="30">
        <v>364</v>
      </c>
      <c r="B390" s="130"/>
      <c r="C390" s="143" t="s">
        <v>253</v>
      </c>
      <c r="D390" s="27"/>
      <c r="E390" s="27"/>
      <c r="F390" s="27"/>
      <c r="G390" s="27"/>
      <c r="H390" s="70" t="s">
        <v>748</v>
      </c>
      <c r="I390" s="176" t="s">
        <v>1955</v>
      </c>
      <c r="J390" s="137" t="s">
        <v>611</v>
      </c>
      <c r="K390" s="117"/>
      <c r="L390" s="6">
        <v>17185</v>
      </c>
      <c r="M390" s="6">
        <v>859.25</v>
      </c>
      <c r="N390" s="6">
        <v>18044.25</v>
      </c>
      <c r="O390" s="44"/>
      <c r="P390" s="44"/>
      <c r="Q390" s="44"/>
      <c r="R390" s="53"/>
      <c r="S390" s="44"/>
      <c r="T390" s="44"/>
      <c r="U390" s="44"/>
      <c r="V390" s="53"/>
      <c r="W390" s="31"/>
      <c r="X390" s="9"/>
      <c r="Y390" s="11"/>
      <c r="Z390" s="11"/>
      <c r="AA390" s="63"/>
      <c r="AB390" s="63"/>
      <c r="AC390" s="63"/>
      <c r="AD390" s="36"/>
      <c r="AE390" s="31"/>
      <c r="AF390" s="9"/>
      <c r="AG390" s="6"/>
      <c r="AH390" s="6"/>
      <c r="AI390" s="6"/>
      <c r="AJ390" s="36"/>
      <c r="AK390" s="31"/>
      <c r="AL390" s="9"/>
      <c r="AM390" s="6"/>
      <c r="AN390" s="6"/>
      <c r="AO390" s="6"/>
      <c r="AP390" s="36"/>
    </row>
    <row r="391" spans="1:42">
      <c r="A391" s="30">
        <v>365</v>
      </c>
      <c r="B391" s="130"/>
      <c r="C391" s="143" t="s">
        <v>1618</v>
      </c>
      <c r="D391" s="27"/>
      <c r="E391" s="27"/>
      <c r="F391" s="27"/>
      <c r="G391" s="27"/>
      <c r="H391" s="70" t="s">
        <v>1619</v>
      </c>
      <c r="I391" s="176" t="s">
        <v>1959</v>
      </c>
      <c r="J391" s="136" t="s">
        <v>986</v>
      </c>
      <c r="K391" s="117"/>
      <c r="L391" s="6"/>
      <c r="M391" s="6"/>
      <c r="N391" s="6"/>
      <c r="O391" s="44"/>
      <c r="P391" s="44"/>
      <c r="Q391" s="44"/>
      <c r="R391" s="53"/>
      <c r="S391" s="45"/>
      <c r="T391" s="45"/>
      <c r="U391" s="45"/>
      <c r="V391" s="53"/>
      <c r="W391" s="31"/>
      <c r="X391" s="9"/>
      <c r="Y391" s="11"/>
      <c r="Z391" s="11"/>
      <c r="AA391" s="68"/>
      <c r="AB391" s="68"/>
      <c r="AC391" s="68"/>
      <c r="AD391" s="36"/>
      <c r="AE391" s="31"/>
      <c r="AF391" s="9"/>
      <c r="AG391" s="6"/>
      <c r="AH391" s="6"/>
      <c r="AI391" s="6"/>
      <c r="AJ391" s="36"/>
      <c r="AK391" s="31"/>
      <c r="AL391" s="9"/>
      <c r="AM391" s="6"/>
      <c r="AN391" s="6"/>
      <c r="AO391" s="6"/>
      <c r="AP391" s="36"/>
    </row>
    <row r="392" spans="1:42">
      <c r="A392" s="30">
        <v>366</v>
      </c>
      <c r="B392" s="130"/>
      <c r="C392" s="143" t="s">
        <v>1874</v>
      </c>
      <c r="D392" s="27"/>
      <c r="E392" s="27"/>
      <c r="F392" s="27"/>
      <c r="G392" s="27"/>
      <c r="H392" s="70" t="s">
        <v>1426</v>
      </c>
      <c r="I392" s="176" t="s">
        <v>1960</v>
      </c>
      <c r="J392" s="136"/>
      <c r="K392" s="117"/>
      <c r="L392" s="6"/>
      <c r="M392" s="6"/>
      <c r="N392" s="6"/>
      <c r="O392" s="44"/>
      <c r="P392" s="44"/>
      <c r="Q392" s="44"/>
      <c r="R392" s="53"/>
      <c r="S392" s="45"/>
      <c r="T392" s="45"/>
      <c r="U392" s="45"/>
      <c r="V392" s="53"/>
      <c r="W392" s="31"/>
      <c r="X392" s="9"/>
      <c r="Y392" s="11"/>
      <c r="Z392" s="11"/>
      <c r="AA392" s="68"/>
      <c r="AB392" s="68"/>
      <c r="AC392" s="68"/>
      <c r="AD392" s="36"/>
      <c r="AE392" s="31"/>
      <c r="AF392" s="9"/>
      <c r="AG392" s="6"/>
      <c r="AH392" s="6"/>
      <c r="AI392" s="6"/>
      <c r="AJ392" s="36"/>
      <c r="AK392" s="31"/>
      <c r="AL392" s="9"/>
      <c r="AM392" s="6"/>
      <c r="AN392" s="6"/>
      <c r="AO392" s="6"/>
      <c r="AP392" s="36"/>
    </row>
    <row r="393" spans="1:42">
      <c r="A393" s="30">
        <v>367</v>
      </c>
      <c r="B393" s="130"/>
      <c r="C393" s="143" t="s">
        <v>359</v>
      </c>
      <c r="D393" s="27"/>
      <c r="E393" s="27"/>
      <c r="F393" s="27"/>
      <c r="G393" s="27"/>
      <c r="H393" s="70" t="s">
        <v>749</v>
      </c>
      <c r="I393" s="176"/>
      <c r="J393" s="139"/>
      <c r="K393" s="117"/>
      <c r="L393" s="6"/>
      <c r="M393" s="6"/>
      <c r="N393" s="6"/>
      <c r="O393" s="44"/>
      <c r="P393" s="44"/>
      <c r="Q393" s="44"/>
      <c r="R393" s="53"/>
      <c r="S393" s="44"/>
      <c r="T393" s="44"/>
      <c r="U393" s="44"/>
      <c r="V393" s="53"/>
      <c r="W393" s="31"/>
      <c r="X393" s="9"/>
      <c r="Y393" s="11"/>
      <c r="Z393" s="11"/>
      <c r="AA393" s="63"/>
      <c r="AB393" s="63"/>
      <c r="AC393" s="63"/>
      <c r="AD393" s="36"/>
      <c r="AE393" s="31"/>
      <c r="AF393" s="9"/>
      <c r="AG393" s="6"/>
      <c r="AH393" s="6"/>
      <c r="AI393" s="6"/>
      <c r="AJ393" s="36"/>
      <c r="AK393" s="31"/>
      <c r="AL393" s="9"/>
      <c r="AM393" s="6"/>
      <c r="AN393" s="6"/>
      <c r="AO393" s="6"/>
      <c r="AP393" s="36"/>
    </row>
    <row r="394" spans="1:42">
      <c r="A394" s="30">
        <v>368</v>
      </c>
      <c r="B394" s="146"/>
      <c r="C394" s="143" t="s">
        <v>532</v>
      </c>
      <c r="D394" s="27"/>
      <c r="E394" s="27"/>
      <c r="F394" s="27"/>
      <c r="G394" s="27"/>
      <c r="H394" s="70" t="s">
        <v>626</v>
      </c>
      <c r="I394" s="176"/>
      <c r="J394" s="139" t="s">
        <v>625</v>
      </c>
      <c r="K394" s="117"/>
      <c r="L394" s="6"/>
      <c r="M394" s="6"/>
      <c r="N394" s="5"/>
      <c r="O394" s="44"/>
      <c r="P394" s="44"/>
      <c r="Q394" s="44"/>
      <c r="R394" s="53"/>
      <c r="S394" s="44"/>
      <c r="T394" s="44"/>
      <c r="U394" s="44"/>
      <c r="V394" s="53"/>
      <c r="W394" s="31"/>
      <c r="X394" s="9"/>
      <c r="Y394" s="11"/>
      <c r="Z394" s="11"/>
      <c r="AA394" s="63"/>
      <c r="AB394" s="63"/>
      <c r="AC394" s="63"/>
      <c r="AD394" s="36"/>
      <c r="AE394" s="31"/>
      <c r="AF394" s="9"/>
      <c r="AG394" s="6"/>
      <c r="AH394" s="6"/>
      <c r="AI394" s="6"/>
      <c r="AJ394" s="36"/>
      <c r="AK394" s="31"/>
      <c r="AL394" s="9"/>
      <c r="AM394" s="6"/>
      <c r="AN394" s="6"/>
      <c r="AO394" s="6"/>
      <c r="AP394" s="36"/>
    </row>
    <row r="395" spans="1:42">
      <c r="A395" s="30">
        <v>369</v>
      </c>
      <c r="B395" s="146"/>
      <c r="C395" s="143" t="s">
        <v>1551</v>
      </c>
      <c r="D395" s="27"/>
      <c r="E395" s="27"/>
      <c r="F395" s="27"/>
      <c r="G395" s="27"/>
      <c r="H395" s="70" t="s">
        <v>1706</v>
      </c>
      <c r="I395" s="176" t="s">
        <v>871</v>
      </c>
      <c r="J395" s="137" t="s">
        <v>947</v>
      </c>
      <c r="K395" s="117"/>
      <c r="L395" s="6"/>
      <c r="M395" s="6"/>
      <c r="N395" s="5"/>
      <c r="O395" s="44"/>
      <c r="P395" s="44"/>
      <c r="Q395" s="44"/>
      <c r="R395" s="53"/>
      <c r="S395" s="44"/>
      <c r="T395" s="44"/>
      <c r="U395" s="44"/>
      <c r="V395" s="53"/>
      <c r="W395" s="31"/>
      <c r="X395" s="9"/>
      <c r="Y395" s="11"/>
      <c r="Z395" s="11"/>
      <c r="AA395" s="63"/>
      <c r="AB395" s="63"/>
      <c r="AC395" s="63"/>
      <c r="AD395" s="36"/>
      <c r="AE395" s="31"/>
      <c r="AF395" s="9"/>
      <c r="AG395" s="6"/>
      <c r="AH395" s="6"/>
      <c r="AI395" s="6"/>
      <c r="AJ395" s="36"/>
      <c r="AK395" s="31"/>
      <c r="AL395" s="9"/>
      <c r="AM395" s="6"/>
      <c r="AN395" s="6"/>
      <c r="AO395" s="6"/>
      <c r="AP395" s="36"/>
    </row>
    <row r="396" spans="1:42">
      <c r="A396" s="30">
        <v>370</v>
      </c>
      <c r="B396" s="146"/>
      <c r="C396" s="143" t="s">
        <v>549</v>
      </c>
      <c r="D396" s="27"/>
      <c r="E396" s="27"/>
      <c r="F396" s="27"/>
      <c r="G396" s="27"/>
      <c r="H396" s="70" t="s">
        <v>1683</v>
      </c>
      <c r="I396" s="176" t="s">
        <v>828</v>
      </c>
      <c r="J396" s="137"/>
      <c r="K396" s="117"/>
      <c r="L396" s="6"/>
      <c r="M396" s="6"/>
      <c r="N396" s="6"/>
      <c r="O396" s="44"/>
      <c r="P396" s="44"/>
      <c r="Q396" s="44"/>
      <c r="R396" s="53"/>
      <c r="S396" s="44"/>
      <c r="T396" s="44"/>
      <c r="U396" s="44"/>
      <c r="V396" s="53"/>
      <c r="W396" s="31"/>
      <c r="X396" s="9"/>
      <c r="Y396" s="11"/>
      <c r="Z396" s="11"/>
      <c r="AA396" s="63"/>
      <c r="AB396" s="63"/>
      <c r="AC396" s="63"/>
      <c r="AD396" s="36"/>
      <c r="AE396" s="31"/>
      <c r="AF396" s="9"/>
      <c r="AG396" s="6"/>
      <c r="AH396" s="6"/>
      <c r="AI396" s="6"/>
      <c r="AJ396" s="36"/>
      <c r="AK396" s="31"/>
      <c r="AL396" s="9"/>
      <c r="AM396" s="6"/>
      <c r="AN396" s="6"/>
      <c r="AO396" s="6"/>
      <c r="AP396" s="36"/>
    </row>
    <row r="397" spans="1:42">
      <c r="A397" s="30">
        <v>371</v>
      </c>
      <c r="B397" s="146"/>
      <c r="C397" s="143" t="s">
        <v>1755</v>
      </c>
      <c r="D397" s="27"/>
      <c r="E397" s="27"/>
      <c r="F397" s="27"/>
      <c r="G397" s="27"/>
      <c r="H397" s="70" t="s">
        <v>1751</v>
      </c>
      <c r="I397" s="176" t="s">
        <v>828</v>
      </c>
      <c r="J397" s="137"/>
      <c r="K397" s="117"/>
      <c r="L397" s="6"/>
      <c r="M397" s="6"/>
      <c r="N397" s="6"/>
      <c r="O397" s="44"/>
      <c r="P397" s="44"/>
      <c r="Q397" s="44"/>
      <c r="R397" s="53"/>
      <c r="S397" s="44"/>
      <c r="T397" s="44"/>
      <c r="U397" s="44"/>
      <c r="V397" s="53"/>
      <c r="W397" s="31"/>
      <c r="X397" s="9"/>
      <c r="Y397" s="11"/>
      <c r="Z397" s="11"/>
      <c r="AA397" s="63"/>
      <c r="AB397" s="63"/>
      <c r="AC397" s="63"/>
      <c r="AD397" s="36"/>
      <c r="AE397" s="31"/>
      <c r="AF397" s="9"/>
      <c r="AG397" s="6"/>
      <c r="AH397" s="6"/>
      <c r="AI397" s="6"/>
      <c r="AJ397" s="36"/>
      <c r="AK397" s="31"/>
      <c r="AL397" s="9"/>
      <c r="AM397" s="6"/>
      <c r="AN397" s="6"/>
      <c r="AO397" s="6"/>
      <c r="AP397" s="36"/>
    </row>
    <row r="398" spans="1:42">
      <c r="A398" s="30">
        <v>372</v>
      </c>
      <c r="B398" s="146"/>
      <c r="C398" s="143" t="s">
        <v>550</v>
      </c>
      <c r="D398" s="27"/>
      <c r="E398" s="27"/>
      <c r="F398" s="27"/>
      <c r="G398" s="27"/>
      <c r="H398" s="70" t="s">
        <v>750</v>
      </c>
      <c r="I398" s="176" t="s">
        <v>828</v>
      </c>
      <c r="J398" s="137"/>
      <c r="K398" s="117"/>
      <c r="L398" s="6">
        <v>18760</v>
      </c>
      <c r="M398" s="6">
        <v>938</v>
      </c>
      <c r="N398" s="6">
        <v>19698</v>
      </c>
      <c r="O398" s="44"/>
      <c r="P398" s="44"/>
      <c r="Q398" s="44"/>
      <c r="R398" s="53"/>
      <c r="S398" s="81"/>
      <c r="T398" s="81"/>
      <c r="U398" s="81"/>
      <c r="V398" s="53"/>
      <c r="W398" s="31"/>
      <c r="X398" s="9"/>
      <c r="Y398" s="11"/>
      <c r="Z398" s="11"/>
      <c r="AA398" s="65"/>
      <c r="AB398" s="65"/>
      <c r="AC398" s="65"/>
      <c r="AD398" s="36"/>
      <c r="AE398" s="31"/>
      <c r="AF398" s="9"/>
      <c r="AG398" s="6"/>
      <c r="AH398" s="6"/>
      <c r="AI398" s="6"/>
      <c r="AJ398" s="36"/>
      <c r="AK398" s="31"/>
      <c r="AL398" s="9"/>
      <c r="AM398" s="6"/>
      <c r="AN398" s="6"/>
      <c r="AO398" s="6"/>
      <c r="AP398" s="36"/>
    </row>
    <row r="399" spans="1:42">
      <c r="A399" s="30">
        <v>373</v>
      </c>
      <c r="B399" s="146"/>
      <c r="C399" s="143" t="s">
        <v>1748</v>
      </c>
      <c r="D399" s="27"/>
      <c r="E399" s="27"/>
      <c r="F399" s="27"/>
      <c r="G399" s="27"/>
      <c r="H399" s="70" t="s">
        <v>1749</v>
      </c>
      <c r="I399" s="176" t="s">
        <v>828</v>
      </c>
      <c r="J399" s="137" t="s">
        <v>623</v>
      </c>
      <c r="K399" s="117"/>
      <c r="L399" s="6"/>
      <c r="M399" s="6"/>
      <c r="N399" s="6"/>
      <c r="O399" s="44"/>
      <c r="P399" s="44"/>
      <c r="Q399" s="44"/>
      <c r="R399" s="53"/>
      <c r="S399" s="81"/>
      <c r="T399" s="81"/>
      <c r="U399" s="81"/>
      <c r="V399" s="53"/>
      <c r="W399" s="31"/>
      <c r="X399" s="9"/>
      <c r="Y399" s="11"/>
      <c r="Z399" s="11"/>
      <c r="AA399" s="65"/>
      <c r="AB399" s="65"/>
      <c r="AC399" s="65"/>
      <c r="AD399" s="36"/>
      <c r="AE399" s="31"/>
      <c r="AF399" s="9"/>
      <c r="AG399" s="6"/>
      <c r="AH399" s="6"/>
      <c r="AI399" s="6"/>
      <c r="AJ399" s="36"/>
      <c r="AK399" s="31"/>
      <c r="AL399" s="9"/>
      <c r="AM399" s="6"/>
      <c r="AN399" s="6"/>
      <c r="AO399" s="6"/>
      <c r="AP399" s="36"/>
    </row>
    <row r="400" spans="1:42">
      <c r="A400" s="30">
        <v>374</v>
      </c>
      <c r="B400" s="146"/>
      <c r="C400" s="143" t="s">
        <v>1646</v>
      </c>
      <c r="D400" s="27"/>
      <c r="E400" s="27"/>
      <c r="F400" s="27"/>
      <c r="G400" s="27"/>
      <c r="H400" s="70" t="s">
        <v>1318</v>
      </c>
      <c r="I400" s="176" t="s">
        <v>828</v>
      </c>
      <c r="J400" s="137" t="s">
        <v>623</v>
      </c>
      <c r="K400" s="117"/>
      <c r="L400" s="6">
        <v>15390</v>
      </c>
      <c r="M400" s="6">
        <v>769.5</v>
      </c>
      <c r="N400" s="6">
        <v>16159.5</v>
      </c>
      <c r="O400" s="44"/>
      <c r="P400" s="44"/>
      <c r="Q400" s="44"/>
      <c r="R400" s="53"/>
      <c r="S400" s="44"/>
      <c r="T400" s="44"/>
      <c r="U400" s="44"/>
      <c r="V400" s="53"/>
      <c r="W400" s="31"/>
      <c r="X400" s="9"/>
      <c r="Y400" s="11"/>
      <c r="Z400" s="11"/>
      <c r="AA400" s="63"/>
      <c r="AB400" s="63"/>
      <c r="AC400" s="63"/>
      <c r="AD400" s="36"/>
      <c r="AE400" s="31"/>
      <c r="AF400" s="9"/>
      <c r="AG400" s="6"/>
      <c r="AH400" s="6"/>
      <c r="AI400" s="6"/>
      <c r="AJ400" s="36"/>
      <c r="AK400" s="31"/>
      <c r="AL400" s="9"/>
      <c r="AM400" s="6"/>
      <c r="AN400" s="6"/>
      <c r="AO400" s="6"/>
      <c r="AP400" s="36"/>
    </row>
    <row r="401" spans="1:42">
      <c r="A401" s="30">
        <v>375</v>
      </c>
      <c r="B401" s="146"/>
      <c r="C401" s="143" t="s">
        <v>1921</v>
      </c>
      <c r="D401" s="27"/>
      <c r="E401" s="27"/>
      <c r="F401" s="27"/>
      <c r="G401" s="27"/>
      <c r="H401" s="70" t="s">
        <v>1922</v>
      </c>
      <c r="I401" s="176" t="s">
        <v>1923</v>
      </c>
      <c r="J401" s="137"/>
      <c r="K401" s="117"/>
      <c r="L401" s="6"/>
      <c r="M401" s="6"/>
      <c r="N401" s="6"/>
      <c r="O401" s="44"/>
      <c r="P401" s="44"/>
      <c r="Q401" s="44"/>
      <c r="R401" s="53"/>
      <c r="S401" s="44"/>
      <c r="T401" s="44"/>
      <c r="U401" s="44"/>
      <c r="V401" s="53"/>
      <c r="W401" s="31"/>
      <c r="X401" s="9"/>
      <c r="Y401" s="11"/>
      <c r="Z401" s="11"/>
      <c r="AA401" s="63"/>
      <c r="AB401" s="63"/>
      <c r="AC401" s="63"/>
      <c r="AD401" s="36"/>
      <c r="AE401" s="31"/>
      <c r="AF401" s="9"/>
      <c r="AG401" s="6"/>
      <c r="AH401" s="6"/>
      <c r="AI401" s="6"/>
      <c r="AJ401" s="36"/>
      <c r="AK401" s="31"/>
      <c r="AL401" s="9"/>
      <c r="AM401" s="6"/>
      <c r="AN401" s="6"/>
      <c r="AO401" s="6"/>
      <c r="AP401" s="36"/>
    </row>
    <row r="402" spans="1:42">
      <c r="A402" s="30">
        <v>376</v>
      </c>
      <c r="B402" s="146"/>
      <c r="C402" s="143" t="s">
        <v>531</v>
      </c>
      <c r="D402" s="27"/>
      <c r="E402" s="27"/>
      <c r="F402" s="27"/>
      <c r="G402" s="27"/>
      <c r="H402" s="70" t="s">
        <v>624</v>
      </c>
      <c r="I402" s="176"/>
      <c r="J402" s="137" t="s">
        <v>586</v>
      </c>
      <c r="K402" s="117"/>
      <c r="L402" s="6"/>
      <c r="M402" s="6"/>
      <c r="N402" s="6"/>
      <c r="O402" s="44"/>
      <c r="P402" s="44"/>
      <c r="Q402" s="44"/>
      <c r="R402" s="53"/>
      <c r="S402" s="44"/>
      <c r="T402" s="44"/>
      <c r="U402" s="44"/>
      <c r="V402" s="53"/>
      <c r="W402" s="31"/>
      <c r="X402" s="9"/>
      <c r="Y402" s="11"/>
      <c r="Z402" s="11"/>
      <c r="AA402" s="63"/>
      <c r="AB402" s="63"/>
      <c r="AC402" s="63"/>
      <c r="AD402" s="36"/>
      <c r="AE402" s="31"/>
      <c r="AF402" s="9"/>
      <c r="AG402" s="6"/>
      <c r="AH402" s="6"/>
      <c r="AI402" s="6"/>
      <c r="AJ402" s="36"/>
      <c r="AK402" s="31"/>
      <c r="AL402" s="9"/>
      <c r="AM402" s="6"/>
      <c r="AN402" s="6"/>
      <c r="AO402" s="6"/>
      <c r="AP402" s="36"/>
    </row>
    <row r="403" spans="1:42">
      <c r="A403" s="30">
        <v>377</v>
      </c>
      <c r="B403" s="146"/>
      <c r="C403" s="143" t="s">
        <v>1735</v>
      </c>
      <c r="D403" s="27"/>
      <c r="E403" s="27"/>
      <c r="F403" s="27"/>
      <c r="G403" s="27"/>
      <c r="H403" s="70" t="s">
        <v>1736</v>
      </c>
      <c r="I403" s="176" t="s">
        <v>842</v>
      </c>
      <c r="J403" s="137"/>
      <c r="K403" s="117"/>
      <c r="L403" s="6"/>
      <c r="M403" s="6"/>
      <c r="N403" s="6"/>
      <c r="O403" s="44"/>
      <c r="P403" s="44"/>
      <c r="Q403" s="44"/>
      <c r="R403" s="53"/>
      <c r="S403" s="44"/>
      <c r="T403" s="44"/>
      <c r="U403" s="44"/>
      <c r="V403" s="53"/>
      <c r="W403" s="31"/>
      <c r="X403" s="9"/>
      <c r="Y403" s="11"/>
      <c r="Z403" s="11"/>
      <c r="AA403" s="63"/>
      <c r="AB403" s="63"/>
      <c r="AC403" s="63"/>
      <c r="AD403" s="36"/>
      <c r="AE403" s="31"/>
      <c r="AF403" s="9"/>
      <c r="AG403" s="6"/>
      <c r="AH403" s="6"/>
      <c r="AI403" s="6"/>
      <c r="AJ403" s="36"/>
      <c r="AK403" s="31"/>
      <c r="AL403" s="9"/>
      <c r="AM403" s="6"/>
      <c r="AN403" s="6"/>
      <c r="AO403" s="6"/>
      <c r="AP403" s="36"/>
    </row>
    <row r="404" spans="1:42">
      <c r="A404" s="30">
        <v>378</v>
      </c>
      <c r="B404" s="146"/>
      <c r="C404" s="143" t="s">
        <v>1737</v>
      </c>
      <c r="D404" s="27"/>
      <c r="E404" s="27"/>
      <c r="F404" s="27"/>
      <c r="G404" s="27"/>
      <c r="H404" s="108" t="s">
        <v>1544</v>
      </c>
      <c r="I404" s="185" t="s">
        <v>828</v>
      </c>
      <c r="J404" s="137"/>
      <c r="K404" s="117"/>
      <c r="L404" s="6"/>
      <c r="M404" s="6"/>
      <c r="N404" s="6"/>
      <c r="O404" s="44"/>
      <c r="P404" s="44"/>
      <c r="Q404" s="44"/>
      <c r="R404" s="53"/>
      <c r="S404" s="44"/>
      <c r="T404" s="44"/>
      <c r="U404" s="44"/>
      <c r="V404" s="53"/>
      <c r="W404" s="31"/>
      <c r="X404" s="9"/>
      <c r="Y404" s="11"/>
      <c r="Z404" s="11"/>
      <c r="AA404" s="63"/>
      <c r="AB404" s="63"/>
      <c r="AC404" s="63"/>
      <c r="AD404" s="36"/>
      <c r="AE404" s="31"/>
      <c r="AF404" s="9"/>
      <c r="AG404" s="6"/>
      <c r="AH404" s="6"/>
      <c r="AI404" s="6"/>
      <c r="AJ404" s="36"/>
      <c r="AK404" s="31"/>
      <c r="AL404" s="9"/>
      <c r="AM404" s="6"/>
      <c r="AN404" s="6"/>
      <c r="AO404" s="6"/>
      <c r="AP404" s="36"/>
    </row>
    <row r="405" spans="1:42">
      <c r="A405" s="30">
        <v>379</v>
      </c>
      <c r="B405" s="146"/>
      <c r="C405" s="143" t="s">
        <v>1326</v>
      </c>
      <c r="D405" s="27"/>
      <c r="E405" s="27"/>
      <c r="F405" s="27"/>
      <c r="G405" s="27"/>
      <c r="H405" s="108" t="s">
        <v>1589</v>
      </c>
      <c r="I405" s="185" t="s">
        <v>828</v>
      </c>
      <c r="J405" s="137"/>
      <c r="K405" s="117"/>
      <c r="L405" s="6"/>
      <c r="M405" s="6"/>
      <c r="N405" s="6"/>
      <c r="O405" s="44"/>
      <c r="P405" s="44"/>
      <c r="Q405" s="44"/>
      <c r="R405" s="53"/>
      <c r="S405" s="44"/>
      <c r="T405" s="44"/>
      <c r="U405" s="44"/>
      <c r="V405" s="53"/>
      <c r="W405" s="31"/>
      <c r="X405" s="9"/>
      <c r="Y405" s="11"/>
      <c r="Z405" s="11"/>
      <c r="AA405" s="63"/>
      <c r="AB405" s="63"/>
      <c r="AC405" s="63"/>
      <c r="AD405" s="36"/>
      <c r="AE405" s="31"/>
      <c r="AF405" s="9"/>
      <c r="AG405" s="6"/>
      <c r="AH405" s="6"/>
      <c r="AI405" s="6"/>
      <c r="AJ405" s="36"/>
      <c r="AK405" s="31"/>
      <c r="AL405" s="9"/>
      <c r="AM405" s="6"/>
      <c r="AN405" s="6"/>
      <c r="AO405" s="6"/>
      <c r="AP405" s="36"/>
    </row>
    <row r="406" spans="1:42">
      <c r="A406" s="30">
        <v>380</v>
      </c>
      <c r="B406" s="146"/>
      <c r="C406" s="143" t="s">
        <v>1715</v>
      </c>
      <c r="D406" s="27"/>
      <c r="E406" s="27"/>
      <c r="F406" s="27"/>
      <c r="G406" s="27"/>
      <c r="H406" s="108" t="s">
        <v>1588</v>
      </c>
      <c r="I406" s="185" t="s">
        <v>828</v>
      </c>
      <c r="J406" s="137"/>
      <c r="K406" s="117"/>
      <c r="L406" s="6"/>
      <c r="M406" s="6"/>
      <c r="N406" s="6"/>
      <c r="O406" s="44"/>
      <c r="P406" s="44"/>
      <c r="Q406" s="44"/>
      <c r="R406" s="53"/>
      <c r="S406" s="44"/>
      <c r="T406" s="44"/>
      <c r="U406" s="44"/>
      <c r="V406" s="53"/>
      <c r="W406" s="31"/>
      <c r="X406" s="9"/>
      <c r="Y406" s="11"/>
      <c r="Z406" s="11"/>
      <c r="AA406" s="63"/>
      <c r="AB406" s="63"/>
      <c r="AC406" s="63"/>
      <c r="AD406" s="36"/>
      <c r="AE406" s="31"/>
      <c r="AF406" s="9"/>
      <c r="AG406" s="6"/>
      <c r="AH406" s="6"/>
      <c r="AI406" s="6"/>
      <c r="AJ406" s="36"/>
      <c r="AK406" s="31"/>
      <c r="AL406" s="9"/>
      <c r="AM406" s="6"/>
      <c r="AN406" s="6"/>
      <c r="AO406" s="6"/>
      <c r="AP406" s="36"/>
    </row>
    <row r="407" spans="1:42">
      <c r="A407" s="30">
        <v>381</v>
      </c>
      <c r="B407" s="146"/>
      <c r="C407" s="143" t="s">
        <v>594</v>
      </c>
      <c r="D407" s="27"/>
      <c r="E407" s="27"/>
      <c r="F407" s="27"/>
      <c r="G407" s="27"/>
      <c r="H407" s="70" t="s">
        <v>751</v>
      </c>
      <c r="I407" s="185" t="s">
        <v>828</v>
      </c>
      <c r="J407" s="137"/>
      <c r="K407" s="117"/>
      <c r="L407" s="6"/>
      <c r="M407" s="6"/>
      <c r="N407" s="6"/>
      <c r="O407" s="44"/>
      <c r="P407" s="44"/>
      <c r="Q407" s="44"/>
      <c r="R407" s="53"/>
      <c r="S407" s="44"/>
      <c r="T407" s="44"/>
      <c r="U407" s="44"/>
      <c r="V407" s="53"/>
      <c r="W407" s="31"/>
      <c r="X407" s="9"/>
      <c r="Y407" s="11"/>
      <c r="Z407" s="11"/>
      <c r="AA407" s="63"/>
      <c r="AB407" s="63"/>
      <c r="AC407" s="63"/>
      <c r="AD407" s="36"/>
      <c r="AE407" s="31"/>
      <c r="AF407" s="9"/>
      <c r="AG407" s="6"/>
      <c r="AH407" s="6"/>
      <c r="AI407" s="6"/>
      <c r="AJ407" s="36"/>
      <c r="AK407" s="31"/>
      <c r="AL407" s="9"/>
      <c r="AM407" s="6"/>
      <c r="AN407" s="6"/>
      <c r="AO407" s="6"/>
      <c r="AP407" s="36"/>
    </row>
    <row r="408" spans="1:42">
      <c r="A408" s="30">
        <v>382</v>
      </c>
      <c r="B408" s="146"/>
      <c r="C408" s="143" t="s">
        <v>566</v>
      </c>
      <c r="D408" s="27"/>
      <c r="E408" s="27"/>
      <c r="F408" s="27"/>
      <c r="G408" s="27"/>
      <c r="H408" s="70" t="s">
        <v>1235</v>
      </c>
      <c r="I408" s="176" t="s">
        <v>1031</v>
      </c>
      <c r="J408" s="137"/>
      <c r="K408" s="117"/>
      <c r="L408" s="6">
        <v>24950</v>
      </c>
      <c r="M408" s="6">
        <v>1247.5</v>
      </c>
      <c r="N408" s="6">
        <v>26197.5</v>
      </c>
      <c r="O408" s="44"/>
      <c r="P408" s="44"/>
      <c r="Q408" s="44"/>
      <c r="R408" s="53"/>
      <c r="S408" s="44"/>
      <c r="T408" s="44"/>
      <c r="U408" s="44"/>
      <c r="V408" s="53"/>
      <c r="W408" s="31"/>
      <c r="X408" s="9"/>
      <c r="Y408" s="11"/>
      <c r="Z408" s="11"/>
      <c r="AA408" s="63"/>
      <c r="AB408" s="63"/>
      <c r="AC408" s="63"/>
      <c r="AD408" s="36"/>
      <c r="AE408" s="74"/>
      <c r="AF408" s="9"/>
      <c r="AG408" s="6"/>
      <c r="AH408" s="6"/>
      <c r="AI408" s="6"/>
      <c r="AJ408" s="36"/>
      <c r="AK408" s="31"/>
      <c r="AL408" s="9"/>
      <c r="AM408" s="6"/>
      <c r="AN408" s="6"/>
      <c r="AO408" s="6"/>
      <c r="AP408" s="36"/>
    </row>
    <row r="409" spans="1:42">
      <c r="A409" s="30">
        <v>383</v>
      </c>
      <c r="B409" s="146"/>
      <c r="C409" s="143" t="s">
        <v>845</v>
      </c>
      <c r="D409" s="27"/>
      <c r="E409" s="27"/>
      <c r="F409" s="27"/>
      <c r="G409" s="27"/>
      <c r="H409" s="70" t="s">
        <v>844</v>
      </c>
      <c r="I409" s="176" t="s">
        <v>846</v>
      </c>
      <c r="J409" s="137"/>
      <c r="K409" s="117"/>
      <c r="L409" s="6">
        <v>540</v>
      </c>
      <c r="M409" s="6">
        <v>27</v>
      </c>
      <c r="N409" s="6">
        <v>567</v>
      </c>
      <c r="O409" s="44"/>
      <c r="P409" s="44"/>
      <c r="Q409" s="44"/>
      <c r="R409" s="53"/>
      <c r="S409" s="44"/>
      <c r="T409" s="44"/>
      <c r="U409" s="44"/>
      <c r="V409" s="53"/>
      <c r="W409" s="31"/>
      <c r="X409" s="9"/>
      <c r="Y409" s="11"/>
      <c r="Z409" s="11"/>
      <c r="AA409" s="63"/>
      <c r="AB409" s="63"/>
      <c r="AC409" s="63"/>
      <c r="AD409" s="36"/>
      <c r="AE409" s="31"/>
      <c r="AF409" s="9"/>
      <c r="AG409" s="6"/>
      <c r="AH409" s="6"/>
      <c r="AI409" s="6"/>
      <c r="AJ409" s="36"/>
      <c r="AK409" s="31"/>
      <c r="AL409" s="9"/>
      <c r="AM409" s="6"/>
      <c r="AN409" s="6"/>
      <c r="AO409" s="6"/>
      <c r="AP409" s="36"/>
    </row>
    <row r="410" spans="1:42">
      <c r="A410" s="30">
        <v>384</v>
      </c>
      <c r="B410" s="146"/>
      <c r="C410" s="143" t="s">
        <v>384</v>
      </c>
      <c r="D410" s="27"/>
      <c r="E410" s="27"/>
      <c r="F410" s="27"/>
      <c r="G410" s="27"/>
      <c r="H410" s="70" t="s">
        <v>30</v>
      </c>
      <c r="I410" s="176" t="s">
        <v>828</v>
      </c>
      <c r="J410" s="137"/>
      <c r="K410" s="117"/>
      <c r="L410" s="6"/>
      <c r="M410" s="6"/>
      <c r="N410" s="6"/>
      <c r="O410" s="44"/>
      <c r="P410" s="44"/>
      <c r="Q410" s="44"/>
      <c r="R410" s="53"/>
      <c r="S410" s="44"/>
      <c r="T410" s="44"/>
      <c r="U410" s="44"/>
      <c r="V410" s="53"/>
      <c r="W410" s="31"/>
      <c r="X410" s="9"/>
      <c r="Y410" s="11"/>
      <c r="Z410" s="11"/>
      <c r="AA410" s="63"/>
      <c r="AB410" s="63"/>
      <c r="AC410" s="63"/>
      <c r="AD410" s="36"/>
      <c r="AE410" s="31"/>
      <c r="AF410" s="9"/>
      <c r="AG410" s="6"/>
      <c r="AH410" s="6"/>
      <c r="AI410" s="6"/>
      <c r="AJ410" s="36"/>
      <c r="AK410" s="31"/>
      <c r="AL410" s="9"/>
      <c r="AM410" s="6"/>
      <c r="AN410" s="6"/>
      <c r="AO410" s="6"/>
      <c r="AP410" s="36"/>
    </row>
    <row r="411" spans="1:42">
      <c r="A411" s="30">
        <v>385</v>
      </c>
      <c r="B411" s="146"/>
      <c r="C411" s="143" t="s">
        <v>564</v>
      </c>
      <c r="D411" s="27"/>
      <c r="E411" s="27"/>
      <c r="F411" s="27"/>
      <c r="G411" s="27"/>
      <c r="H411" s="70" t="s">
        <v>726</v>
      </c>
      <c r="I411" s="176"/>
      <c r="J411" s="137" t="s">
        <v>727</v>
      </c>
      <c r="K411" s="29"/>
      <c r="L411" s="11"/>
      <c r="M411" s="11"/>
      <c r="N411" s="11"/>
      <c r="O411" s="44"/>
      <c r="P411" s="44"/>
      <c r="Q411" s="44"/>
      <c r="R411" s="53"/>
      <c r="S411" s="44"/>
      <c r="T411" s="46"/>
      <c r="U411" s="46"/>
      <c r="V411" s="53"/>
      <c r="W411" s="31"/>
      <c r="X411" s="9"/>
      <c r="Y411" s="11"/>
      <c r="Z411" s="11"/>
      <c r="AA411" s="63"/>
      <c r="AB411" s="63"/>
      <c r="AC411" s="63"/>
      <c r="AD411" s="36"/>
      <c r="AE411" s="31"/>
      <c r="AF411" s="9"/>
      <c r="AG411" s="6"/>
      <c r="AH411" s="6"/>
      <c r="AI411" s="6"/>
      <c r="AJ411" s="36"/>
      <c r="AK411" s="31"/>
      <c r="AL411" s="9"/>
      <c r="AM411" s="6"/>
      <c r="AN411" s="6"/>
      <c r="AO411" s="6"/>
      <c r="AP411" s="36"/>
    </row>
    <row r="412" spans="1:42">
      <c r="A412" s="30">
        <v>386</v>
      </c>
      <c r="B412" s="146"/>
      <c r="C412" s="143" t="s">
        <v>2176</v>
      </c>
      <c r="D412" s="27"/>
      <c r="E412" s="27"/>
      <c r="F412" s="27"/>
      <c r="G412" s="27"/>
      <c r="H412" s="70" t="s">
        <v>2177</v>
      </c>
      <c r="I412" s="176" t="s">
        <v>837</v>
      </c>
      <c r="J412" s="137" t="s">
        <v>2178</v>
      </c>
      <c r="K412" s="29"/>
      <c r="L412" s="11"/>
      <c r="M412" s="11"/>
      <c r="N412" s="11"/>
      <c r="O412" s="44"/>
      <c r="P412" s="44"/>
      <c r="Q412" s="44"/>
      <c r="R412" s="53"/>
      <c r="S412" s="44"/>
      <c r="T412" s="46"/>
      <c r="U412" s="46"/>
      <c r="V412" s="53"/>
      <c r="W412" s="31"/>
      <c r="X412" s="9"/>
      <c r="Y412" s="11"/>
      <c r="Z412" s="11"/>
      <c r="AA412" s="63"/>
      <c r="AB412" s="63"/>
      <c r="AC412" s="63"/>
      <c r="AD412" s="36"/>
      <c r="AE412" s="31"/>
      <c r="AF412" s="9"/>
      <c r="AG412" s="6"/>
      <c r="AH412" s="6"/>
      <c r="AI412" s="6"/>
      <c r="AJ412" s="36"/>
      <c r="AK412" s="31"/>
      <c r="AL412" s="9"/>
      <c r="AM412" s="6"/>
      <c r="AN412" s="6"/>
      <c r="AO412" s="6"/>
      <c r="AP412" s="36"/>
    </row>
    <row r="413" spans="1:42">
      <c r="A413" s="30"/>
      <c r="B413" s="146"/>
      <c r="C413" s="143" t="s">
        <v>2182</v>
      </c>
      <c r="D413" s="27"/>
      <c r="E413" s="27"/>
      <c r="F413" s="27"/>
      <c r="G413" s="27"/>
      <c r="H413" s="70" t="s">
        <v>2179</v>
      </c>
      <c r="I413" s="176" t="s">
        <v>2180</v>
      </c>
      <c r="J413" s="137" t="s">
        <v>2181</v>
      </c>
      <c r="K413" s="29"/>
      <c r="L413" s="11"/>
      <c r="M413" s="11"/>
      <c r="N413" s="11"/>
      <c r="O413" s="44"/>
      <c r="P413" s="44"/>
      <c r="Q413" s="44"/>
      <c r="R413" s="53"/>
      <c r="S413" s="44"/>
      <c r="T413" s="46"/>
      <c r="U413" s="46"/>
      <c r="V413" s="53"/>
      <c r="W413" s="31"/>
      <c r="X413" s="9"/>
      <c r="Y413" s="11"/>
      <c r="Z413" s="11"/>
      <c r="AA413" s="63"/>
      <c r="AB413" s="63"/>
      <c r="AC413" s="63"/>
      <c r="AD413" s="36"/>
      <c r="AE413" s="31"/>
      <c r="AF413" s="9"/>
      <c r="AG413" s="6"/>
      <c r="AH413" s="6"/>
      <c r="AI413" s="6"/>
      <c r="AJ413" s="36"/>
      <c r="AK413" s="31"/>
      <c r="AL413" s="9"/>
      <c r="AM413" s="6"/>
      <c r="AN413" s="6"/>
      <c r="AO413" s="6"/>
      <c r="AP413" s="36"/>
    </row>
    <row r="414" spans="1:42" ht="27">
      <c r="A414" s="30">
        <v>387</v>
      </c>
      <c r="B414" s="146"/>
      <c r="C414" s="143" t="s">
        <v>973</v>
      </c>
      <c r="D414" s="27"/>
      <c r="E414" s="27"/>
      <c r="F414" s="27"/>
      <c r="G414" s="27"/>
      <c r="H414" s="70" t="s">
        <v>974</v>
      </c>
      <c r="I414" s="176" t="s">
        <v>1577</v>
      </c>
      <c r="J414" s="139"/>
      <c r="K414" s="117"/>
      <c r="L414" s="6">
        <v>240</v>
      </c>
      <c r="M414" s="6">
        <v>12</v>
      </c>
      <c r="N414" s="6">
        <v>252</v>
      </c>
      <c r="O414" s="44"/>
      <c r="P414" s="44"/>
      <c r="Q414" s="44"/>
      <c r="R414" s="53"/>
      <c r="S414" s="44"/>
      <c r="T414" s="44"/>
      <c r="U414" s="44"/>
      <c r="V414" s="53"/>
      <c r="W414" s="74"/>
      <c r="X414" s="9"/>
      <c r="Y414" s="11"/>
      <c r="Z414" s="11"/>
      <c r="AA414" s="63"/>
      <c r="AB414" s="63"/>
      <c r="AC414" s="63"/>
      <c r="AD414" s="36"/>
      <c r="AE414" s="31"/>
      <c r="AF414" s="9"/>
      <c r="AG414" s="77"/>
      <c r="AH414" s="77"/>
      <c r="AI414" s="77"/>
      <c r="AJ414" s="36"/>
      <c r="AK414" s="31"/>
      <c r="AL414" s="9"/>
      <c r="AM414" s="6"/>
      <c r="AN414" s="6"/>
      <c r="AO414" s="6"/>
      <c r="AP414" s="36"/>
    </row>
    <row r="415" spans="1:42">
      <c r="A415" s="30">
        <v>388</v>
      </c>
      <c r="B415" s="146"/>
      <c r="C415" s="143" t="s">
        <v>1952</v>
      </c>
      <c r="D415" s="27"/>
      <c r="E415" s="27"/>
      <c r="F415" s="27"/>
      <c r="G415" s="27"/>
      <c r="H415" s="70" t="s">
        <v>1578</v>
      </c>
      <c r="I415" s="176" t="s">
        <v>941</v>
      </c>
      <c r="J415" s="139"/>
      <c r="K415" s="117"/>
      <c r="L415" s="6"/>
      <c r="M415" s="6"/>
      <c r="N415" s="6"/>
      <c r="O415" s="44"/>
      <c r="P415" s="44"/>
      <c r="Q415" s="44"/>
      <c r="R415" s="53"/>
      <c r="S415" s="44"/>
      <c r="T415" s="44"/>
      <c r="U415" s="44"/>
      <c r="V415" s="53"/>
      <c r="W415" s="74"/>
      <c r="X415" s="9"/>
      <c r="Y415" s="11"/>
      <c r="Z415" s="11"/>
      <c r="AA415" s="63"/>
      <c r="AB415" s="63"/>
      <c r="AC415" s="63"/>
      <c r="AD415" s="36"/>
      <c r="AE415" s="31"/>
      <c r="AF415" s="9"/>
      <c r="AG415" s="77"/>
      <c r="AH415" s="77"/>
      <c r="AI415" s="77"/>
      <c r="AJ415" s="36"/>
      <c r="AK415" s="31"/>
      <c r="AL415" s="9"/>
      <c r="AM415" s="6"/>
      <c r="AN415" s="6"/>
      <c r="AO415" s="6"/>
      <c r="AP415" s="36"/>
    </row>
    <row r="416" spans="1:42" ht="27">
      <c r="A416" s="30">
        <v>389</v>
      </c>
      <c r="B416" s="146"/>
      <c r="C416" s="143" t="s">
        <v>1796</v>
      </c>
      <c r="D416" s="27"/>
      <c r="E416" s="27"/>
      <c r="F416" s="27"/>
      <c r="G416" s="27"/>
      <c r="H416" s="70" t="s">
        <v>1797</v>
      </c>
      <c r="I416" s="176" t="s">
        <v>821</v>
      </c>
      <c r="J416" s="136"/>
      <c r="K416" s="29"/>
      <c r="L416" s="11"/>
      <c r="M416" s="11"/>
      <c r="N416" s="11"/>
      <c r="O416" s="44"/>
      <c r="P416" s="44"/>
      <c r="Q416" s="44"/>
      <c r="R416" s="53"/>
      <c r="S416" s="44"/>
      <c r="T416" s="46"/>
      <c r="U416" s="46"/>
      <c r="V416" s="53"/>
      <c r="W416" s="31"/>
      <c r="X416" s="9"/>
      <c r="Y416" s="11"/>
      <c r="Z416" s="11"/>
      <c r="AA416" s="63"/>
      <c r="AB416" s="63"/>
      <c r="AC416" s="63"/>
      <c r="AD416" s="36"/>
      <c r="AE416" s="31"/>
      <c r="AF416" s="9"/>
      <c r="AG416" s="6"/>
      <c r="AH416" s="6"/>
      <c r="AI416" s="6"/>
      <c r="AJ416" s="36"/>
      <c r="AK416" s="31"/>
      <c r="AL416" s="9"/>
      <c r="AM416" s="6"/>
      <c r="AN416" s="6"/>
      <c r="AO416" s="6"/>
      <c r="AP416" s="36"/>
    </row>
    <row r="417" spans="1:42">
      <c r="A417" s="30">
        <v>390</v>
      </c>
      <c r="B417" s="130"/>
      <c r="C417" s="143" t="s">
        <v>1928</v>
      </c>
      <c r="D417" s="27"/>
      <c r="E417" s="27"/>
      <c r="F417" s="27"/>
      <c r="G417" s="27"/>
      <c r="H417" s="70" t="s">
        <v>1932</v>
      </c>
      <c r="I417" s="176"/>
      <c r="J417" s="137"/>
      <c r="K417" s="120"/>
      <c r="L417" s="6"/>
      <c r="M417" s="6"/>
      <c r="N417" s="6"/>
      <c r="O417" s="44"/>
      <c r="P417" s="44"/>
      <c r="Q417" s="44"/>
      <c r="R417" s="53"/>
      <c r="S417" s="44"/>
      <c r="T417" s="44"/>
      <c r="U417" s="44"/>
      <c r="V417" s="53"/>
      <c r="W417" s="31"/>
      <c r="X417" s="9"/>
      <c r="Y417" s="11"/>
      <c r="Z417" s="11"/>
      <c r="AA417" s="63"/>
      <c r="AB417" s="63"/>
      <c r="AC417" s="63"/>
      <c r="AD417" s="36"/>
      <c r="AE417" s="31"/>
      <c r="AF417" s="9"/>
      <c r="AG417" s="6"/>
      <c r="AH417" s="6"/>
      <c r="AI417" s="6"/>
      <c r="AJ417" s="36"/>
      <c r="AK417" s="31"/>
      <c r="AL417" s="9"/>
      <c r="AM417" s="6"/>
      <c r="AN417" s="6"/>
      <c r="AO417" s="6"/>
      <c r="AP417" s="36"/>
    </row>
    <row r="418" spans="1:42">
      <c r="A418" s="30">
        <v>391</v>
      </c>
      <c r="B418" s="146"/>
      <c r="C418" s="143" t="s">
        <v>1169</v>
      </c>
      <c r="D418" s="27"/>
      <c r="E418" s="27"/>
      <c r="F418" s="27"/>
      <c r="G418" s="27"/>
      <c r="H418" s="287" t="s">
        <v>2254</v>
      </c>
      <c r="I418" s="176" t="s">
        <v>1929</v>
      </c>
      <c r="J418" s="137" t="s">
        <v>1931</v>
      </c>
      <c r="K418" s="117"/>
      <c r="L418" s="6"/>
      <c r="M418" s="6"/>
      <c r="N418" s="6"/>
      <c r="O418" s="44"/>
      <c r="P418" s="44"/>
      <c r="Q418" s="44"/>
      <c r="R418" s="53"/>
      <c r="S418" s="44"/>
      <c r="T418" s="44"/>
      <c r="U418" s="44"/>
      <c r="V418" s="53"/>
      <c r="W418" s="31"/>
      <c r="AA418" s="112"/>
      <c r="AB418" s="112"/>
      <c r="AC418" s="112"/>
      <c r="AE418" s="111"/>
      <c r="AG418" s="8"/>
      <c r="AH418" s="8"/>
      <c r="AI418" s="8"/>
      <c r="AK418" s="111"/>
      <c r="AM418" s="8"/>
      <c r="AN418" s="8"/>
      <c r="AO418" s="8"/>
    </row>
    <row r="419" spans="1:42">
      <c r="A419" s="30">
        <v>392</v>
      </c>
      <c r="B419" s="146"/>
      <c r="C419" s="143" t="s">
        <v>1530</v>
      </c>
      <c r="D419" s="27"/>
      <c r="E419" s="27"/>
      <c r="F419" s="27"/>
      <c r="G419" s="27"/>
      <c r="H419" s="70" t="s">
        <v>1531</v>
      </c>
      <c r="I419" s="176" t="s">
        <v>821</v>
      </c>
      <c r="J419" s="136" t="s">
        <v>1532</v>
      </c>
      <c r="K419" s="29"/>
      <c r="L419" s="11"/>
      <c r="M419" s="11"/>
      <c r="N419" s="11"/>
      <c r="O419" s="44"/>
      <c r="P419" s="44"/>
      <c r="Q419" s="44"/>
      <c r="R419" s="53"/>
      <c r="S419" s="44"/>
      <c r="T419" s="46"/>
      <c r="U419" s="46"/>
      <c r="V419" s="53"/>
      <c r="W419" s="31"/>
      <c r="X419" s="9"/>
      <c r="Y419" s="11"/>
      <c r="Z419" s="11"/>
      <c r="AA419" s="63"/>
      <c r="AB419" s="63"/>
      <c r="AC419" s="63"/>
      <c r="AD419" s="36"/>
      <c r="AE419" s="31"/>
      <c r="AF419" s="9"/>
      <c r="AG419" s="6"/>
      <c r="AH419" s="6"/>
      <c r="AI419" s="6"/>
      <c r="AJ419" s="36"/>
      <c r="AK419" s="31"/>
      <c r="AL419" s="9"/>
      <c r="AM419" s="6"/>
      <c r="AN419" s="6"/>
      <c r="AO419" s="6"/>
      <c r="AP419" s="36"/>
    </row>
    <row r="420" spans="1:42">
      <c r="A420" s="30">
        <v>393</v>
      </c>
      <c r="B420" s="146"/>
      <c r="C420" s="143" t="s">
        <v>1287</v>
      </c>
      <c r="D420" s="27"/>
      <c r="E420" s="27"/>
      <c r="F420" s="27"/>
      <c r="G420" s="27"/>
      <c r="H420" s="70" t="s">
        <v>1234</v>
      </c>
      <c r="I420" s="176"/>
      <c r="J420" s="136"/>
      <c r="K420" s="29"/>
      <c r="L420" s="11"/>
      <c r="M420" s="11"/>
      <c r="N420" s="11"/>
      <c r="O420" s="44"/>
      <c r="P420" s="44"/>
      <c r="Q420" s="44"/>
      <c r="R420" s="53"/>
      <c r="S420" s="44"/>
      <c r="T420" s="46"/>
      <c r="U420" s="46"/>
      <c r="V420" s="53"/>
      <c r="W420" s="31"/>
      <c r="X420" s="9"/>
      <c r="Y420" s="11"/>
      <c r="Z420" s="11"/>
      <c r="AA420" s="63"/>
      <c r="AB420" s="63"/>
      <c r="AC420" s="63"/>
      <c r="AD420" s="36"/>
      <c r="AE420" s="31"/>
      <c r="AF420" s="9"/>
      <c r="AG420" s="6"/>
      <c r="AH420" s="6"/>
      <c r="AI420" s="6"/>
      <c r="AJ420" s="36"/>
      <c r="AK420" s="31"/>
      <c r="AL420" s="9"/>
      <c r="AM420" s="6"/>
      <c r="AN420" s="6"/>
      <c r="AO420" s="6"/>
      <c r="AP420" s="36"/>
    </row>
    <row r="421" spans="1:42">
      <c r="A421" s="30">
        <v>394</v>
      </c>
      <c r="B421" s="146"/>
      <c r="C421" s="143" t="s">
        <v>1114</v>
      </c>
      <c r="D421" s="27"/>
      <c r="E421" s="27"/>
      <c r="F421" s="27"/>
      <c r="G421" s="27"/>
      <c r="H421" s="70" t="s">
        <v>1312</v>
      </c>
      <c r="I421" s="176"/>
      <c r="J421" s="136" t="s">
        <v>649</v>
      </c>
      <c r="K421" s="29"/>
      <c r="L421" s="11"/>
      <c r="M421" s="11"/>
      <c r="N421" s="11"/>
      <c r="O421" s="44"/>
      <c r="P421" s="44"/>
      <c r="Q421" s="44"/>
      <c r="R421" s="53"/>
      <c r="S421" s="44"/>
      <c r="T421" s="46"/>
      <c r="U421" s="46"/>
      <c r="V421" s="53"/>
      <c r="W421" s="31"/>
      <c r="X421" s="9"/>
      <c r="Y421" s="11"/>
      <c r="Z421" s="11"/>
      <c r="AA421" s="63"/>
      <c r="AB421" s="63"/>
      <c r="AC421" s="63"/>
      <c r="AD421" s="36"/>
      <c r="AE421" s="31"/>
      <c r="AF421" s="9"/>
      <c r="AG421" s="6"/>
      <c r="AH421" s="6"/>
      <c r="AI421" s="6"/>
      <c r="AJ421" s="36"/>
      <c r="AK421" s="31"/>
      <c r="AL421" s="9"/>
      <c r="AM421" s="6"/>
      <c r="AN421" s="6"/>
      <c r="AO421" s="6"/>
      <c r="AP421" s="36"/>
    </row>
    <row r="422" spans="1:42">
      <c r="A422" s="30">
        <v>395</v>
      </c>
      <c r="B422" s="146"/>
      <c r="C422" s="143" t="s">
        <v>2169</v>
      </c>
      <c r="D422" s="27"/>
      <c r="E422" s="27"/>
      <c r="F422" s="27"/>
      <c r="G422" s="27"/>
      <c r="H422" s="70" t="s">
        <v>2170</v>
      </c>
      <c r="I422" s="176" t="s">
        <v>2171</v>
      </c>
      <c r="J422" s="136" t="s">
        <v>2172</v>
      </c>
      <c r="K422" s="117"/>
      <c r="L422" s="6"/>
      <c r="M422" s="6"/>
      <c r="N422" s="6"/>
      <c r="O422" s="44"/>
      <c r="P422" s="44"/>
      <c r="Q422" s="44"/>
      <c r="R422" s="53"/>
      <c r="S422" s="87"/>
      <c r="T422" s="87"/>
      <c r="U422" s="87"/>
      <c r="V422" s="53"/>
      <c r="W422" s="31"/>
      <c r="X422" s="9"/>
      <c r="Y422" s="11"/>
      <c r="Z422" s="11"/>
      <c r="AA422" s="88"/>
      <c r="AB422" s="88"/>
      <c r="AC422" s="88"/>
      <c r="AD422" s="36"/>
      <c r="AE422" s="31"/>
      <c r="AF422" s="9"/>
      <c r="AG422" s="6"/>
      <c r="AH422" s="6"/>
      <c r="AI422" s="6"/>
      <c r="AJ422" s="36"/>
      <c r="AK422" s="31"/>
      <c r="AL422" s="9"/>
      <c r="AM422" s="77"/>
      <c r="AN422" s="77"/>
      <c r="AO422" s="77"/>
      <c r="AP422" s="36"/>
    </row>
    <row r="423" spans="1:42">
      <c r="A423" s="30">
        <v>396</v>
      </c>
      <c r="B423" s="146"/>
      <c r="C423" s="143" t="s">
        <v>1290</v>
      </c>
      <c r="D423" s="27"/>
      <c r="E423" s="27"/>
      <c r="F423" s="27"/>
      <c r="G423" s="27"/>
      <c r="H423" s="70" t="s">
        <v>1398</v>
      </c>
      <c r="I423" s="176" t="s">
        <v>1545</v>
      </c>
      <c r="J423" s="137" t="s">
        <v>672</v>
      </c>
      <c r="K423" s="29"/>
      <c r="L423" s="11">
        <v>24000</v>
      </c>
      <c r="M423" s="11">
        <v>1200</v>
      </c>
      <c r="N423" s="11">
        <v>25200</v>
      </c>
      <c r="O423" s="44"/>
      <c r="P423" s="44"/>
      <c r="Q423" s="44"/>
      <c r="R423" s="53"/>
      <c r="S423" s="44"/>
      <c r="T423" s="46"/>
      <c r="U423" s="46"/>
      <c r="V423" s="53"/>
      <c r="W423" s="31"/>
      <c r="X423" s="9"/>
      <c r="Y423" s="11"/>
      <c r="Z423" s="11"/>
      <c r="AA423" s="63"/>
      <c r="AB423" s="63"/>
      <c r="AC423" s="63"/>
      <c r="AD423" s="36"/>
      <c r="AE423" s="31"/>
      <c r="AF423" s="9"/>
      <c r="AG423" s="6"/>
      <c r="AH423" s="6"/>
      <c r="AI423" s="6"/>
      <c r="AJ423" s="36"/>
      <c r="AK423" s="31"/>
      <c r="AL423" s="9"/>
      <c r="AM423" s="6"/>
      <c r="AN423" s="6"/>
      <c r="AO423" s="6"/>
      <c r="AP423" s="36"/>
    </row>
    <row r="424" spans="1:42">
      <c r="A424" s="30">
        <v>397</v>
      </c>
      <c r="B424" s="146"/>
      <c r="C424" s="143" t="s">
        <v>1787</v>
      </c>
      <c r="D424" s="27"/>
      <c r="E424" s="27"/>
      <c r="F424" s="27"/>
      <c r="G424" s="27"/>
      <c r="H424" s="240" t="s">
        <v>1786</v>
      </c>
      <c r="I424" s="176" t="s">
        <v>1467</v>
      </c>
      <c r="J424" s="137" t="s">
        <v>1845</v>
      </c>
      <c r="K424" s="29"/>
      <c r="L424" s="11"/>
      <c r="M424" s="11"/>
      <c r="N424" s="11"/>
      <c r="O424" s="44"/>
      <c r="P424" s="44"/>
      <c r="Q424" s="44"/>
      <c r="R424" s="53"/>
      <c r="S424" s="44"/>
      <c r="T424" s="46"/>
      <c r="U424" s="46"/>
      <c r="V424" s="53"/>
      <c r="W424" s="31"/>
      <c r="X424" s="9"/>
      <c r="Y424" s="11"/>
      <c r="Z424" s="11"/>
      <c r="AA424" s="63"/>
      <c r="AB424" s="63"/>
      <c r="AC424" s="63"/>
      <c r="AD424" s="36"/>
      <c r="AE424" s="31"/>
      <c r="AF424" s="9"/>
      <c r="AG424" s="6"/>
      <c r="AH424" s="6"/>
      <c r="AI424" s="6"/>
      <c r="AJ424" s="36"/>
      <c r="AK424" s="31"/>
      <c r="AL424" s="9"/>
      <c r="AM424" s="6"/>
      <c r="AN424" s="6"/>
      <c r="AO424" s="6"/>
      <c r="AP424" s="36"/>
    </row>
    <row r="425" spans="1:42">
      <c r="A425" s="30">
        <v>398</v>
      </c>
      <c r="B425" s="146"/>
      <c r="C425" s="143" t="s">
        <v>1552</v>
      </c>
      <c r="D425" s="27"/>
      <c r="E425" s="27"/>
      <c r="F425" s="27"/>
      <c r="G425" s="27"/>
      <c r="H425" s="105" t="s">
        <v>1557</v>
      </c>
      <c r="I425" s="176" t="s">
        <v>828</v>
      </c>
      <c r="J425" s="137"/>
      <c r="K425" s="29"/>
      <c r="L425" s="11"/>
      <c r="M425" s="11"/>
      <c r="N425" s="11"/>
      <c r="O425" s="44"/>
      <c r="P425" s="44"/>
      <c r="Q425" s="44"/>
      <c r="R425" s="53"/>
      <c r="S425" s="44"/>
      <c r="T425" s="46"/>
      <c r="U425" s="46"/>
      <c r="V425" s="53"/>
      <c r="W425" s="31"/>
      <c r="X425" s="9"/>
      <c r="Y425" s="11"/>
      <c r="Z425" s="11"/>
      <c r="AA425" s="63"/>
      <c r="AB425" s="63"/>
      <c r="AC425" s="63"/>
      <c r="AD425" s="36"/>
      <c r="AE425" s="31"/>
      <c r="AF425" s="9"/>
      <c r="AG425" s="6"/>
      <c r="AH425" s="6"/>
      <c r="AI425" s="6"/>
      <c r="AJ425" s="36"/>
      <c r="AK425" s="31"/>
      <c r="AL425" s="9"/>
      <c r="AM425" s="6"/>
      <c r="AN425" s="6"/>
      <c r="AO425" s="6"/>
      <c r="AP425" s="36"/>
    </row>
    <row r="426" spans="1:42">
      <c r="A426" s="30">
        <v>399</v>
      </c>
      <c r="B426" s="146"/>
      <c r="C426" s="143" t="s">
        <v>1869</v>
      </c>
      <c r="D426" s="27"/>
      <c r="E426" s="27"/>
      <c r="F426" s="27"/>
      <c r="G426" s="27"/>
      <c r="H426" s="70" t="s">
        <v>1784</v>
      </c>
      <c r="I426" s="176" t="s">
        <v>895</v>
      </c>
      <c r="J426" s="137"/>
      <c r="K426" s="117"/>
      <c r="L426" s="6">
        <v>17920</v>
      </c>
      <c r="M426" s="6">
        <v>896</v>
      </c>
      <c r="N426" s="6">
        <v>18816</v>
      </c>
      <c r="O426" s="44"/>
      <c r="P426" s="44"/>
      <c r="Q426" s="44"/>
      <c r="R426" s="53"/>
      <c r="S426" s="44"/>
      <c r="T426" s="44"/>
      <c r="U426" s="44"/>
      <c r="V426" s="53"/>
      <c r="W426" s="31"/>
      <c r="X426" s="9"/>
      <c r="Y426" s="11"/>
      <c r="Z426" s="11"/>
      <c r="AA426" s="63"/>
      <c r="AB426" s="63"/>
      <c r="AC426" s="63"/>
      <c r="AD426" s="36"/>
      <c r="AE426" s="31"/>
      <c r="AF426" s="9"/>
      <c r="AG426" s="6"/>
      <c r="AH426" s="6"/>
      <c r="AI426" s="6"/>
      <c r="AJ426" s="36"/>
      <c r="AK426" s="31"/>
      <c r="AL426" s="9"/>
      <c r="AM426" s="6"/>
      <c r="AN426" s="6"/>
      <c r="AO426" s="6"/>
      <c r="AP426" s="36"/>
    </row>
    <row r="427" spans="1:42">
      <c r="A427" s="30">
        <v>400</v>
      </c>
      <c r="B427" s="146"/>
      <c r="C427" s="143" t="s">
        <v>1713</v>
      </c>
      <c r="D427" s="27"/>
      <c r="E427" s="27"/>
      <c r="F427" s="27"/>
      <c r="G427" s="27"/>
      <c r="H427" s="70" t="s">
        <v>2288</v>
      </c>
      <c r="I427" s="176" t="s">
        <v>829</v>
      </c>
      <c r="J427" s="137"/>
      <c r="K427" s="117"/>
      <c r="L427" s="6"/>
      <c r="M427" s="6"/>
      <c r="N427" s="6"/>
      <c r="O427" s="44"/>
      <c r="P427" s="44"/>
      <c r="Q427" s="44"/>
      <c r="R427" s="53"/>
      <c r="S427" s="44"/>
      <c r="T427" s="44"/>
      <c r="U427" s="44"/>
      <c r="V427" s="53"/>
      <c r="W427" s="31"/>
      <c r="X427" s="9"/>
      <c r="Y427" s="11"/>
      <c r="Z427" s="11"/>
      <c r="AA427" s="63"/>
      <c r="AB427" s="63"/>
      <c r="AC427" s="63"/>
      <c r="AD427" s="36"/>
      <c r="AE427" s="31"/>
      <c r="AF427" s="9"/>
      <c r="AG427" s="6"/>
      <c r="AH427" s="6"/>
      <c r="AI427" s="6"/>
      <c r="AJ427" s="36"/>
      <c r="AK427" s="31"/>
      <c r="AL427" s="9"/>
      <c r="AM427" s="6"/>
      <c r="AN427" s="6"/>
      <c r="AO427" s="6"/>
      <c r="AP427" s="36"/>
    </row>
    <row r="428" spans="1:42">
      <c r="A428" s="30">
        <v>401</v>
      </c>
      <c r="B428" s="146"/>
      <c r="C428" s="143" t="s">
        <v>519</v>
      </c>
      <c r="D428" s="27"/>
      <c r="E428" s="27"/>
      <c r="F428" s="27"/>
      <c r="G428" s="27"/>
      <c r="H428" s="70" t="s">
        <v>610</v>
      </c>
      <c r="I428" s="176" t="s">
        <v>833</v>
      </c>
      <c r="J428" s="137"/>
      <c r="K428" s="117"/>
      <c r="L428" s="6"/>
      <c r="M428" s="6"/>
      <c r="N428" s="6"/>
      <c r="O428" s="44"/>
      <c r="P428" s="44"/>
      <c r="Q428" s="44"/>
      <c r="R428" s="53"/>
      <c r="S428" s="44"/>
      <c r="T428" s="44"/>
      <c r="U428" s="44"/>
      <c r="V428" s="53"/>
      <c r="W428" s="31"/>
      <c r="X428" s="9"/>
      <c r="Y428" s="11"/>
      <c r="Z428" s="11"/>
      <c r="AA428" s="63"/>
      <c r="AB428" s="63"/>
      <c r="AC428" s="63"/>
      <c r="AD428" s="36"/>
      <c r="AE428" s="31"/>
      <c r="AF428" s="9"/>
      <c r="AG428" s="6"/>
      <c r="AH428" s="6"/>
      <c r="AI428" s="6"/>
      <c r="AJ428" s="36"/>
      <c r="AK428" s="31"/>
      <c r="AL428" s="9"/>
      <c r="AM428" s="6"/>
      <c r="AN428" s="6"/>
      <c r="AO428" s="6"/>
      <c r="AP428" s="36"/>
    </row>
    <row r="429" spans="1:42">
      <c r="A429" s="30">
        <v>402</v>
      </c>
      <c r="B429" s="146"/>
      <c r="C429" s="143" t="s">
        <v>1831</v>
      </c>
      <c r="D429" s="27"/>
      <c r="E429" s="27"/>
      <c r="F429" s="27"/>
      <c r="G429" s="27"/>
      <c r="H429" s="70" t="s">
        <v>2014</v>
      </c>
      <c r="I429" s="176" t="s">
        <v>1832</v>
      </c>
      <c r="J429" s="137" t="s">
        <v>2013</v>
      </c>
      <c r="K429" s="117"/>
      <c r="L429" s="6"/>
      <c r="M429" s="6"/>
      <c r="N429" s="6"/>
      <c r="O429" s="44"/>
      <c r="P429" s="44"/>
      <c r="Q429" s="44"/>
      <c r="R429" s="53"/>
      <c r="S429" s="44"/>
      <c r="T429" s="44"/>
      <c r="U429" s="44"/>
      <c r="V429" s="53"/>
      <c r="W429" s="31"/>
      <c r="X429" s="9"/>
      <c r="Y429" s="11"/>
      <c r="Z429" s="11"/>
      <c r="AA429" s="63"/>
      <c r="AB429" s="63"/>
      <c r="AC429" s="63"/>
      <c r="AD429" s="36"/>
      <c r="AE429" s="31"/>
      <c r="AF429" s="9"/>
      <c r="AG429" s="6"/>
      <c r="AH429" s="6"/>
      <c r="AI429" s="6"/>
      <c r="AJ429" s="36"/>
      <c r="AK429" s="31"/>
      <c r="AL429" s="9"/>
      <c r="AM429" s="6"/>
      <c r="AN429" s="6"/>
      <c r="AO429" s="6"/>
      <c r="AP429" s="36"/>
    </row>
    <row r="430" spans="1:42">
      <c r="A430" s="30">
        <v>403</v>
      </c>
      <c r="B430" s="146"/>
      <c r="C430" s="143" t="s">
        <v>1842</v>
      </c>
      <c r="D430" s="27"/>
      <c r="E430" s="27"/>
      <c r="F430" s="27"/>
      <c r="G430" s="27"/>
      <c r="H430" s="70" t="s">
        <v>1843</v>
      </c>
      <c r="I430" s="176" t="s">
        <v>1844</v>
      </c>
      <c r="J430" s="137"/>
      <c r="K430" s="117"/>
      <c r="L430" s="6"/>
      <c r="M430" s="6"/>
      <c r="N430" s="6"/>
      <c r="O430" s="44"/>
      <c r="P430" s="44"/>
      <c r="Q430" s="44"/>
      <c r="R430" s="53"/>
      <c r="S430" s="47"/>
      <c r="T430" s="47"/>
      <c r="U430" s="47"/>
      <c r="V430" s="53"/>
      <c r="W430" s="31"/>
      <c r="X430" s="9"/>
      <c r="Y430" s="11"/>
      <c r="Z430" s="80"/>
      <c r="AA430" s="79"/>
      <c r="AB430" s="79"/>
      <c r="AC430" s="79"/>
      <c r="AD430" s="36"/>
      <c r="AE430" s="31"/>
      <c r="AF430" s="9"/>
      <c r="AG430" s="6"/>
      <c r="AH430" s="6"/>
      <c r="AI430" s="6"/>
      <c r="AJ430" s="36"/>
      <c r="AK430" s="31"/>
      <c r="AL430" s="9"/>
      <c r="AM430" s="6"/>
      <c r="AN430" s="6"/>
      <c r="AO430" s="6"/>
      <c r="AP430" s="36"/>
    </row>
    <row r="431" spans="1:42">
      <c r="A431" s="30">
        <v>404</v>
      </c>
      <c r="B431" s="146"/>
      <c r="C431" s="143" t="s">
        <v>1602</v>
      </c>
      <c r="D431" s="27"/>
      <c r="E431" s="27"/>
      <c r="F431" s="27"/>
      <c r="G431" s="27"/>
      <c r="H431" s="70" t="s">
        <v>1605</v>
      </c>
      <c r="I431" s="176" t="s">
        <v>1604</v>
      </c>
      <c r="J431" s="137" t="s">
        <v>1603</v>
      </c>
      <c r="K431" s="117"/>
      <c r="L431" s="6"/>
      <c r="M431" s="6"/>
      <c r="N431" s="6"/>
      <c r="O431" s="44"/>
      <c r="P431" s="44"/>
      <c r="Q431" s="44"/>
      <c r="R431" s="53"/>
      <c r="S431" s="47"/>
      <c r="T431" s="47"/>
      <c r="U431" s="47"/>
      <c r="V431" s="53"/>
      <c r="W431" s="31"/>
      <c r="X431" s="9"/>
      <c r="Y431" s="11"/>
      <c r="Z431" s="80"/>
      <c r="AA431" s="79"/>
      <c r="AB431" s="79"/>
      <c r="AC431" s="79"/>
      <c r="AD431" s="36"/>
      <c r="AE431" s="31"/>
      <c r="AF431" s="9"/>
      <c r="AG431" s="6"/>
      <c r="AH431" s="6"/>
      <c r="AI431" s="6"/>
      <c r="AJ431" s="36"/>
      <c r="AK431" s="31"/>
      <c r="AL431" s="9"/>
      <c r="AM431" s="6"/>
      <c r="AN431" s="6"/>
      <c r="AO431" s="6"/>
      <c r="AP431" s="36"/>
    </row>
    <row r="432" spans="1:42">
      <c r="A432" s="30">
        <v>405</v>
      </c>
      <c r="B432" s="146"/>
      <c r="C432" s="143" t="s">
        <v>385</v>
      </c>
      <c r="D432" s="27"/>
      <c r="E432" s="27"/>
      <c r="F432" s="27"/>
      <c r="G432" s="27"/>
      <c r="H432" s="70" t="s">
        <v>31</v>
      </c>
      <c r="I432" s="176" t="s">
        <v>828</v>
      </c>
      <c r="J432" s="137"/>
      <c r="K432" s="117"/>
      <c r="L432" s="6">
        <v>24900</v>
      </c>
      <c r="M432" s="6">
        <v>1245</v>
      </c>
      <c r="N432" s="6">
        <v>26145</v>
      </c>
      <c r="O432" s="44"/>
      <c r="P432" s="44"/>
      <c r="Q432" s="44"/>
      <c r="R432" s="53"/>
      <c r="S432" s="44"/>
      <c r="T432" s="44"/>
      <c r="U432" s="44"/>
      <c r="V432" s="53"/>
      <c r="W432" s="31"/>
      <c r="X432" s="9"/>
      <c r="Y432" s="11"/>
      <c r="Z432" s="11"/>
      <c r="AA432" s="63"/>
      <c r="AB432" s="63"/>
      <c r="AC432" s="63"/>
      <c r="AD432" s="36"/>
      <c r="AE432" s="31"/>
      <c r="AF432" s="9"/>
      <c r="AG432" s="6"/>
      <c r="AH432" s="6"/>
      <c r="AI432" s="6"/>
      <c r="AJ432" s="36"/>
      <c r="AK432" s="31"/>
      <c r="AL432" s="9"/>
      <c r="AM432" s="6"/>
      <c r="AN432" s="6"/>
      <c r="AO432" s="6"/>
      <c r="AP432" s="36"/>
    </row>
    <row r="433" spans="1:42">
      <c r="A433" s="30">
        <v>406</v>
      </c>
      <c r="B433" s="146"/>
      <c r="C433" s="143" t="s">
        <v>1746</v>
      </c>
      <c r="D433" s="27"/>
      <c r="E433" s="27"/>
      <c r="F433" s="27"/>
      <c r="G433" s="27"/>
      <c r="H433" s="70" t="s">
        <v>1747</v>
      </c>
      <c r="I433" s="176" t="s">
        <v>1754</v>
      </c>
      <c r="J433" s="137"/>
      <c r="K433" s="117"/>
      <c r="L433" s="6"/>
      <c r="M433" s="6"/>
      <c r="N433" s="6"/>
      <c r="O433" s="44"/>
      <c r="P433" s="44"/>
      <c r="Q433" s="44"/>
      <c r="R433" s="53"/>
      <c r="S433" s="44"/>
      <c r="T433" s="44"/>
      <c r="U433" s="44"/>
      <c r="V433" s="53"/>
      <c r="W433" s="31"/>
      <c r="X433" s="9"/>
      <c r="Y433" s="11"/>
      <c r="Z433" s="11"/>
      <c r="AA433" s="63"/>
      <c r="AB433" s="63"/>
      <c r="AC433" s="63"/>
      <c r="AD433" s="36"/>
      <c r="AE433" s="31"/>
      <c r="AF433" s="9"/>
      <c r="AG433" s="6"/>
      <c r="AH433" s="6"/>
      <c r="AI433" s="6"/>
      <c r="AJ433" s="36"/>
      <c r="AK433" s="31"/>
      <c r="AL433" s="9"/>
      <c r="AM433" s="6"/>
      <c r="AN433" s="6"/>
      <c r="AO433" s="6"/>
      <c r="AP433" s="36"/>
    </row>
    <row r="434" spans="1:42">
      <c r="A434" s="30">
        <v>407</v>
      </c>
      <c r="B434" s="146"/>
      <c r="C434" s="143" t="s">
        <v>521</v>
      </c>
      <c r="D434" s="27"/>
      <c r="E434" s="27"/>
      <c r="F434" s="27"/>
      <c r="G434" s="27"/>
      <c r="H434" s="70" t="s">
        <v>1284</v>
      </c>
      <c r="I434" s="176"/>
      <c r="J434" s="137"/>
      <c r="K434" s="117"/>
      <c r="L434" s="6">
        <v>81800</v>
      </c>
      <c r="M434" s="6">
        <v>4090</v>
      </c>
      <c r="N434" s="6">
        <v>85890</v>
      </c>
      <c r="O434" s="44"/>
      <c r="P434" s="44"/>
      <c r="Q434" s="44"/>
      <c r="R434" s="53"/>
      <c r="S434" s="44"/>
      <c r="T434" s="44"/>
      <c r="U434" s="44"/>
      <c r="V434" s="53"/>
      <c r="W434" s="31"/>
      <c r="X434" s="9"/>
      <c r="Y434" s="11"/>
      <c r="Z434" s="11"/>
      <c r="AA434" s="63"/>
      <c r="AB434" s="63"/>
      <c r="AC434" s="63"/>
      <c r="AD434" s="36"/>
      <c r="AE434" s="31"/>
      <c r="AF434" s="9"/>
      <c r="AG434" s="6"/>
      <c r="AH434" s="6"/>
      <c r="AI434" s="6"/>
      <c r="AJ434" s="36"/>
      <c r="AK434" s="31"/>
      <c r="AL434" s="9"/>
      <c r="AM434" s="6"/>
      <c r="AN434" s="6"/>
      <c r="AO434" s="6"/>
      <c r="AP434" s="36"/>
    </row>
    <row r="435" spans="1:42">
      <c r="A435" s="30">
        <v>408</v>
      </c>
      <c r="B435" s="146"/>
      <c r="C435" s="143" t="s">
        <v>1596</v>
      </c>
      <c r="D435" s="27"/>
      <c r="E435" s="27"/>
      <c r="F435" s="27"/>
      <c r="G435" s="27"/>
      <c r="H435" s="70" t="s">
        <v>1622</v>
      </c>
      <c r="I435" s="176" t="s">
        <v>895</v>
      </c>
      <c r="J435" s="137" t="s">
        <v>1003</v>
      </c>
      <c r="K435" s="117"/>
      <c r="L435" s="6">
        <v>16870</v>
      </c>
      <c r="M435" s="6">
        <v>843.5</v>
      </c>
      <c r="N435" s="6">
        <v>17713.5</v>
      </c>
      <c r="O435" s="44"/>
      <c r="P435" s="44"/>
      <c r="Q435" s="44"/>
      <c r="R435" s="53"/>
      <c r="S435" s="81"/>
      <c r="T435" s="81"/>
      <c r="U435" s="81"/>
      <c r="V435" s="53"/>
      <c r="W435" s="31"/>
      <c r="X435" s="9"/>
      <c r="Y435" s="11"/>
      <c r="Z435" s="80"/>
      <c r="AA435" s="65"/>
      <c r="AB435" s="65"/>
      <c r="AC435" s="65"/>
      <c r="AD435" s="36"/>
      <c r="AE435" s="31"/>
      <c r="AF435" s="9"/>
      <c r="AG435" s="6"/>
      <c r="AH435" s="6"/>
      <c r="AI435" s="6"/>
      <c r="AJ435" s="36"/>
      <c r="AK435" s="31"/>
      <c r="AL435" s="9"/>
      <c r="AM435" s="6"/>
      <c r="AN435" s="6"/>
      <c r="AO435" s="6"/>
      <c r="AP435" s="36"/>
    </row>
    <row r="436" spans="1:42">
      <c r="A436" s="30">
        <v>409</v>
      </c>
      <c r="B436" s="146"/>
      <c r="C436" s="143" t="s">
        <v>1336</v>
      </c>
      <c r="D436" s="27"/>
      <c r="E436" s="27"/>
      <c r="F436" s="27"/>
      <c r="G436" s="27"/>
      <c r="H436" s="70" t="s">
        <v>1337</v>
      </c>
      <c r="I436" s="176" t="s">
        <v>877</v>
      </c>
      <c r="J436" s="137" t="s">
        <v>600</v>
      </c>
      <c r="K436" s="117"/>
      <c r="L436" s="6"/>
      <c r="M436" s="6"/>
      <c r="N436" s="6"/>
      <c r="O436" s="44"/>
      <c r="P436" s="44"/>
      <c r="Q436" s="44"/>
      <c r="R436" s="53"/>
      <c r="S436" s="81"/>
      <c r="T436" s="81"/>
      <c r="U436" s="81"/>
      <c r="V436" s="53"/>
      <c r="W436" s="31"/>
      <c r="X436" s="9"/>
      <c r="Y436" s="11"/>
      <c r="Z436" s="80"/>
      <c r="AA436" s="65"/>
      <c r="AB436" s="65"/>
      <c r="AC436" s="65"/>
      <c r="AD436" s="36"/>
      <c r="AE436" s="31"/>
      <c r="AF436" s="9"/>
      <c r="AG436" s="6"/>
      <c r="AH436" s="6"/>
      <c r="AI436" s="6"/>
      <c r="AJ436" s="36"/>
      <c r="AK436" s="31"/>
      <c r="AL436" s="9"/>
      <c r="AM436" s="6"/>
      <c r="AN436" s="6"/>
      <c r="AO436" s="6"/>
      <c r="AP436" s="36"/>
    </row>
    <row r="437" spans="1:42">
      <c r="A437" s="30">
        <v>410</v>
      </c>
      <c r="B437" s="146"/>
      <c r="C437" s="143" t="s">
        <v>2015</v>
      </c>
      <c r="D437" s="27"/>
      <c r="E437" s="27"/>
      <c r="F437" s="27"/>
      <c r="G437" s="27"/>
      <c r="H437" s="70" t="s">
        <v>2016</v>
      </c>
      <c r="I437" s="176" t="s">
        <v>1545</v>
      </c>
      <c r="J437" s="137"/>
      <c r="K437" s="117"/>
      <c r="L437" s="6"/>
      <c r="M437" s="6"/>
      <c r="N437" s="6"/>
      <c r="O437" s="44"/>
      <c r="P437" s="44"/>
      <c r="Q437" s="44"/>
      <c r="R437" s="53"/>
      <c r="S437" s="81"/>
      <c r="T437" s="81"/>
      <c r="U437" s="81"/>
      <c r="V437" s="53"/>
      <c r="W437" s="31"/>
      <c r="X437" s="9"/>
      <c r="Y437" s="11"/>
      <c r="Z437" s="80"/>
      <c r="AA437" s="65"/>
      <c r="AB437" s="65"/>
      <c r="AC437" s="65"/>
      <c r="AD437" s="36"/>
      <c r="AE437" s="31"/>
      <c r="AF437" s="9"/>
      <c r="AG437" s="6"/>
      <c r="AH437" s="6"/>
      <c r="AI437" s="6"/>
      <c r="AJ437" s="36"/>
      <c r="AK437" s="31"/>
      <c r="AL437" s="9"/>
      <c r="AM437" s="6"/>
      <c r="AN437" s="6"/>
      <c r="AO437" s="6"/>
      <c r="AP437" s="36"/>
    </row>
    <row r="438" spans="1:42">
      <c r="A438" s="30">
        <v>411</v>
      </c>
      <c r="B438" s="146"/>
      <c r="C438" s="143" t="s">
        <v>1756</v>
      </c>
      <c r="D438" s="27"/>
      <c r="E438" s="27"/>
      <c r="F438" s="27"/>
      <c r="G438" s="27"/>
      <c r="H438" s="70" t="s">
        <v>1591</v>
      </c>
      <c r="I438" s="176" t="s">
        <v>828</v>
      </c>
      <c r="J438" s="137"/>
      <c r="K438" s="117"/>
      <c r="L438" s="6"/>
      <c r="M438" s="6"/>
      <c r="N438" s="6"/>
      <c r="O438" s="44"/>
      <c r="P438" s="44"/>
      <c r="Q438" s="44"/>
      <c r="R438" s="53"/>
      <c r="S438" s="81"/>
      <c r="T438" s="81"/>
      <c r="U438" s="81"/>
      <c r="V438" s="53"/>
      <c r="W438" s="31"/>
      <c r="X438" s="9"/>
      <c r="Y438" s="11"/>
      <c r="Z438" s="80"/>
      <c r="AA438" s="65"/>
      <c r="AB438" s="65"/>
      <c r="AC438" s="65"/>
      <c r="AD438" s="36"/>
      <c r="AE438" s="31"/>
      <c r="AF438" s="9"/>
      <c r="AG438" s="6"/>
      <c r="AH438" s="6"/>
      <c r="AI438" s="6"/>
      <c r="AJ438" s="36"/>
      <c r="AK438" s="31"/>
      <c r="AL438" s="9"/>
      <c r="AM438" s="6"/>
      <c r="AN438" s="6"/>
      <c r="AO438" s="6"/>
      <c r="AP438" s="36"/>
    </row>
    <row r="439" spans="1:42">
      <c r="A439" s="30">
        <v>412</v>
      </c>
      <c r="B439" s="146"/>
      <c r="C439" s="143" t="s">
        <v>1757</v>
      </c>
      <c r="D439" s="27"/>
      <c r="E439" s="27"/>
      <c r="F439" s="27"/>
      <c r="G439" s="27"/>
      <c r="H439" s="70" t="s">
        <v>1292</v>
      </c>
      <c r="I439" s="176" t="s">
        <v>1519</v>
      </c>
      <c r="J439" s="137"/>
      <c r="K439" s="117"/>
      <c r="L439" s="6"/>
      <c r="M439" s="6"/>
      <c r="N439" s="6"/>
      <c r="O439" s="44"/>
      <c r="P439" s="44"/>
      <c r="Q439" s="44"/>
      <c r="R439" s="53"/>
      <c r="S439" s="81"/>
      <c r="T439" s="81"/>
      <c r="U439" s="81"/>
      <c r="V439" s="53"/>
      <c r="W439" s="31"/>
      <c r="X439" s="9"/>
      <c r="Y439" s="11"/>
      <c r="Z439" s="80"/>
      <c r="AA439" s="65"/>
      <c r="AB439" s="65"/>
      <c r="AC439" s="65"/>
      <c r="AD439" s="36"/>
      <c r="AE439" s="31"/>
      <c r="AF439" s="9"/>
      <c r="AG439" s="6"/>
      <c r="AH439" s="6"/>
      <c r="AI439" s="6"/>
      <c r="AJ439" s="36"/>
      <c r="AK439" s="31"/>
      <c r="AL439" s="9"/>
      <c r="AM439" s="6"/>
      <c r="AN439" s="6"/>
      <c r="AO439" s="6"/>
      <c r="AP439" s="36"/>
    </row>
    <row r="440" spans="1:42">
      <c r="A440" s="30">
        <v>413</v>
      </c>
      <c r="B440" s="146"/>
      <c r="C440" s="143" t="s">
        <v>557</v>
      </c>
      <c r="D440" s="27"/>
      <c r="E440" s="27"/>
      <c r="F440" s="27"/>
      <c r="G440" s="27"/>
      <c r="H440" s="70" t="s">
        <v>725</v>
      </c>
      <c r="I440" s="176"/>
      <c r="J440" s="137"/>
      <c r="K440" s="117"/>
      <c r="L440" s="6"/>
      <c r="M440" s="6"/>
      <c r="N440" s="6"/>
      <c r="O440" s="44"/>
      <c r="P440" s="44"/>
      <c r="Q440" s="44"/>
      <c r="R440" s="53"/>
      <c r="S440" s="81"/>
      <c r="T440" s="81"/>
      <c r="U440" s="81"/>
      <c r="V440" s="53"/>
      <c r="W440" s="31"/>
      <c r="X440" s="9"/>
      <c r="Y440" s="11"/>
      <c r="Z440" s="80"/>
      <c r="AA440" s="65"/>
      <c r="AB440" s="65"/>
      <c r="AC440" s="65"/>
      <c r="AD440" s="36"/>
      <c r="AE440" s="31"/>
      <c r="AF440" s="9"/>
      <c r="AG440" s="6"/>
      <c r="AH440" s="6"/>
      <c r="AI440" s="6"/>
      <c r="AJ440" s="36"/>
      <c r="AK440" s="31"/>
      <c r="AL440" s="9"/>
      <c r="AM440" s="6"/>
      <c r="AN440" s="6"/>
      <c r="AO440" s="6"/>
      <c r="AP440" s="36"/>
    </row>
    <row r="441" spans="1:42">
      <c r="A441" s="30">
        <v>414</v>
      </c>
      <c r="B441" s="146"/>
      <c r="C441" s="143" t="s">
        <v>808</v>
      </c>
      <c r="D441" s="27"/>
      <c r="E441" s="27"/>
      <c r="F441" s="27"/>
      <c r="G441" s="27"/>
      <c r="H441" s="70" t="s">
        <v>1076</v>
      </c>
      <c r="I441" s="176" t="s">
        <v>828</v>
      </c>
      <c r="J441" s="137"/>
      <c r="K441" s="29"/>
      <c r="L441" s="11"/>
      <c r="M441" s="11"/>
      <c r="N441" s="11"/>
      <c r="O441" s="44"/>
      <c r="P441" s="44"/>
      <c r="Q441" s="44"/>
      <c r="R441" s="53"/>
      <c r="S441" s="45"/>
      <c r="T441" s="45"/>
      <c r="U441" s="45"/>
      <c r="V441" s="53"/>
      <c r="W441" s="31"/>
      <c r="X441" s="9"/>
      <c r="Y441" s="11"/>
      <c r="Z441" s="11"/>
      <c r="AA441" s="64"/>
      <c r="AB441" s="64"/>
      <c r="AC441" s="64"/>
      <c r="AD441" s="36"/>
      <c r="AE441" s="31"/>
      <c r="AF441" s="9"/>
      <c r="AG441" s="6"/>
      <c r="AH441" s="6"/>
      <c r="AI441" s="6"/>
      <c r="AJ441" s="36"/>
      <c r="AK441" s="31"/>
      <c r="AL441" s="9"/>
      <c r="AM441" s="6"/>
      <c r="AN441" s="6"/>
      <c r="AO441" s="6"/>
      <c r="AP441" s="36"/>
    </row>
    <row r="442" spans="1:42">
      <c r="A442" s="30">
        <v>415</v>
      </c>
      <c r="B442" s="146"/>
      <c r="C442" s="143" t="s">
        <v>1147</v>
      </c>
      <c r="D442" s="27"/>
      <c r="E442" s="27"/>
      <c r="F442" s="27"/>
      <c r="G442" s="27"/>
      <c r="H442" s="70" t="s">
        <v>1148</v>
      </c>
      <c r="I442" s="176"/>
      <c r="J442" s="137"/>
      <c r="K442" s="29"/>
      <c r="L442" s="11"/>
      <c r="M442" s="11"/>
      <c r="N442" s="11"/>
      <c r="O442" s="44"/>
      <c r="P442" s="44"/>
      <c r="Q442" s="44"/>
      <c r="R442" s="53"/>
      <c r="S442" s="45"/>
      <c r="T442" s="45"/>
      <c r="U442" s="45"/>
      <c r="V442" s="53"/>
      <c r="W442" s="31"/>
      <c r="X442" s="9"/>
      <c r="Y442" s="11"/>
      <c r="Z442" s="11"/>
      <c r="AA442" s="64"/>
      <c r="AB442" s="64"/>
      <c r="AC442" s="64"/>
      <c r="AD442" s="36"/>
      <c r="AE442" s="31"/>
      <c r="AF442" s="9"/>
      <c r="AG442" s="6"/>
      <c r="AH442" s="6"/>
      <c r="AI442" s="6"/>
      <c r="AJ442" s="36"/>
      <c r="AK442" s="31"/>
      <c r="AL442" s="9"/>
      <c r="AM442" s="6"/>
      <c r="AN442" s="6"/>
      <c r="AO442" s="6"/>
      <c r="AP442" s="36"/>
    </row>
    <row r="443" spans="1:42">
      <c r="A443" s="30">
        <v>416</v>
      </c>
      <c r="B443" s="146"/>
      <c r="C443" s="143" t="s">
        <v>387</v>
      </c>
      <c r="D443" s="27"/>
      <c r="E443" s="27"/>
      <c r="F443" s="27"/>
      <c r="G443" s="27"/>
      <c r="H443" s="70" t="s">
        <v>980</v>
      </c>
      <c r="I443" s="176" t="s">
        <v>901</v>
      </c>
      <c r="J443" s="136" t="s">
        <v>986</v>
      </c>
      <c r="K443" s="117"/>
      <c r="L443" s="6">
        <v>22860</v>
      </c>
      <c r="M443" s="6">
        <v>1143</v>
      </c>
      <c r="N443" s="6">
        <v>24003</v>
      </c>
      <c r="O443" s="44"/>
      <c r="P443" s="44"/>
      <c r="Q443" s="44"/>
      <c r="R443" s="53"/>
      <c r="S443" s="44"/>
      <c r="T443" s="44"/>
      <c r="U443" s="44"/>
      <c r="V443" s="53"/>
      <c r="W443" s="31"/>
      <c r="X443" s="9"/>
      <c r="Y443" s="11"/>
      <c r="Z443" s="11"/>
      <c r="AA443" s="63"/>
      <c r="AB443" s="63"/>
      <c r="AC443" s="63"/>
      <c r="AD443" s="36"/>
      <c r="AE443" s="31"/>
      <c r="AF443" s="9"/>
      <c r="AG443" s="6"/>
      <c r="AH443" s="6"/>
      <c r="AI443" s="6"/>
      <c r="AJ443" s="36"/>
      <c r="AK443" s="31"/>
      <c r="AL443" s="9"/>
      <c r="AM443" s="6"/>
      <c r="AN443" s="6"/>
      <c r="AO443" s="6"/>
      <c r="AP443" s="36"/>
    </row>
    <row r="444" spans="1:42">
      <c r="A444" s="30">
        <v>417</v>
      </c>
      <c r="B444" s="146"/>
      <c r="C444" s="143" t="s">
        <v>1351</v>
      </c>
      <c r="D444" s="27"/>
      <c r="E444" s="27"/>
      <c r="F444" s="27"/>
      <c r="G444" s="27"/>
      <c r="H444" s="70" t="s">
        <v>978</v>
      </c>
      <c r="I444" s="176" t="s">
        <v>823</v>
      </c>
      <c r="J444" s="137"/>
      <c r="K444" s="117"/>
      <c r="L444" s="6"/>
      <c r="M444" s="6"/>
      <c r="N444" s="6"/>
      <c r="O444" s="44"/>
      <c r="P444" s="44"/>
      <c r="Q444" s="44"/>
      <c r="R444" s="53"/>
      <c r="S444" s="44"/>
      <c r="T444" s="44"/>
      <c r="U444" s="44"/>
      <c r="V444" s="53"/>
      <c r="W444" s="31"/>
      <c r="X444" s="9"/>
      <c r="Y444" s="11"/>
      <c r="Z444" s="11"/>
      <c r="AA444" s="63"/>
      <c r="AB444" s="63"/>
      <c r="AC444" s="63"/>
      <c r="AD444" s="36"/>
      <c r="AE444" s="31"/>
      <c r="AF444" s="9"/>
      <c r="AG444" s="6"/>
      <c r="AH444" s="6"/>
      <c r="AI444" s="6"/>
      <c r="AJ444" s="36"/>
      <c r="AK444" s="31"/>
      <c r="AL444" s="9"/>
      <c r="AM444" s="6"/>
      <c r="AN444" s="6"/>
      <c r="AO444" s="6"/>
      <c r="AP444" s="36"/>
    </row>
    <row r="445" spans="1:42">
      <c r="A445" s="30">
        <v>418</v>
      </c>
      <c r="B445" s="146"/>
      <c r="C445" s="143" t="s">
        <v>1575</v>
      </c>
      <c r="D445" s="27"/>
      <c r="E445" s="27"/>
      <c r="F445" s="27"/>
      <c r="G445" s="27"/>
      <c r="H445" s="70" t="s">
        <v>752</v>
      </c>
      <c r="I445" s="176"/>
      <c r="J445" s="137"/>
      <c r="K445" s="117"/>
      <c r="L445" s="6"/>
      <c r="M445" s="6"/>
      <c r="N445" s="6"/>
      <c r="O445" s="44"/>
      <c r="P445" s="44"/>
      <c r="Q445" s="44"/>
      <c r="R445" s="53"/>
      <c r="S445" s="44"/>
      <c r="T445" s="44"/>
      <c r="U445" s="44"/>
      <c r="V445" s="53"/>
      <c r="W445" s="31"/>
      <c r="X445" s="9"/>
      <c r="Y445" s="11"/>
      <c r="Z445" s="11"/>
      <c r="AA445" s="63"/>
      <c r="AB445" s="63"/>
      <c r="AC445" s="63"/>
      <c r="AD445" s="36"/>
      <c r="AE445" s="31"/>
      <c r="AF445" s="9"/>
      <c r="AG445" s="6"/>
      <c r="AH445" s="6"/>
      <c r="AI445" s="6"/>
      <c r="AJ445" s="36"/>
      <c r="AK445" s="31"/>
      <c r="AL445" s="9"/>
      <c r="AM445" s="6"/>
      <c r="AN445" s="6"/>
      <c r="AO445" s="6"/>
      <c r="AP445" s="36"/>
    </row>
    <row r="446" spans="1:42">
      <c r="A446" s="30">
        <v>419</v>
      </c>
      <c r="B446" s="146"/>
      <c r="C446" s="143" t="s">
        <v>708</v>
      </c>
      <c r="D446" s="27"/>
      <c r="E446" s="27"/>
      <c r="F446" s="27"/>
      <c r="G446" s="27"/>
      <c r="H446" s="70" t="s">
        <v>979</v>
      </c>
      <c r="I446" s="176"/>
      <c r="J446" s="137"/>
      <c r="K446" s="117"/>
      <c r="L446" s="6"/>
      <c r="M446" s="6"/>
      <c r="N446" s="6"/>
      <c r="O446" s="44"/>
      <c r="P446" s="44"/>
      <c r="Q446" s="44"/>
      <c r="R446" s="53"/>
      <c r="S446" s="44"/>
      <c r="T446" s="44"/>
      <c r="U446" s="44"/>
      <c r="V446" s="53"/>
      <c r="W446" s="31"/>
      <c r="X446" s="9"/>
      <c r="Y446" s="11"/>
      <c r="Z446" s="11"/>
      <c r="AA446" s="63"/>
      <c r="AB446" s="63"/>
      <c r="AC446" s="63"/>
      <c r="AD446" s="36"/>
      <c r="AE446" s="31"/>
      <c r="AF446" s="9"/>
      <c r="AG446" s="6"/>
      <c r="AH446" s="6"/>
      <c r="AI446" s="6"/>
      <c r="AJ446" s="36"/>
      <c r="AK446" s="31"/>
      <c r="AL446" s="9"/>
      <c r="AM446" s="6"/>
      <c r="AN446" s="6"/>
      <c r="AO446" s="6"/>
      <c r="AP446" s="36"/>
    </row>
    <row r="447" spans="1:42">
      <c r="A447" s="30">
        <v>420</v>
      </c>
      <c r="B447" s="146"/>
      <c r="C447" s="143" t="s">
        <v>2087</v>
      </c>
      <c r="D447" s="27"/>
      <c r="E447" s="27"/>
      <c r="F447" s="27"/>
      <c r="G447" s="27"/>
      <c r="H447" s="70" t="s">
        <v>1011</v>
      </c>
      <c r="I447" s="176" t="s">
        <v>828</v>
      </c>
      <c r="J447" s="137"/>
      <c r="K447" s="117"/>
      <c r="L447" s="6"/>
      <c r="M447" s="6"/>
      <c r="N447" s="6"/>
      <c r="O447" s="44"/>
      <c r="P447" s="44"/>
      <c r="Q447" s="44"/>
      <c r="R447" s="53"/>
      <c r="S447" s="44"/>
      <c r="T447" s="44"/>
      <c r="U447" s="44"/>
      <c r="V447" s="53"/>
      <c r="W447" s="31"/>
      <c r="X447" s="9"/>
      <c r="Y447" s="11"/>
      <c r="Z447" s="11"/>
      <c r="AA447" s="63"/>
      <c r="AB447" s="63"/>
      <c r="AC447" s="63"/>
      <c r="AD447" s="36"/>
      <c r="AE447" s="31"/>
      <c r="AF447" s="9"/>
      <c r="AG447" s="6"/>
      <c r="AH447" s="6"/>
      <c r="AI447" s="6"/>
      <c r="AJ447" s="36"/>
      <c r="AK447" s="31"/>
      <c r="AL447" s="9"/>
      <c r="AM447" s="6"/>
      <c r="AN447" s="6"/>
      <c r="AO447" s="6"/>
      <c r="AP447" s="36"/>
    </row>
    <row r="448" spans="1:42">
      <c r="A448" s="30">
        <v>421</v>
      </c>
      <c r="B448" s="146"/>
      <c r="C448" s="143" t="s">
        <v>692</v>
      </c>
      <c r="D448" s="27"/>
      <c r="E448" s="27"/>
      <c r="F448" s="27"/>
      <c r="G448" s="27"/>
      <c r="H448" s="70" t="s">
        <v>874</v>
      </c>
      <c r="I448" s="176" t="s">
        <v>823</v>
      </c>
      <c r="J448" s="137"/>
      <c r="K448" s="117"/>
      <c r="L448" s="6"/>
      <c r="M448" s="6"/>
      <c r="N448" s="6"/>
      <c r="O448" s="44"/>
      <c r="P448" s="44"/>
      <c r="Q448" s="44"/>
      <c r="R448" s="53"/>
      <c r="S448" s="44"/>
      <c r="T448" s="44"/>
      <c r="U448" s="44"/>
      <c r="V448" s="53"/>
      <c r="W448" s="31"/>
      <c r="X448" s="9"/>
      <c r="Y448" s="11"/>
      <c r="Z448" s="11"/>
      <c r="AA448" s="63"/>
      <c r="AB448" s="63"/>
      <c r="AC448" s="63"/>
      <c r="AD448" s="36"/>
      <c r="AE448" s="31"/>
      <c r="AF448" s="9"/>
      <c r="AG448" s="6"/>
      <c r="AH448" s="6"/>
      <c r="AI448" s="6"/>
      <c r="AJ448" s="36"/>
      <c r="AK448" s="31"/>
      <c r="AL448" s="9"/>
      <c r="AM448" s="6"/>
      <c r="AN448" s="6"/>
      <c r="AO448" s="6"/>
      <c r="AP448" s="36"/>
    </row>
    <row r="449" spans="1:42">
      <c r="A449" s="30">
        <v>422</v>
      </c>
      <c r="B449" s="146"/>
      <c r="C449" s="143" t="s">
        <v>558</v>
      </c>
      <c r="D449" s="27"/>
      <c r="E449" s="27"/>
      <c r="F449" s="27"/>
      <c r="G449" s="27"/>
      <c r="H449" s="105" t="s">
        <v>753</v>
      </c>
      <c r="I449" s="177"/>
      <c r="J449" s="137" t="s">
        <v>598</v>
      </c>
      <c r="K449" s="119">
        <v>338152</v>
      </c>
      <c r="L449" s="6"/>
      <c r="M449" s="6"/>
      <c r="N449" s="6"/>
      <c r="O449" s="44"/>
      <c r="P449" s="44"/>
      <c r="Q449" s="44"/>
      <c r="R449" s="53"/>
      <c r="S449" s="44"/>
      <c r="T449" s="44"/>
      <c r="U449" s="44"/>
      <c r="V449" s="53"/>
      <c r="W449" s="31"/>
      <c r="X449" s="9"/>
      <c r="Y449" s="11"/>
      <c r="Z449" s="11"/>
      <c r="AA449" s="63"/>
      <c r="AB449" s="63"/>
      <c r="AC449" s="63"/>
      <c r="AD449" s="36"/>
      <c r="AE449" s="31"/>
      <c r="AF449" s="9"/>
      <c r="AG449" s="6"/>
      <c r="AH449" s="6"/>
      <c r="AI449" s="6"/>
      <c r="AJ449" s="36"/>
      <c r="AK449" s="31"/>
      <c r="AL449" s="9"/>
      <c r="AM449" s="6"/>
      <c r="AN449" s="6"/>
      <c r="AO449" s="6"/>
      <c r="AP449" s="36"/>
    </row>
    <row r="450" spans="1:42">
      <c r="A450" s="30">
        <v>423</v>
      </c>
      <c r="B450" s="146"/>
      <c r="C450" s="143" t="s">
        <v>1067</v>
      </c>
      <c r="D450" s="27"/>
      <c r="E450" s="27"/>
      <c r="F450" s="27"/>
      <c r="G450" s="27"/>
      <c r="H450" s="70" t="s">
        <v>814</v>
      </c>
      <c r="I450" s="176" t="s">
        <v>828</v>
      </c>
      <c r="J450" s="137"/>
      <c r="K450" s="119"/>
      <c r="L450" s="6"/>
      <c r="M450" s="6"/>
      <c r="N450" s="6"/>
      <c r="O450" s="44"/>
      <c r="P450" s="44"/>
      <c r="Q450" s="44"/>
      <c r="R450" s="53"/>
      <c r="S450" s="44"/>
      <c r="T450" s="44"/>
      <c r="U450" s="44"/>
      <c r="V450" s="53"/>
      <c r="W450" s="31"/>
      <c r="X450" s="9"/>
      <c r="Y450" s="11"/>
      <c r="Z450" s="11"/>
      <c r="AA450" s="63"/>
      <c r="AB450" s="63"/>
      <c r="AC450" s="63"/>
      <c r="AD450" s="36"/>
      <c r="AE450" s="31"/>
      <c r="AF450" s="9"/>
      <c r="AG450" s="6"/>
      <c r="AH450" s="6"/>
      <c r="AI450" s="6"/>
      <c r="AJ450" s="36"/>
      <c r="AK450" s="31"/>
      <c r="AL450" s="9"/>
      <c r="AM450" s="6"/>
      <c r="AN450" s="6"/>
      <c r="AO450" s="6"/>
      <c r="AP450" s="36"/>
    </row>
    <row r="451" spans="1:42">
      <c r="A451" s="30">
        <v>424</v>
      </c>
      <c r="B451" s="146"/>
      <c r="C451" s="143" t="s">
        <v>1112</v>
      </c>
      <c r="D451" s="27"/>
      <c r="E451" s="27"/>
      <c r="F451" s="27"/>
      <c r="G451" s="27"/>
      <c r="H451" s="70" t="s">
        <v>1113</v>
      </c>
      <c r="I451" s="176" t="s">
        <v>828</v>
      </c>
      <c r="J451" s="137"/>
      <c r="K451" s="117"/>
      <c r="L451" s="6"/>
      <c r="M451" s="6"/>
      <c r="N451" s="6"/>
      <c r="O451" s="44"/>
      <c r="P451" s="44"/>
      <c r="Q451" s="44"/>
      <c r="R451" s="53"/>
      <c r="S451" s="44"/>
      <c r="T451" s="44"/>
      <c r="U451" s="44"/>
      <c r="V451" s="53"/>
      <c r="W451" s="31"/>
      <c r="X451" s="9"/>
      <c r="Y451" s="11"/>
      <c r="Z451" s="11"/>
      <c r="AA451" s="63"/>
      <c r="AB451" s="63"/>
      <c r="AC451" s="63"/>
      <c r="AD451" s="36"/>
      <c r="AE451" s="31"/>
      <c r="AF451" s="9"/>
      <c r="AG451" s="6"/>
      <c r="AH451" s="6"/>
      <c r="AI451" s="6"/>
      <c r="AJ451" s="36"/>
      <c r="AK451" s="31"/>
      <c r="AL451" s="9"/>
      <c r="AM451" s="6"/>
      <c r="AN451" s="6"/>
      <c r="AO451" s="6"/>
      <c r="AP451" s="36"/>
    </row>
    <row r="452" spans="1:42">
      <c r="A452" s="30">
        <v>425</v>
      </c>
      <c r="B452" s="146"/>
      <c r="C452" s="143" t="s">
        <v>1598</v>
      </c>
      <c r="D452" s="27"/>
      <c r="E452" s="27"/>
      <c r="F452" s="27"/>
      <c r="G452" s="27"/>
      <c r="H452" s="70" t="s">
        <v>1599</v>
      </c>
      <c r="I452" s="176" t="s">
        <v>828</v>
      </c>
      <c r="J452" s="137"/>
      <c r="K452" s="117"/>
      <c r="L452" s="6"/>
      <c r="M452" s="6"/>
      <c r="N452" s="6"/>
      <c r="O452" s="44"/>
      <c r="P452" s="44"/>
      <c r="Q452" s="44"/>
      <c r="R452" s="53"/>
      <c r="S452" s="44"/>
      <c r="T452" s="44"/>
      <c r="U452" s="44"/>
      <c r="V452" s="53"/>
      <c r="W452" s="31"/>
      <c r="X452" s="9"/>
      <c r="Y452" s="11"/>
      <c r="Z452" s="11"/>
      <c r="AA452" s="63"/>
      <c r="AB452" s="63"/>
      <c r="AC452" s="63"/>
      <c r="AD452" s="36"/>
      <c r="AE452" s="31"/>
      <c r="AF452" s="9"/>
      <c r="AG452" s="6"/>
      <c r="AH452" s="6"/>
      <c r="AI452" s="6"/>
      <c r="AJ452" s="36"/>
      <c r="AK452" s="31"/>
      <c r="AL452" s="9"/>
      <c r="AM452" s="6"/>
      <c r="AN452" s="6"/>
      <c r="AO452" s="6"/>
      <c r="AP452" s="36"/>
    </row>
    <row r="453" spans="1:42">
      <c r="A453" s="30">
        <v>426</v>
      </c>
      <c r="B453" s="146"/>
      <c r="C453" s="143" t="s">
        <v>537</v>
      </c>
      <c r="D453" s="27"/>
      <c r="E453" s="27"/>
      <c r="F453" s="27"/>
      <c r="G453" s="27"/>
      <c r="H453" s="70" t="s">
        <v>529</v>
      </c>
      <c r="I453" s="176"/>
      <c r="J453" s="137" t="s">
        <v>586</v>
      </c>
      <c r="K453" s="117"/>
      <c r="L453" s="6"/>
      <c r="M453" s="6"/>
      <c r="N453" s="6"/>
      <c r="O453" s="44"/>
      <c r="P453" s="44"/>
      <c r="Q453" s="44"/>
      <c r="R453" s="53"/>
      <c r="S453" s="81"/>
      <c r="T453" s="81"/>
      <c r="U453" s="81"/>
      <c r="V453" s="53"/>
      <c r="W453" s="31"/>
      <c r="X453" s="9"/>
      <c r="Y453" s="11"/>
      <c r="Z453" s="80"/>
      <c r="AA453" s="65"/>
      <c r="AB453" s="65"/>
      <c r="AC453" s="65"/>
      <c r="AD453" s="36"/>
      <c r="AE453" s="31"/>
      <c r="AF453" s="9"/>
      <c r="AG453" s="6"/>
      <c r="AH453" s="6"/>
      <c r="AI453" s="6"/>
      <c r="AJ453" s="36"/>
      <c r="AK453" s="31"/>
      <c r="AL453" s="9"/>
      <c r="AM453" s="6"/>
      <c r="AN453" s="6"/>
      <c r="AO453" s="6"/>
      <c r="AP453" s="36"/>
    </row>
    <row r="454" spans="1:42">
      <c r="A454" s="30">
        <v>427</v>
      </c>
      <c r="B454" s="146"/>
      <c r="C454" s="143" t="s">
        <v>546</v>
      </c>
      <c r="D454" s="27"/>
      <c r="E454" s="27"/>
      <c r="F454" s="27"/>
      <c r="G454" s="27"/>
      <c r="H454" s="70" t="s">
        <v>754</v>
      </c>
      <c r="I454" s="176"/>
      <c r="J454" s="137"/>
      <c r="K454" s="117"/>
      <c r="L454" s="6"/>
      <c r="M454" s="6"/>
      <c r="N454" s="6"/>
      <c r="O454" s="44"/>
      <c r="P454" s="44"/>
      <c r="Q454" s="44"/>
      <c r="R454" s="53"/>
      <c r="S454" s="44"/>
      <c r="T454" s="44"/>
      <c r="U454" s="44"/>
      <c r="V454" s="53"/>
      <c r="W454" s="31"/>
      <c r="X454" s="9"/>
      <c r="Y454" s="11"/>
      <c r="Z454" s="11"/>
      <c r="AA454" s="63"/>
      <c r="AB454" s="63"/>
      <c r="AC454" s="63"/>
      <c r="AD454" s="36"/>
      <c r="AE454" s="31"/>
      <c r="AF454" s="9"/>
      <c r="AG454" s="6"/>
      <c r="AH454" s="6"/>
      <c r="AI454" s="6"/>
      <c r="AJ454" s="36"/>
      <c r="AK454" s="31"/>
      <c r="AL454" s="9"/>
      <c r="AM454" s="6"/>
      <c r="AN454" s="6"/>
      <c r="AO454" s="6"/>
      <c r="AP454" s="36"/>
    </row>
    <row r="455" spans="1:42">
      <c r="A455" s="30">
        <v>428</v>
      </c>
      <c r="B455" s="146"/>
      <c r="C455" s="143" t="s">
        <v>1370</v>
      </c>
      <c r="D455" s="27"/>
      <c r="E455" s="27"/>
      <c r="F455" s="27"/>
      <c r="G455" s="27"/>
      <c r="H455" s="70" t="s">
        <v>1388</v>
      </c>
      <c r="I455" s="176" t="s">
        <v>1371</v>
      </c>
      <c r="J455" s="139"/>
      <c r="K455" s="117"/>
      <c r="L455" s="6"/>
      <c r="M455" s="6"/>
      <c r="N455" s="6"/>
      <c r="O455" s="44"/>
      <c r="P455" s="44"/>
      <c r="Q455" s="44"/>
      <c r="R455" s="53"/>
      <c r="S455" s="44"/>
      <c r="T455" s="44"/>
      <c r="U455" s="44"/>
      <c r="V455" s="53"/>
      <c r="W455" s="31"/>
      <c r="X455" s="9"/>
      <c r="Y455" s="11"/>
      <c r="Z455" s="11"/>
      <c r="AA455" s="63"/>
      <c r="AB455" s="63"/>
      <c r="AC455" s="63"/>
      <c r="AD455" s="36"/>
      <c r="AE455" s="31"/>
      <c r="AF455" s="9"/>
      <c r="AG455" s="6"/>
      <c r="AH455" s="6"/>
      <c r="AI455" s="6"/>
      <c r="AJ455" s="36"/>
      <c r="AK455" s="31"/>
      <c r="AL455" s="9"/>
      <c r="AM455" s="6"/>
      <c r="AN455" s="6"/>
      <c r="AO455" s="6"/>
      <c r="AP455" s="36"/>
    </row>
    <row r="456" spans="1:42">
      <c r="A456" s="30">
        <v>429</v>
      </c>
      <c r="B456" s="146"/>
      <c r="C456" s="159" t="s">
        <v>1908</v>
      </c>
      <c r="D456" s="27"/>
      <c r="E456" s="27"/>
      <c r="F456" s="27"/>
      <c r="G456" s="27"/>
      <c r="H456" s="70" t="s">
        <v>1909</v>
      </c>
      <c r="I456" s="176" t="s">
        <v>1541</v>
      </c>
      <c r="J456" s="139"/>
      <c r="K456" s="29"/>
      <c r="L456" s="11"/>
      <c r="M456" s="11"/>
      <c r="N456" s="9"/>
      <c r="O456" s="44"/>
      <c r="P456" s="44"/>
      <c r="Q456" s="44"/>
      <c r="R456" s="53"/>
      <c r="S456" s="44"/>
      <c r="T456" s="46"/>
      <c r="U456" s="46"/>
      <c r="V456" s="53"/>
      <c r="W456" s="31"/>
      <c r="X456" s="9"/>
      <c r="Y456" s="11"/>
      <c r="Z456" s="11"/>
      <c r="AA456" s="63"/>
      <c r="AB456" s="63"/>
      <c r="AC456" s="63"/>
      <c r="AD456" s="36"/>
      <c r="AE456" s="31"/>
      <c r="AF456" s="9"/>
      <c r="AG456" s="6"/>
      <c r="AH456" s="6"/>
      <c r="AI456" s="6"/>
      <c r="AJ456" s="36"/>
      <c r="AK456" s="31"/>
      <c r="AL456" s="9"/>
      <c r="AM456" s="6"/>
      <c r="AN456" s="6"/>
      <c r="AO456" s="6"/>
      <c r="AP456" s="36"/>
    </row>
    <row r="457" spans="1:42">
      <c r="A457" s="30">
        <v>430</v>
      </c>
      <c r="B457" s="146"/>
      <c r="C457" s="143" t="s">
        <v>1130</v>
      </c>
      <c r="D457" s="27"/>
      <c r="E457" s="27"/>
      <c r="F457" s="27"/>
      <c r="G457" s="27"/>
      <c r="H457" s="70" t="s">
        <v>1131</v>
      </c>
      <c r="I457" s="176" t="s">
        <v>828</v>
      </c>
      <c r="J457" s="139"/>
      <c r="K457" s="29"/>
      <c r="L457" s="11"/>
      <c r="M457" s="11"/>
      <c r="N457" s="9"/>
      <c r="O457" s="44"/>
      <c r="P457" s="44"/>
      <c r="Q457" s="44"/>
      <c r="R457" s="53"/>
      <c r="S457" s="44"/>
      <c r="T457" s="46"/>
      <c r="U457" s="46"/>
      <c r="V457" s="53"/>
      <c r="W457" s="31"/>
      <c r="X457" s="9"/>
      <c r="Y457" s="11"/>
      <c r="Z457" s="11"/>
      <c r="AA457" s="63"/>
      <c r="AB457" s="63"/>
      <c r="AC457" s="63"/>
      <c r="AD457" s="36"/>
      <c r="AE457" s="31"/>
      <c r="AF457" s="9"/>
      <c r="AG457" s="6"/>
      <c r="AH457" s="6"/>
      <c r="AI457" s="6"/>
      <c r="AJ457" s="36"/>
      <c r="AK457" s="31"/>
      <c r="AL457" s="9"/>
      <c r="AM457" s="6"/>
      <c r="AN457" s="6"/>
      <c r="AO457" s="6"/>
      <c r="AP457" s="36"/>
    </row>
    <row r="458" spans="1:42">
      <c r="A458" s="30">
        <v>431</v>
      </c>
      <c r="B458" s="146"/>
      <c r="C458" s="143" t="s">
        <v>2112</v>
      </c>
      <c r="D458" s="27"/>
      <c r="E458" s="27"/>
      <c r="F458" s="27"/>
      <c r="G458" s="27"/>
      <c r="H458" s="70" t="s">
        <v>1620</v>
      </c>
      <c r="I458" s="176" t="s">
        <v>830</v>
      </c>
      <c r="J458" s="139"/>
      <c r="K458" s="29"/>
      <c r="L458" s="11"/>
      <c r="M458" s="11"/>
      <c r="N458" s="9"/>
      <c r="O458" s="44"/>
      <c r="P458" s="44"/>
      <c r="Q458" s="44"/>
      <c r="R458" s="53"/>
      <c r="S458" s="44"/>
      <c r="T458" s="46"/>
      <c r="U458" s="46"/>
      <c r="V458" s="53"/>
      <c r="W458" s="31"/>
      <c r="X458" s="9"/>
      <c r="Y458" s="11"/>
      <c r="Z458" s="11"/>
      <c r="AA458" s="63"/>
      <c r="AB458" s="63"/>
      <c r="AC458" s="63"/>
      <c r="AD458" s="36"/>
      <c r="AE458" s="31"/>
      <c r="AF458" s="9"/>
      <c r="AG458" s="6"/>
      <c r="AH458" s="6"/>
      <c r="AI458" s="6"/>
      <c r="AJ458" s="36"/>
      <c r="AK458" s="31"/>
      <c r="AL458" s="9"/>
      <c r="AM458" s="6"/>
      <c r="AN458" s="6"/>
      <c r="AO458" s="6"/>
      <c r="AP458" s="36"/>
    </row>
    <row r="459" spans="1:42">
      <c r="A459" s="30">
        <v>432</v>
      </c>
      <c r="B459" s="146"/>
      <c r="C459" s="143" t="s">
        <v>1325</v>
      </c>
      <c r="D459" s="27"/>
      <c r="E459" s="27"/>
      <c r="F459" s="27"/>
      <c r="G459" s="27"/>
      <c r="H459" s="70" t="s">
        <v>1205</v>
      </c>
      <c r="I459" s="176" t="s">
        <v>828</v>
      </c>
      <c r="J459" s="136"/>
      <c r="K459" s="117"/>
      <c r="L459" s="6"/>
      <c r="M459" s="6"/>
      <c r="N459" s="6"/>
      <c r="O459" s="44"/>
      <c r="P459" s="44"/>
      <c r="Q459" s="44"/>
      <c r="R459" s="53"/>
      <c r="S459" s="44"/>
      <c r="T459" s="44"/>
      <c r="U459" s="44"/>
      <c r="V459" s="53"/>
      <c r="W459" s="31"/>
      <c r="X459" s="9"/>
      <c r="Y459" s="11"/>
      <c r="Z459" s="11"/>
      <c r="AA459" s="63"/>
      <c r="AB459" s="63"/>
      <c r="AC459" s="63"/>
      <c r="AD459" s="36"/>
      <c r="AE459" s="31"/>
      <c r="AF459" s="9"/>
      <c r="AG459" s="6"/>
      <c r="AH459" s="6"/>
      <c r="AI459" s="6"/>
      <c r="AJ459" s="36"/>
      <c r="AK459" s="31"/>
      <c r="AL459" s="9"/>
      <c r="AM459" s="6"/>
      <c r="AN459" s="6"/>
      <c r="AO459" s="6"/>
      <c r="AP459" s="36"/>
    </row>
    <row r="460" spans="1:42">
      <c r="A460" s="30">
        <v>433</v>
      </c>
      <c r="B460" s="146"/>
      <c r="C460" s="160" t="s">
        <v>1032</v>
      </c>
      <c r="D460" s="27"/>
      <c r="E460" s="27"/>
      <c r="F460" s="27"/>
      <c r="G460" s="27"/>
      <c r="H460" s="70" t="s">
        <v>1007</v>
      </c>
      <c r="I460" s="176" t="s">
        <v>895</v>
      </c>
      <c r="J460" s="137" t="s">
        <v>630</v>
      </c>
      <c r="K460" s="117"/>
      <c r="L460" s="6"/>
      <c r="M460" s="6"/>
      <c r="N460" s="6"/>
      <c r="O460" s="44"/>
      <c r="P460" s="44"/>
      <c r="Q460" s="44"/>
      <c r="R460" s="53"/>
      <c r="S460" s="45"/>
      <c r="T460" s="45"/>
      <c r="U460" s="45"/>
      <c r="V460" s="53"/>
      <c r="W460" s="31"/>
      <c r="X460" s="9"/>
      <c r="Y460" s="11"/>
      <c r="Z460" s="11"/>
      <c r="AA460" s="65"/>
      <c r="AB460" s="65"/>
      <c r="AC460" s="65"/>
      <c r="AD460" s="36"/>
      <c r="AE460" s="31"/>
      <c r="AF460" s="9"/>
      <c r="AG460" s="6"/>
      <c r="AH460" s="6"/>
      <c r="AI460" s="6"/>
      <c r="AJ460" s="36"/>
      <c r="AK460" s="31"/>
      <c r="AL460" s="9"/>
      <c r="AM460" s="6"/>
      <c r="AN460" s="6"/>
      <c r="AO460" s="6"/>
      <c r="AP460" s="36"/>
    </row>
    <row r="461" spans="1:42">
      <c r="A461" s="30">
        <v>434</v>
      </c>
      <c r="B461" s="146"/>
      <c r="C461" s="159" t="s">
        <v>1033</v>
      </c>
      <c r="D461" s="27"/>
      <c r="E461" s="27"/>
      <c r="F461" s="27"/>
      <c r="G461" s="27"/>
      <c r="H461" s="70" t="s">
        <v>819</v>
      </c>
      <c r="I461" s="176" t="s">
        <v>842</v>
      </c>
      <c r="J461" s="137" t="s">
        <v>630</v>
      </c>
      <c r="K461" s="117"/>
      <c r="L461" s="6"/>
      <c r="M461" s="6"/>
      <c r="N461" s="6"/>
      <c r="O461" s="44"/>
      <c r="P461" s="44"/>
      <c r="Q461" s="44"/>
      <c r="R461" s="53"/>
      <c r="S461" s="45"/>
      <c r="T461" s="45"/>
      <c r="U461" s="45"/>
      <c r="V461" s="53"/>
      <c r="W461" s="31"/>
      <c r="X461" s="9"/>
      <c r="Y461" s="11"/>
      <c r="Z461" s="11"/>
      <c r="AA461" s="65"/>
      <c r="AB461" s="65"/>
      <c r="AC461" s="65"/>
      <c r="AD461" s="36"/>
      <c r="AE461" s="31"/>
      <c r="AF461" s="9"/>
      <c r="AG461" s="6"/>
      <c r="AH461" s="6"/>
      <c r="AI461" s="6"/>
      <c r="AJ461" s="36"/>
      <c r="AK461" s="31"/>
      <c r="AL461" s="9"/>
      <c r="AM461" s="6"/>
      <c r="AN461" s="6"/>
      <c r="AO461" s="6"/>
      <c r="AP461" s="36"/>
    </row>
    <row r="462" spans="1:42">
      <c r="A462" s="30">
        <v>435</v>
      </c>
      <c r="B462" s="146"/>
      <c r="C462" s="159" t="s">
        <v>1155</v>
      </c>
      <c r="D462" s="27"/>
      <c r="E462" s="27"/>
      <c r="F462" s="27"/>
      <c r="G462" s="27"/>
      <c r="H462" s="70" t="s">
        <v>1156</v>
      </c>
      <c r="I462" s="176" t="s">
        <v>1157</v>
      </c>
      <c r="J462" s="137" t="s">
        <v>630</v>
      </c>
      <c r="K462" s="117"/>
      <c r="L462" s="6"/>
      <c r="M462" s="6"/>
      <c r="N462" s="6"/>
      <c r="O462" s="44"/>
      <c r="P462" s="44"/>
      <c r="Q462" s="44"/>
      <c r="R462" s="53"/>
      <c r="S462" s="45"/>
      <c r="T462" s="45"/>
      <c r="U462" s="45"/>
      <c r="V462" s="53"/>
      <c r="W462" s="31"/>
      <c r="X462" s="9"/>
      <c r="Y462" s="11"/>
      <c r="Z462" s="11"/>
      <c r="AA462" s="65"/>
      <c r="AB462" s="65"/>
      <c r="AC462" s="65"/>
      <c r="AD462" s="36"/>
      <c r="AE462" s="31"/>
      <c r="AF462" s="9"/>
      <c r="AG462" s="6"/>
      <c r="AH462" s="6"/>
      <c r="AI462" s="6"/>
      <c r="AJ462" s="36"/>
      <c r="AK462" s="31"/>
      <c r="AL462" s="9"/>
      <c r="AM462" s="6"/>
      <c r="AN462" s="6"/>
      <c r="AO462" s="6"/>
      <c r="AP462" s="36"/>
    </row>
    <row r="463" spans="1:42">
      <c r="A463" s="30">
        <v>436</v>
      </c>
      <c r="B463" s="146"/>
      <c r="C463" s="159" t="s">
        <v>669</v>
      </c>
      <c r="D463" s="27"/>
      <c r="E463" s="27"/>
      <c r="F463" s="27"/>
      <c r="G463" s="27"/>
      <c r="H463" s="70" t="s">
        <v>755</v>
      </c>
      <c r="I463" s="176"/>
      <c r="J463" s="137"/>
      <c r="K463" s="117"/>
      <c r="L463" s="6"/>
      <c r="M463" s="6"/>
      <c r="N463" s="6"/>
      <c r="O463" s="44"/>
      <c r="P463" s="44"/>
      <c r="Q463" s="44"/>
      <c r="R463" s="53"/>
      <c r="S463" s="45"/>
      <c r="T463" s="45"/>
      <c r="U463" s="45"/>
      <c r="V463" s="53"/>
      <c r="W463" s="31"/>
      <c r="X463" s="9"/>
      <c r="Y463" s="11"/>
      <c r="Z463" s="11"/>
      <c r="AA463" s="65"/>
      <c r="AB463" s="65"/>
      <c r="AC463" s="65"/>
      <c r="AD463" s="36"/>
      <c r="AE463" s="31"/>
      <c r="AF463" s="9"/>
      <c r="AG463" s="6"/>
      <c r="AH463" s="6"/>
      <c r="AI463" s="6"/>
      <c r="AJ463" s="36"/>
      <c r="AK463" s="31"/>
      <c r="AL463" s="9"/>
      <c r="AM463" s="6"/>
      <c r="AN463" s="6"/>
      <c r="AO463" s="6"/>
      <c r="AP463" s="36"/>
    </row>
    <row r="464" spans="1:42">
      <c r="A464" s="30">
        <v>437</v>
      </c>
      <c r="B464" s="146"/>
      <c r="C464" s="159" t="s">
        <v>1123</v>
      </c>
      <c r="D464" s="27"/>
      <c r="E464" s="27"/>
      <c r="F464" s="27"/>
      <c r="G464" s="27"/>
      <c r="H464" s="70" t="s">
        <v>1124</v>
      </c>
      <c r="I464" s="176" t="s">
        <v>821</v>
      </c>
      <c r="J464" s="137"/>
      <c r="K464" s="117"/>
      <c r="L464" s="6"/>
      <c r="M464" s="6"/>
      <c r="N464" s="6"/>
      <c r="O464" s="44"/>
      <c r="P464" s="44"/>
      <c r="Q464" s="44"/>
      <c r="R464" s="53"/>
      <c r="S464" s="45"/>
      <c r="T464" s="45"/>
      <c r="U464" s="45"/>
      <c r="V464" s="53"/>
      <c r="W464" s="31"/>
      <c r="X464" s="9"/>
      <c r="Y464" s="11"/>
      <c r="Z464" s="11"/>
      <c r="AA464" s="65"/>
      <c r="AB464" s="65"/>
      <c r="AC464" s="65"/>
      <c r="AD464" s="36"/>
      <c r="AE464" s="31"/>
      <c r="AF464" s="9"/>
      <c r="AG464" s="6"/>
      <c r="AH464" s="6"/>
      <c r="AI464" s="6"/>
      <c r="AJ464" s="36"/>
      <c r="AK464" s="31"/>
      <c r="AL464" s="9"/>
      <c r="AM464" s="6"/>
      <c r="AN464" s="6"/>
      <c r="AO464" s="6"/>
      <c r="AP464" s="36"/>
    </row>
    <row r="465" spans="1:42">
      <c r="A465" s="30">
        <v>438</v>
      </c>
      <c r="B465" s="146"/>
      <c r="C465" s="159" t="s">
        <v>1065</v>
      </c>
      <c r="D465" s="27"/>
      <c r="E465" s="27"/>
      <c r="F465" s="27"/>
      <c r="G465" s="27"/>
      <c r="H465" s="70" t="s">
        <v>1066</v>
      </c>
      <c r="I465" s="176" t="s">
        <v>821</v>
      </c>
      <c r="J465" s="137"/>
      <c r="K465" s="29"/>
      <c r="L465" s="11"/>
      <c r="M465" s="11"/>
      <c r="N465" s="11"/>
      <c r="O465" s="44"/>
      <c r="P465" s="44"/>
      <c r="Q465" s="44"/>
      <c r="R465" s="53"/>
      <c r="S465" s="44"/>
      <c r="T465" s="46"/>
      <c r="U465" s="46"/>
      <c r="V465" s="53"/>
      <c r="W465" s="31"/>
      <c r="X465" s="9"/>
      <c r="Y465" s="11"/>
      <c r="Z465" s="11"/>
      <c r="AA465" s="63"/>
      <c r="AB465" s="63"/>
      <c r="AC465" s="63"/>
      <c r="AD465" s="36"/>
      <c r="AE465" s="31"/>
      <c r="AF465" s="9"/>
      <c r="AG465" s="6"/>
      <c r="AH465" s="6"/>
      <c r="AI465" s="6"/>
      <c r="AJ465" s="36"/>
      <c r="AK465" s="31"/>
      <c r="AL465" s="25"/>
      <c r="AM465" s="6"/>
      <c r="AN465" s="6"/>
      <c r="AO465" s="6"/>
      <c r="AP465" s="36"/>
    </row>
    <row r="466" spans="1:42">
      <c r="A466" s="30">
        <v>439</v>
      </c>
      <c r="B466" s="146"/>
      <c r="C466" s="159" t="s">
        <v>1670</v>
      </c>
      <c r="D466" s="27"/>
      <c r="E466" s="27"/>
      <c r="F466" s="27"/>
      <c r="G466" s="27"/>
      <c r="H466" s="70" t="s">
        <v>1671</v>
      </c>
      <c r="I466" s="176" t="s">
        <v>1543</v>
      </c>
      <c r="J466" s="137"/>
      <c r="K466" s="29"/>
      <c r="L466" s="11"/>
      <c r="M466" s="11"/>
      <c r="N466" s="11"/>
      <c r="O466" s="44"/>
      <c r="P466" s="44"/>
      <c r="Q466" s="44"/>
      <c r="R466" s="53"/>
      <c r="S466" s="44"/>
      <c r="T466" s="46"/>
      <c r="U466" s="46"/>
      <c r="V466" s="53"/>
      <c r="W466" s="31"/>
      <c r="X466" s="9"/>
      <c r="Y466" s="11"/>
      <c r="Z466" s="11"/>
      <c r="AA466" s="63"/>
      <c r="AB466" s="63"/>
      <c r="AC466" s="63"/>
      <c r="AD466" s="36"/>
      <c r="AE466" s="31"/>
      <c r="AF466" s="9"/>
      <c r="AG466" s="6"/>
      <c r="AH466" s="6"/>
      <c r="AI466" s="6"/>
      <c r="AJ466" s="36"/>
      <c r="AK466" s="31"/>
      <c r="AL466" s="25"/>
      <c r="AM466" s="6"/>
      <c r="AN466" s="6"/>
      <c r="AO466" s="6"/>
      <c r="AP466" s="36"/>
    </row>
    <row r="467" spans="1:42">
      <c r="A467" s="30">
        <v>440</v>
      </c>
      <c r="B467" s="146"/>
      <c r="C467" s="143" t="s">
        <v>1349</v>
      </c>
      <c r="D467" s="27"/>
      <c r="E467" s="27"/>
      <c r="F467" s="27"/>
      <c r="G467" s="27"/>
      <c r="H467" s="70" t="s">
        <v>1350</v>
      </c>
      <c r="I467" s="176" t="s">
        <v>1545</v>
      </c>
      <c r="J467" s="136"/>
      <c r="K467" s="117"/>
      <c r="L467" s="6"/>
      <c r="M467" s="6"/>
      <c r="N467" s="6"/>
      <c r="O467" s="44"/>
      <c r="P467" s="44"/>
      <c r="Q467" s="44"/>
      <c r="R467" s="53"/>
      <c r="S467" s="44"/>
      <c r="T467" s="44"/>
      <c r="U467" s="44"/>
      <c r="V467" s="53"/>
      <c r="W467" s="31"/>
      <c r="X467" s="9"/>
      <c r="Y467" s="11"/>
      <c r="Z467" s="11"/>
      <c r="AA467" s="63"/>
      <c r="AB467" s="63"/>
      <c r="AC467" s="63"/>
      <c r="AD467" s="36"/>
      <c r="AE467" s="31"/>
      <c r="AF467" s="9"/>
      <c r="AG467" s="6"/>
      <c r="AH467" s="6"/>
      <c r="AI467" s="6"/>
      <c r="AJ467" s="36"/>
      <c r="AK467" s="31"/>
      <c r="AL467" s="9"/>
      <c r="AM467" s="6"/>
      <c r="AN467" s="6"/>
      <c r="AO467" s="6"/>
      <c r="AP467" s="36"/>
    </row>
    <row r="468" spans="1:42">
      <c r="A468" s="30">
        <v>441</v>
      </c>
      <c r="B468" s="146"/>
      <c r="C468" s="143" t="s">
        <v>1983</v>
      </c>
      <c r="D468" s="27"/>
      <c r="E468" s="27"/>
      <c r="F468" s="27"/>
      <c r="G468" s="27"/>
      <c r="H468" s="70" t="s">
        <v>1985</v>
      </c>
      <c r="I468" s="176" t="s">
        <v>1984</v>
      </c>
      <c r="J468" s="136"/>
      <c r="K468" s="117"/>
      <c r="L468" s="6"/>
      <c r="M468" s="6"/>
      <c r="N468" s="6"/>
      <c r="O468" s="44"/>
      <c r="P468" s="44"/>
      <c r="Q468" s="44"/>
      <c r="R468" s="53"/>
      <c r="S468" s="44"/>
      <c r="T468" s="44"/>
      <c r="U468" s="44"/>
      <c r="V468" s="53"/>
      <c r="W468" s="31"/>
      <c r="X468" s="9"/>
      <c r="Y468" s="11"/>
      <c r="Z468" s="11"/>
      <c r="AA468" s="63"/>
      <c r="AB468" s="63"/>
      <c r="AC468" s="63"/>
      <c r="AD468" s="36"/>
      <c r="AE468" s="31"/>
      <c r="AF468" s="9"/>
      <c r="AG468" s="6"/>
      <c r="AH468" s="6"/>
      <c r="AI468" s="6"/>
      <c r="AJ468" s="36"/>
      <c r="AK468" s="31"/>
      <c r="AL468" s="9"/>
      <c r="AM468" s="6"/>
      <c r="AN468" s="6"/>
      <c r="AO468" s="6"/>
      <c r="AP468" s="36"/>
    </row>
    <row r="469" spans="1:42">
      <c r="A469" s="30">
        <v>442</v>
      </c>
      <c r="B469" s="146"/>
      <c r="C469" s="143" t="s">
        <v>1849</v>
      </c>
      <c r="D469" s="27"/>
      <c r="E469" s="27"/>
      <c r="F469" s="27"/>
      <c r="G469" s="27"/>
      <c r="H469" s="70" t="s">
        <v>1741</v>
      </c>
      <c r="I469" s="176" t="s">
        <v>1545</v>
      </c>
      <c r="J469" s="136"/>
      <c r="K469" s="117"/>
      <c r="L469" s="6"/>
      <c r="M469" s="6"/>
      <c r="N469" s="6"/>
      <c r="O469" s="44"/>
      <c r="P469" s="44"/>
      <c r="Q469" s="44"/>
      <c r="R469" s="53"/>
      <c r="S469" s="44"/>
      <c r="T469" s="44"/>
      <c r="U469" s="44"/>
      <c r="V469" s="53"/>
      <c r="W469" s="31"/>
      <c r="X469" s="9"/>
      <c r="Y469" s="11"/>
      <c r="Z469" s="11"/>
      <c r="AA469" s="63"/>
      <c r="AB469" s="63"/>
      <c r="AC469" s="63"/>
      <c r="AD469" s="36"/>
      <c r="AE469" s="31"/>
      <c r="AF469" s="9"/>
      <c r="AG469" s="6"/>
      <c r="AH469" s="6"/>
      <c r="AI469" s="6"/>
      <c r="AJ469" s="36"/>
      <c r="AK469" s="31"/>
      <c r="AL469" s="9"/>
      <c r="AM469" s="6"/>
      <c r="AN469" s="6"/>
      <c r="AO469" s="6"/>
      <c r="AP469" s="36"/>
    </row>
    <row r="470" spans="1:42" ht="27">
      <c r="A470" s="30">
        <v>443</v>
      </c>
      <c r="B470" s="146"/>
      <c r="C470" s="143" t="s">
        <v>1268</v>
      </c>
      <c r="D470" s="27"/>
      <c r="E470" s="27"/>
      <c r="F470" s="27"/>
      <c r="G470" s="27"/>
      <c r="H470" s="70" t="s">
        <v>1120</v>
      </c>
      <c r="I470" s="176" t="s">
        <v>1159</v>
      </c>
      <c r="J470" s="136" t="s">
        <v>779</v>
      </c>
      <c r="K470" s="117"/>
      <c r="L470" s="6"/>
      <c r="M470" s="6"/>
      <c r="N470" s="6"/>
      <c r="O470" s="44"/>
      <c r="P470" s="44"/>
      <c r="Q470" s="44"/>
      <c r="R470" s="53"/>
      <c r="S470" s="44"/>
      <c r="T470" s="44"/>
      <c r="U470" s="44"/>
      <c r="V470" s="53"/>
      <c r="W470" s="31"/>
      <c r="X470" s="9"/>
      <c r="Y470" s="11"/>
      <c r="Z470" s="11"/>
      <c r="AA470" s="63"/>
      <c r="AB470" s="63"/>
      <c r="AC470" s="63"/>
      <c r="AD470" s="36"/>
      <c r="AE470" s="31"/>
      <c r="AF470" s="9"/>
      <c r="AG470" s="6"/>
      <c r="AH470" s="6"/>
      <c r="AI470" s="6"/>
      <c r="AJ470" s="36"/>
      <c r="AK470" s="31"/>
      <c r="AL470" s="9"/>
      <c r="AM470" s="6"/>
      <c r="AN470" s="6"/>
      <c r="AO470" s="6"/>
      <c r="AP470" s="36"/>
    </row>
    <row r="471" spans="1:42" ht="27">
      <c r="A471" s="30">
        <v>444</v>
      </c>
      <c r="B471" s="146"/>
      <c r="C471" s="143" t="s">
        <v>1703</v>
      </c>
      <c r="D471" s="27"/>
      <c r="E471" s="27"/>
      <c r="F471" s="27"/>
      <c r="G471" s="27"/>
      <c r="H471" s="70" t="s">
        <v>1704</v>
      </c>
      <c r="I471" s="176" t="s">
        <v>1159</v>
      </c>
      <c r="J471" s="136"/>
      <c r="K471" s="117"/>
      <c r="L471" s="6"/>
      <c r="M471" s="6"/>
      <c r="N471" s="6"/>
      <c r="O471" s="44"/>
      <c r="P471" s="44"/>
      <c r="Q471" s="44"/>
      <c r="R471" s="53"/>
      <c r="S471" s="44"/>
      <c r="T471" s="44"/>
      <c r="U471" s="44"/>
      <c r="V471" s="53"/>
      <c r="W471" s="31"/>
      <c r="X471" s="9"/>
      <c r="Y471" s="11"/>
      <c r="Z471" s="11"/>
      <c r="AA471" s="63"/>
      <c r="AB471" s="63"/>
      <c r="AC471" s="63"/>
      <c r="AD471" s="36"/>
      <c r="AE471" s="31"/>
      <c r="AF471" s="9"/>
      <c r="AG471" s="6"/>
      <c r="AH471" s="6"/>
      <c r="AI471" s="6"/>
      <c r="AJ471" s="36"/>
      <c r="AK471" s="31"/>
      <c r="AL471" s="9"/>
      <c r="AM471" s="6"/>
      <c r="AN471" s="6"/>
      <c r="AO471" s="6"/>
      <c r="AP471" s="36"/>
    </row>
    <row r="472" spans="1:42">
      <c r="A472" s="30">
        <v>445</v>
      </c>
      <c r="B472" s="146"/>
      <c r="C472" s="143" t="s">
        <v>1967</v>
      </c>
      <c r="D472" s="27"/>
      <c r="E472" s="27"/>
      <c r="F472" s="27"/>
      <c r="G472" s="27"/>
      <c r="H472" s="70" t="s">
        <v>1968</v>
      </c>
      <c r="I472" s="176" t="s">
        <v>828</v>
      </c>
      <c r="J472" s="137"/>
      <c r="K472" s="29"/>
      <c r="L472" s="11">
        <v>51900</v>
      </c>
      <c r="M472" s="11">
        <v>2595</v>
      </c>
      <c r="N472" s="11">
        <v>54495</v>
      </c>
      <c r="O472" s="44"/>
      <c r="P472" s="44"/>
      <c r="Q472" s="44"/>
      <c r="R472" s="53"/>
      <c r="S472" s="44"/>
      <c r="T472" s="46"/>
      <c r="U472" s="46"/>
      <c r="V472" s="53"/>
      <c r="W472" s="31"/>
      <c r="X472" s="9"/>
      <c r="Y472" s="11"/>
      <c r="Z472" s="11"/>
      <c r="AA472" s="63"/>
      <c r="AB472" s="63"/>
      <c r="AC472" s="63"/>
      <c r="AD472" s="36"/>
      <c r="AE472" s="31"/>
      <c r="AF472" s="9"/>
      <c r="AG472" s="6"/>
      <c r="AH472" s="6"/>
      <c r="AI472" s="6"/>
      <c r="AJ472" s="36"/>
      <c r="AK472" s="31"/>
      <c r="AL472" s="9"/>
      <c r="AM472" s="6"/>
      <c r="AN472" s="6"/>
      <c r="AO472" s="6"/>
      <c r="AP472" s="36"/>
    </row>
    <row r="473" spans="1:42">
      <c r="A473" s="30">
        <v>446</v>
      </c>
      <c r="B473" s="146"/>
      <c r="C473" s="143" t="s">
        <v>1510</v>
      </c>
      <c r="D473" s="27"/>
      <c r="E473" s="27"/>
      <c r="F473" s="27"/>
      <c r="G473" s="27"/>
      <c r="H473" s="70" t="s">
        <v>1539</v>
      </c>
      <c r="I473" s="176"/>
      <c r="J473" s="139" t="s">
        <v>608</v>
      </c>
      <c r="K473" s="29"/>
      <c r="L473" s="11"/>
      <c r="M473" s="11"/>
      <c r="N473" s="9"/>
      <c r="O473" s="44"/>
      <c r="P473" s="44"/>
      <c r="Q473" s="44"/>
      <c r="R473" s="53"/>
      <c r="S473" s="44"/>
      <c r="T473" s="46"/>
      <c r="U473" s="46"/>
      <c r="V473" s="53"/>
      <c r="W473" s="31"/>
      <c r="X473" s="9"/>
      <c r="Y473" s="11"/>
      <c r="Z473" s="11"/>
      <c r="AA473" s="63"/>
      <c r="AB473" s="63"/>
      <c r="AC473" s="63"/>
      <c r="AD473" s="36"/>
      <c r="AE473" s="31"/>
      <c r="AF473" s="9"/>
      <c r="AG473" s="6"/>
      <c r="AH473" s="6"/>
      <c r="AI473" s="6"/>
      <c r="AJ473" s="36"/>
      <c r="AK473" s="31"/>
      <c r="AL473" s="9"/>
      <c r="AM473" s="6"/>
      <c r="AN473" s="6"/>
      <c r="AO473" s="6"/>
      <c r="AP473" s="36"/>
    </row>
    <row r="474" spans="1:42">
      <c r="A474" s="30">
        <v>447</v>
      </c>
      <c r="B474" s="146"/>
      <c r="C474" s="143" t="s">
        <v>1429</v>
      </c>
      <c r="D474" s="27"/>
      <c r="E474" s="27"/>
      <c r="F474" s="27"/>
      <c r="G474" s="27"/>
      <c r="H474" s="70" t="s">
        <v>1430</v>
      </c>
      <c r="I474" s="176" t="s">
        <v>1431</v>
      </c>
      <c r="J474" s="137"/>
      <c r="K474" s="117"/>
      <c r="L474" s="6">
        <v>51240</v>
      </c>
      <c r="M474" s="6">
        <v>2562</v>
      </c>
      <c r="N474" s="6">
        <v>53802</v>
      </c>
      <c r="O474" s="6"/>
      <c r="P474" s="6"/>
      <c r="Q474" s="6"/>
      <c r="R474" s="29"/>
      <c r="S474" s="6"/>
      <c r="T474" s="6"/>
      <c r="U474" s="6"/>
      <c r="V474" s="29"/>
      <c r="W474" s="31"/>
      <c r="X474" s="9"/>
      <c r="Y474" s="11"/>
      <c r="Z474" s="11"/>
      <c r="AA474" s="6"/>
      <c r="AB474" s="6"/>
      <c r="AC474" s="6"/>
      <c r="AD474" s="36"/>
      <c r="AE474" s="31"/>
      <c r="AF474" s="9"/>
      <c r="AG474" s="6"/>
      <c r="AH474" s="6"/>
      <c r="AI474" s="6"/>
      <c r="AJ474" s="36"/>
      <c r="AK474" s="31"/>
      <c r="AL474" s="9"/>
      <c r="AM474" s="6"/>
      <c r="AN474" s="6"/>
      <c r="AO474" s="6"/>
      <c r="AP474" s="36"/>
    </row>
    <row r="475" spans="1:42">
      <c r="A475" s="30">
        <v>448</v>
      </c>
      <c r="B475" s="146"/>
      <c r="C475" s="143" t="s">
        <v>1780</v>
      </c>
      <c r="D475" s="27"/>
      <c r="E475" s="27"/>
      <c r="F475" s="27"/>
      <c r="G475" s="27"/>
      <c r="H475" s="70" t="s">
        <v>1781</v>
      </c>
      <c r="I475" s="176" t="s">
        <v>828</v>
      </c>
      <c r="J475" s="137"/>
      <c r="K475" s="117"/>
      <c r="L475" s="6"/>
      <c r="M475" s="6"/>
      <c r="N475" s="6"/>
      <c r="O475" s="6"/>
      <c r="P475" s="6"/>
      <c r="Q475" s="6"/>
      <c r="R475" s="29"/>
      <c r="S475" s="6"/>
      <c r="T475" s="6"/>
      <c r="U475" s="6"/>
      <c r="V475" s="29"/>
      <c r="W475" s="31"/>
      <c r="X475" s="9"/>
      <c r="Y475" s="11"/>
      <c r="Z475" s="11"/>
      <c r="AA475" s="6"/>
      <c r="AB475" s="6"/>
      <c r="AC475" s="6"/>
      <c r="AD475" s="36"/>
      <c r="AE475" s="31"/>
      <c r="AF475" s="9"/>
      <c r="AG475" s="6"/>
      <c r="AH475" s="6"/>
      <c r="AI475" s="6"/>
      <c r="AJ475" s="36"/>
      <c r="AK475" s="31"/>
      <c r="AL475" s="9"/>
      <c r="AM475" s="6"/>
      <c r="AN475" s="6"/>
      <c r="AO475" s="6"/>
      <c r="AP475" s="36"/>
    </row>
    <row r="476" spans="1:42">
      <c r="A476" s="30">
        <v>449</v>
      </c>
      <c r="B476" s="146"/>
      <c r="C476" s="143" t="s">
        <v>1862</v>
      </c>
      <c r="D476" s="27"/>
      <c r="E476" s="27"/>
      <c r="F476" s="27"/>
      <c r="G476" s="27"/>
      <c r="H476" s="70" t="s">
        <v>1868</v>
      </c>
      <c r="I476" s="176" t="s">
        <v>828</v>
      </c>
      <c r="J476" s="137"/>
      <c r="K476" s="117"/>
      <c r="L476" s="6"/>
      <c r="M476" s="6"/>
      <c r="N476" s="6"/>
      <c r="O476" s="6"/>
      <c r="P476" s="6"/>
      <c r="Q476" s="6"/>
      <c r="R476" s="29"/>
      <c r="S476" s="6"/>
      <c r="T476" s="6"/>
      <c r="U476" s="6"/>
      <c r="V476" s="29"/>
      <c r="W476" s="31"/>
      <c r="X476" s="9"/>
      <c r="Y476" s="11"/>
      <c r="Z476" s="11"/>
      <c r="AA476" s="6"/>
      <c r="AB476" s="6"/>
      <c r="AC476" s="6"/>
      <c r="AD476" s="36"/>
      <c r="AE476" s="31"/>
      <c r="AF476" s="9"/>
      <c r="AG476" s="6"/>
      <c r="AH476" s="6"/>
      <c r="AI476" s="6"/>
      <c r="AJ476" s="36"/>
      <c r="AK476" s="31"/>
      <c r="AL476" s="9"/>
      <c r="AM476" s="6"/>
      <c r="AN476" s="6"/>
      <c r="AO476" s="6"/>
      <c r="AP476" s="36"/>
    </row>
    <row r="477" spans="1:42" ht="27">
      <c r="A477" s="30">
        <v>450</v>
      </c>
      <c r="B477" s="146"/>
      <c r="C477" s="143" t="s">
        <v>1516</v>
      </c>
      <c r="D477" s="27"/>
      <c r="E477" s="27"/>
      <c r="F477" s="27"/>
      <c r="G477" s="27"/>
      <c r="H477" s="70" t="s">
        <v>1517</v>
      </c>
      <c r="I477" s="176" t="s">
        <v>909</v>
      </c>
      <c r="J477" s="137"/>
      <c r="K477" s="117"/>
      <c r="L477" s="6"/>
      <c r="M477" s="6"/>
      <c r="N477" s="6"/>
      <c r="O477" s="6"/>
      <c r="P477" s="6"/>
      <c r="Q477" s="6"/>
      <c r="R477" s="29"/>
      <c r="S477" s="6"/>
      <c r="T477" s="6"/>
      <c r="U477" s="6"/>
      <c r="V477" s="29"/>
      <c r="W477" s="31"/>
      <c r="X477" s="9"/>
      <c r="Y477" s="11"/>
      <c r="Z477" s="11"/>
      <c r="AA477" s="6"/>
      <c r="AB477" s="6"/>
      <c r="AC477" s="6"/>
      <c r="AD477" s="36"/>
      <c r="AE477" s="31"/>
      <c r="AF477" s="9"/>
      <c r="AG477" s="6"/>
      <c r="AH477" s="6"/>
      <c r="AI477" s="6"/>
      <c r="AJ477" s="36"/>
      <c r="AK477" s="31"/>
      <c r="AL477" s="9"/>
      <c r="AM477" s="6"/>
      <c r="AN477" s="6"/>
      <c r="AO477" s="6"/>
      <c r="AP477" s="36"/>
    </row>
    <row r="478" spans="1:42">
      <c r="A478" s="30">
        <v>451</v>
      </c>
      <c r="B478" s="146"/>
      <c r="C478" s="143" t="s">
        <v>404</v>
      </c>
      <c r="D478" s="27"/>
      <c r="E478" s="27"/>
      <c r="F478" s="27"/>
      <c r="G478" s="27"/>
      <c r="H478" s="70" t="s">
        <v>1230</v>
      </c>
      <c r="I478" s="176" t="s">
        <v>828</v>
      </c>
      <c r="J478" s="137"/>
      <c r="K478" s="29"/>
      <c r="L478" s="11">
        <v>2200</v>
      </c>
      <c r="M478" s="11">
        <v>110</v>
      </c>
      <c r="N478" s="11">
        <v>2310</v>
      </c>
      <c r="O478" s="44"/>
      <c r="P478" s="44"/>
      <c r="Q478" s="44"/>
      <c r="R478" s="53"/>
      <c r="S478" s="44"/>
      <c r="T478" s="46"/>
      <c r="U478" s="46"/>
      <c r="V478" s="53"/>
      <c r="W478" s="31"/>
      <c r="X478" s="9"/>
      <c r="Y478" s="11"/>
      <c r="Z478" s="11"/>
      <c r="AA478" s="63"/>
      <c r="AB478" s="63"/>
      <c r="AC478" s="63"/>
      <c r="AD478" s="36"/>
      <c r="AE478" s="31"/>
      <c r="AF478" s="9"/>
      <c r="AG478" s="6"/>
      <c r="AH478" s="6"/>
      <c r="AI478" s="6"/>
      <c r="AJ478" s="36"/>
      <c r="AK478" s="31"/>
      <c r="AL478" s="9"/>
      <c r="AM478" s="6"/>
      <c r="AN478" s="6"/>
      <c r="AO478" s="6"/>
      <c r="AP478" s="36"/>
    </row>
    <row r="479" spans="1:42">
      <c r="A479" s="30">
        <v>452</v>
      </c>
      <c r="B479" s="146"/>
      <c r="C479" s="143" t="s">
        <v>787</v>
      </c>
      <c r="D479" s="27"/>
      <c r="E479" s="27"/>
      <c r="F479" s="27"/>
      <c r="G479" s="27"/>
      <c r="H479" s="70" t="s">
        <v>866</v>
      </c>
      <c r="I479" s="176" t="s">
        <v>1545</v>
      </c>
      <c r="J479" s="137"/>
      <c r="K479" s="29"/>
      <c r="L479" s="11"/>
      <c r="M479" s="11"/>
      <c r="N479" s="11"/>
      <c r="O479" s="44"/>
      <c r="P479" s="44"/>
      <c r="Q479" s="44"/>
      <c r="R479" s="53"/>
      <c r="S479" s="44"/>
      <c r="T479" s="46"/>
      <c r="U479" s="46"/>
      <c r="V479" s="53"/>
      <c r="W479" s="31"/>
      <c r="X479" s="9"/>
      <c r="Y479" s="11"/>
      <c r="Z479" s="11"/>
      <c r="AA479" s="63"/>
      <c r="AB479" s="63"/>
      <c r="AC479" s="63"/>
      <c r="AD479" s="36"/>
      <c r="AE479" s="31"/>
      <c r="AF479" s="9"/>
      <c r="AG479" s="6"/>
      <c r="AH479" s="6"/>
      <c r="AI479" s="6"/>
      <c r="AJ479" s="36"/>
      <c r="AK479" s="31"/>
      <c r="AL479" s="9"/>
      <c r="AM479" s="6"/>
      <c r="AN479" s="6"/>
      <c r="AO479" s="6"/>
      <c r="AP479" s="36"/>
    </row>
    <row r="480" spans="1:42">
      <c r="A480" s="30">
        <v>453</v>
      </c>
      <c r="B480" s="146"/>
      <c r="C480" s="143" t="s">
        <v>1684</v>
      </c>
      <c r="D480" s="27"/>
      <c r="E480" s="27"/>
      <c r="F480" s="27"/>
      <c r="G480" s="27"/>
      <c r="H480" s="70" t="s">
        <v>1685</v>
      </c>
      <c r="I480" s="176" t="s">
        <v>823</v>
      </c>
      <c r="J480" s="137"/>
      <c r="K480" s="29"/>
      <c r="L480" s="11"/>
      <c r="M480" s="11"/>
      <c r="N480" s="11"/>
      <c r="O480" s="44"/>
      <c r="P480" s="44"/>
      <c r="Q480" s="44"/>
      <c r="R480" s="53"/>
      <c r="S480" s="44"/>
      <c r="T480" s="46"/>
      <c r="U480" s="46"/>
      <c r="V480" s="53"/>
      <c r="W480" s="31"/>
      <c r="X480" s="9"/>
      <c r="Y480" s="11"/>
      <c r="Z480" s="11"/>
      <c r="AA480" s="63"/>
      <c r="AB480" s="63"/>
      <c r="AC480" s="63"/>
      <c r="AD480" s="36"/>
      <c r="AE480" s="31"/>
      <c r="AF480" s="9"/>
      <c r="AG480" s="6"/>
      <c r="AH480" s="6"/>
      <c r="AI480" s="6"/>
      <c r="AJ480" s="36"/>
      <c r="AK480" s="31"/>
      <c r="AL480" s="9"/>
      <c r="AM480" s="6"/>
      <c r="AN480" s="6"/>
      <c r="AO480" s="6"/>
      <c r="AP480" s="36"/>
    </row>
    <row r="481" spans="1:42">
      <c r="A481" s="30">
        <v>454</v>
      </c>
      <c r="B481" s="146"/>
      <c r="C481" s="143" t="s">
        <v>1592</v>
      </c>
      <c r="D481" s="27"/>
      <c r="E481" s="27"/>
      <c r="F481" s="27"/>
      <c r="G481" s="27"/>
      <c r="H481" s="70" t="s">
        <v>1593</v>
      </c>
      <c r="I481" s="176" t="s">
        <v>823</v>
      </c>
      <c r="J481" s="137"/>
      <c r="K481" s="29"/>
      <c r="L481" s="11"/>
      <c r="M481" s="11"/>
      <c r="N481" s="11"/>
      <c r="O481" s="44"/>
      <c r="P481" s="44"/>
      <c r="Q481" s="44"/>
      <c r="R481" s="53"/>
      <c r="S481" s="44"/>
      <c r="T481" s="46"/>
      <c r="U481" s="46"/>
      <c r="V481" s="53"/>
      <c r="W481" s="31"/>
      <c r="X481" s="9"/>
      <c r="Y481" s="11"/>
      <c r="Z481" s="11"/>
      <c r="AA481" s="63"/>
      <c r="AB481" s="63"/>
      <c r="AC481" s="63"/>
      <c r="AD481" s="36"/>
      <c r="AE481" s="31"/>
      <c r="AF481" s="9"/>
      <c r="AG481" s="6"/>
      <c r="AH481" s="6"/>
      <c r="AI481" s="6"/>
      <c r="AJ481" s="36"/>
      <c r="AK481" s="31"/>
      <c r="AL481" s="9"/>
      <c r="AM481" s="6"/>
      <c r="AN481" s="6"/>
      <c r="AO481" s="6"/>
      <c r="AP481" s="36"/>
    </row>
    <row r="482" spans="1:42">
      <c r="A482" s="30">
        <v>455</v>
      </c>
      <c r="B482" s="146"/>
      <c r="C482" s="164" t="s">
        <v>796</v>
      </c>
      <c r="D482" s="154"/>
      <c r="E482" s="154"/>
      <c r="F482" s="154"/>
      <c r="G482" s="154"/>
      <c r="H482" s="155" t="s">
        <v>797</v>
      </c>
      <c r="I482" s="190" t="s">
        <v>823</v>
      </c>
      <c r="J482" s="137"/>
      <c r="K482" s="29"/>
      <c r="L482" s="11"/>
      <c r="M482" s="11"/>
      <c r="N482" s="11"/>
      <c r="O482" s="44"/>
      <c r="P482" s="44"/>
      <c r="Q482" s="44"/>
      <c r="R482" s="53"/>
      <c r="S482" s="44"/>
      <c r="T482" s="46"/>
      <c r="U482" s="46"/>
      <c r="V482" s="53"/>
      <c r="W482" s="31"/>
      <c r="X482" s="9"/>
      <c r="Y482" s="11"/>
      <c r="Z482" s="11"/>
      <c r="AA482" s="63"/>
      <c r="AB482" s="63"/>
      <c r="AC482" s="63"/>
      <c r="AD482" s="36"/>
      <c r="AE482" s="31"/>
      <c r="AF482" s="9"/>
      <c r="AG482" s="6"/>
      <c r="AH482" s="6"/>
      <c r="AI482" s="6"/>
      <c r="AJ482" s="36"/>
      <c r="AK482" s="31"/>
      <c r="AL482" s="9"/>
      <c r="AM482" s="6"/>
      <c r="AN482" s="6"/>
      <c r="AO482" s="6"/>
      <c r="AP482" s="36"/>
    </row>
    <row r="483" spans="1:42">
      <c r="A483" s="30">
        <v>456</v>
      </c>
      <c r="B483" s="146"/>
      <c r="C483" s="163" t="s">
        <v>1672</v>
      </c>
      <c r="D483" s="245"/>
      <c r="E483" s="245"/>
      <c r="F483" s="245"/>
      <c r="G483" s="245"/>
      <c r="H483" s="246" t="s">
        <v>1673</v>
      </c>
      <c r="I483" s="176" t="s">
        <v>842</v>
      </c>
      <c r="J483" s="137" t="s">
        <v>1590</v>
      </c>
      <c r="K483" s="29"/>
      <c r="L483" s="11"/>
      <c r="M483" s="11"/>
      <c r="N483" s="11"/>
      <c r="O483" s="44"/>
      <c r="P483" s="44"/>
      <c r="Q483" s="44"/>
      <c r="R483" s="53"/>
      <c r="S483" s="44"/>
      <c r="T483" s="46"/>
      <c r="U483" s="46"/>
      <c r="V483" s="53"/>
      <c r="W483" s="31"/>
      <c r="X483" s="9"/>
      <c r="Y483" s="11"/>
      <c r="Z483" s="11"/>
      <c r="AA483" s="63"/>
      <c r="AB483" s="63"/>
      <c r="AC483" s="63"/>
      <c r="AD483" s="36"/>
      <c r="AE483" s="31"/>
      <c r="AF483" s="9"/>
      <c r="AG483" s="6"/>
      <c r="AH483" s="6"/>
      <c r="AI483" s="6"/>
      <c r="AJ483" s="36"/>
      <c r="AK483" s="31"/>
      <c r="AL483" s="9"/>
      <c r="AM483" s="6"/>
      <c r="AN483" s="6"/>
      <c r="AO483" s="6"/>
      <c r="AP483" s="36"/>
    </row>
    <row r="484" spans="1:42">
      <c r="A484" s="30">
        <v>457</v>
      </c>
      <c r="B484" s="146"/>
      <c r="C484" s="143" t="s">
        <v>1039</v>
      </c>
      <c r="D484" s="27"/>
      <c r="E484" s="27"/>
      <c r="F484" s="27"/>
      <c r="G484" s="27"/>
      <c r="H484" s="70" t="s">
        <v>768</v>
      </c>
      <c r="I484" s="176"/>
      <c r="J484" s="137"/>
      <c r="K484" s="117"/>
      <c r="L484" s="6">
        <v>0</v>
      </c>
      <c r="M484" s="6">
        <v>0</v>
      </c>
      <c r="N484" s="6">
        <v>0</v>
      </c>
      <c r="O484" s="44"/>
      <c r="P484" s="44"/>
      <c r="Q484" s="44"/>
      <c r="R484" s="53"/>
      <c r="S484" s="44"/>
      <c r="T484" s="44"/>
      <c r="U484" s="44"/>
      <c r="V484" s="53"/>
      <c r="W484" s="31"/>
      <c r="X484" s="9"/>
      <c r="Y484" s="11"/>
      <c r="Z484" s="11"/>
      <c r="AA484" s="63"/>
      <c r="AB484" s="63"/>
      <c r="AC484" s="63"/>
      <c r="AD484" s="36"/>
      <c r="AE484" s="31"/>
      <c r="AF484" s="9"/>
      <c r="AG484" s="6"/>
      <c r="AH484" s="6"/>
      <c r="AI484" s="6"/>
      <c r="AJ484" s="36"/>
      <c r="AK484" s="31"/>
      <c r="AL484" s="9"/>
      <c r="AM484" s="6"/>
      <c r="AN484" s="6"/>
      <c r="AO484" s="6"/>
      <c r="AP484" s="36"/>
    </row>
    <row r="485" spans="1:42">
      <c r="A485" s="30">
        <v>458</v>
      </c>
      <c r="B485" s="146"/>
      <c r="C485" s="143" t="s">
        <v>1259</v>
      </c>
      <c r="D485" s="27"/>
      <c r="E485" s="27"/>
      <c r="F485" s="27"/>
      <c r="G485" s="27"/>
      <c r="H485" s="70" t="s">
        <v>882</v>
      </c>
      <c r="I485" s="176" t="s">
        <v>823</v>
      </c>
      <c r="J485" s="137"/>
      <c r="K485" s="117"/>
      <c r="L485" s="6"/>
      <c r="M485" s="6"/>
      <c r="N485" s="6"/>
      <c r="O485" s="44"/>
      <c r="P485" s="44"/>
      <c r="Q485" s="44"/>
      <c r="R485" s="53"/>
      <c r="S485" s="44"/>
      <c r="T485" s="44"/>
      <c r="U485" s="44"/>
      <c r="V485" s="53"/>
      <c r="W485" s="31"/>
      <c r="X485" s="9"/>
      <c r="Y485" s="11"/>
      <c r="Z485" s="11"/>
      <c r="AA485" s="63"/>
      <c r="AB485" s="63"/>
      <c r="AC485" s="63"/>
      <c r="AD485" s="36"/>
      <c r="AE485" s="31"/>
      <c r="AF485" s="9"/>
      <c r="AG485" s="6"/>
      <c r="AH485" s="6"/>
      <c r="AI485" s="6"/>
      <c r="AJ485" s="36"/>
      <c r="AK485" s="31"/>
      <c r="AL485" s="9"/>
      <c r="AM485" s="6"/>
      <c r="AN485" s="6"/>
      <c r="AO485" s="6"/>
      <c r="AP485" s="36"/>
    </row>
    <row r="486" spans="1:42">
      <c r="A486" s="30">
        <v>459</v>
      </c>
      <c r="B486" s="146"/>
      <c r="C486" s="143" t="s">
        <v>1021</v>
      </c>
      <c r="D486" s="27"/>
      <c r="E486" s="27"/>
      <c r="F486" s="27"/>
      <c r="G486" s="27"/>
      <c r="H486" s="70" t="s">
        <v>1022</v>
      </c>
      <c r="I486" s="176" t="s">
        <v>828</v>
      </c>
      <c r="J486" s="137"/>
      <c r="K486" s="117"/>
      <c r="L486" s="6"/>
      <c r="M486" s="6"/>
      <c r="N486" s="6"/>
      <c r="O486" s="44"/>
      <c r="P486" s="44"/>
      <c r="Q486" s="44"/>
      <c r="R486" s="53"/>
      <c r="S486" s="44"/>
      <c r="T486" s="44"/>
      <c r="U486" s="44"/>
      <c r="V486" s="53"/>
      <c r="W486" s="31"/>
      <c r="X486" s="9"/>
      <c r="Y486" s="11"/>
      <c r="Z486" s="11"/>
      <c r="AA486" s="63"/>
      <c r="AB486" s="63"/>
      <c r="AC486" s="63"/>
      <c r="AD486" s="36"/>
      <c r="AE486" s="31"/>
      <c r="AF486" s="9"/>
      <c r="AG486" s="6"/>
      <c r="AH486" s="6"/>
      <c r="AI486" s="6"/>
      <c r="AJ486" s="36"/>
      <c r="AK486" s="31"/>
      <c r="AL486" s="9"/>
      <c r="AM486" s="6"/>
      <c r="AN486" s="6"/>
      <c r="AO486" s="6"/>
      <c r="AP486" s="36"/>
    </row>
    <row r="487" spans="1:42">
      <c r="A487" s="30">
        <v>460</v>
      </c>
      <c r="B487" s="146"/>
      <c r="C487" s="143" t="s">
        <v>1562</v>
      </c>
      <c r="D487" s="27"/>
      <c r="E487" s="27"/>
      <c r="F487" s="27"/>
      <c r="G487" s="27"/>
      <c r="H487" s="70" t="s">
        <v>1563</v>
      </c>
      <c r="I487" s="176"/>
      <c r="J487" s="136" t="s">
        <v>588</v>
      </c>
      <c r="K487" s="117"/>
      <c r="L487" s="6"/>
      <c r="M487" s="6"/>
      <c r="N487" s="6"/>
      <c r="O487" s="44"/>
      <c r="P487" s="44"/>
      <c r="Q487" s="44"/>
      <c r="R487" s="53"/>
      <c r="S487" s="44"/>
      <c r="T487" s="44"/>
      <c r="U487" s="44"/>
      <c r="V487" s="53"/>
      <c r="W487" s="31"/>
      <c r="X487" s="9"/>
      <c r="Y487" s="11"/>
      <c r="Z487" s="11"/>
      <c r="AA487" s="63"/>
      <c r="AB487" s="63"/>
      <c r="AC487" s="63"/>
      <c r="AD487" s="36"/>
      <c r="AE487" s="31"/>
      <c r="AF487" s="9"/>
      <c r="AG487" s="6"/>
      <c r="AH487" s="6"/>
      <c r="AI487" s="6"/>
      <c r="AJ487" s="36"/>
      <c r="AK487" s="31"/>
      <c r="AL487" s="9"/>
      <c r="AM487" s="6"/>
      <c r="AN487" s="6"/>
      <c r="AO487" s="6"/>
      <c r="AP487" s="36"/>
    </row>
    <row r="488" spans="1:42">
      <c r="A488" s="30">
        <v>461</v>
      </c>
      <c r="B488" s="146"/>
      <c r="C488" s="143" t="s">
        <v>678</v>
      </c>
      <c r="D488" s="27"/>
      <c r="E488" s="27"/>
      <c r="F488" s="27"/>
      <c r="G488" s="27"/>
      <c r="H488" s="70" t="s">
        <v>756</v>
      </c>
      <c r="I488" s="176"/>
      <c r="J488" s="136" t="s">
        <v>679</v>
      </c>
      <c r="K488" s="117"/>
      <c r="L488" s="6"/>
      <c r="M488" s="6"/>
      <c r="N488" s="6"/>
      <c r="O488" s="44"/>
      <c r="P488" s="44"/>
      <c r="Q488" s="44"/>
      <c r="R488" s="53"/>
      <c r="S488" s="44"/>
      <c r="T488" s="44"/>
      <c r="U488" s="44"/>
      <c r="V488" s="53"/>
      <c r="W488" s="31"/>
      <c r="X488" s="9"/>
      <c r="Y488" s="11"/>
      <c r="Z488" s="11"/>
      <c r="AA488" s="63"/>
      <c r="AB488" s="63"/>
      <c r="AC488" s="63"/>
      <c r="AD488" s="36"/>
      <c r="AE488" s="31"/>
      <c r="AF488" s="9"/>
      <c r="AG488" s="6"/>
      <c r="AH488" s="6"/>
      <c r="AI488" s="6"/>
      <c r="AJ488" s="36"/>
      <c r="AK488" s="31"/>
      <c r="AL488" s="9"/>
      <c r="AM488" s="6"/>
      <c r="AN488" s="6"/>
      <c r="AO488" s="6"/>
      <c r="AP488" s="36"/>
    </row>
    <row r="489" spans="1:42">
      <c r="A489" s="30">
        <v>462</v>
      </c>
      <c r="B489" s="146"/>
      <c r="C489" s="143" t="s">
        <v>1265</v>
      </c>
      <c r="D489" s="27"/>
      <c r="E489" s="27"/>
      <c r="F489" s="27"/>
      <c r="G489" s="27"/>
      <c r="H489" s="70" t="s">
        <v>1266</v>
      </c>
      <c r="I489" s="176"/>
      <c r="J489" s="136"/>
      <c r="K489" s="117"/>
      <c r="L489" s="6"/>
      <c r="M489" s="6"/>
      <c r="N489" s="6"/>
      <c r="O489" s="44"/>
      <c r="P489" s="44"/>
      <c r="Q489" s="44"/>
      <c r="R489" s="53"/>
      <c r="S489" s="44"/>
      <c r="T489" s="44"/>
      <c r="U489" s="44"/>
      <c r="V489" s="53"/>
      <c r="W489" s="31"/>
      <c r="X489" s="9"/>
      <c r="Y489" s="11"/>
      <c r="Z489" s="11"/>
      <c r="AA489" s="63"/>
      <c r="AB489" s="63"/>
      <c r="AC489" s="63"/>
      <c r="AD489" s="36"/>
      <c r="AE489" s="31"/>
      <c r="AF489" s="9"/>
      <c r="AG489" s="6"/>
      <c r="AH489" s="6"/>
      <c r="AI489" s="6"/>
      <c r="AJ489" s="36"/>
      <c r="AK489" s="31"/>
      <c r="AL489" s="9"/>
      <c r="AM489" s="6"/>
      <c r="AN489" s="6"/>
      <c r="AO489" s="6"/>
      <c r="AP489" s="36"/>
    </row>
    <row r="490" spans="1:42">
      <c r="A490" s="30">
        <v>463</v>
      </c>
      <c r="B490" s="146"/>
      <c r="C490" s="143" t="s">
        <v>1248</v>
      </c>
      <c r="D490" s="27"/>
      <c r="E490" s="27"/>
      <c r="F490" s="27"/>
      <c r="G490" s="27"/>
      <c r="H490" s="70" t="s">
        <v>1249</v>
      </c>
      <c r="I490" s="176" t="s">
        <v>823</v>
      </c>
      <c r="J490" s="137"/>
      <c r="K490" s="117"/>
      <c r="L490" s="6">
        <v>68760</v>
      </c>
      <c r="M490" s="6">
        <v>3438</v>
      </c>
      <c r="N490" s="6">
        <v>72198</v>
      </c>
      <c r="O490" s="44"/>
      <c r="P490" s="44"/>
      <c r="Q490" s="44"/>
      <c r="R490" s="53"/>
      <c r="S490" s="44"/>
      <c r="T490" s="44"/>
      <c r="U490" s="44"/>
      <c r="V490" s="53"/>
      <c r="W490" s="31"/>
      <c r="X490" s="9"/>
      <c r="Y490" s="11"/>
      <c r="Z490" s="11"/>
      <c r="AA490" s="63"/>
      <c r="AB490" s="63"/>
      <c r="AC490" s="63"/>
      <c r="AD490" s="36"/>
      <c r="AE490" s="31"/>
      <c r="AF490" s="9"/>
      <c r="AG490" s="6"/>
      <c r="AH490" s="6"/>
      <c r="AI490" s="6"/>
      <c r="AJ490" s="36"/>
      <c r="AK490" s="31"/>
      <c r="AL490" s="9"/>
      <c r="AM490" s="6"/>
      <c r="AN490" s="6"/>
      <c r="AO490" s="6"/>
      <c r="AP490" s="36"/>
    </row>
    <row r="491" spans="1:42">
      <c r="A491" s="30">
        <v>464</v>
      </c>
      <c r="B491" s="146"/>
      <c r="C491" s="143" t="s">
        <v>1319</v>
      </c>
      <c r="D491" s="27"/>
      <c r="E491" s="27"/>
      <c r="F491" s="27"/>
      <c r="G491" s="27"/>
      <c r="H491" s="70" t="s">
        <v>1320</v>
      </c>
      <c r="I491" s="176" t="s">
        <v>823</v>
      </c>
      <c r="J491" s="137" t="s">
        <v>605</v>
      </c>
      <c r="K491" s="117"/>
      <c r="L491" s="6"/>
      <c r="M491" s="6"/>
      <c r="N491" s="6"/>
      <c r="O491" s="44"/>
      <c r="P491" s="44"/>
      <c r="Q491" s="44"/>
      <c r="R491" s="53"/>
      <c r="S491" s="44"/>
      <c r="T491" s="44"/>
      <c r="U491" s="44"/>
      <c r="V491" s="53"/>
      <c r="W491" s="31"/>
      <c r="X491" s="9"/>
      <c r="Y491" s="11"/>
      <c r="Z491" s="11"/>
      <c r="AA491" s="63"/>
      <c r="AB491" s="63"/>
      <c r="AC491" s="63"/>
      <c r="AD491" s="36"/>
      <c r="AE491" s="31"/>
      <c r="AF491" s="9"/>
      <c r="AG491" s="6"/>
      <c r="AH491" s="6"/>
      <c r="AI491" s="6"/>
      <c r="AJ491" s="36"/>
      <c r="AK491" s="31"/>
      <c r="AL491" s="9"/>
      <c r="AM491" s="6"/>
      <c r="AN491" s="6"/>
      <c r="AO491" s="6"/>
      <c r="AP491" s="36"/>
    </row>
    <row r="492" spans="1:42">
      <c r="A492" s="30">
        <v>465</v>
      </c>
      <c r="B492" s="146"/>
      <c r="C492" s="143" t="s">
        <v>1644</v>
      </c>
      <c r="D492" s="27"/>
      <c r="E492" s="27"/>
      <c r="F492" s="27"/>
      <c r="G492" s="27"/>
      <c r="H492" s="70" t="s">
        <v>1645</v>
      </c>
      <c r="I492" s="176" t="s">
        <v>878</v>
      </c>
      <c r="J492" s="137"/>
      <c r="K492" s="117"/>
      <c r="L492" s="6"/>
      <c r="M492" s="6"/>
      <c r="N492" s="6"/>
      <c r="O492" s="44"/>
      <c r="P492" s="44"/>
      <c r="Q492" s="44"/>
      <c r="R492" s="53"/>
      <c r="S492" s="44"/>
      <c r="T492" s="44"/>
      <c r="U492" s="44"/>
      <c r="V492" s="53"/>
      <c r="W492" s="31"/>
      <c r="X492" s="9"/>
      <c r="Y492" s="11"/>
      <c r="Z492" s="11"/>
      <c r="AA492" s="63"/>
      <c r="AB492" s="63"/>
      <c r="AC492" s="63"/>
      <c r="AD492" s="36"/>
      <c r="AE492" s="31"/>
      <c r="AF492" s="9"/>
      <c r="AG492" s="6"/>
      <c r="AH492" s="6"/>
      <c r="AI492" s="6"/>
      <c r="AJ492" s="36"/>
      <c r="AK492" s="31"/>
      <c r="AL492" s="9"/>
      <c r="AM492" s="6"/>
      <c r="AN492" s="6"/>
      <c r="AO492" s="6"/>
      <c r="AP492" s="36"/>
    </row>
    <row r="493" spans="1:42">
      <c r="A493" s="30">
        <v>466</v>
      </c>
      <c r="B493" s="146"/>
      <c r="C493" s="143" t="s">
        <v>1443</v>
      </c>
      <c r="D493" s="27"/>
      <c r="E493" s="27"/>
      <c r="F493" s="27"/>
      <c r="G493" s="27"/>
      <c r="H493" s="105" t="s">
        <v>1024</v>
      </c>
      <c r="I493" s="177" t="s">
        <v>828</v>
      </c>
      <c r="J493" s="137" t="s">
        <v>728</v>
      </c>
      <c r="K493" s="117"/>
      <c r="L493" s="6">
        <v>2535</v>
      </c>
      <c r="M493" s="6">
        <v>126.75</v>
      </c>
      <c r="N493" s="6">
        <v>2661.75</v>
      </c>
      <c r="O493" s="44"/>
      <c r="P493" s="44"/>
      <c r="Q493" s="44"/>
      <c r="R493" s="53"/>
      <c r="S493" s="44"/>
      <c r="T493" s="44"/>
      <c r="U493" s="44"/>
      <c r="V493" s="53"/>
      <c r="W493" s="31"/>
      <c r="X493" s="9"/>
      <c r="Y493" s="11"/>
      <c r="Z493" s="11"/>
      <c r="AA493" s="63"/>
      <c r="AB493" s="63"/>
      <c r="AC493" s="63"/>
      <c r="AD493" s="36"/>
      <c r="AE493" s="31"/>
      <c r="AF493" s="9"/>
      <c r="AG493" s="6"/>
      <c r="AH493" s="6"/>
      <c r="AI493" s="6"/>
      <c r="AJ493" s="36"/>
      <c r="AK493" s="31"/>
      <c r="AL493" s="9"/>
      <c r="AM493" s="6"/>
      <c r="AN493" s="6"/>
      <c r="AO493" s="6"/>
      <c r="AP493" s="36"/>
    </row>
    <row r="494" spans="1:42">
      <c r="A494" s="30">
        <v>467</v>
      </c>
      <c r="B494" s="146"/>
      <c r="C494" s="143" t="s">
        <v>517</v>
      </c>
      <c r="D494" s="27"/>
      <c r="E494" s="27"/>
      <c r="F494" s="27"/>
      <c r="G494" s="27"/>
      <c r="H494" s="70" t="s">
        <v>653</v>
      </c>
      <c r="I494" s="176" t="s">
        <v>821</v>
      </c>
      <c r="J494" s="141" t="s">
        <v>587</v>
      </c>
      <c r="K494" s="29"/>
      <c r="L494" s="11">
        <v>10100</v>
      </c>
      <c r="M494" s="11">
        <v>505</v>
      </c>
      <c r="N494" s="11">
        <v>10605</v>
      </c>
      <c r="O494" s="44"/>
      <c r="P494" s="44"/>
      <c r="Q494" s="44"/>
      <c r="R494" s="53"/>
      <c r="S494" s="45"/>
      <c r="T494" s="45"/>
      <c r="U494" s="45"/>
      <c r="V494" s="53"/>
      <c r="W494" s="31"/>
      <c r="X494" s="9"/>
      <c r="Y494" s="11"/>
      <c r="Z494" s="76"/>
      <c r="AA494" s="64"/>
      <c r="AB494" s="64"/>
      <c r="AC494" s="64"/>
      <c r="AD494" s="36"/>
      <c r="AE494" s="31"/>
      <c r="AF494" s="9"/>
      <c r="AG494" s="6"/>
      <c r="AH494" s="6"/>
      <c r="AI494" s="6"/>
      <c r="AJ494" s="36"/>
      <c r="AK494" s="31"/>
      <c r="AL494" s="9"/>
      <c r="AM494" s="6"/>
      <c r="AN494" s="6"/>
      <c r="AO494" s="6"/>
      <c r="AP494" s="36"/>
    </row>
    <row r="495" spans="1:42">
      <c r="A495" s="30">
        <v>468</v>
      </c>
      <c r="B495" s="146"/>
      <c r="C495" s="143" t="s">
        <v>1054</v>
      </c>
      <c r="D495" s="27"/>
      <c r="E495" s="27"/>
      <c r="F495" s="27"/>
      <c r="G495" s="27"/>
      <c r="H495" s="70" t="s">
        <v>2225</v>
      </c>
      <c r="I495" s="176" t="s">
        <v>828</v>
      </c>
      <c r="J495" s="137"/>
      <c r="K495" s="29"/>
      <c r="L495" s="11">
        <v>51900</v>
      </c>
      <c r="M495" s="11">
        <v>2595</v>
      </c>
      <c r="N495" s="11">
        <v>54495</v>
      </c>
      <c r="O495" s="44"/>
      <c r="P495" s="44"/>
      <c r="Q495" s="44"/>
      <c r="R495" s="53"/>
      <c r="S495" s="44"/>
      <c r="T495" s="46"/>
      <c r="U495" s="46"/>
      <c r="V495" s="53"/>
      <c r="W495" s="31"/>
      <c r="X495" s="9"/>
      <c r="Y495" s="11"/>
      <c r="Z495" s="11"/>
      <c r="AA495" s="63"/>
      <c r="AB495" s="63"/>
      <c r="AC495" s="63"/>
      <c r="AD495" s="36"/>
      <c r="AE495" s="31"/>
      <c r="AF495" s="9"/>
      <c r="AG495" s="6"/>
      <c r="AH495" s="6"/>
      <c r="AI495" s="6"/>
      <c r="AJ495" s="36"/>
      <c r="AK495" s="31"/>
      <c r="AL495" s="9"/>
      <c r="AM495" s="6"/>
      <c r="AN495" s="6"/>
      <c r="AO495" s="6"/>
      <c r="AP495" s="36"/>
    </row>
    <row r="496" spans="1:42">
      <c r="A496" s="30">
        <v>469</v>
      </c>
      <c r="B496" s="146"/>
      <c r="C496" s="143" t="s">
        <v>2030</v>
      </c>
      <c r="D496" s="27"/>
      <c r="E496" s="27"/>
      <c r="F496" s="27"/>
      <c r="G496" s="27"/>
      <c r="H496" s="70" t="s">
        <v>2226</v>
      </c>
      <c r="I496" s="176" t="s">
        <v>828</v>
      </c>
      <c r="J496" s="137"/>
      <c r="K496" s="117"/>
      <c r="L496" s="6">
        <v>22905</v>
      </c>
      <c r="M496" s="6">
        <v>1145.25</v>
      </c>
      <c r="N496" s="5"/>
      <c r="O496" s="44"/>
      <c r="P496" s="44"/>
      <c r="Q496" s="44"/>
      <c r="R496" s="53"/>
      <c r="S496" s="44"/>
      <c r="T496" s="44"/>
      <c r="U496" s="44"/>
      <c r="V496" s="53"/>
      <c r="W496" s="31"/>
      <c r="X496" s="9"/>
      <c r="Y496" s="11"/>
      <c r="Z496" s="11"/>
      <c r="AA496" s="63"/>
      <c r="AB496" s="63"/>
      <c r="AC496" s="63"/>
      <c r="AD496" s="36"/>
      <c r="AE496" s="31"/>
      <c r="AF496" s="9"/>
      <c r="AG496" s="6"/>
      <c r="AH496" s="6"/>
      <c r="AI496" s="6"/>
      <c r="AJ496" s="36"/>
      <c r="AK496" s="31"/>
      <c r="AL496" s="9"/>
      <c r="AM496" s="6"/>
      <c r="AN496" s="6"/>
      <c r="AO496" s="6"/>
      <c r="AP496" s="36"/>
    </row>
    <row r="497" spans="1:42">
      <c r="A497" s="30">
        <v>470</v>
      </c>
      <c r="B497" s="146"/>
      <c r="C497" s="143" t="s">
        <v>774</v>
      </c>
      <c r="D497" s="27"/>
      <c r="E497" s="27"/>
      <c r="F497" s="27"/>
      <c r="G497" s="27"/>
      <c r="H497" s="70" t="s">
        <v>1853</v>
      </c>
      <c r="I497" s="176" t="s">
        <v>828</v>
      </c>
      <c r="J497" s="139"/>
      <c r="K497" s="117"/>
      <c r="L497" s="6"/>
      <c r="M497" s="6"/>
      <c r="N497" s="5"/>
      <c r="O497" s="44"/>
      <c r="P497" s="44"/>
      <c r="Q497" s="44"/>
      <c r="R497" s="53"/>
      <c r="S497" s="44"/>
      <c r="T497" s="44"/>
      <c r="U497" s="44"/>
      <c r="V497" s="53"/>
      <c r="W497" s="31"/>
      <c r="X497" s="9"/>
      <c r="Y497" s="11"/>
      <c r="Z497" s="11"/>
      <c r="AA497" s="63"/>
      <c r="AB497" s="63"/>
      <c r="AC497" s="63"/>
      <c r="AD497" s="36"/>
      <c r="AE497" s="31"/>
      <c r="AF497" s="9"/>
      <c r="AG497" s="6"/>
      <c r="AH497" s="6"/>
      <c r="AI497" s="6"/>
      <c r="AJ497" s="36"/>
      <c r="AK497" s="31"/>
      <c r="AL497" s="9"/>
      <c r="AM497" s="6"/>
      <c r="AN497" s="6"/>
      <c r="AO497" s="6"/>
      <c r="AP497" s="36"/>
    </row>
    <row r="498" spans="1:42">
      <c r="A498" s="30">
        <v>471</v>
      </c>
      <c r="B498" s="146"/>
      <c r="C498" s="143" t="s">
        <v>667</v>
      </c>
      <c r="D498" s="27"/>
      <c r="E498" s="27"/>
      <c r="F498" s="27"/>
      <c r="G498" s="27"/>
      <c r="H498" s="70" t="s">
        <v>1546</v>
      </c>
      <c r="I498" s="176" t="s">
        <v>828</v>
      </c>
      <c r="J498" s="139"/>
      <c r="K498" s="117"/>
      <c r="L498" s="6"/>
      <c r="M498" s="6"/>
      <c r="N498" s="5"/>
      <c r="O498" s="44"/>
      <c r="P498" s="44"/>
      <c r="Q498" s="44"/>
      <c r="R498" s="53"/>
      <c r="S498" s="44"/>
      <c r="T498" s="44"/>
      <c r="U498" s="44"/>
      <c r="V498" s="53"/>
      <c r="W498" s="31"/>
      <c r="X498" s="9"/>
      <c r="Y498" s="11"/>
      <c r="Z498" s="11"/>
      <c r="AA498" s="63"/>
      <c r="AB498" s="63"/>
      <c r="AC498" s="63"/>
      <c r="AD498" s="36"/>
      <c r="AE498" s="31"/>
      <c r="AF498" s="9"/>
      <c r="AG498" s="6"/>
      <c r="AH498" s="6"/>
      <c r="AI498" s="6"/>
      <c r="AJ498" s="36"/>
      <c r="AK498" s="31"/>
      <c r="AL498" s="9"/>
      <c r="AM498" s="6"/>
      <c r="AN498" s="6"/>
      <c r="AO498" s="6"/>
      <c r="AP498" s="36"/>
    </row>
    <row r="499" spans="1:42">
      <c r="A499" s="30">
        <v>472</v>
      </c>
      <c r="B499" s="146"/>
      <c r="C499" s="143" t="s">
        <v>522</v>
      </c>
      <c r="D499" s="27"/>
      <c r="E499" s="27"/>
      <c r="F499" s="27"/>
      <c r="G499" s="27"/>
      <c r="H499" s="70" t="s">
        <v>757</v>
      </c>
      <c r="I499" s="176" t="s">
        <v>1547</v>
      </c>
      <c r="J499" s="139" t="s">
        <v>659</v>
      </c>
      <c r="K499" s="117"/>
      <c r="L499" s="6"/>
      <c r="M499" s="6"/>
      <c r="N499" s="5"/>
      <c r="O499" s="44"/>
      <c r="P499" s="44"/>
      <c r="Q499" s="44"/>
      <c r="R499" s="53"/>
      <c r="S499" s="44"/>
      <c r="T499" s="44"/>
      <c r="U499" s="44"/>
      <c r="V499" s="53"/>
      <c r="W499" s="31"/>
      <c r="X499" s="9"/>
      <c r="Y499" s="11"/>
      <c r="Z499" s="11"/>
      <c r="AA499" s="63"/>
      <c r="AB499" s="63"/>
      <c r="AC499" s="63"/>
      <c r="AD499" s="36"/>
      <c r="AE499" s="31"/>
      <c r="AF499" s="9"/>
      <c r="AG499" s="6"/>
      <c r="AH499" s="6"/>
      <c r="AI499" s="6"/>
      <c r="AJ499" s="36"/>
      <c r="AK499" s="31"/>
      <c r="AL499" s="9"/>
      <c r="AM499" s="6"/>
      <c r="AN499" s="6"/>
      <c r="AO499" s="6"/>
      <c r="AP499" s="36"/>
    </row>
    <row r="500" spans="1:42">
      <c r="A500" s="30">
        <v>473</v>
      </c>
      <c r="B500" s="146"/>
      <c r="C500" s="159" t="s">
        <v>674</v>
      </c>
      <c r="D500" s="27"/>
      <c r="E500" s="27"/>
      <c r="F500" s="27"/>
      <c r="G500" s="27"/>
      <c r="H500" s="70" t="s">
        <v>758</v>
      </c>
      <c r="I500" s="176" t="s">
        <v>823</v>
      </c>
      <c r="J500" s="139" t="s">
        <v>673</v>
      </c>
      <c r="K500" s="117"/>
      <c r="L500" s="6"/>
      <c r="M500" s="6"/>
      <c r="N500" s="5"/>
      <c r="O500" s="44"/>
      <c r="P500" s="44"/>
      <c r="Q500" s="44"/>
      <c r="R500" s="53"/>
      <c r="S500" s="56"/>
      <c r="T500" s="56"/>
      <c r="U500" s="56"/>
      <c r="V500" s="53"/>
      <c r="W500" s="31"/>
      <c r="X500" s="9"/>
      <c r="Y500" s="11"/>
      <c r="Z500" s="89"/>
      <c r="AA500" s="79"/>
      <c r="AB500" s="79"/>
      <c r="AC500" s="79"/>
      <c r="AD500" s="36"/>
      <c r="AE500" s="31"/>
      <c r="AF500" s="9"/>
      <c r="AG500" s="6"/>
      <c r="AH500" s="6"/>
      <c r="AI500" s="6"/>
      <c r="AJ500" s="36"/>
      <c r="AK500" s="31"/>
      <c r="AL500" s="9"/>
      <c r="AM500" s="6"/>
      <c r="AN500" s="6"/>
      <c r="AO500" s="6"/>
      <c r="AP500" s="36"/>
    </row>
    <row r="501" spans="1:42">
      <c r="A501" s="30">
        <v>474</v>
      </c>
      <c r="B501" s="146"/>
      <c r="C501" s="143" t="s">
        <v>1993</v>
      </c>
      <c r="D501" s="27"/>
      <c r="E501" s="27"/>
      <c r="F501" s="27"/>
      <c r="G501" s="27"/>
      <c r="H501" s="70" t="s">
        <v>1504</v>
      </c>
      <c r="I501" s="176" t="s">
        <v>832</v>
      </c>
      <c r="J501" s="137" t="s">
        <v>1283</v>
      </c>
      <c r="K501" s="117"/>
      <c r="L501" s="6">
        <v>144</v>
      </c>
      <c r="M501" s="6">
        <v>7.2</v>
      </c>
      <c r="N501" s="6">
        <v>151.19999999999999</v>
      </c>
      <c r="O501" s="44"/>
      <c r="P501" s="44"/>
      <c r="Q501" s="44"/>
      <c r="R501" s="53"/>
      <c r="S501" s="44"/>
      <c r="T501" s="44"/>
      <c r="U501" s="44"/>
      <c r="V501" s="53"/>
      <c r="W501" s="31"/>
      <c r="X501" s="9"/>
      <c r="Y501" s="11"/>
      <c r="Z501" s="11"/>
      <c r="AA501" s="63"/>
      <c r="AB501" s="63"/>
      <c r="AC501" s="63"/>
      <c r="AD501" s="36"/>
      <c r="AE501" s="31"/>
      <c r="AF501" s="9"/>
      <c r="AG501" s="6"/>
      <c r="AH501" s="6"/>
      <c r="AI501" s="6"/>
      <c r="AJ501" s="36"/>
      <c r="AK501" s="31"/>
      <c r="AL501" s="9"/>
      <c r="AM501" s="6"/>
      <c r="AN501" s="6"/>
      <c r="AO501" s="6"/>
      <c r="AP501" s="36"/>
    </row>
    <row r="502" spans="1:42">
      <c r="A502" s="30">
        <v>475</v>
      </c>
      <c r="B502" s="146"/>
      <c r="C502" s="143" t="s">
        <v>287</v>
      </c>
      <c r="D502" s="27"/>
      <c r="E502" s="27"/>
      <c r="F502" s="27"/>
      <c r="G502" s="27"/>
      <c r="H502" s="70" t="s">
        <v>759</v>
      </c>
      <c r="I502" s="176" t="s">
        <v>832</v>
      </c>
      <c r="J502" s="137" t="s">
        <v>613</v>
      </c>
      <c r="K502" s="29"/>
      <c r="L502" s="11">
        <v>3840</v>
      </c>
      <c r="M502" s="11">
        <v>192</v>
      </c>
      <c r="N502" s="11">
        <v>4032</v>
      </c>
      <c r="O502" s="44"/>
      <c r="P502" s="44"/>
      <c r="Q502" s="44"/>
      <c r="R502" s="53"/>
      <c r="S502" s="44"/>
      <c r="T502" s="46"/>
      <c r="U502" s="46"/>
      <c r="V502" s="53"/>
      <c r="W502" s="31"/>
      <c r="X502" s="9"/>
      <c r="Y502" s="11"/>
      <c r="Z502" s="11"/>
      <c r="AA502" s="63"/>
      <c r="AB502" s="63"/>
      <c r="AC502" s="63"/>
      <c r="AD502" s="36"/>
      <c r="AE502" s="31"/>
      <c r="AF502" s="9"/>
      <c r="AG502" s="6"/>
      <c r="AH502" s="6"/>
      <c r="AI502" s="6"/>
      <c r="AJ502" s="36"/>
      <c r="AK502" s="31"/>
      <c r="AL502" s="9"/>
      <c r="AM502" s="6"/>
      <c r="AN502" s="6"/>
      <c r="AO502" s="6"/>
      <c r="AP502" s="36"/>
    </row>
    <row r="503" spans="1:42">
      <c r="A503" s="30"/>
      <c r="B503" s="146"/>
      <c r="C503" s="143" t="s">
        <v>2204</v>
      </c>
      <c r="D503" s="27"/>
      <c r="E503" s="27"/>
      <c r="F503" s="27"/>
      <c r="G503" s="27"/>
      <c r="H503" s="70" t="s">
        <v>2205</v>
      </c>
      <c r="I503" s="176" t="s">
        <v>2207</v>
      </c>
      <c r="J503" s="137" t="s">
        <v>2206</v>
      </c>
      <c r="K503" s="29"/>
      <c r="L503" s="11"/>
      <c r="M503" s="11"/>
      <c r="N503" s="11"/>
      <c r="O503" s="44"/>
      <c r="P503" s="44"/>
      <c r="Q503" s="44"/>
      <c r="R503" s="53"/>
      <c r="S503" s="44"/>
      <c r="T503" s="46"/>
      <c r="U503" s="46"/>
      <c r="V503" s="53"/>
      <c r="W503" s="31"/>
      <c r="X503" s="9"/>
      <c r="Y503" s="11"/>
      <c r="Z503" s="11"/>
      <c r="AA503" s="63"/>
      <c r="AB503" s="63"/>
      <c r="AC503" s="63"/>
      <c r="AD503" s="36"/>
      <c r="AE503" s="31"/>
      <c r="AF503" s="9"/>
      <c r="AG503" s="6"/>
      <c r="AH503" s="6"/>
      <c r="AI503" s="6"/>
      <c r="AJ503" s="36"/>
      <c r="AK503" s="31"/>
      <c r="AL503" s="9"/>
      <c r="AM503" s="6"/>
      <c r="AN503" s="6"/>
      <c r="AO503" s="6"/>
      <c r="AP503" s="36"/>
    </row>
    <row r="504" spans="1:42">
      <c r="A504" s="30">
        <v>476</v>
      </c>
      <c r="B504" s="146"/>
      <c r="C504" s="143" t="s">
        <v>401</v>
      </c>
      <c r="D504" s="27"/>
      <c r="E504" s="27"/>
      <c r="F504" s="27"/>
      <c r="G504" s="27"/>
      <c r="H504" s="70" t="s">
        <v>555</v>
      </c>
      <c r="I504" s="176" t="s">
        <v>828</v>
      </c>
      <c r="J504" s="137"/>
      <c r="K504" s="29"/>
      <c r="L504" s="11"/>
      <c r="M504" s="11"/>
      <c r="N504" s="11"/>
      <c r="O504" s="44"/>
      <c r="P504" s="44"/>
      <c r="Q504" s="44"/>
      <c r="R504" s="53"/>
      <c r="S504" s="44"/>
      <c r="T504" s="46"/>
      <c r="U504" s="46"/>
      <c r="V504" s="53"/>
      <c r="W504" s="31"/>
      <c r="X504" s="9"/>
      <c r="Y504" s="11"/>
      <c r="Z504" s="11"/>
      <c r="AA504" s="63"/>
      <c r="AB504" s="63"/>
      <c r="AC504" s="63"/>
      <c r="AD504" s="36"/>
      <c r="AE504" s="31"/>
      <c r="AF504" s="9"/>
      <c r="AG504" s="6"/>
      <c r="AH504" s="6"/>
      <c r="AI504" s="6"/>
      <c r="AJ504" s="36"/>
      <c r="AK504" s="31"/>
      <c r="AL504" s="9"/>
      <c r="AM504" s="6"/>
      <c r="AN504" s="6"/>
      <c r="AO504" s="6"/>
      <c r="AP504" s="36"/>
    </row>
    <row r="505" spans="1:42">
      <c r="A505" s="30">
        <v>477</v>
      </c>
      <c r="B505" s="146"/>
      <c r="C505" s="143" t="s">
        <v>1790</v>
      </c>
      <c r="D505" s="27"/>
      <c r="E505" s="27"/>
      <c r="F505" s="27"/>
      <c r="G505" s="27"/>
      <c r="H505" s="70" t="s">
        <v>1791</v>
      </c>
      <c r="I505" s="176" t="s">
        <v>823</v>
      </c>
      <c r="J505" s="137"/>
      <c r="K505" s="29"/>
      <c r="L505" s="11"/>
      <c r="M505" s="11"/>
      <c r="N505" s="11"/>
      <c r="O505" s="44"/>
      <c r="P505" s="44"/>
      <c r="Q505" s="44"/>
      <c r="R505" s="53"/>
      <c r="S505" s="44"/>
      <c r="T505" s="46"/>
      <c r="U505" s="46"/>
      <c r="V505" s="53"/>
      <c r="W505" s="31"/>
      <c r="X505" s="9"/>
      <c r="Y505" s="11"/>
      <c r="Z505" s="11"/>
      <c r="AA505" s="63"/>
      <c r="AB505" s="63"/>
      <c r="AC505" s="63"/>
      <c r="AD505" s="36"/>
      <c r="AE505" s="31"/>
      <c r="AF505" s="9"/>
      <c r="AG505" s="6"/>
      <c r="AH505" s="6"/>
      <c r="AI505" s="6"/>
      <c r="AJ505" s="36"/>
      <c r="AK505" s="31"/>
      <c r="AL505" s="9"/>
      <c r="AM505" s="6"/>
      <c r="AN505" s="6"/>
      <c r="AO505" s="6"/>
      <c r="AP505" s="36"/>
    </row>
    <row r="506" spans="1:42">
      <c r="A506" s="30">
        <v>478</v>
      </c>
      <c r="B506" s="146"/>
      <c r="C506" s="143" t="s">
        <v>990</v>
      </c>
      <c r="D506" s="27"/>
      <c r="E506" s="27"/>
      <c r="F506" s="27"/>
      <c r="G506" s="27"/>
      <c r="H506" s="70" t="s">
        <v>991</v>
      </c>
      <c r="I506" s="176" t="s">
        <v>828</v>
      </c>
      <c r="J506" s="137"/>
      <c r="K506" s="117"/>
      <c r="L506" s="6">
        <v>20520</v>
      </c>
      <c r="M506" s="6">
        <v>1026</v>
      </c>
      <c r="N506" s="6">
        <v>21546</v>
      </c>
      <c r="O506" s="44"/>
      <c r="P506" s="44"/>
      <c r="Q506" s="44"/>
      <c r="R506" s="53"/>
      <c r="S506" s="44"/>
      <c r="T506" s="44"/>
      <c r="U506" s="44"/>
      <c r="V506" s="53"/>
      <c r="W506" s="31"/>
      <c r="X506" s="9"/>
      <c r="Y506" s="11"/>
      <c r="Z506" s="11"/>
      <c r="AA506" s="63"/>
      <c r="AB506" s="63"/>
      <c r="AC506" s="63"/>
      <c r="AD506" s="36"/>
      <c r="AE506" s="31"/>
      <c r="AF506" s="9"/>
      <c r="AG506" s="6"/>
      <c r="AH506" s="6"/>
      <c r="AI506" s="6"/>
      <c r="AJ506" s="36"/>
      <c r="AK506" s="31"/>
      <c r="AL506" s="9"/>
      <c r="AM506" s="6"/>
      <c r="AN506" s="6"/>
      <c r="AO506" s="6"/>
      <c r="AP506" s="36"/>
    </row>
    <row r="507" spans="1:42" ht="27">
      <c r="A507" s="30">
        <v>479</v>
      </c>
      <c r="B507" s="146"/>
      <c r="C507" s="143" t="s">
        <v>1158</v>
      </c>
      <c r="D507" s="27"/>
      <c r="E507" s="27"/>
      <c r="F507" s="27"/>
      <c r="G507" s="27"/>
      <c r="H507" s="70" t="s">
        <v>1936</v>
      </c>
      <c r="I507" s="176" t="s">
        <v>1159</v>
      </c>
      <c r="J507" s="136" t="s">
        <v>779</v>
      </c>
      <c r="K507" s="117"/>
      <c r="L507" s="6"/>
      <c r="M507" s="6"/>
      <c r="N507" s="6"/>
      <c r="O507" s="44"/>
      <c r="P507" s="44"/>
      <c r="Q507" s="44"/>
      <c r="R507" s="53"/>
      <c r="S507" s="44"/>
      <c r="T507" s="44"/>
      <c r="U507" s="44"/>
      <c r="V507" s="53"/>
      <c r="W507" s="31"/>
      <c r="X507" s="9"/>
      <c r="Y507" s="11"/>
      <c r="Z507" s="11"/>
      <c r="AA507" s="63"/>
      <c r="AB507" s="63"/>
      <c r="AC507" s="63"/>
      <c r="AD507" s="36"/>
      <c r="AE507" s="31"/>
      <c r="AF507" s="9"/>
      <c r="AG507" s="6"/>
      <c r="AH507" s="6"/>
      <c r="AI507" s="6"/>
      <c r="AJ507" s="36"/>
      <c r="AK507" s="31"/>
      <c r="AL507" s="9"/>
      <c r="AM507" s="6"/>
      <c r="AN507" s="6"/>
      <c r="AO507" s="6"/>
      <c r="AP507" s="36"/>
    </row>
    <row r="508" spans="1:42" ht="27">
      <c r="A508" s="30">
        <v>480</v>
      </c>
      <c r="B508" s="146"/>
      <c r="C508" s="143" t="s">
        <v>1935</v>
      </c>
      <c r="D508" s="27"/>
      <c r="E508" s="27"/>
      <c r="F508" s="27"/>
      <c r="G508" s="27"/>
      <c r="H508" s="70" t="s">
        <v>1937</v>
      </c>
      <c r="I508" s="176" t="s">
        <v>1938</v>
      </c>
      <c r="J508" s="136" t="s">
        <v>779</v>
      </c>
      <c r="K508" s="117"/>
      <c r="L508" s="6"/>
      <c r="M508" s="6"/>
      <c r="N508" s="6"/>
      <c r="O508" s="44"/>
      <c r="P508" s="44"/>
      <c r="Q508" s="44"/>
      <c r="R508" s="53"/>
      <c r="S508" s="44"/>
      <c r="T508" s="44"/>
      <c r="U508" s="44"/>
      <c r="V508" s="53"/>
      <c r="W508" s="31"/>
      <c r="X508" s="9"/>
      <c r="Y508" s="11"/>
      <c r="Z508" s="11"/>
      <c r="AA508" s="63"/>
      <c r="AB508" s="63"/>
      <c r="AC508" s="63"/>
      <c r="AD508" s="36"/>
      <c r="AE508" s="31"/>
      <c r="AF508" s="9"/>
      <c r="AG508" s="6"/>
      <c r="AH508" s="6"/>
      <c r="AI508" s="6"/>
      <c r="AJ508" s="36"/>
      <c r="AK508" s="31"/>
      <c r="AL508" s="9"/>
      <c r="AM508" s="6"/>
      <c r="AN508" s="6"/>
      <c r="AO508" s="6"/>
      <c r="AP508" s="36"/>
    </row>
    <row r="509" spans="1:42" ht="27">
      <c r="A509" s="30">
        <v>481</v>
      </c>
      <c r="B509" s="146"/>
      <c r="C509" s="143" t="s">
        <v>1468</v>
      </c>
      <c r="D509" s="27"/>
      <c r="E509" s="27"/>
      <c r="F509" s="27"/>
      <c r="G509" s="27"/>
      <c r="H509" s="70" t="s">
        <v>2007</v>
      </c>
      <c r="I509" s="176" t="s">
        <v>2009</v>
      </c>
      <c r="J509" s="137" t="s">
        <v>2008</v>
      </c>
      <c r="K509" s="117"/>
      <c r="L509" s="6"/>
      <c r="M509" s="6"/>
      <c r="N509" s="6"/>
      <c r="O509" s="44"/>
      <c r="P509" s="44"/>
      <c r="Q509" s="44"/>
      <c r="R509" s="53"/>
      <c r="S509" s="44"/>
      <c r="T509" s="44"/>
      <c r="U509" s="44"/>
      <c r="V509" s="53"/>
      <c r="W509" s="31"/>
      <c r="X509" s="9"/>
      <c r="Y509" s="11"/>
      <c r="Z509" s="11"/>
      <c r="AA509" s="63"/>
      <c r="AB509" s="63"/>
      <c r="AC509" s="63"/>
      <c r="AD509" s="36"/>
      <c r="AE509" s="31"/>
      <c r="AF509" s="9"/>
      <c r="AG509" s="6"/>
      <c r="AH509" s="6"/>
      <c r="AI509" s="6"/>
      <c r="AJ509" s="36"/>
      <c r="AK509" s="31"/>
      <c r="AL509" s="9"/>
      <c r="AM509" s="6"/>
      <c r="AN509" s="6"/>
      <c r="AO509" s="6"/>
      <c r="AP509" s="36"/>
    </row>
    <row r="510" spans="1:42">
      <c r="A510" s="30">
        <v>482</v>
      </c>
      <c r="B510" s="146"/>
      <c r="C510" s="143" t="s">
        <v>554</v>
      </c>
      <c r="D510" s="27"/>
      <c r="E510" s="27"/>
      <c r="F510" s="27"/>
      <c r="G510" s="27"/>
      <c r="H510" s="70" t="s">
        <v>0</v>
      </c>
      <c r="I510" s="176" t="s">
        <v>828</v>
      </c>
      <c r="J510" s="137"/>
      <c r="K510" s="117"/>
      <c r="L510" s="6"/>
      <c r="M510" s="6"/>
      <c r="N510" s="6"/>
      <c r="O510" s="44"/>
      <c r="P510" s="44"/>
      <c r="Q510" s="44"/>
      <c r="R510" s="53"/>
      <c r="S510" s="44"/>
      <c r="T510" s="44"/>
      <c r="U510" s="44"/>
      <c r="V510" s="53"/>
      <c r="W510" s="31"/>
      <c r="X510" s="9"/>
      <c r="Y510" s="11"/>
      <c r="Z510" s="11"/>
      <c r="AA510" s="63"/>
      <c r="AB510" s="63"/>
      <c r="AC510" s="63"/>
      <c r="AD510" s="36"/>
      <c r="AE510" s="31"/>
      <c r="AF510" s="9"/>
      <c r="AG510" s="6"/>
      <c r="AH510" s="6"/>
      <c r="AI510" s="6"/>
      <c r="AJ510" s="36"/>
      <c r="AK510" s="31"/>
      <c r="AL510" s="9"/>
      <c r="AM510" s="6"/>
      <c r="AN510" s="6"/>
      <c r="AO510" s="6"/>
      <c r="AP510" s="36"/>
    </row>
    <row r="511" spans="1:42">
      <c r="A511" s="30">
        <v>483</v>
      </c>
      <c r="B511" s="146"/>
      <c r="C511" s="143" t="s">
        <v>2163</v>
      </c>
      <c r="D511" s="27"/>
      <c r="E511" s="27"/>
      <c r="F511" s="27"/>
      <c r="G511" s="27"/>
      <c r="H511" s="70" t="s">
        <v>2164</v>
      </c>
      <c r="I511" s="176" t="s">
        <v>940</v>
      </c>
      <c r="J511" s="137" t="s">
        <v>2165</v>
      </c>
      <c r="K511" s="117"/>
      <c r="L511" s="6"/>
      <c r="M511" s="6"/>
      <c r="N511" s="6"/>
      <c r="O511" s="44"/>
      <c r="P511" s="44"/>
      <c r="Q511" s="44"/>
      <c r="R511" s="53"/>
      <c r="S511" s="44"/>
      <c r="T511" s="44"/>
      <c r="U511" s="44"/>
      <c r="V511" s="53"/>
      <c r="W511" s="31"/>
      <c r="AA511" s="112"/>
      <c r="AB511" s="112"/>
      <c r="AC511" s="112"/>
      <c r="AE511" s="111"/>
      <c r="AG511" s="8"/>
      <c r="AH511" s="8"/>
      <c r="AI511" s="8"/>
      <c r="AK511" s="111"/>
      <c r="AM511" s="8"/>
      <c r="AN511" s="8"/>
      <c r="AO511" s="8"/>
    </row>
    <row r="512" spans="1:42">
      <c r="A512" s="30">
        <v>484</v>
      </c>
      <c r="B512" s="146"/>
      <c r="C512" s="143" t="s">
        <v>1494</v>
      </c>
      <c r="D512" s="27"/>
      <c r="E512" s="27"/>
      <c r="F512" s="27"/>
      <c r="G512" s="27"/>
      <c r="H512" s="70" t="s">
        <v>2214</v>
      </c>
      <c r="I512" s="176" t="s">
        <v>1606</v>
      </c>
      <c r="J512" s="137"/>
      <c r="K512" s="117"/>
      <c r="L512" s="6"/>
      <c r="M512" s="6"/>
      <c r="N512" s="6"/>
      <c r="O512" s="44"/>
      <c r="P512" s="44"/>
      <c r="Q512" s="44"/>
      <c r="R512" s="53"/>
      <c r="S512" s="44"/>
      <c r="T512" s="44"/>
      <c r="U512" s="44"/>
      <c r="V512" s="53"/>
      <c r="W512" s="31"/>
      <c r="AA512" s="112"/>
      <c r="AB512" s="112"/>
      <c r="AC512" s="112"/>
      <c r="AE512" s="111"/>
      <c r="AG512" s="8"/>
      <c r="AH512" s="8"/>
      <c r="AI512" s="8"/>
      <c r="AK512" s="111"/>
      <c r="AM512" s="8"/>
      <c r="AN512" s="8"/>
      <c r="AO512" s="8"/>
    </row>
    <row r="513" spans="1:42">
      <c r="A513" s="30">
        <v>485</v>
      </c>
      <c r="B513" s="146"/>
      <c r="C513" s="143" t="s">
        <v>1495</v>
      </c>
      <c r="D513" s="27"/>
      <c r="E513" s="27"/>
      <c r="F513" s="27"/>
      <c r="G513" s="27"/>
      <c r="H513" s="70" t="s">
        <v>1496</v>
      </c>
      <c r="I513" s="176" t="s">
        <v>1497</v>
      </c>
      <c r="J513" s="137" t="s">
        <v>1498</v>
      </c>
      <c r="K513" s="117"/>
      <c r="L513" s="6"/>
      <c r="M513" s="6"/>
      <c r="N513" s="6"/>
      <c r="O513" s="44"/>
      <c r="P513" s="44"/>
      <c r="Q513" s="44"/>
      <c r="R513" s="53"/>
      <c r="S513" s="44"/>
      <c r="T513" s="44"/>
      <c r="U513" s="44"/>
      <c r="V513" s="53"/>
      <c r="W513" s="31"/>
      <c r="AA513" s="112"/>
      <c r="AB513" s="112"/>
      <c r="AC513" s="112"/>
      <c r="AE513" s="111"/>
      <c r="AG513" s="8"/>
      <c r="AH513" s="8"/>
      <c r="AI513" s="8"/>
      <c r="AK513" s="111"/>
      <c r="AM513" s="8"/>
      <c r="AN513" s="8"/>
      <c r="AO513" s="8"/>
    </row>
    <row r="514" spans="1:42">
      <c r="A514" s="30">
        <v>486</v>
      </c>
      <c r="B514" s="146"/>
      <c r="C514" s="143" t="s">
        <v>954</v>
      </c>
      <c r="D514" s="27"/>
      <c r="E514" s="27"/>
      <c r="F514" s="27"/>
      <c r="G514" s="27"/>
      <c r="H514" s="70" t="s">
        <v>1962</v>
      </c>
      <c r="I514" s="176" t="s">
        <v>836</v>
      </c>
      <c r="J514" s="137" t="s">
        <v>712</v>
      </c>
      <c r="K514" s="117"/>
      <c r="L514" s="6"/>
      <c r="M514" s="6"/>
      <c r="N514" s="6"/>
      <c r="O514" s="44"/>
      <c r="P514" s="44"/>
      <c r="Q514" s="44"/>
      <c r="R514" s="53"/>
      <c r="S514" s="44"/>
      <c r="T514" s="44"/>
      <c r="U514" s="44"/>
      <c r="V514" s="53"/>
      <c r="W514" s="31"/>
      <c r="AA514" s="112"/>
      <c r="AB514" s="112"/>
      <c r="AC514" s="112"/>
      <c r="AE514" s="111"/>
      <c r="AG514" s="8"/>
      <c r="AH514" s="8"/>
      <c r="AI514" s="8"/>
      <c r="AK514" s="111"/>
      <c r="AM514" s="8"/>
      <c r="AN514" s="8"/>
      <c r="AO514" s="8"/>
    </row>
    <row r="515" spans="1:42" ht="27">
      <c r="A515" s="30">
        <v>487</v>
      </c>
      <c r="B515" s="146"/>
      <c r="C515" s="143" t="s">
        <v>590</v>
      </c>
      <c r="D515" s="27"/>
      <c r="E515" s="27"/>
      <c r="F515" s="27"/>
      <c r="G515" s="27"/>
      <c r="H515" s="70" t="s">
        <v>1334</v>
      </c>
      <c r="I515" s="176" t="s">
        <v>1934</v>
      </c>
      <c r="J515" s="137" t="s">
        <v>1930</v>
      </c>
      <c r="K515" s="117"/>
      <c r="L515" s="6"/>
      <c r="M515" s="6"/>
      <c r="N515" s="6"/>
      <c r="O515" s="44"/>
      <c r="P515" s="44"/>
      <c r="Q515" s="44"/>
      <c r="R515" s="53"/>
      <c r="S515" s="44"/>
      <c r="T515" s="44"/>
      <c r="U515" s="44"/>
      <c r="V515" s="53"/>
      <c r="W515" s="31"/>
      <c r="AA515" s="112"/>
      <c r="AB515" s="112"/>
      <c r="AC515" s="112"/>
      <c r="AE515" s="111"/>
      <c r="AG515" s="8"/>
      <c r="AH515" s="8"/>
      <c r="AI515" s="8"/>
      <c r="AK515" s="111"/>
      <c r="AM515" s="8"/>
      <c r="AN515" s="8"/>
      <c r="AO515" s="8"/>
    </row>
    <row r="516" spans="1:42">
      <c r="A516" s="30">
        <v>488</v>
      </c>
      <c r="B516" s="133"/>
      <c r="C516" s="143" t="s">
        <v>1153</v>
      </c>
      <c r="D516" s="27"/>
      <c r="E516" s="27"/>
      <c r="F516" s="27"/>
      <c r="G516" s="27"/>
      <c r="H516" s="70" t="s">
        <v>1196</v>
      </c>
      <c r="I516" s="176" t="s">
        <v>1154</v>
      </c>
      <c r="J516" s="139" t="s">
        <v>1933</v>
      </c>
      <c r="K516" s="118"/>
      <c r="L516" s="86"/>
      <c r="M516" s="86"/>
      <c r="N516" s="86"/>
      <c r="O516" s="44"/>
      <c r="P516" s="44"/>
      <c r="Q516" s="44"/>
      <c r="R516" s="53"/>
      <c r="S516" s="44"/>
      <c r="T516" s="44"/>
      <c r="U516" s="44"/>
      <c r="V516" s="53"/>
      <c r="W516" s="31"/>
      <c r="X516" s="9"/>
      <c r="AA516" s="112"/>
      <c r="AB516" s="112"/>
      <c r="AC516" s="112"/>
      <c r="AE516" s="111"/>
      <c r="AG516" s="8"/>
      <c r="AH516" s="8"/>
      <c r="AI516" s="8"/>
      <c r="AK516" s="111"/>
      <c r="AM516" s="8"/>
      <c r="AN516" s="8"/>
      <c r="AO516" s="8"/>
    </row>
    <row r="517" spans="1:42" ht="27">
      <c r="A517" s="30">
        <v>489</v>
      </c>
      <c r="B517" s="146"/>
      <c r="C517" s="143" t="s">
        <v>1127</v>
      </c>
      <c r="D517" s="27"/>
      <c r="E517" s="27"/>
      <c r="F517" s="27"/>
      <c r="G517" s="27"/>
      <c r="H517" s="70" t="s">
        <v>2156</v>
      </c>
      <c r="I517" s="176" t="s">
        <v>1128</v>
      </c>
      <c r="J517" s="137"/>
      <c r="K517" s="117"/>
      <c r="L517" s="6"/>
      <c r="M517" s="6"/>
      <c r="N517" s="6"/>
      <c r="O517" s="44"/>
      <c r="P517" s="44"/>
      <c r="Q517" s="44"/>
      <c r="R517" s="53"/>
      <c r="S517" s="44"/>
      <c r="T517" s="44"/>
      <c r="U517" s="44"/>
      <c r="V517" s="53"/>
      <c r="W517" s="31"/>
      <c r="AA517" s="112"/>
      <c r="AB517" s="112"/>
      <c r="AC517" s="112"/>
      <c r="AE517" s="111"/>
      <c r="AG517" s="8"/>
      <c r="AH517" s="8"/>
      <c r="AI517" s="8"/>
      <c r="AK517" s="111"/>
      <c r="AM517" s="8"/>
      <c r="AN517" s="8"/>
      <c r="AO517" s="8"/>
    </row>
    <row r="518" spans="1:42" ht="27">
      <c r="A518" s="30">
        <v>490</v>
      </c>
      <c r="B518" s="146"/>
      <c r="C518" s="143" t="s">
        <v>2199</v>
      </c>
      <c r="D518" s="27"/>
      <c r="E518" s="27"/>
      <c r="F518" s="27"/>
      <c r="G518" s="27"/>
      <c r="H518" s="70" t="s">
        <v>2215</v>
      </c>
      <c r="I518" s="176" t="s">
        <v>2216</v>
      </c>
      <c r="J518" s="137" t="s">
        <v>2217</v>
      </c>
      <c r="K518" s="117"/>
      <c r="L518" s="6"/>
      <c r="M518" s="6"/>
      <c r="N518" s="6"/>
      <c r="O518" s="44"/>
      <c r="P518" s="44"/>
      <c r="Q518" s="44"/>
      <c r="R518" s="53"/>
      <c r="S518" s="44"/>
      <c r="T518" s="44"/>
      <c r="U518" s="44"/>
      <c r="V518" s="53"/>
      <c r="W518" s="31"/>
      <c r="AA518" s="112"/>
      <c r="AB518" s="112"/>
      <c r="AC518" s="112"/>
      <c r="AE518" s="111"/>
      <c r="AG518" s="8"/>
      <c r="AH518" s="8"/>
      <c r="AI518" s="8"/>
      <c r="AK518" s="111"/>
      <c r="AM518" s="8"/>
      <c r="AN518" s="8"/>
      <c r="AO518" s="8"/>
    </row>
    <row r="519" spans="1:42">
      <c r="A519" s="30">
        <v>497</v>
      </c>
      <c r="B519" s="146"/>
      <c r="C519" s="143" t="s">
        <v>2208</v>
      </c>
      <c r="D519" s="27"/>
      <c r="E519" s="27"/>
      <c r="F519" s="27"/>
      <c r="G519" s="27"/>
      <c r="H519" s="70" t="s">
        <v>2209</v>
      </c>
      <c r="I519" s="176" t="s">
        <v>841</v>
      </c>
      <c r="J519" s="137"/>
      <c r="K519" s="117"/>
      <c r="L519" s="6"/>
      <c r="M519" s="6"/>
      <c r="N519" s="6"/>
      <c r="O519" s="44"/>
      <c r="P519" s="44"/>
      <c r="Q519" s="44"/>
      <c r="R519" s="53"/>
      <c r="S519" s="44"/>
      <c r="T519" s="44"/>
      <c r="U519" s="44"/>
      <c r="V519" s="53"/>
      <c r="W519" s="31"/>
      <c r="AA519" s="112"/>
      <c r="AB519" s="112"/>
      <c r="AC519" s="112"/>
      <c r="AE519" s="111"/>
      <c r="AG519" s="8"/>
      <c r="AH519" s="8"/>
      <c r="AI519" s="8"/>
      <c r="AK519" s="111"/>
      <c r="AM519" s="8"/>
      <c r="AN519" s="8"/>
      <c r="AO519" s="8"/>
    </row>
    <row r="520" spans="1:42">
      <c r="A520" s="30"/>
      <c r="B520" s="146"/>
      <c r="C520" s="143" t="s">
        <v>2210</v>
      </c>
      <c r="D520" s="27"/>
      <c r="E520" s="27"/>
      <c r="F520" s="27"/>
      <c r="G520" s="27"/>
      <c r="H520" s="70" t="s">
        <v>2212</v>
      </c>
      <c r="I520" s="176" t="s">
        <v>2213</v>
      </c>
      <c r="J520" s="137" t="s">
        <v>2211</v>
      </c>
      <c r="K520" s="117"/>
      <c r="L520" s="6"/>
      <c r="M520" s="6"/>
      <c r="N520" s="6"/>
      <c r="O520" s="44"/>
      <c r="P520" s="44"/>
      <c r="Q520" s="44"/>
      <c r="R520" s="53"/>
      <c r="S520" s="44"/>
      <c r="T520" s="44"/>
      <c r="U520" s="44"/>
      <c r="V520" s="53"/>
      <c r="W520" s="31"/>
      <c r="AA520" s="112"/>
      <c r="AB520" s="112"/>
      <c r="AC520" s="112"/>
      <c r="AE520" s="111"/>
      <c r="AG520" s="8"/>
      <c r="AH520" s="8"/>
      <c r="AI520" s="8"/>
      <c r="AK520" s="111"/>
      <c r="AM520" s="8"/>
      <c r="AN520" s="8"/>
      <c r="AO520" s="8"/>
    </row>
    <row r="521" spans="1:42">
      <c r="A521" s="30">
        <v>491</v>
      </c>
      <c r="B521" s="146"/>
      <c r="C521" s="143" t="s">
        <v>1705</v>
      </c>
      <c r="D521" s="27"/>
      <c r="E521" s="27"/>
      <c r="F521" s="27"/>
      <c r="G521" s="27"/>
      <c r="H521" s="70" t="s">
        <v>1629</v>
      </c>
      <c r="I521" s="176" t="s">
        <v>867</v>
      </c>
      <c r="J521" s="137" t="s">
        <v>1073</v>
      </c>
      <c r="K521" s="117"/>
      <c r="L521" s="6"/>
      <c r="M521" s="6"/>
      <c r="N521" s="6"/>
      <c r="O521" s="44"/>
      <c r="P521" s="44"/>
      <c r="Q521" s="44"/>
      <c r="R521" s="53"/>
      <c r="S521" s="44"/>
      <c r="T521" s="44"/>
      <c r="U521" s="44"/>
      <c r="V521" s="53"/>
      <c r="W521" s="31"/>
      <c r="AA521" s="112"/>
      <c r="AB521" s="112"/>
      <c r="AC521" s="112"/>
      <c r="AE521" s="111"/>
      <c r="AG521" s="8"/>
      <c r="AH521" s="8"/>
      <c r="AI521" s="8"/>
      <c r="AK521" s="111"/>
      <c r="AM521" s="8"/>
      <c r="AN521" s="8"/>
      <c r="AO521" s="8"/>
    </row>
    <row r="522" spans="1:42">
      <c r="A522" s="30">
        <v>492</v>
      </c>
      <c r="B522" s="146"/>
      <c r="C522" s="143" t="s">
        <v>1071</v>
      </c>
      <c r="D522" s="27"/>
      <c r="E522" s="27"/>
      <c r="F522" s="27"/>
      <c r="G522" s="27"/>
      <c r="H522" s="70" t="s">
        <v>1628</v>
      </c>
      <c r="I522" s="176" t="s">
        <v>867</v>
      </c>
      <c r="J522" s="137" t="s">
        <v>1072</v>
      </c>
      <c r="K522" s="117"/>
      <c r="L522" s="6"/>
      <c r="M522" s="6"/>
      <c r="N522" s="6"/>
      <c r="O522" s="44"/>
      <c r="P522" s="44"/>
      <c r="Q522" s="44"/>
      <c r="R522" s="53"/>
      <c r="S522" s="44"/>
      <c r="T522" s="44"/>
      <c r="U522" s="44"/>
      <c r="V522" s="53"/>
      <c r="W522" s="31"/>
      <c r="AA522" s="112"/>
      <c r="AB522" s="112"/>
      <c r="AC522" s="112"/>
      <c r="AE522" s="111"/>
      <c r="AG522" s="8"/>
      <c r="AH522" s="8"/>
      <c r="AI522" s="8"/>
      <c r="AK522" s="111"/>
      <c r="AM522" s="8"/>
      <c r="AN522" s="8"/>
      <c r="AO522" s="8"/>
    </row>
    <row r="523" spans="1:42">
      <c r="A523" s="30">
        <v>493</v>
      </c>
      <c r="B523" s="146"/>
      <c r="C523" s="143" t="s">
        <v>1626</v>
      </c>
      <c r="D523" s="27"/>
      <c r="E523" s="27"/>
      <c r="F523" s="27"/>
      <c r="G523" s="27"/>
      <c r="H523" s="70" t="s">
        <v>1627</v>
      </c>
      <c r="I523" s="176" t="s">
        <v>867</v>
      </c>
      <c r="J523" s="137" t="s">
        <v>1630</v>
      </c>
      <c r="K523" s="117"/>
      <c r="L523" s="6"/>
      <c r="M523" s="6"/>
      <c r="N523" s="6"/>
      <c r="O523" s="44"/>
      <c r="P523" s="44"/>
      <c r="Q523" s="44"/>
      <c r="R523" s="53"/>
      <c r="S523" s="44"/>
      <c r="T523" s="44"/>
      <c r="U523" s="44"/>
      <c r="V523" s="53"/>
      <c r="W523" s="31"/>
      <c r="AA523" s="112"/>
      <c r="AB523" s="112"/>
      <c r="AC523" s="112"/>
      <c r="AE523" s="111"/>
      <c r="AG523" s="8"/>
      <c r="AH523" s="8"/>
      <c r="AI523" s="8"/>
      <c r="AK523" s="111"/>
      <c r="AM523" s="8"/>
      <c r="AN523" s="8"/>
      <c r="AO523" s="8"/>
    </row>
    <row r="524" spans="1:42">
      <c r="A524" s="30">
        <v>494</v>
      </c>
      <c r="B524" s="146"/>
      <c r="C524" s="159" t="s">
        <v>686</v>
      </c>
      <c r="D524" s="27"/>
      <c r="E524" s="27"/>
      <c r="F524" s="27"/>
      <c r="G524" s="27"/>
      <c r="H524" s="70" t="s">
        <v>687</v>
      </c>
      <c r="I524" s="176"/>
      <c r="J524" s="137" t="s">
        <v>685</v>
      </c>
      <c r="K524" s="117"/>
      <c r="L524" s="6"/>
      <c r="M524" s="6"/>
      <c r="N524" s="6"/>
      <c r="O524" s="44"/>
      <c r="P524" s="44"/>
      <c r="Q524" s="44"/>
      <c r="R524" s="53"/>
      <c r="S524" s="44"/>
      <c r="T524" s="44"/>
      <c r="U524" s="44"/>
      <c r="V524" s="53"/>
      <c r="W524" s="31"/>
      <c r="AA524" s="112"/>
      <c r="AB524" s="112"/>
      <c r="AC524" s="112"/>
      <c r="AE524" s="111"/>
      <c r="AG524" s="8"/>
      <c r="AH524" s="8"/>
      <c r="AI524" s="8"/>
      <c r="AK524" s="111"/>
      <c r="AM524" s="8"/>
      <c r="AN524" s="8"/>
      <c r="AO524" s="8"/>
    </row>
    <row r="525" spans="1:42">
      <c r="A525" s="30">
        <v>495</v>
      </c>
      <c r="B525" s="146"/>
      <c r="C525" s="143" t="s">
        <v>660</v>
      </c>
      <c r="D525" s="27"/>
      <c r="E525" s="27"/>
      <c r="F525" s="27"/>
      <c r="G525" s="27"/>
      <c r="H525" s="70" t="s">
        <v>1034</v>
      </c>
      <c r="I525" s="176" t="s">
        <v>865</v>
      </c>
      <c r="J525" s="137" t="s">
        <v>661</v>
      </c>
      <c r="K525" s="117"/>
      <c r="L525" s="6"/>
      <c r="M525" s="6"/>
      <c r="N525" s="6"/>
      <c r="O525" s="44"/>
      <c r="P525" s="44"/>
      <c r="Q525" s="44"/>
      <c r="R525" s="53"/>
      <c r="S525" s="44"/>
      <c r="T525" s="44"/>
      <c r="U525" s="44"/>
      <c r="V525" s="53"/>
      <c r="W525" s="31"/>
      <c r="AA525" s="112"/>
      <c r="AB525" s="112"/>
      <c r="AC525" s="112"/>
      <c r="AE525" s="111"/>
      <c r="AG525" s="8"/>
      <c r="AH525" s="8"/>
      <c r="AI525" s="8"/>
      <c r="AK525" s="111"/>
      <c r="AM525" s="8"/>
      <c r="AN525" s="8"/>
      <c r="AO525" s="8"/>
    </row>
    <row r="526" spans="1:42" ht="27">
      <c r="A526" s="30">
        <v>496</v>
      </c>
      <c r="B526" s="146"/>
      <c r="C526" s="143" t="s">
        <v>1170</v>
      </c>
      <c r="D526" s="27"/>
      <c r="E526" s="27"/>
      <c r="F526" s="27"/>
      <c r="G526" s="27"/>
      <c r="H526" s="70" t="s">
        <v>1174</v>
      </c>
      <c r="I526" s="176" t="s">
        <v>1175</v>
      </c>
      <c r="J526" s="137" t="s">
        <v>1176</v>
      </c>
      <c r="K526" s="117"/>
      <c r="L526" s="6"/>
      <c r="M526" s="6"/>
      <c r="N526" s="6"/>
      <c r="O526" s="44"/>
      <c r="P526" s="44"/>
      <c r="Q526" s="44"/>
      <c r="R526" s="53"/>
      <c r="S526" s="44"/>
      <c r="T526" s="44"/>
      <c r="U526" s="44"/>
      <c r="V526" s="53"/>
      <c r="W526" s="31"/>
      <c r="X526" s="9"/>
      <c r="Y526" s="11"/>
      <c r="Z526" s="11"/>
      <c r="AA526" s="63"/>
      <c r="AB526" s="63"/>
      <c r="AC526" s="63"/>
      <c r="AD526" s="36"/>
      <c r="AE526" s="31"/>
      <c r="AF526" s="9"/>
      <c r="AG526" s="6"/>
      <c r="AH526" s="6"/>
      <c r="AI526" s="6"/>
      <c r="AJ526" s="36"/>
      <c r="AK526" s="31"/>
      <c r="AL526" s="9"/>
      <c r="AM526" s="6"/>
      <c r="AN526" s="6"/>
      <c r="AO526" s="6"/>
      <c r="AP526" s="36"/>
    </row>
    <row r="527" spans="1:42">
      <c r="A527" s="30">
        <v>498</v>
      </c>
      <c r="B527" s="146"/>
      <c r="C527" s="143" t="s">
        <v>705</v>
      </c>
      <c r="D527" s="27"/>
      <c r="E527" s="27"/>
      <c r="F527" s="27"/>
      <c r="G527" s="27"/>
      <c r="H527" s="70" t="s">
        <v>760</v>
      </c>
      <c r="I527" s="176" t="s">
        <v>895</v>
      </c>
      <c r="J527" s="137" t="s">
        <v>604</v>
      </c>
      <c r="K527" s="117"/>
      <c r="L527" s="6"/>
      <c r="M527" s="6"/>
      <c r="N527" s="6"/>
      <c r="O527" s="44"/>
      <c r="P527" s="44"/>
      <c r="Q527" s="44"/>
      <c r="R527" s="53"/>
      <c r="S527" s="44"/>
      <c r="T527" s="44"/>
      <c r="U527" s="44"/>
      <c r="V527" s="53"/>
      <c r="W527" s="31"/>
      <c r="AA527" s="112"/>
      <c r="AB527" s="112"/>
      <c r="AC527" s="112"/>
      <c r="AE527" s="111"/>
      <c r="AG527" s="8"/>
      <c r="AH527" s="8"/>
      <c r="AI527" s="8"/>
      <c r="AK527" s="111"/>
      <c r="AM527" s="8"/>
      <c r="AN527" s="8"/>
      <c r="AO527" s="8"/>
    </row>
    <row r="528" spans="1:42">
      <c r="A528" s="30">
        <v>499</v>
      </c>
      <c r="B528" s="146"/>
      <c r="C528" s="143" t="s">
        <v>1074</v>
      </c>
      <c r="D528" s="27"/>
      <c r="E528" s="27"/>
      <c r="F528" s="27"/>
      <c r="G528" s="27"/>
      <c r="H528" s="70" t="s">
        <v>1075</v>
      </c>
      <c r="I528" s="176" t="s">
        <v>1060</v>
      </c>
      <c r="J528" s="137" t="s">
        <v>604</v>
      </c>
      <c r="K528" s="117"/>
      <c r="L528" s="6"/>
      <c r="M528" s="6"/>
      <c r="N528" s="6"/>
      <c r="O528" s="44"/>
      <c r="P528" s="44"/>
      <c r="Q528" s="44"/>
      <c r="R528" s="53"/>
      <c r="S528" s="44"/>
      <c r="T528" s="44"/>
      <c r="U528" s="44"/>
      <c r="V528" s="53"/>
      <c r="W528" s="31"/>
      <c r="AA528" s="112"/>
      <c r="AB528" s="112"/>
      <c r="AC528" s="112"/>
      <c r="AE528" s="111"/>
      <c r="AG528" s="8"/>
      <c r="AH528" s="8"/>
      <c r="AI528" s="8"/>
      <c r="AK528" s="111"/>
      <c r="AM528" s="8"/>
      <c r="AN528" s="8"/>
      <c r="AO528" s="8"/>
    </row>
    <row r="529" spans="1:42">
      <c r="A529" s="30">
        <v>500</v>
      </c>
      <c r="B529" s="146"/>
      <c r="C529" s="143" t="s">
        <v>668</v>
      </c>
      <c r="D529" s="27"/>
      <c r="E529" s="27"/>
      <c r="F529" s="27"/>
      <c r="G529" s="27"/>
      <c r="H529" s="70" t="s">
        <v>1877</v>
      </c>
      <c r="I529" s="176" t="s">
        <v>837</v>
      </c>
      <c r="J529" s="137" t="s">
        <v>710</v>
      </c>
      <c r="K529" s="117"/>
      <c r="L529" s="6"/>
      <c r="M529" s="6"/>
      <c r="N529" s="6"/>
      <c r="O529" s="44"/>
      <c r="P529" s="44"/>
      <c r="Q529" s="44"/>
      <c r="R529" s="53"/>
      <c r="S529" s="44"/>
      <c r="T529" s="44"/>
      <c r="U529" s="44"/>
      <c r="V529" s="53"/>
      <c r="W529" s="31"/>
      <c r="AA529" s="112"/>
      <c r="AB529" s="112"/>
      <c r="AC529" s="112"/>
      <c r="AE529" s="111"/>
      <c r="AG529" s="8"/>
      <c r="AH529" s="8"/>
      <c r="AI529" s="8"/>
      <c r="AK529" s="111"/>
      <c r="AM529" s="8"/>
      <c r="AN529" s="8"/>
      <c r="AO529" s="8"/>
    </row>
    <row r="530" spans="1:42">
      <c r="A530" s="30">
        <v>501</v>
      </c>
      <c r="B530" s="146"/>
      <c r="C530" s="143" t="s">
        <v>709</v>
      </c>
      <c r="D530" s="27"/>
      <c r="E530" s="27"/>
      <c r="F530" s="27"/>
      <c r="G530" s="27"/>
      <c r="H530" s="70" t="s">
        <v>1878</v>
      </c>
      <c r="I530" s="176" t="s">
        <v>837</v>
      </c>
      <c r="J530" s="137" t="s">
        <v>710</v>
      </c>
      <c r="K530" s="117"/>
      <c r="L530" s="6"/>
      <c r="M530" s="6"/>
      <c r="N530" s="6"/>
      <c r="O530" s="44"/>
      <c r="P530" s="44"/>
      <c r="Q530" s="44"/>
      <c r="R530" s="53"/>
      <c r="S530" s="44"/>
      <c r="T530" s="44"/>
      <c r="U530" s="44"/>
      <c r="V530" s="53"/>
      <c r="W530" s="31"/>
      <c r="X530" s="9"/>
      <c r="Y530" s="11"/>
      <c r="Z530" s="11"/>
      <c r="AA530" s="63"/>
      <c r="AB530" s="63"/>
      <c r="AC530" s="63"/>
      <c r="AD530" s="36"/>
      <c r="AE530" s="31"/>
      <c r="AF530" s="9"/>
      <c r="AG530" s="6"/>
      <c r="AH530" s="6"/>
      <c r="AI530" s="6"/>
      <c r="AJ530" s="36"/>
      <c r="AK530" s="31"/>
      <c r="AL530" s="9"/>
      <c r="AM530" s="6"/>
      <c r="AN530" s="6"/>
      <c r="AO530" s="6"/>
      <c r="AP530" s="36"/>
    </row>
    <row r="531" spans="1:42">
      <c r="A531" s="30">
        <v>502</v>
      </c>
      <c r="B531" s="146"/>
      <c r="C531" s="143" t="s">
        <v>799</v>
      </c>
      <c r="D531" s="27"/>
      <c r="E531" s="27"/>
      <c r="F531" s="27"/>
      <c r="G531" s="27"/>
      <c r="H531" s="70" t="s">
        <v>800</v>
      </c>
      <c r="I531" s="176" t="s">
        <v>837</v>
      </c>
      <c r="J531" s="137" t="s">
        <v>710</v>
      </c>
      <c r="K531" s="117"/>
      <c r="L531" s="6"/>
      <c r="M531" s="6"/>
      <c r="N531" s="6"/>
      <c r="O531" s="44"/>
      <c r="P531" s="44"/>
      <c r="Q531" s="44"/>
      <c r="R531" s="53"/>
      <c r="S531" s="44"/>
      <c r="T531" s="44"/>
      <c r="U531" s="44"/>
      <c r="V531" s="53"/>
      <c r="W531" s="31"/>
      <c r="X531" s="9"/>
      <c r="Y531" s="11"/>
      <c r="Z531" s="11"/>
      <c r="AA531" s="63"/>
      <c r="AB531" s="63"/>
      <c r="AC531" s="63"/>
      <c r="AD531" s="36"/>
      <c r="AE531" s="31"/>
      <c r="AF531" s="9"/>
      <c r="AG531" s="6"/>
      <c r="AH531" s="6"/>
      <c r="AI531" s="6"/>
      <c r="AJ531" s="36"/>
      <c r="AK531" s="31"/>
      <c r="AL531" s="9"/>
      <c r="AM531" s="6"/>
      <c r="AN531" s="6"/>
      <c r="AO531" s="6"/>
      <c r="AP531" s="36"/>
    </row>
    <row r="532" spans="1:42">
      <c r="A532" s="30">
        <v>503</v>
      </c>
      <c r="B532" s="146"/>
      <c r="C532" s="143" t="s">
        <v>1313</v>
      </c>
      <c r="D532" s="27"/>
      <c r="E532" s="27"/>
      <c r="F532" s="27"/>
      <c r="G532" s="27"/>
      <c r="H532" s="70" t="s">
        <v>1855</v>
      </c>
      <c r="I532" s="176" t="s">
        <v>1314</v>
      </c>
      <c r="J532" s="137" t="s">
        <v>1315</v>
      </c>
      <c r="K532" s="117"/>
      <c r="L532" s="6"/>
      <c r="M532" s="6"/>
      <c r="N532" s="6"/>
      <c r="O532" s="44"/>
      <c r="P532" s="44"/>
      <c r="Q532" s="44"/>
      <c r="R532" s="53"/>
      <c r="S532" s="44"/>
      <c r="T532" s="44"/>
      <c r="U532" s="44"/>
      <c r="V532" s="53"/>
      <c r="W532" s="31"/>
      <c r="X532" s="9"/>
      <c r="Y532" s="11"/>
      <c r="Z532" s="11"/>
      <c r="AA532" s="63"/>
      <c r="AB532" s="63"/>
      <c r="AC532" s="63"/>
      <c r="AD532" s="36"/>
      <c r="AE532" s="31"/>
      <c r="AF532" s="9"/>
      <c r="AG532" s="6"/>
      <c r="AH532" s="6"/>
      <c r="AI532" s="6"/>
      <c r="AJ532" s="36"/>
      <c r="AK532" s="31"/>
      <c r="AL532" s="9"/>
      <c r="AM532" s="6"/>
      <c r="AN532" s="6"/>
      <c r="AO532" s="6"/>
      <c r="AP532" s="36"/>
    </row>
    <row r="533" spans="1:42">
      <c r="A533" s="30">
        <v>504</v>
      </c>
      <c r="B533" s="146"/>
      <c r="C533" s="143" t="s">
        <v>945</v>
      </c>
      <c r="D533" s="27"/>
      <c r="E533" s="27"/>
      <c r="F533" s="27"/>
      <c r="G533" s="27"/>
      <c r="H533" s="70" t="s">
        <v>1953</v>
      </c>
      <c r="I533" s="176"/>
      <c r="J533" s="137" t="s">
        <v>1390</v>
      </c>
      <c r="K533" s="117"/>
      <c r="L533" s="6"/>
      <c r="M533" s="6"/>
      <c r="N533" s="6"/>
      <c r="O533" s="44"/>
      <c r="P533" s="44"/>
      <c r="Q533" s="44"/>
      <c r="R533" s="53"/>
      <c r="S533" s="44"/>
      <c r="T533" s="44"/>
      <c r="U533" s="44"/>
      <c r="V533" s="53"/>
      <c r="W533" s="31"/>
      <c r="X533" s="9"/>
      <c r="Y533" s="11"/>
      <c r="Z533" s="11"/>
      <c r="AA533" s="63"/>
      <c r="AB533" s="63"/>
      <c r="AC533" s="63"/>
      <c r="AD533" s="36"/>
      <c r="AE533" s="31"/>
      <c r="AF533" s="9"/>
      <c r="AG533" s="6"/>
      <c r="AH533" s="6"/>
      <c r="AI533" s="6"/>
      <c r="AJ533" s="36"/>
      <c r="AK533" s="31"/>
      <c r="AL533" s="9"/>
      <c r="AM533" s="6"/>
      <c r="AN533" s="6"/>
      <c r="AO533" s="6"/>
      <c r="AP533" s="36"/>
    </row>
    <row r="534" spans="1:42" ht="27">
      <c r="A534" s="30">
        <v>505</v>
      </c>
      <c r="B534" s="146"/>
      <c r="C534" s="143" t="s">
        <v>518</v>
      </c>
      <c r="D534" s="27"/>
      <c r="E534" s="27"/>
      <c r="F534" s="27"/>
      <c r="G534" s="27"/>
      <c r="H534" s="70" t="s">
        <v>1409</v>
      </c>
      <c r="I534" s="176" t="s">
        <v>1410</v>
      </c>
      <c r="J534" s="137" t="s">
        <v>1411</v>
      </c>
      <c r="K534" s="117"/>
      <c r="L534" s="6"/>
      <c r="M534" s="6"/>
      <c r="N534" s="6"/>
      <c r="O534" s="44"/>
      <c r="P534" s="44"/>
      <c r="Q534" s="44"/>
      <c r="R534" s="53"/>
      <c r="S534" s="44"/>
      <c r="T534" s="44"/>
      <c r="U534" s="44"/>
      <c r="V534" s="53"/>
      <c r="W534" s="31"/>
      <c r="X534" s="9"/>
      <c r="Y534" s="11"/>
      <c r="Z534" s="11"/>
      <c r="AA534" s="63"/>
      <c r="AB534" s="63"/>
      <c r="AC534" s="63"/>
      <c r="AD534" s="36"/>
      <c r="AE534" s="31"/>
      <c r="AF534" s="9"/>
      <c r="AG534" s="6"/>
      <c r="AH534" s="6"/>
      <c r="AI534" s="6"/>
      <c r="AJ534" s="36"/>
      <c r="AK534" s="31"/>
      <c r="AL534" s="9"/>
      <c r="AM534" s="6"/>
      <c r="AN534" s="6"/>
      <c r="AO534" s="6"/>
      <c r="AP534" s="36"/>
    </row>
    <row r="535" spans="1:42">
      <c r="A535" s="30">
        <v>506</v>
      </c>
      <c r="B535" s="146"/>
      <c r="C535" s="143" t="s">
        <v>1527</v>
      </c>
      <c r="D535" s="27"/>
      <c r="E535" s="27"/>
      <c r="F535" s="27"/>
      <c r="G535" s="27"/>
      <c r="H535" s="70" t="s">
        <v>1528</v>
      </c>
      <c r="I535" s="176" t="s">
        <v>864</v>
      </c>
      <c r="J535" s="137" t="s">
        <v>1529</v>
      </c>
      <c r="K535" s="117"/>
      <c r="L535" s="6"/>
      <c r="M535" s="6"/>
      <c r="N535" s="6"/>
      <c r="O535" s="44"/>
      <c r="P535" s="44"/>
      <c r="Q535" s="44"/>
      <c r="R535" s="53"/>
      <c r="S535" s="44"/>
      <c r="T535" s="44"/>
      <c r="U535" s="44"/>
      <c r="V535" s="53"/>
      <c r="W535" s="31"/>
      <c r="X535" s="9"/>
      <c r="Y535" s="11"/>
      <c r="Z535" s="11"/>
      <c r="AA535" s="63"/>
      <c r="AB535" s="63"/>
      <c r="AC535" s="63"/>
      <c r="AD535" s="36"/>
      <c r="AE535" s="31"/>
      <c r="AF535" s="9"/>
      <c r="AG535" s="6"/>
      <c r="AH535" s="6"/>
      <c r="AI535" s="6"/>
      <c r="AJ535" s="36"/>
      <c r="AK535" s="31"/>
      <c r="AL535" s="9"/>
      <c r="AM535" s="6"/>
      <c r="AN535" s="6"/>
      <c r="AO535" s="6"/>
      <c r="AP535" s="36"/>
    </row>
    <row r="536" spans="1:42">
      <c r="A536" s="30">
        <v>507</v>
      </c>
      <c r="B536" s="146"/>
      <c r="C536" s="143" t="s">
        <v>574</v>
      </c>
      <c r="D536" s="27"/>
      <c r="E536" s="27"/>
      <c r="F536" s="27"/>
      <c r="G536" s="27"/>
      <c r="H536" s="70" t="s">
        <v>714</v>
      </c>
      <c r="I536" s="176"/>
      <c r="J536" s="137"/>
      <c r="K536" s="29"/>
      <c r="L536" s="11"/>
      <c r="M536" s="11"/>
      <c r="N536" s="11"/>
      <c r="O536" s="44"/>
      <c r="P536" s="44"/>
      <c r="Q536" s="44"/>
      <c r="R536" s="53"/>
      <c r="S536" s="44"/>
      <c r="T536" s="46"/>
      <c r="U536" s="46"/>
      <c r="V536" s="53"/>
      <c r="W536" s="31"/>
      <c r="X536" s="9"/>
      <c r="Y536" s="11"/>
      <c r="Z536" s="11"/>
      <c r="AA536" s="63"/>
      <c r="AB536" s="63"/>
      <c r="AC536" s="63"/>
      <c r="AD536" s="36"/>
      <c r="AE536" s="31"/>
      <c r="AF536" s="9"/>
      <c r="AG536" s="6"/>
      <c r="AH536" s="6"/>
      <c r="AI536" s="6"/>
      <c r="AJ536" s="36"/>
      <c r="AK536" s="31"/>
      <c r="AL536" s="9"/>
      <c r="AM536" s="6"/>
      <c r="AN536" s="6"/>
      <c r="AO536" s="6"/>
      <c r="AP536" s="36"/>
    </row>
    <row r="537" spans="1:42">
      <c r="A537" s="30">
        <v>508</v>
      </c>
      <c r="B537" s="146"/>
      <c r="C537" s="143" t="s">
        <v>540</v>
      </c>
      <c r="D537" s="27"/>
      <c r="E537" s="27"/>
      <c r="F537" s="27"/>
      <c r="G537" s="27"/>
      <c r="H537" s="70" t="s">
        <v>761</v>
      </c>
      <c r="I537" s="176"/>
      <c r="J537" s="137"/>
      <c r="K537" s="117"/>
      <c r="L537" s="6"/>
      <c r="M537" s="6"/>
      <c r="N537" s="6"/>
      <c r="O537" s="44"/>
      <c r="P537" s="44"/>
      <c r="Q537" s="44"/>
      <c r="R537" s="53"/>
      <c r="S537" s="44"/>
      <c r="T537" s="44"/>
      <c r="U537" s="44"/>
      <c r="V537" s="53"/>
      <c r="W537" s="31"/>
      <c r="X537" s="9"/>
      <c r="Y537" s="11"/>
      <c r="Z537" s="11"/>
      <c r="AA537" s="63"/>
      <c r="AB537" s="63"/>
      <c r="AC537" s="63"/>
      <c r="AD537" s="36"/>
      <c r="AE537" s="31"/>
      <c r="AF537" s="9"/>
      <c r="AG537" s="6"/>
      <c r="AH537" s="6"/>
      <c r="AI537" s="6"/>
      <c r="AJ537" s="36"/>
      <c r="AK537" s="31"/>
      <c r="AL537" s="9"/>
      <c r="AM537" s="6"/>
      <c r="AN537" s="6"/>
      <c r="AO537" s="6"/>
      <c r="AP537" s="36"/>
    </row>
    <row r="538" spans="1:42">
      <c r="A538" s="30">
        <v>509</v>
      </c>
      <c r="B538" s="146"/>
      <c r="C538" s="143" t="s">
        <v>535</v>
      </c>
      <c r="D538" s="27"/>
      <c r="E538" s="27"/>
      <c r="F538" s="27"/>
      <c r="G538" s="27"/>
      <c r="H538" s="70" t="s">
        <v>762</v>
      </c>
      <c r="I538" s="176"/>
      <c r="J538" s="137"/>
      <c r="K538" s="117"/>
      <c r="L538" s="6"/>
      <c r="M538" s="6"/>
      <c r="N538" s="6"/>
      <c r="O538" s="44"/>
      <c r="P538" s="44"/>
      <c r="Q538" s="44"/>
      <c r="R538" s="53"/>
      <c r="S538" s="44"/>
      <c r="T538" s="44"/>
      <c r="U538" s="44"/>
      <c r="V538" s="53"/>
      <c r="W538" s="31"/>
      <c r="X538" s="9"/>
      <c r="Y538" s="11"/>
      <c r="Z538" s="11"/>
      <c r="AA538" s="63"/>
      <c r="AB538" s="63"/>
      <c r="AC538" s="63"/>
      <c r="AD538" s="36"/>
      <c r="AE538" s="31"/>
      <c r="AF538" s="9"/>
      <c r="AG538" s="6"/>
      <c r="AH538" s="6"/>
      <c r="AI538" s="6"/>
      <c r="AJ538" s="36"/>
      <c r="AK538" s="31"/>
      <c r="AL538" s="9"/>
      <c r="AM538" s="6"/>
      <c r="AN538" s="6"/>
      <c r="AO538" s="6"/>
      <c r="AP538" s="36"/>
    </row>
    <row r="539" spans="1:42">
      <c r="A539" s="30">
        <v>510</v>
      </c>
      <c r="B539" s="146"/>
      <c r="C539" s="143" t="s">
        <v>1974</v>
      </c>
      <c r="D539" s="27"/>
      <c r="E539" s="27"/>
      <c r="F539" s="27"/>
      <c r="G539" s="27"/>
      <c r="H539" s="70" t="s">
        <v>1976</v>
      </c>
      <c r="I539" s="176" t="s">
        <v>1929</v>
      </c>
      <c r="J539" s="137" t="s">
        <v>1975</v>
      </c>
      <c r="K539" s="117"/>
      <c r="L539" s="6"/>
      <c r="M539" s="6"/>
      <c r="N539" s="6"/>
      <c r="O539" s="44"/>
      <c r="P539" s="44"/>
      <c r="Q539" s="44"/>
      <c r="R539" s="53"/>
      <c r="S539" s="44"/>
      <c r="T539" s="44"/>
      <c r="U539" s="44"/>
      <c r="V539" s="53"/>
      <c r="W539" s="31"/>
      <c r="X539" s="9"/>
      <c r="Y539" s="11"/>
      <c r="Z539" s="11"/>
      <c r="AA539" s="63"/>
      <c r="AB539" s="63"/>
      <c r="AC539" s="63"/>
      <c r="AD539" s="36"/>
      <c r="AE539" s="31"/>
      <c r="AF539" s="9"/>
      <c r="AG539" s="6"/>
      <c r="AH539" s="6"/>
      <c r="AI539" s="6"/>
      <c r="AJ539" s="36"/>
      <c r="AK539" s="31"/>
      <c r="AL539" s="9"/>
      <c r="AM539" s="6"/>
      <c r="AN539" s="6"/>
      <c r="AO539" s="6"/>
      <c r="AP539" s="36"/>
    </row>
    <row r="540" spans="1:42">
      <c r="A540" s="30">
        <v>511</v>
      </c>
      <c r="B540" s="146"/>
      <c r="C540" s="143" t="s">
        <v>1331</v>
      </c>
      <c r="D540" s="27"/>
      <c r="E540" s="27"/>
      <c r="F540" s="27"/>
      <c r="G540" s="27"/>
      <c r="H540" s="70" t="s">
        <v>1330</v>
      </c>
      <c r="I540" s="176" t="s">
        <v>862</v>
      </c>
      <c r="J540" s="137" t="s">
        <v>644</v>
      </c>
      <c r="K540" s="117"/>
      <c r="L540" s="6"/>
      <c r="M540" s="6"/>
      <c r="N540" s="6"/>
      <c r="O540" s="44"/>
      <c r="P540" s="44"/>
      <c r="Q540" s="44"/>
      <c r="R540" s="53"/>
      <c r="S540" s="44"/>
      <c r="T540" s="44"/>
      <c r="U540" s="44"/>
      <c r="V540" s="53"/>
      <c r="W540" s="31"/>
      <c r="X540" s="9"/>
      <c r="Y540" s="11"/>
      <c r="Z540" s="11"/>
      <c r="AA540" s="63"/>
      <c r="AB540" s="63"/>
      <c r="AC540" s="63"/>
      <c r="AD540" s="36"/>
      <c r="AE540" s="31"/>
      <c r="AF540" s="9"/>
      <c r="AG540" s="6"/>
      <c r="AH540" s="6"/>
      <c r="AI540" s="6"/>
      <c r="AJ540" s="36"/>
      <c r="AK540" s="31"/>
      <c r="AL540" s="9"/>
      <c r="AM540" s="6"/>
      <c r="AN540" s="6"/>
      <c r="AO540" s="6"/>
      <c r="AP540" s="36"/>
    </row>
    <row r="541" spans="1:42">
      <c r="A541" s="30">
        <v>512</v>
      </c>
      <c r="B541" s="146"/>
      <c r="C541" s="143" t="s">
        <v>1926</v>
      </c>
      <c r="D541" s="27"/>
      <c r="E541" s="27"/>
      <c r="F541" s="27"/>
      <c r="G541" s="27"/>
      <c r="H541" s="70" t="s">
        <v>1924</v>
      </c>
      <c r="I541" s="176"/>
      <c r="J541" s="137" t="s">
        <v>1925</v>
      </c>
      <c r="K541" s="117"/>
      <c r="L541" s="6"/>
      <c r="M541" s="6"/>
      <c r="N541" s="6"/>
      <c r="O541" s="44"/>
      <c r="P541" s="44"/>
      <c r="Q541" s="44"/>
      <c r="R541" s="53"/>
      <c r="S541" s="44"/>
      <c r="T541" s="44"/>
      <c r="U541" s="44"/>
      <c r="V541" s="53"/>
      <c r="W541" s="31"/>
      <c r="X541" s="9"/>
      <c r="Y541" s="11"/>
      <c r="Z541" s="11"/>
      <c r="AA541" s="63"/>
      <c r="AB541" s="63"/>
      <c r="AC541" s="63"/>
      <c r="AD541" s="36"/>
      <c r="AE541" s="31"/>
      <c r="AF541" s="9"/>
      <c r="AG541" s="6"/>
      <c r="AH541" s="6"/>
      <c r="AI541" s="6"/>
      <c r="AJ541" s="36"/>
      <c r="AK541" s="31"/>
      <c r="AL541" s="9"/>
      <c r="AM541" s="6"/>
      <c r="AN541" s="6"/>
      <c r="AO541" s="6"/>
      <c r="AP541" s="36"/>
    </row>
    <row r="542" spans="1:42">
      <c r="A542" s="30">
        <v>513</v>
      </c>
      <c r="B542" s="146"/>
      <c r="C542" s="143" t="s">
        <v>1036</v>
      </c>
      <c r="D542" s="27"/>
      <c r="E542" s="27"/>
      <c r="F542" s="27"/>
      <c r="G542" s="27"/>
      <c r="H542" s="70" t="s">
        <v>1037</v>
      </c>
      <c r="I542" s="176"/>
      <c r="J542" s="137" t="s">
        <v>924</v>
      </c>
      <c r="K542" s="117"/>
      <c r="L542" s="6"/>
      <c r="M542" s="6"/>
      <c r="N542" s="6"/>
      <c r="O542" s="44"/>
      <c r="P542" s="44"/>
      <c r="Q542" s="44"/>
      <c r="R542" s="53"/>
      <c r="S542" s="44"/>
      <c r="T542" s="44"/>
      <c r="U542" s="44"/>
      <c r="V542" s="53"/>
      <c r="W542" s="31"/>
      <c r="X542" s="9"/>
      <c r="Y542" s="11"/>
      <c r="Z542" s="11"/>
      <c r="AA542" s="63"/>
      <c r="AB542" s="63"/>
      <c r="AC542" s="63"/>
      <c r="AD542" s="36"/>
      <c r="AE542" s="31"/>
      <c r="AF542" s="9"/>
      <c r="AG542" s="6"/>
      <c r="AH542" s="6"/>
      <c r="AI542" s="6"/>
      <c r="AJ542" s="36"/>
      <c r="AK542" s="31"/>
      <c r="AL542" s="9"/>
      <c r="AM542" s="6"/>
      <c r="AN542" s="6"/>
      <c r="AO542" s="6"/>
      <c r="AP542" s="36"/>
    </row>
    <row r="543" spans="1:42" ht="27">
      <c r="A543" s="30">
        <v>514</v>
      </c>
      <c r="B543" s="146"/>
      <c r="C543" s="143" t="s">
        <v>1316</v>
      </c>
      <c r="D543" s="27"/>
      <c r="E543" s="27"/>
      <c r="F543" s="27"/>
      <c r="G543" s="27"/>
      <c r="H543" s="70" t="s">
        <v>1317</v>
      </c>
      <c r="I543" s="176" t="s">
        <v>837</v>
      </c>
      <c r="J543" s="137" t="s">
        <v>924</v>
      </c>
      <c r="K543" s="117"/>
      <c r="L543" s="6"/>
      <c r="M543" s="6"/>
      <c r="N543" s="6"/>
      <c r="O543" s="44"/>
      <c r="P543" s="44"/>
      <c r="Q543" s="44"/>
      <c r="R543" s="53"/>
      <c r="S543" s="44"/>
      <c r="T543" s="44"/>
      <c r="U543" s="44"/>
      <c r="V543" s="53"/>
      <c r="W543" s="31"/>
      <c r="X543" s="9"/>
      <c r="Y543" s="11"/>
      <c r="Z543" s="11"/>
      <c r="AA543" s="63"/>
      <c r="AB543" s="63"/>
      <c r="AC543" s="63"/>
      <c r="AD543" s="36"/>
      <c r="AE543" s="31"/>
      <c r="AF543" s="9"/>
      <c r="AG543" s="6"/>
      <c r="AH543" s="6"/>
      <c r="AI543" s="6"/>
      <c r="AJ543" s="36"/>
      <c r="AK543" s="31"/>
      <c r="AL543" s="9"/>
      <c r="AM543" s="6"/>
      <c r="AN543" s="6"/>
      <c r="AO543" s="6"/>
      <c r="AP543" s="36"/>
    </row>
    <row r="544" spans="1:42">
      <c r="A544" s="30">
        <v>515</v>
      </c>
      <c r="B544" s="146"/>
      <c r="C544" s="143" t="s">
        <v>1462</v>
      </c>
      <c r="D544" s="27"/>
      <c r="E544" s="27"/>
      <c r="F544" s="27"/>
      <c r="G544" s="27"/>
      <c r="H544" s="70" t="s">
        <v>1623</v>
      </c>
      <c r="I544" s="176" t="s">
        <v>1457</v>
      </c>
      <c r="J544" s="137"/>
      <c r="K544" s="117"/>
      <c r="L544" s="6"/>
      <c r="M544" s="6"/>
      <c r="N544" s="6"/>
      <c r="O544" s="44"/>
      <c r="P544" s="44"/>
      <c r="Q544" s="44"/>
      <c r="R544" s="53"/>
      <c r="S544" s="44"/>
      <c r="T544" s="44"/>
      <c r="U544" s="44"/>
      <c r="V544" s="53"/>
      <c r="W544" s="31"/>
      <c r="X544" s="9"/>
      <c r="Y544" s="11"/>
      <c r="Z544" s="11"/>
      <c r="AA544" s="63"/>
      <c r="AB544" s="63"/>
      <c r="AC544" s="63"/>
      <c r="AD544" s="36"/>
      <c r="AE544" s="31"/>
      <c r="AF544" s="9"/>
      <c r="AG544" s="6"/>
      <c r="AH544" s="6"/>
      <c r="AI544" s="6"/>
      <c r="AJ544" s="36"/>
      <c r="AK544" s="31"/>
      <c r="AL544" s="9"/>
      <c r="AM544" s="6"/>
      <c r="AN544" s="6"/>
      <c r="AO544" s="6"/>
      <c r="AP544" s="36"/>
    </row>
    <row r="545" spans="1:42">
      <c r="A545" s="30">
        <v>516</v>
      </c>
      <c r="B545" s="146"/>
      <c r="C545" s="143" t="s">
        <v>1190</v>
      </c>
      <c r="D545" s="27"/>
      <c r="E545" s="27"/>
      <c r="F545" s="27"/>
      <c r="G545" s="27"/>
      <c r="H545" s="213" t="s">
        <v>1191</v>
      </c>
      <c r="I545" s="214"/>
      <c r="J545" s="137"/>
      <c r="K545" s="117"/>
      <c r="L545" s="6"/>
      <c r="M545" s="6"/>
      <c r="N545" s="6"/>
      <c r="O545" s="44"/>
      <c r="P545" s="44"/>
      <c r="Q545" s="44"/>
      <c r="R545" s="53"/>
      <c r="S545" s="44"/>
      <c r="T545" s="44"/>
      <c r="U545" s="44"/>
      <c r="V545" s="53"/>
      <c r="W545" s="31"/>
      <c r="X545" s="9"/>
      <c r="Y545" s="11"/>
      <c r="Z545" s="11"/>
      <c r="AA545" s="63"/>
      <c r="AB545" s="63"/>
      <c r="AC545" s="63"/>
      <c r="AD545" s="36"/>
      <c r="AE545" s="31"/>
      <c r="AF545" s="9"/>
      <c r="AG545" s="6"/>
      <c r="AH545" s="6"/>
      <c r="AI545" s="6"/>
      <c r="AJ545" s="36"/>
      <c r="AK545" s="31"/>
      <c r="AL545" s="9"/>
      <c r="AM545" s="6"/>
      <c r="AN545" s="6"/>
      <c r="AO545" s="6"/>
      <c r="AP545" s="36"/>
    </row>
    <row r="546" spans="1:42">
      <c r="A546" s="30">
        <v>518</v>
      </c>
      <c r="B546" s="146"/>
      <c r="C546" s="143" t="s">
        <v>536</v>
      </c>
      <c r="D546" s="27"/>
      <c r="E546" s="27"/>
      <c r="F546" s="27"/>
      <c r="G546" s="27"/>
      <c r="H546" s="70" t="s">
        <v>528</v>
      </c>
      <c r="I546" s="176" t="s">
        <v>828</v>
      </c>
      <c r="J546" s="137"/>
      <c r="K546" s="117"/>
      <c r="L546" s="6"/>
      <c r="M546" s="6"/>
      <c r="N546" s="6"/>
      <c r="O546" s="44"/>
      <c r="P546" s="44"/>
      <c r="Q546" s="44"/>
      <c r="R546" s="53"/>
      <c r="S546" s="44"/>
      <c r="T546" s="44"/>
      <c r="U546" s="44"/>
      <c r="V546" s="53"/>
      <c r="W546" s="31"/>
      <c r="X546" s="9"/>
      <c r="Y546" s="11"/>
      <c r="Z546" s="11"/>
      <c r="AA546" s="63"/>
      <c r="AB546" s="63"/>
      <c r="AC546" s="63"/>
      <c r="AD546" s="36"/>
      <c r="AE546" s="31"/>
      <c r="AF546" s="9"/>
      <c r="AG546" s="6"/>
      <c r="AH546" s="6"/>
      <c r="AI546" s="6"/>
      <c r="AJ546" s="36"/>
      <c r="AK546" s="31"/>
      <c r="AL546" s="9"/>
      <c r="AM546" s="6"/>
      <c r="AN546" s="6"/>
      <c r="AO546" s="6"/>
      <c r="AP546" s="36"/>
    </row>
    <row r="547" spans="1:42">
      <c r="A547" s="30">
        <v>519</v>
      </c>
      <c r="B547" s="146"/>
      <c r="C547" s="143" t="s">
        <v>1458</v>
      </c>
      <c r="D547" s="27"/>
      <c r="E547" s="27"/>
      <c r="F547" s="27"/>
      <c r="G547" s="27"/>
      <c r="H547" s="70" t="s">
        <v>1469</v>
      </c>
      <c r="I547" s="176" t="s">
        <v>1471</v>
      </c>
      <c r="J547" s="137" t="s">
        <v>1470</v>
      </c>
      <c r="K547" s="117"/>
      <c r="L547" s="6"/>
      <c r="M547" s="6"/>
      <c r="N547" s="6"/>
      <c r="O547" s="44"/>
      <c r="P547" s="44"/>
      <c r="Q547" s="44"/>
      <c r="R547" s="53"/>
      <c r="S547" s="44"/>
      <c r="T547" s="44"/>
      <c r="U547" s="44"/>
      <c r="V547" s="53"/>
      <c r="W547" s="31"/>
      <c r="X547" s="9"/>
      <c r="Y547" s="11"/>
      <c r="Z547" s="11"/>
      <c r="AA547" s="63"/>
      <c r="AB547" s="63"/>
      <c r="AC547" s="63"/>
      <c r="AD547" s="36"/>
      <c r="AE547" s="31"/>
      <c r="AF547" s="9"/>
      <c r="AG547" s="6"/>
      <c r="AH547" s="6"/>
      <c r="AI547" s="6"/>
      <c r="AJ547" s="36"/>
      <c r="AK547" s="31"/>
      <c r="AL547" s="9"/>
      <c r="AM547" s="6"/>
      <c r="AN547" s="6"/>
      <c r="AO547" s="6"/>
      <c r="AP547" s="36"/>
    </row>
    <row r="548" spans="1:42">
      <c r="A548" s="30">
        <v>520</v>
      </c>
      <c r="B548" s="146"/>
      <c r="C548" s="143" t="s">
        <v>1459</v>
      </c>
      <c r="D548" s="27"/>
      <c r="E548" s="27"/>
      <c r="F548" s="27"/>
      <c r="G548" s="27"/>
      <c r="H548" s="70" t="s">
        <v>1506</v>
      </c>
      <c r="I548" s="176"/>
      <c r="J548" s="137" t="s">
        <v>1505</v>
      </c>
      <c r="K548" s="117"/>
      <c r="L548" s="6"/>
      <c r="M548" s="6"/>
      <c r="N548" s="6"/>
      <c r="O548" s="44"/>
      <c r="P548" s="44"/>
      <c r="Q548" s="44"/>
      <c r="R548" s="53"/>
      <c r="S548" s="44"/>
      <c r="T548" s="44"/>
      <c r="U548" s="44"/>
      <c r="V548" s="53"/>
      <c r="W548" s="31"/>
      <c r="X548" s="9"/>
      <c r="Y548" s="11"/>
      <c r="Z548" s="11"/>
      <c r="AA548" s="63"/>
      <c r="AB548" s="63"/>
      <c r="AC548" s="63"/>
      <c r="AD548" s="36"/>
      <c r="AE548" s="31"/>
      <c r="AF548" s="9"/>
      <c r="AG548" s="6"/>
      <c r="AH548" s="6"/>
      <c r="AI548" s="6"/>
      <c r="AJ548" s="36"/>
      <c r="AK548" s="31"/>
      <c r="AL548" s="9"/>
      <c r="AM548" s="6"/>
      <c r="AN548" s="6"/>
      <c r="AO548" s="6"/>
      <c r="AP548" s="36"/>
    </row>
    <row r="549" spans="1:42">
      <c r="A549" s="30">
        <v>521</v>
      </c>
      <c r="B549" s="146"/>
      <c r="C549" s="143" t="s">
        <v>576</v>
      </c>
      <c r="D549" s="27"/>
      <c r="E549" s="27"/>
      <c r="F549" s="27"/>
      <c r="G549" s="27"/>
      <c r="H549" s="70" t="s">
        <v>577</v>
      </c>
      <c r="I549" s="176"/>
      <c r="J549" s="137" t="s">
        <v>645</v>
      </c>
      <c r="K549" s="117"/>
      <c r="L549" s="6"/>
      <c r="M549" s="6"/>
      <c r="N549" s="6"/>
      <c r="O549" s="44"/>
      <c r="P549" s="44"/>
      <c r="Q549" s="44"/>
      <c r="R549" s="53"/>
      <c r="S549" s="44"/>
      <c r="T549" s="44"/>
      <c r="U549" s="44"/>
      <c r="V549" s="53"/>
      <c r="W549" s="31"/>
      <c r="X549" s="9"/>
      <c r="Y549" s="11"/>
      <c r="Z549" s="11"/>
      <c r="AA549" s="63"/>
      <c r="AB549" s="63"/>
      <c r="AC549" s="63"/>
      <c r="AD549" s="36"/>
      <c r="AE549" s="31"/>
      <c r="AF549" s="9"/>
      <c r="AG549" s="6"/>
      <c r="AH549" s="6"/>
      <c r="AI549" s="6"/>
      <c r="AJ549" s="36"/>
      <c r="AK549" s="31"/>
      <c r="AL549" s="9"/>
      <c r="AM549" s="6"/>
      <c r="AN549" s="6"/>
      <c r="AO549" s="6"/>
      <c r="AP549" s="36"/>
    </row>
    <row r="550" spans="1:42">
      <c r="A550" s="30">
        <v>522</v>
      </c>
      <c r="B550" s="146"/>
      <c r="C550" s="143" t="s">
        <v>562</v>
      </c>
      <c r="D550" s="27"/>
      <c r="E550" s="27"/>
      <c r="F550" s="27"/>
      <c r="G550" s="27"/>
      <c r="H550" s="104" t="s">
        <v>763</v>
      </c>
      <c r="I550" s="185"/>
      <c r="J550" s="136" t="s">
        <v>652</v>
      </c>
      <c r="K550" s="117"/>
      <c r="L550" s="6"/>
      <c r="M550" s="6"/>
      <c r="N550" s="6"/>
      <c r="O550" s="44"/>
      <c r="P550" s="44"/>
      <c r="Q550" s="44"/>
      <c r="R550" s="53"/>
      <c r="S550" s="44"/>
      <c r="T550" s="44"/>
      <c r="U550" s="44"/>
      <c r="V550" s="53"/>
      <c r="W550" s="31"/>
      <c r="X550" s="9"/>
      <c r="Y550" s="11"/>
      <c r="Z550" s="11"/>
      <c r="AA550" s="63"/>
      <c r="AB550" s="63"/>
      <c r="AC550" s="63"/>
      <c r="AD550" s="36"/>
      <c r="AE550" s="31"/>
      <c r="AF550" s="9"/>
      <c r="AG550" s="6"/>
      <c r="AH550" s="6"/>
      <c r="AI550" s="6"/>
      <c r="AJ550" s="36"/>
      <c r="AK550" s="31"/>
      <c r="AL550" s="9"/>
      <c r="AM550" s="6"/>
      <c r="AN550" s="6"/>
      <c r="AO550" s="6"/>
      <c r="AP550" s="36"/>
    </row>
    <row r="551" spans="1:42">
      <c r="A551" s="30">
        <v>523</v>
      </c>
      <c r="B551" s="146"/>
      <c r="C551" s="143" t="s">
        <v>615</v>
      </c>
      <c r="D551" s="27"/>
      <c r="E551" s="27"/>
      <c r="F551" s="27"/>
      <c r="G551" s="27"/>
      <c r="H551" s="104" t="s">
        <v>628</v>
      </c>
      <c r="I551" s="185" t="s">
        <v>823</v>
      </c>
      <c r="J551" s="136" t="s">
        <v>629</v>
      </c>
      <c r="K551" s="117"/>
      <c r="L551" s="6"/>
      <c r="M551" s="6"/>
      <c r="N551" s="6"/>
      <c r="O551" s="44"/>
      <c r="P551" s="44"/>
      <c r="Q551" s="44"/>
      <c r="R551" s="53"/>
      <c r="S551" s="44"/>
      <c r="T551" s="109"/>
      <c r="U551" s="109"/>
      <c r="V551" s="110"/>
      <c r="W551" s="111"/>
      <c r="AA551" s="112"/>
      <c r="AB551" s="112"/>
      <c r="AC551" s="112"/>
      <c r="AE551" s="111"/>
      <c r="AG551" s="8"/>
      <c r="AH551" s="8"/>
      <c r="AI551" s="8"/>
      <c r="AK551" s="111"/>
      <c r="AM551" s="8"/>
      <c r="AN551" s="8"/>
      <c r="AO551" s="8"/>
    </row>
    <row r="552" spans="1:42">
      <c r="A552" s="30">
        <v>524</v>
      </c>
      <c r="B552" s="146"/>
      <c r="C552" s="143" t="s">
        <v>1550</v>
      </c>
      <c r="D552" s="27"/>
      <c r="E552" s="27"/>
      <c r="F552" s="27"/>
      <c r="G552" s="27"/>
      <c r="H552" s="104" t="s">
        <v>764</v>
      </c>
      <c r="I552" s="185" t="s">
        <v>1483</v>
      </c>
      <c r="J552" s="136" t="s">
        <v>666</v>
      </c>
      <c r="K552" s="117"/>
      <c r="L552" s="6"/>
      <c r="M552" s="6"/>
      <c r="N552" s="6"/>
      <c r="O552" s="44"/>
      <c r="P552" s="44"/>
      <c r="Q552" s="44"/>
      <c r="R552" s="53"/>
      <c r="S552" s="44"/>
      <c r="T552" s="109"/>
      <c r="U552" s="109"/>
      <c r="V552" s="110"/>
      <c r="W552" s="111"/>
      <c r="AA552" s="112"/>
      <c r="AB552" s="112"/>
      <c r="AC552" s="112"/>
      <c r="AE552" s="111"/>
      <c r="AG552" s="8"/>
      <c r="AH552" s="8"/>
      <c r="AI552" s="8"/>
      <c r="AK552" s="111"/>
      <c r="AM552" s="8"/>
      <c r="AN552" s="8"/>
      <c r="AO552" s="8"/>
    </row>
    <row r="553" spans="1:42">
      <c r="A553" s="30">
        <v>525</v>
      </c>
      <c r="B553" s="146"/>
      <c r="C553" s="143" t="s">
        <v>1560</v>
      </c>
      <c r="D553" s="27"/>
      <c r="E553" s="27"/>
      <c r="F553" s="27"/>
      <c r="G553" s="27"/>
      <c r="H553" s="106" t="s">
        <v>1561</v>
      </c>
      <c r="I553" s="183" t="s">
        <v>1060</v>
      </c>
      <c r="J553" s="136"/>
      <c r="K553" s="117"/>
      <c r="L553" s="6"/>
      <c r="M553" s="6"/>
      <c r="N553" s="6"/>
      <c r="O553" s="44"/>
      <c r="P553" s="44"/>
      <c r="Q553" s="44"/>
      <c r="R553" s="53"/>
      <c r="S553" s="44"/>
      <c r="T553" s="109"/>
      <c r="U553" s="109"/>
      <c r="V553" s="110"/>
      <c r="W553" s="111"/>
      <c r="AA553" s="112"/>
      <c r="AB553" s="112"/>
      <c r="AC553" s="112"/>
      <c r="AE553" s="111"/>
      <c r="AG553" s="8"/>
      <c r="AH553" s="8"/>
      <c r="AI553" s="8"/>
      <c r="AK553" s="111"/>
      <c r="AM553" s="8"/>
      <c r="AN553" s="8"/>
      <c r="AO553" s="8"/>
    </row>
    <row r="554" spans="1:42">
      <c r="A554" s="30">
        <v>526</v>
      </c>
      <c r="B554" s="147"/>
      <c r="C554" s="143" t="s">
        <v>1224</v>
      </c>
      <c r="D554" s="27"/>
      <c r="E554" s="27"/>
      <c r="F554" s="27"/>
      <c r="G554" s="27"/>
      <c r="H554" s="70" t="s">
        <v>1231</v>
      </c>
      <c r="I554" s="185" t="s">
        <v>1225</v>
      </c>
      <c r="J554" s="136" t="s">
        <v>986</v>
      </c>
      <c r="K554" s="117"/>
      <c r="L554" s="6"/>
      <c r="M554" s="6"/>
      <c r="N554" s="6"/>
      <c r="O554" s="44"/>
      <c r="P554" s="44"/>
      <c r="Q554" s="44"/>
      <c r="R554" s="53"/>
      <c r="S554" s="44"/>
      <c r="T554" s="109"/>
      <c r="U554" s="109"/>
      <c r="V554" s="110"/>
      <c r="W554" s="111"/>
      <c r="AA554" s="112"/>
      <c r="AB554" s="112"/>
      <c r="AC554" s="112"/>
      <c r="AE554" s="111"/>
      <c r="AG554" s="8"/>
      <c r="AH554" s="8"/>
      <c r="AI554" s="8"/>
      <c r="AK554" s="111"/>
      <c r="AM554" s="8"/>
      <c r="AN554" s="8"/>
      <c r="AO554" s="8"/>
    </row>
    <row r="555" spans="1:42">
      <c r="A555" s="30">
        <v>527</v>
      </c>
      <c r="B555" s="147" t="s">
        <v>237</v>
      </c>
      <c r="C555" s="143" t="s">
        <v>1612</v>
      </c>
      <c r="D555" s="27"/>
      <c r="E555" s="27"/>
      <c r="F555" s="27"/>
      <c r="G555" s="27"/>
      <c r="H555" s="70" t="s">
        <v>1570</v>
      </c>
      <c r="I555" s="185" t="s">
        <v>1956</v>
      </c>
      <c r="J555" s="136"/>
      <c r="K555" s="117"/>
      <c r="L555" s="6"/>
      <c r="M555" s="6"/>
      <c r="N555" s="6"/>
      <c r="O555" s="44"/>
      <c r="P555" s="44"/>
      <c r="Q555" s="44"/>
      <c r="R555" s="53"/>
      <c r="S555" s="44"/>
      <c r="T555" s="109"/>
      <c r="U555" s="109"/>
      <c r="V555" s="110"/>
      <c r="W555" s="111"/>
      <c r="AA555" s="112"/>
      <c r="AB555" s="112"/>
      <c r="AC555" s="112"/>
      <c r="AE555" s="111"/>
      <c r="AG555" s="8"/>
      <c r="AH555" s="8"/>
      <c r="AI555" s="8"/>
      <c r="AK555" s="111"/>
      <c r="AM555" s="8"/>
      <c r="AN555" s="8"/>
      <c r="AO555" s="8"/>
    </row>
    <row r="556" spans="1:42">
      <c r="A556" s="30">
        <v>528</v>
      </c>
      <c r="B556" s="147"/>
      <c r="C556" s="143" t="s">
        <v>1762</v>
      </c>
      <c r="D556" s="27"/>
      <c r="E556" s="27"/>
      <c r="F556" s="27"/>
      <c r="G556" s="27"/>
      <c r="H556" s="70" t="s">
        <v>1763</v>
      </c>
      <c r="I556" s="185" t="s">
        <v>1764</v>
      </c>
      <c r="J556" s="136"/>
      <c r="K556" s="117"/>
      <c r="L556" s="6"/>
      <c r="M556" s="6"/>
      <c r="N556" s="6"/>
      <c r="O556" s="44"/>
      <c r="P556" s="44"/>
      <c r="Q556" s="44"/>
      <c r="R556" s="53"/>
      <c r="S556" s="44"/>
      <c r="T556" s="109"/>
      <c r="U556" s="109"/>
      <c r="V556" s="110"/>
      <c r="W556" s="111"/>
      <c r="AA556" s="112"/>
      <c r="AB556" s="112"/>
      <c r="AC556" s="112"/>
      <c r="AE556" s="111"/>
      <c r="AG556" s="8"/>
      <c r="AH556" s="8"/>
      <c r="AI556" s="8"/>
      <c r="AK556" s="111"/>
      <c r="AM556" s="8"/>
      <c r="AN556" s="8"/>
      <c r="AO556" s="8"/>
    </row>
    <row r="557" spans="1:42">
      <c r="A557" s="30">
        <v>529</v>
      </c>
      <c r="B557" s="147" t="s">
        <v>237</v>
      </c>
      <c r="C557" s="143" t="s">
        <v>936</v>
      </c>
      <c r="D557" s="27"/>
      <c r="E557" s="27"/>
      <c r="F557" s="27"/>
      <c r="G557" s="27"/>
      <c r="H557" s="70" t="s">
        <v>1222</v>
      </c>
      <c r="I557" s="185" t="s">
        <v>937</v>
      </c>
      <c r="J557" s="136" t="s">
        <v>986</v>
      </c>
      <c r="K557" s="117"/>
      <c r="L557" s="6"/>
      <c r="M557" s="6"/>
      <c r="N557" s="6"/>
      <c r="O557" s="44"/>
      <c r="P557" s="44"/>
      <c r="Q557" s="44"/>
      <c r="R557" s="53"/>
      <c r="S557" s="44"/>
      <c r="T557" s="109"/>
      <c r="U557" s="109"/>
      <c r="V557" s="110"/>
      <c r="W557" s="111"/>
      <c r="AA557" s="112"/>
      <c r="AB557" s="112"/>
      <c r="AC557" s="112"/>
      <c r="AE557" s="111"/>
      <c r="AG557" s="8"/>
      <c r="AH557" s="8"/>
      <c r="AI557" s="8"/>
      <c r="AK557" s="111"/>
      <c r="AM557" s="8"/>
      <c r="AN557" s="8"/>
      <c r="AO557" s="8"/>
    </row>
    <row r="558" spans="1:42">
      <c r="A558" s="30">
        <v>530</v>
      </c>
      <c r="B558" s="147" t="s">
        <v>237</v>
      </c>
      <c r="C558" s="143" t="s">
        <v>1536</v>
      </c>
      <c r="D558" s="27"/>
      <c r="E558" s="27"/>
      <c r="F558" s="27"/>
      <c r="G558" s="27"/>
      <c r="H558" s="70" t="s">
        <v>1537</v>
      </c>
      <c r="I558" s="176" t="s">
        <v>1957</v>
      </c>
      <c r="J558" s="136"/>
      <c r="K558" s="117"/>
      <c r="L558" s="6"/>
      <c r="M558" s="6"/>
      <c r="N558" s="6"/>
      <c r="O558" s="44"/>
      <c r="P558" s="44"/>
      <c r="Q558" s="44"/>
      <c r="R558" s="53"/>
      <c r="S558" s="44"/>
      <c r="T558" s="109"/>
      <c r="U558" s="109"/>
      <c r="V558" s="110"/>
      <c r="W558" s="111"/>
      <c r="AA558" s="112"/>
      <c r="AB558" s="112"/>
      <c r="AC558" s="112"/>
      <c r="AE558" s="111"/>
      <c r="AG558" s="8"/>
      <c r="AH558" s="8"/>
      <c r="AI558" s="8"/>
      <c r="AK558" s="111"/>
      <c r="AM558" s="8"/>
      <c r="AN558" s="8"/>
      <c r="AO558" s="8"/>
    </row>
    <row r="559" spans="1:42">
      <c r="A559" s="30">
        <v>531</v>
      </c>
      <c r="B559" s="147" t="s">
        <v>237</v>
      </c>
      <c r="C559" s="143" t="s">
        <v>696</v>
      </c>
      <c r="D559" s="27"/>
      <c r="E559" s="27"/>
      <c r="F559" s="27"/>
      <c r="G559" s="27"/>
      <c r="H559" s="70" t="s">
        <v>1333</v>
      </c>
      <c r="I559" s="176" t="s">
        <v>1203</v>
      </c>
      <c r="J559" s="136"/>
      <c r="K559" s="117"/>
      <c r="L559" s="6"/>
      <c r="M559" s="6"/>
      <c r="N559" s="6"/>
      <c r="O559" s="44"/>
      <c r="P559" s="44"/>
      <c r="Q559" s="44"/>
      <c r="R559" s="53"/>
      <c r="S559" s="44"/>
      <c r="T559" s="109"/>
      <c r="U559" s="109"/>
      <c r="V559" s="110"/>
      <c r="W559" s="111"/>
      <c r="AA559" s="112"/>
      <c r="AB559" s="112"/>
      <c r="AC559" s="112"/>
      <c r="AE559" s="111"/>
      <c r="AG559" s="8"/>
      <c r="AH559" s="8"/>
      <c r="AI559" s="8"/>
      <c r="AK559" s="111"/>
      <c r="AM559" s="8"/>
      <c r="AN559" s="8"/>
      <c r="AO559" s="8"/>
    </row>
    <row r="560" spans="1:42">
      <c r="A560" s="30">
        <v>532</v>
      </c>
      <c r="B560" s="147" t="s">
        <v>237</v>
      </c>
      <c r="C560" s="143" t="s">
        <v>543</v>
      </c>
      <c r="D560" s="27"/>
      <c r="E560" s="27"/>
      <c r="F560" s="27"/>
      <c r="G560" s="27"/>
      <c r="H560" s="70" t="s">
        <v>765</v>
      </c>
      <c r="I560" s="176" t="s">
        <v>828</v>
      </c>
      <c r="J560" s="136" t="s">
        <v>663</v>
      </c>
      <c r="K560" s="117"/>
      <c r="L560" s="6"/>
      <c r="M560" s="6"/>
      <c r="N560" s="6"/>
      <c r="O560" s="44"/>
      <c r="P560" s="44"/>
      <c r="Q560" s="44"/>
      <c r="R560" s="53"/>
      <c r="S560" s="44"/>
      <c r="T560" s="109"/>
      <c r="U560" s="109"/>
      <c r="V560" s="110"/>
      <c r="W560" s="111"/>
      <c r="AA560" s="112"/>
      <c r="AB560" s="112"/>
      <c r="AC560" s="112"/>
      <c r="AE560" s="111"/>
      <c r="AG560" s="8"/>
      <c r="AH560" s="8"/>
      <c r="AI560" s="8"/>
      <c r="AK560" s="111"/>
      <c r="AM560" s="8"/>
      <c r="AN560" s="8"/>
      <c r="AO560" s="8"/>
    </row>
    <row r="561" spans="1:41">
      <c r="A561" s="30">
        <v>533</v>
      </c>
      <c r="B561" s="147"/>
      <c r="C561" s="143" t="s">
        <v>1767</v>
      </c>
      <c r="D561" s="27"/>
      <c r="E561" s="27"/>
      <c r="F561" s="27"/>
      <c r="G561" s="27"/>
      <c r="H561" s="70" t="s">
        <v>765</v>
      </c>
      <c r="I561" s="176" t="s">
        <v>828</v>
      </c>
      <c r="J561" s="136"/>
      <c r="K561" s="117"/>
      <c r="L561" s="6"/>
      <c r="M561" s="6"/>
      <c r="N561" s="6"/>
      <c r="O561" s="44"/>
      <c r="P561" s="44"/>
      <c r="Q561" s="44"/>
      <c r="R561" s="53"/>
      <c r="S561" s="44"/>
      <c r="T561" s="109"/>
      <c r="U561" s="109"/>
      <c r="V561" s="110"/>
      <c r="W561" s="111"/>
      <c r="AA561" s="112"/>
      <c r="AB561" s="112"/>
      <c r="AC561" s="112"/>
      <c r="AE561" s="111"/>
      <c r="AG561" s="8"/>
      <c r="AH561" s="8"/>
      <c r="AI561" s="8"/>
      <c r="AK561" s="111"/>
      <c r="AM561" s="8"/>
      <c r="AN561" s="8"/>
      <c r="AO561" s="8"/>
    </row>
    <row r="562" spans="1:41">
      <c r="A562" s="30">
        <v>534</v>
      </c>
      <c r="B562" s="147"/>
      <c r="C562" s="143" t="s">
        <v>1766</v>
      </c>
      <c r="D562" s="27"/>
      <c r="E562" s="27"/>
      <c r="F562" s="27"/>
      <c r="G562" s="27"/>
      <c r="H562" s="70" t="s">
        <v>1765</v>
      </c>
      <c r="I562" s="176" t="s">
        <v>828</v>
      </c>
      <c r="J562" s="136" t="s">
        <v>663</v>
      </c>
      <c r="K562" s="117"/>
      <c r="L562" s="6"/>
      <c r="M562" s="6"/>
      <c r="N562" s="6"/>
      <c r="O562" s="44"/>
      <c r="P562" s="44"/>
      <c r="Q562" s="44"/>
      <c r="R562" s="53"/>
      <c r="S562" s="44"/>
      <c r="T562" s="55"/>
      <c r="U562" s="55"/>
    </row>
    <row r="563" spans="1:41">
      <c r="A563" s="30">
        <v>535</v>
      </c>
      <c r="B563" s="147"/>
      <c r="C563" s="143" t="s">
        <v>1503</v>
      </c>
      <c r="D563" s="27"/>
      <c r="E563" s="27"/>
      <c r="F563" s="27"/>
      <c r="G563" s="27"/>
      <c r="H563" s="138" t="s">
        <v>1508</v>
      </c>
      <c r="I563" s="176"/>
      <c r="J563" s="136"/>
      <c r="K563" s="117"/>
      <c r="L563" s="6"/>
      <c r="M563" s="6"/>
      <c r="N563" s="6"/>
      <c r="O563" s="44"/>
      <c r="P563" s="44"/>
      <c r="Q563" s="44"/>
      <c r="R563" s="53"/>
      <c r="S563" s="44"/>
      <c r="T563" s="55"/>
      <c r="U563" s="55"/>
    </row>
    <row r="564" spans="1:41">
      <c r="A564" s="30">
        <v>536</v>
      </c>
      <c r="B564" s="147" t="s">
        <v>237</v>
      </c>
      <c r="C564" s="143" t="s">
        <v>1142</v>
      </c>
      <c r="D564" s="27"/>
      <c r="E564" s="27"/>
      <c r="F564" s="27"/>
      <c r="G564" s="27"/>
      <c r="H564" s="138" t="s">
        <v>1143</v>
      </c>
      <c r="I564" s="191"/>
      <c r="J564" s="136"/>
      <c r="K564" s="117"/>
      <c r="L564" s="6"/>
      <c r="M564" s="6"/>
      <c r="N564" s="6"/>
      <c r="O564" s="44"/>
      <c r="P564" s="44"/>
      <c r="Q564" s="44"/>
      <c r="R564" s="53"/>
      <c r="S564" s="44"/>
    </row>
    <row r="565" spans="1:41">
      <c r="A565" s="30">
        <v>537</v>
      </c>
      <c r="B565" s="147" t="s">
        <v>237</v>
      </c>
      <c r="C565" s="143" t="s">
        <v>1144</v>
      </c>
      <c r="D565" s="27"/>
      <c r="E565" s="27"/>
      <c r="F565" s="27"/>
      <c r="G565" s="27"/>
      <c r="H565" s="138" t="s">
        <v>1145</v>
      </c>
      <c r="I565" s="191"/>
      <c r="J565" s="136"/>
      <c r="K565" s="117"/>
      <c r="L565" s="6"/>
      <c r="M565" s="6"/>
      <c r="N565" s="6"/>
      <c r="O565" s="44"/>
      <c r="P565" s="44"/>
      <c r="Q565" s="44"/>
      <c r="R565" s="53"/>
      <c r="S565" s="44"/>
    </row>
    <row r="566" spans="1:41">
      <c r="A566" s="30">
        <v>538</v>
      </c>
      <c r="B566" s="147" t="s">
        <v>237</v>
      </c>
      <c r="C566" s="143" t="s">
        <v>234</v>
      </c>
      <c r="D566" s="27"/>
      <c r="E566" s="27"/>
      <c r="F566" s="27"/>
      <c r="G566" s="27"/>
      <c r="H566" s="138" t="s">
        <v>716</v>
      </c>
      <c r="I566" s="191"/>
      <c r="J566" s="136"/>
      <c r="K566" s="117"/>
      <c r="L566" s="6"/>
      <c r="M566" s="6"/>
      <c r="N566" s="6"/>
      <c r="O566" s="44"/>
      <c r="P566" s="44"/>
      <c r="Q566" s="44"/>
      <c r="R566" s="53"/>
      <c r="S566" s="44"/>
    </row>
    <row r="567" spans="1:41">
      <c r="A567" s="30">
        <v>539</v>
      </c>
      <c r="B567" s="147" t="s">
        <v>237</v>
      </c>
      <c r="C567" s="143" t="s">
        <v>2232</v>
      </c>
      <c r="D567" s="27"/>
      <c r="E567" s="27"/>
      <c r="F567" s="27"/>
      <c r="G567" s="27"/>
      <c r="H567" s="138" t="s">
        <v>1146</v>
      </c>
      <c r="I567" s="191"/>
      <c r="J567" s="136"/>
      <c r="K567" s="117"/>
      <c r="L567" s="6"/>
      <c r="M567" s="6"/>
      <c r="N567" s="6"/>
      <c r="O567" s="44"/>
      <c r="P567" s="44"/>
      <c r="Q567" s="44"/>
      <c r="R567" s="53"/>
      <c r="S567" s="44"/>
    </row>
    <row r="568" spans="1:41">
      <c r="C568" s="165"/>
    </row>
    <row r="569" spans="1:41">
      <c r="C569" s="165"/>
    </row>
    <row r="570" spans="1:41">
      <c r="C570" s="165"/>
    </row>
    <row r="571" spans="1:41">
      <c r="C571" s="165"/>
    </row>
    <row r="572" spans="1:41">
      <c r="C572" s="165"/>
    </row>
    <row r="573" spans="1:41">
      <c r="C573" s="165"/>
    </row>
    <row r="574" spans="1:41">
      <c r="C574" s="165"/>
    </row>
    <row r="575" spans="1:41">
      <c r="C575" s="165"/>
    </row>
    <row r="576" spans="1:41">
      <c r="C576" s="165"/>
    </row>
    <row r="577" spans="3:3">
      <c r="C577" s="165"/>
    </row>
    <row r="578" spans="3:3">
      <c r="C578" s="165"/>
    </row>
    <row r="579" spans="3:3">
      <c r="C579" s="165"/>
    </row>
    <row r="580" spans="3:3">
      <c r="C580" s="165"/>
    </row>
    <row r="581" spans="3:3">
      <c r="C581" s="165"/>
    </row>
    <row r="582" spans="3:3">
      <c r="C582" s="165"/>
    </row>
    <row r="583" spans="3:3">
      <c r="C583" s="165"/>
    </row>
    <row r="584" spans="3:3">
      <c r="C584" s="165"/>
    </row>
    <row r="585" spans="3:3">
      <c r="C585" s="165"/>
    </row>
    <row r="586" spans="3:3">
      <c r="C586" s="165"/>
    </row>
    <row r="587" spans="3:3">
      <c r="C587" s="165"/>
    </row>
    <row r="588" spans="3:3">
      <c r="C588" s="165"/>
    </row>
    <row r="589" spans="3:3">
      <c r="C589" s="165"/>
    </row>
  </sheetData>
  <sortState xmlns:xlrd2="http://schemas.microsoft.com/office/spreadsheetml/2017/richdata2" ref="A323:L395">
    <sortCondition ref="C323:C395"/>
  </sortState>
  <phoneticPr fontId="12" type="noConversion"/>
  <conditionalFormatting sqref="C82">
    <cfRule type="duplicateValues" dxfId="86" priority="21"/>
  </conditionalFormatting>
  <conditionalFormatting sqref="C99 C86">
    <cfRule type="duplicateValues" dxfId="85" priority="317"/>
  </conditionalFormatting>
  <conditionalFormatting sqref="C105">
    <cfRule type="duplicateValues" dxfId="84" priority="19"/>
  </conditionalFormatting>
  <conditionalFormatting sqref="C184">
    <cfRule type="duplicateValues" dxfId="83" priority="14"/>
    <cfRule type="duplicateValues" dxfId="82" priority="15"/>
  </conditionalFormatting>
  <conditionalFormatting sqref="C198:C200 C177:C179 C156 C129">
    <cfRule type="duplicateValues" dxfId="81" priority="369"/>
  </conditionalFormatting>
  <conditionalFormatting sqref="C212">
    <cfRule type="duplicateValues" dxfId="80" priority="23"/>
  </conditionalFormatting>
  <conditionalFormatting sqref="C213">
    <cfRule type="duplicateValues" dxfId="79" priority="22"/>
  </conditionalFormatting>
  <conditionalFormatting sqref="C219:C220">
    <cfRule type="duplicateValues" dxfId="78" priority="16"/>
  </conditionalFormatting>
  <conditionalFormatting sqref="C221 C175">
    <cfRule type="duplicateValues" dxfId="77" priority="37"/>
  </conditionalFormatting>
  <conditionalFormatting sqref="C226">
    <cfRule type="duplicateValues" dxfId="76" priority="25"/>
  </conditionalFormatting>
  <conditionalFormatting sqref="C230 C172:C173 C131:C132 C204">
    <cfRule type="duplicateValues" dxfId="75" priority="352"/>
  </conditionalFormatting>
  <conditionalFormatting sqref="C257">
    <cfRule type="duplicateValues" dxfId="74" priority="47"/>
  </conditionalFormatting>
  <conditionalFormatting sqref="C269">
    <cfRule type="duplicateValues" dxfId="73" priority="20"/>
  </conditionalFormatting>
  <conditionalFormatting sqref="C273 C36 C101 C31">
    <cfRule type="duplicateValues" dxfId="72" priority="264"/>
  </conditionalFormatting>
  <conditionalFormatting sqref="C284">
    <cfRule type="duplicateValues" dxfId="71" priority="482"/>
  </conditionalFormatting>
  <conditionalFormatting sqref="C288">
    <cfRule type="duplicateValues" dxfId="70" priority="441"/>
  </conditionalFormatting>
  <conditionalFormatting sqref="C292">
    <cfRule type="duplicateValues" dxfId="69" priority="9"/>
  </conditionalFormatting>
  <conditionalFormatting sqref="C301">
    <cfRule type="duplicateValues" dxfId="68" priority="41"/>
  </conditionalFormatting>
  <conditionalFormatting sqref="C304">
    <cfRule type="duplicateValues" dxfId="67" priority="11"/>
  </conditionalFormatting>
  <conditionalFormatting sqref="C317">
    <cfRule type="duplicateValues" dxfId="66" priority="7"/>
  </conditionalFormatting>
  <conditionalFormatting sqref="C322">
    <cfRule type="duplicateValues" dxfId="65" priority="5"/>
  </conditionalFormatting>
  <conditionalFormatting sqref="C346">
    <cfRule type="duplicateValues" dxfId="64" priority="1"/>
  </conditionalFormatting>
  <conditionalFormatting sqref="C352:C354 C332">
    <cfRule type="duplicateValues" dxfId="63" priority="49"/>
  </conditionalFormatting>
  <conditionalFormatting sqref="C359">
    <cfRule type="duplicateValues" dxfId="62" priority="10"/>
  </conditionalFormatting>
  <conditionalFormatting sqref="C373">
    <cfRule type="duplicateValues" dxfId="61" priority="24"/>
  </conditionalFormatting>
  <conditionalFormatting sqref="C377">
    <cfRule type="duplicateValues" dxfId="60" priority="38"/>
  </conditionalFormatting>
  <conditionalFormatting sqref="C385">
    <cfRule type="duplicateValues" dxfId="59" priority="39"/>
  </conditionalFormatting>
  <conditionalFormatting sqref="C401">
    <cfRule type="duplicateValues" dxfId="58" priority="40"/>
  </conditionalFormatting>
  <conditionalFormatting sqref="C412">
    <cfRule type="duplicateValues" dxfId="57" priority="3"/>
  </conditionalFormatting>
  <conditionalFormatting sqref="C413">
    <cfRule type="duplicateValues" dxfId="56" priority="2"/>
  </conditionalFormatting>
  <conditionalFormatting sqref="C416 C419">
    <cfRule type="duplicateValues" dxfId="55" priority="18"/>
  </conditionalFormatting>
  <conditionalFormatting sqref="C421">
    <cfRule type="duplicateValues" dxfId="54" priority="26"/>
  </conditionalFormatting>
  <conditionalFormatting sqref="C422">
    <cfRule type="duplicateValues" dxfId="53" priority="4"/>
  </conditionalFormatting>
  <conditionalFormatting sqref="C430:C431">
    <cfRule type="duplicateValues" dxfId="52" priority="439"/>
  </conditionalFormatting>
  <conditionalFormatting sqref="C437">
    <cfRule type="duplicateValues" dxfId="51" priority="8"/>
  </conditionalFormatting>
  <conditionalFormatting sqref="C467:C468 C237 C316 C459 C470:C471">
    <cfRule type="duplicateValues" dxfId="50" priority="438"/>
  </conditionalFormatting>
  <conditionalFormatting sqref="C469">
    <cfRule type="duplicateValues" dxfId="49" priority="17"/>
  </conditionalFormatting>
  <conditionalFormatting sqref="C475">
    <cfRule type="duplicateValues" dxfId="48" priority="12"/>
  </conditionalFormatting>
  <conditionalFormatting sqref="C483">
    <cfRule type="duplicateValues" dxfId="47" priority="13"/>
  </conditionalFormatting>
  <conditionalFormatting sqref="C487:C489">
    <cfRule type="duplicateValues" dxfId="46" priority="35"/>
  </conditionalFormatting>
  <conditionalFormatting sqref="C511">
    <cfRule type="duplicateValues" dxfId="45" priority="6"/>
  </conditionalFormatting>
  <conditionalFormatting sqref="C526">
    <cfRule type="duplicateValues" dxfId="44" priority="28"/>
  </conditionalFormatting>
  <conditionalFormatting sqref="C528">
    <cfRule type="duplicateValues" dxfId="43" priority="30"/>
  </conditionalFormatting>
  <conditionalFormatting sqref="C532:C535">
    <cfRule type="duplicateValues" dxfId="42" priority="27"/>
  </conditionalFormatting>
  <conditionalFormatting sqref="C555:C559">
    <cfRule type="duplicateValues" dxfId="41" priority="437"/>
  </conditionalFormatting>
  <conditionalFormatting sqref="C560:C563 C527 C490:C499 C378:C400 C355:C358 C205:C207 C201:C203 C170:C171 C209 C174 C222:C225 C457:C458 C231:C236 C264:C268 C274:C283 C318:C321 C333:C338 C253:C260 C501:C510 C417:C418 C302:C303 C2 C4:C25 C79:C81 C102:C104 C76:C77 C100 C176 C122:C124 C126:C128 C133 C130 C83:C98 C27:C30 C32:C35 C37:C74 C340:C345 C214:C218 C135:C155 C238:C251 C157:C160 C162:C166 C119 C168 C180:C183 C525 C285:C287 C289:C291 C529:C531 C432:C436 C402:C411 C536:C556 C227:C229 C374:C376 C211 C423:C429 C270:C272 C420 C185:C197 C106:C117 C484:C486 C476:C482 C472:C474 C305:C315 C293:C300 C360:C372 C438:C455 C512:C523 C323:C331 C414:C415 C347:C351">
    <cfRule type="duplicateValues" dxfId="40" priority="483"/>
  </conditionalFormatting>
  <conditionalFormatting sqref="C564:C567">
    <cfRule type="duplicateValues" dxfId="39" priority="255"/>
  </conditionalFormatting>
  <conditionalFormatting sqref="C568:C1048576">
    <cfRule type="duplicateValues" dxfId="38" priority="252"/>
  </conditionalFormatting>
  <pageMargins left="0" right="0" top="0.74791663885116577" bottom="0.74791663885116577" header="0.31486111879348755" footer="0.31486111879348755"/>
  <pageSetup paperSize="9" scale="95" fitToHeight="4" orientation="landscape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2142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2232</v>
      </c>
      <c r="E3" s="215">
        <v>140</v>
      </c>
      <c r="F3" s="215"/>
      <c r="G3" s="106" t="str">
        <f>IFERROR(INDEX(레시피북!$C$2:$H$618,MATCH($D3,레시피북!$C$2:$C$618,0),6),"")</f>
        <v>쌀(국산)90%, 현미(국산.친환경)5%, 정제수</v>
      </c>
      <c r="H3" s="217">
        <f>IFERROR(INDEX(레시피북!$D$2:$J$611,MATCH($D3,레시피북!$C$2:$C$611,0),6),"")</f>
        <v>0</v>
      </c>
      <c r="I3" s="218" t="s">
        <v>2140</v>
      </c>
      <c r="J3" s="270">
        <v>2605</v>
      </c>
      <c r="K3" s="217">
        <v>386710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931</v>
      </c>
      <c r="E4" s="115">
        <v>150</v>
      </c>
      <c r="F4" s="116"/>
      <c r="G4" s="106" t="str">
        <f>IFERROR(INDEX(레시피북!$C$2:$H$618,MATCH($D4,레시피북!$C$2:$C$618,0),6),"")</f>
        <v>두부(원료수입산)18%, 무(국산)10%,, 파, 마늘, 정제수, 멸치육수농축액, 국간장, 소금</v>
      </c>
      <c r="H4" s="94" t="str">
        <f>IFERROR(INDEX(레시피북!$D$2:$J$611,MATCH($D4,레시피북!$C$2:$C$611,0),6),"")</f>
        <v>.5.</v>
      </c>
      <c r="I4" s="102" t="s">
        <v>2140</v>
      </c>
      <c r="J4" s="95">
        <v>2605</v>
      </c>
      <c r="K4" s="94">
        <v>392590</v>
      </c>
      <c r="L4" s="121" t="str">
        <f>IFERROR(INDEX(레시피북!$C$2:$J$611,MATCH($D4,레시피북!$C$2:$C$611,0),8),"")</f>
        <v>멸치육수농축액(면사랑) 40g / 45g )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1752</v>
      </c>
      <c r="E5" s="115">
        <v>110</v>
      </c>
      <c r="F5" s="116"/>
      <c r="G5" s="106" t="str">
        <f>IFERROR(INDEX(레시피북!$C$2:$H$618,MATCH($D5,레시피북!$C$2:$C$618,0),6),"")</f>
        <v>돼지고기(국내산)14.9%, 모둠채소[양배추, 양파, 감자, 당근]25%, 대파, 마늘, 대두유 ,춘장, 짜장분말, 정제수, 전분</v>
      </c>
      <c r="H5" s="94" t="str">
        <f>IFERROR(INDEX(레시피북!$D$2:$J$611,MATCH($D5,레시피북!$C$2:$C$611,0),6),"")</f>
        <v>.2.5.6.10.15.16.</v>
      </c>
      <c r="I5" s="102" t="s">
        <v>2140</v>
      </c>
      <c r="J5" s="95">
        <v>2605</v>
      </c>
      <c r="K5" s="94">
        <v>326595</v>
      </c>
      <c r="L5" s="121" t="str">
        <f>IFERROR(INDEX(레시피북!$C$2:$J$611,MATCH($D5,레시피북!$C$2:$C$611,0),8),"")</f>
        <v>짜장분말(오뚜기), 춘장(신송식품)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2233</v>
      </c>
      <c r="E6" s="115"/>
      <c r="F6" s="116">
        <v>1</v>
      </c>
      <c r="G6" s="106" t="str">
        <f>IFERROR(INDEX(레시피북!$C$2:$H$618,MATCH($D6,레시피북!$C$2:$C$618,0),6),"")</f>
        <v>계란(국산)90%, 대두유, 옥수수전분, 정제소금, 설탕 외</v>
      </c>
      <c r="H6" s="94" t="str">
        <f>IFERROR(INDEX(레시피북!$D$2:$J$611,MATCH($D6,레시피북!$C$2:$C$611,0),6),"")</f>
        <v>.1.5.18.</v>
      </c>
      <c r="I6" s="102" t="s">
        <v>2140</v>
      </c>
      <c r="J6" s="95">
        <v>2605</v>
      </c>
      <c r="K6" s="94">
        <v>2761.7999999999988</v>
      </c>
      <c r="L6" s="121" t="str">
        <f>IFERROR(INDEX(레시피북!$C$2:$J$611,MATCH($D6,레시피북!$C$2:$C$611,0),8),"")</f>
        <v>풍림푸드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2030</v>
      </c>
      <c r="E7" s="115">
        <v>25</v>
      </c>
      <c r="F7" s="116"/>
      <c r="G7" s="106" t="str">
        <f>IFERROR(INDEX(레시피북!$C$2:$H$618,MATCH($D7,레시피북!$C$2:$C$618,0),6),"")</f>
        <v>숙주(녹두:외국산)90%, 당근, 마늘, 대파, 참치액, 소금, 참기름, 참깨</v>
      </c>
      <c r="H7" s="94" t="str">
        <f>IFERROR(INDEX(레시피북!$D$2:$J$611,MATCH($D7,레시피북!$C$2:$C$611,0),6),"")</f>
        <v>.5.21.</v>
      </c>
      <c r="I7" s="102" t="s">
        <v>2140</v>
      </c>
      <c r="J7" s="95">
        <v>2605</v>
      </c>
      <c r="K7" s="94">
        <v>81242.5</v>
      </c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518</v>
      </c>
      <c r="E8" s="115">
        <v>25</v>
      </c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2140</v>
      </c>
      <c r="J8" s="95">
        <v>2605</v>
      </c>
      <c r="K8" s="94">
        <v>70150</v>
      </c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2234</v>
      </c>
      <c r="H9" s="157"/>
      <c r="I9" s="128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2232</v>
      </c>
      <c r="E10" s="215">
        <v>150</v>
      </c>
      <c r="F10" s="215"/>
      <c r="G10" s="216" t="str">
        <f>IFERROR(INDEX(레시피북!$C$2:$H$618,MATCH($D10,레시피북!$C$2:$C$618,0),6),"")</f>
        <v>쌀(국산)90%, 현미(국산.친환경)5%, 정제수</v>
      </c>
      <c r="H10" s="217">
        <f>IFERROR(INDEX(레시피북!$D$2:$J$611,MATCH($D10,레시피북!$C$2:$C$611,0),6),"")</f>
        <v>0</v>
      </c>
      <c r="I10" s="218" t="s">
        <v>2141</v>
      </c>
      <c r="J10" s="244">
        <v>48</v>
      </c>
      <c r="K10" s="243">
        <v>7650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931</v>
      </c>
      <c r="E11" s="115">
        <v>160</v>
      </c>
      <c r="F11" s="116"/>
      <c r="G11" s="106" t="str">
        <f>IFERROR(INDEX(레시피북!$C$2:$H$618,MATCH($D11,레시피북!$C$2:$C$618,0),6),"")</f>
        <v>두부(원료수입산)18%, 무(국산)10%,, 파, 마늘, 정제수, 멸치육수농축액, 국간장, 소금</v>
      </c>
      <c r="H11" s="94" t="str">
        <f>IFERROR(INDEX(레시피북!$D$2:$J$611,MATCH($D11,레시피북!$C$2:$C$611,0),6),"")</f>
        <v>.5.</v>
      </c>
      <c r="I11" s="102" t="s">
        <v>2141</v>
      </c>
      <c r="J11" s="95">
        <v>48</v>
      </c>
      <c r="K11" s="94">
        <v>7850</v>
      </c>
      <c r="L11" s="121" t="str">
        <f>IFERROR(INDEX(레시피북!$C$2:$J$611,MATCH($D11,레시피북!$C$2:$C$611,0),8),"")</f>
        <v>멸치육수농축액(면사랑) 40g / 45g )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1752</v>
      </c>
      <c r="E12" s="115">
        <v>120</v>
      </c>
      <c r="F12" s="116"/>
      <c r="G12" s="106" t="str">
        <f>IFERROR(INDEX(레시피북!$C$2:$H$618,MATCH($D12,레시피북!$C$2:$C$618,0),6),"")</f>
        <v>돼지고기(국내산)14.9%, 모둠채소[양배추, 양파, 감자, 당근]25%, 대파, 마늘, 대두유 ,춘장, 짜장분말, 정제수, 전분</v>
      </c>
      <c r="H12" s="94" t="str">
        <f>IFERROR(INDEX(레시피북!$D$2:$J$611,MATCH($D12,레시피북!$C$2:$C$611,0),6),"")</f>
        <v>.2.5.6.10.15.16.</v>
      </c>
      <c r="I12" s="102" t="s">
        <v>2141</v>
      </c>
      <c r="J12" s="95">
        <v>48</v>
      </c>
      <c r="K12" s="94">
        <v>6336</v>
      </c>
      <c r="L12" s="121" t="str">
        <f>IFERROR(INDEX(레시피북!$C$2:$J$611,MATCH($D12,레시피북!$C$2:$C$611,0),8),"")</f>
        <v>짜장분말(오뚜기), 춘장(신송식품)</v>
      </c>
      <c r="M12" s="113"/>
      <c r="N12" s="113"/>
    </row>
    <row r="13" spans="2:23" ht="39.950000000000003" customHeight="1">
      <c r="B13" s="336"/>
      <c r="C13" s="235" t="s">
        <v>510</v>
      </c>
      <c r="D13" s="96" t="s">
        <v>2233</v>
      </c>
      <c r="E13" s="115"/>
      <c r="F13" s="116">
        <v>1</v>
      </c>
      <c r="G13" s="106" t="str">
        <f>IFERROR(INDEX(레시피북!$C$2:$H$618,MATCH($D13,레시피북!$C$2:$C$618,0),6),"")</f>
        <v>계란(국산)90%, 대두유, 옥수수전분, 정제소금, 설탕 외</v>
      </c>
      <c r="H13" s="94" t="str">
        <f>IFERROR(INDEX(레시피북!$D$2:$J$611,MATCH($D13,레시피북!$C$2:$C$611,0),6),"")</f>
        <v>.1.5.18.</v>
      </c>
      <c r="I13" s="102" t="s">
        <v>2141</v>
      </c>
      <c r="J13" s="95">
        <v>48</v>
      </c>
      <c r="K13" s="94">
        <v>52.800000000000004</v>
      </c>
      <c r="L13" s="121" t="str">
        <f>IFERROR(INDEX(레시피북!$C$2:$J$611,MATCH($D13,레시피북!$C$2:$C$611,0),8),"")</f>
        <v>풍림푸드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2030</v>
      </c>
      <c r="E14" s="115">
        <v>40</v>
      </c>
      <c r="F14" s="116"/>
      <c r="G14" s="106" t="str">
        <f>IFERROR(INDEX(레시피북!$C$2:$H$618,MATCH($D14,레시피북!$C$2:$C$618,0),6),"")</f>
        <v>숙주(녹두:외국산)90%, 당근, 마늘, 대파, 참치액, 소금, 참기름, 참깨</v>
      </c>
      <c r="H14" s="94" t="str">
        <f>IFERROR(INDEX(레시피북!$D$2:$J$611,MATCH($D14,레시피북!$C$2:$C$611,0),6),"")</f>
        <v>.5.21.</v>
      </c>
      <c r="I14" s="102" t="s">
        <v>2141</v>
      </c>
      <c r="J14" s="95">
        <v>48</v>
      </c>
      <c r="K14" s="94">
        <v>1920</v>
      </c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518</v>
      </c>
      <c r="E15" s="115">
        <v>35</v>
      </c>
      <c r="F15" s="115"/>
      <c r="G15" s="106" t="str">
        <f>IFERROR(INDEX(레시피북!$C$2:$H$618,MATCH($D15,레시피북!$C$2:$C$618,0),6),"")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IFERROR(INDEX(레시피북!$D$2:$J$611,MATCH($D15,레시피북!$C$2:$C$611,0),6),"")</f>
        <v>.9.12.</v>
      </c>
      <c r="I15" s="102" t="s">
        <v>2141</v>
      </c>
      <c r="J15" s="95">
        <v>48</v>
      </c>
      <c r="K15" s="94">
        <v>1680</v>
      </c>
      <c r="L15" s="121" t="str">
        <f>IFERROR(INDEX(레시피북!$C$2:$J$611,MATCH($D15,레시피북!$C$2:$C$611,0),8),"")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525</v>
      </c>
      <c r="E16" s="115">
        <v>70</v>
      </c>
      <c r="F16" s="115"/>
      <c r="G16" s="106" t="str">
        <f>IFERROR(INDEX(레시피북!$C$2:$H$618,MATCH($D16,레시피북!$C$2:$C$618,0),6),"")</f>
        <v>새우[새우(베트남산) 37.33%, 밀(미국산)28.32%, 대두유] 80%,칠리소스[파프리카, 완두콩, 마늘,대두유, 정제수,케첩, 설탕,식초, 전분]20%</v>
      </c>
      <c r="H16" s="94" t="str">
        <f>IFERROR(INDEX(레시피북!$D$2:$J$611,MATCH($D16,레시피북!$C$2:$C$611,0),6),"")</f>
        <v>.1.5.6.9.17.</v>
      </c>
      <c r="I16" s="102" t="s">
        <v>2141</v>
      </c>
      <c r="J16" s="95">
        <v>28</v>
      </c>
      <c r="K16" s="94">
        <v>2320</v>
      </c>
      <c r="L16" s="156" t="str">
        <f>IFERROR(INDEX(레시피북!$C$2:$J$611,MATCH($D16,레시피북!$C$2:$C$611,0),8),"")</f>
        <v>케찹(오뚜기), 한입깐쇼새우(이츠웰)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2140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2140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2140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2140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2140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2140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S5:W5"/>
    <mergeCell ref="B1:L1"/>
    <mergeCell ref="B3:B9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BBAD-1865-4D02-8AC8-65DECD98F419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2237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1503</v>
      </c>
      <c r="E3" s="215">
        <v>140</v>
      </c>
      <c r="F3" s="215"/>
      <c r="G3" s="216" t="str">
        <f>IFERROR(INDEX(레시피북!$C$2:$H$618,MATCH($D3,레시피북!$C$2:$C$618,0),6),"")</f>
        <v>쌀(국산)90%, 귀리(국산.친환경)5%, 정제수</v>
      </c>
      <c r="H3" s="217">
        <f>IFERROR(INDEX(레시피북!$D$2:$J$611,MATCH($D3,레시피북!$C$2:$C$611,0),6),"")</f>
        <v>0</v>
      </c>
      <c r="I3" s="218" t="s">
        <v>2235</v>
      </c>
      <c r="J3" s="270">
        <v>2618</v>
      </c>
      <c r="K3" s="217">
        <v>386850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2106</v>
      </c>
      <c r="E4" s="115">
        <v>150</v>
      </c>
      <c r="F4" s="116"/>
      <c r="G4" s="106" t="str">
        <f>IFERROR(INDEX(레시피북!$C$2:$H$618,MATCH($D4,레시피북!$C$2:$C$618,0),6),"")</f>
        <v>모둠채소(호박, 양파, 새송이:국산)20%, 두부(콩:미국,호주,캐나다등)8%, 소고기(미국산)3%, 파, 마늘, 된장, 멸치육수농축액, 정제수, 소금</v>
      </c>
      <c r="H4" s="94" t="str">
        <f>IFERROR(INDEX(레시피북!$D$2:$J$611,MATCH($D4,레시피북!$C$2:$C$611,0),6),"")</f>
        <v>.5.16.</v>
      </c>
      <c r="I4" s="102" t="s">
        <v>2235</v>
      </c>
      <c r="J4" s="95">
        <v>2618</v>
      </c>
      <c r="K4" s="94">
        <v>393480</v>
      </c>
      <c r="L4" s="121" t="str">
        <f>IFERROR(INDEX(레시피북!$C$2:$J$611,MATCH($D4,레시피북!$C$2:$C$611,0),8),"")</f>
        <v>50g / 60g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1716</v>
      </c>
      <c r="E5" s="115">
        <v>60</v>
      </c>
      <c r="F5" s="116"/>
      <c r="G5" s="106" t="str">
        <f>IFERROR(INDEX(레시피북!$C$2:$H$618,MATCH($D5,레시피북!$C$2:$C$618,0),6),"")</f>
        <v>닭고기[닭가슴살70%(국산), 닭다리살30%(브라질산)]75%, 모양떡(쌀:수입산)15%, 정제수, 간장, 물엿, 설탕, 후추, 참기름</v>
      </c>
      <c r="H5" s="94" t="str">
        <f>IFERROR(INDEX(레시피북!$D$2:$J$611,MATCH($D5,레시피북!$C$2:$C$611,0),6),"")</f>
        <v>.5.15.21.</v>
      </c>
      <c r="I5" s="102" t="s">
        <v>2235</v>
      </c>
      <c r="J5" s="95">
        <v>2618</v>
      </c>
      <c r="K5" s="94">
        <v>190020</v>
      </c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1340</v>
      </c>
      <c r="E6" s="115"/>
      <c r="F6" s="116">
        <v>2</v>
      </c>
      <c r="G6" s="106" t="str">
        <f>IFERROR(INDEX(레시피북!$C$2:$H$618,MATCH($D6,레시피북!$C$2:$C$618,0),6),"")</f>
        <v>계란(전락액59.6%, 난백액18.41% :국산), 프레스햄[(돼지고기(국산),돈지방(국산), 설탕]16%, 정제소금, 다시마엑기스, 양조간장, 소고기다시</v>
      </c>
      <c r="H6" s="94" t="str">
        <f>IFERROR(INDEX(레시피북!$D$2:$J$611,MATCH($D6,레시피북!$C$2:$C$611,0),6),"")</f>
        <v>.1.2.5.6.10.16.</v>
      </c>
      <c r="I6" s="102" t="s">
        <v>2235</v>
      </c>
      <c r="J6" s="95">
        <v>2618</v>
      </c>
      <c r="K6" s="94">
        <v>6691.8000000000029</v>
      </c>
      <c r="L6" s="121" t="str">
        <f>IFERROR(INDEX(레시피북!$C$2:$J$611,MATCH($D6,레시피북!$C$2:$C$611,0),8),"")</f>
        <v>풍요한아침 햄에그롤(풍림푸드)/15g / 160원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1790</v>
      </c>
      <c r="E7" s="115">
        <v>30</v>
      </c>
      <c r="F7" s="116"/>
      <c r="G7" s="106" t="str">
        <f>IFERROR(INDEX(레시피북!$C$2:$H$618,MATCH($D7,레시피북!$C$2:$C$618,0),6),"")</f>
        <v>콩나물(원료수입산)90%, 청경채(국산)2%, 마늘, 대파, 참치액, 소금, 참기름, 참깨</v>
      </c>
      <c r="H7" s="94" t="str">
        <f>IFERROR(INDEX(레시피북!$D$2:$J$611,MATCH($D7,레시피북!$C$2:$C$611,0),6),"")</f>
        <v>.21.</v>
      </c>
      <c r="I7" s="102" t="s">
        <v>2235</v>
      </c>
      <c r="J7" s="95">
        <v>2618</v>
      </c>
      <c r="K7" s="94">
        <v>93610</v>
      </c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2235</v>
      </c>
      <c r="J8" s="95">
        <v>2618</v>
      </c>
      <c r="K8" s="94">
        <v>72790</v>
      </c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1503</v>
      </c>
      <c r="E10" s="215">
        <v>150</v>
      </c>
      <c r="F10" s="215"/>
      <c r="G10" s="216" t="str">
        <f>IFERROR(INDEX(레시피북!$C$2:$H$618,MATCH($D10,레시피북!$C$2:$C$618,0),6),"")</f>
        <v>쌀(국산)90%, 귀리(국산.친환경)5%, 정제수</v>
      </c>
      <c r="H10" s="217">
        <f>IFERROR(INDEX(레시피북!$D$2:$J$611,MATCH($D10,레시피북!$C$2:$C$611,0),6),"")</f>
        <v>0</v>
      </c>
      <c r="I10" s="218" t="s">
        <v>2236</v>
      </c>
      <c r="J10" s="244">
        <v>49</v>
      </c>
      <c r="K10" s="243">
        <v>7800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282" t="s">
        <v>2239</v>
      </c>
      <c r="E11" s="283">
        <v>160</v>
      </c>
      <c r="F11" s="284"/>
      <c r="G11" s="285" t="s">
        <v>2238</v>
      </c>
      <c r="H11" s="286" t="str">
        <f>IFERROR(INDEX(레시피북!$D$2:$J$611,MATCH($D11,레시피북!$C$2:$C$611,0),6),"")</f>
        <v/>
      </c>
      <c r="I11" s="102" t="s">
        <v>2236</v>
      </c>
      <c r="J11" s="95">
        <v>49</v>
      </c>
      <c r="K11" s="94">
        <v>8010</v>
      </c>
      <c r="L11" s="121" t="str">
        <f>IFERROR(INDEX(레시피북!$C$2:$J$611,MATCH($D11,레시피북!$C$2:$C$611,0),8),"")</f>
        <v/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1716</v>
      </c>
      <c r="E12" s="115">
        <v>80</v>
      </c>
      <c r="F12" s="116"/>
      <c r="G12" s="106" t="str">
        <f>IFERROR(INDEX(레시피북!$C$2:$H$618,MATCH($D12,레시피북!$C$2:$C$618,0),6),"")</f>
        <v>닭고기[닭가슴살70%(국산), 닭다리살30%(브라질산)]75%, 모양떡(쌀:수입산)15%, 정제수, 간장, 물엿, 설탕, 후추, 참기름</v>
      </c>
      <c r="H12" s="94" t="str">
        <f>IFERROR(INDEX(레시피북!$D$2:$J$611,MATCH($D12,레시피북!$C$2:$C$611,0),6),"")</f>
        <v>.5.15.21.</v>
      </c>
      <c r="I12" s="102" t="s">
        <v>2236</v>
      </c>
      <c r="J12" s="95">
        <v>49</v>
      </c>
      <c r="K12" s="94">
        <v>4304</v>
      </c>
      <c r="L12" s="121">
        <f>IFERROR(INDEX(레시피북!$C$2:$J$611,MATCH($D12,레시피북!$C$2:$C$611,0),8),"")</f>
        <v>0</v>
      </c>
      <c r="M12" s="113"/>
      <c r="N12" s="113"/>
    </row>
    <row r="13" spans="2:23" ht="39.950000000000003" customHeight="1">
      <c r="B13" s="336"/>
      <c r="C13" s="235" t="s">
        <v>510</v>
      </c>
      <c r="D13" s="96" t="s">
        <v>1340</v>
      </c>
      <c r="E13" s="115"/>
      <c r="F13" s="116">
        <v>3</v>
      </c>
      <c r="G13" s="106" t="str">
        <f>IFERROR(INDEX(레시피북!$C$2:$H$618,MATCH($D13,레시피북!$C$2:$C$618,0),6),"")</f>
        <v>계란(전락액59.6%, 난백액18.41% :국산), 프레스햄[(돼지고기(국산),돈지방(국산), 설탕]16%, 정제소금, 다시마엑기스, 양조간장, 소고기다시</v>
      </c>
      <c r="H13" s="94" t="str">
        <f>IFERROR(INDEX(레시피북!$D$2:$J$611,MATCH($D13,레시피북!$C$2:$C$611,0),6),"")</f>
        <v>.1.2.5.6.10.16.</v>
      </c>
      <c r="I13" s="102" t="s">
        <v>2236</v>
      </c>
      <c r="J13" s="95">
        <v>49</v>
      </c>
      <c r="K13" s="94">
        <v>151.9</v>
      </c>
      <c r="L13" s="121" t="str">
        <f>IFERROR(INDEX(레시피북!$C$2:$J$611,MATCH($D13,레시피북!$C$2:$C$611,0),8),"")</f>
        <v>풍요한아침 햄에그롤(풍림푸드)/15g / 160원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1790</v>
      </c>
      <c r="E14" s="115">
        <v>40</v>
      </c>
      <c r="F14" s="116"/>
      <c r="G14" s="106" t="str">
        <f>IFERROR(INDEX(레시피북!$C$2:$H$618,MATCH($D14,레시피북!$C$2:$C$618,0),6),"")</f>
        <v>콩나물(원료수입산)90%, 청경채(국산)2%, 마늘, 대파, 참치액, 소금, 참기름, 참깨</v>
      </c>
      <c r="H14" s="94" t="str">
        <f>IFERROR(INDEX(레시피북!$D$2:$J$611,MATCH($D14,레시피북!$C$2:$C$611,0),6),"")</f>
        <v>.21.</v>
      </c>
      <c r="I14" s="102" t="s">
        <v>2236</v>
      </c>
      <c r="J14" s="95">
        <v>49</v>
      </c>
      <c r="K14" s="94">
        <v>1960</v>
      </c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2236</v>
      </c>
      <c r="J15" s="95">
        <v>49</v>
      </c>
      <c r="K15" s="94">
        <v>1715</v>
      </c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>
        <v>1</v>
      </c>
      <c r="G16" s="106" t="s">
        <v>2343</v>
      </c>
      <c r="H16" s="94" t="str">
        <f>IFERROR(INDEX(레시피북!$D$2:$J$611,MATCH($D16,레시피북!$C$2:$C$611,0),6),"")</f>
        <v/>
      </c>
      <c r="I16" s="102" t="s">
        <v>2236</v>
      </c>
      <c r="J16" s="95">
        <v>28</v>
      </c>
      <c r="K16" s="94">
        <v>30</v>
      </c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2235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2235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2235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2235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2235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2235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C5CFC-B025-4DE1-9AD4-9D502142FC16}">
  <sheetPr>
    <pageSetUpPr fitToPage="1"/>
  </sheetPr>
  <dimension ref="B1:W28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2242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1142</v>
      </c>
      <c r="E3" s="215">
        <v>140</v>
      </c>
      <c r="F3" s="215"/>
      <c r="G3" s="216" t="str">
        <f>IFERROR(INDEX(레시피북!$C$2:$H$618,MATCH($D3,레시피북!$C$2:$C$618,0),6),"")</f>
        <v>쌀(국산)90%, 찰흑미(국산.친환경)5%, 정제수</v>
      </c>
      <c r="H3" s="217">
        <f>IFERROR(INDEX(레시피북!$D$2:$J$611,MATCH($D3,레시피북!$C$2:$C$611,0),6),"")</f>
        <v>0</v>
      </c>
      <c r="I3" s="218" t="s">
        <v>2240</v>
      </c>
      <c r="J3" s="270">
        <v>2764</v>
      </c>
      <c r="K3" s="217">
        <v>408570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1446</v>
      </c>
      <c r="E4" s="115">
        <v>150</v>
      </c>
      <c r="F4" s="116"/>
      <c r="G4" s="106" t="str">
        <f>IFERROR(INDEX(레시피북!$C$2:$H$618,MATCH($D4,레시피북!$C$2:$C$618,0),6),"")</f>
        <v>불린미역(국산)23%, 정제수, 거피들깨(중국산), 참기름, 국간장, 밥새우, 멸치육수농축액, 마늘, 소금</v>
      </c>
      <c r="H4" s="94" t="str">
        <f>IFERROR(INDEX(레시피북!$D$2:$J$611,MATCH($D4,레시피북!$C$2:$C$611,0),6),"")</f>
        <v>.5.9.21.22.</v>
      </c>
      <c r="I4" s="102" t="s">
        <v>2240</v>
      </c>
      <c r="J4" s="95">
        <v>2764</v>
      </c>
      <c r="K4" s="94">
        <v>414150</v>
      </c>
      <c r="L4" s="121" t="str">
        <f>IFERROR(INDEX(레시피북!$C$2:$J$611,MATCH($D4,레시피북!$C$2:$C$611,0),8),"")</f>
        <v>25g / 30g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1338</v>
      </c>
      <c r="E5" s="115">
        <v>60</v>
      </c>
      <c r="F5" s="116"/>
      <c r="G5" s="106" t="str">
        <f>IFERROR(INDEX(레시피북!$C$2:$H$618,MATCH($D5,레시피북!$C$2:$C$618,0),6),"")</f>
        <v>돼지고기(국산)80%, 양배추, 양파, 당근, 대파, 마늘, 미소된장[국내생산(대두.쌀:외국산)], 간장, 맛술, 참기름, 후추</v>
      </c>
      <c r="H5" s="94" t="str">
        <f>IFERROR(INDEX(레시피북!$D$2:$J$611,MATCH($D5,레시피북!$C$2:$C$611,0),6),"")</f>
        <v>.5.10.21.</v>
      </c>
      <c r="I5" s="102" t="s">
        <v>2240</v>
      </c>
      <c r="J5" s="95">
        <v>2764</v>
      </c>
      <c r="K5" s="94">
        <v>200435</v>
      </c>
      <c r="L5" s="121" t="str">
        <f>IFERROR(INDEX(레시피북!$C$2:$J$611,MATCH($D5,레시피북!$C$2:$C$611,0),8),"")</f>
        <v>미소된장(범일)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1713</v>
      </c>
      <c r="E6" s="115">
        <v>20</v>
      </c>
      <c r="F6" s="116"/>
      <c r="G6" s="106" t="str">
        <f>IFERROR(INDEX(레시피북!$C$2:$H$618,MATCH($D6,레시피북!$C$2:$C$618,0),6),"")</f>
        <v>명엽채(국내산)95%, 마요네즈, 간장, 물엿, 참기름, 참깨</v>
      </c>
      <c r="H6" s="94" t="str">
        <f>IFERROR(INDEX(레시피북!$D$2:$J$611,MATCH($D6,레시피북!$C$2:$C$611,0),6),"")</f>
        <v>.1.5.21.</v>
      </c>
      <c r="I6" s="102" t="s">
        <v>2240</v>
      </c>
      <c r="J6" s="95">
        <v>2764</v>
      </c>
      <c r="K6" s="94">
        <v>63920</v>
      </c>
      <c r="L6" s="121">
        <f>IFERROR(INDEX(레시피북!$C$2:$J$611,MATCH($D6,레시피북!$C$2:$C$611,0),8),"")</f>
        <v>0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2112</v>
      </c>
      <c r="E7" s="115">
        <v>30</v>
      </c>
      <c r="F7" s="116"/>
      <c r="G7" s="106" t="str">
        <f>IFERROR(INDEX(레시피북!$C$2:$H$618,MATCH($D7,레시피북!$C$2:$C$618,0),6),"")</f>
        <v>호박(국산)75%, 당근, 양파, 대파, 마늘, 대두유, 새우젓, 소금, 참기름, 참깨</v>
      </c>
      <c r="H7" s="94" t="str">
        <f>IFERROR(INDEX(레시피북!$D$2:$J$611,MATCH($D7,레시피북!$C$2:$C$611,0),6),"")</f>
        <v>.5.9.21.</v>
      </c>
      <c r="I7" s="102" t="s">
        <v>2240</v>
      </c>
      <c r="J7" s="95">
        <v>2764</v>
      </c>
      <c r="K7" s="94">
        <v>95230</v>
      </c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945</v>
      </c>
      <c r="E8" s="115">
        <v>25</v>
      </c>
      <c r="F8" s="115"/>
      <c r="G8" s="106" t="str">
        <f>IFERROR(INDEX(레시피북!$C$2:$H$618,MATCH($D8,레시피북!$C$2:$C$618,0),6),"")</f>
        <v>배추(국내산)70&amp;, 무(국내산)10%, 마늘, 생강, 양파, 설탕, 정제수, 소금</v>
      </c>
      <c r="H8" s="94">
        <f>IFERROR(INDEX(레시피북!$D$2:$J$611,MATCH($D8,레시피북!$C$2:$C$611,0),6),"")</f>
        <v>0</v>
      </c>
      <c r="I8" s="102" t="s">
        <v>2240</v>
      </c>
      <c r="J8" s="95">
        <v>2764</v>
      </c>
      <c r="K8" s="94">
        <v>77415</v>
      </c>
      <c r="L8" s="121" t="str">
        <f>IFERROR(INDEX(레시피북!$C$2:$J$611,MATCH($D8,레시피북!$C$2:$C$611,0),8),"")</f>
        <v>백김치(정우식품)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2243</v>
      </c>
      <c r="H9" s="157"/>
      <c r="I9" s="128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1142</v>
      </c>
      <c r="E10" s="215">
        <v>150</v>
      </c>
      <c r="F10" s="215"/>
      <c r="G10" s="216" t="str">
        <f>IFERROR(INDEX(레시피북!$C$2:$H$618,MATCH($D10,레시피북!$C$2:$C$618,0),6),"")</f>
        <v>쌀(국산)90%, 찰흑미(국산.친환경)5%, 정제수</v>
      </c>
      <c r="H10" s="217">
        <f>IFERROR(INDEX(레시피북!$D$2:$J$611,MATCH($D10,레시피북!$C$2:$C$611,0),6),"")</f>
        <v>0</v>
      </c>
      <c r="I10" s="218" t="s">
        <v>2241</v>
      </c>
      <c r="J10" s="244">
        <v>49</v>
      </c>
      <c r="K10" s="243">
        <v>7800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1446</v>
      </c>
      <c r="E11" s="115">
        <v>160</v>
      </c>
      <c r="F11" s="116"/>
      <c r="G11" s="106" t="str">
        <f>IFERROR(INDEX(레시피북!$C$2:$H$618,MATCH($D11,레시피북!$C$2:$C$618,0),6),"")</f>
        <v>불린미역(국산)23%, 정제수, 거피들깨(중국산), 참기름, 국간장, 밥새우, 멸치육수농축액, 마늘, 소금</v>
      </c>
      <c r="H11" s="94" t="str">
        <f>IFERROR(INDEX(레시피북!$D$2:$J$611,MATCH($D11,레시피북!$C$2:$C$611,0),6),"")</f>
        <v>.5.9.21.22.</v>
      </c>
      <c r="I11" s="102" t="s">
        <v>2241</v>
      </c>
      <c r="J11" s="95">
        <v>49</v>
      </c>
      <c r="K11" s="94">
        <v>8010</v>
      </c>
      <c r="L11" s="121" t="str">
        <f>IFERROR(INDEX(레시피북!$C$2:$J$611,MATCH($D11,레시피북!$C$2:$C$611,0),8),"")</f>
        <v>25g / 30g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282" t="s">
        <v>2110</v>
      </c>
      <c r="E12" s="283">
        <v>80</v>
      </c>
      <c r="F12" s="284"/>
      <c r="G12" s="285" t="str">
        <f>IFERROR(INDEX(레시피북!$C$2:$H$618,MATCH($D12,레시피북!$C$2:$C$618,0),6),"")</f>
        <v>돼지고기(국산)65%, 양파(국산)10%, 당근, 대파, 마늘, 고추장, 고춧가루, 간장, , 맛술, 후추, 설탕, 참기름, 참깨</v>
      </c>
      <c r="H12" s="286" t="str">
        <f>IFERROR(INDEX(레시피북!$D$2:$J$611,MATCH($D12,레시피북!$C$2:$C$611,0),6),"")</f>
        <v>.5.6.10.21.</v>
      </c>
      <c r="I12" s="102" t="s">
        <v>2241</v>
      </c>
      <c r="J12" s="95">
        <v>49</v>
      </c>
      <c r="K12" s="94">
        <v>4304</v>
      </c>
      <c r="L12" s="121">
        <f>IFERROR(INDEX(레시피북!$C$2:$J$611,MATCH($D12,레시피북!$C$2:$C$611,0),8),"")</f>
        <v>0</v>
      </c>
      <c r="M12" s="113"/>
      <c r="N12" s="113"/>
    </row>
    <row r="13" spans="2:23" ht="39.950000000000003" customHeight="1">
      <c r="B13" s="336"/>
      <c r="C13" s="235" t="s">
        <v>510</v>
      </c>
      <c r="D13" s="96" t="s">
        <v>1713</v>
      </c>
      <c r="E13" s="115">
        <v>23</v>
      </c>
      <c r="F13" s="116"/>
      <c r="G13" s="106" t="str">
        <f>IFERROR(INDEX(레시피북!$C$2:$H$618,MATCH($D13,레시피북!$C$2:$C$618,0),6),"")</f>
        <v>명엽채(국내산)95%, 마요네즈, 간장, 물엿, 참기름, 참깨</v>
      </c>
      <c r="H13" s="94" t="str">
        <f>IFERROR(INDEX(레시피북!$D$2:$J$611,MATCH($D13,레시피북!$C$2:$C$611,0),6),"")</f>
        <v>.1.5.21.</v>
      </c>
      <c r="I13" s="102" t="s">
        <v>2241</v>
      </c>
      <c r="J13" s="95">
        <v>49</v>
      </c>
      <c r="K13" s="94">
        <v>1127</v>
      </c>
      <c r="L13" s="121">
        <f>IFERROR(INDEX(레시피북!$C$2:$J$611,MATCH($D13,레시피북!$C$2:$C$611,0),8),"")</f>
        <v>0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2112</v>
      </c>
      <c r="E14" s="115">
        <v>35</v>
      </c>
      <c r="F14" s="116"/>
      <c r="G14" s="106" t="str">
        <f>IFERROR(INDEX(레시피북!$C$2:$H$618,MATCH($D14,레시피북!$C$2:$C$618,0),6),"")</f>
        <v>호박(국산)75%, 당근, 양파, 대파, 마늘, 대두유, 새우젓, 소금, 참기름, 참깨</v>
      </c>
      <c r="H14" s="94" t="str">
        <f>IFERROR(INDEX(레시피북!$D$2:$J$611,MATCH($D14,레시피북!$C$2:$C$611,0),6),"")</f>
        <v>.5.9.21.</v>
      </c>
      <c r="I14" s="102" t="s">
        <v>2241</v>
      </c>
      <c r="J14" s="95">
        <v>49</v>
      </c>
      <c r="K14" s="94">
        <v>1715</v>
      </c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945</v>
      </c>
      <c r="E15" s="115">
        <v>35</v>
      </c>
      <c r="F15" s="115"/>
      <c r="G15" s="106" t="str">
        <f>IFERROR(INDEX(레시피북!$C$2:$H$618,MATCH($D15,레시피북!$C$2:$C$618,0),6),"")</f>
        <v>배추(국내산)70&amp;, 무(국내산)10%, 마늘, 생강, 양파, 설탕, 정제수, 소금</v>
      </c>
      <c r="H15" s="94">
        <f>IFERROR(INDEX(레시피북!$D$2:$J$611,MATCH($D15,레시피북!$C$2:$C$611,0),6),"")</f>
        <v>0</v>
      </c>
      <c r="I15" s="102" t="s">
        <v>2241</v>
      </c>
      <c r="J15" s="95">
        <v>49</v>
      </c>
      <c r="K15" s="94">
        <v>1715</v>
      </c>
      <c r="L15" s="121" t="str">
        <f>IFERROR(INDEX(레시피북!$C$2:$J$611,MATCH($D15,레시피북!$C$2:$C$611,0),8),"")</f>
        <v>백김치(정우식품)</v>
      </c>
      <c r="M15" s="113"/>
      <c r="N15" s="113"/>
      <c r="O15" s="113"/>
    </row>
    <row r="16" spans="2:23" ht="39.950000000000003" customHeight="1">
      <c r="B16" s="336"/>
      <c r="C16" s="343" t="s">
        <v>1186</v>
      </c>
      <c r="D16" s="96" t="s">
        <v>2208</v>
      </c>
      <c r="E16" s="115">
        <v>70</v>
      </c>
      <c r="F16" s="115"/>
      <c r="G16" s="106" t="str">
        <f>IFERROR(INDEX(레시피북!$C$2:$H$618,MATCH($D16,레시피북!$C$2:$C$618,0),6),"")</f>
        <v xml:space="preserve">샐러드채소[국내산(양상추,치커리, 적채)]75%, 소불고기(소고기:호주산)25%, </v>
      </c>
      <c r="H16" s="94" t="str">
        <f>IFERROR(INDEX(레시피북!$D$2:$J$611,MATCH($D16,레시피북!$C$2:$C$611,0),6),"")</f>
        <v>.5.16.21.</v>
      </c>
      <c r="I16" s="102" t="s">
        <v>2241</v>
      </c>
      <c r="J16" s="95">
        <v>28</v>
      </c>
      <c r="K16" s="94">
        <v>2320</v>
      </c>
      <c r="L16" s="156">
        <f>IFERROR(INDEX(레시피북!$C$2:$J$611,MATCH($D16,레시피북!$C$2:$C$611,0),8),"")</f>
        <v>0</v>
      </c>
      <c r="M16" s="113"/>
      <c r="N16" s="113"/>
      <c r="O16" s="113"/>
    </row>
    <row r="17" spans="2:15" ht="39.950000000000003" customHeight="1">
      <c r="B17" s="336"/>
      <c r="C17" s="344"/>
      <c r="D17" s="96" t="s">
        <v>1169</v>
      </c>
      <c r="E17" s="115">
        <v>20</v>
      </c>
      <c r="F17" s="115"/>
      <c r="G17" s="106" t="str">
        <f>IFERROR(INDEX(레시피북!$C$2:$H$618,MATCH($D17,레시피북!$C$2:$C$618,0),6),"")</f>
        <v>{양조간장(탈지대두(외국산),천일염(호주산),양조식초, 대두유(대두:외국산), 혼합간장(대두:외국산), 레몬식초, 마늘, 참기름, 참깨 등]</v>
      </c>
      <c r="H17" s="94" t="str">
        <f>IFERROR(INDEX(레시피북!$D$2:$J$611,MATCH($D17,레시피북!$C$2:$C$611,0),6),"")</f>
        <v>.5.6.13.21.</v>
      </c>
      <c r="I17" s="102" t="s">
        <v>2241</v>
      </c>
      <c r="J17" s="95">
        <v>28</v>
      </c>
      <c r="K17" s="94">
        <v>670</v>
      </c>
      <c r="L17" s="156" t="str">
        <f>IFERROR(INDEX(레시피북!$C$2:$J$611,MATCH($D17,레시피북!$C$2:$C$611,0),8),"")</f>
        <v>오리엔탈드레싱(크레잇)</v>
      </c>
      <c r="M17" s="113"/>
      <c r="N17" s="113"/>
      <c r="O17" s="113"/>
    </row>
    <row r="18" spans="2:15" ht="39.950000000000003" customHeight="1" thickBot="1">
      <c r="B18" s="337"/>
      <c r="C18" s="152" t="s">
        <v>72</v>
      </c>
      <c r="D18" s="201"/>
      <c r="E18" s="123"/>
      <c r="F18" s="124"/>
      <c r="G18" s="205"/>
      <c r="H18" s="157"/>
      <c r="I18" s="128"/>
      <c r="J18" s="126">
        <v>1</v>
      </c>
      <c r="K18" s="126">
        <v>0.25</v>
      </c>
      <c r="L18" s="127"/>
      <c r="M18" s="113"/>
      <c r="N18" s="113"/>
      <c r="O18" s="113"/>
    </row>
    <row r="19" spans="2:15" ht="39.950000000000003" customHeight="1">
      <c r="B19" s="338" t="s">
        <v>1358</v>
      </c>
      <c r="C19" s="93" t="s">
        <v>508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2240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1" t="s">
        <v>510</v>
      </c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2240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342"/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2240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51" t="s">
        <v>511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2240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07" t="s">
        <v>690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2240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>
      <c r="B24" s="339"/>
      <c r="C24" s="151" t="s">
        <v>74</v>
      </c>
      <c r="D24" s="153"/>
      <c r="E24" s="115"/>
      <c r="F24" s="115"/>
      <c r="G24" s="106" t="str">
        <f>IFERROR(INDEX(레시피북!$C$2:$H$618,MATCH($D24,레시피북!$C$2:$C$618,0),6),"")</f>
        <v/>
      </c>
      <c r="H24" s="94" t="str">
        <f>IFERROR(INDEX(레시피북!$D$2:$J$611,MATCH($D24,레시피북!$C$2:$C$611,0),6),"")</f>
        <v/>
      </c>
      <c r="I24" s="102" t="s">
        <v>2240</v>
      </c>
      <c r="J24" s="149"/>
      <c r="K24" s="149"/>
      <c r="L24" s="121" t="str">
        <f>IFERROR(INDEX(레시피북!$C$2:$J$611,MATCH($D24,레시피북!$C$2:$C$611,0),8),"")</f>
        <v/>
      </c>
      <c r="M24" s="113"/>
    </row>
    <row r="25" spans="2:15" ht="39.950000000000003" customHeight="1" thickBot="1">
      <c r="B25" s="340"/>
      <c r="C25" s="122" t="s">
        <v>72</v>
      </c>
      <c r="D25" s="123"/>
      <c r="E25" s="123"/>
      <c r="F25" s="124">
        <v>1</v>
      </c>
      <c r="G25" s="125"/>
      <c r="H25" s="157"/>
      <c r="I25" s="128"/>
      <c r="J25" s="126">
        <v>1</v>
      </c>
      <c r="K25" s="126">
        <v>0.25</v>
      </c>
      <c r="L25" s="127"/>
    </row>
    <row r="26" spans="2:15">
      <c r="L26" s="26"/>
    </row>
    <row r="28" spans="2:15">
      <c r="E28"/>
      <c r="F28" s="114"/>
    </row>
  </sheetData>
  <mergeCells count="7">
    <mergeCell ref="B1:L1"/>
    <mergeCell ref="B3:B9"/>
    <mergeCell ref="S5:W5"/>
    <mergeCell ref="B10:B18"/>
    <mergeCell ref="B19:B25"/>
    <mergeCell ref="C20:C21"/>
    <mergeCell ref="C16:C17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1CD-665C-4824-9720-DF1FDC3EFD0D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2246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2247</v>
      </c>
      <c r="E3" s="215">
        <v>140</v>
      </c>
      <c r="F3" s="215"/>
      <c r="G3" s="216" t="str">
        <f>IFERROR(INDEX(레시피북!$C$2:$H$618,MATCH($D3,레시피북!$C$2:$C$618,0),6),"")</f>
        <v>쌀(국산)95%, 정제수</v>
      </c>
      <c r="H3" s="217">
        <f>IFERROR(INDEX(레시피북!$D$2:$J$611,MATCH($D3,레시피북!$C$2:$C$611,0),6),"")</f>
        <v>0</v>
      </c>
      <c r="I3" s="218" t="s">
        <v>2244</v>
      </c>
      <c r="J3" s="270">
        <v>2746</v>
      </c>
      <c r="K3" s="217">
        <v>409040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514</v>
      </c>
      <c r="E4" s="115">
        <v>150</v>
      </c>
      <c r="F4" s="116"/>
      <c r="G4" s="106" t="str">
        <f>IFERROR(INDEX(레시피북!$C$2:$H$618,MATCH($D4,레시피북!$C$2:$C$618,0),6),"")</f>
        <v>근대(국산)22.8%, 양파(국산), 정제수, 된장, 대파, 마늘, 멸치육수농축액, 소금</v>
      </c>
      <c r="H4" s="94" t="str">
        <f>IFERROR(INDEX(레시피북!$D$2:$J$611,MATCH($D4,레시피북!$C$2:$C$611,0),6),"")</f>
        <v>.5.</v>
      </c>
      <c r="I4" s="102" t="s">
        <v>2244</v>
      </c>
      <c r="J4" s="95">
        <v>2746</v>
      </c>
      <c r="K4" s="94">
        <v>414090</v>
      </c>
      <c r="L4" s="121" t="str">
        <f>IFERROR(INDEX(레시피북!$C$2:$J$611,MATCH($D4,레시피북!$C$2:$C$611,0),8),"")</f>
        <v>40g / 45g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538</v>
      </c>
      <c r="E5" s="115">
        <v>60</v>
      </c>
      <c r="F5" s="116"/>
      <c r="G5" s="106" t="str">
        <f>IFERROR(INDEX(레시피북!$C$2:$H$618,MATCH($D5,레시피북!$C$2:$C$618,0),6),"")</f>
        <v xml:space="preserve"> 소고기(호주산)73%,양배추(국산)12%, 양파, 당근, 대파, 마늘, 간장, , 맛술, 후추, 참기름, 참깨</v>
      </c>
      <c r="H5" s="94" t="str">
        <f>IFERROR(INDEX(레시피북!$D$2:$J$611,MATCH($D5,레시피북!$C$2:$C$611,0),6),"")</f>
        <v>.5.16.21.</v>
      </c>
      <c r="I5" s="102" t="s">
        <v>2244</v>
      </c>
      <c r="J5" s="95">
        <v>2746</v>
      </c>
      <c r="K5" s="94">
        <v>198965</v>
      </c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1863</v>
      </c>
      <c r="E6" s="115">
        <v>30</v>
      </c>
      <c r="F6" s="116"/>
      <c r="G6" s="106" t="str">
        <f>IFERROR(INDEX(레시피북!$C$2:$H$618,MATCH($D6,레시피북!$C$2:$C$618,0),6),"")</f>
        <v>표고탕수[표고버섯채(중국산:46.88%), 밀가루:미국산]78%, 강정소스(케찹, 설탕, 물엿, 참기름)</v>
      </c>
      <c r="H6" s="94" t="str">
        <f>IFERROR(INDEX(레시피북!$D$2:$J$611,MATCH($D6,레시피북!$C$2:$C$611,0),6),"")</f>
        <v>.1.5.6.21.</v>
      </c>
      <c r="I6" s="102" t="s">
        <v>2244</v>
      </c>
      <c r="J6" s="95">
        <v>2746</v>
      </c>
      <c r="K6" s="94">
        <v>95250</v>
      </c>
      <c r="L6" s="121" t="str">
        <f>IFERROR(INDEX(레시피북!$C$2:$J$611,MATCH($D6,레시피북!$C$2:$C$611,0),8),"")</f>
        <v>딤섬 표고버섯튀김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2204</v>
      </c>
      <c r="E7" s="115">
        <v>30</v>
      </c>
      <c r="F7" s="116"/>
      <c r="G7" s="106" t="str">
        <f>IFERROR(INDEX(레시피북!$C$2:$H$618,MATCH($D7,레시피북!$C$2:$C$618,0),6),"")</f>
        <v>스위트콘(수입)83%, 파프리카(국산)5%, 양파(국산)5%, 버터, 마요네즈, 소금, 설탕</v>
      </c>
      <c r="H7" s="94" t="str">
        <f>IFERROR(INDEX(레시피북!$D$2:$J$611,MATCH($D7,레시피북!$C$2:$C$611,0),6),"")</f>
        <v>.1.2.5.16.</v>
      </c>
      <c r="I7" s="102" t="s">
        <v>2244</v>
      </c>
      <c r="J7" s="95">
        <v>2746</v>
      </c>
      <c r="K7" s="94">
        <v>95170</v>
      </c>
      <c r="L7" s="121" t="str">
        <f>IFERROR(INDEX(레시피북!$C$2:$J$611,MATCH($D7,레시피북!$C$2:$C$611,0),8),"")</f>
        <v>스위트콘(리치스)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2244</v>
      </c>
      <c r="J8" s="95">
        <v>2746</v>
      </c>
      <c r="K8" s="94">
        <v>76880</v>
      </c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2247</v>
      </c>
      <c r="E10" s="215">
        <v>150</v>
      </c>
      <c r="F10" s="215"/>
      <c r="G10" s="216" t="str">
        <f>IFERROR(INDEX(레시피북!$C$2:$H$618,MATCH($D10,레시피북!$C$2:$C$618,0),6),"")</f>
        <v>쌀(국산)95%, 정제수</v>
      </c>
      <c r="H10" s="217">
        <f>IFERROR(INDEX(레시피북!$D$2:$J$611,MATCH($D10,레시피북!$C$2:$C$611,0),6),"")</f>
        <v>0</v>
      </c>
      <c r="I10" s="218" t="s">
        <v>2245</v>
      </c>
      <c r="J10" s="244">
        <v>21</v>
      </c>
      <c r="K10" s="243">
        <v>3350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514</v>
      </c>
      <c r="E11" s="115">
        <v>160</v>
      </c>
      <c r="F11" s="116"/>
      <c r="G11" s="106" t="str">
        <f>IFERROR(INDEX(레시피북!$C$2:$H$618,MATCH($D11,레시피북!$C$2:$C$618,0),6),"")</f>
        <v>근대(국산)22.8%, 양파(국산), 정제수, 된장, 대파, 마늘, 멸치육수농축액, 소금</v>
      </c>
      <c r="H11" s="94" t="str">
        <f>IFERROR(INDEX(레시피북!$D$2:$J$611,MATCH($D11,레시피북!$C$2:$C$611,0),6),"")</f>
        <v>.5.</v>
      </c>
      <c r="I11" s="102" t="s">
        <v>2245</v>
      </c>
      <c r="J11" s="95">
        <v>21</v>
      </c>
      <c r="K11" s="94">
        <v>3360</v>
      </c>
      <c r="L11" s="121" t="str">
        <f>IFERROR(INDEX(레시피북!$C$2:$J$611,MATCH($D11,레시피북!$C$2:$C$611,0),8),"")</f>
        <v>40g / 45g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538</v>
      </c>
      <c r="E12" s="115">
        <v>80</v>
      </c>
      <c r="F12" s="116"/>
      <c r="G12" s="106" t="str">
        <f>IFERROR(INDEX(레시피북!$C$2:$H$618,MATCH($D12,레시피북!$C$2:$C$618,0),6),"")</f>
        <v xml:space="preserve"> 소고기(호주산)73%,양배추(국산)12%, 양파, 당근, 대파, 마늘, 간장, , 맛술, 후추, 참기름, 참깨</v>
      </c>
      <c r="H12" s="94" t="str">
        <f>IFERROR(INDEX(레시피북!$D$2:$J$611,MATCH($D12,레시피북!$C$2:$C$611,0),6),"")</f>
        <v>.5.16.21.</v>
      </c>
      <c r="I12" s="102" t="s">
        <v>2245</v>
      </c>
      <c r="J12" s="95">
        <v>21</v>
      </c>
      <c r="K12" s="94">
        <v>1840.0000000000002</v>
      </c>
      <c r="L12" s="121">
        <f>IFERROR(INDEX(레시피북!$C$2:$J$611,MATCH($D12,레시피북!$C$2:$C$611,0),8),"")</f>
        <v>0</v>
      </c>
      <c r="M12" s="113"/>
      <c r="N12" s="113"/>
    </row>
    <row r="13" spans="2:23" ht="39.950000000000003" customHeight="1">
      <c r="B13" s="336"/>
      <c r="C13" s="235" t="s">
        <v>510</v>
      </c>
      <c r="D13" s="96" t="s">
        <v>1863</v>
      </c>
      <c r="E13" s="115">
        <v>35</v>
      </c>
      <c r="F13" s="116"/>
      <c r="G13" s="106" t="str">
        <f>IFERROR(INDEX(레시피북!$C$2:$H$618,MATCH($D13,레시피북!$C$2:$C$618,0),6),"")</f>
        <v>표고탕수[표고버섯채(중국산:46.88%), 밀가루:미국산]78%, 강정소스(케찹, 설탕, 물엿, 참기름)</v>
      </c>
      <c r="H13" s="94" t="str">
        <f>IFERROR(INDEX(레시피북!$D$2:$J$611,MATCH($D13,레시피북!$C$2:$C$611,0),6),"")</f>
        <v>.1.5.6.21.</v>
      </c>
      <c r="I13" s="102" t="s">
        <v>2245</v>
      </c>
      <c r="J13" s="95">
        <v>21</v>
      </c>
      <c r="K13" s="94">
        <v>840</v>
      </c>
      <c r="L13" s="121" t="str">
        <f>IFERROR(INDEX(레시피북!$C$2:$J$611,MATCH($D13,레시피북!$C$2:$C$611,0),8),"")</f>
        <v>딤섬 표고버섯튀김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2204</v>
      </c>
      <c r="E14" s="115">
        <v>35</v>
      </c>
      <c r="F14" s="116"/>
      <c r="G14" s="106" t="str">
        <f>IFERROR(INDEX(레시피북!$C$2:$H$618,MATCH($D14,레시피북!$C$2:$C$618,0),6),"")</f>
        <v>스위트콘(수입)83%, 파프리카(국산)5%, 양파(국산)5%, 버터, 마요네즈, 소금, 설탕</v>
      </c>
      <c r="H14" s="94" t="str">
        <f>IFERROR(INDEX(레시피북!$D$2:$J$611,MATCH($D14,레시피북!$C$2:$C$611,0),6),"")</f>
        <v>.1.2.5.16.</v>
      </c>
      <c r="I14" s="102" t="s">
        <v>2245</v>
      </c>
      <c r="J14" s="95">
        <v>21</v>
      </c>
      <c r="K14" s="94">
        <v>735</v>
      </c>
      <c r="L14" s="121" t="str">
        <f>IFERROR(INDEX(레시피북!$C$2:$J$611,MATCH($D14,레시피북!$C$2:$C$611,0),8),"")</f>
        <v>스위트콘(리치스)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2245</v>
      </c>
      <c r="J15" s="95">
        <v>21</v>
      </c>
      <c r="K15" s="94">
        <v>735</v>
      </c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2245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2244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2244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2244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2244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2244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2244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348E-987B-49C6-B525-3A368AF7370C}">
  <sheetPr>
    <tabColor rgb="FF72F688"/>
    <pageSetUpPr fitToPage="1"/>
  </sheetPr>
  <dimension ref="B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2250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1144</v>
      </c>
      <c r="E3" s="215">
        <v>140</v>
      </c>
      <c r="F3" s="215"/>
      <c r="G3" s="216" t="str">
        <f>IFERROR(INDEX(레시피북!$C$2:$H$618,MATCH($D3,레시피북!$C$2:$C$618,0),6),"")</f>
        <v>쌀(국산)90%, 찰보리(국산.친환경)5%, 정제수</v>
      </c>
      <c r="H3" s="217">
        <f>IFERROR(INDEX(레시피북!$D$2:$J$611,MATCH($D3,레시피북!$C$2:$C$611,0),6),"")</f>
        <v>0</v>
      </c>
      <c r="I3" s="218" t="s">
        <v>2248</v>
      </c>
      <c r="J3" s="270"/>
      <c r="K3" s="217">
        <v>388280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2134</v>
      </c>
      <c r="E4" s="115">
        <v>150</v>
      </c>
      <c r="F4" s="116"/>
      <c r="G4" s="106" t="str">
        <f>IFERROR(INDEX(레시피북!$C$2:$H$618,MATCH($D4,레시피북!$C$2:$C$618,0),6),"")</f>
        <v>아귀(국산)8%, 콩나물(콩:수입산), 무(국내산), 파, 마늘, 정제수, 국간장, 소금</v>
      </c>
      <c r="H4" s="94" t="str">
        <f>IFERROR(INDEX(레시피북!$D$2:$J$611,MATCH($D4,레시피북!$C$2:$C$611,0),6),"")</f>
        <v>.5.</v>
      </c>
      <c r="I4" s="102" t="s">
        <v>2248</v>
      </c>
      <c r="J4" s="95"/>
      <c r="K4" s="94">
        <v>391970</v>
      </c>
      <c r="L4" s="121" t="str">
        <f>IFERROR(INDEX(레시피북!$C$2:$J$611,MATCH($D4,레시피북!$C$2:$C$611,0),8),"")</f>
        <v>45g / 50g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944</v>
      </c>
      <c r="E5" s="115">
        <v>75</v>
      </c>
      <c r="F5" s="116"/>
      <c r="G5" s="106" t="str">
        <f>IFERROR(INDEX(레시피북!$C$2:$H$618,MATCH($D5,레시피북!$C$2:$C$618,0),6),"")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5" s="94" t="str">
        <f>IFERROR(INDEX(레시피북!$D$2:$J$611,MATCH($D5,레시피북!$C$2:$C$611,0),6),"")</f>
        <v>.5.6.10.19.21.</v>
      </c>
      <c r="I5" s="102" t="s">
        <v>2248</v>
      </c>
      <c r="J5" s="95"/>
      <c r="K5" s="94">
        <v>217410</v>
      </c>
      <c r="L5" s="121" t="str">
        <f>IFERROR(INDEX(레시피북!$C$2:$J$611,MATCH($D5,레시피북!$C$2:$C$611,0),8),"")</f>
        <v>돼지갈비양념장(백설)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1913</v>
      </c>
      <c r="E6" s="115">
        <v>30</v>
      </c>
      <c r="F6" s="116"/>
      <c r="G6" s="106" t="str">
        <f>IFERROR(INDEX(레시피북!$C$2:$H$618,MATCH($D6,레시피북!$C$2:$C$618,0),6),"")</f>
        <v>메추리알(국산)82%, 파프리카(국내산)3%, 간장, 물엿, 참기름, 참깨</v>
      </c>
      <c r="H6" s="94" t="str">
        <f>IFERROR(INDEX(레시피북!$D$2:$J$611,MATCH($D6,레시피북!$C$2:$C$611,0),6),"")</f>
        <v>.1.5.6.12.21.</v>
      </c>
      <c r="I6" s="102" t="s">
        <v>2248</v>
      </c>
      <c r="J6" s="95"/>
      <c r="K6" s="94">
        <v>94445</v>
      </c>
      <c r="L6" s="121" t="str">
        <f>IFERROR(INDEX(레시피북!$C$2:$J$611,MATCH($D6,레시피북!$C$2:$C$611,0),8),"")</f>
        <v>깐메추리알(조인)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674</v>
      </c>
      <c r="E7" s="115"/>
      <c r="F7" s="116">
        <v>1</v>
      </c>
      <c r="G7" s="106" t="str">
        <f>IFERROR(INDEX(레시피북!$C$2:$H$618,MATCH($D7,레시피북!$C$2:$C$618,0),6),"")</f>
        <v>김(국산), 카놀라유(원료:외국산), 참기름, 정제소금</v>
      </c>
      <c r="H7" s="94" t="str">
        <f>IFERROR(INDEX(레시피북!$D$2:$J$611,MATCH($D7,레시피북!$C$2:$C$611,0),6),"")</f>
        <v>.21.</v>
      </c>
      <c r="I7" s="102" t="s">
        <v>2248</v>
      </c>
      <c r="J7" s="95"/>
      <c r="K7" s="94">
        <v>2775.1999999999985</v>
      </c>
      <c r="L7" s="121" t="str">
        <f>IFERROR(INDEX(레시피북!$C$2:$J$611,MATCH($D7,레시피북!$C$2:$C$611,0),8),"")</f>
        <v>양반김(동원)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518</v>
      </c>
      <c r="E8" s="115">
        <v>25</v>
      </c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2248</v>
      </c>
      <c r="J8" s="95"/>
      <c r="K8" s="94">
        <v>72947.5</v>
      </c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50.1" customHeight="1" thickBot="1">
      <c r="B9" s="337"/>
      <c r="C9" s="152" t="s">
        <v>72</v>
      </c>
      <c r="D9" s="201"/>
      <c r="E9" s="123"/>
      <c r="F9" s="124"/>
      <c r="G9" s="251" t="s">
        <v>2344</v>
      </c>
      <c r="H9" s="157"/>
      <c r="I9" s="128"/>
      <c r="J9" s="126">
        <v>1</v>
      </c>
      <c r="K9" s="126">
        <v>0.25</v>
      </c>
      <c r="L9" s="127"/>
      <c r="M9" s="113">
        <v>388280</v>
      </c>
      <c r="N9" s="113">
        <v>391970</v>
      </c>
      <c r="O9" s="113">
        <v>217410</v>
      </c>
      <c r="P9">
        <v>94445</v>
      </c>
      <c r="Q9" s="113">
        <v>2775.1999999999985</v>
      </c>
      <c r="R9" s="113">
        <v>72947.5</v>
      </c>
      <c r="S9" s="113">
        <v>72947.5</v>
      </c>
    </row>
    <row r="10" spans="2:23" ht="39.950000000000003" customHeight="1">
      <c r="B10" s="345" t="s">
        <v>1358</v>
      </c>
      <c r="C10" s="93" t="s">
        <v>508</v>
      </c>
      <c r="D10" s="153" t="s">
        <v>1767</v>
      </c>
      <c r="E10" s="115">
        <v>140</v>
      </c>
      <c r="F10" s="115"/>
      <c r="G10" s="106" t="str">
        <f>IFERROR(INDEX(레시피북!$C$2:$H$618,MATCH($D10,레시피북!$C$2:$C$618,0),6),"")</f>
        <v>밥(쌀:국산)95%, 후리카케[볶은참깨(참깨:인도산), 밀소맥볼(밀:미국,호주산),조각김(김:국산), 양조간장], 맛소금, 참기름</v>
      </c>
      <c r="H10" s="94" t="str">
        <f>IFERROR(INDEX(레시피북!$D$2:$J$611,MATCH($D10,레시피북!$C$2:$C$611,0),6),"")</f>
        <v>.5.21.</v>
      </c>
      <c r="I10" s="102" t="s">
        <v>2248</v>
      </c>
      <c r="J10" s="149">
        <v>90</v>
      </c>
      <c r="K10" s="149">
        <v>14220</v>
      </c>
      <c r="L10" s="121">
        <f>IFERROR(INDEX(레시피북!$C$2:$J$611,MATCH($D10,레시피북!$C$2:$C$611,0),8),"")</f>
        <v>0</v>
      </c>
      <c r="M10" s="113"/>
    </row>
    <row r="11" spans="2:23" ht="39.950000000000003" customHeight="1">
      <c r="B11" s="346"/>
      <c r="C11" s="151" t="s">
        <v>510</v>
      </c>
      <c r="D11" s="153" t="s">
        <v>1058</v>
      </c>
      <c r="E11" s="115"/>
      <c r="F11" s="115">
        <v>3</v>
      </c>
      <c r="G11" s="106" t="str">
        <f>IFERROR(INDEX(레시피북!$C$2:$H$618,MATCH($D11,레시피북!$C$2:$C$618,0),6),"")</f>
        <v>닭고기(국내산)56.83%, 크루스토브레딩(캐나다산:밀가루,식물성유지,설탕소금). 버터믹스, 정제수, 양파, 마늘, 후추</v>
      </c>
      <c r="H11" s="94" t="str">
        <f>IFERROR(INDEX(레시피북!$D$2:$J$611,MATCH($D11,레시피북!$C$2:$C$611,0),6),"")</f>
        <v>.1.2.5.6.15.16.</v>
      </c>
      <c r="I11" s="102" t="s">
        <v>2248</v>
      </c>
      <c r="J11" s="149">
        <v>90</v>
      </c>
      <c r="K11" s="149">
        <v>441</v>
      </c>
      <c r="L11" s="121" t="str">
        <f>IFERROR(INDEX(레시피북!$C$2:$J$611,MATCH($D11,레시피북!$C$2:$C$611,0),8),"")</f>
        <v>43ea까지 / 용가리치킨(하림)</v>
      </c>
      <c r="M11" s="113"/>
    </row>
    <row r="12" spans="2:23" ht="39.950000000000003" customHeight="1">
      <c r="B12" s="346"/>
      <c r="C12" s="151" t="s">
        <v>511</v>
      </c>
      <c r="D12" s="153" t="s">
        <v>559</v>
      </c>
      <c r="E12" s="115"/>
      <c r="F12" s="115">
        <v>1</v>
      </c>
      <c r="G12" s="106" t="str">
        <f>IFERROR(INDEX(레시피북!$C$2:$H$618,MATCH($D12,레시피북!$C$2:$C$618,0),6),"")</f>
        <v>딤섬[(새우살36.62%, 정제수, 밀전분 11.47%, 타피오카전분 7.94%, 관자 5.64%, 대두유)원산지: 베트남산]</v>
      </c>
      <c r="H12" s="94" t="str">
        <f>IFERROR(INDEX(레시피북!$D$2:$J$611,MATCH($D12,레시피북!$C$2:$C$611,0),6),"")</f>
        <v>.5.6.9.18.</v>
      </c>
      <c r="I12" s="102" t="s">
        <v>2248</v>
      </c>
      <c r="J12" s="149">
        <v>90</v>
      </c>
      <c r="K12" s="149">
        <v>95</v>
      </c>
      <c r="L12" s="121" t="str">
        <f>IFERROR(INDEX(레시피북!$C$2:$J$611,MATCH($D12,레시피북!$C$2:$C$611,0),8),"")</f>
        <v>관자쇼마이(세미원푸드)</v>
      </c>
      <c r="M12" s="113"/>
    </row>
    <row r="13" spans="2:23" ht="39.950000000000003" customHeight="1">
      <c r="B13" s="346"/>
      <c r="C13" s="107" t="s">
        <v>690</v>
      </c>
      <c r="D13" s="153" t="s">
        <v>2251</v>
      </c>
      <c r="E13" s="115"/>
      <c r="F13" s="115">
        <v>2</v>
      </c>
      <c r="G13" s="106" t="str">
        <f>IFERROR(INDEX(레시피북!$C$2:$H$618,MATCH($D13,레시피북!$C$2:$C$618,0),6),"")</f>
        <v>빵류{밀가루(밀:미국산.호주산),카스타드크림[설탕,물엿,카놀라유(외국산),유청분말(외국산),마가린(팜유:말레이시아산),대두유,전란액(국내산)등]}</v>
      </c>
      <c r="H13" s="94" t="str">
        <f>IFERROR(INDEX(레시피북!$D$2:$J$611,MATCH($D13,레시피북!$C$2:$C$611,0),6),"")</f>
        <v>.1.2.5.6.</v>
      </c>
      <c r="I13" s="102" t="s">
        <v>2248</v>
      </c>
      <c r="J13" s="149">
        <v>90</v>
      </c>
      <c r="K13" s="149">
        <v>203</v>
      </c>
      <c r="L13" s="121">
        <f>IFERROR(INDEX(레시피북!$C$2:$J$611,MATCH($D13,레시피북!$C$2:$C$611,0),8),"")</f>
        <v>0</v>
      </c>
      <c r="M13" s="113"/>
    </row>
    <row r="14" spans="2:23" ht="39.950000000000003" customHeight="1">
      <c r="B14" s="346"/>
      <c r="C14" s="151" t="s">
        <v>74</v>
      </c>
      <c r="D14" s="153" t="s">
        <v>1738</v>
      </c>
      <c r="E14" s="115"/>
      <c r="F14" s="115">
        <v>1</v>
      </c>
      <c r="G14" s="106" t="s">
        <v>2252</v>
      </c>
      <c r="H14" s="94" t="str">
        <f>IFERROR(INDEX(레시피북!$D$2:$J$611,MATCH($D14,레시피북!$C$2:$C$611,0),6),"")</f>
        <v/>
      </c>
      <c r="I14" s="102" t="s">
        <v>2248</v>
      </c>
      <c r="J14" s="149">
        <v>90</v>
      </c>
      <c r="K14" s="149">
        <v>7185</v>
      </c>
      <c r="L14" s="121" t="str">
        <f>IFERROR(INDEX(레시피북!$C$2:$J$611,MATCH($D14,레시피북!$C$2:$C$611,0),8),"")</f>
        <v/>
      </c>
      <c r="M14" s="113"/>
    </row>
    <row r="15" spans="2:23" ht="39.950000000000003" customHeight="1" thickBot="1">
      <c r="B15" s="347"/>
      <c r="C15" s="122" t="s">
        <v>72</v>
      </c>
      <c r="D15" s="123"/>
      <c r="E15" s="123"/>
      <c r="F15" s="124">
        <v>1</v>
      </c>
      <c r="G15" s="125"/>
      <c r="H15" s="157"/>
      <c r="I15" s="128"/>
      <c r="J15" s="126">
        <v>1</v>
      </c>
      <c r="K15" s="126">
        <v>0.25</v>
      </c>
      <c r="L15" s="127"/>
    </row>
    <row r="16" spans="2:23" ht="39.950000000000003" customHeight="1">
      <c r="B16" s="336" t="s">
        <v>1813</v>
      </c>
      <c r="C16" s="241" t="s">
        <v>508</v>
      </c>
      <c r="D16" s="269" t="s">
        <v>1144</v>
      </c>
      <c r="E16" s="215">
        <v>150</v>
      </c>
      <c r="F16" s="215"/>
      <c r="G16" s="216" t="str">
        <f>IFERROR(INDEX(레시피북!$C$2:$H$618,MATCH($D16,레시피북!$C$2:$C$618,0),6),"")</f>
        <v>쌀(국산)90%, 찰보리(국산.친환경)5%, 정제수</v>
      </c>
      <c r="H16" s="217">
        <f>IFERROR(INDEX(레시피북!$D$2:$J$611,MATCH($D16,레시피북!$C$2:$C$611,0),6),"")</f>
        <v>0</v>
      </c>
      <c r="I16" s="218" t="s">
        <v>2249</v>
      </c>
      <c r="J16" s="244">
        <v>20</v>
      </c>
      <c r="K16" s="243">
        <v>3150</v>
      </c>
      <c r="L16" s="219">
        <f>IFERROR(INDEX(레시피북!$C$2:$J$611,MATCH($D16,레시피북!$C$2:$C$611,0),8),"")</f>
        <v>0</v>
      </c>
      <c r="M16" s="113" t="s">
        <v>1189</v>
      </c>
      <c r="N16" s="113"/>
      <c r="O16" s="113"/>
      <c r="P16" s="113" t="s">
        <v>1240</v>
      </c>
      <c r="S16" s="113" t="s">
        <v>1401</v>
      </c>
    </row>
    <row r="17" spans="2:19" ht="39.950000000000003" customHeight="1">
      <c r="B17" s="336"/>
      <c r="C17" s="235" t="s">
        <v>512</v>
      </c>
      <c r="D17" s="96" t="s">
        <v>2134</v>
      </c>
      <c r="E17" s="115">
        <v>160</v>
      </c>
      <c r="F17" s="116"/>
      <c r="G17" s="106" t="str">
        <f>IFERROR(INDEX(레시피북!$C$2:$H$618,MATCH($D17,레시피북!$C$2:$C$618,0),6),"")</f>
        <v>아귀(국산)8%, 콩나물(콩:수입산), 무(국내산), 파, 마늘, 정제수, 국간장, 소금</v>
      </c>
      <c r="H17" s="94" t="str">
        <f>IFERROR(INDEX(레시피북!$D$2:$J$611,MATCH($D17,레시피북!$C$2:$C$611,0),6),"")</f>
        <v>.5.</v>
      </c>
      <c r="I17" s="102" t="s">
        <v>2249</v>
      </c>
      <c r="J17" s="95">
        <v>20</v>
      </c>
      <c r="K17" s="94">
        <v>3360</v>
      </c>
      <c r="L17" s="121" t="str">
        <f>IFERROR(INDEX(레시피북!$C$2:$J$611,MATCH($D17,레시피북!$C$2:$C$611,0),8),"")</f>
        <v>45g / 50g</v>
      </c>
      <c r="M17" s="113" t="s">
        <v>1566</v>
      </c>
      <c r="N17" s="113"/>
      <c r="O17" s="113"/>
      <c r="P17" s="113" t="s">
        <v>1608</v>
      </c>
      <c r="S17" s="113" t="s">
        <v>1609</v>
      </c>
    </row>
    <row r="18" spans="2:19" ht="39.950000000000003" customHeight="1">
      <c r="B18" s="336"/>
      <c r="C18" s="235" t="s">
        <v>509</v>
      </c>
      <c r="D18" s="96" t="s">
        <v>944</v>
      </c>
      <c r="E18" s="115">
        <v>90</v>
      </c>
      <c r="F18" s="116"/>
      <c r="G18" s="106" t="str">
        <f>IFERROR(INDEX(레시피북!$C$2:$H$618,MATCH($D18,레시피북!$C$2:$C$618,0),6),"")</f>
        <v>돼지사태(국산)54%, 무(국산)12%, 양파, 표고버섯, 파인애플(전처리용), 당근, 대파, 마늘, 생강가루, 월계수잎, 돼지갈비양념장, 정제수, 간장, 설탕, 맛술, 물엿, 참기름, 후추</v>
      </c>
      <c r="H18" s="94" t="str">
        <f>IFERROR(INDEX(레시피북!$D$2:$J$611,MATCH($D18,레시피북!$C$2:$C$611,0),6),"")</f>
        <v>.5.6.10.19.21.</v>
      </c>
      <c r="I18" s="102" t="s">
        <v>2249</v>
      </c>
      <c r="J18" s="95">
        <v>20</v>
      </c>
      <c r="K18" s="94">
        <v>2070</v>
      </c>
      <c r="L18" s="121" t="str">
        <f>IFERROR(INDEX(레시피북!$C$2:$J$611,MATCH($D18,레시피북!$C$2:$C$611,0),8),"")</f>
        <v>돼지갈비양념장(백설)</v>
      </c>
      <c r="M18" s="113"/>
      <c r="N18" s="113"/>
    </row>
    <row r="19" spans="2:19" ht="39.950000000000003" customHeight="1">
      <c r="B19" s="336"/>
      <c r="C19" s="235" t="s">
        <v>510</v>
      </c>
      <c r="D19" s="96" t="s">
        <v>1913</v>
      </c>
      <c r="E19" s="115">
        <v>40</v>
      </c>
      <c r="F19" s="116"/>
      <c r="G19" s="106" t="str">
        <f>IFERROR(INDEX(레시피북!$C$2:$H$618,MATCH($D19,레시피북!$C$2:$C$618,0),6),"")</f>
        <v>메추리알(국산)82%, 파프리카(국내산)3%, 간장, 물엿, 참기름, 참깨</v>
      </c>
      <c r="H19" s="94" t="str">
        <f>IFERROR(INDEX(레시피북!$D$2:$J$611,MATCH($D19,레시피북!$C$2:$C$611,0),6),"")</f>
        <v>.1.5.6.12.21.</v>
      </c>
      <c r="I19" s="102" t="s">
        <v>2249</v>
      </c>
      <c r="J19" s="95">
        <v>20</v>
      </c>
      <c r="K19" s="94">
        <v>840</v>
      </c>
      <c r="L19" s="121" t="str">
        <f>IFERROR(INDEX(레시피북!$C$2:$J$611,MATCH($D19,레시피북!$C$2:$C$611,0),8),"")</f>
        <v>깐메추리알(조인)</v>
      </c>
      <c r="M19" s="113"/>
      <c r="N19" s="113"/>
      <c r="O19" s="113"/>
    </row>
    <row r="20" spans="2:19" ht="39.950000000000003" customHeight="1">
      <c r="B20" s="336"/>
      <c r="C20" s="151" t="s">
        <v>232</v>
      </c>
      <c r="D20" s="96" t="s">
        <v>674</v>
      </c>
      <c r="E20" s="115"/>
      <c r="F20" s="116">
        <v>1</v>
      </c>
      <c r="G20" s="106" t="str">
        <f>IFERROR(INDEX(레시피북!$C$2:$H$618,MATCH($D20,레시피북!$C$2:$C$618,0),6),"")</f>
        <v>김(국산), 카놀라유(원료:외국산), 참기름, 정제소금</v>
      </c>
      <c r="H20" s="94" t="str">
        <f>IFERROR(INDEX(레시피북!$D$2:$J$611,MATCH($D20,레시피북!$C$2:$C$611,0),6),"")</f>
        <v>.21.</v>
      </c>
      <c r="I20" s="102" t="s">
        <v>2249</v>
      </c>
      <c r="J20" s="95">
        <v>20</v>
      </c>
      <c r="K20" s="94">
        <v>23.1</v>
      </c>
      <c r="L20" s="121" t="str">
        <f>IFERROR(INDEX(레시피북!$C$2:$J$611,MATCH($D20,레시피북!$C$2:$C$611,0),8),"")</f>
        <v>양반김(동원)</v>
      </c>
      <c r="M20" s="113"/>
      <c r="N20" s="113"/>
      <c r="O20" s="113"/>
    </row>
    <row r="21" spans="2:19" ht="39.950000000000003" customHeight="1">
      <c r="B21" s="336"/>
      <c r="C21" s="236" t="s">
        <v>690</v>
      </c>
      <c r="D21" s="96" t="s">
        <v>518</v>
      </c>
      <c r="E21" s="115">
        <v>35</v>
      </c>
      <c r="F21" s="115"/>
      <c r="G21" s="106" t="str">
        <f>IFERROR(INDEX(레시피북!$C$2:$H$618,MATCH($D21,레시피북!$C$2:$C$618,0),6),"")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21" s="94" t="str">
        <f>IFERROR(INDEX(레시피북!$D$2:$J$611,MATCH($D21,레시피북!$C$2:$C$611,0),6),"")</f>
        <v>.9.12.</v>
      </c>
      <c r="I21" s="102" t="s">
        <v>2249</v>
      </c>
      <c r="J21" s="95">
        <v>20</v>
      </c>
      <c r="K21" s="94">
        <v>735</v>
      </c>
      <c r="L21" s="121" t="str">
        <f>IFERROR(INDEX(레시피북!$C$2:$J$611,MATCH($D21,레시피북!$C$2:$C$611,0),8),"")</f>
        <v>토마토김치(종가집)</v>
      </c>
      <c r="M21" s="113"/>
      <c r="N21" s="113"/>
      <c r="O21" s="113"/>
    </row>
    <row r="22" spans="2:19" ht="39.950000000000003" customHeight="1">
      <c r="B22" s="336"/>
      <c r="C22" s="212" t="s">
        <v>1186</v>
      </c>
      <c r="D22" s="96" t="s">
        <v>1378</v>
      </c>
      <c r="E22" s="115"/>
      <c r="F22" s="115">
        <v>1</v>
      </c>
      <c r="G22" s="106" t="str">
        <f>IFERROR(INDEX(레시피북!$C$2:$H$618,MATCH($D22,레시피북!$C$2:$C$618,0),6),"")</f>
        <v>빵류[{소시지(미국산/돼지고기},{핫도그믹스(밀:미국,호주산),혼합탈지분유(네덜란드산)},빵가루{밀가루(밀:미국산,호주산)},대두유,난백액},곡류가공품{찹쌀(국산)100%}]</v>
      </c>
      <c r="H22" s="94" t="str">
        <f>IFERROR(INDEX(레시피북!$D$2:$J$611,MATCH($D22,레시피북!$C$2:$C$611,0),6),"")</f>
        <v>1.2.5.6.10.</v>
      </c>
      <c r="I22" s="102" t="s">
        <v>2249</v>
      </c>
      <c r="J22" s="95"/>
      <c r="K22" s="94"/>
      <c r="L22" s="156" t="str">
        <f>IFERROR(INDEX(레시피북!$C$2:$J$611,MATCH($D22,레시피북!$C$2:$C$611,0),8),"")</f>
        <v>크리스피쌀핫도그(잔슨빌)</v>
      </c>
      <c r="M22" s="113"/>
      <c r="N22" s="113"/>
      <c r="O22" s="113"/>
    </row>
    <row r="23" spans="2:19" ht="39.950000000000003" customHeight="1" thickBot="1">
      <c r="B23" s="337"/>
      <c r="C23" s="152" t="s">
        <v>72</v>
      </c>
      <c r="D23" s="201"/>
      <c r="E23" s="123"/>
      <c r="F23" s="124"/>
      <c r="G23" s="205"/>
      <c r="H23" s="157"/>
      <c r="I23" s="128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4EAB-055C-4045-B735-75211C9EA044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2257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2232</v>
      </c>
      <c r="E3" s="215">
        <v>140</v>
      </c>
      <c r="F3" s="215"/>
      <c r="G3" s="216" t="str">
        <f>IFERROR(INDEX(레시피북!$C$2:$H$618,MATCH($D3,레시피북!$C$2:$C$618,0),6),"")</f>
        <v>쌀(국산)90%, 현미(국산.친환경)5%, 정제수</v>
      </c>
      <c r="H3" s="217">
        <f>IFERROR(INDEX(레시피북!$D$2:$J$611,MATCH($D3,레시피북!$C$2:$C$611,0),6),"")</f>
        <v>0</v>
      </c>
      <c r="I3" s="218" t="s">
        <v>2258</v>
      </c>
      <c r="J3" s="270">
        <v>2911</v>
      </c>
      <c r="K3" s="217">
        <v>435920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1152</v>
      </c>
      <c r="E4" s="115">
        <v>150</v>
      </c>
      <c r="F4" s="116"/>
      <c r="G4" s="106" t="str">
        <f>IFERROR(INDEX(레시피북!$C$2:$H$618,MATCH($D4,레시피북!$C$2:$C$618,0),6),"")</f>
        <v>유부(원료수입산)10%, 팽이버섯(국산)2%, 미소된장(국내산), 정제수, 멸치육수농축액, 실파, 마늘, 소금</v>
      </c>
      <c r="H4" s="94" t="str">
        <f>IFERROR(INDEX(레시피북!$D$2:$J$611,MATCH($D4,레시피북!$C$2:$C$611,0),6),"")</f>
        <v>.5.</v>
      </c>
      <c r="I4" s="102" t="s">
        <v>2258</v>
      </c>
      <c r="J4" s="95">
        <v>2911</v>
      </c>
      <c r="K4" s="94">
        <v>442240</v>
      </c>
      <c r="L4" s="121" t="str">
        <f>IFERROR(INDEX(레시피북!$C$2:$J$611,MATCH($D4,레시피북!$C$2:$C$611,0),8),"")</f>
        <v>20g / 25g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151" t="s">
        <v>509</v>
      </c>
      <c r="D5" s="96" t="s">
        <v>2043</v>
      </c>
      <c r="E5" s="115"/>
      <c r="F5" s="116">
        <v>1</v>
      </c>
      <c r="G5" s="106" t="str">
        <f>IFERROR(INDEX(레시피북!$C$2:$H$618,MATCH($D5,레시피북!$C$2:$C$618,0),6),"")</f>
        <v>[돼지고기(지방일부사용:국산)47.47%, 소고기(국산)13.39%, 양파, 난백액,설탕,마늘,정제소금, 후추가루]86%, 갈릭소스[양송이(국내산)2%,스테이크소스,데미글라수소스,마늘,생크림,후추]14%</v>
      </c>
      <c r="H5" s="94" t="str">
        <f>IFERROR(INDEX(레시피북!$D$2:$J$611,MATCH($D5,레시피북!$C$2:$C$611,0),6),"")</f>
        <v>.1.5.6.10.16.18.</v>
      </c>
      <c r="I5" s="102" t="s">
        <v>2258</v>
      </c>
      <c r="J5" s="95">
        <v>2911</v>
      </c>
      <c r="K5" s="94">
        <v>3399.2999999999984</v>
      </c>
      <c r="L5" s="121" t="str">
        <f>IFERROR(INDEX(레시피북!$C$2:$J$611,MATCH($D5,레시피북!$C$2:$C$611,0),8),"")</f>
        <v>125921 튼튼스쿨 쥬시햄벅스테이크(튼튼스쿨60g*16입 960g/EA)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2260</v>
      </c>
      <c r="E6" s="115"/>
      <c r="F6" s="116">
        <v>1</v>
      </c>
      <c r="G6" s="106" t="str">
        <f>IFERROR(INDEX(레시피북!$C$2:$H$618,MATCH($D6,레시피북!$C$2:$C$618,0),6),"")</f>
        <v>계란(국산)81.8%, 정제수, 간장, 통후추, 맛술, 물엿</v>
      </c>
      <c r="H6" s="94" t="str">
        <f>IFERROR(INDEX(레시피북!$D$2:$J$611,MATCH($D6,레시피북!$C$2:$C$611,0),6),"")</f>
        <v>.1.5.</v>
      </c>
      <c r="I6" s="102" t="s">
        <v>2258</v>
      </c>
      <c r="J6" s="95">
        <v>2911</v>
      </c>
      <c r="K6" s="94">
        <v>4532.5000000000009</v>
      </c>
      <c r="L6" s="121" t="str">
        <f>IFERROR(INDEX(레시피북!$C$2:$J$611,MATCH($D6,레시피북!$C$2:$C$611,0),8),"")</f>
        <v>깐계란(이츠웰)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1757</v>
      </c>
      <c r="E7" s="115">
        <v>30</v>
      </c>
      <c r="F7" s="116"/>
      <c r="G7" s="106" t="str">
        <f>IFERROR(INDEX(레시피북!$C$2:$H$618,MATCH($D7,레시피북!$C$2:$C$618,0),6),"")</f>
        <v>마카로니(듀럼밀100%)75%, 다진파인애플(수입)10%, 오이, 소금, 마요네즈</v>
      </c>
      <c r="H7" s="94" t="str">
        <f>IFERROR(INDEX(레시피북!$D$2:$J$611,MATCH($D7,레시피북!$C$2:$C$611,0),6),"")</f>
        <v>.1.5.6.19.</v>
      </c>
      <c r="I7" s="102" t="s">
        <v>2258</v>
      </c>
      <c r="J7" s="95">
        <v>2911</v>
      </c>
      <c r="K7" s="94">
        <v>105605</v>
      </c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518</v>
      </c>
      <c r="E8" s="115">
        <v>25</v>
      </c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2258</v>
      </c>
      <c r="J8" s="95">
        <v>2911</v>
      </c>
      <c r="K8" s="94">
        <v>80842.5</v>
      </c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40.5" customHeight="1" thickBot="1">
      <c r="B9" s="337"/>
      <c r="C9" s="152" t="s">
        <v>72</v>
      </c>
      <c r="D9" s="201"/>
      <c r="E9" s="123"/>
      <c r="F9" s="124"/>
      <c r="G9" s="251" t="s">
        <v>2346</v>
      </c>
      <c r="H9" s="157"/>
      <c r="I9" s="128"/>
      <c r="J9" s="126">
        <v>1</v>
      </c>
      <c r="K9" s="126">
        <v>0.25</v>
      </c>
      <c r="L9" s="127"/>
      <c r="M9" s="113"/>
      <c r="N9" s="113"/>
      <c r="O9" s="113"/>
      <c r="P9" s="113"/>
      <c r="Q9" s="113"/>
    </row>
    <row r="10" spans="2:23" ht="39.950000000000003" customHeight="1">
      <c r="B10" s="336" t="s">
        <v>1813</v>
      </c>
      <c r="C10" s="241" t="s">
        <v>508</v>
      </c>
      <c r="D10" s="269" t="s">
        <v>2232</v>
      </c>
      <c r="E10" s="215">
        <v>150</v>
      </c>
      <c r="F10" s="215"/>
      <c r="G10" s="216" t="str">
        <f>IFERROR(INDEX(레시피북!$C$2:$H$618,MATCH($D10,레시피북!$C$2:$C$618,0),6),"")</f>
        <v>쌀(국산)90%, 현미(국산.친환경)5%, 정제수</v>
      </c>
      <c r="H10" s="217">
        <f>IFERROR(INDEX(레시피북!$D$2:$J$611,MATCH($D10,레시피북!$C$2:$C$611,0),6),"")</f>
        <v>0</v>
      </c>
      <c r="I10" s="218" t="s">
        <v>2259</v>
      </c>
      <c r="J10" s="244">
        <v>46</v>
      </c>
      <c r="K10" s="243">
        <v>7275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1152</v>
      </c>
      <c r="E11" s="115">
        <v>160</v>
      </c>
      <c r="F11" s="116"/>
      <c r="G11" s="106" t="str">
        <f>IFERROR(INDEX(레시피북!$C$2:$H$618,MATCH($D11,레시피북!$C$2:$C$618,0),6),"")</f>
        <v>유부(원료수입산)10%, 팽이버섯(국산)2%, 미소된장(국내산), 정제수, 멸치육수농축액, 실파, 마늘, 소금</v>
      </c>
      <c r="H11" s="94" t="str">
        <f>IFERROR(INDEX(레시피북!$D$2:$J$611,MATCH($D11,레시피북!$C$2:$C$611,0),6),"")</f>
        <v>.5.</v>
      </c>
      <c r="I11" s="102" t="s">
        <v>2259</v>
      </c>
      <c r="J11" s="95">
        <v>46</v>
      </c>
      <c r="K11" s="94">
        <v>7485</v>
      </c>
      <c r="L11" s="121" t="str">
        <f>IFERROR(INDEX(레시피북!$C$2:$J$611,MATCH($D11,레시피북!$C$2:$C$611,0),8),"")</f>
        <v>20g / 25g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2043</v>
      </c>
      <c r="E12" s="115"/>
      <c r="F12" s="116">
        <v>1</v>
      </c>
      <c r="G12" s="106" t="str">
        <f>IFERROR(INDEX(레시피북!$C$2:$H$618,MATCH($D12,레시피북!$C$2:$C$618,0),6),"")</f>
        <v>[돼지고기(지방일부사용:국산)47.47%, 소고기(국산)13.39%, 양파, 난백액,설탕,마늘,정제소금, 후추가루]86%, 갈릭소스[양송이(국내산)2%,스테이크소스,데미글라수소스,마늘,생크림,후추]14%</v>
      </c>
      <c r="H12" s="94" t="str">
        <f>IFERROR(INDEX(레시피북!$D$2:$J$611,MATCH($D12,레시피북!$C$2:$C$611,0),6),"")</f>
        <v>.1.5.6.10.16.18.</v>
      </c>
      <c r="I12" s="102" t="s">
        <v>2259</v>
      </c>
      <c r="J12" s="95">
        <v>46</v>
      </c>
      <c r="K12" s="94">
        <v>55.2</v>
      </c>
      <c r="L12" s="121" t="str">
        <f>IFERROR(INDEX(레시피북!$C$2:$J$611,MATCH($D12,레시피북!$C$2:$C$611,0),8),"")</f>
        <v>125921 튼튼스쿨 쥬시햄벅스테이크(튼튼스쿨60g*16입 960g/EA)</v>
      </c>
      <c r="M12" s="113"/>
      <c r="N12" s="113"/>
    </row>
    <row r="13" spans="2:23" ht="39.950000000000003" customHeight="1">
      <c r="B13" s="336"/>
      <c r="C13" s="235" t="s">
        <v>510</v>
      </c>
      <c r="D13" s="282" t="s">
        <v>1950</v>
      </c>
      <c r="E13" s="283"/>
      <c r="F13" s="284">
        <v>2</v>
      </c>
      <c r="G13" s="285" t="str">
        <f>IFERROR(INDEX(레시피북!$C$2:$H$618,MATCH($D13,레시피북!$C$2:$C$618,0),6),"")</f>
        <v>계란(국산)78%, 꽈리고추(국내산)3%, 정제수, 간장, 통후추, 맛술, 물엿</v>
      </c>
      <c r="H13" s="286" t="str">
        <f>IFERROR(INDEX(레시피북!$D$2:$J$611,MATCH($D13,레시피북!$C$2:$C$611,0),6),"")</f>
        <v>.1.5.</v>
      </c>
      <c r="I13" s="102" t="s">
        <v>2259</v>
      </c>
      <c r="J13" s="95">
        <v>46</v>
      </c>
      <c r="K13" s="94">
        <v>92</v>
      </c>
      <c r="L13" s="121">
        <f>IFERROR(INDEX(레시피북!$C$2:$J$611,MATCH($D13,레시피북!$C$2:$C$611,0),8),"")</f>
        <v>0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1757</v>
      </c>
      <c r="E14" s="115">
        <v>35</v>
      </c>
      <c r="F14" s="116"/>
      <c r="G14" s="106" t="str">
        <f>IFERROR(INDEX(레시피북!$C$2:$H$618,MATCH($D14,레시피북!$C$2:$C$618,0),6),"")</f>
        <v>마카로니(듀럼밀100%)75%, 다진파인애플(수입)10%, 오이, 소금, 마요네즈</v>
      </c>
      <c r="H14" s="94" t="str">
        <f>IFERROR(INDEX(레시피북!$D$2:$J$611,MATCH($D14,레시피북!$C$2:$C$611,0),6),"")</f>
        <v>.1.5.6.19.</v>
      </c>
      <c r="I14" s="102" t="s">
        <v>2259</v>
      </c>
      <c r="J14" s="95">
        <v>46</v>
      </c>
      <c r="K14" s="94">
        <v>1610</v>
      </c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518</v>
      </c>
      <c r="E15" s="115">
        <v>35</v>
      </c>
      <c r="F15" s="115"/>
      <c r="G15" s="106" t="str">
        <f>IFERROR(INDEX(레시피북!$C$2:$H$618,MATCH($D15,레시피북!$C$2:$C$618,0),6),"")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IFERROR(INDEX(레시피북!$D$2:$J$611,MATCH($D15,레시피북!$C$2:$C$611,0),6),"")</f>
        <v>.9.12.</v>
      </c>
      <c r="I15" s="102" t="s">
        <v>2259</v>
      </c>
      <c r="J15" s="95">
        <v>46</v>
      </c>
      <c r="K15" s="94">
        <v>1610</v>
      </c>
      <c r="L15" s="121" t="str">
        <f>IFERROR(INDEX(레시피북!$C$2:$J$611,MATCH($D15,레시피북!$C$2:$C$611,0),8),"")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1254</v>
      </c>
      <c r="E16" s="115"/>
      <c r="F16" s="115">
        <v>3</v>
      </c>
      <c r="G16" s="106" t="str">
        <f>IFERROR(INDEX(레시피북!$C$2:$H$618,MATCH($D16,레시피북!$C$2:$C$618,0),6),"")</f>
        <v>닭날개(국산)95%, 맛술, 소금, 후추</v>
      </c>
      <c r="H16" s="94" t="str">
        <f>IFERROR(INDEX(레시피북!$D$2:$J$611,MATCH($D16,레시피북!$C$2:$C$611,0),6),"")</f>
        <v>.15.</v>
      </c>
      <c r="I16" s="102" t="s">
        <v>2259</v>
      </c>
      <c r="J16" s="95">
        <v>25</v>
      </c>
      <c r="K16" s="94">
        <v>80</v>
      </c>
      <c r="L16" s="156">
        <f>IFERROR(INDEX(레시피북!$C$2:$J$611,MATCH($D16,레시피북!$C$2:$C$611,0),8),"")</f>
        <v>0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2258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2258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2258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2258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2258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2258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20FF-2616-4D63-9AE6-917B6CF94070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2263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1503</v>
      </c>
      <c r="E3" s="215">
        <v>140</v>
      </c>
      <c r="F3" s="215"/>
      <c r="G3" s="216" t="str">
        <f>IFERROR(INDEX(레시피북!$C$2:$H$618,MATCH($D3,레시피북!$C$2:$C$618,0),6),"")</f>
        <v>쌀(국산)90%, 귀리(국산.친환경)5%, 정제수</v>
      </c>
      <c r="H3" s="217">
        <f>IFERROR(INDEX(레시피북!$D$2:$J$611,MATCH($D3,레시피북!$C$2:$C$611,0),6),"")</f>
        <v>0</v>
      </c>
      <c r="I3" s="218" t="s">
        <v>2261</v>
      </c>
      <c r="J3" s="270">
        <v>2941</v>
      </c>
      <c r="K3" s="217">
        <v>443625</v>
      </c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773</v>
      </c>
      <c r="E4" s="115">
        <v>150</v>
      </c>
      <c r="F4" s="116"/>
      <c r="G4" s="106" t="str">
        <f>IFERROR(INDEX(레시피북!$C$2:$H$618,MATCH($D4,레시피북!$C$2:$C$618,0),6),"")</f>
        <v>콩나물(원료수입산)13%, 무(국산)10%, 오징어(미국산,국산)5%, 대파, 마늘, 정제수, 멸치육수농축액, 국간장, 소금</v>
      </c>
      <c r="H4" s="94" t="str">
        <f>IFERROR(INDEX(레시피북!$D$2:$J$611,MATCH($D4,레시피북!$C$2:$C$611,0),6),"")</f>
        <v>.5.17.</v>
      </c>
      <c r="I4" s="102" t="s">
        <v>2261</v>
      </c>
      <c r="J4" s="95">
        <v>2931</v>
      </c>
      <c r="K4" s="94">
        <v>447600</v>
      </c>
      <c r="L4" s="121" t="str">
        <f>IFERROR(INDEX(레시피북!$C$2:$J$611,MATCH($D4,레시피북!$C$2:$C$611,0),8),"")</f>
        <v>30g / 35g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1264</v>
      </c>
      <c r="E5" s="115">
        <v>60</v>
      </c>
      <c r="F5" s="116"/>
      <c r="G5" s="106" t="str">
        <f>IFERROR(INDEX(레시피북!$C$2:$H$618,MATCH($D5,레시피북!$C$2:$C$618,0),6),"")</f>
        <v>소고기(호주산)60%, 양파(국산)12%, 청경채(국산)6%, 파, 마늘, , 간장, 대두유, 소금, 후추, 전분, 정제수, 참기름</v>
      </c>
      <c r="H5" s="94" t="str">
        <f>IFERROR(INDEX(레시피북!$D$2:$J$611,MATCH($D5,레시피북!$C$2:$C$611,0),6),"")</f>
        <v>.5.16.21.</v>
      </c>
      <c r="I5" s="102" t="s">
        <v>2261</v>
      </c>
      <c r="J5" s="95">
        <v>2941</v>
      </c>
      <c r="K5" s="94">
        <v>217867.5</v>
      </c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602</v>
      </c>
      <c r="E6" s="115">
        <v>35</v>
      </c>
      <c r="F6" s="116"/>
      <c r="G6" s="106" t="str">
        <f>IFERROR(INDEX(레시피북!$C$2:$H$618,MATCH($D6,레시피북!$C$2:$C$618,0),6),"")</f>
        <v>볼어묵[연육(:중국산, 베트남산)53.29%, 설탕, 밀가루(밀:미국산, 호주산), 정제소금(국산)]90%, 양파, 마늘, 파, 간장, 참기름, 참깨</v>
      </c>
      <c r="H6" s="94" t="str">
        <f>IFERROR(INDEX(레시피북!$D$2:$J$611,MATCH($D6,레시피북!$C$2:$C$611,0),6),"")</f>
        <v>.5.6.21.</v>
      </c>
      <c r="I6" s="102" t="s">
        <v>2261</v>
      </c>
      <c r="J6" s="95">
        <v>2931</v>
      </c>
      <c r="K6" s="94">
        <v>117972.5</v>
      </c>
      <c r="L6" s="121" t="str">
        <f>IFERROR(INDEX(레시피북!$C$2:$J$611,MATCH($D6,레시피북!$C$2:$C$611,0),8),"")</f>
        <v>볼어묵(이츠웰)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1112</v>
      </c>
      <c r="E7" s="115">
        <v>25</v>
      </c>
      <c r="F7" s="116"/>
      <c r="G7" s="106" t="str">
        <f>IFERROR(INDEX(레시피북!$C$2:$H$618,MATCH($D7,레시피북!$C$2:$C$618,0),6),"")</f>
        <v>오이(국산)82%, 치커리(국산)4.5%, 파, 마늘, 고추가루, 소금, 설탕, 식초, 참깨</v>
      </c>
      <c r="H7" s="94" t="str">
        <f>IFERROR(INDEX(레시피북!$D$2:$J$611,MATCH($D7,레시피북!$C$2:$C$611,0),6),"")</f>
        <v>.5.21.</v>
      </c>
      <c r="I7" s="102" t="s">
        <v>2261</v>
      </c>
      <c r="J7" s="95">
        <v>2941</v>
      </c>
      <c r="K7" s="94">
        <v>93300</v>
      </c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2261</v>
      </c>
      <c r="J8" s="95">
        <v>2941</v>
      </c>
      <c r="K8" s="94">
        <v>82891.25</v>
      </c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2348</v>
      </c>
      <c r="H9" s="157"/>
      <c r="I9" s="128"/>
      <c r="J9" s="126">
        <v>1</v>
      </c>
      <c r="K9" s="126">
        <v>0.25</v>
      </c>
      <c r="L9" s="127"/>
      <c r="M9" s="113"/>
      <c r="N9" s="113"/>
      <c r="O9" s="113"/>
      <c r="Q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1503</v>
      </c>
      <c r="E10" s="215">
        <v>150</v>
      </c>
      <c r="F10" s="215"/>
      <c r="G10" s="216" t="str">
        <f>IFERROR(INDEX(레시피북!$C$2:$H$618,MATCH($D10,레시피북!$C$2:$C$618,0),6),"")</f>
        <v>쌀(국산)90%, 귀리(국산.친환경)5%, 정제수</v>
      </c>
      <c r="H10" s="217">
        <f>IFERROR(INDEX(레시피북!$D$2:$J$611,MATCH($D10,레시피북!$C$2:$C$611,0),6),"")</f>
        <v>0</v>
      </c>
      <c r="I10" s="218" t="s">
        <v>2262</v>
      </c>
      <c r="J10" s="244">
        <v>46</v>
      </c>
      <c r="K10" s="243">
        <v>7275</v>
      </c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282" t="s">
        <v>2267</v>
      </c>
      <c r="E11" s="283">
        <v>160</v>
      </c>
      <c r="F11" s="284"/>
      <c r="G11" s="285" t="s">
        <v>1096</v>
      </c>
      <c r="H11" s="286" t="s">
        <v>2266</v>
      </c>
      <c r="I11" s="102" t="s">
        <v>2262</v>
      </c>
      <c r="J11" s="95">
        <v>56</v>
      </c>
      <c r="K11" s="94">
        <v>9585</v>
      </c>
      <c r="L11" s="121" t="str">
        <f>IFERROR(INDEX(레시피북!$C$2:$J$611,MATCH($D11,레시피북!$C$2:$C$611,0),8),"")</f>
        <v/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1264</v>
      </c>
      <c r="E12" s="115">
        <v>80</v>
      </c>
      <c r="F12" s="116"/>
      <c r="G12" s="106" t="str">
        <f>IFERROR(INDEX(레시피북!$C$2:$H$618,MATCH($D12,레시피북!$C$2:$C$618,0),6),"")</f>
        <v>소고기(호주산)60%, 양파(국산)12%, 청경채(국산)6%, 파, 마늘, , 간장, 대두유, 소금, 후추, 전분, 정제수, 참기름</v>
      </c>
      <c r="H12" s="94" t="str">
        <f>IFERROR(INDEX(레시피북!$D$2:$J$611,MATCH($D12,레시피북!$C$2:$C$611,0),6),"")</f>
        <v>.5.16.21.</v>
      </c>
      <c r="I12" s="102" t="s">
        <v>2262</v>
      </c>
      <c r="J12" s="95">
        <v>46</v>
      </c>
      <c r="K12" s="94">
        <v>4040</v>
      </c>
      <c r="L12" s="121">
        <f>IFERROR(INDEX(레시피북!$C$2:$J$611,MATCH($D12,레시피북!$C$2:$C$611,0),8),"")</f>
        <v>0</v>
      </c>
      <c r="M12" s="113"/>
      <c r="N12" s="113"/>
    </row>
    <row r="13" spans="2:23" ht="39.950000000000003" customHeight="1">
      <c r="B13" s="336"/>
      <c r="C13" s="235" t="s">
        <v>510</v>
      </c>
      <c r="D13" s="282" t="s">
        <v>2264</v>
      </c>
      <c r="E13" s="283">
        <v>40</v>
      </c>
      <c r="F13" s="284"/>
      <c r="G13" s="285" t="s">
        <v>2265</v>
      </c>
      <c r="H13" s="286" t="s">
        <v>2115</v>
      </c>
      <c r="I13" s="102" t="s">
        <v>2262</v>
      </c>
      <c r="J13" s="95">
        <v>56</v>
      </c>
      <c r="K13" s="94">
        <v>2390</v>
      </c>
      <c r="L13" s="121" t="str">
        <f>IFERROR(INDEX(레시피북!$C$2:$J$611,MATCH($D13,레시피북!$C$2:$C$611,0),8),"")</f>
        <v/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1112</v>
      </c>
      <c r="E14" s="115">
        <v>35</v>
      </c>
      <c r="F14" s="116"/>
      <c r="G14" s="106" t="str">
        <f>IFERROR(INDEX(레시피북!$C$2:$H$618,MATCH($D14,레시피북!$C$2:$C$618,0),6),"")</f>
        <v>오이(국산)82%, 치커리(국산)4.5%, 파, 마늘, 고추가루, 소금, 설탕, 식초, 참깨</v>
      </c>
      <c r="H14" s="94" t="str">
        <f>IFERROR(INDEX(레시피북!$D$2:$J$611,MATCH($D14,레시피북!$C$2:$C$611,0),6),"")</f>
        <v>.5.21.</v>
      </c>
      <c r="I14" s="102" t="s">
        <v>2262</v>
      </c>
      <c r="J14" s="95">
        <v>46</v>
      </c>
      <c r="K14" s="94">
        <v>1610</v>
      </c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2262</v>
      </c>
      <c r="J15" s="95">
        <v>46</v>
      </c>
      <c r="K15" s="94">
        <v>1610</v>
      </c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>
        <v>1</v>
      </c>
      <c r="G16" s="106" t="s">
        <v>2345</v>
      </c>
      <c r="H16" s="94" t="str">
        <f>IFERROR(INDEX(레시피북!$D$2:$J$611,MATCH($D16,레시피북!$C$2:$C$611,0),6),"")</f>
        <v/>
      </c>
      <c r="I16" s="102" t="s">
        <v>2262</v>
      </c>
      <c r="J16" s="95">
        <v>27</v>
      </c>
      <c r="K16" s="94">
        <v>25</v>
      </c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2261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2261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2261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2261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2261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2261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DD4D-8B13-458C-86C4-8D43EE6E4F3E}">
  <sheetPr>
    <tabColor rgb="FF72F688"/>
    <pageSetUpPr fitToPage="1"/>
  </sheetPr>
  <dimension ref="A1:W26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1:23" ht="39.950000000000003" customHeight="1" thickBot="1">
      <c r="B1" s="335" t="s">
        <v>2270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1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1:23" ht="39.950000000000003" customHeight="1">
      <c r="B3" s="336" t="s">
        <v>570</v>
      </c>
      <c r="C3" s="241" t="s">
        <v>508</v>
      </c>
      <c r="D3" s="269" t="s">
        <v>1142</v>
      </c>
      <c r="E3" s="215">
        <v>140</v>
      </c>
      <c r="F3" s="215"/>
      <c r="G3" s="216" t="str">
        <f>IFERROR(INDEX(레시피북!$C$2:$H$618,MATCH($D3,레시피북!$C$2:$C$618,0),6),"")</f>
        <v>쌀(국산)90%, 찰흑미(국산.친환경)5%, 정제수</v>
      </c>
      <c r="H3" s="217">
        <f>IFERROR(INDEX(레시피북!$D$2:$J$611,MATCH($D3,레시피북!$C$2:$C$611,0),6),"")</f>
        <v>0</v>
      </c>
      <c r="I3" s="218" t="s">
        <v>2268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1:23" ht="39.950000000000003" customHeight="1">
      <c r="B4" s="336"/>
      <c r="C4" s="235" t="s">
        <v>512</v>
      </c>
      <c r="D4" s="96" t="s">
        <v>1919</v>
      </c>
      <c r="E4" s="115">
        <v>150</v>
      </c>
      <c r="F4" s="116"/>
      <c r="G4" s="106" t="str">
        <f>IFERROR(INDEX(레시피북!$C$2:$H$618,MATCH($D4,레시피북!$C$2:$C$618,0),6),"")</f>
        <v>순두부(원료수입산)42.9%, 계란(국내산)7%, 당근, 파, 마늘, 정제수, 멸치육수농축액, 국간장, 소금</v>
      </c>
      <c r="H4" s="94" t="str">
        <f>IFERROR(INDEX(레시피북!$D$2:$J$611,MATCH($D4,레시피북!$C$2:$C$611,0),6),"")</f>
        <v>.1.5.</v>
      </c>
      <c r="I4" s="102" t="s">
        <v>2268</v>
      </c>
      <c r="J4" s="95"/>
      <c r="K4" s="94"/>
      <c r="L4" s="121">
        <f>IFERROR(INDEX(레시피북!$C$2:$J$611,MATCH($D4,레시피북!$C$2:$C$611,0),8),"")</f>
        <v>0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1:23" ht="39.950000000000003" customHeight="1">
      <c r="B5" s="336"/>
      <c r="C5" s="235" t="s">
        <v>509</v>
      </c>
      <c r="D5" s="96" t="s">
        <v>694</v>
      </c>
      <c r="E5" s="115">
        <v>60</v>
      </c>
      <c r="F5" s="116"/>
      <c r="G5" s="106" t="str">
        <f>IFERROR(INDEX(레시피북!$C$2:$H$618,MATCH($D5,레시피북!$C$2:$C$618,0),6),"")</f>
        <v>돼지고기 (국산)70%, 부추(국내산)5%, ,양파, 당근, 마늘, 대두유, 간장, 설탕, 후추, 참기름, 참깨</v>
      </c>
      <c r="H5" s="94" t="str">
        <f>IFERROR(INDEX(레시피북!$D$2:$J$611,MATCH($D5,레시피북!$C$2:$C$611,0),6),"")</f>
        <v>.5.6.10.21.</v>
      </c>
      <c r="I5" s="102" t="s">
        <v>2268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1:23" ht="39.950000000000003" customHeight="1">
      <c r="B6" s="336"/>
      <c r="C6" s="235" t="s">
        <v>510</v>
      </c>
      <c r="D6" s="96" t="s">
        <v>589</v>
      </c>
      <c r="E6" s="115">
        <v>35</v>
      </c>
      <c r="F6" s="116"/>
      <c r="G6" s="106" t="str">
        <f>IFERROR(INDEX(레시피북!$C$2:$H$618,MATCH($D6,레시피북!$C$2:$C$618,0),6),"")</f>
        <v>{동물복지닭고기(닭가슴살:국산)63.38%, 정제수, 정제소금, 치킨브레더[옥수수전분(옥수수:외국산), 밀가루(밀:미극산,호주산)], 마늘, 양파, 정제소금, 대두유}</v>
      </c>
      <c r="H6" s="94" t="str">
        <f>IFERROR(INDEX(레시피북!$D$2:$J$611,MATCH($D6,레시피북!$C$2:$C$611,0),6),"")</f>
        <v>.1.5.6.12.15.16.18.</v>
      </c>
      <c r="I6" s="102" t="s">
        <v>2268</v>
      </c>
      <c r="J6" s="95"/>
      <c r="K6" s="94"/>
      <c r="L6" s="121">
        <f>IFERROR(INDEX(레시피북!$C$2:$J$611,MATCH($D6,레시피북!$C$2:$C$611,0),8),"")</f>
        <v>0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1:23" ht="39.950000000000003" customHeight="1">
      <c r="B7" s="336"/>
      <c r="C7" s="151" t="s">
        <v>232</v>
      </c>
      <c r="D7" s="96" t="s">
        <v>1681</v>
      </c>
      <c r="E7" s="115">
        <v>20</v>
      </c>
      <c r="F7" s="116"/>
      <c r="G7" s="106" t="str">
        <f>IFERROR(INDEX(레시피북!$C$2:$H$618,MATCH($D7,레시피북!$C$2:$C$618,0),6),"")</f>
        <v>세멸치(국내산)65%, 마늘쫑(중국산)25%, 대두유, 간장, 설탕, 물엿, 참깨</v>
      </c>
      <c r="H7" s="94" t="str">
        <f>IFERROR(INDEX(레시피북!$D$2:$J$611,MATCH($D7,레시피북!$C$2:$C$611,0),6),"")</f>
        <v>.5.21.</v>
      </c>
      <c r="I7" s="102" t="s">
        <v>2268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1:23" ht="39.950000000000003" customHeight="1">
      <c r="B8" s="336"/>
      <c r="C8" s="236" t="s">
        <v>690</v>
      </c>
      <c r="D8" s="96" t="s">
        <v>945</v>
      </c>
      <c r="E8" s="115">
        <v>25</v>
      </c>
      <c r="F8" s="115"/>
      <c r="G8" s="106" t="str">
        <f>IFERROR(INDEX(레시피북!$C$2:$H$618,MATCH($D8,레시피북!$C$2:$C$618,0),6),"")</f>
        <v>배추(국내산)70&amp;, 무(국내산)10%, 마늘, 생강, 양파, 설탕, 정제수, 소금</v>
      </c>
      <c r="H8" s="94">
        <f>IFERROR(INDEX(레시피북!$D$2:$J$611,MATCH($D8,레시피북!$C$2:$C$611,0),6),"")</f>
        <v>0</v>
      </c>
      <c r="I8" s="102" t="s">
        <v>2268</v>
      </c>
      <c r="J8" s="95"/>
      <c r="K8" s="94"/>
      <c r="L8" s="121" t="str">
        <f>IFERROR(INDEX(레시피북!$C$2:$J$611,MATCH($D8,레시피북!$C$2:$C$611,0),8),"")</f>
        <v>백김치(정우식품)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1:23" ht="39.950000000000003" customHeight="1" thickBot="1">
      <c r="B9" s="337"/>
      <c r="C9" s="152" t="s">
        <v>72</v>
      </c>
      <c r="D9" s="201"/>
      <c r="E9" s="123"/>
      <c r="F9" s="124"/>
      <c r="G9" s="251" t="s">
        <v>2271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1:23" ht="39.950000000000003" customHeight="1">
      <c r="B10" s="338" t="s">
        <v>2284</v>
      </c>
      <c r="C10" s="93" t="s">
        <v>508</v>
      </c>
      <c r="D10" s="153" t="s">
        <v>1767</v>
      </c>
      <c r="E10" s="115">
        <v>140</v>
      </c>
      <c r="F10" s="115"/>
      <c r="G10" s="106" t="str">
        <f>IFERROR(INDEX(레시피북!$C$2:$H$618,MATCH($D10,레시피북!$C$2:$C$618,0),6),"")</f>
        <v>밥(쌀:국산)95%, 후리카케[볶은참깨(참깨:인도산), 밀소맥볼(밀:미국,호주산),조각김(김:국산), 양조간장], 맛소금, 참기름</v>
      </c>
      <c r="H10" s="94" t="str">
        <f>IFERROR(INDEX(레시피북!$D$2:$J$611,MATCH($D10,레시피북!$C$2:$C$611,0),6),"")</f>
        <v>.5.21.</v>
      </c>
      <c r="I10" s="102" t="s">
        <v>2268</v>
      </c>
      <c r="J10" s="149"/>
      <c r="K10" s="149"/>
      <c r="L10" s="121">
        <f>IFERROR(INDEX(레시피북!$C$2:$J$611,MATCH($D10,레시피북!$C$2:$C$611,0),8),"")</f>
        <v>0</v>
      </c>
      <c r="M10" s="113"/>
    </row>
    <row r="11" spans="1:23" ht="39.950000000000003" customHeight="1">
      <c r="B11" s="339"/>
      <c r="C11" s="151" t="s">
        <v>510</v>
      </c>
      <c r="D11" s="153" t="s">
        <v>589</v>
      </c>
      <c r="E11" s="115">
        <v>60</v>
      </c>
      <c r="F11" s="115"/>
      <c r="G11" s="106" t="str">
        <f>IFERROR(INDEX(레시피북!$C$2:$H$618,MATCH($D11,레시피북!$C$2:$C$618,0),6),"")</f>
        <v>{동물복지닭고기(닭가슴살:국산)63.38%, 정제수, 정제소금, 치킨브레더[옥수수전분(옥수수:외국산), 밀가루(밀:미극산,호주산)], 마늘, 양파, 정제소금, 대두유}</v>
      </c>
      <c r="H11" s="94" t="str">
        <f>IFERROR(INDEX(레시피북!$D$2:$J$611,MATCH($D11,레시피북!$C$2:$C$611,0),6),"")</f>
        <v>.1.5.6.12.15.16.18.</v>
      </c>
      <c r="I11" s="102" t="s">
        <v>2268</v>
      </c>
      <c r="J11" s="149"/>
      <c r="K11" s="149"/>
      <c r="L11" s="121">
        <f>IFERROR(INDEX(레시피북!$C$2:$J$611,MATCH($D11,레시피북!$C$2:$C$611,0),8),"")</f>
        <v>0</v>
      </c>
      <c r="M11" s="113"/>
    </row>
    <row r="12" spans="1:23" ht="39.950000000000003" customHeight="1">
      <c r="B12" s="339"/>
      <c r="C12" s="151" t="s">
        <v>511</v>
      </c>
      <c r="D12" s="153" t="s">
        <v>559</v>
      </c>
      <c r="E12" s="115"/>
      <c r="F12" s="115">
        <v>1</v>
      </c>
      <c r="G12" s="106" t="str">
        <f>IFERROR(INDEX(레시피북!$C$2:$H$618,MATCH($D12,레시피북!$C$2:$C$618,0),6),"")</f>
        <v>딤섬[(새우살36.62%, 정제수, 밀전분 11.47%, 타피오카전분 7.94%, 관자 5.64%, 대두유)원산지: 베트남산]</v>
      </c>
      <c r="H12" s="94" t="str">
        <f>IFERROR(INDEX(레시피북!$D$2:$J$611,MATCH($D12,레시피북!$C$2:$C$611,0),6),"")</f>
        <v>.5.6.9.18.</v>
      </c>
      <c r="I12" s="102" t="s">
        <v>2268</v>
      </c>
      <c r="J12" s="149"/>
      <c r="K12" s="149"/>
      <c r="L12" s="121" t="str">
        <f>IFERROR(INDEX(레시피북!$C$2:$J$611,MATCH($D12,레시피북!$C$2:$C$611,0),8),"")</f>
        <v>관자쇼마이(세미원푸드)</v>
      </c>
      <c r="M12" s="113"/>
    </row>
    <row r="13" spans="1:23" ht="39.950000000000003" customHeight="1">
      <c r="B13" s="339"/>
      <c r="C13" s="107" t="s">
        <v>690</v>
      </c>
      <c r="D13" s="153" t="s">
        <v>2251</v>
      </c>
      <c r="E13" s="115"/>
      <c r="F13" s="115">
        <v>2</v>
      </c>
      <c r="G13" s="106" t="str">
        <f>IFERROR(INDEX(레시피북!$C$2:$H$618,MATCH($D13,레시피북!$C$2:$C$618,0),6),"")</f>
        <v>빵류{밀가루(밀:미국산.호주산),카스타드크림[설탕,물엿,카놀라유(외국산),유청분말(외국산),마가린(팜유:말레이시아산),대두유,전란액(국내산)등]}</v>
      </c>
      <c r="H13" s="94" t="str">
        <f>IFERROR(INDEX(레시피북!$D$2:$J$611,MATCH($D13,레시피북!$C$2:$C$611,0),6),"")</f>
        <v>.1.2.5.6.</v>
      </c>
      <c r="I13" s="102" t="s">
        <v>2268</v>
      </c>
      <c r="J13" s="149"/>
      <c r="K13" s="149"/>
      <c r="L13" s="121">
        <f>IFERROR(INDEX(레시피북!$C$2:$J$611,MATCH($D13,레시피북!$C$2:$C$611,0),8),"")</f>
        <v>0</v>
      </c>
      <c r="M13" s="113"/>
    </row>
    <row r="14" spans="1:23" ht="39.950000000000003" customHeight="1">
      <c r="A14" s="113" t="s">
        <v>2350</v>
      </c>
      <c r="B14" s="339"/>
      <c r="C14" s="151" t="s">
        <v>74</v>
      </c>
      <c r="D14" s="153" t="s">
        <v>1738</v>
      </c>
      <c r="E14" s="115">
        <v>30</v>
      </c>
      <c r="F14" s="115"/>
      <c r="G14" s="106" t="s">
        <v>2349</v>
      </c>
      <c r="H14" s="94" t="str">
        <f>IFERROR(INDEX(레시피북!$D$2:$J$611,MATCH($D14,레시피북!$C$2:$C$611,0),6),"")</f>
        <v/>
      </c>
      <c r="I14" s="102" t="s">
        <v>2268</v>
      </c>
      <c r="J14" s="149"/>
      <c r="K14" s="149"/>
      <c r="L14" s="121" t="str">
        <f>IFERROR(INDEX(레시피북!$C$2:$J$611,MATCH($D14,레시피북!$C$2:$C$611,0),8),"")</f>
        <v/>
      </c>
      <c r="M14" s="113"/>
    </row>
    <row r="15" spans="1:23" ht="39.950000000000003" customHeight="1" thickBot="1">
      <c r="B15" s="340"/>
      <c r="C15" s="122" t="s">
        <v>72</v>
      </c>
      <c r="D15" s="123"/>
      <c r="E15" s="123"/>
      <c r="F15" s="124">
        <v>1</v>
      </c>
      <c r="G15" s="251" t="s">
        <v>2285</v>
      </c>
      <c r="H15" s="157"/>
      <c r="I15" s="128"/>
      <c r="J15" s="126">
        <v>1</v>
      </c>
      <c r="K15" s="126">
        <v>0.25</v>
      </c>
      <c r="L15" s="127"/>
    </row>
    <row r="16" spans="1:23" ht="39.950000000000003" customHeight="1">
      <c r="B16" s="336" t="s">
        <v>1813</v>
      </c>
      <c r="C16" s="241" t="s">
        <v>508</v>
      </c>
      <c r="D16" s="269" t="s">
        <v>1142</v>
      </c>
      <c r="E16" s="215">
        <v>150</v>
      </c>
      <c r="F16" s="215"/>
      <c r="G16" s="216" t="str">
        <f>IFERROR(INDEX(레시피북!$C$2:$H$618,MATCH($D16,레시피북!$C$2:$C$618,0),6),"")</f>
        <v>쌀(국산)90%, 찰흑미(국산.친환경)5%, 정제수</v>
      </c>
      <c r="H16" s="217">
        <f>IFERROR(INDEX(레시피북!$D$2:$J$611,MATCH($D16,레시피북!$C$2:$C$611,0),6),"")</f>
        <v>0</v>
      </c>
      <c r="I16" s="218" t="s">
        <v>2269</v>
      </c>
      <c r="J16" s="244"/>
      <c r="K16" s="243"/>
      <c r="L16" s="219">
        <f>IFERROR(INDEX(레시피북!$C$2:$J$611,MATCH($D16,레시피북!$C$2:$C$611,0),8),"")</f>
        <v>0</v>
      </c>
      <c r="M16" s="113" t="s">
        <v>1189</v>
      </c>
      <c r="N16" s="113"/>
      <c r="O16" s="113"/>
      <c r="P16" s="113" t="s">
        <v>1240</v>
      </c>
      <c r="S16" s="113" t="s">
        <v>1401</v>
      </c>
    </row>
    <row r="17" spans="2:19" ht="39.950000000000003" customHeight="1">
      <c r="B17" s="336"/>
      <c r="C17" s="235" t="s">
        <v>512</v>
      </c>
      <c r="D17" s="96" t="s">
        <v>1919</v>
      </c>
      <c r="E17" s="115">
        <v>160</v>
      </c>
      <c r="F17" s="116"/>
      <c r="G17" s="106" t="str">
        <f>IFERROR(INDEX(레시피북!$C$2:$H$618,MATCH($D17,레시피북!$C$2:$C$618,0),6),"")</f>
        <v>순두부(원료수입산)42.9%, 계란(국내산)7%, 당근, 파, 마늘, 정제수, 멸치육수농축액, 국간장, 소금</v>
      </c>
      <c r="H17" s="94" t="str">
        <f>IFERROR(INDEX(레시피북!$D$2:$J$611,MATCH($D17,레시피북!$C$2:$C$611,0),6),"")</f>
        <v>.1.5.</v>
      </c>
      <c r="I17" s="102" t="s">
        <v>2269</v>
      </c>
      <c r="J17" s="95"/>
      <c r="K17" s="94"/>
      <c r="L17" s="121">
        <f>IFERROR(INDEX(레시피북!$C$2:$J$611,MATCH($D17,레시피북!$C$2:$C$611,0),8),"")</f>
        <v>0</v>
      </c>
      <c r="M17" s="113" t="s">
        <v>1566</v>
      </c>
      <c r="N17" s="113"/>
      <c r="O17" s="113"/>
      <c r="P17" s="113" t="s">
        <v>1608</v>
      </c>
      <c r="S17" s="113" t="s">
        <v>1609</v>
      </c>
    </row>
    <row r="18" spans="2:19" ht="39.950000000000003" customHeight="1">
      <c r="B18" s="336"/>
      <c r="C18" s="235" t="s">
        <v>509</v>
      </c>
      <c r="D18" s="96" t="s">
        <v>694</v>
      </c>
      <c r="E18" s="115">
        <v>80</v>
      </c>
      <c r="F18" s="116"/>
      <c r="G18" s="106" t="str">
        <f>IFERROR(INDEX(레시피북!$C$2:$H$618,MATCH($D18,레시피북!$C$2:$C$618,0),6),"")</f>
        <v>돼지고기 (국산)70%, 부추(국내산)5%, ,양파, 당근, 마늘, 대두유, 간장, 설탕, 후추, 참기름, 참깨</v>
      </c>
      <c r="H18" s="94" t="str">
        <f>IFERROR(INDEX(레시피북!$D$2:$J$611,MATCH($D18,레시피북!$C$2:$C$611,0),6),"")</f>
        <v>.5.6.10.21.</v>
      </c>
      <c r="I18" s="102" t="s">
        <v>2269</v>
      </c>
      <c r="J18" s="95"/>
      <c r="K18" s="94"/>
      <c r="L18" s="121">
        <f>IFERROR(INDEX(레시피북!$C$2:$J$611,MATCH($D18,레시피북!$C$2:$C$611,0),8),"")</f>
        <v>0</v>
      </c>
      <c r="M18" s="113"/>
      <c r="N18" s="113"/>
      <c r="O18" s="113"/>
    </row>
    <row r="19" spans="2:19" ht="39.950000000000003" customHeight="1">
      <c r="B19" s="336"/>
      <c r="C19" s="235" t="s">
        <v>510</v>
      </c>
      <c r="D19" s="96" t="s">
        <v>589</v>
      </c>
      <c r="E19" s="115">
        <v>40</v>
      </c>
      <c r="F19" s="116"/>
      <c r="G19" s="106" t="str">
        <f>IFERROR(INDEX(레시피북!$C$2:$H$618,MATCH($D19,레시피북!$C$2:$C$618,0),6),"")</f>
        <v>{동물복지닭고기(닭가슴살:국산)63.38%, 정제수, 정제소금, 치킨브레더[옥수수전분(옥수수:외국산), 밀가루(밀:미극산,호주산)], 마늘, 양파, 정제소금, 대두유}</v>
      </c>
      <c r="H19" s="94" t="str">
        <f>IFERROR(INDEX(레시피북!$D$2:$J$611,MATCH($D19,레시피북!$C$2:$C$611,0),6),"")</f>
        <v>.1.5.6.12.15.16.18.</v>
      </c>
      <c r="I19" s="102" t="s">
        <v>2269</v>
      </c>
      <c r="J19" s="95"/>
      <c r="K19" s="94"/>
      <c r="L19" s="121">
        <f>IFERROR(INDEX(레시피북!$C$2:$J$611,MATCH($D19,레시피북!$C$2:$C$611,0),8),"")</f>
        <v>0</v>
      </c>
      <c r="M19" s="113"/>
      <c r="N19" s="113"/>
      <c r="O19" s="113"/>
    </row>
    <row r="20" spans="2:19" ht="39.950000000000003" customHeight="1">
      <c r="B20" s="336"/>
      <c r="C20" s="151" t="s">
        <v>232</v>
      </c>
      <c r="D20" s="96" t="s">
        <v>1681</v>
      </c>
      <c r="E20" s="115">
        <v>23</v>
      </c>
      <c r="F20" s="116"/>
      <c r="G20" s="106" t="str">
        <f>IFERROR(INDEX(레시피북!$C$2:$H$618,MATCH($D20,레시피북!$C$2:$C$618,0),6),"")</f>
        <v>세멸치(국내산)65%, 마늘쫑(중국산)25%, 대두유, 간장, 설탕, 물엿, 참깨</v>
      </c>
      <c r="H20" s="94" t="str">
        <f>IFERROR(INDEX(레시피북!$D$2:$J$611,MATCH($D20,레시피북!$C$2:$C$611,0),6),"")</f>
        <v>.5.21.</v>
      </c>
      <c r="I20" s="102" t="s">
        <v>2269</v>
      </c>
      <c r="J20" s="95"/>
      <c r="K20" s="94"/>
      <c r="L20" s="121">
        <f>IFERROR(INDEX(레시피북!$C$2:$J$611,MATCH($D20,레시피북!$C$2:$C$611,0),8),"")</f>
        <v>0</v>
      </c>
      <c r="M20" s="113"/>
      <c r="N20" s="113"/>
      <c r="O20" s="113"/>
    </row>
    <row r="21" spans="2:19" ht="39.950000000000003" customHeight="1">
      <c r="B21" s="336"/>
      <c r="C21" s="236" t="s">
        <v>690</v>
      </c>
      <c r="D21" s="96" t="s">
        <v>945</v>
      </c>
      <c r="E21" s="115">
        <v>35</v>
      </c>
      <c r="F21" s="115"/>
      <c r="G21" s="106" t="str">
        <f>IFERROR(INDEX(레시피북!$C$2:$H$618,MATCH($D21,레시피북!$C$2:$C$618,0),6),"")</f>
        <v>배추(국내산)70&amp;, 무(국내산)10%, 마늘, 생강, 양파, 설탕, 정제수, 소금</v>
      </c>
      <c r="H21" s="94">
        <f>IFERROR(INDEX(레시피북!$D$2:$J$611,MATCH($D21,레시피북!$C$2:$C$611,0),6),"")</f>
        <v>0</v>
      </c>
      <c r="I21" s="102" t="s">
        <v>2269</v>
      </c>
      <c r="J21" s="95"/>
      <c r="K21" s="94"/>
      <c r="L21" s="121" t="str">
        <f>IFERROR(INDEX(레시피북!$C$2:$J$611,MATCH($D21,레시피북!$C$2:$C$611,0),8),"")</f>
        <v>백김치(정우식품)</v>
      </c>
      <c r="M21" s="113"/>
      <c r="N21" s="113"/>
      <c r="O21" s="113"/>
    </row>
    <row r="22" spans="2:19" ht="39.950000000000003" customHeight="1">
      <c r="B22" s="336"/>
      <c r="C22" s="212" t="s">
        <v>1186</v>
      </c>
      <c r="D22" s="96" t="s">
        <v>1990</v>
      </c>
      <c r="E22" s="115">
        <v>100</v>
      </c>
      <c r="F22" s="115"/>
      <c r="G22" s="106" t="str">
        <f>IFERROR(INDEX(레시피북!$C$2:$H$618,MATCH($D22,레시피북!$C$2:$C$618,0),6),"")</f>
        <v>밀떡(밀:원료수입산), 어묵(연육(베트남산.중국산),소시지(돼지고기.닭고기:국내산), 대파, 정제수, 마라로제소스[우유(국산).고춧가루(중국산.베트남산)]</v>
      </c>
      <c r="H22" s="94" t="str">
        <f>IFERROR(INDEX(레시피북!$D$2:$J$611,MATCH($D22,레시피북!$C$2:$C$611,0),6),"")</f>
        <v>.2.5.6.15.16.</v>
      </c>
      <c r="I22" s="102" t="s">
        <v>2269</v>
      </c>
      <c r="J22" s="95"/>
      <c r="K22" s="94"/>
      <c r="L22" s="156" t="str">
        <f>IFERROR(INDEX(레시피북!$C$2:$J$611,MATCH($D22,레시피북!$C$2:$C$611,0),8),"")</f>
        <v>마라로제소스(이츠웰)</v>
      </c>
      <c r="M22" s="113"/>
      <c r="N22" s="113"/>
      <c r="O22" s="113"/>
    </row>
    <row r="23" spans="2:19" ht="39.950000000000003" customHeight="1" thickBot="1">
      <c r="B23" s="337"/>
      <c r="C23" s="152" t="s">
        <v>72</v>
      </c>
      <c r="D23" s="201"/>
      <c r="E23" s="123"/>
      <c r="F23" s="124"/>
      <c r="G23" s="205"/>
      <c r="H23" s="157"/>
      <c r="I23" s="128"/>
      <c r="J23" s="126">
        <v>1</v>
      </c>
      <c r="K23" s="126">
        <v>0.25</v>
      </c>
      <c r="L23" s="127"/>
      <c r="M23" s="113"/>
      <c r="N23" s="113"/>
      <c r="O23" s="113"/>
    </row>
    <row r="24" spans="2:19">
      <c r="L24" s="26"/>
    </row>
    <row r="26" spans="2:19">
      <c r="E26"/>
      <c r="F26" s="114"/>
    </row>
  </sheetData>
  <mergeCells count="5">
    <mergeCell ref="B1:L1"/>
    <mergeCell ref="B3:B9"/>
    <mergeCell ref="S5:W5"/>
    <mergeCell ref="B16:B23"/>
    <mergeCell ref="B10:B15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8DB0-2978-4868-B114-6C0C614B7694}">
  <sheetPr>
    <tabColor rgb="FFFFFF00"/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2274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2247</v>
      </c>
      <c r="E3" s="215">
        <v>140</v>
      </c>
      <c r="F3" s="215"/>
      <c r="G3" s="216" t="str">
        <f>IFERROR(INDEX(레시피북!$C$2:$H$618,MATCH($D3,레시피북!$C$2:$C$618,0),6),"")</f>
        <v>쌀(국산)95%, 정제수</v>
      </c>
      <c r="H3" s="217">
        <f>IFERROR(INDEX(레시피북!$D$2:$J$611,MATCH($D3,레시피북!$C$2:$C$611,0),6),"")</f>
        <v>0</v>
      </c>
      <c r="I3" s="218" t="s">
        <v>2272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585</v>
      </c>
      <c r="E4" s="115">
        <v>150</v>
      </c>
      <c r="F4" s="116"/>
      <c r="G4" s="106" t="str">
        <f>IFERROR(INDEX(레시피북!$C$2:$H$618,MATCH($D4,레시피북!$C$2:$C$618,0),6),"")</f>
        <v>열갈이(국산)10%, 소고기(호주산)7%, 무(국산)5%, 콩나물(원료수입산)5%, 정제수, 된장, 대파, 마늘, 국간장, 멸치육수농축액, 소금</v>
      </c>
      <c r="H4" s="94" t="str">
        <f>IFERROR(INDEX(레시피북!$D$2:$J$611,MATCH($D4,레시피북!$C$2:$C$611,0),6),"")</f>
        <v>.5.16.</v>
      </c>
      <c r="I4" s="102" t="s">
        <v>2272</v>
      </c>
      <c r="J4" s="95"/>
      <c r="K4" s="94"/>
      <c r="L4" s="121" t="str">
        <f>IFERROR(INDEX(레시피북!$C$2:$J$611,MATCH($D4,레시피북!$C$2:$C$611,0),8),"")</f>
        <v>멸치육수농축액(면사랑) 40g / 45g )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695</v>
      </c>
      <c r="E5" s="115">
        <v>70</v>
      </c>
      <c r="F5" s="116"/>
      <c r="G5" s="106" t="str">
        <f>IFERROR(INDEX(레시피북!$C$2:$H$618,MATCH($D5,레시피북!$C$2:$C$618,0),6),"")</f>
        <v>닭(닭가슴살,닭다리살:국산)70%, 표고버섯(국산), 대추채(국산), 연근(중국산), 양파, 당근, 파, 마늘, 정제수, 물엿, 맛술, 간장, 후추, 소금, 참기름, 참깨</v>
      </c>
      <c r="H5" s="94" t="str">
        <f>IFERROR(INDEX(레시피북!$D$2:$J$611,MATCH($D5,레시피북!$C$2:$C$611,0),6),"")</f>
        <v>.5.6.15.21.</v>
      </c>
      <c r="I5" s="102" t="s">
        <v>2272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2275</v>
      </c>
      <c r="E6" s="115">
        <v>50</v>
      </c>
      <c r="F6" s="116"/>
      <c r="G6" s="106" t="str">
        <f>IFERROR(INDEX(레시피북!$C$2:$H$618,MATCH($D6,레시피북!$C$2:$C$618,0),6),"")</f>
        <v>소시지 [돼지고기(국산)50.31%, 닭고기(국산)31.43%]75%, 양파, 청피망, 케찹, 참기름, 참깨</v>
      </c>
      <c r="H6" s="94" t="str">
        <f>IFERROR(INDEX(레시피북!$D$2:$J$611,MATCH($D6,레시피북!$C$2:$C$611,0),6),"")</f>
        <v>.5.6.10.12.16.21.</v>
      </c>
      <c r="I6" s="102" t="s">
        <v>2272</v>
      </c>
      <c r="J6" s="95"/>
      <c r="K6" s="94"/>
      <c r="L6" s="121" t="str">
        <f>IFERROR(INDEX(레시피북!$C$2:$J$611,MATCH($D6,레시피북!$C$2:$C$611,0),8),"")</f>
        <v>칼집비엔나소시지(이츠웰)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1116</v>
      </c>
      <c r="E7" s="115">
        <v>35</v>
      </c>
      <c r="F7" s="116"/>
      <c r="G7" s="106" t="str">
        <f>IFERROR(INDEX(레시피북!$C$2:$H$618,MATCH($D7,레시피북!$C$2:$C$618,0),6),"")</f>
        <v>올방개묵(원료수입산)90%, 김가루(김:국산), 소금, 간장, 참기름, 참깨</v>
      </c>
      <c r="H7" s="94" t="str">
        <f>IFERROR(INDEX(레시피북!$D$2:$J$611,MATCH($D7,레시피북!$C$2:$C$611,0),6),"")</f>
        <v>.5.21.</v>
      </c>
      <c r="I7" s="102" t="s">
        <v>2272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2272</v>
      </c>
      <c r="J8" s="95"/>
      <c r="K8" s="94"/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2276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8" t="s">
        <v>2286</v>
      </c>
      <c r="C10" s="93" t="s">
        <v>508</v>
      </c>
      <c r="D10" s="153" t="s">
        <v>543</v>
      </c>
      <c r="E10" s="115"/>
      <c r="F10" s="115">
        <v>2</v>
      </c>
      <c r="G10" s="106" t="str">
        <f>IFERROR(INDEX(레시피북!$C$2:$H$618,MATCH($D10,레시피북!$C$2:$C$618,0),6),"")</f>
        <v>밥(쌀:국산)95%, 후리카케[볶은참깨(참깨:인도산), 밀소맥볼(밀:미국,호주산),조각김(김:국산), 양조간장], 맛소금, 참기름</v>
      </c>
      <c r="H10" s="94" t="str">
        <f>IFERROR(INDEX(레시피북!$D$2:$J$611,MATCH($D10,레시피북!$C$2:$C$611,0),6),"")</f>
        <v>.5.21.</v>
      </c>
      <c r="I10" s="102" t="s">
        <v>2272</v>
      </c>
      <c r="J10" s="149"/>
      <c r="K10" s="149"/>
      <c r="L10" s="121" t="str">
        <f>IFERROR(INDEX(레시피북!$C$2:$J$611,MATCH($D10,레시피북!$C$2:$C$611,0),8),"")</f>
        <v>노리풍후리가케(이엔푸드)</v>
      </c>
      <c r="M10" s="113"/>
    </row>
    <row r="11" spans="2:23" ht="39.950000000000003" customHeight="1">
      <c r="B11" s="339"/>
      <c r="C11" s="341" t="s">
        <v>510</v>
      </c>
      <c r="D11" s="153" t="s">
        <v>939</v>
      </c>
      <c r="E11" s="115">
        <v>100</v>
      </c>
      <c r="F11" s="115"/>
      <c r="G11" s="106" t="str">
        <f>IFERROR(INDEX(레시피북!$C$2:$H$618,MATCH($D11,레시피북!$C$2:$C$618,0),6),"")</f>
        <v>스파게티면(듀럼밀100%)97%, 올리브오일3%</v>
      </c>
      <c r="H11" s="94" t="str">
        <f>IFERROR(INDEX(레시피북!$D$2:$J$611,MATCH($D11,레시피북!$C$2:$C$611,0),6),"")</f>
        <v>.6.</v>
      </c>
      <c r="I11" s="102" t="s">
        <v>2272</v>
      </c>
      <c r="J11" s="149"/>
      <c r="K11" s="149"/>
      <c r="L11" s="121">
        <f>IFERROR(INDEX(레시피북!$C$2:$J$611,MATCH($D11,레시피북!$C$2:$C$611,0),8),"")</f>
        <v>0</v>
      </c>
      <c r="M11" s="113"/>
    </row>
    <row r="12" spans="2:23" ht="39.950000000000003" customHeight="1">
      <c r="B12" s="339"/>
      <c r="C12" s="342"/>
      <c r="D12" s="153" t="s">
        <v>1008</v>
      </c>
      <c r="E12" s="115">
        <v>120</v>
      </c>
      <c r="F12" s="115"/>
      <c r="G12" s="106" t="str">
        <f>IFERROR(INDEX(레시피북!$C$2:$H$618,MATCH($D12,레시피북!$C$2:$C$618,0),6),"")</f>
        <v>양파, 피망, 토마토소스[과채가공품(토마토:이탈리아산),토마토페이스트(토마토:중국산)], 올리브오일, 후추, 파슬리가루</v>
      </c>
      <c r="H12" s="94" t="str">
        <f>IFERROR(INDEX(레시피북!$D$2:$J$611,MATCH($D12,레시피북!$C$2:$C$611,0),6),"")</f>
        <v>.5.12.</v>
      </c>
      <c r="I12" s="102" t="s">
        <v>2272</v>
      </c>
      <c r="J12" s="149"/>
      <c r="K12" s="149"/>
      <c r="L12" s="121" t="str">
        <f>IFERROR(INDEX(레시피북!$C$2:$J$611,MATCH($D12,레시피북!$C$2:$C$611,0),8),"")</f>
        <v xml:space="preserve">토마토소스(이츠웰) </v>
      </c>
      <c r="M12" s="113"/>
    </row>
    <row r="13" spans="2:23" ht="39.950000000000003" customHeight="1">
      <c r="B13" s="339"/>
      <c r="C13" s="151" t="s">
        <v>511</v>
      </c>
      <c r="D13" s="153" t="s">
        <v>1722</v>
      </c>
      <c r="E13" s="115"/>
      <c r="F13" s="115">
        <v>1</v>
      </c>
      <c r="G13" s="106" t="str">
        <f>IFERROR(INDEX(레시피북!$C$2:$H$618,MATCH($D13,레시피북!$C$2:$C$618,0),6),"")</f>
        <v>소불고기(소고기:미국.호주산), 밀가루(밀:미국,호주산), 옥수수전분, 토마토케찹, 백설탕, 물엿, 치즈22.7%(우유:프랑스산), 버터, 계란, 슈크림우유(국산), 자연산치즈(수입산), 정제식염, 버터, 계란, 고추가루, 물엿, 양파, 샐러드, 양배추, 피망</v>
      </c>
      <c r="H13" s="94" t="str">
        <f>IFERROR(INDEX(레시피북!$D$2:$J$611,MATCH($D13,레시피북!$C$2:$C$611,0),6),"")</f>
        <v>.1.2.5.6.12.16.</v>
      </c>
      <c r="I13" s="102" t="s">
        <v>2272</v>
      </c>
      <c r="J13" s="149"/>
      <c r="K13" s="149"/>
      <c r="L13" s="121" t="str">
        <f>IFERROR(INDEX(레시피북!$C$2:$J$611,MATCH($D13,레시피북!$C$2:$C$611,0),8),"")</f>
        <v>과드라불고기피자(M&amp;F)</v>
      </c>
      <c r="M13" s="113"/>
    </row>
    <row r="14" spans="2:23" ht="39.950000000000003" customHeight="1">
      <c r="B14" s="339"/>
      <c r="C14" s="107" t="s">
        <v>690</v>
      </c>
      <c r="D14" s="153" t="s">
        <v>504</v>
      </c>
      <c r="E14" s="115"/>
      <c r="F14" s="115">
        <v>2</v>
      </c>
      <c r="G14" s="106" t="str">
        <f>IFERROR(INDEX(레시피북!$C$2:$H$618,MATCH($D14,레시피북!$C$2:$C$618,0),6),"")</f>
        <v>치킨너겟{닭고기(닭:국산100%)74.65%, 브레더[밀가루(밀:호주산, 미극산),전분(옥수수:외국산)], 대두단백, 정제소금, 백설탕 등}</v>
      </c>
      <c r="H14" s="94" t="str">
        <f>IFERROR(INDEX(레시피북!$D$2:$J$611,MATCH($D14,레시피북!$C$2:$C$611,0),6),"")</f>
        <v>.1.2.5.6.15.16.</v>
      </c>
      <c r="I14" s="102" t="s">
        <v>2272</v>
      </c>
      <c r="J14" s="149"/>
      <c r="K14" s="149"/>
      <c r="L14" s="121" t="str">
        <f>IFERROR(INDEX(레시피북!$C$2:$J$611,MATCH($D14,레시피북!$C$2:$C$611,0),8),"")</f>
        <v>치킨너겟(하림)</v>
      </c>
      <c r="M14" s="113"/>
    </row>
    <row r="15" spans="2:23" ht="39.950000000000003" customHeight="1">
      <c r="B15" s="339"/>
      <c r="C15" s="151" t="s">
        <v>74</v>
      </c>
      <c r="D15" s="153" t="s">
        <v>576</v>
      </c>
      <c r="E15" s="115">
        <v>25</v>
      </c>
      <c r="F15" s="115"/>
      <c r="G15" s="106" t="str">
        <f>IFERROR(INDEX(레시피북!$C$2:$H$618,MATCH($D15,레시피북!$C$2:$C$618,0),6),"")</f>
        <v>절임오이(오이:중국산, 정제염, 정제수, 화이트식초)</v>
      </c>
      <c r="H15" s="94">
        <f>IFERROR(INDEX(레시피북!$D$2:$J$611,MATCH($D15,레시피북!$C$2:$C$611,0),6),"")</f>
        <v>0</v>
      </c>
      <c r="I15" s="102" t="s">
        <v>2272</v>
      </c>
      <c r="J15" s="149"/>
      <c r="K15" s="149"/>
      <c r="L15" s="121" t="str">
        <f>IFERROR(INDEX(레시피북!$C$2:$J$611,MATCH($D15,레시피북!$C$2:$C$611,0),8),"")</f>
        <v>오이피클(이츠웰)</v>
      </c>
      <c r="M15" s="113"/>
    </row>
    <row r="16" spans="2:23" ht="39.950000000000003" customHeight="1" thickBot="1">
      <c r="B16" s="340"/>
      <c r="C16" s="122" t="s">
        <v>72</v>
      </c>
      <c r="D16" s="123"/>
      <c r="E16" s="123"/>
      <c r="F16" s="124">
        <v>1</v>
      </c>
      <c r="G16" s="125"/>
      <c r="H16" s="157"/>
      <c r="I16" s="128"/>
      <c r="J16" s="126">
        <v>1</v>
      </c>
      <c r="K16" s="126">
        <v>0.25</v>
      </c>
      <c r="L16" s="127"/>
    </row>
    <row r="17" spans="2:19" ht="39.950000000000003" customHeight="1">
      <c r="B17" s="336" t="s">
        <v>1813</v>
      </c>
      <c r="C17" s="241" t="s">
        <v>508</v>
      </c>
      <c r="D17" s="269" t="s">
        <v>2247</v>
      </c>
      <c r="E17" s="215">
        <v>150</v>
      </c>
      <c r="F17" s="215"/>
      <c r="G17" s="216" t="str">
        <f>IFERROR(INDEX(레시피북!$C$2:$H$618,MATCH($D17,레시피북!$C$2:$C$618,0),6),"")</f>
        <v>쌀(국산)95%, 정제수</v>
      </c>
      <c r="H17" s="217">
        <f>IFERROR(INDEX(레시피북!$D$2:$J$611,MATCH($D17,레시피북!$C$2:$C$611,0),6),"")</f>
        <v>0</v>
      </c>
      <c r="I17" s="218" t="s">
        <v>2273</v>
      </c>
      <c r="J17" s="244"/>
      <c r="K17" s="243"/>
      <c r="L17" s="219">
        <f>IFERROR(INDEX(레시피북!$C$2:$J$611,MATCH($D17,레시피북!$C$2:$C$611,0),8),"")</f>
        <v>0</v>
      </c>
      <c r="M17" s="113" t="s">
        <v>1189</v>
      </c>
      <c r="N17" s="113"/>
      <c r="O17" s="113"/>
      <c r="P17" s="113" t="s">
        <v>1240</v>
      </c>
      <c r="S17" s="113" t="s">
        <v>1401</v>
      </c>
    </row>
    <row r="18" spans="2:19" ht="39.950000000000003" customHeight="1">
      <c r="B18" s="336"/>
      <c r="C18" s="235" t="s">
        <v>512</v>
      </c>
      <c r="D18" s="96" t="s">
        <v>585</v>
      </c>
      <c r="E18" s="115">
        <v>160</v>
      </c>
      <c r="F18" s="116"/>
      <c r="G18" s="106" t="str">
        <f>IFERROR(INDEX(레시피북!$C$2:$H$618,MATCH($D18,레시피북!$C$2:$C$618,0),6),"")</f>
        <v>열갈이(국산)10%, 소고기(호주산)7%, 무(국산)5%, 콩나물(원료수입산)5%, 정제수, 된장, 대파, 마늘, 국간장, 멸치육수농축액, 소금</v>
      </c>
      <c r="H18" s="94" t="str">
        <f>IFERROR(INDEX(레시피북!$D$2:$J$611,MATCH($D18,레시피북!$C$2:$C$611,0),6),"")</f>
        <v>.5.16.</v>
      </c>
      <c r="I18" s="102" t="s">
        <v>2273</v>
      </c>
      <c r="J18" s="95"/>
      <c r="K18" s="94"/>
      <c r="L18" s="121" t="str">
        <f>IFERROR(INDEX(레시피북!$C$2:$J$611,MATCH($D18,레시피북!$C$2:$C$611,0),8),"")</f>
        <v>멸치육수농축액(면사랑) 40g / 45g )</v>
      </c>
      <c r="M18" s="113" t="s">
        <v>1566</v>
      </c>
      <c r="N18" s="113"/>
      <c r="O18" s="113"/>
      <c r="P18" s="113" t="s">
        <v>1608</v>
      </c>
      <c r="S18" s="113" t="s">
        <v>1609</v>
      </c>
    </row>
    <row r="19" spans="2:19" ht="39.950000000000003" customHeight="1">
      <c r="B19" s="336"/>
      <c r="C19" s="235" t="s">
        <v>509</v>
      </c>
      <c r="D19" s="282" t="s">
        <v>2278</v>
      </c>
      <c r="E19" s="283">
        <v>90</v>
      </c>
      <c r="F19" s="284"/>
      <c r="G19" s="285" t="s">
        <v>2279</v>
      </c>
      <c r="H19" s="286" t="s">
        <v>2117</v>
      </c>
      <c r="I19" s="102" t="s">
        <v>2273</v>
      </c>
      <c r="J19" s="95"/>
      <c r="K19" s="94"/>
      <c r="L19" s="121" t="str">
        <f>IFERROR(INDEX(레시피북!$C$2:$J$611,MATCH($D19,레시피북!$C$2:$C$611,0),8),"")</f>
        <v/>
      </c>
      <c r="M19" s="113"/>
      <c r="N19" s="113"/>
      <c r="O19" s="113"/>
    </row>
    <row r="20" spans="2:19" ht="39.950000000000003" customHeight="1">
      <c r="B20" s="336"/>
      <c r="C20" s="235" t="s">
        <v>510</v>
      </c>
      <c r="D20" s="96" t="s">
        <v>2275</v>
      </c>
      <c r="E20" s="115">
        <v>60</v>
      </c>
      <c r="F20" s="116"/>
      <c r="G20" s="106" t="str">
        <f>IFERROR(INDEX(레시피북!$C$2:$H$618,MATCH($D20,레시피북!$C$2:$C$618,0),6),"")</f>
        <v>소시지 [돼지고기(국산)50.31%, 닭고기(국산)31.43%]75%, 양파, 청피망, 케찹, 참기름, 참깨</v>
      </c>
      <c r="H20" s="94" t="str">
        <f>IFERROR(INDEX(레시피북!$D$2:$J$611,MATCH($D20,레시피북!$C$2:$C$611,0),6),"")</f>
        <v>.5.6.10.12.16.21.</v>
      </c>
      <c r="I20" s="102" t="s">
        <v>2273</v>
      </c>
      <c r="J20" s="95"/>
      <c r="K20" s="94"/>
      <c r="L20" s="121" t="str">
        <f>IFERROR(INDEX(레시피북!$C$2:$J$611,MATCH($D20,레시피북!$C$2:$C$611,0),8),"")</f>
        <v>칼집비엔나소시지(이츠웰)</v>
      </c>
      <c r="M20" s="113"/>
      <c r="N20" s="113"/>
      <c r="O20" s="113"/>
    </row>
    <row r="21" spans="2:19" ht="39.950000000000003" customHeight="1">
      <c r="B21" s="336"/>
      <c r="C21" s="151" t="s">
        <v>232</v>
      </c>
      <c r="D21" s="96" t="s">
        <v>1116</v>
      </c>
      <c r="E21" s="115">
        <v>40</v>
      </c>
      <c r="F21" s="116"/>
      <c r="G21" s="106" t="str">
        <f>IFERROR(INDEX(레시피북!$C$2:$H$618,MATCH($D21,레시피북!$C$2:$C$618,0),6),"")</f>
        <v>올방개묵(원료수입산)90%, 김가루(김:국산), 소금, 간장, 참기름, 참깨</v>
      </c>
      <c r="H21" s="94" t="str">
        <f>IFERROR(INDEX(레시피북!$D$2:$J$611,MATCH($D21,레시피북!$C$2:$C$611,0),6),"")</f>
        <v>.5.21.</v>
      </c>
      <c r="I21" s="102" t="s">
        <v>2273</v>
      </c>
      <c r="J21" s="95"/>
      <c r="K21" s="94"/>
      <c r="L21" s="121">
        <f>IFERROR(INDEX(레시피북!$C$2:$J$611,MATCH($D21,레시피북!$C$2:$C$611,0),8),"")</f>
        <v>0</v>
      </c>
      <c r="M21" s="113"/>
      <c r="N21" s="113"/>
      <c r="O21" s="113"/>
    </row>
    <row r="22" spans="2:19" ht="39.950000000000003" customHeight="1">
      <c r="B22" s="336"/>
      <c r="C22" s="236" t="s">
        <v>690</v>
      </c>
      <c r="D22" s="96" t="s">
        <v>519</v>
      </c>
      <c r="E22" s="115">
        <v>35</v>
      </c>
      <c r="F22" s="115"/>
      <c r="G22" s="106" t="str">
        <f>IFERROR(INDEX(레시피북!$C$2:$H$618,MATCH($D22,레시피북!$C$2:$C$618,0),6),"")</f>
        <v>무(국산)85.2%, 고추가루(국산), 밀가루풀(국산), 파, 마늘, 새우젓 등 양념(국산)</v>
      </c>
      <c r="H22" s="94" t="str">
        <f>IFERROR(INDEX(레시피북!$D$2:$J$611,MATCH($D22,레시피북!$C$2:$C$611,0),6),"")</f>
        <v>.6.9.</v>
      </c>
      <c r="I22" s="102" t="s">
        <v>2273</v>
      </c>
      <c r="J22" s="95"/>
      <c r="K22" s="94"/>
      <c r="L22" s="121">
        <f>IFERROR(INDEX(레시피북!$C$2:$J$611,MATCH($D22,레시피북!$C$2:$C$611,0),8),"")</f>
        <v>0</v>
      </c>
      <c r="M22" s="113"/>
      <c r="N22" s="113"/>
      <c r="O22" s="113"/>
    </row>
    <row r="23" spans="2:19" ht="39.950000000000003" customHeight="1">
      <c r="B23" s="336"/>
      <c r="C23" s="212" t="s">
        <v>1186</v>
      </c>
      <c r="D23" s="96" t="s">
        <v>1738</v>
      </c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2273</v>
      </c>
      <c r="J23" s="95"/>
      <c r="K23" s="94"/>
      <c r="L23" s="156" t="str">
        <f>IFERROR(INDEX(레시피북!$C$2:$J$611,MATCH($D23,레시피북!$C$2:$C$611,0),8),"")</f>
        <v/>
      </c>
      <c r="M23" s="113"/>
      <c r="N23" s="113"/>
      <c r="O23" s="113"/>
    </row>
    <row r="24" spans="2:19" ht="39.950000000000003" customHeight="1" thickBot="1">
      <c r="B24" s="337"/>
      <c r="C24" s="152" t="s">
        <v>72</v>
      </c>
      <c r="D24" s="201"/>
      <c r="E24" s="123"/>
      <c r="F24" s="124"/>
      <c r="G24" s="205"/>
      <c r="H24" s="157"/>
      <c r="I24" s="128"/>
      <c r="J24" s="126">
        <v>1</v>
      </c>
      <c r="K24" s="126">
        <v>0.25</v>
      </c>
      <c r="L24" s="127"/>
      <c r="M24" s="113"/>
      <c r="N24" s="113"/>
      <c r="O24" s="113"/>
    </row>
    <row r="25" spans="2:19">
      <c r="L25" s="26"/>
    </row>
    <row r="27" spans="2:19">
      <c r="E27"/>
      <c r="F27" s="114"/>
    </row>
  </sheetData>
  <mergeCells count="6">
    <mergeCell ref="B1:L1"/>
    <mergeCell ref="B3:B9"/>
    <mergeCell ref="S5:W5"/>
    <mergeCell ref="B17:B24"/>
    <mergeCell ref="B10:B16"/>
    <mergeCell ref="C11:C12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44421-3AFF-490B-8E51-198B0F99A8A3}">
  <sheetPr>
    <pageSetUpPr fitToPage="1"/>
  </sheetPr>
  <dimension ref="B1:W27"/>
  <sheetViews>
    <sheetView zoomScale="80" zoomScaleNormal="80" zoomScaleSheetLayoutView="75" workbookViewId="0">
      <selection activeCell="I7" sqref="I7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2282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1144</v>
      </c>
      <c r="E3" s="215">
        <v>140</v>
      </c>
      <c r="F3" s="215"/>
      <c r="G3" s="216" t="str">
        <f>IFERROR(INDEX(레시피북!$C$2:$H$618,MATCH($D3,레시피북!$C$2:$C$618,0),6),"")</f>
        <v>쌀(국산)90%, 찰보리(국산.친환경)5%, 정제수</v>
      </c>
      <c r="H3" s="217">
        <f>IFERROR(INDEX(레시피북!$D$2:$J$611,MATCH($D3,레시피북!$C$2:$C$611,0),6),"")</f>
        <v>0</v>
      </c>
      <c r="I3" s="218" t="s">
        <v>2280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2065</v>
      </c>
      <c r="E4" s="115">
        <v>150</v>
      </c>
      <c r="F4" s="116"/>
      <c r="G4" s="106" t="str">
        <f>IFERROR(INDEX(레시피북!$C$2:$H$618,MATCH($D4,레시피북!$C$2:$C$618,0),6),"")</f>
        <v>닭고기(국산)12%, 무(국산)10%, 곰탕육수(정제수, 황기, 대추, 당귀, 헛개나무, 엄나무, 오가피:국산), 파, 마늘, 소금</v>
      </c>
      <c r="H4" s="94" t="str">
        <f>IFERROR(INDEX(레시피북!$D$2:$J$611,MATCH($D4,레시피북!$C$2:$C$611,0),6),"")</f>
        <v>.5.15.</v>
      </c>
      <c r="I4" s="102" t="s">
        <v>2280</v>
      </c>
      <c r="J4" s="95"/>
      <c r="K4" s="94"/>
      <c r="L4" s="121" t="str">
        <f>IFERROR(INDEX(레시피북!$C$2:$J$611,MATCH($D4,레시피북!$C$2:$C$611,0),8),"")</f>
        <v>40g / 50g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2056</v>
      </c>
      <c r="E5" s="115">
        <v>60</v>
      </c>
      <c r="F5" s="116"/>
      <c r="G5" s="106" t="str">
        <f>IFERROR(INDEX(레시피북!$C$2:$H$618,MATCH($D5,레시피북!$C$2:$C$618,0),6),"")</f>
        <v>미트볼[돼지고기(국내산)45.45%,소고기(호주산,뉴질랜드산)20.61%]80%, 양파, 피망, 우스터소스, 간장, 맛술, 후추, 파슬리가루</v>
      </c>
      <c r="H5" s="94" t="str">
        <f>IFERROR(INDEX(레시피북!$D$2:$J$611,MATCH($D5,레시피북!$C$2:$C$611,0),6),"")</f>
        <v>.1.2.5.6.10.12.15.16.</v>
      </c>
      <c r="I5" s="102" t="s">
        <v>2280</v>
      </c>
      <c r="J5" s="95"/>
      <c r="K5" s="94"/>
      <c r="L5" s="121" t="str">
        <f>IFERROR(INDEX(레시피북!$C$2:$J$611,MATCH($D5,레시피북!$C$2:$C$611,0),8),"")</f>
        <v>미트볼골드(선진),우스터소스(오뚜기)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2060</v>
      </c>
      <c r="E6" s="115">
        <v>45</v>
      </c>
      <c r="F6" s="116"/>
      <c r="G6" s="106" t="str">
        <f>IFERROR(INDEX(레시피북!$C$2:$H$618,MATCH($D6,레시피북!$C$2:$C$618,0),6),"")</f>
        <v>누들떡(밀:미국산.호주산)70%, 소고기(호주산)12%, 표고버섯, 양파, 당근, 부추, 맛술, 간장, 설탕, 참기름, 참깨</v>
      </c>
      <c r="H6" s="94" t="str">
        <f>IFERROR(INDEX(레시피북!$D$2:$J$611,MATCH($D6,레시피북!$C$2:$C$611,0),6),"")</f>
        <v>.5.6.16.21.</v>
      </c>
      <c r="I6" s="102" t="s">
        <v>2280</v>
      </c>
      <c r="J6" s="95"/>
      <c r="K6" s="94"/>
      <c r="L6" s="121" t="str">
        <f>IFERROR(INDEX(레시피북!$C$2:$J$611,MATCH($D6,레시피북!$C$2:$C$611,0),8),"")</f>
        <v>누들떡(토담)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1265</v>
      </c>
      <c r="E7" s="115">
        <v>25</v>
      </c>
      <c r="F7" s="116"/>
      <c r="G7" s="106" t="str">
        <f>IFERROR(INDEX(레시피북!$C$2:$H$618,MATCH($D7,레시피북!$C$2:$C$618,0),6),"")</f>
        <v xml:space="preserve">무(국산)93%, 비트(국산)2%, 설탕, 소금, 식초 </v>
      </c>
      <c r="H7" s="94">
        <f>IFERROR(INDEX(레시피북!$D$2:$J$611,MATCH($D7,레시피북!$C$2:$C$611,0),6),"")</f>
        <v>0</v>
      </c>
      <c r="I7" s="102" t="s">
        <v>2280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518</v>
      </c>
      <c r="E8" s="115">
        <v>25</v>
      </c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2280</v>
      </c>
      <c r="J8" s="95"/>
      <c r="K8" s="94"/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2283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1144</v>
      </c>
      <c r="E10" s="215">
        <v>150</v>
      </c>
      <c r="F10" s="215"/>
      <c r="G10" s="216" t="str">
        <f>IFERROR(INDEX(레시피북!$C$2:$H$618,MATCH($D10,레시피북!$C$2:$C$618,0),6),"")</f>
        <v>쌀(국산)90%, 찰보리(국산.친환경)5%, 정제수</v>
      </c>
      <c r="H10" s="217">
        <f>IFERROR(INDEX(레시피북!$D$2:$J$611,MATCH($D10,레시피북!$C$2:$C$611,0),6),"")</f>
        <v>0</v>
      </c>
      <c r="I10" s="218" t="s">
        <v>2281</v>
      </c>
      <c r="J10" s="244"/>
      <c r="K10" s="243"/>
      <c r="L10" s="219">
        <f>IFERROR(INDEX(레시피북!$C$2:$J$611,MATCH($D10,레시피북!$C$2:$C$611,0),8),"")</f>
        <v>0</v>
      </c>
      <c r="M10" s="113" t="s">
        <v>2277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282" t="s">
        <v>2102</v>
      </c>
      <c r="E11" s="283">
        <v>160</v>
      </c>
      <c r="F11" s="284"/>
      <c r="G11" s="285" t="str">
        <f>IFERROR(INDEX(레시피북!$C$2:$H$618,MATCH($D11,레시피북!$C$2:$C$618,0),6),"")</f>
        <v>돈육(국산)8%, 두부(원료수입산)7%, 애호박, 양파, 파, 마늘, 고추장, 고추가루, 국간장, 소금</v>
      </c>
      <c r="H11" s="286" t="str">
        <f>IFERROR(INDEX(레시피북!$D$2:$J$611,MATCH($D11,레시피북!$C$2:$C$611,0),6),"")</f>
        <v>.5.6.10.</v>
      </c>
      <c r="I11" s="102" t="s">
        <v>2281</v>
      </c>
      <c r="J11" s="95"/>
      <c r="K11" s="94"/>
      <c r="L11" s="121" t="str">
        <f>IFERROR(INDEX(레시피북!$C$2:$J$611,MATCH($D11,레시피북!$C$2:$C$611,0),8),"")</f>
        <v>70g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2056</v>
      </c>
      <c r="E12" s="115">
        <v>80</v>
      </c>
      <c r="F12" s="116"/>
      <c r="G12" s="106" t="str">
        <f>IFERROR(INDEX(레시피북!$C$2:$H$618,MATCH($D12,레시피북!$C$2:$C$618,0),6),"")</f>
        <v>미트볼[돼지고기(국내산)45.45%,소고기(호주산,뉴질랜드산)20.61%]80%, 양파, 피망, 우스터소스, 간장, 맛술, 후추, 파슬리가루</v>
      </c>
      <c r="H12" s="94" t="str">
        <f>IFERROR(INDEX(레시피북!$D$2:$J$611,MATCH($D12,레시피북!$C$2:$C$611,0),6),"")</f>
        <v>.1.2.5.6.10.12.15.16.</v>
      </c>
      <c r="I12" s="102" t="s">
        <v>2281</v>
      </c>
      <c r="J12" s="95"/>
      <c r="K12" s="94"/>
      <c r="L12" s="121" t="str">
        <f>IFERROR(INDEX(레시피북!$C$2:$J$611,MATCH($D12,레시피북!$C$2:$C$611,0),8),"")</f>
        <v>미트볼골드(선진),우스터소스(오뚜기)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2060</v>
      </c>
      <c r="E13" s="115">
        <v>50</v>
      </c>
      <c r="F13" s="116"/>
      <c r="G13" s="106" t="str">
        <f>IFERROR(INDEX(레시피북!$C$2:$H$618,MATCH($D13,레시피북!$C$2:$C$618,0),6),"")</f>
        <v>누들떡(밀:미국산.호주산)70%, 소고기(호주산)12%, 표고버섯, 양파, 당근, 부추, 맛술, 간장, 설탕, 참기름, 참깨</v>
      </c>
      <c r="H13" s="94" t="str">
        <f>IFERROR(INDEX(레시피북!$D$2:$J$611,MATCH($D13,레시피북!$C$2:$C$611,0),6),"")</f>
        <v>.5.6.16.21.</v>
      </c>
      <c r="I13" s="102" t="s">
        <v>2281</v>
      </c>
      <c r="J13" s="95"/>
      <c r="K13" s="94"/>
      <c r="L13" s="121" t="str">
        <f>IFERROR(INDEX(레시피북!$C$2:$J$611,MATCH($D13,레시피북!$C$2:$C$611,0),8),"")</f>
        <v>누들떡(토담)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1265</v>
      </c>
      <c r="E14" s="115">
        <v>35</v>
      </c>
      <c r="F14" s="116"/>
      <c r="G14" s="106" t="str">
        <f>IFERROR(INDEX(레시피북!$C$2:$H$618,MATCH($D14,레시피북!$C$2:$C$618,0),6),"")</f>
        <v xml:space="preserve">무(국산)93%, 비트(국산)2%, 설탕, 소금, 식초 </v>
      </c>
      <c r="H14" s="94">
        <f>IFERROR(INDEX(레시피북!$D$2:$J$611,MATCH($D14,레시피북!$C$2:$C$611,0),6),"")</f>
        <v>0</v>
      </c>
      <c r="I14" s="102" t="s">
        <v>2281</v>
      </c>
      <c r="J14" s="95"/>
      <c r="K14" s="94"/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518</v>
      </c>
      <c r="E15" s="115">
        <v>35</v>
      </c>
      <c r="F15" s="115"/>
      <c r="G15" s="106" t="str">
        <f>IFERROR(INDEX(레시피북!$C$2:$H$618,MATCH($D15,레시피북!$C$2:$C$618,0),6),"")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IFERROR(INDEX(레시피북!$D$2:$J$611,MATCH($D15,레시피북!$C$2:$C$611,0),6),"")</f>
        <v>.9.12.</v>
      </c>
      <c r="I15" s="102" t="s">
        <v>2281</v>
      </c>
      <c r="J15" s="95"/>
      <c r="K15" s="94"/>
      <c r="L15" s="121" t="str">
        <f>IFERROR(INDEX(레시피북!$C$2:$J$611,MATCH($D15,레시피북!$C$2:$C$611,0),8),"")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994</v>
      </c>
      <c r="E16" s="115"/>
      <c r="F16" s="115">
        <v>1</v>
      </c>
      <c r="G16" s="106" t="str">
        <f>IFERROR(INDEX(레시피북!$C$2:$H$618,MATCH($D16,레시피북!$C$2:$C$618,0),6),"")</f>
        <v>임연수(미국산)95%, 대두유, 밀가루, 소금</v>
      </c>
      <c r="H16" s="94" t="str">
        <f>IFERROR(INDEX(레시피북!$D$2:$J$611,MATCH($D16,레시피북!$C$2:$C$611,0),6),"")</f>
        <v>.5.7.</v>
      </c>
      <c r="I16" s="102" t="s">
        <v>2281</v>
      </c>
      <c r="J16" s="95"/>
      <c r="K16" s="94"/>
      <c r="L16" s="156">
        <f>IFERROR(INDEX(레시피북!$C$2:$J$611,MATCH($D16,레시피북!$C$2:$C$611,0),8),"")</f>
        <v>0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2280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2280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2280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2280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2280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2280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4682-D293-43BC-93C2-5A7E5DCD0319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2293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1503</v>
      </c>
      <c r="E3" s="215">
        <v>140</v>
      </c>
      <c r="F3" s="215"/>
      <c r="G3" s="216" t="str">
        <f>IFERROR(INDEX(레시피북!$C$2:$H$618,MATCH($D3,레시피북!$C$2:$C$618,0),6),"")</f>
        <v>쌀(국산)90%, 귀리(국산.친환경)5%, 정제수</v>
      </c>
      <c r="H3" s="217">
        <f>IFERROR(INDEX(레시피북!$D$2:$J$611,MATCH($D3,레시피북!$C$2:$C$611,0),6),"")</f>
        <v>0</v>
      </c>
      <c r="I3" s="218" t="s">
        <v>2291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1939</v>
      </c>
      <c r="E4" s="115">
        <v>150</v>
      </c>
      <c r="F4" s="116"/>
      <c r="G4" s="106" t="str">
        <f>IFERROR(INDEX(레시피북!$C$2:$H$618,MATCH($D4,레시피북!$C$2:$C$618,0),6),"")</f>
        <v>양배추(국내산)20%, 두부(대두:외국산)7%, 정제수, 파, 마늘, 국간장, 멸치육수농축액, 소금</v>
      </c>
      <c r="H4" s="94" t="str">
        <f>IFERROR(INDEX(레시피북!$D$2:$J$611,MATCH($D4,레시피북!$C$2:$C$611,0),6),"")</f>
        <v>.5.</v>
      </c>
      <c r="I4" s="102" t="s">
        <v>2291</v>
      </c>
      <c r="J4" s="95"/>
      <c r="K4" s="94"/>
      <c r="L4" s="121" t="str">
        <f>IFERROR(INDEX(레시피북!$C$2:$J$611,MATCH($D4,레시피북!$C$2:$C$611,0),8),"")</f>
        <v>40g / 45g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711</v>
      </c>
      <c r="E5" s="115">
        <v>110</v>
      </c>
      <c r="F5" s="116"/>
      <c r="G5" s="106" t="str">
        <f>IFERROR(INDEX(레시피북!$C$2:$H$618,MATCH($D5,레시피북!$C$2:$C$618,0),6),"")</f>
        <v>닭고기(국산)14.5%, 양파(국산)20.8%, 감자, 당근, 코코넛밀크(코코넛75%, 정제수)20%, 카레분말11.1%, 정제수, 대두유</v>
      </c>
      <c r="H5" s="94" t="str">
        <f>IFERROR(INDEX(레시피북!$D$2:$J$611,MATCH($D5,레시피북!$C$2:$C$611,0),6),"")</f>
        <v>.2.5.6.12.15.16.18.</v>
      </c>
      <c r="I5" s="102" t="s">
        <v>2291</v>
      </c>
      <c r="J5" s="95"/>
      <c r="K5" s="94"/>
      <c r="L5" s="121" t="str">
        <f>IFERROR(INDEX(레시피북!$C$2:$J$611,MATCH($D5,레시피북!$C$2:$C$611,0),8),"")</f>
        <v>코코넛밀크(몬), 카레분말(오뚜기)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1724</v>
      </c>
      <c r="E6" s="115"/>
      <c r="F6" s="116">
        <v>2</v>
      </c>
      <c r="G6" s="106" t="str">
        <f>IFERROR(INDEX(레시피북!$C$2:$H$618,MATCH($D6,레시피북!$C$2:$C$618,0),6),"")</f>
        <v>새우튀김[흰다리새우30%, 빵가루(밀가루.쇼트닝.설탕.효모.옥수수전분.정제소금 등)베트남산</v>
      </c>
      <c r="H6" s="94" t="str">
        <f>IFERROR(INDEX(레시피북!$D$2:$J$611,MATCH($D6,레시피북!$C$2:$C$611,0),6),"")</f>
        <v>.1.5.6.9.</v>
      </c>
      <c r="I6" s="102" t="s">
        <v>2291</v>
      </c>
      <c r="J6" s="95"/>
      <c r="K6" s="94"/>
      <c r="L6" s="121" t="str">
        <f>IFERROR(INDEX(레시피북!$C$2:$J$611,MATCH($D6,레시피북!$C$2:$C$611,0),8),"")</f>
        <v>새우튀김(이츠웰)/개당20g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954</v>
      </c>
      <c r="E7" s="115">
        <v>40</v>
      </c>
      <c r="F7" s="116"/>
      <c r="G7" s="106" t="str">
        <f>IFERROR(INDEX(레시피북!$C$2:$H$618,MATCH($D7,레시피북!$C$2:$C$618,0),6),"")</f>
        <v>방울토마토(국산)30%, 보코치니치즈(모짜렐라치즈:미국산)25%, 파인애플청크(수입산), 바질페스토(캐슈넛미량함유), 올리브오일, 소금, 레몬</v>
      </c>
      <c r="H7" s="94" t="str">
        <f>IFERROR(INDEX(레시피북!$D$2:$J$611,MATCH($D7,레시피북!$C$2:$C$611,0),6),"")</f>
        <v>.2.4.12.</v>
      </c>
      <c r="I7" s="102" t="s">
        <v>2291</v>
      </c>
      <c r="J7" s="95"/>
      <c r="K7" s="94"/>
      <c r="L7" s="121" t="str">
        <f>IFERROR(INDEX(레시피북!$C$2:$J$611,MATCH($D7,레시피북!$C$2:$C$611,0),8),"")</f>
        <v>바질페스토(몬티)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2291</v>
      </c>
      <c r="J8" s="95"/>
      <c r="K8" s="94"/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1503</v>
      </c>
      <c r="E10" s="215">
        <v>150</v>
      </c>
      <c r="F10" s="215"/>
      <c r="G10" s="216" t="str">
        <f>IFERROR(INDEX(레시피북!$C$2:$H$618,MATCH($D10,레시피북!$C$2:$C$618,0),6),"")</f>
        <v>쌀(국산)90%, 귀리(국산.친환경)5%, 정제수</v>
      </c>
      <c r="H10" s="217">
        <f>IFERROR(INDEX(레시피북!$D$2:$J$611,MATCH($D10,레시피북!$C$2:$C$611,0),6),"")</f>
        <v>0</v>
      </c>
      <c r="I10" s="218" t="s">
        <v>2292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1939</v>
      </c>
      <c r="E11" s="115">
        <v>160</v>
      </c>
      <c r="F11" s="116"/>
      <c r="G11" s="106" t="str">
        <f>IFERROR(INDEX(레시피북!$C$2:$H$618,MATCH($D11,레시피북!$C$2:$C$618,0),6),"")</f>
        <v>양배추(국내산)20%, 두부(대두:외국산)7%, 정제수, 파, 마늘, 국간장, 멸치육수농축액, 소금</v>
      </c>
      <c r="H11" s="94" t="str">
        <f>IFERROR(INDEX(레시피북!$D$2:$J$611,MATCH($D11,레시피북!$C$2:$C$611,0),6),"")</f>
        <v>.5.</v>
      </c>
      <c r="I11" s="102" t="s">
        <v>2292</v>
      </c>
      <c r="J11" s="95"/>
      <c r="K11" s="94"/>
      <c r="L11" s="121" t="str">
        <f>IFERROR(INDEX(레시피북!$C$2:$J$611,MATCH($D11,레시피북!$C$2:$C$611,0),8),"")</f>
        <v>40g / 45g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711</v>
      </c>
      <c r="E12" s="115">
        <v>120</v>
      </c>
      <c r="F12" s="116"/>
      <c r="G12" s="106" t="str">
        <f>IFERROR(INDEX(레시피북!$C$2:$H$618,MATCH($D12,레시피북!$C$2:$C$618,0),6),"")</f>
        <v>닭고기(국산)14.5%, 양파(국산)20.8%, 감자, 당근, 코코넛밀크(코코넛75%, 정제수)20%, 카레분말11.1%, 정제수, 대두유</v>
      </c>
      <c r="H12" s="94" t="str">
        <f>IFERROR(INDEX(레시피북!$D$2:$J$611,MATCH($D12,레시피북!$C$2:$C$611,0),6),"")</f>
        <v>.2.5.6.12.15.16.18.</v>
      </c>
      <c r="I12" s="102" t="s">
        <v>2292</v>
      </c>
      <c r="J12" s="95"/>
      <c r="K12" s="94"/>
      <c r="L12" s="121" t="str">
        <f>IFERROR(INDEX(레시피북!$C$2:$J$611,MATCH($D12,레시피북!$C$2:$C$611,0),8),"")</f>
        <v>코코넛밀크(몬), 카레분말(오뚜기)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1724</v>
      </c>
      <c r="E13" s="115"/>
      <c r="F13" s="116">
        <v>3</v>
      </c>
      <c r="G13" s="106" t="str">
        <f>IFERROR(INDEX(레시피북!$C$2:$H$618,MATCH($D13,레시피북!$C$2:$C$618,0),6),"")</f>
        <v>새우튀김[흰다리새우30%, 빵가루(밀가루.쇼트닝.설탕.효모.옥수수전분.정제소금 등)베트남산</v>
      </c>
      <c r="H13" s="94" t="str">
        <f>IFERROR(INDEX(레시피북!$D$2:$J$611,MATCH($D13,레시피북!$C$2:$C$611,0),6),"")</f>
        <v>.1.5.6.9.</v>
      </c>
      <c r="I13" s="102" t="s">
        <v>2292</v>
      </c>
      <c r="J13" s="95"/>
      <c r="K13" s="94"/>
      <c r="L13" s="121" t="str">
        <f>IFERROR(INDEX(레시피북!$C$2:$J$611,MATCH($D13,레시피북!$C$2:$C$611,0),8),"")</f>
        <v>새우튀김(이츠웰)/개당20g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954</v>
      </c>
      <c r="E14" s="115">
        <v>45</v>
      </c>
      <c r="F14" s="116"/>
      <c r="G14" s="106" t="str">
        <f>IFERROR(INDEX(레시피북!$C$2:$H$618,MATCH($D14,레시피북!$C$2:$C$618,0),6),"")</f>
        <v>방울토마토(국산)30%, 보코치니치즈(모짜렐라치즈:미국산)25%, 파인애플청크(수입산), 바질페스토(캐슈넛미량함유), 올리브오일, 소금, 레몬</v>
      </c>
      <c r="H14" s="94" t="str">
        <f>IFERROR(INDEX(레시피북!$D$2:$J$611,MATCH($D14,레시피북!$C$2:$C$611,0),6),"")</f>
        <v>.2.4.12.</v>
      </c>
      <c r="I14" s="102" t="s">
        <v>2292</v>
      </c>
      <c r="J14" s="95"/>
      <c r="K14" s="94"/>
      <c r="L14" s="121" t="str">
        <f>IFERROR(INDEX(레시피북!$C$2:$J$611,MATCH($D14,레시피북!$C$2:$C$611,0),8),"")</f>
        <v>바질페스토(몬티)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2292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2292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2291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2291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2291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2291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2291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2291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88135-69AC-4387-9109-D5778DE855E1}">
  <sheetPr>
    <pageSetUpPr fitToPage="1"/>
  </sheetPr>
  <dimension ref="B1:W27"/>
  <sheetViews>
    <sheetView zoomScale="80" zoomScaleNormal="80" zoomScaleSheetLayoutView="75" workbookViewId="0">
      <selection activeCell="E16" sqref="E16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2296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1142</v>
      </c>
      <c r="E3" s="215">
        <v>140</v>
      </c>
      <c r="F3" s="215"/>
      <c r="G3" s="216" t="str">
        <f>IFERROR(INDEX(레시피북!$C$2:$H$618,MATCH($D3,레시피북!$C$2:$C$618,0),6),"")</f>
        <v>쌀(국산)90%, 찰흑미(국산.친환경)5%, 정제수</v>
      </c>
      <c r="H3" s="217">
        <f>IFERROR(INDEX(레시피북!$D$2:$J$611,MATCH($D3,레시피북!$C$2:$C$611,0),6),"")</f>
        <v>0</v>
      </c>
      <c r="I3" s="218" t="s">
        <v>2294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2100</v>
      </c>
      <c r="E4" s="115">
        <v>150</v>
      </c>
      <c r="F4" s="116"/>
      <c r="G4" s="106" t="str">
        <f>IFERROR(INDEX(레시피북!$C$2:$H$618,MATCH($D4,레시피북!$C$2:$C$618,0),6),"")</f>
        <v>무(국산)20%, 황태(러시아산)5%, 두부(콩:미국,호주,캐나다등), 대파, 마늘, 멸치육수농축액, 정제수, 소금</v>
      </c>
      <c r="H4" s="94" t="str">
        <f>IFERROR(INDEX(레시피북!$D$2:$J$611,MATCH($D4,레시피북!$C$2:$C$611,0),6),"")</f>
        <v>.5.</v>
      </c>
      <c r="I4" s="102" t="s">
        <v>2294</v>
      </c>
      <c r="J4" s="95"/>
      <c r="K4" s="94"/>
      <c r="L4" s="121">
        <f>IFERROR(INDEX(레시피북!$C$2:$J$611,MATCH($D4,레시피북!$C$2:$C$611,0),8),"")</f>
        <v>0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616</v>
      </c>
      <c r="E5" s="115">
        <v>60</v>
      </c>
      <c r="F5" s="116"/>
      <c r="G5" s="106" t="str">
        <f>IFERROR(INDEX(레시피북!$C$2:$H$618,MATCH($D5,레시피북!$C$2:$C$618,0),6),"")</f>
        <v>돈후지(국산)85%, 갈비양념, 간장, 설탕, 양파, 파, 마늘, 후추, 참기름</v>
      </c>
      <c r="H5" s="94" t="str">
        <f>IFERROR(INDEX(레시피북!$D$2:$J$611,MATCH($D5,레시피북!$C$2:$C$611,0),6),"")</f>
        <v>.5.6.10.21.</v>
      </c>
      <c r="I5" s="102" t="s">
        <v>2294</v>
      </c>
      <c r="J5" s="95"/>
      <c r="K5" s="94"/>
      <c r="L5" s="121" t="str">
        <f>IFERROR(INDEX(레시피북!$C$2:$J$611,MATCH($D5,레시피북!$C$2:$C$611,0),8),"")</f>
        <v>돼지갈비양념장(백설)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1236</v>
      </c>
      <c r="E6" s="115"/>
      <c r="F6" s="116">
        <v>1</v>
      </c>
      <c r="G6" s="106" t="str">
        <f>IFERROR(INDEX(레시피북!$C$2:$H$618,MATCH($D6,레시피북!$C$2:$C$618,0),6),"")</f>
        <v>계란(국산)46.2%, 쪽파, 당근, 정제수, 우유, 소금</v>
      </c>
      <c r="H6" s="94" t="str">
        <f>IFERROR(INDEX(레시피북!$D$2:$J$611,MATCH($D6,레시피북!$C$2:$C$611,0),6),"")</f>
        <v>.1.2.</v>
      </c>
      <c r="I6" s="102" t="s">
        <v>2294</v>
      </c>
      <c r="J6" s="95"/>
      <c r="K6" s="94"/>
      <c r="L6" s="121" t="str">
        <f>IFERROR(INDEX(레시피북!$C$2:$J$611,MATCH($D6,레시피북!$C$2:$C$611,0),8),"")</f>
        <v xml:space="preserve">1판에 64조각 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1746</v>
      </c>
      <c r="E7" s="115">
        <v>25</v>
      </c>
      <c r="F7" s="116"/>
      <c r="G7" s="106" t="str">
        <f>IFERROR(INDEX(레시피북!$C$2:$H$618,MATCH($D7,레시피북!$C$2:$C$618,0),6),"")</f>
        <v>고사리(중국산)85.6%, 당근, 마늘, 대파, 대두유, 국간장, 소금, 참기름, 참깨</v>
      </c>
      <c r="H7" s="94" t="str">
        <f>IFERROR(INDEX(레시피북!$D$2:$J$611,MATCH($D7,레시피북!$C$2:$C$611,0),6),"")</f>
        <v>.5.21.</v>
      </c>
      <c r="I7" s="102" t="s">
        <v>2294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945</v>
      </c>
      <c r="E8" s="115">
        <v>25</v>
      </c>
      <c r="F8" s="115"/>
      <c r="G8" s="106" t="str">
        <f>IFERROR(INDEX(레시피북!$C$2:$H$618,MATCH($D8,레시피북!$C$2:$C$618,0),6),"")</f>
        <v>배추(국내산)70&amp;, 무(국내산)10%, 마늘, 생강, 양파, 설탕, 정제수, 소금</v>
      </c>
      <c r="H8" s="94">
        <f>IFERROR(INDEX(레시피북!$D$2:$J$611,MATCH($D8,레시피북!$C$2:$C$611,0),6),"")</f>
        <v>0</v>
      </c>
      <c r="I8" s="102" t="s">
        <v>2294</v>
      </c>
      <c r="J8" s="95"/>
      <c r="K8" s="94"/>
      <c r="L8" s="121" t="str">
        <f>IFERROR(INDEX(레시피북!$C$2:$J$611,MATCH($D8,레시피북!$C$2:$C$611,0),8),"")</f>
        <v>백김치(정우식품)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2297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1142</v>
      </c>
      <c r="E10" s="215">
        <v>150</v>
      </c>
      <c r="F10" s="215"/>
      <c r="G10" s="216" t="str">
        <f>IFERROR(INDEX(레시피북!$C$2:$H$618,MATCH($D10,레시피북!$C$2:$C$618,0),6),"")</f>
        <v>쌀(국산)90%, 찰흑미(국산.친환경)5%, 정제수</v>
      </c>
      <c r="H10" s="217">
        <f>IFERROR(INDEX(레시피북!$D$2:$J$611,MATCH($D10,레시피북!$C$2:$C$611,0),6),"")</f>
        <v>0</v>
      </c>
      <c r="I10" s="218" t="s">
        <v>2295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2100</v>
      </c>
      <c r="E11" s="115">
        <v>160</v>
      </c>
      <c r="F11" s="116"/>
      <c r="G11" s="106" t="str">
        <f>IFERROR(INDEX(레시피북!$C$2:$H$618,MATCH($D11,레시피북!$C$2:$C$618,0),6),"")</f>
        <v>무(국산)20%, 황태(러시아산)5%, 두부(콩:미국,호주,캐나다등), 대파, 마늘, 멸치육수농축액, 정제수, 소금</v>
      </c>
      <c r="H11" s="94" t="str">
        <f>IFERROR(INDEX(레시피북!$D$2:$J$611,MATCH($D11,레시피북!$C$2:$C$611,0),6),"")</f>
        <v>.5.</v>
      </c>
      <c r="I11" s="102" t="s">
        <v>2295</v>
      </c>
      <c r="J11" s="95"/>
      <c r="K11" s="94"/>
      <c r="L11" s="121">
        <f>IFERROR(INDEX(레시피북!$C$2:$J$611,MATCH($D11,레시피북!$C$2:$C$611,0),8),"")</f>
        <v>0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616</v>
      </c>
      <c r="E12" s="115">
        <v>80</v>
      </c>
      <c r="F12" s="116"/>
      <c r="G12" s="106" t="str">
        <f>IFERROR(INDEX(레시피북!$C$2:$H$618,MATCH($D12,레시피북!$C$2:$C$618,0),6),"")</f>
        <v>돈후지(국산)85%, 갈비양념, 간장, 설탕, 양파, 파, 마늘, 후추, 참기름</v>
      </c>
      <c r="H12" s="94" t="str">
        <f>IFERROR(INDEX(레시피북!$D$2:$J$611,MATCH($D12,레시피북!$C$2:$C$611,0),6),"")</f>
        <v>.5.6.10.21.</v>
      </c>
      <c r="I12" s="102" t="s">
        <v>2295</v>
      </c>
      <c r="J12" s="95"/>
      <c r="K12" s="94"/>
      <c r="L12" s="121" t="str">
        <f>IFERROR(INDEX(레시피북!$C$2:$J$611,MATCH($D12,레시피북!$C$2:$C$611,0),8),"")</f>
        <v>돼지갈비양념장(백설)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1236</v>
      </c>
      <c r="E13" s="115"/>
      <c r="F13" s="116">
        <v>2</v>
      </c>
      <c r="G13" s="106" t="str">
        <f>IFERROR(INDEX(레시피북!$C$2:$H$618,MATCH($D13,레시피북!$C$2:$C$618,0),6),"")</f>
        <v>계란(국산)46.2%, 쪽파, 당근, 정제수, 우유, 소금</v>
      </c>
      <c r="H13" s="94" t="str">
        <f>IFERROR(INDEX(레시피북!$D$2:$J$611,MATCH($D13,레시피북!$C$2:$C$611,0),6),"")</f>
        <v>.1.2.</v>
      </c>
      <c r="I13" s="102" t="s">
        <v>2295</v>
      </c>
      <c r="J13" s="95"/>
      <c r="K13" s="94"/>
      <c r="L13" s="121" t="str">
        <f>IFERROR(INDEX(레시피북!$C$2:$J$611,MATCH($D13,레시피북!$C$2:$C$611,0),8),"")</f>
        <v xml:space="preserve">1판에 64조각 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1746</v>
      </c>
      <c r="E14" s="115">
        <v>35</v>
      </c>
      <c r="F14" s="116"/>
      <c r="G14" s="106" t="str">
        <f>IFERROR(INDEX(레시피북!$C$2:$H$618,MATCH($D14,레시피북!$C$2:$C$618,0),6),"")</f>
        <v>고사리(중국산)85.6%, 당근, 마늘, 대파, 대두유, 국간장, 소금, 참기름, 참깨</v>
      </c>
      <c r="H14" s="94" t="str">
        <f>IFERROR(INDEX(레시피북!$D$2:$J$611,MATCH($D14,레시피북!$C$2:$C$611,0),6),"")</f>
        <v>.5.21.</v>
      </c>
      <c r="I14" s="102" t="s">
        <v>2295</v>
      </c>
      <c r="J14" s="95"/>
      <c r="K14" s="94"/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945</v>
      </c>
      <c r="E15" s="115">
        <v>35</v>
      </c>
      <c r="F15" s="115"/>
      <c r="G15" s="106" t="str">
        <f>IFERROR(INDEX(레시피북!$C$2:$H$618,MATCH($D15,레시피북!$C$2:$C$618,0),6),"")</f>
        <v>배추(국내산)70&amp;, 무(국내산)10%, 마늘, 생강, 양파, 설탕, 정제수, 소금</v>
      </c>
      <c r="H15" s="94">
        <f>IFERROR(INDEX(레시피북!$D$2:$J$611,MATCH($D15,레시피북!$C$2:$C$611,0),6),"")</f>
        <v>0</v>
      </c>
      <c r="I15" s="102" t="s">
        <v>2295</v>
      </c>
      <c r="J15" s="95"/>
      <c r="K15" s="94"/>
      <c r="L15" s="121" t="str">
        <f>IFERROR(INDEX(레시피북!$C$2:$J$611,MATCH($D15,레시피북!$C$2:$C$611,0),8),"")</f>
        <v>백김치(정우식품)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1476</v>
      </c>
      <c r="E16" s="115"/>
      <c r="F16" s="115">
        <v>1</v>
      </c>
      <c r="G16" s="106" t="str">
        <f>IFERROR(INDEX(레시피북!$C$2:$H$618,MATCH($D16,레시피북!$C$2:$C$618,0),6),"")</f>
        <v>삼치(국산)94%, 대두유, 소금, 데리야끼소스</v>
      </c>
      <c r="H16" s="94" t="str">
        <f>IFERROR(INDEX(레시피북!$D$2:$J$611,MATCH($D16,레시피북!$C$2:$C$611,0),6),"")</f>
        <v>.5.6.</v>
      </c>
      <c r="I16" s="102" t="s">
        <v>2295</v>
      </c>
      <c r="J16" s="95"/>
      <c r="K16" s="94"/>
      <c r="L16" s="156">
        <f>IFERROR(INDEX(레시피북!$C$2:$J$611,MATCH($D16,레시피북!$C$2:$C$611,0),8),"")</f>
        <v>0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2294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2294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2294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2294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2294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2294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6381-07ED-4A06-9BB3-42D49EDC60D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2300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2247</v>
      </c>
      <c r="E3" s="215">
        <v>140</v>
      </c>
      <c r="F3" s="215"/>
      <c r="G3" s="216" t="str">
        <f>IFERROR(INDEX(레시피북!$C$2:$H$618,MATCH($D3,레시피북!$C$2:$C$618,0),6),"")</f>
        <v>쌀(국산)95%, 정제수</v>
      </c>
      <c r="H3" s="217">
        <f>IFERROR(INDEX(레시피북!$D$2:$J$611,MATCH($D3,레시피북!$C$2:$C$611,0),6),"")</f>
        <v>0</v>
      </c>
      <c r="I3" s="218" t="s">
        <v>2298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952</v>
      </c>
      <c r="E4" s="115">
        <v>150</v>
      </c>
      <c r="F4" s="116"/>
      <c r="G4" s="106" t="str">
        <f>IFERROR(INDEX(레시피북!$C$2:$H$618,MATCH($D4,레시피북!$C$2:$C$618,0),6),"")</f>
        <v>얼갈이(국산) 23%, 된장(콩:원료수입산), 파, 마늘, 양파, 정제수, 멸치육수농축액, 국간장, 소금,</v>
      </c>
      <c r="H4" s="94" t="str">
        <f>IFERROR(INDEX(레시피북!$D$2:$J$611,MATCH($D4,레시피북!$C$2:$C$611,0),6),"")</f>
        <v>.5.</v>
      </c>
      <c r="I4" s="102" t="s">
        <v>2298</v>
      </c>
      <c r="J4" s="95"/>
      <c r="K4" s="94"/>
      <c r="L4" s="121" t="str">
        <f>IFERROR(INDEX(레시피북!$C$2:$J$611,MATCH($D4,레시피북!$C$2:$C$611,0),8),"")</f>
        <v>30g / 35g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1433</v>
      </c>
      <c r="E5" s="115">
        <v>60</v>
      </c>
      <c r="F5" s="116"/>
      <c r="G5" s="106" t="str">
        <f>IFERROR(INDEX(레시피북!$C$2:$H$618,MATCH($D5,레시피북!$C$2:$C$618,0),6),"")</f>
        <v>소고기(호주산)70%, 우엉(국산)5%, 정제수, 맛술, 통후추, 월계수잎, 간장, 설탕, 물엿, 참기름, 참깨</v>
      </c>
      <c r="H5" s="94" t="str">
        <f>IFERROR(INDEX(레시피북!$D$2:$J$611,MATCH($D5,레시피북!$C$2:$C$611,0),6),"")</f>
        <v>.5.10.21.</v>
      </c>
      <c r="I5" s="102" t="s">
        <v>2298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704</v>
      </c>
      <c r="E6" s="115"/>
      <c r="F6" s="116">
        <v>2</v>
      </c>
      <c r="G6" s="106" t="str">
        <f>IFERROR(INDEX(레시피북!$C$2:$H$618,MATCH($D6,레시피북!$C$2:$C$618,0),6),"")</f>
        <v>타코야끼[밀가루(밀)13.6%, 양배추9.98%, 문어8.31%, 대두유(대두)7%, 계란6.68%, 정제소금, 생강]중국산</v>
      </c>
      <c r="H6" s="94" t="str">
        <f>IFERROR(INDEX(레시피북!$D$2:$J$611,MATCH($D6,레시피북!$C$2:$C$611,0),6),"")</f>
        <v>.1.5.6.</v>
      </c>
      <c r="I6" s="102" t="s">
        <v>2298</v>
      </c>
      <c r="J6" s="95"/>
      <c r="K6" s="94"/>
      <c r="L6" s="121" t="str">
        <f>IFERROR(INDEX(레시피북!$C$2:$J$611,MATCH($D6,레시피북!$C$2:$C$611,0),8),"")</f>
        <v>타코야끼(세미원)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1935</v>
      </c>
      <c r="E7" s="115">
        <v>30</v>
      </c>
      <c r="F7" s="116"/>
      <c r="G7" s="106" t="str">
        <f>IFERROR(INDEX(레시피북!$C$2:$H$618,MATCH($D7,레시피북!$C$2:$C$618,0),6),"")</f>
        <v>콩나물(원료수입산)80%, 크래미[명태연육80.26%(미국산), 난백액(국내산), 게엑기스1.36%(국내산)]10%, 당근, 부추, 적채, 마늘, 허니머스터드, 식초, 설탕, 참기름, 참깨</v>
      </c>
      <c r="H7" s="94" t="str">
        <f>IFERROR(INDEX(레시피북!$D$2:$J$611,MATCH($D7,레시피북!$C$2:$C$611,0),6),"")</f>
        <v>.1.2.5.6.8.12.21.</v>
      </c>
      <c r="I7" s="102" t="s">
        <v>2298</v>
      </c>
      <c r="J7" s="95"/>
      <c r="K7" s="94"/>
      <c r="L7" s="121" t="str">
        <f>IFERROR(INDEX(레시피북!$C$2:$J$611,MATCH($D7,레시피북!$C$2:$C$611,0),8),"")</f>
        <v>크라비아(사조대림)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2298</v>
      </c>
      <c r="J8" s="95"/>
      <c r="K8" s="94"/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2304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2247</v>
      </c>
      <c r="E10" s="215">
        <v>150</v>
      </c>
      <c r="F10" s="215"/>
      <c r="G10" s="216" t="str">
        <f>IFERROR(INDEX(레시피북!$C$2:$H$618,MATCH($D10,레시피북!$C$2:$C$618,0),6),"")</f>
        <v>쌀(국산)95%, 정제수</v>
      </c>
      <c r="H10" s="217">
        <f>IFERROR(INDEX(레시피북!$D$2:$J$611,MATCH($D10,레시피북!$C$2:$C$611,0),6),"")</f>
        <v>0</v>
      </c>
      <c r="I10" s="218" t="s">
        <v>2299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952</v>
      </c>
      <c r="E11" s="115">
        <v>160</v>
      </c>
      <c r="F11" s="116"/>
      <c r="G11" s="106" t="str">
        <f>IFERROR(INDEX(레시피북!$C$2:$H$618,MATCH($D11,레시피북!$C$2:$C$618,0),6),"")</f>
        <v>얼갈이(국산) 23%, 된장(콩:원료수입산), 파, 마늘, 양파, 정제수, 멸치육수농축액, 국간장, 소금,</v>
      </c>
      <c r="H11" s="94" t="str">
        <f>IFERROR(INDEX(레시피북!$D$2:$J$611,MATCH($D11,레시피북!$C$2:$C$611,0),6),"")</f>
        <v>.5.</v>
      </c>
      <c r="I11" s="102" t="s">
        <v>2299</v>
      </c>
      <c r="J11" s="95"/>
      <c r="K11" s="94"/>
      <c r="L11" s="121" t="str">
        <f>IFERROR(INDEX(레시피북!$C$2:$J$611,MATCH($D11,레시피북!$C$2:$C$611,0),8),"")</f>
        <v>30g / 35g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1433</v>
      </c>
      <c r="E12" s="115">
        <v>80</v>
      </c>
      <c r="F12" s="116"/>
      <c r="G12" s="106" t="str">
        <f>IFERROR(INDEX(레시피북!$C$2:$H$618,MATCH($D12,레시피북!$C$2:$C$618,0),6),"")</f>
        <v>소고기(호주산)70%, 우엉(국산)5%, 정제수, 맛술, 통후추, 월계수잎, 간장, 설탕, 물엿, 참기름, 참깨</v>
      </c>
      <c r="H12" s="94" t="str">
        <f>IFERROR(INDEX(레시피북!$D$2:$J$611,MATCH($D12,레시피북!$C$2:$C$611,0),6),"")</f>
        <v>.5.10.21.</v>
      </c>
      <c r="I12" s="102" t="s">
        <v>2299</v>
      </c>
      <c r="J12" s="95"/>
      <c r="K12" s="94"/>
      <c r="L12" s="121">
        <f>IFERROR(INDEX(레시피북!$C$2:$J$611,MATCH($D12,레시피북!$C$2:$C$611,0),8),"")</f>
        <v>0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704</v>
      </c>
      <c r="E13" s="115"/>
      <c r="F13" s="116">
        <v>3</v>
      </c>
      <c r="G13" s="106" t="str">
        <f>IFERROR(INDEX(레시피북!$C$2:$H$618,MATCH($D13,레시피북!$C$2:$C$618,0),6),"")</f>
        <v>타코야끼[밀가루(밀)13.6%, 양배추9.98%, 문어8.31%, 대두유(대두)7%, 계란6.68%, 정제소금, 생강]중국산</v>
      </c>
      <c r="H13" s="94" t="str">
        <f>IFERROR(INDEX(레시피북!$D$2:$J$611,MATCH($D13,레시피북!$C$2:$C$611,0),6),"")</f>
        <v>.1.5.6.</v>
      </c>
      <c r="I13" s="102" t="s">
        <v>2299</v>
      </c>
      <c r="J13" s="95"/>
      <c r="K13" s="94"/>
      <c r="L13" s="121" t="str">
        <f>IFERROR(INDEX(레시피북!$C$2:$J$611,MATCH($D13,레시피북!$C$2:$C$611,0),8),"")</f>
        <v>타코야끼(세미원)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282" t="s">
        <v>554</v>
      </c>
      <c r="E14" s="283">
        <v>40</v>
      </c>
      <c r="F14" s="284"/>
      <c r="G14" s="285" t="str">
        <f>IFERROR(INDEX(레시피북!$C$2:$H$618,MATCH($D14,레시피북!$C$2:$C$618,0),6),"")</f>
        <v>콩나물(원료수입산)92%, 당근, 마늘, 대파, 고추가루, 참치액, 소금, 참기름, 참깨</v>
      </c>
      <c r="H14" s="286" t="str">
        <f>IFERROR(INDEX(레시피북!$D$2:$J$611,MATCH($D14,레시피북!$C$2:$C$611,0),6),"")</f>
        <v>.5.21.</v>
      </c>
      <c r="I14" s="102" t="s">
        <v>2299</v>
      </c>
      <c r="J14" s="95"/>
      <c r="K14" s="94"/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2299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2299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2298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2298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2298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2298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2298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2298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30A0B-23EB-48B1-BE3C-CE6EB15AD336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2303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1144</v>
      </c>
      <c r="E3" s="215"/>
      <c r="F3" s="215"/>
      <c r="G3" s="216" t="str">
        <f>IFERROR(INDEX(레시피북!$C$2:$H$618,MATCH($D3,레시피북!$C$2:$C$618,0),6),"")</f>
        <v>쌀(국산)90%, 찰보리(국산.친환경)5%, 정제수</v>
      </c>
      <c r="H3" s="217">
        <f>IFERROR(INDEX(레시피북!$D$2:$J$611,MATCH($D3,레시피북!$C$2:$C$611,0),6),"")</f>
        <v>0</v>
      </c>
      <c r="I3" s="218" t="s">
        <v>2301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2305</v>
      </c>
      <c r="E4" s="115"/>
      <c r="F4" s="116"/>
      <c r="G4" s="106" t="str">
        <f>IFERROR(INDEX(레시피북!$C$2:$H$618,MATCH($D4,레시피북!$C$2:$C$618,0),6),"")</f>
        <v>불린미역(미역:국산)18.3%, 소고기(호주산)5%, 마늘, 정제수, 밥새우, 멸치육수농축액, 소금, 국간장</v>
      </c>
      <c r="H4" s="94" t="str">
        <f>IFERROR(INDEX(레시피북!$D$2:$J$611,MATCH($D4,레시피북!$C$2:$C$611,0),6),"")</f>
        <v>.5.9.16.</v>
      </c>
      <c r="I4" s="102" t="s">
        <v>2301</v>
      </c>
      <c r="J4" s="95"/>
      <c r="K4" s="94"/>
      <c r="L4" s="121" t="str">
        <f>IFERROR(INDEX(레시피북!$C$2:$J$611,MATCH($D4,레시피북!$C$2:$C$611,0),8),"")</f>
        <v>40g / 50g 멸치육수농축액(면사랑)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2081</v>
      </c>
      <c r="E5" s="115"/>
      <c r="F5" s="116"/>
      <c r="G5" s="106" t="str">
        <f>IFERROR(INDEX(레시피북!$C$2:$H$618,MATCH($D5,레시피북!$C$2:$C$618,0),6),"")</f>
        <v>순살치킨[닭고기(닭다리살:브라질산)64.76%,밀가루(밀:호주산,미국산),옥수수전분(옥수수:외국산), 대두유]85%,양념소스[사양벌꿀(국산)2%, 케찹, 물엿, 참기름]15%</v>
      </c>
      <c r="H5" s="94" t="str">
        <f>IFERROR(INDEX(레시피북!$D$2:$J$611,MATCH($D5,레시피북!$C$2:$C$611,0),6),"")</f>
        <v>.1.2.5.6.12.15.16.21.</v>
      </c>
      <c r="I5" s="102" t="s">
        <v>2301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1794</v>
      </c>
      <c r="E6" s="115"/>
      <c r="F6" s="116"/>
      <c r="G6" s="106" t="str">
        <f>IFERROR(INDEX(레시피북!$C$2:$H$618,MATCH($D6,레시피북!$C$2:$C$618,0),6),"")</f>
        <v>뇨끼(이탈리아산)75%, 베이컨(돼지고기:수입산)3%, 크림소스, 우유, 후추, 소금, 파슬리가루</v>
      </c>
      <c r="H6" s="94" t="str">
        <f>IFERROR(INDEX(레시피북!$D$2:$J$611,MATCH($D6,레시피북!$C$2:$C$611,0),6),"")</f>
        <v>.1.2.5.6.10.15.16.</v>
      </c>
      <c r="I6" s="102" t="s">
        <v>2301</v>
      </c>
      <c r="J6" s="95"/>
      <c r="K6" s="94"/>
      <c r="L6" s="121">
        <f>IFERROR(INDEX(레시피북!$C$2:$J$611,MATCH($D6,레시피북!$C$2:$C$611,0),8),"")</f>
        <v>0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566</v>
      </c>
      <c r="E7" s="115"/>
      <c r="F7" s="116"/>
      <c r="G7" s="106" t="str">
        <f>IFERROR(INDEX(레시피북!$C$2:$H$618,MATCH($D7,레시피북!$C$2:$C$618,0),6),"")</f>
        <v>모둠과일[사과(국산), 방울토마토(국산), 파인애플(청크/필리핀산), 오이, 당근]80%, 건포도, 마요네즈, 설탕, 소금</v>
      </c>
      <c r="H7" s="94" t="str">
        <f>IFERROR(INDEX(레시피북!$D$2:$J$611,MATCH($D7,레시피북!$C$2:$C$611,0),6),"")</f>
        <v>.1.12.19.</v>
      </c>
      <c r="I7" s="102" t="s">
        <v>2301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518</v>
      </c>
      <c r="E8" s="115"/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2301</v>
      </c>
      <c r="J8" s="95"/>
      <c r="K8" s="94"/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2306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1144</v>
      </c>
      <c r="E10" s="215"/>
      <c r="F10" s="215"/>
      <c r="G10" s="216" t="str">
        <f>IFERROR(INDEX(레시피북!$C$2:$H$618,MATCH($D10,레시피북!$C$2:$C$618,0),6),"")</f>
        <v>쌀(국산)90%, 찰보리(국산.친환경)5%, 정제수</v>
      </c>
      <c r="H10" s="217">
        <f>IFERROR(INDEX(레시피북!$D$2:$J$611,MATCH($D10,레시피북!$C$2:$C$611,0),6),"")</f>
        <v>0</v>
      </c>
      <c r="I10" s="218" t="s">
        <v>2302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2305</v>
      </c>
      <c r="E11" s="115"/>
      <c r="F11" s="116"/>
      <c r="G11" s="106" t="str">
        <f>IFERROR(INDEX(레시피북!$C$2:$H$618,MATCH($D11,레시피북!$C$2:$C$618,0),6),"")</f>
        <v>불린미역(미역:국산)18.3%, 소고기(호주산)5%, 마늘, 정제수, 밥새우, 멸치육수농축액, 소금, 국간장</v>
      </c>
      <c r="H11" s="94" t="str">
        <f>IFERROR(INDEX(레시피북!$D$2:$J$611,MATCH($D11,레시피북!$C$2:$C$611,0),6),"")</f>
        <v>.5.9.16.</v>
      </c>
      <c r="I11" s="102" t="s">
        <v>2302</v>
      </c>
      <c r="J11" s="95"/>
      <c r="K11" s="94"/>
      <c r="L11" s="121" t="str">
        <f>IFERROR(INDEX(레시피북!$C$2:$J$611,MATCH($D11,레시피북!$C$2:$C$611,0),8),"")</f>
        <v>40g / 50g 멸치육수농축액(면사랑)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2081</v>
      </c>
      <c r="E12" s="115"/>
      <c r="F12" s="116"/>
      <c r="G12" s="106" t="str">
        <f>IFERROR(INDEX(레시피북!$C$2:$H$618,MATCH($D12,레시피북!$C$2:$C$618,0),6),"")</f>
        <v>순살치킨[닭고기(닭다리살:브라질산)64.76%,밀가루(밀:호주산,미국산),옥수수전분(옥수수:외국산), 대두유]85%,양념소스[사양벌꿀(국산)2%, 케찹, 물엿, 참기름]15%</v>
      </c>
      <c r="H12" s="94" t="str">
        <f>IFERROR(INDEX(레시피북!$D$2:$J$611,MATCH($D12,레시피북!$C$2:$C$611,0),6),"")</f>
        <v>.1.2.5.6.12.15.16.21.</v>
      </c>
      <c r="I12" s="102" t="s">
        <v>2302</v>
      </c>
      <c r="J12" s="95"/>
      <c r="K12" s="94"/>
      <c r="L12" s="121">
        <f>IFERROR(INDEX(레시피북!$C$2:$J$611,MATCH($D12,레시피북!$C$2:$C$611,0),8),"")</f>
        <v>0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1794</v>
      </c>
      <c r="E13" s="115"/>
      <c r="F13" s="116"/>
      <c r="G13" s="106" t="str">
        <f>IFERROR(INDEX(레시피북!$C$2:$H$618,MATCH($D13,레시피북!$C$2:$C$618,0),6),"")</f>
        <v>뇨끼(이탈리아산)75%, 베이컨(돼지고기:수입산)3%, 크림소스, 우유, 후추, 소금, 파슬리가루</v>
      </c>
      <c r="H13" s="94" t="str">
        <f>IFERROR(INDEX(레시피북!$D$2:$J$611,MATCH($D13,레시피북!$C$2:$C$611,0),6),"")</f>
        <v>.1.2.5.6.10.15.16.</v>
      </c>
      <c r="I13" s="102" t="s">
        <v>2302</v>
      </c>
      <c r="J13" s="95"/>
      <c r="K13" s="94"/>
      <c r="L13" s="121">
        <f>IFERROR(INDEX(레시피북!$C$2:$J$611,MATCH($D13,레시피북!$C$2:$C$611,0),8),"")</f>
        <v>0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566</v>
      </c>
      <c r="E14" s="115"/>
      <c r="F14" s="116"/>
      <c r="G14" s="106" t="str">
        <f>IFERROR(INDEX(레시피북!$C$2:$H$618,MATCH($D14,레시피북!$C$2:$C$618,0),6),"")</f>
        <v>모둠과일[사과(국산), 방울토마토(국산), 파인애플(청크/필리핀산), 오이, 당근]80%, 건포도, 마요네즈, 설탕, 소금</v>
      </c>
      <c r="H14" s="94" t="str">
        <f>IFERROR(INDEX(레시피북!$D$2:$J$611,MATCH($D14,레시피북!$C$2:$C$611,0),6),"")</f>
        <v>.1.12.19.</v>
      </c>
      <c r="I14" s="102" t="s">
        <v>2302</v>
      </c>
      <c r="J14" s="95"/>
      <c r="K14" s="94"/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518</v>
      </c>
      <c r="E15" s="115"/>
      <c r="F15" s="115"/>
      <c r="G15" s="106" t="str">
        <f>IFERROR(INDEX(레시피북!$C$2:$H$618,MATCH($D15,레시피북!$C$2:$C$618,0),6),"")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IFERROR(INDEX(레시피북!$D$2:$J$611,MATCH($D15,레시피북!$C$2:$C$611,0),6),"")</f>
        <v>.9.12.</v>
      </c>
      <c r="I15" s="102" t="s">
        <v>2302</v>
      </c>
      <c r="J15" s="95"/>
      <c r="K15" s="94"/>
      <c r="L15" s="121" t="str">
        <f>IFERROR(INDEX(레시피북!$C$2:$J$611,MATCH($D15,레시피북!$C$2:$C$611,0),8),"")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1468</v>
      </c>
      <c r="E16" s="115"/>
      <c r="F16" s="115"/>
      <c r="G16" s="106" t="str">
        <f>IFERROR(INDEX(레시피북!$C$2:$H$618,MATCH($D16,레시피북!$C$2:$C$618,0),6),"")</f>
        <v>족발[돼지고기(뒷다리:국산)97.6%, 양파(국산), 마늘(국산), 참당귀, 생강, 감초, 설탕, 대파, 정제소금, 계피, 치자]70%, 곤약분모자(곤약분말:외국산)양배추, 적채, 당근, 부추, 마늘, 허니머스터드, 식초 설탕, 참기름, 참깨</v>
      </c>
      <c r="H16" s="94" t="str">
        <f>IFERROR(INDEX(레시피북!$D$2:$J$611,MATCH($D16,레시피북!$C$2:$C$611,0),6),"")</f>
        <v>.1.2.5.6.10.21.</v>
      </c>
      <c r="I16" s="102" t="s">
        <v>2302</v>
      </c>
      <c r="J16" s="95"/>
      <c r="K16" s="94"/>
      <c r="L16" s="156" t="str">
        <f>IFERROR(INDEX(레시피북!$C$2:$J$611,MATCH($D16,레시피북!$C$2:$C$611,0),8),"")</f>
        <v>족발(미쓰족발&amp;이츠웰), 발효곤약분모자(마틴조)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2301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2301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2301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2301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2301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2301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8CDD-7D19-492A-8C18-627CF3B66F7E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2307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2232</v>
      </c>
      <c r="E3" s="215">
        <v>140</v>
      </c>
      <c r="F3" s="215"/>
      <c r="G3" s="216" t="str">
        <f>IFERROR(INDEX(레시피북!$C$2:$H$618,MATCH($D3,레시피북!$C$2:$C$618,0),6),"")</f>
        <v>쌀(국산)90%, 현미(국산.친환경)5%, 정제수</v>
      </c>
      <c r="H3" s="217">
        <f>IFERROR(INDEX(레시피북!$D$2:$J$611,MATCH($D3,레시피북!$C$2:$C$611,0),6),"")</f>
        <v>0</v>
      </c>
      <c r="I3" s="218" t="s">
        <v>2308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1571</v>
      </c>
      <c r="E4" s="115">
        <v>150</v>
      </c>
      <c r="F4" s="116"/>
      <c r="G4" s="106" t="str">
        <f>IFERROR(INDEX(레시피북!$C$2:$H$618,MATCH($D4,레시피북!$C$2:$C$618,0),6),"")</f>
        <v>어묵[태국산(동방실꼬리돔(47.3%), 밀전분, 정제소금,계란]12.6%, 무(국산)7%, 대파, 마늘, 정제수, 국간장, 소금</v>
      </c>
      <c r="H4" s="94" t="str">
        <f>IFERROR(INDEX(레시피북!$D$2:$J$611,MATCH($D4,레시피북!$C$2:$C$611,0),6),"")</f>
        <v>.1.5.6.</v>
      </c>
      <c r="I4" s="102" t="s">
        <v>2308</v>
      </c>
      <c r="J4" s="95"/>
      <c r="K4" s="94"/>
      <c r="L4" s="121" t="str">
        <f>IFERROR(INDEX(레시피북!$C$2:$J$611,MATCH($D4,레시피북!$C$2:$C$611,0),8),"")</f>
        <v>피쉬볼(랜쉬푸드)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341" t="s">
        <v>509</v>
      </c>
      <c r="D5" s="96" t="s">
        <v>1335</v>
      </c>
      <c r="E5" s="115">
        <v>40</v>
      </c>
      <c r="F5" s="116"/>
      <c r="G5" s="106" t="str">
        <f>IFERROR(INDEX(레시피북!$C$2:$H$618,MATCH($D5,레시피북!$C$2:$C$618,0),6),"")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5" s="94" t="str">
        <f>IFERROR(INDEX(레시피북!$D$2:$J$611,MATCH($D5,레시피북!$C$2:$C$611,0),6),"")</f>
        <v>.1.5.6.10.</v>
      </c>
      <c r="I5" s="102" t="s">
        <v>2308</v>
      </c>
      <c r="J5" s="95"/>
      <c r="K5" s="94"/>
      <c r="L5" s="121" t="str">
        <f>IFERROR(INDEX(레시피북!$C$2:$J$611,MATCH($D5,레시피북!$C$2:$C$611,0),8),"")</f>
        <v>450g/900g/목화솜 등심탕수육(이츠웰.하늘푸드)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342"/>
      <c r="D6" s="96" t="s">
        <v>1053</v>
      </c>
      <c r="E6" s="115">
        <v>20</v>
      </c>
      <c r="F6" s="116"/>
      <c r="G6" s="106" t="str">
        <f>IFERROR(INDEX(레시피북!$C$2:$H$618,MATCH($D6,레시피북!$C$2:$C$618,0),6),"")</f>
        <v>후르츠칵테일(과채가공품:필리핀산)11%, 식초, 간장, 설탕, 전분, 정제수</v>
      </c>
      <c r="H6" s="94" t="str">
        <f>IFERROR(INDEX(레시피북!$D$2:$J$611,MATCH($D6,레시피북!$C$2:$C$611,0),6),"")</f>
        <v>.5.</v>
      </c>
      <c r="I6" s="102" t="s">
        <v>2308</v>
      </c>
      <c r="J6" s="95"/>
      <c r="K6" s="94"/>
      <c r="L6" s="121" t="str">
        <f>IFERROR(INDEX(레시피북!$C$2:$J$611,MATCH($D6,레시피북!$C$2:$C$611,0),8),"")</f>
        <v>후르츠칵테일(리치스)</v>
      </c>
      <c r="M6" s="113"/>
      <c r="N6" s="113"/>
      <c r="R6" s="113"/>
      <c r="S6" s="288"/>
      <c r="T6" s="288"/>
      <c r="U6" s="288"/>
      <c r="V6" s="288"/>
      <c r="W6" s="288"/>
    </row>
    <row r="7" spans="2:23" ht="39.950000000000003" customHeight="1">
      <c r="B7" s="336"/>
      <c r="C7" s="235" t="s">
        <v>510</v>
      </c>
      <c r="D7" s="96" t="s">
        <v>1782</v>
      </c>
      <c r="E7" s="115">
        <v>40</v>
      </c>
      <c r="F7" s="116"/>
      <c r="G7" s="106" t="str">
        <f>IFERROR(INDEX(레시피북!$C$2:$H$618,MATCH($D7,레시피북!$C$2:$C$618,0),6),"")</f>
        <v>메추리알(국산)65%, 어묵(연육:베트남산.중국산)15%, 짜장분말, 춘장, 대두유, 설탕, 정제수, 물엿</v>
      </c>
      <c r="H7" s="94" t="str">
        <f>IFERROR(INDEX(레시피북!$D$2:$J$611,MATCH($D7,레시피북!$C$2:$C$611,0),6),"")</f>
        <v>.1.5.6.10.15.16.</v>
      </c>
      <c r="I7" s="102" t="s">
        <v>2308</v>
      </c>
      <c r="J7" s="95"/>
      <c r="K7" s="94"/>
      <c r="L7" s="121">
        <f>IFERROR(INDEX(레시피북!$C$2:$J$611,MATCH($D7,레시피북!$C$2:$C$611,0),8),"")</f>
        <v>0</v>
      </c>
      <c r="M7" s="113" t="s">
        <v>682</v>
      </c>
      <c r="N7" s="113"/>
      <c r="P7" s="113" t="s">
        <v>1062</v>
      </c>
      <c r="R7" s="113"/>
      <c r="S7" s="113" t="s">
        <v>769</v>
      </c>
    </row>
    <row r="8" spans="2:23" ht="39.950000000000003" customHeight="1">
      <c r="B8" s="336"/>
      <c r="C8" s="151" t="s">
        <v>232</v>
      </c>
      <c r="D8" s="96" t="s">
        <v>2087</v>
      </c>
      <c r="E8" s="115">
        <v>25</v>
      </c>
      <c r="F8" s="116"/>
      <c r="G8" s="106" t="str">
        <f>IFERROR(INDEX(레시피북!$C$2:$H$618,MATCH($D8,레시피북!$C$2:$C$618,0),6),"")</f>
        <v xml:space="preserve">오이(국산)87%, 부추(국산)3%, 파, 마늘, 고추가루, 소금, 설탕, 식초, 참깨 </v>
      </c>
      <c r="H8" s="94" t="str">
        <f>IFERROR(INDEX(레시피북!$D$2:$J$611,MATCH($D8,레시피북!$C$2:$C$611,0),6),"")</f>
        <v>.5.21.</v>
      </c>
      <c r="I8" s="102" t="s">
        <v>2308</v>
      </c>
      <c r="J8" s="95"/>
      <c r="K8" s="94"/>
      <c r="L8" s="121">
        <f>IFERROR(INDEX(레시피북!$C$2:$J$611,MATCH($D8,레시피북!$C$2:$C$611,0),8),"")</f>
        <v>0</v>
      </c>
      <c r="M8" s="113" t="s">
        <v>573</v>
      </c>
      <c r="N8" s="113"/>
      <c r="P8" s="113" t="s">
        <v>1077</v>
      </c>
      <c r="R8" s="113"/>
      <c r="S8" s="113" t="s">
        <v>701</v>
      </c>
    </row>
    <row r="9" spans="2:23" ht="39.950000000000003" customHeight="1">
      <c r="B9" s="336"/>
      <c r="C9" s="236" t="s">
        <v>690</v>
      </c>
      <c r="D9" s="96" t="s">
        <v>518</v>
      </c>
      <c r="E9" s="115">
        <v>25</v>
      </c>
      <c r="F9" s="115"/>
      <c r="G9" s="106" t="str">
        <f>IFERROR(INDEX(레시피북!$C$2:$H$618,MATCH($D9,레시피북!$C$2:$C$618,0),6),"")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IFERROR(INDEX(레시피북!$D$2:$J$611,MATCH($D9,레시피북!$C$2:$C$611,0),6),"")</f>
        <v>.9.12.</v>
      </c>
      <c r="I9" s="102" t="s">
        <v>2308</v>
      </c>
      <c r="J9" s="95"/>
      <c r="K9" s="94"/>
      <c r="L9" s="121" t="str">
        <f>IFERROR(INDEX(레시피북!$C$2:$J$611,MATCH($D9,레시피북!$C$2:$C$611,0),8),"")</f>
        <v>토마토김치(종가집)</v>
      </c>
      <c r="M9" s="113" t="s">
        <v>1187</v>
      </c>
      <c r="N9" s="113"/>
      <c r="P9" s="113" t="s">
        <v>1197</v>
      </c>
      <c r="R9" s="113"/>
      <c r="S9" s="113" t="s">
        <v>1400</v>
      </c>
    </row>
    <row r="10" spans="2:23" ht="39.950000000000003" customHeight="1" thickBot="1">
      <c r="B10" s="337"/>
      <c r="C10" s="152" t="s">
        <v>72</v>
      </c>
      <c r="D10" s="201"/>
      <c r="E10" s="123"/>
      <c r="F10" s="124"/>
      <c r="G10" s="251" t="s">
        <v>2319</v>
      </c>
      <c r="H10" s="157"/>
      <c r="I10" s="128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36" t="s">
        <v>1813</v>
      </c>
      <c r="C11" s="241" t="s">
        <v>508</v>
      </c>
      <c r="D11" s="269" t="s">
        <v>2232</v>
      </c>
      <c r="E11" s="215">
        <v>150</v>
      </c>
      <c r="F11" s="215"/>
      <c r="G11" s="216" t="str">
        <f>IFERROR(INDEX(레시피북!$C$2:$H$618,MATCH($D11,레시피북!$C$2:$C$618,0),6),"")</f>
        <v>쌀(국산)90%, 현미(국산.친환경)5%, 정제수</v>
      </c>
      <c r="H11" s="217">
        <f>IFERROR(INDEX(레시피북!$D$2:$J$611,MATCH($D11,레시피북!$C$2:$C$611,0),6),"")</f>
        <v>0</v>
      </c>
      <c r="I11" s="218" t="s">
        <v>2309</v>
      </c>
      <c r="J11" s="244"/>
      <c r="K11" s="243"/>
      <c r="L11" s="219">
        <f>IFERROR(INDEX(레시피북!$C$2:$J$611,MATCH($D11,레시피북!$C$2:$C$611,0),8),"")</f>
        <v>0</v>
      </c>
      <c r="M11" s="113" t="s">
        <v>1189</v>
      </c>
      <c r="N11" s="113"/>
      <c r="O11" s="113"/>
      <c r="P11" s="113" t="s">
        <v>1240</v>
      </c>
      <c r="S11" s="113" t="s">
        <v>1401</v>
      </c>
    </row>
    <row r="12" spans="2:23" ht="39.950000000000003" customHeight="1">
      <c r="B12" s="336"/>
      <c r="C12" s="235" t="s">
        <v>512</v>
      </c>
      <c r="D12" s="282" t="s">
        <v>1946</v>
      </c>
      <c r="E12" s="283">
        <v>160</v>
      </c>
      <c r="F12" s="284"/>
      <c r="G12" s="285" t="str">
        <f>IFERROR(INDEX(레시피북!$C$2:$H$618,MATCH($D12,레시피북!$C$2:$C$618,0),6),"")</f>
        <v>모둠햄{켄터키후랑크[닭고기(국산)20%,돼지고기(국산)],스모크햄[돼지고기(국산),닭고기(국산)]}18%, 카보트후랑크소세지(미국산)7%, 베이키드빈스[강낭콩(중국산),토마토페이스트(중국산)]2%, 배추김치[배추(국내산),고춧가루(국내산)]5%, 사골액기스,양파, 파, 마늘, 정제수, 고춧가루(국내산), 국간장, 소금, 후추</v>
      </c>
      <c r="H12" s="286" t="str">
        <f>IFERROR(INDEX(레시피북!$D$2:$J$611,MATCH($D12,레시피북!$C$2:$C$611,0),6),"")</f>
        <v>.2.5.6.10.15.16.</v>
      </c>
      <c r="I12" s="102" t="s">
        <v>2309</v>
      </c>
      <c r="J12" s="95"/>
      <c r="K12" s="94"/>
      <c r="L12" s="121" t="str">
        <f>IFERROR(INDEX(레시피북!$C$2:$J$611,MATCH($D12,레시피북!$C$2:$C$611,0),8),"")</f>
        <v>사골엑기스(이츠웰), 모둠햄(대림선)</v>
      </c>
      <c r="M12" s="113" t="s">
        <v>1566</v>
      </c>
      <c r="N12" s="113"/>
      <c r="O12" s="113"/>
      <c r="P12" s="113" t="s">
        <v>1608</v>
      </c>
      <c r="S12" s="113" t="s">
        <v>1609</v>
      </c>
    </row>
    <row r="13" spans="2:23" ht="39.950000000000003" customHeight="1">
      <c r="B13" s="336"/>
      <c r="C13" s="341" t="s">
        <v>509</v>
      </c>
      <c r="D13" s="96" t="s">
        <v>1335</v>
      </c>
      <c r="E13" s="115">
        <v>55</v>
      </c>
      <c r="F13" s="116"/>
      <c r="G13" s="106" t="str">
        <f>IFERROR(INDEX(레시피북!$C$2:$H$618,MATCH($D13,레시피북!$C$2:$C$618,0),6),"")</f>
        <v>{돼지고기(국산/등심), 전분가공품[소맥전분(밀:호주,프랑스,리투아니아 등), 탕수베이스(찰옥수수:미국산),찰옥수수전분,밀가루,난맥분],대두유[대두:아르헨티나,미국,브라질 등)], 정제수, 아쿠아민에프(영국산/해조100%)0.31%}</v>
      </c>
      <c r="H13" s="94" t="str">
        <f>IFERROR(INDEX(레시피북!$D$2:$J$611,MATCH($D13,레시피북!$C$2:$C$611,0),6),"")</f>
        <v>.1.5.6.10.</v>
      </c>
      <c r="I13" s="102" t="s">
        <v>2309</v>
      </c>
      <c r="J13" s="95"/>
      <c r="K13" s="94"/>
      <c r="L13" s="121" t="str">
        <f>IFERROR(INDEX(레시피북!$C$2:$J$611,MATCH($D13,레시피북!$C$2:$C$611,0),8),"")</f>
        <v>450g/900g/목화솜 등심탕수육(이츠웰.하늘푸드)</v>
      </c>
      <c r="M13" s="113"/>
      <c r="N13" s="113"/>
      <c r="O13" s="113"/>
    </row>
    <row r="14" spans="2:23" ht="39.950000000000003" customHeight="1">
      <c r="B14" s="336"/>
      <c r="C14" s="342"/>
      <c r="D14" s="96" t="s">
        <v>1053</v>
      </c>
      <c r="E14" s="115">
        <v>25</v>
      </c>
      <c r="F14" s="116"/>
      <c r="G14" s="106" t="str">
        <f>IFERROR(INDEX(레시피북!$C$2:$H$618,MATCH($D14,레시피북!$C$2:$C$618,0),6),"")</f>
        <v>후르츠칵테일(과채가공품:필리핀산)11%, 식초, 간장, 설탕, 전분, 정제수</v>
      </c>
      <c r="H14" s="94" t="str">
        <f>IFERROR(INDEX(레시피북!$D$2:$J$611,MATCH($D14,레시피북!$C$2:$C$611,0),6),"")</f>
        <v>.5.</v>
      </c>
      <c r="I14" s="102" t="s">
        <v>2309</v>
      </c>
      <c r="J14" s="95"/>
      <c r="K14" s="94"/>
      <c r="L14" s="121" t="str">
        <f>IFERROR(INDEX(레시피북!$C$2:$J$611,MATCH($D14,레시피북!$C$2:$C$611,0),8),"")</f>
        <v>후르츠칵테일(리치스)</v>
      </c>
      <c r="M14" s="113"/>
      <c r="N14" s="113"/>
      <c r="O14" s="113"/>
    </row>
    <row r="15" spans="2:23" ht="39.950000000000003" customHeight="1">
      <c r="B15" s="336"/>
      <c r="C15" s="235" t="s">
        <v>510</v>
      </c>
      <c r="D15" s="96" t="s">
        <v>1782</v>
      </c>
      <c r="E15" s="115">
        <v>50</v>
      </c>
      <c r="F15" s="116"/>
      <c r="G15" s="106" t="str">
        <f>IFERROR(INDEX(레시피북!$C$2:$H$618,MATCH($D15,레시피북!$C$2:$C$618,0),6),"")</f>
        <v>메추리알(국산)65%, 어묵(연육:베트남산.중국산)15%, 짜장분말, 춘장, 대두유, 설탕, 정제수, 물엿</v>
      </c>
      <c r="H15" s="94" t="str">
        <f>IFERROR(INDEX(레시피북!$D$2:$J$611,MATCH($D15,레시피북!$C$2:$C$611,0),6),"")</f>
        <v>.1.5.6.10.15.16.</v>
      </c>
      <c r="I15" s="102" t="s">
        <v>2309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151" t="s">
        <v>232</v>
      </c>
      <c r="D16" s="282" t="s">
        <v>2310</v>
      </c>
      <c r="E16" s="283">
        <v>35</v>
      </c>
      <c r="F16" s="284"/>
      <c r="G16" s="285" t="s">
        <v>2311</v>
      </c>
      <c r="H16" s="286" t="s">
        <v>2312</v>
      </c>
      <c r="I16" s="102" t="s">
        <v>2309</v>
      </c>
      <c r="J16" s="95"/>
      <c r="K16" s="94"/>
      <c r="L16" s="121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>
      <c r="B17" s="336"/>
      <c r="C17" s="236" t="s">
        <v>690</v>
      </c>
      <c r="D17" s="96" t="s">
        <v>518</v>
      </c>
      <c r="E17" s="115">
        <v>35</v>
      </c>
      <c r="F17" s="115"/>
      <c r="G17" s="106" t="str">
        <f>IFERROR(INDEX(레시피북!$C$2:$H$618,MATCH($D17,레시피북!$C$2:$C$618,0),6),"")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IFERROR(INDEX(레시피북!$D$2:$J$611,MATCH($D17,레시피북!$C$2:$C$611,0),6),"")</f>
        <v>.9.12.</v>
      </c>
      <c r="I17" s="102" t="s">
        <v>2309</v>
      </c>
      <c r="J17" s="95"/>
      <c r="K17" s="94"/>
      <c r="L17" s="121" t="str">
        <f>IFERROR(INDEX(레시피북!$C$2:$J$611,MATCH($D17,레시피북!$C$2:$C$611,0),8),"")</f>
        <v>토마토김치(종가집)</v>
      </c>
      <c r="M17" s="113"/>
      <c r="N17" s="113"/>
      <c r="O17" s="113"/>
    </row>
    <row r="18" spans="2:15" ht="39.950000000000003" customHeight="1">
      <c r="B18" s="336"/>
      <c r="C18" s="212" t="s">
        <v>1186</v>
      </c>
      <c r="D18" s="96" t="s">
        <v>1238</v>
      </c>
      <c r="E18" s="115">
        <v>70</v>
      </c>
      <c r="F18" s="115"/>
      <c r="G18" s="106" t="str">
        <f>IFERROR(INDEX(레시피북!$C$2:$H$618,MATCH($D18,레시피북!$C$2:$C$618,0),6),"")</f>
        <v>차돌(소고기:미국산)35%, 숙주(녹두:외국산)40%, 양파, 대파, 마늘, 대두유, 소금, 굴소스, 간장, 맛술, 참기름, 참깨</v>
      </c>
      <c r="H18" s="94" t="str">
        <f>IFERROR(INDEX(레시피북!$D$2:$J$611,MATCH($D18,레시피북!$C$2:$C$611,0),6),"")</f>
        <v>.5.6.16.18.21.</v>
      </c>
      <c r="I18" s="102" t="s">
        <v>2309</v>
      </c>
      <c r="J18" s="95"/>
      <c r="K18" s="94"/>
      <c r="L18" s="156">
        <f>IFERROR(INDEX(레시피북!$C$2:$J$611,MATCH($D18,레시피북!$C$2:$C$611,0),8),"")</f>
        <v>0</v>
      </c>
      <c r="M18" s="113"/>
      <c r="N18" s="113"/>
      <c r="O18" s="113"/>
    </row>
    <row r="19" spans="2:15" ht="39.950000000000003" customHeight="1" thickBot="1">
      <c r="B19" s="337"/>
      <c r="C19" s="152" t="s">
        <v>72</v>
      </c>
      <c r="D19" s="201"/>
      <c r="E19" s="123"/>
      <c r="F19" s="124"/>
      <c r="G19" s="205"/>
      <c r="H19" s="157"/>
      <c r="I19" s="128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38" t="s">
        <v>1358</v>
      </c>
      <c r="C20" s="93" t="s">
        <v>508</v>
      </c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2308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341" t="s">
        <v>510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2308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342"/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2308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511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2308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>
      <c r="B24" s="339"/>
      <c r="C24" s="107" t="s">
        <v>690</v>
      </c>
      <c r="D24" s="153"/>
      <c r="E24" s="115"/>
      <c r="F24" s="115"/>
      <c r="G24" s="106" t="str">
        <f>IFERROR(INDEX(레시피북!$C$2:$H$618,MATCH($D24,레시피북!$C$2:$C$618,0),6),"")</f>
        <v/>
      </c>
      <c r="H24" s="94" t="str">
        <f>IFERROR(INDEX(레시피북!$D$2:$J$611,MATCH($D24,레시피북!$C$2:$C$611,0),6),"")</f>
        <v/>
      </c>
      <c r="I24" s="102" t="s">
        <v>2308</v>
      </c>
      <c r="J24" s="149"/>
      <c r="K24" s="149"/>
      <c r="L24" s="121" t="str">
        <f>IFERROR(INDEX(레시피북!$C$2:$J$611,MATCH($D24,레시피북!$C$2:$C$611,0),8),"")</f>
        <v/>
      </c>
      <c r="M24" s="113"/>
    </row>
    <row r="25" spans="2:15" ht="39.950000000000003" customHeight="1">
      <c r="B25" s="339"/>
      <c r="C25" s="151" t="s">
        <v>74</v>
      </c>
      <c r="D25" s="153"/>
      <c r="E25" s="115"/>
      <c r="F25" s="115"/>
      <c r="G25" s="106" t="str">
        <f>IFERROR(INDEX(레시피북!$C$2:$H$618,MATCH($D25,레시피북!$C$2:$C$618,0),6),"")</f>
        <v/>
      </c>
      <c r="H25" s="94" t="str">
        <f>IFERROR(INDEX(레시피북!$D$2:$J$611,MATCH($D25,레시피북!$C$2:$C$611,0),6),"")</f>
        <v/>
      </c>
      <c r="I25" s="102" t="s">
        <v>2308</v>
      </c>
      <c r="J25" s="149"/>
      <c r="K25" s="149"/>
      <c r="L25" s="121" t="str">
        <f>IFERROR(INDEX(레시피북!$C$2:$J$611,MATCH($D25,레시피북!$C$2:$C$611,0),8),"")</f>
        <v/>
      </c>
      <c r="M25" s="113"/>
    </row>
    <row r="26" spans="2:15" ht="39.950000000000003" customHeight="1" thickBot="1">
      <c r="B26" s="340"/>
      <c r="C26" s="122" t="s">
        <v>72</v>
      </c>
      <c r="D26" s="123"/>
      <c r="E26" s="123"/>
      <c r="F26" s="124">
        <v>1</v>
      </c>
      <c r="G26" s="125"/>
      <c r="H26" s="157"/>
      <c r="I26" s="128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5:C6"/>
    <mergeCell ref="C13:C14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3F1A-5764-43DD-B67C-92AB1B492C7D}">
  <sheetPr>
    <pageSetUpPr fitToPage="1"/>
  </sheetPr>
  <dimension ref="B1:W27"/>
  <sheetViews>
    <sheetView zoomScale="80" zoomScaleNormal="80" zoomScaleSheetLayoutView="75" workbookViewId="0">
      <selection activeCell="E15" sqref="E15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2315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1503</v>
      </c>
      <c r="E3" s="215">
        <v>140</v>
      </c>
      <c r="F3" s="215"/>
      <c r="G3" s="216" t="str">
        <f>IFERROR(INDEX(레시피북!$C$2:$H$618,MATCH($D3,레시피북!$C$2:$C$618,0),6),"")</f>
        <v>쌀(국산)90%, 귀리(국산.친환경)5%, 정제수</v>
      </c>
      <c r="H3" s="217">
        <f>IFERROR(INDEX(레시피북!$D$2:$J$611,MATCH($D3,레시피북!$C$2:$C$611,0),6),"")</f>
        <v>0</v>
      </c>
      <c r="I3" s="218" t="s">
        <v>2313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2316</v>
      </c>
      <c r="E4" s="115">
        <v>150</v>
      </c>
      <c r="F4" s="116"/>
      <c r="G4" s="106" t="str">
        <f>IFERROR(INDEX(레시피북!$C$2:$H$618,MATCH($D4,레시피북!$C$2:$C$618,0),6),"")</f>
        <v xml:space="preserve">무(국산)18.3%, 소고기(호주산)10.7%, 양파, 대파, 마늘, 정제수, 소금, 멸치육수농축액, 국간장, 후추 </v>
      </c>
      <c r="H4" s="94" t="str">
        <f>IFERROR(INDEX(레시피북!$D$2:$J$611,MATCH($D4,레시피북!$C$2:$C$611,0),6),"")</f>
        <v>.5.16.</v>
      </c>
      <c r="I4" s="102" t="s">
        <v>2313</v>
      </c>
      <c r="J4" s="95"/>
      <c r="K4" s="94"/>
      <c r="L4" s="121" t="str">
        <f>IFERROR(INDEX(레시피북!$C$2:$J$611,MATCH($D4,레시피북!$C$2:$C$611,0),8),"")</f>
        <v>40g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1665</v>
      </c>
      <c r="E5" s="115">
        <v>75</v>
      </c>
      <c r="F5" s="116"/>
      <c r="G5" s="106" t="str">
        <f>IFERROR(INDEX(레시피북!$C$2:$H$618,MATCH($D5,레시피북!$C$2:$C$618,0),6),"")</f>
        <v>닭정육(닭가슴살, 닭다리살:국산)54%, ,모짜렐라치즈(원유:외국산)5%, 모양떡(쌀:외국산), 양배추, 양파, 당근, 대파, 마늘, 생강가루, 간장, 후추, 참기름, 참깨</v>
      </c>
      <c r="H5" s="94" t="str">
        <f>IFERROR(INDEX(레시피북!$D$2:$J$611,MATCH($D5,레시피북!$C$2:$C$611,0),6),"")</f>
        <v>.2.5.6.15.21.</v>
      </c>
      <c r="I5" s="102" t="s">
        <v>2313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2317</v>
      </c>
      <c r="E6" s="115"/>
      <c r="F6" s="116">
        <v>1</v>
      </c>
      <c r="G6" s="106" t="str">
        <f>IFERROR(INDEX(레시피북!$C$2:$H$618,MATCH($D6,레시피북!$C$2:$C$618,0),6),"")</f>
        <v>계란(국산)72%, 전분, 소금, 물엿, 대두유</v>
      </c>
      <c r="H6" s="94" t="str">
        <f>IFERROR(INDEX(레시피북!$D$2:$J$611,MATCH($D6,레시피북!$C$2:$C$611,0),6),"")</f>
        <v>.1.2.5.6.15.16.18.</v>
      </c>
      <c r="I6" s="102" t="s">
        <v>2313</v>
      </c>
      <c r="J6" s="95"/>
      <c r="K6" s="94"/>
      <c r="L6" s="121" t="str">
        <f>IFERROR(INDEX(레시피북!$C$2:$J$611,MATCH($D6,레시피북!$C$2:$C$611,0),8),"")</f>
        <v>풍림푸드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1290</v>
      </c>
      <c r="E7" s="115">
        <v>8</v>
      </c>
      <c r="F7" s="116"/>
      <c r="G7" s="106" t="str">
        <f>IFERROR(INDEX(레시피북!$C$2:$H$618,MATCH($D7,레시피북!$C$2:$C$618,0),6),"")</f>
        <v>건파래김(국산)85.4%, 대두유, 들기름, 설탕, 맛소금, 참깨</v>
      </c>
      <c r="H7" s="94" t="str">
        <f>IFERROR(INDEX(레시피북!$D$2:$J$611,MATCH($D7,레시피북!$C$2:$C$611,0),6),"")</f>
        <v>.5.21.22.</v>
      </c>
      <c r="I7" s="102" t="s">
        <v>2313</v>
      </c>
      <c r="J7" s="95"/>
      <c r="K7" s="94"/>
      <c r="L7" s="121" t="str">
        <f>IFERROR(INDEX(레시피북!$C$2:$J$611,MATCH($D7,레시피북!$C$2:$C$611,0),8),"")</f>
        <v>유아8g / 중구청10g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2313</v>
      </c>
      <c r="J8" s="95"/>
      <c r="K8" s="94"/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2318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1503</v>
      </c>
      <c r="E10" s="215">
        <v>150</v>
      </c>
      <c r="F10" s="215"/>
      <c r="G10" s="216" t="str">
        <f>IFERROR(INDEX(레시피북!$C$2:$H$618,MATCH($D10,레시피북!$C$2:$C$618,0),6),"")</f>
        <v>쌀(국산)90%, 귀리(국산.친환경)5%, 정제수</v>
      </c>
      <c r="H10" s="217">
        <f>IFERROR(INDEX(레시피북!$D$2:$J$611,MATCH($D10,레시피북!$C$2:$C$611,0),6),"")</f>
        <v>0</v>
      </c>
      <c r="I10" s="218" t="s">
        <v>2314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2316</v>
      </c>
      <c r="E11" s="115">
        <v>160</v>
      </c>
      <c r="F11" s="116"/>
      <c r="G11" s="106" t="str">
        <f>IFERROR(INDEX(레시피북!$C$2:$H$618,MATCH($D11,레시피북!$C$2:$C$618,0),6),"")</f>
        <v xml:space="preserve">무(국산)18.3%, 소고기(호주산)10.7%, 양파, 대파, 마늘, 정제수, 소금, 멸치육수농축액, 국간장, 후추 </v>
      </c>
      <c r="H11" s="94" t="str">
        <f>IFERROR(INDEX(레시피북!$D$2:$J$611,MATCH($D11,레시피북!$C$2:$C$611,0),6),"")</f>
        <v>.5.16.</v>
      </c>
      <c r="I11" s="102" t="s">
        <v>2314</v>
      </c>
      <c r="J11" s="95"/>
      <c r="K11" s="94"/>
      <c r="L11" s="121" t="str">
        <f>IFERROR(INDEX(레시피북!$C$2:$J$611,MATCH($D11,레시피북!$C$2:$C$611,0),8),"")</f>
        <v>40g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282" t="s">
        <v>2320</v>
      </c>
      <c r="E12" s="283">
        <v>90</v>
      </c>
      <c r="F12" s="284"/>
      <c r="G12" s="285" t="s">
        <v>2321</v>
      </c>
      <c r="H12" s="286" t="s">
        <v>2126</v>
      </c>
      <c r="I12" s="102" t="s">
        <v>2314</v>
      </c>
      <c r="J12" s="95"/>
      <c r="K12" s="94"/>
      <c r="L12" s="121" t="str">
        <f>IFERROR(INDEX(레시피북!$C$2:$J$611,MATCH($D12,레시피북!$C$2:$C$611,0),8),"")</f>
        <v/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2317</v>
      </c>
      <c r="E13" s="115"/>
      <c r="F13" s="116">
        <v>2</v>
      </c>
      <c r="G13" s="106" t="str">
        <f>IFERROR(INDEX(레시피북!$C$2:$H$618,MATCH($D13,레시피북!$C$2:$C$618,0),6),"")</f>
        <v>계란(국산)72%, 전분, 소금, 물엿, 대두유</v>
      </c>
      <c r="H13" s="94" t="str">
        <f>IFERROR(INDEX(레시피북!$D$2:$J$611,MATCH($D13,레시피북!$C$2:$C$611,0),6),"")</f>
        <v>.1.2.5.6.15.16.18.</v>
      </c>
      <c r="I13" s="102" t="s">
        <v>2314</v>
      </c>
      <c r="J13" s="95"/>
      <c r="K13" s="94"/>
      <c r="L13" s="121" t="str">
        <f>IFERROR(INDEX(레시피북!$C$2:$J$611,MATCH($D13,레시피북!$C$2:$C$611,0),8),"")</f>
        <v>풍림푸드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1290</v>
      </c>
      <c r="E14" s="115">
        <v>10</v>
      </c>
      <c r="F14" s="116"/>
      <c r="G14" s="106" t="str">
        <f>IFERROR(INDEX(레시피북!$C$2:$H$618,MATCH($D14,레시피북!$C$2:$C$618,0),6),"")</f>
        <v>건파래김(국산)85.4%, 대두유, 들기름, 설탕, 맛소금, 참깨</v>
      </c>
      <c r="H14" s="94" t="str">
        <f>IFERROR(INDEX(레시피북!$D$2:$J$611,MATCH($D14,레시피북!$C$2:$C$611,0),6),"")</f>
        <v>.5.21.22.</v>
      </c>
      <c r="I14" s="102" t="s">
        <v>2314</v>
      </c>
      <c r="J14" s="95"/>
      <c r="K14" s="94"/>
      <c r="L14" s="121" t="str">
        <f>IFERROR(INDEX(레시피북!$C$2:$J$611,MATCH($D14,레시피북!$C$2:$C$611,0),8),"")</f>
        <v>유아8g / 중구청10g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2314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2314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2313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2313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2313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2313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2313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2313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0E19C-0CF9-45D4-BAB9-E393DDE30C69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2324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1142</v>
      </c>
      <c r="E3" s="215"/>
      <c r="F3" s="215"/>
      <c r="G3" s="216" t="str">
        <f>IFERROR(INDEX(레시피북!$C$2:$H$618,MATCH($D3,레시피북!$C$2:$C$618,0),6),"")</f>
        <v>쌀(국산)90%, 찰흑미(국산.친환경)5%, 정제수</v>
      </c>
      <c r="H3" s="217">
        <f>IFERROR(INDEX(레시피북!$D$2:$J$611,MATCH($D3,레시피북!$C$2:$C$611,0),6),"")</f>
        <v>0</v>
      </c>
      <c r="I3" s="218" t="s">
        <v>2322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1768</v>
      </c>
      <c r="E4" s="115"/>
      <c r="F4" s="116"/>
      <c r="G4" s="106" t="str">
        <f>IFERROR(INDEX(레시피북!$C$2:$H$618,MATCH($D4,레시피북!$C$2:$C$618,0),6),"")</f>
        <v>계란(국산)18.7%, 게살(국산)3.5%, 팽이버섯, 파, 마늘, 멸치육수농축액, 정제수, 녹말가루, 소금, 참기름</v>
      </c>
      <c r="H4" s="94" t="str">
        <f>IFERROR(INDEX(레시피북!$D$2:$J$611,MATCH($D4,레시피북!$C$2:$C$611,0),6),"")</f>
        <v>.1.2.5.8.21.</v>
      </c>
      <c r="I4" s="102" t="s">
        <v>2322</v>
      </c>
      <c r="J4" s="95"/>
      <c r="K4" s="94"/>
      <c r="L4" s="121">
        <f>IFERROR(INDEX(레시피북!$C$2:$J$611,MATCH($D4,레시피북!$C$2:$C$611,0),8),"")</f>
        <v>0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2325</v>
      </c>
      <c r="E5" s="115"/>
      <c r="F5" s="116"/>
      <c r="G5" s="106" t="str">
        <f>IFERROR(INDEX(레시피북!$C$2:$H$618,MATCH($D5,레시피북!$C$2:$C$618,0),6),"")</f>
        <v>돼지고기(미국산)83%, 피망(국산)2%, 파프리카(국산)3%, 양파(국산)2%, 당근, 스테이크소스, 후추, 참기름</v>
      </c>
      <c r="H5" s="94" t="str">
        <f>IFERROR(INDEX(레시피북!$D$2:$J$611,MATCH($D5,레시피북!$C$2:$C$611,0),6),"")</f>
        <v>.5.10.12.13.21.</v>
      </c>
      <c r="I5" s="102" t="s">
        <v>2322</v>
      </c>
      <c r="J5" s="95"/>
      <c r="K5" s="94"/>
      <c r="L5" s="121" t="str">
        <f>IFERROR(INDEX(레시피북!$C$2:$J$611,MATCH($D5,레시피북!$C$2:$C$611,0),8),"")</f>
        <v>스테이크소스(오뚜기)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789</v>
      </c>
      <c r="E6" s="115"/>
      <c r="F6" s="116"/>
      <c r="G6" s="106" t="str">
        <f>IFERROR(INDEX(레시피북!$C$2:$H$618,MATCH($D6,레시피북!$C$2:$C$618,0),6),"")</f>
        <v>멸치(국산)75%, 건크랜베리(크랜배리62%:미국산)5%, 대두유, 간장, 물엿, 참기름, 참깨</v>
      </c>
      <c r="H6" s="94" t="str">
        <f>IFERROR(INDEX(레시피북!$D$2:$J$611,MATCH($D6,레시피북!$C$2:$C$611,0),6),"")</f>
        <v>.5.21.</v>
      </c>
      <c r="I6" s="102" t="s">
        <v>2322</v>
      </c>
      <c r="J6" s="95"/>
      <c r="K6" s="94"/>
      <c r="L6" s="121">
        <f>IFERROR(INDEX(레시피북!$C$2:$J$611,MATCH($D6,레시피북!$C$2:$C$611,0),8),"")</f>
        <v>0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1993</v>
      </c>
      <c r="E7" s="115"/>
      <c r="F7" s="116"/>
      <c r="G7" s="106" t="str">
        <f>IFERROR(INDEX(레시피북!$C$2:$H$618,MATCH($D7,레시피북!$C$2:$C$618,0),6),"")</f>
        <v>스위트콘[옥수수62.71%(원산지:태국)]50%, 양배추(국산)30%,  파프리카, 당근, 적채, 마요네즈, 식초, 설탕, 소금</v>
      </c>
      <c r="H7" s="94" t="str">
        <f>IFERROR(INDEX(레시피북!$D$2:$J$611,MATCH($D7,레시피북!$C$2:$C$611,0),6),"")</f>
        <v>.1.5.16.</v>
      </c>
      <c r="I7" s="102" t="s">
        <v>2322</v>
      </c>
      <c r="J7" s="95"/>
      <c r="K7" s="94"/>
      <c r="L7" s="121" t="str">
        <f>IFERROR(INDEX(레시피북!$C$2:$J$611,MATCH($D7,레시피북!$C$2:$C$611,0),8),"")</f>
        <v>마요네즈(오뚜기)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945</v>
      </c>
      <c r="E8" s="115"/>
      <c r="F8" s="115"/>
      <c r="G8" s="106" t="str">
        <f>IFERROR(INDEX(레시피북!$C$2:$H$618,MATCH($D8,레시피북!$C$2:$C$618,0),6),"")</f>
        <v>배추(국내산)70&amp;, 무(국내산)10%, 마늘, 생강, 양파, 설탕, 정제수, 소금</v>
      </c>
      <c r="H8" s="94">
        <f>IFERROR(INDEX(레시피북!$D$2:$J$611,MATCH($D8,레시피북!$C$2:$C$611,0),6),"")</f>
        <v>0</v>
      </c>
      <c r="I8" s="102" t="s">
        <v>2322</v>
      </c>
      <c r="J8" s="95"/>
      <c r="K8" s="94"/>
      <c r="L8" s="121" t="str">
        <f>IFERROR(INDEX(레시피북!$C$2:$J$611,MATCH($D8,레시피북!$C$2:$C$611,0),8),"")</f>
        <v>백김치(정우식품)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2326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1142</v>
      </c>
      <c r="E10" s="215"/>
      <c r="F10" s="215"/>
      <c r="G10" s="216" t="str">
        <f>IFERROR(INDEX(레시피북!$C$2:$H$618,MATCH($D10,레시피북!$C$2:$C$618,0),6),"")</f>
        <v>쌀(국산)90%, 찰흑미(국산.친환경)5%, 정제수</v>
      </c>
      <c r="H10" s="217">
        <f>IFERROR(INDEX(레시피북!$D$2:$J$611,MATCH($D10,레시피북!$C$2:$C$611,0),6),"")</f>
        <v>0</v>
      </c>
      <c r="I10" s="218" t="s">
        <v>2323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 t="s">
        <v>1768</v>
      </c>
      <c r="E11" s="115"/>
      <c r="F11" s="116"/>
      <c r="G11" s="106" t="str">
        <f>IFERROR(INDEX(레시피북!$C$2:$H$618,MATCH($D11,레시피북!$C$2:$C$618,0),6),"")</f>
        <v>계란(국산)18.7%, 게살(국산)3.5%, 팽이버섯, 파, 마늘, 멸치육수농축액, 정제수, 녹말가루, 소금, 참기름</v>
      </c>
      <c r="H11" s="94" t="str">
        <f>IFERROR(INDEX(레시피북!$D$2:$J$611,MATCH($D11,레시피북!$C$2:$C$611,0),6),"")</f>
        <v>.1.2.5.8.21.</v>
      </c>
      <c r="I11" s="102" t="s">
        <v>2323</v>
      </c>
      <c r="J11" s="95"/>
      <c r="K11" s="94"/>
      <c r="L11" s="121">
        <f>IFERROR(INDEX(레시피북!$C$2:$J$611,MATCH($D11,레시피북!$C$2:$C$611,0),8),"")</f>
        <v>0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2325</v>
      </c>
      <c r="E12" s="115"/>
      <c r="F12" s="116"/>
      <c r="G12" s="106" t="str">
        <f>IFERROR(INDEX(레시피북!$C$2:$H$618,MATCH($D12,레시피북!$C$2:$C$618,0),6),"")</f>
        <v>돼지고기(미국산)83%, 피망(국산)2%, 파프리카(국산)3%, 양파(국산)2%, 당근, 스테이크소스, 후추, 참기름</v>
      </c>
      <c r="H12" s="94" t="str">
        <f>IFERROR(INDEX(레시피북!$D$2:$J$611,MATCH($D12,레시피북!$C$2:$C$611,0),6),"")</f>
        <v>.5.10.12.13.21.</v>
      </c>
      <c r="I12" s="102" t="s">
        <v>2323</v>
      </c>
      <c r="J12" s="95"/>
      <c r="K12" s="94"/>
      <c r="L12" s="121" t="str">
        <f>IFERROR(INDEX(레시피북!$C$2:$J$611,MATCH($D12,레시피북!$C$2:$C$611,0),8),"")</f>
        <v>스테이크소스(오뚜기)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282" t="s">
        <v>1815</v>
      </c>
      <c r="E13" s="283"/>
      <c r="F13" s="284"/>
      <c r="G13" s="285" t="str">
        <f>IFERROR(INDEX(레시피북!$C$2:$H$618,MATCH($D13,레시피북!$C$2:$C$618,0),6),"")</f>
        <v>멸치(국산)76%, 대두유, 고추장, 간장, 설탕, 물엿, 참기름, 참깨</v>
      </c>
      <c r="H13" s="286" t="str">
        <f>IFERROR(INDEX(레시피북!$D$2:$J$611,MATCH($D13,레시피북!$C$2:$C$611,0),6),"")</f>
        <v>.5.6.21.</v>
      </c>
      <c r="I13" s="102" t="s">
        <v>2323</v>
      </c>
      <c r="J13" s="95"/>
      <c r="K13" s="94"/>
      <c r="L13" s="121">
        <f>IFERROR(INDEX(레시피북!$C$2:$J$611,MATCH($D13,레시피북!$C$2:$C$611,0),8),"")</f>
        <v>0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1993</v>
      </c>
      <c r="E14" s="115"/>
      <c r="F14" s="116"/>
      <c r="G14" s="106" t="str">
        <f>IFERROR(INDEX(레시피북!$C$2:$H$618,MATCH($D14,레시피북!$C$2:$C$618,0),6),"")</f>
        <v>스위트콘[옥수수62.71%(원산지:태국)]50%, 양배추(국산)30%,  파프리카, 당근, 적채, 마요네즈, 식초, 설탕, 소금</v>
      </c>
      <c r="H14" s="94" t="str">
        <f>IFERROR(INDEX(레시피북!$D$2:$J$611,MATCH($D14,레시피북!$C$2:$C$611,0),6),"")</f>
        <v>.1.5.16.</v>
      </c>
      <c r="I14" s="102" t="s">
        <v>2323</v>
      </c>
      <c r="J14" s="95"/>
      <c r="K14" s="94"/>
      <c r="L14" s="121" t="str">
        <f>IFERROR(INDEX(레시피북!$C$2:$J$611,MATCH($D14,레시피북!$C$2:$C$611,0),8),"")</f>
        <v>마요네즈(오뚜기)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282" t="s">
        <v>1313</v>
      </c>
      <c r="E15" s="283"/>
      <c r="F15" s="283"/>
      <c r="G15" s="285" t="str">
        <f>IFERROR(INDEX(레시피북!$C$2:$H$618,MATCH($D15,레시피북!$C$2:$C$618,0),6),"")</f>
        <v>절임열무51%(열무,식염, 고춧가루, 양파, 대파, 전용풀. 마늘, 다시마농축액.새우액젓.생강:국산)</v>
      </c>
      <c r="H15" s="286" t="str">
        <f>IFERROR(INDEX(레시피북!$D$2:$J$611,MATCH($D15,레시피북!$C$2:$C$611,0),6),"")</f>
        <v>.9.</v>
      </c>
      <c r="I15" s="102" t="s">
        <v>2323</v>
      </c>
      <c r="J15" s="95"/>
      <c r="K15" s="94"/>
      <c r="L15" s="121" t="str">
        <f>IFERROR(INDEX(레시피북!$C$2:$J$611,MATCH($D15,레시피북!$C$2:$C$611,0),8),"")</f>
        <v>열무김치(종가김치)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2199</v>
      </c>
      <c r="E16" s="115"/>
      <c r="F16" s="115"/>
      <c r="G16" s="106" t="str">
        <f>IFERROR(INDEX(레시피북!$C$2:$H$618,MATCH($D16,레시피북!$C$2:$C$618,0),6),"")</f>
        <v>[새우살(베트남산), 메추리알(국내산), 보코치니치즈(모짜렐라치즈:미국산), 방울토마토(국내산), 스위트콘(태국산), 오이(국산]75%, 렌치드레싱[대두유(대두:외국산), 가공유크림(독일산), 난황액(계란:국산) 등]</v>
      </c>
      <c r="H16" s="94" t="str">
        <f>IFERROR(INDEX(레시피북!$D$2:$J$611,MATCH($D16,레시피북!$C$2:$C$611,0),6),"")</f>
        <v>.1.2.5.9.12.</v>
      </c>
      <c r="I16" s="102" t="s">
        <v>2323</v>
      </c>
      <c r="J16" s="95"/>
      <c r="K16" s="94"/>
      <c r="L16" s="156" t="str">
        <f>IFERROR(INDEX(레시피북!$C$2:$J$611,MATCH($D16,레시피북!$C$2:$C$611,0),8),"")</f>
        <v>렌치드레싱(이츠웰)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2322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2322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2322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2322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2322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2322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5472-88B4-480C-9248-2020BF7E7397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2329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2247</v>
      </c>
      <c r="E3" s="215">
        <v>140</v>
      </c>
      <c r="F3" s="215"/>
      <c r="G3" s="216" t="str">
        <f>IFERROR(INDEX(레시피북!$C$2:$H$618,MATCH($D3,레시피북!$C$2:$C$618,0),6),"")</f>
        <v>쌀(국산)95%, 정제수</v>
      </c>
      <c r="H3" s="217">
        <f>IFERROR(INDEX(레시피북!$D$2:$J$611,MATCH($D3,레시피북!$C$2:$C$611,0),6),"")</f>
        <v>0</v>
      </c>
      <c r="I3" s="218" t="s">
        <v>2327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1201</v>
      </c>
      <c r="E4" s="115">
        <v>150</v>
      </c>
      <c r="F4" s="116"/>
      <c r="G4" s="106" t="str">
        <f>IFERROR(INDEX(레시피북!$C$2:$H$618,MATCH($D4,레시피북!$C$2:$C$618,0),6),"")</f>
        <v>논우렁살(우렁:베트남산), 모둠채소(호박, 양파, 감자:국산)25%, 두부(콩:미국,호주,캐나다등)8%, 파, 마늘, 된장, 멸치육수농축액, 정제수, 소금</v>
      </c>
      <c r="H4" s="94" t="str">
        <f>IFERROR(INDEX(레시피북!$D$2:$J$611,MATCH($D4,레시피북!$C$2:$C$611,0),6),"")</f>
        <v>.5.</v>
      </c>
      <c r="I4" s="102" t="s">
        <v>2327</v>
      </c>
      <c r="J4" s="95"/>
      <c r="K4" s="94"/>
      <c r="L4" s="121" t="str">
        <f>IFERROR(INDEX(레시피북!$C$2:$J$611,MATCH($D4,레시피북!$C$2:$C$611,0),8),"")</f>
        <v>50g / 60g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1587</v>
      </c>
      <c r="E5" s="115">
        <v>60</v>
      </c>
      <c r="F5" s="116"/>
      <c r="G5" s="106" t="str">
        <f>IFERROR(INDEX(레시피북!$C$2:$H$618,MATCH($D5,레시피북!$C$2:$C$618,0),6),"")</f>
        <v>소고기(호주산)65%, 총알새송이(국산)12%, 양파, 당근, 파, 마늘, 간장, 설탕, 맛술, 후추, 참기름, 참깨</v>
      </c>
      <c r="H5" s="94" t="str">
        <f>IFERROR(INDEX(레시피북!$D$2:$J$611,MATCH($D5,레시피북!$C$2:$C$611,0),6),"")</f>
        <v>.5.16.21.</v>
      </c>
      <c r="I5" s="102" t="s">
        <v>2327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2104</v>
      </c>
      <c r="E6" s="115">
        <v>45</v>
      </c>
      <c r="F6" s="116"/>
      <c r="G6" s="106" t="str">
        <f>IFERROR(INDEX(레시피북!$C$2:$H$618,MATCH($D6,레시피북!$C$2:$C$618,0),6),"")</f>
        <v>캔햄[돼지고기(미국,스페인,프랑스 등)86.01%, 정제수, 정제소금(국산), 의성마늘(국산)]75%, 채소(양파, 당근, 피망:국산)12%, 대두유, 마늘, 케찹, 참기름, 참깨</v>
      </c>
      <c r="H6" s="94" t="str">
        <f>IFERROR(INDEX(레시피북!$D$2:$J$611,MATCH($D6,레시피북!$C$2:$C$611,0),6),"")</f>
        <v>.5.10.12.21.</v>
      </c>
      <c r="I6" s="102" t="s">
        <v>2327</v>
      </c>
      <c r="J6" s="95"/>
      <c r="K6" s="94"/>
      <c r="L6" s="121" t="str">
        <f>IFERROR(INDEX(레시피북!$C$2:$J$611,MATCH($D6,레시피북!$C$2:$C$611,0),8),"")</f>
        <v>햄캔(로스팜)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 t="s">
        <v>1646</v>
      </c>
      <c r="E7" s="115">
        <v>20</v>
      </c>
      <c r="F7" s="116"/>
      <c r="G7" s="106" t="str">
        <f>IFERROR(INDEX(레시피북!$C$2:$H$618,MATCH($D7,레시피북!$C$2:$C$618,0),6),"")</f>
        <v>검은콩(중국산)77%, 해바라기씨(중국산)5%, 간장, 물엿, 설탕, 참기름, 참깨</v>
      </c>
      <c r="H7" s="94" t="str">
        <f>IFERROR(INDEX(레시피북!$D$2:$J$611,MATCH($D7,레시피북!$C$2:$C$611,0),6),"")</f>
        <v>.5.21.</v>
      </c>
      <c r="I7" s="102" t="s">
        <v>2327</v>
      </c>
      <c r="J7" s="95"/>
      <c r="K7" s="94"/>
      <c r="L7" s="121" t="str">
        <f>IFERROR(INDEX(레시피북!$C$2:$J$611,MATCH($D7,레시피북!$C$2:$C$611,0),8),"")</f>
        <v>콩자반(반찬단지)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 t="s">
        <v>519</v>
      </c>
      <c r="E8" s="115">
        <v>25</v>
      </c>
      <c r="F8" s="115"/>
      <c r="G8" s="106" t="str">
        <f>IFERROR(INDEX(레시피북!$C$2:$H$618,MATCH($D8,레시피북!$C$2:$C$618,0),6),"")</f>
        <v>무(국산)85.2%, 고추가루(국산), 밀가루풀(국산), 파, 마늘, 새우젓 등 양념(국산)</v>
      </c>
      <c r="H8" s="94" t="str">
        <f>IFERROR(INDEX(레시피북!$D$2:$J$611,MATCH($D8,레시피북!$C$2:$C$611,0),6),"")</f>
        <v>.6.9.</v>
      </c>
      <c r="I8" s="102" t="s">
        <v>2327</v>
      </c>
      <c r="J8" s="95"/>
      <c r="K8" s="94"/>
      <c r="L8" s="121">
        <f>IFERROR(INDEX(레시피북!$C$2:$J$611,MATCH($D8,레시피북!$C$2:$C$611,0),8),"")</f>
        <v>0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2330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69" t="s">
        <v>2247</v>
      </c>
      <c r="E10" s="215">
        <v>150</v>
      </c>
      <c r="F10" s="215"/>
      <c r="G10" s="216" t="str">
        <f>IFERROR(INDEX(레시피북!$C$2:$H$618,MATCH($D10,레시피북!$C$2:$C$618,0),6),"")</f>
        <v>쌀(국산)95%, 정제수</v>
      </c>
      <c r="H10" s="217">
        <f>IFERROR(INDEX(레시피북!$D$2:$J$611,MATCH($D10,레시피북!$C$2:$C$611,0),6),"")</f>
        <v>0</v>
      </c>
      <c r="I10" s="218" t="s">
        <v>2328</v>
      </c>
      <c r="J10" s="244"/>
      <c r="K10" s="243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282" t="s">
        <v>2333</v>
      </c>
      <c r="E11" s="283">
        <v>160</v>
      </c>
      <c r="F11" s="284"/>
      <c r="G11" s="285" t="s">
        <v>2332</v>
      </c>
      <c r="H11" s="286" t="s">
        <v>2331</v>
      </c>
      <c r="I11" s="102" t="s">
        <v>2328</v>
      </c>
      <c r="J11" s="95"/>
      <c r="K11" s="94"/>
      <c r="L11" s="121" t="str">
        <f>IFERROR(INDEX(레시피북!$C$2:$J$611,MATCH($D11,레시피북!$C$2:$C$611,0),8),"")</f>
        <v/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 t="s">
        <v>1587</v>
      </c>
      <c r="E12" s="115">
        <v>80</v>
      </c>
      <c r="F12" s="116"/>
      <c r="G12" s="106" t="str">
        <f>IFERROR(INDEX(레시피북!$C$2:$H$618,MATCH($D12,레시피북!$C$2:$C$618,0),6),"")</f>
        <v>소고기(호주산)65%, 총알새송이(국산)12%, 양파, 당근, 파, 마늘, 간장, 설탕, 맛술, 후추, 참기름, 참깨</v>
      </c>
      <c r="H12" s="94" t="str">
        <f>IFERROR(INDEX(레시피북!$D$2:$J$611,MATCH($D12,레시피북!$C$2:$C$611,0),6),"")</f>
        <v>.5.16.21.</v>
      </c>
      <c r="I12" s="102" t="s">
        <v>2328</v>
      </c>
      <c r="J12" s="95"/>
      <c r="K12" s="94"/>
      <c r="L12" s="121">
        <f>IFERROR(INDEX(레시피북!$C$2:$J$611,MATCH($D12,레시피북!$C$2:$C$611,0),8),"")</f>
        <v>0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 t="s">
        <v>2104</v>
      </c>
      <c r="E13" s="115">
        <v>50</v>
      </c>
      <c r="F13" s="116"/>
      <c r="G13" s="106" t="str">
        <f>IFERROR(INDEX(레시피북!$C$2:$H$618,MATCH($D13,레시피북!$C$2:$C$618,0),6),"")</f>
        <v>캔햄[돼지고기(미국,스페인,프랑스 등)86.01%, 정제수, 정제소금(국산), 의성마늘(국산)]75%, 채소(양파, 당근, 피망:국산)12%, 대두유, 마늘, 케찹, 참기름, 참깨</v>
      </c>
      <c r="H13" s="94" t="str">
        <f>IFERROR(INDEX(레시피북!$D$2:$J$611,MATCH($D13,레시피북!$C$2:$C$611,0),6),"")</f>
        <v>.5.10.12.21.</v>
      </c>
      <c r="I13" s="102" t="s">
        <v>2328</v>
      </c>
      <c r="J13" s="95"/>
      <c r="K13" s="94"/>
      <c r="L13" s="121" t="str">
        <f>IFERROR(INDEX(레시피북!$C$2:$J$611,MATCH($D13,레시피북!$C$2:$C$611,0),8),"")</f>
        <v>햄캔(로스팜)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 t="s">
        <v>1646</v>
      </c>
      <c r="E14" s="115">
        <v>23</v>
      </c>
      <c r="F14" s="116"/>
      <c r="G14" s="106" t="str">
        <f>IFERROR(INDEX(레시피북!$C$2:$H$618,MATCH($D14,레시피북!$C$2:$C$618,0),6),"")</f>
        <v>검은콩(중국산)77%, 해바라기씨(중국산)5%, 간장, 물엿, 설탕, 참기름, 참깨</v>
      </c>
      <c r="H14" s="94" t="str">
        <f>IFERROR(INDEX(레시피북!$D$2:$J$611,MATCH($D14,레시피북!$C$2:$C$611,0),6),"")</f>
        <v>.5.21.</v>
      </c>
      <c r="I14" s="102" t="s">
        <v>2328</v>
      </c>
      <c r="J14" s="95"/>
      <c r="K14" s="94"/>
      <c r="L14" s="121" t="str">
        <f>IFERROR(INDEX(레시피북!$C$2:$J$611,MATCH($D14,레시피북!$C$2:$C$611,0),8),"")</f>
        <v>콩자반(반찬단지)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 t="s">
        <v>519</v>
      </c>
      <c r="E15" s="115">
        <v>35</v>
      </c>
      <c r="F15" s="115"/>
      <c r="G15" s="106" t="str">
        <f>IFERROR(INDEX(레시피북!$C$2:$H$618,MATCH($D15,레시피북!$C$2:$C$618,0),6),"")</f>
        <v>무(국산)85.2%, 고추가루(국산), 밀가루풀(국산), 파, 마늘, 새우젓 등 양념(국산)</v>
      </c>
      <c r="H15" s="94" t="str">
        <f>IFERROR(INDEX(레시피북!$D$2:$J$611,MATCH($D15,레시피북!$C$2:$C$611,0),6),"")</f>
        <v>.6.9.</v>
      </c>
      <c r="I15" s="102" t="s">
        <v>2328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 t="s">
        <v>1738</v>
      </c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2328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2327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2327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2327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2327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2327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2327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1D623-BFB8-4B0A-9679-AC42128D7018}">
  <sheetPr>
    <pageSetUpPr fitToPage="1"/>
  </sheetPr>
  <dimension ref="B1:W29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2336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 t="s">
        <v>1144</v>
      </c>
      <c r="E3" s="215">
        <v>140</v>
      </c>
      <c r="F3" s="215"/>
      <c r="G3" s="216" t="str">
        <f>IFERROR(INDEX(레시피북!$C$2:$H$618,MATCH($D3,레시피북!$C$2:$C$618,0),6),"")</f>
        <v>쌀(국산)90%, 찰보리(국산.친환경)5%, 정제수</v>
      </c>
      <c r="H3" s="217">
        <f>IFERROR(INDEX(레시피북!$D$2:$J$611,MATCH($D3,레시피북!$C$2:$C$611,0),6),"")</f>
        <v>0</v>
      </c>
      <c r="I3" s="218" t="s">
        <v>2334</v>
      </c>
      <c r="J3" s="270"/>
      <c r="K3" s="217"/>
      <c r="L3" s="219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 t="s">
        <v>583</v>
      </c>
      <c r="E4" s="115">
        <v>150</v>
      </c>
      <c r="F4" s="116"/>
      <c r="G4" s="106" t="str">
        <f>IFERROR(INDEX(레시피북!$C$2:$H$618,MATCH($D4,레시피북!$C$2:$C$618,0),6),"")</f>
        <v>불린미역(국산)23%, 정제수, 참기름, 국간장, 밥새우, 멸치육수농축액, 마늘, 소금</v>
      </c>
      <c r="H4" s="94" t="str">
        <f>IFERROR(INDEX(레시피북!$D$2:$J$611,MATCH($D4,레시피북!$C$2:$C$611,0),6),"")</f>
        <v>.5.9.</v>
      </c>
      <c r="I4" s="102" t="s">
        <v>2334</v>
      </c>
      <c r="J4" s="95"/>
      <c r="K4" s="94"/>
      <c r="L4" s="121" t="str">
        <f>IFERROR(INDEX(레시피북!$C$2:$J$611,MATCH($D4,레시피북!$C$2:$C$611,0),8),"")</f>
        <v>25g / 30g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 t="s">
        <v>1005</v>
      </c>
      <c r="E5" s="115">
        <v>60</v>
      </c>
      <c r="F5" s="116"/>
      <c r="G5" s="106" t="str">
        <f>IFERROR(INDEX(레시피북!$C$2:$H$618,MATCH($D5,레시피북!$C$2:$C$618,0),6),"")</f>
        <v>돼지고기(국산)55%, 오징어(원양산)10%, 양파, 당근, 대파, 마늘, 간장, 맛술, 후추, 설탕, 참기름, 참깨</v>
      </c>
      <c r="H5" s="94" t="str">
        <f>IFERROR(INDEX(레시피북!$D$2:$J$611,MATCH($D5,레시피북!$C$2:$C$611,0),6),"")</f>
        <v>.5.6.10.17.21.</v>
      </c>
      <c r="I5" s="102" t="s">
        <v>2334</v>
      </c>
      <c r="J5" s="95"/>
      <c r="K5" s="94"/>
      <c r="L5" s="121">
        <f>IFERROR(INDEX(레시피북!$C$2:$J$611,MATCH($D5,레시피북!$C$2:$C$611,0),8),"")</f>
        <v>0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 t="s">
        <v>2092</v>
      </c>
      <c r="E6" s="115"/>
      <c r="F6" s="116">
        <v>2</v>
      </c>
      <c r="G6" s="106" t="str">
        <f>IFERROR(INDEX(레시피북!$C$2:$H$618,MATCH($D6,레시피북!$C$2:$C$618,0),6),"")</f>
        <v>치킨너겟[닭고기(안심86.7%,스킨13.3%:국내산),브레더믹스(빵가루(중국산),밀가루분(밀:미국산.호주산)],대두단백(대두:미국산),당근,브로콜리 등]</v>
      </c>
      <c r="H6" s="94" t="str">
        <f>IFERROR(INDEX(레시피북!$D$2:$J$611,MATCH($D6,레시피북!$C$2:$C$611,0),6),"")</f>
        <v>.1.2.5.6.15.16.</v>
      </c>
      <c r="I6" s="102" t="s">
        <v>2334</v>
      </c>
      <c r="J6" s="95"/>
      <c r="K6" s="94"/>
      <c r="L6" s="121" t="str">
        <f>IFERROR(INDEX(레시피북!$C$2:$J$611,MATCH($D6,레시피북!$C$2:$C$611,0),8),"")</f>
        <v>숫자치킨너겟(푸디버디)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341" t="s">
        <v>232</v>
      </c>
      <c r="D7" s="96" t="s">
        <v>1928</v>
      </c>
      <c r="E7" s="115">
        <v>15</v>
      </c>
      <c r="F7" s="116"/>
      <c r="G7" s="106" t="str">
        <f>IFERROR(INDEX(레시피북!$C$2:$H$618,MATCH($D7,레시피북!$C$2:$C$618,0),6),"")</f>
        <v>모둠채소[라디치오5%, 양상추, 치커리, 적채]국내산</v>
      </c>
      <c r="H7" s="94">
        <f>IFERROR(INDEX(레시피북!$D$2:$J$611,MATCH($D7,레시피북!$C$2:$C$611,0),6),"")</f>
        <v>0</v>
      </c>
      <c r="I7" s="102" t="s">
        <v>2334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342"/>
      <c r="D8" s="96" t="s">
        <v>1169</v>
      </c>
      <c r="E8" s="115">
        <v>10</v>
      </c>
      <c r="F8" s="292"/>
      <c r="G8" s="106" t="str">
        <f>IFERROR(INDEX(레시피북!$C$2:$H$618,MATCH($D8,레시피북!$C$2:$C$618,0),6),"")</f>
        <v>{양조간장(탈지대두(외국산),천일염(호주산),양조식초, 대두유(대두:외국산), 혼합간장(대두:외국산), 레몬식초, 마늘, 참기름, 참깨 등]</v>
      </c>
      <c r="H8" s="94" t="str">
        <f>IFERROR(INDEX(레시피북!$D$2:$J$611,MATCH($D8,레시피북!$C$2:$C$611,0),6),"")</f>
        <v>.5.6.13.21.</v>
      </c>
      <c r="I8" s="102" t="s">
        <v>2334</v>
      </c>
      <c r="J8" s="291"/>
      <c r="K8" s="290"/>
      <c r="L8" s="121" t="str">
        <f>IFERROR(INDEX(레시피북!$C$2:$J$611,MATCH($D8,레시피북!$C$2:$C$611,0),8),"")</f>
        <v>오리엔탈드레싱(크레잇)</v>
      </c>
      <c r="M8" s="113"/>
      <c r="N8" s="113"/>
      <c r="P8" s="113"/>
      <c r="R8" s="113"/>
      <c r="S8" s="113"/>
    </row>
    <row r="9" spans="2:23" ht="39.950000000000003" customHeight="1">
      <c r="B9" s="336"/>
      <c r="C9" s="236" t="s">
        <v>690</v>
      </c>
      <c r="D9" s="96" t="s">
        <v>518</v>
      </c>
      <c r="E9" s="115">
        <v>25</v>
      </c>
      <c r="F9" s="115"/>
      <c r="G9" s="106" t="str">
        <f>IFERROR(INDEX(레시피북!$C$2:$H$618,MATCH($D9,레시피북!$C$2:$C$618,0),6),"")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9" s="94" t="str">
        <f>IFERROR(INDEX(레시피북!$D$2:$J$611,MATCH($D9,레시피북!$C$2:$C$611,0),6),"")</f>
        <v>.9.12.</v>
      </c>
      <c r="I9" s="102" t="s">
        <v>2334</v>
      </c>
      <c r="J9" s="95"/>
      <c r="K9" s="94"/>
      <c r="L9" s="121" t="str">
        <f>IFERROR(INDEX(레시피북!$C$2:$J$611,MATCH($D9,레시피북!$C$2:$C$611,0),8),"")</f>
        <v>토마토김치(종가집)</v>
      </c>
      <c r="M9" s="113" t="s">
        <v>1187</v>
      </c>
      <c r="N9" s="113"/>
      <c r="P9" s="113" t="s">
        <v>1197</v>
      </c>
      <c r="R9" s="113"/>
      <c r="S9" s="113" t="s">
        <v>1400</v>
      </c>
    </row>
    <row r="10" spans="2:23" ht="39.950000000000003" customHeight="1" thickBot="1">
      <c r="B10" s="337"/>
      <c r="C10" s="152" t="s">
        <v>72</v>
      </c>
      <c r="D10" s="201"/>
      <c r="E10" s="123"/>
      <c r="F10" s="124"/>
      <c r="G10" s="251" t="s">
        <v>2337</v>
      </c>
      <c r="H10" s="157"/>
      <c r="I10" s="128"/>
      <c r="J10" s="126">
        <v>1</v>
      </c>
      <c r="K10" s="126">
        <v>0.25</v>
      </c>
      <c r="L10" s="127"/>
      <c r="M10" s="113"/>
      <c r="N10" s="113"/>
      <c r="P10" s="113"/>
      <c r="R10" s="113"/>
      <c r="S10" s="113"/>
    </row>
    <row r="11" spans="2:23" ht="39.950000000000003" customHeight="1">
      <c r="B11" s="336" t="s">
        <v>1813</v>
      </c>
      <c r="C11" s="241" t="s">
        <v>508</v>
      </c>
      <c r="D11" s="269" t="s">
        <v>1144</v>
      </c>
      <c r="E11" s="215">
        <v>150</v>
      </c>
      <c r="F11" s="215"/>
      <c r="G11" s="216" t="str">
        <f>IFERROR(INDEX(레시피북!$C$2:$H$618,MATCH($D11,레시피북!$C$2:$C$618,0),6),"")</f>
        <v>쌀(국산)90%, 찰보리(국산.친환경)5%, 정제수</v>
      </c>
      <c r="H11" s="217">
        <f>IFERROR(INDEX(레시피북!$D$2:$J$611,MATCH($D11,레시피북!$C$2:$C$611,0),6),"")</f>
        <v>0</v>
      </c>
      <c r="I11" s="218" t="s">
        <v>2335</v>
      </c>
      <c r="J11" s="244"/>
      <c r="K11" s="243"/>
      <c r="L11" s="219">
        <f>IFERROR(INDEX(레시피북!$C$2:$J$611,MATCH($D11,레시피북!$C$2:$C$611,0),8),"")</f>
        <v>0</v>
      </c>
      <c r="M11" s="113" t="s">
        <v>1189</v>
      </c>
      <c r="N11" s="113"/>
      <c r="O11" s="113"/>
      <c r="P11" s="113" t="s">
        <v>1240</v>
      </c>
      <c r="S11" s="113" t="s">
        <v>1401</v>
      </c>
    </row>
    <row r="12" spans="2:23" ht="39.950000000000003" customHeight="1">
      <c r="B12" s="336"/>
      <c r="C12" s="235" t="s">
        <v>512</v>
      </c>
      <c r="D12" s="96" t="s">
        <v>583</v>
      </c>
      <c r="E12" s="115">
        <v>160</v>
      </c>
      <c r="F12" s="116"/>
      <c r="G12" s="106" t="str">
        <f>IFERROR(INDEX(레시피북!$C$2:$H$618,MATCH($D12,레시피북!$C$2:$C$618,0),6),"")</f>
        <v>불린미역(국산)23%, 정제수, 참기름, 국간장, 밥새우, 멸치육수농축액, 마늘, 소금</v>
      </c>
      <c r="H12" s="94" t="str">
        <f>IFERROR(INDEX(레시피북!$D$2:$J$611,MATCH($D12,레시피북!$C$2:$C$611,0),6),"")</f>
        <v>.5.9.</v>
      </c>
      <c r="I12" s="102" t="s">
        <v>2335</v>
      </c>
      <c r="J12" s="95"/>
      <c r="K12" s="94"/>
      <c r="L12" s="121" t="str">
        <f>IFERROR(INDEX(레시피북!$C$2:$J$611,MATCH($D12,레시피북!$C$2:$C$611,0),8),"")</f>
        <v>25g / 30g</v>
      </c>
      <c r="M12" s="113" t="s">
        <v>1566</v>
      </c>
      <c r="N12" s="113"/>
      <c r="O12" s="113"/>
      <c r="P12" s="113" t="s">
        <v>1608</v>
      </c>
      <c r="S12" s="113" t="s">
        <v>1609</v>
      </c>
    </row>
    <row r="13" spans="2:23" ht="39.950000000000003" customHeight="1">
      <c r="B13" s="336"/>
      <c r="C13" s="235" t="s">
        <v>509</v>
      </c>
      <c r="D13" s="282" t="s">
        <v>2338</v>
      </c>
      <c r="E13" s="283">
        <v>80</v>
      </c>
      <c r="F13" s="284"/>
      <c r="G13" s="285" t="s">
        <v>2339</v>
      </c>
      <c r="H13" s="286" t="s">
        <v>2133</v>
      </c>
      <c r="I13" s="102" t="s">
        <v>2335</v>
      </c>
      <c r="J13" s="95"/>
      <c r="K13" s="94"/>
      <c r="L13" s="121" t="str">
        <f>IFERROR(INDEX(레시피북!$C$2:$J$611,MATCH($D13,레시피북!$C$2:$C$611,0),8),"")</f>
        <v/>
      </c>
      <c r="M13" s="113"/>
      <c r="N13" s="113"/>
      <c r="O13" s="113"/>
    </row>
    <row r="14" spans="2:23" ht="39.950000000000003" customHeight="1">
      <c r="B14" s="336"/>
      <c r="C14" s="235" t="s">
        <v>510</v>
      </c>
      <c r="D14" s="96" t="s">
        <v>2092</v>
      </c>
      <c r="E14" s="115"/>
      <c r="F14" s="116">
        <v>3</v>
      </c>
      <c r="G14" s="106" t="str">
        <f>IFERROR(INDEX(레시피북!$C$2:$H$618,MATCH($D14,레시피북!$C$2:$C$618,0),6),"")</f>
        <v>치킨너겟[닭고기(안심86.7%,스킨13.3%:국내산),브레더믹스(빵가루(중국산),밀가루분(밀:미국산.호주산)],대두단백(대두:미국산),당근,브로콜리 등]</v>
      </c>
      <c r="H14" s="94" t="str">
        <f>IFERROR(INDEX(레시피북!$D$2:$J$611,MATCH($D14,레시피북!$C$2:$C$611,0),6),"")</f>
        <v>.1.2.5.6.15.16.</v>
      </c>
      <c r="I14" s="102" t="s">
        <v>2335</v>
      </c>
      <c r="J14" s="95"/>
      <c r="K14" s="94"/>
      <c r="L14" s="121" t="str">
        <f>IFERROR(INDEX(레시피북!$C$2:$J$611,MATCH($D14,레시피북!$C$2:$C$611,0),8),"")</f>
        <v>숫자치킨너겟(푸디버디)</v>
      </c>
      <c r="M14" s="113"/>
      <c r="N14" s="113"/>
      <c r="O14" s="113"/>
    </row>
    <row r="15" spans="2:23" ht="39.950000000000003" customHeight="1">
      <c r="B15" s="336"/>
      <c r="C15" s="341" t="s">
        <v>232</v>
      </c>
      <c r="D15" s="96" t="s">
        <v>1928</v>
      </c>
      <c r="E15" s="115">
        <v>20</v>
      </c>
      <c r="F15" s="116"/>
      <c r="G15" s="106" t="str">
        <f>IFERROR(INDEX(레시피북!$C$2:$H$618,MATCH($D15,레시피북!$C$2:$C$618,0),6),"")</f>
        <v>모둠채소[라디치오5%, 양상추, 치커리, 적채]국내산</v>
      </c>
      <c r="H15" s="94">
        <f>IFERROR(INDEX(레시피북!$D$2:$J$611,MATCH($D15,레시피북!$C$2:$C$611,0),6),"")</f>
        <v>0</v>
      </c>
      <c r="I15" s="102" t="s">
        <v>2335</v>
      </c>
      <c r="J15" s="95"/>
      <c r="K15" s="94"/>
      <c r="L15" s="121">
        <f>IFERROR(INDEX(레시피북!$C$2:$J$611,MATCH($D15,레시피북!$C$2:$C$611,0),8),"")</f>
        <v>0</v>
      </c>
      <c r="M15" s="113"/>
      <c r="N15" s="113"/>
      <c r="O15" s="113"/>
    </row>
    <row r="16" spans="2:23" ht="39.950000000000003" customHeight="1">
      <c r="B16" s="336"/>
      <c r="C16" s="342"/>
      <c r="D16" s="96" t="s">
        <v>1169</v>
      </c>
      <c r="E16" s="115">
        <v>10</v>
      </c>
      <c r="F16" s="292"/>
      <c r="G16" s="106" t="str">
        <f>IFERROR(INDEX(레시피북!$C$2:$H$618,MATCH($D16,레시피북!$C$2:$C$618,0),6),"")</f>
        <v>{양조간장(탈지대두(외국산),천일염(호주산),양조식초, 대두유(대두:외국산), 혼합간장(대두:외국산), 레몬식초, 마늘, 참기름, 참깨 등]</v>
      </c>
      <c r="H16" s="94" t="str">
        <f>IFERROR(INDEX(레시피북!$D$2:$J$611,MATCH($D16,레시피북!$C$2:$C$611,0),6),"")</f>
        <v>.5.6.13.21.</v>
      </c>
      <c r="I16" s="102" t="s">
        <v>2335</v>
      </c>
      <c r="J16" s="95"/>
      <c r="K16" s="94"/>
      <c r="L16" s="121" t="str">
        <f>IFERROR(INDEX(레시피북!$C$2:$J$611,MATCH($D16,레시피북!$C$2:$C$611,0),8),"")</f>
        <v>오리엔탈드레싱(크레잇)</v>
      </c>
      <c r="M16" s="113"/>
      <c r="N16" s="113"/>
      <c r="O16" s="113"/>
    </row>
    <row r="17" spans="2:15" ht="39.950000000000003" customHeight="1">
      <c r="B17" s="336"/>
      <c r="C17" s="236" t="s">
        <v>690</v>
      </c>
      <c r="D17" s="96" t="s">
        <v>518</v>
      </c>
      <c r="E17" s="115">
        <v>35</v>
      </c>
      <c r="F17" s="115"/>
      <c r="G17" s="106" t="str">
        <f>IFERROR(INDEX(레시피북!$C$2:$H$618,MATCH($D17,레시피북!$C$2:$C$618,0),6),"")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7" s="94" t="str">
        <f>IFERROR(INDEX(레시피북!$D$2:$J$611,MATCH($D17,레시피북!$C$2:$C$611,0),6),"")</f>
        <v>.9.12.</v>
      </c>
      <c r="I17" s="102" t="s">
        <v>2335</v>
      </c>
      <c r="J17" s="95"/>
      <c r="K17" s="94"/>
      <c r="L17" s="121" t="str">
        <f>IFERROR(INDEX(레시피북!$C$2:$J$611,MATCH($D17,레시피북!$C$2:$C$611,0),8),"")</f>
        <v>토마토김치(종가집)</v>
      </c>
      <c r="M17" s="113"/>
      <c r="N17" s="113"/>
      <c r="O17" s="113"/>
    </row>
    <row r="18" spans="2:15" ht="39.950000000000003" customHeight="1">
      <c r="B18" s="336"/>
      <c r="C18" s="212" t="s">
        <v>1186</v>
      </c>
      <c r="D18" s="96" t="s">
        <v>1170</v>
      </c>
      <c r="E18" s="115"/>
      <c r="F18" s="115">
        <v>3</v>
      </c>
      <c r="G18" s="106" t="str">
        <f>IFERROR(INDEX(레시피북!$C$2:$H$618,MATCH($D18,레시피북!$C$2:$C$618,0),6),"")</f>
        <v>치즈볼믹스[밀가루(밀:미국,태나다,호주산), 설탕, 재종유(캐나다산)], 정제수, 자연치즈(모짜렐라치즈:외국산), 곡류가공품[밀가루(밀:미국산,캐나다산,호주산), 쇼트닝(말레이시아산), 정제소금, 효모, 대두유], 설탕</v>
      </c>
      <c r="H18" s="94" t="str">
        <f>IFERROR(INDEX(레시피북!$D$2:$J$611,MATCH($D18,레시피북!$C$2:$C$611,0),6),"")</f>
        <v>.2.5.6.</v>
      </c>
      <c r="I18" s="102" t="s">
        <v>2335</v>
      </c>
      <c r="J18" s="95"/>
      <c r="K18" s="94"/>
      <c r="L18" s="156" t="str">
        <f>IFERROR(INDEX(레시피북!$C$2:$J$611,MATCH($D18,레시피북!$C$2:$C$611,0),8),"")</f>
        <v>모짜렐라치즈볼(맘스터치)</v>
      </c>
      <c r="M18" s="113"/>
      <c r="N18" s="113"/>
      <c r="O18" s="113"/>
    </row>
    <row r="19" spans="2:15" ht="39.950000000000003" customHeight="1" thickBot="1">
      <c r="B19" s="337"/>
      <c r="C19" s="152" t="s">
        <v>72</v>
      </c>
      <c r="D19" s="201"/>
      <c r="E19" s="123"/>
      <c r="F19" s="124"/>
      <c r="G19" s="205"/>
      <c r="H19" s="157"/>
      <c r="I19" s="128"/>
      <c r="J19" s="126">
        <v>1</v>
      </c>
      <c r="K19" s="126">
        <v>0.25</v>
      </c>
      <c r="L19" s="127"/>
      <c r="M19" s="113"/>
      <c r="N19" s="113"/>
      <c r="O19" s="113"/>
    </row>
    <row r="20" spans="2:15" ht="39.950000000000003" customHeight="1">
      <c r="B20" s="338" t="s">
        <v>1358</v>
      </c>
      <c r="C20" s="93" t="s">
        <v>508</v>
      </c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2334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341" t="s">
        <v>510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2334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342"/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2334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511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2334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>
      <c r="B24" s="339"/>
      <c r="C24" s="107" t="s">
        <v>690</v>
      </c>
      <c r="D24" s="153"/>
      <c r="E24" s="115"/>
      <c r="F24" s="115"/>
      <c r="G24" s="106" t="str">
        <f>IFERROR(INDEX(레시피북!$C$2:$H$618,MATCH($D24,레시피북!$C$2:$C$618,0),6),"")</f>
        <v/>
      </c>
      <c r="H24" s="94" t="str">
        <f>IFERROR(INDEX(레시피북!$D$2:$J$611,MATCH($D24,레시피북!$C$2:$C$611,0),6),"")</f>
        <v/>
      </c>
      <c r="I24" s="102" t="s">
        <v>2334</v>
      </c>
      <c r="J24" s="149"/>
      <c r="K24" s="149"/>
      <c r="L24" s="121" t="str">
        <f>IFERROR(INDEX(레시피북!$C$2:$J$611,MATCH($D24,레시피북!$C$2:$C$611,0),8),"")</f>
        <v/>
      </c>
      <c r="M24" s="113"/>
    </row>
    <row r="25" spans="2:15" ht="39.950000000000003" customHeight="1">
      <c r="B25" s="339"/>
      <c r="C25" s="151" t="s">
        <v>74</v>
      </c>
      <c r="D25" s="153"/>
      <c r="E25" s="115"/>
      <c r="F25" s="115"/>
      <c r="G25" s="106" t="str">
        <f>IFERROR(INDEX(레시피북!$C$2:$H$618,MATCH($D25,레시피북!$C$2:$C$618,0),6),"")</f>
        <v/>
      </c>
      <c r="H25" s="94" t="str">
        <f>IFERROR(INDEX(레시피북!$D$2:$J$611,MATCH($D25,레시피북!$C$2:$C$611,0),6),"")</f>
        <v/>
      </c>
      <c r="I25" s="102" t="s">
        <v>2334</v>
      </c>
      <c r="J25" s="149"/>
      <c r="K25" s="149"/>
      <c r="L25" s="121" t="str">
        <f>IFERROR(INDEX(레시피북!$C$2:$J$611,MATCH($D25,레시피북!$C$2:$C$611,0),8),"")</f>
        <v/>
      </c>
      <c r="M25" s="113"/>
    </row>
    <row r="26" spans="2:15" ht="39.950000000000003" customHeight="1" thickBot="1">
      <c r="B26" s="340"/>
      <c r="C26" s="122" t="s">
        <v>72</v>
      </c>
      <c r="D26" s="123"/>
      <c r="E26" s="123"/>
      <c r="F26" s="124">
        <v>1</v>
      </c>
      <c r="G26" s="125"/>
      <c r="H26" s="157"/>
      <c r="I26" s="128"/>
      <c r="J26" s="126">
        <v>1</v>
      </c>
      <c r="K26" s="126">
        <v>0.25</v>
      </c>
      <c r="L26" s="127"/>
    </row>
    <row r="27" spans="2:15">
      <c r="L27" s="26"/>
    </row>
    <row r="29" spans="2:15">
      <c r="E29"/>
      <c r="F29" s="114"/>
    </row>
  </sheetData>
  <mergeCells count="8">
    <mergeCell ref="B1:L1"/>
    <mergeCell ref="B3:B10"/>
    <mergeCell ref="S5:W5"/>
    <mergeCell ref="B11:B19"/>
    <mergeCell ref="B20:B26"/>
    <mergeCell ref="C21:C22"/>
    <mergeCell ref="C7:C8"/>
    <mergeCell ref="C15:C16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7F45-57BE-48F3-A75C-F56FA8E26BCD}">
  <sheetPr>
    <pageSetUpPr fitToPage="1"/>
  </sheetPr>
  <dimension ref="B1:W27"/>
  <sheetViews>
    <sheetView zoomScale="80" zoomScaleNormal="80" zoomScaleSheetLayoutView="75" workbookViewId="0">
      <selection activeCell="B1" sqref="B1:L1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2340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48" t="s">
        <v>570</v>
      </c>
      <c r="C3" s="294" t="s">
        <v>508</v>
      </c>
      <c r="D3" s="242" t="s">
        <v>1777</v>
      </c>
      <c r="E3" s="295">
        <v>140</v>
      </c>
      <c r="F3" s="295"/>
      <c r="G3" s="296" t="str">
        <f>IFERROR(INDEX(레시피북!$C$2:$H$618,MATCH($D3,레시피북!$C$2:$C$618,0),6),"")</f>
        <v>쌀(국산)90%, 찰보리(국산.친환경)5%, 정제수</v>
      </c>
      <c r="H3" s="243">
        <f>IFERROR(INDEX(레시피북!$D$2:$J$611,MATCH($D3,레시피북!$C$2:$C$611,0),6),"")</f>
        <v>0</v>
      </c>
      <c r="I3" s="297" t="s">
        <v>2341</v>
      </c>
      <c r="J3" s="244"/>
      <c r="K3" s="243"/>
      <c r="L3" s="298">
        <f>IFERROR(INDEX(레시피북!$C$2:$J$611,MATCH($D3,레시피북!$C$2:$C$611,0),8),"")</f>
        <v>0</v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293" t="s">
        <v>968</v>
      </c>
      <c r="E4" s="115">
        <v>150</v>
      </c>
      <c r="F4" s="116"/>
      <c r="G4" s="106" t="str">
        <f>IFERROR(INDEX(레시피북!$C$2:$H$618,MATCH($D4,레시피북!$C$2:$C$618,0),6),"")</f>
        <v>얼갈이(국산) 20%, 다슬기(국산)3%, 된장(콩:원료수입산), 파, 마늘, 양파, 정제수, 국간장, 소금,</v>
      </c>
      <c r="H4" s="94" t="str">
        <f>IFERROR(INDEX(레시피북!$D$2:$J$611,MATCH($D4,레시피북!$C$2:$C$611,0),6),"")</f>
        <v>.5.</v>
      </c>
      <c r="I4" s="102" t="s">
        <v>2341</v>
      </c>
      <c r="J4" s="95"/>
      <c r="K4" s="94"/>
      <c r="L4" s="121" t="str">
        <f>IFERROR(INDEX(레시피북!$C$2:$J$611,MATCH($D4,레시피북!$C$2:$C$611,0),8),"")</f>
        <v>30g / 35g</v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293" t="s">
        <v>2096</v>
      </c>
      <c r="E5" s="115">
        <v>110</v>
      </c>
      <c r="F5" s="116"/>
      <c r="G5" s="106" t="str">
        <f>IFERROR(INDEX(레시피북!$C$2:$H$618,MATCH($D5,레시피북!$C$2:$C$618,0),6),"")</f>
        <v>양파(국산)20.8%, 소고기(호주산)11.9%, 당근, 감자, 후추, 대두유, 하이라이스분말, 정제수</v>
      </c>
      <c r="H5" s="94" t="str">
        <f>IFERROR(INDEX(레시피북!$D$2:$J$611,MATCH($D5,레시피북!$C$2:$C$611,0),6),"")</f>
        <v>.1.2.5.6.10.12.15.16.18.</v>
      </c>
      <c r="I5" s="102" t="s">
        <v>2341</v>
      </c>
      <c r="J5" s="95"/>
      <c r="K5" s="94"/>
      <c r="L5" s="121" t="str">
        <f>IFERROR(INDEX(레시피북!$C$2:$J$611,MATCH($D5,레시피북!$C$2:$C$611,0),8),"")</f>
        <v>하이라이스분말(오뚜기)</v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293" t="s">
        <v>2097</v>
      </c>
      <c r="E6" s="115"/>
      <c r="F6" s="116">
        <v>1</v>
      </c>
      <c r="G6" s="106" t="str">
        <f>IFERROR(INDEX(레시피북!$C$2:$H$618,MATCH($D6,레시피북!$C$2:$C$618,0),6),"")</f>
        <v>밀가루(밀:호주,미국산), 정제수, 돼지고기(국내산,지방일부사용),닭고기(국산,기계발골육), 부추, 건면, 대파, 두부,양파, 양배추, 마늘, 대두유, 정제소금, 생강</v>
      </c>
      <c r="H6" s="94" t="str">
        <f>IFERROR(INDEX(레시피북!$D$2:$J$611,MATCH($D6,레시피북!$C$2:$C$611,0),6),"")</f>
        <v>.2.5.6.10.12.15.16.</v>
      </c>
      <c r="I6" s="102" t="s">
        <v>2341</v>
      </c>
      <c r="J6" s="95"/>
      <c r="K6" s="94"/>
      <c r="L6" s="121" t="str">
        <f>IFERROR(INDEX(레시피북!$C$2:$J$611,MATCH($D6,레시피북!$C$2:$C$611,0),8),"")</f>
        <v>철판군만두(삼양)</v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293" t="s">
        <v>2098</v>
      </c>
      <c r="E7" s="115">
        <v>45</v>
      </c>
      <c r="F7" s="116"/>
      <c r="G7" s="106" t="str">
        <f>IFERROR(INDEX(레시피북!$C$2:$H$618,MATCH($D7,레시피북!$C$2:$C$618,0),6),"")</f>
        <v>도토리묵(원료수입산)85%, 김가루(김:국내산), 간장, 설탕, 들기름, 참깨</v>
      </c>
      <c r="H7" s="94" t="str">
        <f>IFERROR(INDEX(레시피북!$D$2:$J$611,MATCH($D7,레시피북!$C$2:$C$611,0),6),"")</f>
        <v>.5.21.22.</v>
      </c>
      <c r="I7" s="102" t="s">
        <v>2341</v>
      </c>
      <c r="J7" s="95"/>
      <c r="K7" s="94"/>
      <c r="L7" s="121">
        <f>IFERROR(INDEX(레시피북!$C$2:$J$611,MATCH($D7,레시피북!$C$2:$C$611,0),8),"")</f>
        <v>0</v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293" t="s">
        <v>290</v>
      </c>
      <c r="E8" s="115">
        <v>25</v>
      </c>
      <c r="F8" s="115"/>
      <c r="G8" s="106" t="str">
        <f>IFERROR(INDEX(레시피북!$C$2:$H$618,MATCH($D8,레시피북!$C$2:$C$618,0),6),"")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8" s="94" t="str">
        <f>IFERROR(INDEX(레시피북!$D$2:$J$611,MATCH($D8,레시피북!$C$2:$C$611,0),6),"")</f>
        <v>.9.12.</v>
      </c>
      <c r="I8" s="102" t="s">
        <v>2341</v>
      </c>
      <c r="J8" s="95"/>
      <c r="K8" s="94"/>
      <c r="L8" s="121" t="str">
        <f>IFERROR(INDEX(레시피북!$C$2:$J$611,MATCH($D8,레시피북!$C$2:$C$611,0),8),"")</f>
        <v>토마토김치(종가집)</v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 t="s">
        <v>2234</v>
      </c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42" t="s">
        <v>1777</v>
      </c>
      <c r="E10" s="215">
        <v>150</v>
      </c>
      <c r="F10" s="215"/>
      <c r="G10" s="216" t="str">
        <f>IFERROR(INDEX(레시피북!$C$2:$H$618,MATCH($D10,레시피북!$C$2:$C$618,0),6),"")</f>
        <v>쌀(국산)90%, 찰보리(국산.친환경)5%, 정제수</v>
      </c>
      <c r="H10" s="217">
        <f>IFERROR(INDEX(레시피북!$D$2:$J$611,MATCH($D10,레시피북!$C$2:$C$611,0),6),"")</f>
        <v>0</v>
      </c>
      <c r="I10" s="218" t="s">
        <v>2342</v>
      </c>
      <c r="J10" s="270"/>
      <c r="K10" s="217"/>
      <c r="L10" s="219">
        <f>IFERROR(INDEX(레시피북!$C$2:$J$611,MATCH($D10,레시피북!$C$2:$C$611,0),8),"")</f>
        <v>0</v>
      </c>
      <c r="M10" s="113" t="s">
        <v>1189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293" t="s">
        <v>968</v>
      </c>
      <c r="E11" s="115">
        <v>160</v>
      </c>
      <c r="F11" s="116"/>
      <c r="G11" s="106" t="str">
        <f>IFERROR(INDEX(레시피북!$C$2:$H$618,MATCH($D11,레시피북!$C$2:$C$618,0),6),"")</f>
        <v>얼갈이(국산) 20%, 다슬기(국산)3%, 된장(콩:원료수입산), 파, 마늘, 양파, 정제수, 국간장, 소금,</v>
      </c>
      <c r="H11" s="94" t="str">
        <f>IFERROR(INDEX(레시피북!$D$2:$J$611,MATCH($D11,레시피북!$C$2:$C$611,0),6),"")</f>
        <v>.5.</v>
      </c>
      <c r="I11" s="102" t="s">
        <v>2342</v>
      </c>
      <c r="J11" s="95"/>
      <c r="K11" s="94"/>
      <c r="L11" s="121" t="str">
        <f>IFERROR(INDEX(레시피북!$C$2:$J$611,MATCH($D11,레시피북!$C$2:$C$611,0),8),"")</f>
        <v>30g / 35g</v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293" t="s">
        <v>2096</v>
      </c>
      <c r="E12" s="115">
        <v>120</v>
      </c>
      <c r="F12" s="116"/>
      <c r="G12" s="106" t="str">
        <f>IFERROR(INDEX(레시피북!$C$2:$H$618,MATCH($D12,레시피북!$C$2:$C$618,0),6),"")</f>
        <v>양파(국산)20.8%, 소고기(호주산)11.9%, 당근, 감자, 후추, 대두유, 하이라이스분말, 정제수</v>
      </c>
      <c r="H12" s="94" t="str">
        <f>IFERROR(INDEX(레시피북!$D$2:$J$611,MATCH($D12,레시피북!$C$2:$C$611,0),6),"")</f>
        <v>.1.2.5.6.10.12.15.16.18.</v>
      </c>
      <c r="I12" s="102" t="s">
        <v>2342</v>
      </c>
      <c r="J12" s="95"/>
      <c r="K12" s="94"/>
      <c r="L12" s="121" t="str">
        <f>IFERROR(INDEX(레시피북!$C$2:$J$611,MATCH($D12,레시피북!$C$2:$C$611,0),8),"")</f>
        <v>하이라이스분말(오뚜기)</v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293" t="s">
        <v>2097</v>
      </c>
      <c r="E13" s="115"/>
      <c r="F13" s="116">
        <v>1</v>
      </c>
      <c r="G13" s="106" t="str">
        <f>IFERROR(INDEX(레시피북!$C$2:$H$618,MATCH($D13,레시피북!$C$2:$C$618,0),6),"")</f>
        <v>밀가루(밀:호주,미국산), 정제수, 돼지고기(국내산,지방일부사용),닭고기(국산,기계발골육), 부추, 건면, 대파, 두부,양파, 양배추, 마늘, 대두유, 정제소금, 생강</v>
      </c>
      <c r="H13" s="94" t="str">
        <f>IFERROR(INDEX(레시피북!$D$2:$J$611,MATCH($D13,레시피북!$C$2:$C$611,0),6),"")</f>
        <v>.2.5.6.10.12.15.16.</v>
      </c>
      <c r="I13" s="102" t="s">
        <v>2342</v>
      </c>
      <c r="J13" s="95"/>
      <c r="K13" s="94"/>
      <c r="L13" s="121" t="str">
        <f>IFERROR(INDEX(레시피북!$C$2:$J$611,MATCH($D13,레시피북!$C$2:$C$611,0),8),"")</f>
        <v>철판군만두(삼양)</v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293" t="s">
        <v>2098</v>
      </c>
      <c r="E14" s="115">
        <v>50</v>
      </c>
      <c r="F14" s="116"/>
      <c r="G14" s="106" t="str">
        <f>IFERROR(INDEX(레시피북!$C$2:$H$618,MATCH($D14,레시피북!$C$2:$C$618,0),6),"")</f>
        <v>도토리묵(원료수입산)85%, 김가루(김:국내산), 간장, 설탕, 들기름, 참깨</v>
      </c>
      <c r="H14" s="94" t="str">
        <f>IFERROR(INDEX(레시피북!$D$2:$J$611,MATCH($D14,레시피북!$C$2:$C$611,0),6),"")</f>
        <v>.5.21.22.</v>
      </c>
      <c r="I14" s="102" t="s">
        <v>2342</v>
      </c>
      <c r="J14" s="95"/>
      <c r="K14" s="94"/>
      <c r="L14" s="121">
        <f>IFERROR(INDEX(레시피북!$C$2:$J$611,MATCH($D14,레시피북!$C$2:$C$611,0),8),"")</f>
        <v>0</v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293" t="s">
        <v>290</v>
      </c>
      <c r="E15" s="115">
        <v>35</v>
      </c>
      <c r="F15" s="115"/>
      <c r="G15" s="106" t="str">
        <f>IFERROR(INDEX(레시피북!$C$2:$H$618,MATCH($D15,레시피북!$C$2:$C$618,0),6),"")</f>
        <v>절임배추64.0%[배추(국산),무(국산),종가김치전용풀(쌀:국산)], 토마토페이스트(토마토:미국산)2.7%,[멸치액젓, 양파,다시마농축액,고춧가루,마늘,대파,새우액젓,김치유산균발효액,생강양념,호화쌀혼합분말]국산</v>
      </c>
      <c r="H15" s="94" t="str">
        <f>IFERROR(INDEX(레시피북!$D$2:$J$611,MATCH($D15,레시피북!$C$2:$C$611,0),6),"")</f>
        <v>.9.12.</v>
      </c>
      <c r="I15" s="102" t="s">
        <v>2342</v>
      </c>
      <c r="J15" s="95"/>
      <c r="K15" s="94"/>
      <c r="L15" s="121" t="str">
        <f>IFERROR(INDEX(레시피북!$C$2:$J$611,MATCH($D15,레시피북!$C$2:$C$611,0),8),"")</f>
        <v>토마토김치(종가집)</v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293" t="s">
        <v>2191</v>
      </c>
      <c r="E16" s="115">
        <v>70</v>
      </c>
      <c r="F16" s="115"/>
      <c r="G16" s="106" t="str">
        <f>IFERROR(INDEX(레시피북!$C$2:$H$618,MATCH($D16,레시피북!$C$2:$C$618,0),6),"")</f>
        <v>돈수육[돼지고기(앞다리살, 뒷다리살 : 국산), 된장,한방재료(황기,대추,당귀,헛개나무, 엄나무,오가피:국산), 월계수잎, 맛술, 마늘, 양파, 대파, 통후추, 생강가루, 정제소금, 정제수]99%</v>
      </c>
      <c r="H16" s="94" t="str">
        <f>IFERROR(INDEX(레시피북!$D$2:$J$611,MATCH($D16,레시피북!$C$2:$C$611,0),6),"")</f>
        <v>.5.10.</v>
      </c>
      <c r="I16" s="102" t="s">
        <v>2342</v>
      </c>
      <c r="J16" s="95"/>
      <c r="K16" s="94"/>
      <c r="L16" s="156">
        <f>IFERROR(INDEX(레시피북!$C$2:$J$611,MATCH($D16,레시피북!$C$2:$C$611,0),8),"")</f>
        <v>0</v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2341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2341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2341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2341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2341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2341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DB14-77CC-4880-B5AA-E8321A4440DD}">
  <sheetPr>
    <pageSetUpPr fitToPage="1"/>
  </sheetPr>
  <dimension ref="B1:W27"/>
  <sheetViews>
    <sheetView zoomScale="80" zoomScaleNormal="80" zoomScaleSheetLayoutView="75" workbookViewId="0">
      <selection activeCell="M10" sqref="M10"/>
    </sheetView>
  </sheetViews>
  <sheetFormatPr defaultColWidth="9" defaultRowHeight="16.5"/>
  <cols>
    <col min="2" max="2" width="7.75" bestFit="1" customWidth="1"/>
    <col min="3" max="3" width="5.75" customWidth="1"/>
    <col min="4" max="4" width="22.625" customWidth="1"/>
    <col min="5" max="5" width="8.625" style="150" customWidth="1"/>
    <col min="6" max="6" width="9.625" style="150" customWidth="1"/>
    <col min="7" max="7" width="55.625" customWidth="1"/>
    <col min="8" max="8" width="16.5" style="158" customWidth="1"/>
    <col min="9" max="9" width="27.25" customWidth="1"/>
    <col min="10" max="10" width="7.875" customWidth="1"/>
    <col min="11" max="11" width="10.625" bestFit="1" customWidth="1"/>
    <col min="12" max="12" width="13.75" customWidth="1"/>
    <col min="13" max="13" width="12" customWidth="1"/>
    <col min="18" max="18" width="10.25" customWidth="1"/>
  </cols>
  <sheetData>
    <row r="1" spans="2:23" ht="39.950000000000003" customHeight="1" thickBot="1">
      <c r="B1" s="335" t="s">
        <v>2142</v>
      </c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113" t="s">
        <v>1366</v>
      </c>
      <c r="P1" s="239" t="s">
        <v>1415</v>
      </c>
      <c r="S1" s="204" t="s">
        <v>1564</v>
      </c>
    </row>
    <row r="2" spans="2:23" ht="24.95" customHeight="1" thickBot="1">
      <c r="B2" s="271" t="s">
        <v>527</v>
      </c>
      <c r="C2" s="272" t="s">
        <v>235</v>
      </c>
      <c r="D2" s="273" t="s">
        <v>883</v>
      </c>
      <c r="E2" s="274" t="s">
        <v>291</v>
      </c>
      <c r="F2" s="274" t="s">
        <v>278</v>
      </c>
      <c r="G2" s="273" t="s">
        <v>533</v>
      </c>
      <c r="H2" s="275" t="s">
        <v>825</v>
      </c>
      <c r="I2" s="276" t="s">
        <v>275</v>
      </c>
      <c r="J2" s="277" t="s">
        <v>1769</v>
      </c>
      <c r="K2" s="278" t="s">
        <v>248</v>
      </c>
      <c r="L2" s="279" t="s">
        <v>66</v>
      </c>
      <c r="M2" s="204" t="s">
        <v>1414</v>
      </c>
      <c r="N2" s="113"/>
      <c r="P2" s="239" t="s">
        <v>1416</v>
      </c>
      <c r="R2" s="113"/>
      <c r="S2" s="113" t="s">
        <v>772</v>
      </c>
    </row>
    <row r="3" spans="2:23" ht="39.950000000000003" customHeight="1">
      <c r="B3" s="336" t="s">
        <v>570</v>
      </c>
      <c r="C3" s="241" t="s">
        <v>508</v>
      </c>
      <c r="D3" s="269"/>
      <c r="E3" s="215"/>
      <c r="F3" s="215"/>
      <c r="G3" s="216" t="str">
        <f>IFERROR(INDEX(레시피북!$C$2:$H$618,MATCH($D3,레시피북!$C$2:$C$618,0),6),"")</f>
        <v/>
      </c>
      <c r="H3" s="217" t="str">
        <f>IFERROR(INDEX(레시피북!$D$2:$J$611,MATCH($D3,레시피북!$C$2:$C$611,0),6),"")</f>
        <v/>
      </c>
      <c r="I3" s="218" t="s">
        <v>2140</v>
      </c>
      <c r="J3" s="270"/>
      <c r="K3" s="217"/>
      <c r="L3" s="219" t="str">
        <f>IFERROR(INDEX(레시피북!$C$2:$J$611,MATCH($D3,레시피북!$C$2:$C$611,0),8),"")</f>
        <v/>
      </c>
      <c r="M3" s="113" t="s">
        <v>707</v>
      </c>
      <c r="N3" s="113"/>
      <c r="O3" s="113" t="s">
        <v>925</v>
      </c>
      <c r="R3" s="113"/>
      <c r="S3" s="113" t="s">
        <v>1992</v>
      </c>
    </row>
    <row r="4" spans="2:23" ht="39.950000000000003" customHeight="1">
      <c r="B4" s="336"/>
      <c r="C4" s="235" t="s">
        <v>512</v>
      </c>
      <c r="D4" s="96"/>
      <c r="E4" s="115"/>
      <c r="F4" s="116"/>
      <c r="G4" s="106" t="str">
        <f>IFERROR(INDEX(레시피북!$C$2:$H$618,MATCH($D4,레시피북!$C$2:$C$618,0),6),"")</f>
        <v/>
      </c>
      <c r="H4" s="94" t="str">
        <f>IFERROR(INDEX(레시피북!$D$2:$J$611,MATCH($D4,레시피북!$C$2:$C$611,0),6),"")</f>
        <v/>
      </c>
      <c r="I4" s="102" t="s">
        <v>2140</v>
      </c>
      <c r="J4" s="95"/>
      <c r="K4" s="94"/>
      <c r="L4" s="121" t="str">
        <f>IFERROR(INDEX(레시피북!$C$2:$J$611,MATCH($D4,레시피북!$C$2:$C$611,0),8),"")</f>
        <v/>
      </c>
      <c r="M4" s="204" t="s">
        <v>1565</v>
      </c>
      <c r="N4" s="113"/>
      <c r="P4" s="113" t="s">
        <v>1061</v>
      </c>
      <c r="R4" s="113"/>
      <c r="S4" s="113" t="s">
        <v>633</v>
      </c>
    </row>
    <row r="5" spans="2:23" ht="39.950000000000003" customHeight="1">
      <c r="B5" s="336"/>
      <c r="C5" s="235" t="s">
        <v>509</v>
      </c>
      <c r="D5" s="96"/>
      <c r="E5" s="115"/>
      <c r="F5" s="116"/>
      <c r="G5" s="106" t="str">
        <f>IFERROR(INDEX(레시피북!$C$2:$H$618,MATCH($D5,레시피북!$C$2:$C$618,0),6),"")</f>
        <v/>
      </c>
      <c r="H5" s="94" t="str">
        <f>IFERROR(INDEX(레시피북!$D$2:$J$611,MATCH($D5,레시피북!$C$2:$C$611,0),6),"")</f>
        <v/>
      </c>
      <c r="I5" s="102" t="s">
        <v>2140</v>
      </c>
      <c r="J5" s="95"/>
      <c r="K5" s="94"/>
      <c r="L5" s="121" t="str">
        <f>IFERROR(INDEX(레시피북!$C$2:$J$611,MATCH($D5,레시피북!$C$2:$C$611,0),8),"")</f>
        <v/>
      </c>
      <c r="M5" s="113" t="s">
        <v>771</v>
      </c>
      <c r="N5" s="113"/>
      <c r="R5" s="113"/>
      <c r="S5" s="334" t="s">
        <v>1535</v>
      </c>
      <c r="T5" s="334"/>
      <c r="U5" s="334"/>
      <c r="V5" s="334"/>
      <c r="W5" s="334"/>
    </row>
    <row r="6" spans="2:23" ht="39.950000000000003" customHeight="1">
      <c r="B6" s="336"/>
      <c r="C6" s="235" t="s">
        <v>510</v>
      </c>
      <c r="D6" s="96"/>
      <c r="E6" s="115"/>
      <c r="F6" s="116"/>
      <c r="G6" s="106" t="str">
        <f>IFERROR(INDEX(레시피북!$C$2:$H$618,MATCH($D6,레시피북!$C$2:$C$618,0),6),"")</f>
        <v/>
      </c>
      <c r="H6" s="94" t="str">
        <f>IFERROR(INDEX(레시피북!$D$2:$J$611,MATCH($D6,레시피북!$C$2:$C$611,0),6),"")</f>
        <v/>
      </c>
      <c r="I6" s="102" t="s">
        <v>2140</v>
      </c>
      <c r="J6" s="95"/>
      <c r="K6" s="94"/>
      <c r="L6" s="121" t="str">
        <f>IFERROR(INDEX(레시피북!$C$2:$J$611,MATCH($D6,레시피북!$C$2:$C$611,0),8),"")</f>
        <v/>
      </c>
      <c r="M6" s="113" t="s">
        <v>682</v>
      </c>
      <c r="N6" s="113"/>
      <c r="P6" s="113" t="s">
        <v>1062</v>
      </c>
      <c r="R6" s="113"/>
      <c r="S6" s="113" t="s">
        <v>769</v>
      </c>
    </row>
    <row r="7" spans="2:23" ht="39.950000000000003" customHeight="1">
      <c r="B7" s="336"/>
      <c r="C7" s="151" t="s">
        <v>232</v>
      </c>
      <c r="D7" s="96"/>
      <c r="E7" s="115"/>
      <c r="F7" s="116"/>
      <c r="G7" s="106" t="str">
        <f>IFERROR(INDEX(레시피북!$C$2:$H$618,MATCH($D7,레시피북!$C$2:$C$618,0),6),"")</f>
        <v/>
      </c>
      <c r="H7" s="94" t="str">
        <f>IFERROR(INDEX(레시피북!$D$2:$J$611,MATCH($D7,레시피북!$C$2:$C$611,0),6),"")</f>
        <v/>
      </c>
      <c r="I7" s="102" t="s">
        <v>2140</v>
      </c>
      <c r="J7" s="95"/>
      <c r="K7" s="94"/>
      <c r="L7" s="121" t="str">
        <f>IFERROR(INDEX(레시피북!$C$2:$J$611,MATCH($D7,레시피북!$C$2:$C$611,0),8),"")</f>
        <v/>
      </c>
      <c r="M7" s="113" t="s">
        <v>573</v>
      </c>
      <c r="N7" s="113"/>
      <c r="P7" s="113" t="s">
        <v>1077</v>
      </c>
      <c r="R7" s="113"/>
      <c r="S7" s="113" t="s">
        <v>701</v>
      </c>
    </row>
    <row r="8" spans="2:23" ht="39.950000000000003" customHeight="1">
      <c r="B8" s="336"/>
      <c r="C8" s="236" t="s">
        <v>690</v>
      </c>
      <c r="D8" s="96"/>
      <c r="E8" s="115"/>
      <c r="F8" s="115"/>
      <c r="G8" s="106" t="str">
        <f>IFERROR(INDEX(레시피북!$C$2:$H$618,MATCH($D8,레시피북!$C$2:$C$618,0),6),"")</f>
        <v/>
      </c>
      <c r="H8" s="94" t="str">
        <f>IFERROR(INDEX(레시피북!$D$2:$J$611,MATCH($D8,레시피북!$C$2:$C$611,0),6),"")</f>
        <v/>
      </c>
      <c r="I8" s="102" t="s">
        <v>2140</v>
      </c>
      <c r="J8" s="95"/>
      <c r="K8" s="94"/>
      <c r="L8" s="121" t="str">
        <f>IFERROR(INDEX(레시피북!$C$2:$J$611,MATCH($D8,레시피북!$C$2:$C$611,0),8),"")</f>
        <v/>
      </c>
      <c r="M8" s="113" t="s">
        <v>1187</v>
      </c>
      <c r="N8" s="113"/>
      <c r="P8" s="113" t="s">
        <v>1197</v>
      </c>
      <c r="R8" s="113"/>
      <c r="S8" s="113" t="s">
        <v>1400</v>
      </c>
    </row>
    <row r="9" spans="2:23" ht="39.950000000000003" customHeight="1" thickBot="1">
      <c r="B9" s="337"/>
      <c r="C9" s="152" t="s">
        <v>72</v>
      </c>
      <c r="D9" s="201"/>
      <c r="E9" s="123"/>
      <c r="F9" s="124"/>
      <c r="G9" s="251"/>
      <c r="H9" s="157"/>
      <c r="I9" s="128"/>
      <c r="J9" s="126">
        <v>1</v>
      </c>
      <c r="K9" s="126">
        <v>0.25</v>
      </c>
      <c r="L9" s="127"/>
      <c r="M9" s="113"/>
      <c r="N9" s="113"/>
      <c r="P9" s="113"/>
      <c r="R9" s="113"/>
      <c r="S9" s="113"/>
    </row>
    <row r="10" spans="2:23" ht="39.950000000000003" customHeight="1">
      <c r="B10" s="336" t="s">
        <v>1813</v>
      </c>
      <c r="C10" s="241" t="s">
        <v>508</v>
      </c>
      <c r="D10" s="242"/>
      <c r="E10" s="215"/>
      <c r="F10" s="215"/>
      <c r="G10" s="216" t="str">
        <f>IFERROR(INDEX(레시피북!$C$2:$H$618,MATCH($D10,레시피북!$C$2:$C$618,0),6),"")</f>
        <v/>
      </c>
      <c r="H10" s="217" t="str">
        <f>IFERROR(INDEX(레시피북!$D$2:$J$611,MATCH($D10,레시피북!$C$2:$C$611,0),6),"")</f>
        <v/>
      </c>
      <c r="I10" s="218" t="s">
        <v>2141</v>
      </c>
      <c r="J10" s="244"/>
      <c r="K10" s="243"/>
      <c r="L10" s="219" t="str">
        <f>IFERROR(INDEX(레시피북!$C$2:$J$611,MATCH($D10,레시피북!$C$2:$C$611,0),8),"")</f>
        <v/>
      </c>
      <c r="M10" s="113" t="s">
        <v>2277</v>
      </c>
      <c r="N10" s="113"/>
      <c r="O10" s="113"/>
      <c r="P10" s="113" t="s">
        <v>1240</v>
      </c>
      <c r="S10" s="113" t="s">
        <v>1401</v>
      </c>
    </row>
    <row r="11" spans="2:23" ht="39.950000000000003" customHeight="1">
      <c r="B11" s="336"/>
      <c r="C11" s="235" t="s">
        <v>512</v>
      </c>
      <c r="D11" s="96"/>
      <c r="E11" s="115"/>
      <c r="F11" s="116"/>
      <c r="G11" s="106" t="str">
        <f>IFERROR(INDEX(레시피북!$C$2:$H$618,MATCH($D11,레시피북!$C$2:$C$618,0),6),"")</f>
        <v/>
      </c>
      <c r="H11" s="94" t="str">
        <f>IFERROR(INDEX(레시피북!$D$2:$J$611,MATCH($D11,레시피북!$C$2:$C$611,0),6),"")</f>
        <v/>
      </c>
      <c r="I11" s="102" t="s">
        <v>2141</v>
      </c>
      <c r="J11" s="95"/>
      <c r="K11" s="94"/>
      <c r="L11" s="121" t="str">
        <f>IFERROR(INDEX(레시피북!$C$2:$J$611,MATCH($D11,레시피북!$C$2:$C$611,0),8),"")</f>
        <v/>
      </c>
      <c r="M11" s="113" t="s">
        <v>1566</v>
      </c>
      <c r="N11" s="113"/>
      <c r="O11" s="113"/>
      <c r="P11" s="113" t="s">
        <v>1608</v>
      </c>
      <c r="S11" s="113" t="s">
        <v>1609</v>
      </c>
    </row>
    <row r="12" spans="2:23" ht="39.950000000000003" customHeight="1">
      <c r="B12" s="336"/>
      <c r="C12" s="235" t="s">
        <v>509</v>
      </c>
      <c r="D12" s="96"/>
      <c r="E12" s="115"/>
      <c r="F12" s="116"/>
      <c r="G12" s="106" t="str">
        <f>IFERROR(INDEX(레시피북!$C$2:$H$618,MATCH($D12,레시피북!$C$2:$C$618,0),6),"")</f>
        <v/>
      </c>
      <c r="H12" s="94" t="str">
        <f>IFERROR(INDEX(레시피북!$D$2:$J$611,MATCH($D12,레시피북!$C$2:$C$611,0),6),"")</f>
        <v/>
      </c>
      <c r="I12" s="102" t="s">
        <v>2141</v>
      </c>
      <c r="J12" s="95"/>
      <c r="K12" s="94"/>
      <c r="L12" s="121" t="str">
        <f>IFERROR(INDEX(레시피북!$C$2:$J$611,MATCH($D12,레시피북!$C$2:$C$611,0),8),"")</f>
        <v/>
      </c>
      <c r="M12" s="113"/>
      <c r="N12" s="113"/>
      <c r="O12" s="113"/>
    </row>
    <row r="13" spans="2:23" ht="39.950000000000003" customHeight="1">
      <c r="B13" s="336"/>
      <c r="C13" s="235" t="s">
        <v>510</v>
      </c>
      <c r="D13" s="96"/>
      <c r="E13" s="115"/>
      <c r="F13" s="116"/>
      <c r="G13" s="106" t="str">
        <f>IFERROR(INDEX(레시피북!$C$2:$H$618,MATCH($D13,레시피북!$C$2:$C$618,0),6),"")</f>
        <v/>
      </c>
      <c r="H13" s="94" t="str">
        <f>IFERROR(INDEX(레시피북!$D$2:$J$611,MATCH($D13,레시피북!$C$2:$C$611,0),6),"")</f>
        <v/>
      </c>
      <c r="I13" s="102" t="s">
        <v>2141</v>
      </c>
      <c r="J13" s="95"/>
      <c r="K13" s="94"/>
      <c r="L13" s="121" t="str">
        <f>IFERROR(INDEX(레시피북!$C$2:$J$611,MATCH($D13,레시피북!$C$2:$C$611,0),8),"")</f>
        <v/>
      </c>
      <c r="M13" s="113"/>
      <c r="N13" s="113"/>
      <c r="O13" s="113"/>
    </row>
    <row r="14" spans="2:23" ht="39.950000000000003" customHeight="1">
      <c r="B14" s="336"/>
      <c r="C14" s="151" t="s">
        <v>232</v>
      </c>
      <c r="D14" s="96"/>
      <c r="E14" s="115"/>
      <c r="F14" s="116"/>
      <c r="G14" s="106" t="str">
        <f>IFERROR(INDEX(레시피북!$C$2:$H$618,MATCH($D14,레시피북!$C$2:$C$618,0),6),"")</f>
        <v/>
      </c>
      <c r="H14" s="94" t="str">
        <f>IFERROR(INDEX(레시피북!$D$2:$J$611,MATCH($D14,레시피북!$C$2:$C$611,0),6),"")</f>
        <v/>
      </c>
      <c r="I14" s="102" t="s">
        <v>2141</v>
      </c>
      <c r="J14" s="95"/>
      <c r="K14" s="94"/>
      <c r="L14" s="121" t="str">
        <f>IFERROR(INDEX(레시피북!$C$2:$J$611,MATCH($D14,레시피북!$C$2:$C$611,0),8),"")</f>
        <v/>
      </c>
      <c r="M14" s="113"/>
      <c r="N14" s="113"/>
      <c r="O14" s="113"/>
    </row>
    <row r="15" spans="2:23" ht="39.950000000000003" customHeight="1">
      <c r="B15" s="336"/>
      <c r="C15" s="236" t="s">
        <v>690</v>
      </c>
      <c r="D15" s="96"/>
      <c r="E15" s="115"/>
      <c r="F15" s="115"/>
      <c r="G15" s="106" t="str">
        <f>IFERROR(INDEX(레시피북!$C$2:$H$618,MATCH($D15,레시피북!$C$2:$C$618,0),6),"")</f>
        <v/>
      </c>
      <c r="H15" s="94" t="str">
        <f>IFERROR(INDEX(레시피북!$D$2:$J$611,MATCH($D15,레시피북!$C$2:$C$611,0),6),"")</f>
        <v/>
      </c>
      <c r="I15" s="102" t="s">
        <v>2141</v>
      </c>
      <c r="J15" s="95"/>
      <c r="K15" s="94"/>
      <c r="L15" s="121" t="str">
        <f>IFERROR(INDEX(레시피북!$C$2:$J$611,MATCH($D15,레시피북!$C$2:$C$611,0),8),"")</f>
        <v/>
      </c>
      <c r="M15" s="113"/>
      <c r="N15" s="113"/>
      <c r="O15" s="113"/>
    </row>
    <row r="16" spans="2:23" ht="39.950000000000003" customHeight="1">
      <c r="B16" s="336"/>
      <c r="C16" s="212" t="s">
        <v>1186</v>
      </c>
      <c r="D16" s="96"/>
      <c r="E16" s="115"/>
      <c r="F16" s="115"/>
      <c r="G16" s="106" t="str">
        <f>IFERROR(INDEX(레시피북!$C$2:$H$618,MATCH($D16,레시피북!$C$2:$C$618,0),6),"")</f>
        <v/>
      </c>
      <c r="H16" s="94" t="str">
        <f>IFERROR(INDEX(레시피북!$D$2:$J$611,MATCH($D16,레시피북!$C$2:$C$611,0),6),"")</f>
        <v/>
      </c>
      <c r="I16" s="102" t="s">
        <v>2141</v>
      </c>
      <c r="J16" s="95"/>
      <c r="K16" s="94"/>
      <c r="L16" s="156" t="str">
        <f>IFERROR(INDEX(레시피북!$C$2:$J$611,MATCH($D16,레시피북!$C$2:$C$611,0),8),"")</f>
        <v/>
      </c>
      <c r="M16" s="113"/>
      <c r="N16" s="113"/>
      <c r="O16" s="113"/>
    </row>
    <row r="17" spans="2:15" ht="39.950000000000003" customHeight="1" thickBot="1">
      <c r="B17" s="337"/>
      <c r="C17" s="152" t="s">
        <v>72</v>
      </c>
      <c r="D17" s="201"/>
      <c r="E17" s="123"/>
      <c r="F17" s="124"/>
      <c r="G17" s="205"/>
      <c r="H17" s="157"/>
      <c r="I17" s="128"/>
      <c r="J17" s="126">
        <v>1</v>
      </c>
      <c r="K17" s="126">
        <v>0.25</v>
      </c>
      <c r="L17" s="127"/>
      <c r="M17" s="113"/>
      <c r="N17" s="113"/>
      <c r="O17" s="113"/>
    </row>
    <row r="18" spans="2:15" ht="39.950000000000003" customHeight="1">
      <c r="B18" s="338" t="s">
        <v>1358</v>
      </c>
      <c r="C18" s="93" t="s">
        <v>508</v>
      </c>
      <c r="D18" s="153"/>
      <c r="E18" s="115"/>
      <c r="F18" s="115"/>
      <c r="G18" s="106" t="str">
        <f>IFERROR(INDEX(레시피북!$C$2:$H$618,MATCH($D18,레시피북!$C$2:$C$618,0),6),"")</f>
        <v/>
      </c>
      <c r="H18" s="94" t="str">
        <f>IFERROR(INDEX(레시피북!$D$2:$J$611,MATCH($D18,레시피북!$C$2:$C$611,0),6),"")</f>
        <v/>
      </c>
      <c r="I18" s="102" t="s">
        <v>2140</v>
      </c>
      <c r="J18" s="149"/>
      <c r="K18" s="149"/>
      <c r="L18" s="121" t="str">
        <f>IFERROR(INDEX(레시피북!$C$2:$J$611,MATCH($D18,레시피북!$C$2:$C$611,0),8),"")</f>
        <v/>
      </c>
      <c r="M18" s="113"/>
    </row>
    <row r="19" spans="2:15" ht="39.950000000000003" customHeight="1">
      <c r="B19" s="339"/>
      <c r="C19" s="341" t="s">
        <v>510</v>
      </c>
      <c r="D19" s="153"/>
      <c r="E19" s="115"/>
      <c r="F19" s="115"/>
      <c r="G19" s="106" t="str">
        <f>IFERROR(INDEX(레시피북!$C$2:$H$618,MATCH($D19,레시피북!$C$2:$C$618,0),6),"")</f>
        <v/>
      </c>
      <c r="H19" s="94" t="str">
        <f>IFERROR(INDEX(레시피북!$D$2:$J$611,MATCH($D19,레시피북!$C$2:$C$611,0),6),"")</f>
        <v/>
      </c>
      <c r="I19" s="102" t="s">
        <v>2140</v>
      </c>
      <c r="J19" s="149"/>
      <c r="K19" s="149"/>
      <c r="L19" s="121" t="str">
        <f>IFERROR(INDEX(레시피북!$C$2:$J$611,MATCH($D19,레시피북!$C$2:$C$611,0),8),"")</f>
        <v/>
      </c>
      <c r="M19" s="113"/>
    </row>
    <row r="20" spans="2:15" ht="39.950000000000003" customHeight="1">
      <c r="B20" s="339"/>
      <c r="C20" s="342"/>
      <c r="D20" s="153"/>
      <c r="E20" s="115"/>
      <c r="F20" s="115"/>
      <c r="G20" s="106" t="str">
        <f>IFERROR(INDEX(레시피북!$C$2:$H$618,MATCH($D20,레시피북!$C$2:$C$618,0),6),"")</f>
        <v/>
      </c>
      <c r="H20" s="94" t="str">
        <f>IFERROR(INDEX(레시피북!$D$2:$J$611,MATCH($D20,레시피북!$C$2:$C$611,0),6),"")</f>
        <v/>
      </c>
      <c r="I20" s="102" t="s">
        <v>2140</v>
      </c>
      <c r="J20" s="149"/>
      <c r="K20" s="149"/>
      <c r="L20" s="121" t="str">
        <f>IFERROR(INDEX(레시피북!$C$2:$J$611,MATCH($D20,레시피북!$C$2:$C$611,0),8),"")</f>
        <v/>
      </c>
      <c r="M20" s="113"/>
    </row>
    <row r="21" spans="2:15" ht="39.950000000000003" customHeight="1">
      <c r="B21" s="339"/>
      <c r="C21" s="151" t="s">
        <v>511</v>
      </c>
      <c r="D21" s="153"/>
      <c r="E21" s="115"/>
      <c r="F21" s="115"/>
      <c r="G21" s="106" t="str">
        <f>IFERROR(INDEX(레시피북!$C$2:$H$618,MATCH($D21,레시피북!$C$2:$C$618,0),6),"")</f>
        <v/>
      </c>
      <c r="H21" s="94" t="str">
        <f>IFERROR(INDEX(레시피북!$D$2:$J$611,MATCH($D21,레시피북!$C$2:$C$611,0),6),"")</f>
        <v/>
      </c>
      <c r="I21" s="102" t="s">
        <v>2140</v>
      </c>
      <c r="J21" s="149"/>
      <c r="K21" s="149"/>
      <c r="L21" s="121" t="str">
        <f>IFERROR(INDEX(레시피북!$C$2:$J$611,MATCH($D21,레시피북!$C$2:$C$611,0),8),"")</f>
        <v/>
      </c>
      <c r="M21" s="113"/>
    </row>
    <row r="22" spans="2:15" ht="39.950000000000003" customHeight="1">
      <c r="B22" s="339"/>
      <c r="C22" s="107" t="s">
        <v>690</v>
      </c>
      <c r="D22" s="153"/>
      <c r="E22" s="115"/>
      <c r="F22" s="115"/>
      <c r="G22" s="106" t="str">
        <f>IFERROR(INDEX(레시피북!$C$2:$H$618,MATCH($D22,레시피북!$C$2:$C$618,0),6),"")</f>
        <v/>
      </c>
      <c r="H22" s="94" t="str">
        <f>IFERROR(INDEX(레시피북!$D$2:$J$611,MATCH($D22,레시피북!$C$2:$C$611,0),6),"")</f>
        <v/>
      </c>
      <c r="I22" s="102" t="s">
        <v>2140</v>
      </c>
      <c r="J22" s="149"/>
      <c r="K22" s="149"/>
      <c r="L22" s="121" t="str">
        <f>IFERROR(INDEX(레시피북!$C$2:$J$611,MATCH($D22,레시피북!$C$2:$C$611,0),8),"")</f>
        <v/>
      </c>
      <c r="M22" s="113"/>
    </row>
    <row r="23" spans="2:15" ht="39.950000000000003" customHeight="1">
      <c r="B23" s="339"/>
      <c r="C23" s="151" t="s">
        <v>74</v>
      </c>
      <c r="D23" s="153"/>
      <c r="E23" s="115"/>
      <c r="F23" s="115"/>
      <c r="G23" s="106" t="str">
        <f>IFERROR(INDEX(레시피북!$C$2:$H$618,MATCH($D23,레시피북!$C$2:$C$618,0),6),"")</f>
        <v/>
      </c>
      <c r="H23" s="94" t="str">
        <f>IFERROR(INDEX(레시피북!$D$2:$J$611,MATCH($D23,레시피북!$C$2:$C$611,0),6),"")</f>
        <v/>
      </c>
      <c r="I23" s="102" t="s">
        <v>2140</v>
      </c>
      <c r="J23" s="149"/>
      <c r="K23" s="149"/>
      <c r="L23" s="121" t="str">
        <f>IFERROR(INDEX(레시피북!$C$2:$J$611,MATCH($D23,레시피북!$C$2:$C$611,0),8),"")</f>
        <v/>
      </c>
      <c r="M23" s="113"/>
    </row>
    <row r="24" spans="2:15" ht="39.950000000000003" customHeight="1" thickBot="1">
      <c r="B24" s="340"/>
      <c r="C24" s="122" t="s">
        <v>72</v>
      </c>
      <c r="D24" s="123"/>
      <c r="E24" s="123"/>
      <c r="F24" s="124">
        <v>1</v>
      </c>
      <c r="G24" s="125"/>
      <c r="H24" s="157"/>
      <c r="I24" s="128"/>
      <c r="J24" s="126">
        <v>1</v>
      </c>
      <c r="K24" s="126">
        <v>0.25</v>
      </c>
      <c r="L24" s="127"/>
    </row>
    <row r="25" spans="2:15">
      <c r="L25" s="26"/>
    </row>
    <row r="27" spans="2:15">
      <c r="E27"/>
      <c r="F27" s="114"/>
    </row>
  </sheetData>
  <mergeCells count="6">
    <mergeCell ref="B1:L1"/>
    <mergeCell ref="B3:B9"/>
    <mergeCell ref="S5:W5"/>
    <mergeCell ref="B10:B17"/>
    <mergeCell ref="B18:B24"/>
    <mergeCell ref="C19:C20"/>
  </mergeCells>
  <phoneticPr fontId="12" type="noConversion"/>
  <pageMargins left="0" right="0" top="0.74791663885116577" bottom="0.74791663885116577" header="0.31486111879348755" footer="0.31486111879348755"/>
  <pageSetup paperSize="9" scale="68" orientation="landscape" r:id="rId1"/>
  <headerFooter>
    <oddHeader>&amp;L&amp;"돋움,Regular"&amp;D &amp;T&amp;C&amp;"돋움,Bold"&amp;14키즈락 급식 온라인 생산일지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8">
    <tabColor rgb="FF00B0F0"/>
    <pageSetUpPr fitToPage="1"/>
  </sheetPr>
  <dimension ref="A1:K192"/>
  <sheetViews>
    <sheetView zoomScale="80" zoomScaleNormal="80" zoomScaleSheetLayoutView="75" workbookViewId="0">
      <pane ySplit="1" topLeftCell="A84" activePane="bottomLeft" state="frozen"/>
      <selection activeCell="G4" sqref="G4"/>
      <selection pane="bottomLeft" activeCell="G4" sqref="G4"/>
    </sheetView>
  </sheetViews>
  <sheetFormatPr defaultColWidth="9" defaultRowHeight="16.5"/>
  <cols>
    <col min="1" max="1" width="5.625" customWidth="1"/>
    <col min="2" max="2" width="6.625" customWidth="1"/>
    <col min="3" max="3" width="19.25" bestFit="1" customWidth="1"/>
    <col min="4" max="4" width="10.625" style="8" customWidth="1"/>
    <col min="5" max="5" width="107.875" customWidth="1"/>
    <col min="6" max="6" width="15.75" style="18" customWidth="1"/>
    <col min="7" max="7" width="26.875" customWidth="1"/>
    <col min="8" max="11" width="15.625" style="8" customWidth="1"/>
  </cols>
  <sheetData>
    <row r="1" spans="1:11" ht="33">
      <c r="A1" s="1" t="s">
        <v>71</v>
      </c>
      <c r="B1" s="1" t="s">
        <v>67</v>
      </c>
      <c r="C1" s="1" t="s">
        <v>236</v>
      </c>
      <c r="D1" s="2" t="s">
        <v>261</v>
      </c>
      <c r="E1" s="1" t="s">
        <v>289</v>
      </c>
      <c r="F1" s="1" t="s">
        <v>264</v>
      </c>
      <c r="G1" s="1" t="s">
        <v>246</v>
      </c>
      <c r="H1" s="3" t="s">
        <v>262</v>
      </c>
      <c r="I1" s="2" t="s">
        <v>259</v>
      </c>
      <c r="J1" s="2" t="s">
        <v>247</v>
      </c>
      <c r="K1" s="2" t="s">
        <v>260</v>
      </c>
    </row>
    <row r="2" spans="1:11">
      <c r="A2" s="4">
        <f>SUBTOTAL(3,$C$2:C2)</f>
        <v>1</v>
      </c>
      <c r="B2" s="4"/>
      <c r="C2" s="5" t="s">
        <v>382</v>
      </c>
      <c r="D2" s="6">
        <v>45</v>
      </c>
      <c r="E2" s="5" t="s">
        <v>153</v>
      </c>
      <c r="F2" s="17"/>
      <c r="G2" s="5" t="s">
        <v>101</v>
      </c>
      <c r="H2" s="6">
        <v>57</v>
      </c>
      <c r="I2" s="6">
        <v>2565</v>
      </c>
      <c r="J2" s="6">
        <v>128.25</v>
      </c>
      <c r="K2" s="6">
        <v>2693.25</v>
      </c>
    </row>
    <row r="3" spans="1:11">
      <c r="A3" s="4">
        <f>SUBTOTAL(3,$C$2:C3)</f>
        <v>2</v>
      </c>
      <c r="B3" s="4"/>
      <c r="C3" s="5" t="s">
        <v>435</v>
      </c>
      <c r="D3" s="6">
        <v>30</v>
      </c>
      <c r="E3" s="5" t="s">
        <v>307</v>
      </c>
      <c r="F3" s="17"/>
      <c r="G3" s="5" t="s">
        <v>121</v>
      </c>
      <c r="H3" s="6">
        <v>553</v>
      </c>
      <c r="I3" s="6">
        <v>16590</v>
      </c>
      <c r="J3" s="6">
        <v>829.5</v>
      </c>
      <c r="K3" s="6">
        <v>17419.5</v>
      </c>
    </row>
    <row r="4" spans="1:11">
      <c r="A4" s="4">
        <f>SUBTOTAL(3,$C$2:C4)</f>
        <v>3</v>
      </c>
      <c r="B4" s="4"/>
      <c r="C4" s="5" t="s">
        <v>431</v>
      </c>
      <c r="D4" s="6">
        <v>30</v>
      </c>
      <c r="E4" s="19" t="s">
        <v>494</v>
      </c>
      <c r="F4" s="17">
        <v>43403</v>
      </c>
      <c r="G4" s="5" t="s">
        <v>121</v>
      </c>
      <c r="H4" s="6">
        <v>553</v>
      </c>
      <c r="I4" s="6">
        <v>16590</v>
      </c>
      <c r="J4" s="6">
        <v>829.5</v>
      </c>
      <c r="K4" s="6">
        <v>17419.5</v>
      </c>
    </row>
    <row r="5" spans="1:11">
      <c r="A5" s="4">
        <f>SUBTOTAL(3,$C$2:C5)</f>
        <v>4</v>
      </c>
      <c r="B5" s="4"/>
      <c r="C5" s="5" t="s">
        <v>325</v>
      </c>
      <c r="D5" s="6">
        <v>60</v>
      </c>
      <c r="E5" s="5" t="s">
        <v>77</v>
      </c>
      <c r="F5" s="17"/>
      <c r="G5" s="5" t="s">
        <v>99</v>
      </c>
      <c r="H5" s="6">
        <v>509</v>
      </c>
      <c r="I5" s="6">
        <v>30540</v>
      </c>
      <c r="J5" s="6">
        <v>1527</v>
      </c>
      <c r="K5" s="6">
        <v>32067</v>
      </c>
    </row>
    <row r="6" spans="1:11">
      <c r="A6" s="4">
        <f>SUBTOTAL(3,$C$2:C6)</f>
        <v>5</v>
      </c>
      <c r="B6" s="4"/>
      <c r="C6" s="5" t="s">
        <v>422</v>
      </c>
      <c r="D6" s="6">
        <v>40</v>
      </c>
      <c r="E6" s="5" t="s">
        <v>206</v>
      </c>
      <c r="F6" s="17">
        <v>43406</v>
      </c>
      <c r="G6" s="5" t="s">
        <v>123</v>
      </c>
      <c r="H6" s="6">
        <v>1052</v>
      </c>
      <c r="I6" s="6">
        <v>42080</v>
      </c>
      <c r="J6" s="6">
        <v>2104</v>
      </c>
      <c r="K6" s="6">
        <v>44184</v>
      </c>
    </row>
    <row r="7" spans="1:11">
      <c r="A7" s="4">
        <f>SUBTOTAL(3,$C$2:C7)</f>
        <v>6</v>
      </c>
      <c r="B7" s="4"/>
      <c r="C7" s="5" t="s">
        <v>424</v>
      </c>
      <c r="D7" s="6">
        <v>40</v>
      </c>
      <c r="E7" s="5" t="s">
        <v>207</v>
      </c>
      <c r="F7" s="17"/>
      <c r="G7" s="5" t="s">
        <v>129</v>
      </c>
      <c r="H7" s="6">
        <v>12</v>
      </c>
      <c r="I7" s="6">
        <v>480</v>
      </c>
      <c r="J7" s="6">
        <v>24</v>
      </c>
      <c r="K7" s="6">
        <v>504</v>
      </c>
    </row>
    <row r="8" spans="1:11">
      <c r="A8" s="4">
        <f>SUBTOTAL(3,$C$2:C8)</f>
        <v>7</v>
      </c>
      <c r="B8" s="4"/>
      <c r="C8" s="5" t="s">
        <v>347</v>
      </c>
      <c r="D8" s="6">
        <v>40</v>
      </c>
      <c r="E8" s="5" t="s">
        <v>40</v>
      </c>
      <c r="F8" s="17"/>
      <c r="G8" s="5" t="s">
        <v>118</v>
      </c>
      <c r="H8" s="6">
        <v>8</v>
      </c>
      <c r="I8" s="6">
        <v>320</v>
      </c>
      <c r="J8" s="6">
        <v>16</v>
      </c>
      <c r="K8" s="6">
        <v>336</v>
      </c>
    </row>
    <row r="9" spans="1:11">
      <c r="A9" s="4">
        <f>SUBTOTAL(3,$C$2:C9)</f>
        <v>8</v>
      </c>
      <c r="B9" s="4"/>
      <c r="C9" s="5" t="s">
        <v>364</v>
      </c>
      <c r="D9" s="6">
        <v>40</v>
      </c>
      <c r="E9" s="5" t="s">
        <v>319</v>
      </c>
      <c r="F9" s="17">
        <v>43406</v>
      </c>
      <c r="G9" s="5" t="s">
        <v>105</v>
      </c>
      <c r="H9" s="6">
        <v>12</v>
      </c>
      <c r="I9" s="6">
        <v>480</v>
      </c>
      <c r="J9" s="6">
        <v>24</v>
      </c>
      <c r="K9" s="6">
        <v>504</v>
      </c>
    </row>
    <row r="10" spans="1:11">
      <c r="A10" s="4">
        <f>SUBTOTAL(3,$C$2:C10)</f>
        <v>9</v>
      </c>
      <c r="B10" s="4"/>
      <c r="C10" s="5" t="s">
        <v>439</v>
      </c>
      <c r="D10" s="6">
        <v>40</v>
      </c>
      <c r="E10" s="19" t="s">
        <v>150</v>
      </c>
      <c r="F10" s="17">
        <v>43404</v>
      </c>
      <c r="G10" s="5"/>
      <c r="H10" s="6"/>
      <c r="I10" s="6"/>
      <c r="J10" s="6"/>
      <c r="K10" s="6"/>
    </row>
    <row r="11" spans="1:11">
      <c r="A11" s="4">
        <f>SUBTOTAL(3,$C$2:C11)</f>
        <v>10</v>
      </c>
      <c r="B11" s="4"/>
      <c r="C11" s="5" t="s">
        <v>366</v>
      </c>
      <c r="D11" s="6">
        <v>45</v>
      </c>
      <c r="E11" s="5" t="s">
        <v>208</v>
      </c>
      <c r="F11" s="17">
        <v>43403</v>
      </c>
      <c r="G11" s="9"/>
      <c r="H11" s="11"/>
      <c r="I11" s="11"/>
      <c r="J11" s="11"/>
      <c r="K11" s="11"/>
    </row>
    <row r="12" spans="1:11">
      <c r="A12" s="4">
        <f>SUBTOTAL(3,$C$2:C12)</f>
        <v>11</v>
      </c>
      <c r="B12" s="4"/>
      <c r="C12" s="5" t="s">
        <v>352</v>
      </c>
      <c r="D12" s="6">
        <v>50</v>
      </c>
      <c r="E12" s="5" t="s">
        <v>152</v>
      </c>
      <c r="F12" s="17"/>
      <c r="G12" s="5" t="s">
        <v>138</v>
      </c>
      <c r="H12" s="6">
        <v>513</v>
      </c>
      <c r="I12" s="6">
        <v>25650</v>
      </c>
      <c r="J12" s="6">
        <v>1282.5</v>
      </c>
      <c r="K12" s="6">
        <v>26932.5</v>
      </c>
    </row>
    <row r="13" spans="1:11">
      <c r="A13" s="4">
        <f>SUBTOTAL(3,$C$2:C13)</f>
        <v>12</v>
      </c>
      <c r="B13" s="4"/>
      <c r="C13" s="5" t="s">
        <v>151</v>
      </c>
      <c r="D13" s="6">
        <v>40</v>
      </c>
      <c r="E13" s="5" t="s">
        <v>79</v>
      </c>
      <c r="F13" s="17"/>
      <c r="G13" s="5" t="s">
        <v>125</v>
      </c>
      <c r="H13" s="6">
        <v>12</v>
      </c>
      <c r="I13" s="6">
        <v>480</v>
      </c>
      <c r="J13" s="6">
        <v>24</v>
      </c>
      <c r="K13" s="6">
        <v>504</v>
      </c>
    </row>
    <row r="14" spans="1:11">
      <c r="A14" s="4">
        <f>SUBTOTAL(3,$C$2:C14)</f>
        <v>13</v>
      </c>
      <c r="B14" s="4"/>
      <c r="C14" s="5" t="s">
        <v>367</v>
      </c>
      <c r="D14" s="6">
        <v>50</v>
      </c>
      <c r="E14" s="5" t="s">
        <v>81</v>
      </c>
      <c r="F14" s="17"/>
      <c r="G14" s="5" t="s">
        <v>124</v>
      </c>
      <c r="H14" s="6">
        <v>549</v>
      </c>
      <c r="I14" s="6">
        <v>27450</v>
      </c>
      <c r="J14" s="6">
        <v>1372.5</v>
      </c>
      <c r="K14" s="6">
        <v>28822.5</v>
      </c>
    </row>
    <row r="15" spans="1:11">
      <c r="A15" s="4">
        <f>SUBTOTAL(3,$C$2:C15)</f>
        <v>14</v>
      </c>
      <c r="B15" s="4"/>
      <c r="C15" s="5" t="s">
        <v>383</v>
      </c>
      <c r="D15" s="6">
        <v>33</v>
      </c>
      <c r="E15" s="20" t="s">
        <v>320</v>
      </c>
      <c r="F15" s="17">
        <v>43403</v>
      </c>
      <c r="G15" s="9"/>
      <c r="H15" s="11"/>
      <c r="I15" s="11"/>
      <c r="J15" s="11"/>
      <c r="K15" s="11"/>
    </row>
    <row r="16" spans="1:11">
      <c r="A16" s="4">
        <f>SUBTOTAL(3,$C$2:C16)</f>
        <v>15</v>
      </c>
      <c r="B16" s="4"/>
      <c r="C16" s="5" t="s">
        <v>386</v>
      </c>
      <c r="D16" s="6">
        <v>40</v>
      </c>
      <c r="E16" s="19" t="s">
        <v>150</v>
      </c>
      <c r="F16" s="17">
        <v>43404</v>
      </c>
      <c r="G16" s="9"/>
      <c r="H16" s="11"/>
      <c r="I16" s="11"/>
      <c r="J16" s="11"/>
      <c r="K16" s="11"/>
    </row>
    <row r="17" spans="1:11">
      <c r="A17" s="4">
        <f>SUBTOTAL(3,$C$2:C17)</f>
        <v>16</v>
      </c>
      <c r="B17" s="4"/>
      <c r="C17" s="5" t="s">
        <v>421</v>
      </c>
      <c r="D17" s="6">
        <v>35</v>
      </c>
      <c r="E17" s="5" t="s">
        <v>493</v>
      </c>
      <c r="F17" s="17">
        <v>43406</v>
      </c>
      <c r="G17" s="5" t="s">
        <v>133</v>
      </c>
      <c r="H17" s="6">
        <v>10</v>
      </c>
      <c r="I17" s="6">
        <v>350</v>
      </c>
      <c r="J17" s="6">
        <v>17.5</v>
      </c>
      <c r="K17" s="6">
        <v>367.5</v>
      </c>
    </row>
    <row r="18" spans="1:11">
      <c r="A18" s="4">
        <f>SUBTOTAL(3,$C$2:C18)</f>
        <v>17</v>
      </c>
      <c r="B18" s="4"/>
      <c r="C18" s="5" t="s">
        <v>385</v>
      </c>
      <c r="D18" s="6">
        <v>33</v>
      </c>
      <c r="E18" s="5" t="s">
        <v>199</v>
      </c>
      <c r="F18" s="17"/>
      <c r="G18" s="5" t="s">
        <v>125</v>
      </c>
      <c r="H18" s="6">
        <v>500</v>
      </c>
      <c r="I18" s="6">
        <v>16500</v>
      </c>
      <c r="J18" s="6">
        <v>825</v>
      </c>
      <c r="K18" s="6">
        <v>17325</v>
      </c>
    </row>
    <row r="19" spans="1:11">
      <c r="A19" s="4">
        <f>SUBTOTAL(3,$C$2:C19)</f>
        <v>18</v>
      </c>
      <c r="B19" s="4"/>
      <c r="C19" s="5" t="s">
        <v>440</v>
      </c>
      <c r="D19" s="6">
        <v>5</v>
      </c>
      <c r="E19" s="5" t="s">
        <v>160</v>
      </c>
      <c r="F19" s="17">
        <v>43406</v>
      </c>
      <c r="G19" s="5" t="s">
        <v>104</v>
      </c>
      <c r="H19" s="6">
        <v>507</v>
      </c>
      <c r="I19" s="6">
        <v>2535</v>
      </c>
      <c r="J19" s="6">
        <v>126.75</v>
      </c>
      <c r="K19" s="6">
        <v>2661.75</v>
      </c>
    </row>
    <row r="20" spans="1:11">
      <c r="A20" s="4">
        <f>SUBTOTAL(3,$C$2:C20)</f>
        <v>19</v>
      </c>
      <c r="B20" s="4"/>
      <c r="C20" s="5" t="s">
        <v>426</v>
      </c>
      <c r="D20" s="6">
        <v>50</v>
      </c>
      <c r="E20" s="5" t="s">
        <v>292</v>
      </c>
      <c r="F20" s="17">
        <v>43392</v>
      </c>
      <c r="G20" s="9"/>
      <c r="H20" s="11"/>
      <c r="I20" s="11"/>
      <c r="J20" s="11"/>
      <c r="K20" s="11"/>
    </row>
    <row r="21" spans="1:11">
      <c r="A21" s="4">
        <f>SUBTOTAL(3,$C$2:C21)</f>
        <v>20</v>
      </c>
      <c r="B21" s="4"/>
      <c r="C21" s="5" t="s">
        <v>423</v>
      </c>
      <c r="D21" s="6">
        <v>16</v>
      </c>
      <c r="E21" s="5" t="s">
        <v>154</v>
      </c>
      <c r="F21" s="17">
        <v>43405</v>
      </c>
      <c r="G21" s="9"/>
      <c r="H21" s="11"/>
      <c r="I21" s="11"/>
      <c r="J21" s="11"/>
      <c r="K21" s="11"/>
    </row>
    <row r="22" spans="1:11">
      <c r="A22" s="4">
        <f>SUBTOTAL(3,$C$2:C22)</f>
        <v>21</v>
      </c>
      <c r="B22" s="4"/>
      <c r="C22" s="5" t="s">
        <v>337</v>
      </c>
      <c r="D22" s="6">
        <v>30</v>
      </c>
      <c r="E22" s="5" t="s">
        <v>302</v>
      </c>
      <c r="F22" s="17"/>
      <c r="G22" s="5" t="s">
        <v>115</v>
      </c>
      <c r="H22" s="6">
        <v>549</v>
      </c>
      <c r="I22" s="6">
        <v>16470</v>
      </c>
      <c r="J22" s="6">
        <v>823.5</v>
      </c>
      <c r="K22" s="6">
        <v>17293.5</v>
      </c>
    </row>
    <row r="23" spans="1:11">
      <c r="A23" s="4">
        <f>SUBTOTAL(3,$C$2:C23)</f>
        <v>22</v>
      </c>
      <c r="B23" s="4"/>
      <c r="C23" s="5" t="s">
        <v>339</v>
      </c>
      <c r="D23" s="6">
        <v>50</v>
      </c>
      <c r="E23" s="5" t="s">
        <v>21</v>
      </c>
      <c r="F23" s="17">
        <v>43405</v>
      </c>
      <c r="G23" s="5" t="s">
        <v>137</v>
      </c>
      <c r="H23" s="6">
        <v>12</v>
      </c>
      <c r="I23" s="6">
        <v>600</v>
      </c>
      <c r="J23" s="6">
        <v>30</v>
      </c>
      <c r="K23" s="6">
        <v>630</v>
      </c>
    </row>
    <row r="24" spans="1:11">
      <c r="A24" s="4">
        <f>SUBTOTAL(3,$C$2:C24)</f>
        <v>23</v>
      </c>
      <c r="B24" s="4"/>
      <c r="C24" s="5" t="s">
        <v>340</v>
      </c>
      <c r="D24" s="6">
        <v>50</v>
      </c>
      <c r="E24" s="5" t="s">
        <v>244</v>
      </c>
      <c r="F24" s="17">
        <v>43406</v>
      </c>
      <c r="G24" s="5" t="s">
        <v>105</v>
      </c>
      <c r="H24" s="6">
        <v>469</v>
      </c>
      <c r="I24" s="6">
        <v>23450</v>
      </c>
      <c r="J24" s="6">
        <v>1172.5</v>
      </c>
      <c r="K24" s="6">
        <v>24622.5</v>
      </c>
    </row>
    <row r="25" spans="1:11">
      <c r="A25" s="4">
        <f>SUBTOTAL(3,$C$2:C25)</f>
        <v>24</v>
      </c>
      <c r="B25" s="4"/>
      <c r="C25" s="5" t="s">
        <v>436</v>
      </c>
      <c r="D25" s="6">
        <v>10</v>
      </c>
      <c r="E25" s="19" t="s">
        <v>150</v>
      </c>
      <c r="F25" s="17">
        <v>43404</v>
      </c>
      <c r="G25" s="5"/>
      <c r="H25" s="6"/>
      <c r="I25" s="6"/>
      <c r="J25" s="6"/>
      <c r="K25" s="6"/>
    </row>
    <row r="26" spans="1:11">
      <c r="A26" s="4">
        <f>SUBTOTAL(3,$C$2:C26)</f>
        <v>25</v>
      </c>
      <c r="B26" s="4"/>
      <c r="C26" s="5" t="s">
        <v>254</v>
      </c>
      <c r="D26" s="6">
        <v>50</v>
      </c>
      <c r="E26" s="5" t="s">
        <v>212</v>
      </c>
      <c r="F26" s="17">
        <v>43406</v>
      </c>
      <c r="G26" s="5" t="s">
        <v>500</v>
      </c>
      <c r="H26" s="6">
        <v>500</v>
      </c>
      <c r="I26" s="6">
        <v>25000</v>
      </c>
      <c r="J26" s="6">
        <v>1250</v>
      </c>
      <c r="K26" s="6">
        <v>26250</v>
      </c>
    </row>
    <row r="27" spans="1:11">
      <c r="A27" s="4">
        <f>SUBTOTAL(3,$C$2:C27)</f>
        <v>26</v>
      </c>
      <c r="B27" s="4" t="s">
        <v>73</v>
      </c>
      <c r="C27" s="5" t="s">
        <v>189</v>
      </c>
      <c r="D27" s="6">
        <v>30</v>
      </c>
      <c r="E27" s="5" t="s">
        <v>44</v>
      </c>
      <c r="F27" s="17">
        <v>43535</v>
      </c>
      <c r="G27" s="5" t="s">
        <v>102</v>
      </c>
      <c r="H27" s="6">
        <v>482</v>
      </c>
      <c r="I27" s="6">
        <v>12050</v>
      </c>
      <c r="J27" s="6">
        <v>602.5</v>
      </c>
      <c r="K27" s="6">
        <v>12652.5</v>
      </c>
    </row>
    <row r="28" spans="1:11">
      <c r="A28" s="4">
        <f>SUBTOTAL(3,$C$2:C88)</f>
        <v>87</v>
      </c>
      <c r="B28" s="4" t="s">
        <v>73</v>
      </c>
      <c r="C28" s="5" t="s">
        <v>290</v>
      </c>
      <c r="D28" s="6">
        <v>30</v>
      </c>
      <c r="E28" s="5" t="s">
        <v>318</v>
      </c>
      <c r="F28" s="17">
        <v>43535</v>
      </c>
      <c r="G28" s="5" t="s">
        <v>495</v>
      </c>
      <c r="H28" s="6">
        <v>480</v>
      </c>
      <c r="I28" s="6">
        <v>12000</v>
      </c>
      <c r="J28" s="6">
        <v>600</v>
      </c>
      <c r="K28" s="6">
        <v>12600</v>
      </c>
    </row>
    <row r="29" spans="1:11">
      <c r="A29" s="4">
        <f>SUBTOTAL(3,$C$2:C29)</f>
        <v>28</v>
      </c>
      <c r="B29" s="4" t="s">
        <v>233</v>
      </c>
      <c r="C29" s="5" t="s">
        <v>258</v>
      </c>
      <c r="D29" s="6">
        <v>60</v>
      </c>
      <c r="E29" s="9" t="s">
        <v>240</v>
      </c>
      <c r="F29" s="17">
        <v>43469</v>
      </c>
      <c r="G29" s="5" t="s">
        <v>499</v>
      </c>
      <c r="H29" s="6">
        <v>508</v>
      </c>
      <c r="I29" s="6">
        <v>30480</v>
      </c>
      <c r="J29" s="6">
        <v>1524</v>
      </c>
      <c r="K29" s="6">
        <v>32004</v>
      </c>
    </row>
    <row r="30" spans="1:11">
      <c r="A30" s="4">
        <f>SUBTOTAL(3,$C$2:C30)</f>
        <v>29</v>
      </c>
      <c r="B30" s="4"/>
      <c r="C30" s="5" t="s">
        <v>425</v>
      </c>
      <c r="D30" s="6">
        <v>40</v>
      </c>
      <c r="E30" s="5" t="s">
        <v>155</v>
      </c>
      <c r="F30" s="17">
        <v>43406</v>
      </c>
      <c r="G30" s="5" t="s">
        <v>126</v>
      </c>
      <c r="H30" s="6">
        <v>549</v>
      </c>
      <c r="I30" s="6">
        <v>21960</v>
      </c>
      <c r="J30" s="6">
        <v>1098</v>
      </c>
      <c r="K30" s="6">
        <v>23058</v>
      </c>
    </row>
    <row r="31" spans="1:11">
      <c r="A31" s="4">
        <f>SUBTOTAL(3,$C$2:C31)</f>
        <v>30</v>
      </c>
      <c r="B31" s="4"/>
      <c r="C31" s="5" t="s">
        <v>190</v>
      </c>
      <c r="D31" s="6">
        <v>40</v>
      </c>
      <c r="E31" s="5" t="s">
        <v>78</v>
      </c>
      <c r="F31" s="17"/>
      <c r="G31" s="5"/>
      <c r="H31" s="6"/>
      <c r="I31" s="6"/>
      <c r="J31" s="6"/>
      <c r="K31" s="6"/>
    </row>
    <row r="32" spans="1:11">
      <c r="A32" s="4">
        <f>SUBTOTAL(3,$C$2:C32)</f>
        <v>31</v>
      </c>
      <c r="B32" s="4"/>
      <c r="C32" s="5" t="s">
        <v>196</v>
      </c>
      <c r="D32" s="6">
        <v>45</v>
      </c>
      <c r="E32" s="5" t="s">
        <v>51</v>
      </c>
      <c r="F32" s="17"/>
      <c r="G32" s="5" t="s">
        <v>132</v>
      </c>
      <c r="H32" s="6">
        <v>12</v>
      </c>
      <c r="I32" s="6">
        <v>540</v>
      </c>
      <c r="J32" s="6">
        <v>27</v>
      </c>
      <c r="K32" s="6">
        <v>567</v>
      </c>
    </row>
    <row r="33" spans="1:11">
      <c r="A33" s="4">
        <f>SUBTOTAL(3,$C$2:C33)</f>
        <v>32</v>
      </c>
      <c r="B33" s="4"/>
      <c r="C33" s="5" t="s">
        <v>420</v>
      </c>
      <c r="D33" s="6">
        <v>50</v>
      </c>
      <c r="E33" s="5" t="s">
        <v>241</v>
      </c>
      <c r="F33" s="17"/>
      <c r="G33" s="5" t="s">
        <v>128</v>
      </c>
      <c r="H33" s="6">
        <v>529</v>
      </c>
      <c r="I33" s="6">
        <v>26450</v>
      </c>
      <c r="J33" s="6">
        <v>1322.5</v>
      </c>
      <c r="K33" s="6">
        <v>27772.5</v>
      </c>
    </row>
    <row r="34" spans="1:11">
      <c r="A34" s="4">
        <f>SUBTOTAL(3,$C$2:C34)</f>
        <v>33</v>
      </c>
      <c r="B34" s="4"/>
      <c r="C34" s="5" t="s">
        <v>433</v>
      </c>
      <c r="D34" s="6">
        <v>60</v>
      </c>
      <c r="E34" s="5" t="s">
        <v>35</v>
      </c>
      <c r="F34" s="17"/>
      <c r="G34" s="5" t="s">
        <v>498</v>
      </c>
      <c r="H34" s="6">
        <v>493</v>
      </c>
      <c r="I34" s="6">
        <v>29580</v>
      </c>
      <c r="J34" s="6">
        <v>1479</v>
      </c>
      <c r="K34" s="6">
        <v>31059</v>
      </c>
    </row>
    <row r="35" spans="1:11">
      <c r="A35" s="4">
        <f>SUBTOTAL(3,$C$2:C35)</f>
        <v>34</v>
      </c>
      <c r="B35" s="4"/>
      <c r="C35" s="5" t="s">
        <v>328</v>
      </c>
      <c r="D35" s="6">
        <v>70</v>
      </c>
      <c r="E35" s="5" t="s">
        <v>16</v>
      </c>
      <c r="F35" s="17"/>
      <c r="G35" s="5" t="s">
        <v>100</v>
      </c>
      <c r="H35" s="6">
        <v>508</v>
      </c>
      <c r="I35" s="6">
        <v>35560</v>
      </c>
      <c r="J35" s="6">
        <v>1778</v>
      </c>
      <c r="K35" s="6">
        <v>37338</v>
      </c>
    </row>
    <row r="36" spans="1:11">
      <c r="A36" s="4">
        <f>SUBTOTAL(3,$C$2:C36)</f>
        <v>35</v>
      </c>
      <c r="B36" s="4"/>
      <c r="C36" s="5" t="s">
        <v>437</v>
      </c>
      <c r="D36" s="6">
        <v>45</v>
      </c>
      <c r="E36" s="5" t="s">
        <v>54</v>
      </c>
      <c r="F36" s="17">
        <v>43406</v>
      </c>
      <c r="G36" s="5" t="s">
        <v>121</v>
      </c>
      <c r="H36" s="6">
        <v>553</v>
      </c>
      <c r="I36" s="6">
        <v>24885</v>
      </c>
      <c r="J36" s="6">
        <v>1244.25</v>
      </c>
      <c r="K36" s="6">
        <v>26129.25</v>
      </c>
    </row>
    <row r="37" spans="1:11">
      <c r="A37" s="4">
        <f>SUBTOTAL(3,$C$2:C37)</f>
        <v>36</v>
      </c>
      <c r="B37" s="4"/>
      <c r="C37" s="5" t="s">
        <v>197</v>
      </c>
      <c r="D37" s="6">
        <v>45</v>
      </c>
      <c r="E37" s="5" t="s">
        <v>59</v>
      </c>
      <c r="F37" s="17">
        <v>43406</v>
      </c>
      <c r="G37" s="5" t="s">
        <v>128</v>
      </c>
      <c r="H37" s="6">
        <v>529</v>
      </c>
      <c r="I37" s="6">
        <v>23805</v>
      </c>
      <c r="J37" s="6">
        <v>1190.25</v>
      </c>
      <c r="K37" s="6">
        <v>24995.25</v>
      </c>
    </row>
    <row r="38" spans="1:11">
      <c r="A38" s="4">
        <f>SUBTOTAL(3,$C$2:C38)</f>
        <v>37</v>
      </c>
      <c r="B38" s="4"/>
      <c r="C38" s="5" t="s">
        <v>438</v>
      </c>
      <c r="D38" s="6">
        <v>45</v>
      </c>
      <c r="E38" s="5" t="s">
        <v>301</v>
      </c>
      <c r="F38" s="17">
        <v>43406</v>
      </c>
      <c r="G38" s="5" t="s">
        <v>99</v>
      </c>
      <c r="H38" s="6">
        <v>12</v>
      </c>
      <c r="I38" s="6">
        <v>540</v>
      </c>
      <c r="J38" s="6">
        <v>27</v>
      </c>
      <c r="K38" s="6">
        <v>567</v>
      </c>
    </row>
    <row r="39" spans="1:11">
      <c r="A39" s="4">
        <f>SUBTOTAL(3,$C$2:C39)</f>
        <v>38</v>
      </c>
      <c r="B39" s="4"/>
      <c r="C39" s="5" t="s">
        <v>441</v>
      </c>
      <c r="D39" s="6">
        <v>40</v>
      </c>
      <c r="E39" s="5" t="s">
        <v>55</v>
      </c>
      <c r="F39" s="17">
        <v>43406</v>
      </c>
      <c r="G39" s="5" t="s">
        <v>122</v>
      </c>
      <c r="H39" s="6">
        <v>505</v>
      </c>
      <c r="I39" s="6">
        <v>20200</v>
      </c>
      <c r="J39" s="6">
        <v>1010</v>
      </c>
      <c r="K39" s="6">
        <v>21210</v>
      </c>
    </row>
    <row r="40" spans="1:11">
      <c r="A40" s="4">
        <f>SUBTOTAL(3,$C$2:C40)</f>
        <v>39</v>
      </c>
      <c r="B40" s="4"/>
      <c r="C40" s="5" t="s">
        <v>194</v>
      </c>
      <c r="D40" s="6">
        <v>50</v>
      </c>
      <c r="E40" s="5" t="s">
        <v>315</v>
      </c>
      <c r="F40" s="17"/>
      <c r="G40" s="5" t="s">
        <v>112</v>
      </c>
      <c r="H40" s="6">
        <v>513</v>
      </c>
      <c r="I40" s="6">
        <v>25650</v>
      </c>
      <c r="J40" s="6">
        <v>1282.5</v>
      </c>
      <c r="K40" s="6">
        <v>26932.5</v>
      </c>
    </row>
    <row r="41" spans="1:11">
      <c r="A41" s="4">
        <f>SUBTOTAL(3,$C$2:C41)</f>
        <v>40</v>
      </c>
      <c r="B41" s="4"/>
      <c r="C41" s="5" t="s">
        <v>341</v>
      </c>
      <c r="D41" s="6">
        <v>45</v>
      </c>
      <c r="E41" s="5" t="s">
        <v>80</v>
      </c>
      <c r="F41" s="17"/>
      <c r="G41" s="5" t="s">
        <v>496</v>
      </c>
      <c r="H41" s="6">
        <v>12</v>
      </c>
      <c r="I41" s="6">
        <v>540</v>
      </c>
      <c r="J41" s="6">
        <v>27</v>
      </c>
      <c r="K41" s="6">
        <v>567</v>
      </c>
    </row>
    <row r="42" spans="1:11">
      <c r="A42" s="4">
        <f>SUBTOTAL(3,$C$2:C42)</f>
        <v>41</v>
      </c>
      <c r="B42" s="4"/>
      <c r="C42" s="5" t="s">
        <v>191</v>
      </c>
      <c r="D42" s="6">
        <v>60</v>
      </c>
      <c r="E42" s="5" t="s">
        <v>6</v>
      </c>
      <c r="F42" s="17"/>
      <c r="G42" s="5" t="s">
        <v>101</v>
      </c>
      <c r="H42" s="6">
        <v>57</v>
      </c>
      <c r="I42" s="6">
        <v>3420</v>
      </c>
      <c r="J42" s="6">
        <v>171</v>
      </c>
      <c r="K42" s="6">
        <v>3591</v>
      </c>
    </row>
    <row r="43" spans="1:11">
      <c r="A43" s="4">
        <f>SUBTOTAL(3,$C$2:C43)</f>
        <v>42</v>
      </c>
      <c r="B43" s="4"/>
      <c r="C43" s="5" t="s">
        <v>392</v>
      </c>
      <c r="D43" s="6">
        <v>50</v>
      </c>
      <c r="E43" s="5" t="s">
        <v>209</v>
      </c>
      <c r="F43" s="17">
        <v>43403</v>
      </c>
      <c r="G43" s="9"/>
      <c r="H43" s="11"/>
      <c r="I43" s="11"/>
      <c r="J43" s="11"/>
      <c r="K43" s="11"/>
    </row>
    <row r="44" spans="1:11">
      <c r="A44" s="4">
        <f>SUBTOTAL(3,$C$2:C44)</f>
        <v>43</v>
      </c>
      <c r="B44" s="4"/>
      <c r="C44" s="5" t="s">
        <v>442</v>
      </c>
      <c r="D44" s="6">
        <v>50</v>
      </c>
      <c r="E44" s="5" t="s">
        <v>210</v>
      </c>
      <c r="F44" s="17">
        <v>43406</v>
      </c>
      <c r="G44" s="5" t="s">
        <v>128</v>
      </c>
      <c r="H44" s="6">
        <v>12</v>
      </c>
      <c r="I44" s="6">
        <v>600</v>
      </c>
      <c r="J44" s="6">
        <v>30</v>
      </c>
      <c r="K44" s="6">
        <v>630</v>
      </c>
    </row>
    <row r="45" spans="1:11">
      <c r="A45" s="4">
        <f>SUBTOTAL(3,$C$2:C45)</f>
        <v>44</v>
      </c>
      <c r="B45" s="4"/>
      <c r="C45" s="5" t="s">
        <v>322</v>
      </c>
      <c r="D45" s="6">
        <v>60</v>
      </c>
      <c r="E45" s="5" t="s">
        <v>211</v>
      </c>
      <c r="F45" s="17"/>
      <c r="G45" s="5" t="s">
        <v>102</v>
      </c>
      <c r="H45" s="6">
        <v>482</v>
      </c>
      <c r="I45" s="6">
        <v>28920</v>
      </c>
      <c r="J45" s="6">
        <v>1446</v>
      </c>
      <c r="K45" s="6">
        <v>30366</v>
      </c>
    </row>
    <row r="46" spans="1:11">
      <c r="A46" s="4">
        <f>SUBTOTAL(3,$C$2:C46)</f>
        <v>45</v>
      </c>
      <c r="B46" s="4" t="s">
        <v>233</v>
      </c>
      <c r="C46" s="5" t="s">
        <v>324</v>
      </c>
      <c r="D46" s="6">
        <v>60</v>
      </c>
      <c r="E46" s="9" t="s">
        <v>76</v>
      </c>
      <c r="F46" s="17">
        <v>43469</v>
      </c>
      <c r="G46" s="5" t="s">
        <v>495</v>
      </c>
      <c r="H46" s="6">
        <v>480</v>
      </c>
      <c r="I46" s="6">
        <v>28800</v>
      </c>
      <c r="J46" s="6">
        <v>1440</v>
      </c>
      <c r="K46" s="6">
        <v>30240</v>
      </c>
    </row>
    <row r="47" spans="1:11">
      <c r="A47" s="4">
        <f>SUBTOTAL(3,$C$2:C47)</f>
        <v>46</v>
      </c>
      <c r="B47" s="4"/>
      <c r="C47" s="5" t="s">
        <v>326</v>
      </c>
      <c r="D47" s="6">
        <v>70</v>
      </c>
      <c r="E47" s="5" t="s">
        <v>200</v>
      </c>
      <c r="F47" s="17"/>
      <c r="G47" s="5" t="s">
        <v>103</v>
      </c>
      <c r="H47" s="6">
        <v>513</v>
      </c>
      <c r="I47" s="6">
        <v>35910</v>
      </c>
      <c r="J47" s="6">
        <v>1795.5</v>
      </c>
      <c r="K47" s="6">
        <v>37705.5</v>
      </c>
    </row>
    <row r="48" spans="1:11">
      <c r="A48" s="4">
        <f>SUBTOTAL(3,$C$2:C48)</f>
        <v>47</v>
      </c>
      <c r="B48" s="4"/>
      <c r="C48" s="5" t="s">
        <v>427</v>
      </c>
      <c r="D48" s="6">
        <v>60</v>
      </c>
      <c r="E48" s="5" t="s">
        <v>161</v>
      </c>
      <c r="F48" s="17"/>
      <c r="G48" s="5" t="s">
        <v>134</v>
      </c>
      <c r="H48" s="6">
        <v>466</v>
      </c>
      <c r="I48" s="6">
        <v>27960</v>
      </c>
      <c r="J48" s="6">
        <v>1398</v>
      </c>
      <c r="K48" s="6">
        <v>29358</v>
      </c>
    </row>
    <row r="49" spans="1:11">
      <c r="A49" s="4">
        <f>SUBTOTAL(3,$C$2:C49)</f>
        <v>48</v>
      </c>
      <c r="B49" s="4"/>
      <c r="C49" s="5" t="s">
        <v>178</v>
      </c>
      <c r="D49" s="6">
        <v>60</v>
      </c>
      <c r="E49" s="5" t="s">
        <v>157</v>
      </c>
      <c r="F49" s="17"/>
      <c r="G49" s="5" t="s">
        <v>104</v>
      </c>
      <c r="H49" s="6">
        <v>507</v>
      </c>
      <c r="I49" s="6">
        <v>30420</v>
      </c>
      <c r="J49" s="6">
        <v>1521</v>
      </c>
      <c r="K49" s="6">
        <v>31941</v>
      </c>
    </row>
    <row r="50" spans="1:11">
      <c r="A50" s="4">
        <f>SUBTOTAL(3,$C$2:C50)</f>
        <v>49</v>
      </c>
      <c r="B50" s="4"/>
      <c r="C50" s="5" t="s">
        <v>428</v>
      </c>
      <c r="D50" s="6">
        <v>33</v>
      </c>
      <c r="E50" s="5" t="s">
        <v>156</v>
      </c>
      <c r="F50" s="17"/>
      <c r="G50" s="5" t="s">
        <v>138</v>
      </c>
      <c r="H50" s="6">
        <v>513</v>
      </c>
      <c r="I50" s="6">
        <v>16929</v>
      </c>
      <c r="J50" s="6">
        <v>846.45</v>
      </c>
      <c r="K50" s="6">
        <v>17775.45</v>
      </c>
    </row>
    <row r="51" spans="1:11">
      <c r="A51" s="4">
        <f>SUBTOTAL(3,$C$2:C51)</f>
        <v>50</v>
      </c>
      <c r="B51" s="4"/>
      <c r="C51" s="5" t="s">
        <v>429</v>
      </c>
      <c r="D51" s="6">
        <v>40</v>
      </c>
      <c r="E51" s="5" t="s">
        <v>11</v>
      </c>
      <c r="F51" s="17">
        <v>43406</v>
      </c>
      <c r="G51" s="5" t="s">
        <v>97</v>
      </c>
      <c r="H51" s="6">
        <v>468</v>
      </c>
      <c r="I51" s="6">
        <v>18720</v>
      </c>
      <c r="J51" s="6">
        <v>936</v>
      </c>
      <c r="K51" s="6">
        <v>19656</v>
      </c>
    </row>
    <row r="52" spans="1:11">
      <c r="A52" s="4">
        <f>SUBTOTAL(3,$C$2:C52)</f>
        <v>51</v>
      </c>
      <c r="B52" s="4"/>
      <c r="C52" s="5" t="s">
        <v>417</v>
      </c>
      <c r="D52" s="6">
        <v>50</v>
      </c>
      <c r="E52" s="5" t="s">
        <v>88</v>
      </c>
      <c r="F52" s="17">
        <v>43406</v>
      </c>
      <c r="G52" s="5" t="s">
        <v>501</v>
      </c>
      <c r="H52" s="6">
        <v>455</v>
      </c>
      <c r="I52" s="6">
        <v>22750</v>
      </c>
      <c r="J52" s="6">
        <v>1137.5</v>
      </c>
      <c r="K52" s="6">
        <v>23887.5</v>
      </c>
    </row>
    <row r="53" spans="1:11">
      <c r="A53" s="4">
        <f>SUBTOTAL(3,$C$2:C53)</f>
        <v>52</v>
      </c>
      <c r="B53" s="4"/>
      <c r="C53" s="5" t="s">
        <v>443</v>
      </c>
      <c r="D53" s="6">
        <v>60</v>
      </c>
      <c r="E53" s="21" t="s">
        <v>41</v>
      </c>
      <c r="F53" s="17">
        <v>43406</v>
      </c>
      <c r="G53" s="9"/>
      <c r="H53" s="11"/>
      <c r="I53" s="11"/>
      <c r="J53" s="11"/>
      <c r="K53" s="11"/>
    </row>
    <row r="54" spans="1:11">
      <c r="A54" s="4">
        <f>SUBTOTAL(3,$C$2:C54)</f>
        <v>53</v>
      </c>
      <c r="B54" s="4" t="s">
        <v>233</v>
      </c>
      <c r="C54" s="5" t="s">
        <v>334</v>
      </c>
      <c r="D54" s="6">
        <v>60</v>
      </c>
      <c r="E54" s="9" t="s">
        <v>490</v>
      </c>
      <c r="F54" s="17">
        <v>43469</v>
      </c>
      <c r="G54" s="9"/>
      <c r="H54" s="11"/>
      <c r="I54" s="11"/>
      <c r="J54" s="11"/>
      <c r="K54" s="11"/>
    </row>
    <row r="55" spans="1:11">
      <c r="A55" s="4">
        <f>SUBTOTAL(3,$C$2:C55)</f>
        <v>54</v>
      </c>
      <c r="B55" s="4"/>
      <c r="C55" s="5" t="s">
        <v>358</v>
      </c>
      <c r="D55" s="6">
        <v>50</v>
      </c>
      <c r="E55" s="5" t="s">
        <v>91</v>
      </c>
      <c r="F55" s="17">
        <v>43406</v>
      </c>
      <c r="G55" s="5" t="s">
        <v>102</v>
      </c>
      <c r="H55" s="6">
        <v>12</v>
      </c>
      <c r="I55" s="6">
        <v>600</v>
      </c>
      <c r="J55" s="6">
        <v>30</v>
      </c>
      <c r="K55" s="6">
        <v>630</v>
      </c>
    </row>
    <row r="56" spans="1:11">
      <c r="A56" s="4">
        <f>SUBTOTAL(3,$C$2:C56)</f>
        <v>55</v>
      </c>
      <c r="B56" s="4"/>
      <c r="C56" s="5" t="s">
        <v>444</v>
      </c>
      <c r="D56" s="6">
        <v>70</v>
      </c>
      <c r="E56" s="5" t="s">
        <v>220</v>
      </c>
      <c r="F56" s="17"/>
      <c r="G56" s="5" t="s">
        <v>497</v>
      </c>
      <c r="H56" s="6">
        <v>469</v>
      </c>
      <c r="I56" s="6">
        <v>32830</v>
      </c>
      <c r="J56" s="6">
        <v>1641.5</v>
      </c>
      <c r="K56" s="6">
        <v>34471.5</v>
      </c>
    </row>
    <row r="57" spans="1:11">
      <c r="A57" s="4">
        <f>SUBTOTAL(3,$C$2:C57)</f>
        <v>56</v>
      </c>
      <c r="B57" s="4" t="s">
        <v>233</v>
      </c>
      <c r="C57" s="5" t="s">
        <v>327</v>
      </c>
      <c r="D57" s="6">
        <v>70</v>
      </c>
      <c r="E57" s="9" t="s">
        <v>63</v>
      </c>
      <c r="F57" s="17">
        <v>43469</v>
      </c>
      <c r="G57" s="5" t="s">
        <v>496</v>
      </c>
      <c r="H57" s="6">
        <v>512</v>
      </c>
      <c r="I57" s="6">
        <v>35840</v>
      </c>
      <c r="J57" s="6">
        <v>1792</v>
      </c>
      <c r="K57" s="6">
        <v>37632</v>
      </c>
    </row>
    <row r="58" spans="1:11">
      <c r="A58" s="4">
        <f>SUBTOTAL(3,$C$2:C58)</f>
        <v>57</v>
      </c>
      <c r="B58" s="4"/>
      <c r="C58" s="5" t="s">
        <v>393</v>
      </c>
      <c r="D58" s="6">
        <v>40</v>
      </c>
      <c r="E58" s="5" t="s">
        <v>158</v>
      </c>
      <c r="F58" s="17">
        <v>43406</v>
      </c>
      <c r="G58" s="5" t="s">
        <v>500</v>
      </c>
      <c r="H58" s="6">
        <v>8</v>
      </c>
      <c r="I58" s="6">
        <v>320</v>
      </c>
      <c r="J58" s="6">
        <v>16</v>
      </c>
      <c r="K58" s="6">
        <v>336</v>
      </c>
    </row>
    <row r="59" spans="1:11">
      <c r="A59" s="4">
        <f>SUBTOTAL(3,$C$2:C59)</f>
        <v>58</v>
      </c>
      <c r="B59" s="4"/>
      <c r="C59" s="5" t="s">
        <v>360</v>
      </c>
      <c r="D59" s="6">
        <v>50</v>
      </c>
      <c r="E59" s="5" t="s">
        <v>36</v>
      </c>
      <c r="F59" s="17">
        <v>43405</v>
      </c>
      <c r="G59" s="5" t="s">
        <v>103</v>
      </c>
      <c r="H59" s="6">
        <v>12</v>
      </c>
      <c r="I59" s="6">
        <v>600</v>
      </c>
      <c r="J59" s="6">
        <v>30</v>
      </c>
      <c r="K59" s="6">
        <v>630</v>
      </c>
    </row>
    <row r="60" spans="1:11">
      <c r="A60" s="4">
        <f>SUBTOTAL(3,$C$2:C60)</f>
        <v>59</v>
      </c>
      <c r="B60" s="4"/>
      <c r="C60" s="5" t="s">
        <v>379</v>
      </c>
      <c r="D60" s="6">
        <v>50</v>
      </c>
      <c r="E60" s="5" t="s">
        <v>12</v>
      </c>
      <c r="F60" s="17">
        <v>43405</v>
      </c>
      <c r="G60" s="5" t="s">
        <v>100</v>
      </c>
      <c r="H60" s="6">
        <v>12</v>
      </c>
      <c r="I60" s="6">
        <v>600</v>
      </c>
      <c r="J60" s="6">
        <v>30</v>
      </c>
      <c r="K60" s="6">
        <v>630</v>
      </c>
    </row>
    <row r="61" spans="1:11">
      <c r="A61" s="4">
        <f>SUBTOTAL(3,$C$2:C61)</f>
        <v>60</v>
      </c>
      <c r="B61" s="4"/>
      <c r="C61" s="5" t="s">
        <v>445</v>
      </c>
      <c r="D61" s="6">
        <v>50</v>
      </c>
      <c r="E61" s="5" t="s">
        <v>95</v>
      </c>
      <c r="F61" s="17">
        <v>43406</v>
      </c>
      <c r="G61" s="5" t="s">
        <v>118</v>
      </c>
      <c r="H61" s="6">
        <v>543</v>
      </c>
      <c r="I61" s="6">
        <v>27150</v>
      </c>
      <c r="J61" s="6">
        <v>1357.5</v>
      </c>
      <c r="K61" s="6">
        <v>28507.5</v>
      </c>
    </row>
    <row r="62" spans="1:11">
      <c r="A62" s="4">
        <f>SUBTOTAL(3,$C$2:C62)</f>
        <v>61</v>
      </c>
      <c r="B62" s="4"/>
      <c r="C62" s="5" t="s">
        <v>446</v>
      </c>
      <c r="D62" s="6">
        <v>65</v>
      </c>
      <c r="E62" s="5" t="s">
        <v>159</v>
      </c>
      <c r="F62" s="17">
        <v>43404</v>
      </c>
      <c r="G62" s="7" t="s">
        <v>119</v>
      </c>
      <c r="H62" s="6">
        <v>509</v>
      </c>
      <c r="I62" s="6">
        <v>33085</v>
      </c>
      <c r="J62" s="6">
        <v>1654.25</v>
      </c>
      <c r="K62" s="5"/>
    </row>
    <row r="63" spans="1:11">
      <c r="A63" s="4">
        <f>SUBTOTAL(3,$C$2:C63)</f>
        <v>62</v>
      </c>
      <c r="B63" s="4"/>
      <c r="C63" s="5" t="s">
        <v>430</v>
      </c>
      <c r="D63" s="6">
        <v>50</v>
      </c>
      <c r="E63" s="5" t="s">
        <v>222</v>
      </c>
      <c r="F63" s="17">
        <v>43406</v>
      </c>
      <c r="G63" s="5" t="s">
        <v>101</v>
      </c>
      <c r="H63" s="6">
        <v>12</v>
      </c>
      <c r="I63" s="6">
        <v>600</v>
      </c>
      <c r="J63" s="6">
        <v>30</v>
      </c>
      <c r="K63" s="6">
        <v>630</v>
      </c>
    </row>
    <row r="64" spans="1:11">
      <c r="A64" s="4">
        <f>SUBTOTAL(3,$C$2:C64)</f>
        <v>63</v>
      </c>
      <c r="B64" s="4"/>
      <c r="C64" s="5" t="s">
        <v>434</v>
      </c>
      <c r="D64" s="6">
        <v>30</v>
      </c>
      <c r="E64" s="5" t="s">
        <v>65</v>
      </c>
      <c r="F64" s="17"/>
      <c r="G64" s="5" t="s">
        <v>106</v>
      </c>
      <c r="H64" s="6">
        <v>12</v>
      </c>
      <c r="I64" s="6">
        <v>360</v>
      </c>
      <c r="J64" s="6">
        <v>18</v>
      </c>
      <c r="K64" s="6">
        <v>378</v>
      </c>
    </row>
    <row r="65" spans="1:11">
      <c r="A65" s="4">
        <f>SUBTOTAL(3,$C$2:C65)</f>
        <v>64</v>
      </c>
      <c r="B65" s="4"/>
      <c r="C65" s="5" t="s">
        <v>418</v>
      </c>
      <c r="D65" s="6">
        <v>50</v>
      </c>
      <c r="E65" s="5" t="s">
        <v>27</v>
      </c>
      <c r="F65" s="9"/>
      <c r="G65" s="5" t="s">
        <v>126</v>
      </c>
      <c r="H65" s="6">
        <v>549</v>
      </c>
      <c r="I65" s="6">
        <v>27450</v>
      </c>
      <c r="J65" s="6">
        <v>1372.5</v>
      </c>
      <c r="K65" s="6">
        <v>28822.5</v>
      </c>
    </row>
    <row r="66" spans="1:11">
      <c r="A66" s="4">
        <f>SUBTOTAL(3,$C$2:C66)</f>
        <v>65</v>
      </c>
      <c r="B66" s="4"/>
      <c r="C66" s="5" t="s">
        <v>447</v>
      </c>
      <c r="D66" s="6">
        <v>50</v>
      </c>
      <c r="E66" s="5" t="s">
        <v>201</v>
      </c>
      <c r="F66" s="17">
        <v>43409</v>
      </c>
      <c r="G66" s="5"/>
      <c r="H66" s="6"/>
      <c r="I66" s="6"/>
      <c r="J66" s="6"/>
      <c r="K66" s="6"/>
    </row>
    <row r="67" spans="1:11">
      <c r="A67" s="4">
        <f>SUBTOTAL(3,$C$2:C67)</f>
        <v>66</v>
      </c>
      <c r="B67" s="4" t="s">
        <v>233</v>
      </c>
      <c r="C67" s="5" t="s">
        <v>335</v>
      </c>
      <c r="D67" s="6">
        <v>60</v>
      </c>
      <c r="E67" s="9" t="s">
        <v>491</v>
      </c>
      <c r="F67" s="17">
        <v>43469</v>
      </c>
      <c r="G67" s="5" t="s">
        <v>105</v>
      </c>
      <c r="H67" s="6">
        <v>469</v>
      </c>
      <c r="I67" s="6">
        <v>28140</v>
      </c>
      <c r="J67" s="6">
        <v>1407</v>
      </c>
      <c r="K67" s="6">
        <v>29547</v>
      </c>
    </row>
    <row r="68" spans="1:11">
      <c r="A68" s="4">
        <f>SUBTOTAL(3,$C$2:C68)</f>
        <v>67</v>
      </c>
      <c r="B68" s="4"/>
      <c r="C68" s="5" t="s">
        <v>368</v>
      </c>
      <c r="D68" s="6">
        <v>20</v>
      </c>
      <c r="E68" s="5" t="s">
        <v>90</v>
      </c>
      <c r="F68" s="17">
        <v>43404</v>
      </c>
      <c r="G68" s="5"/>
      <c r="H68" s="6"/>
      <c r="I68" s="6"/>
      <c r="J68" s="6"/>
      <c r="K68" s="6"/>
    </row>
    <row r="69" spans="1:11">
      <c r="A69" s="4">
        <f>SUBTOTAL(3,$C$2:C69)</f>
        <v>68</v>
      </c>
      <c r="B69" s="22" t="s">
        <v>74</v>
      </c>
      <c r="C69" s="5" t="s">
        <v>419</v>
      </c>
      <c r="D69" s="6">
        <v>40</v>
      </c>
      <c r="E69" s="9" t="s">
        <v>26</v>
      </c>
      <c r="F69" s="17">
        <v>43431</v>
      </c>
      <c r="G69" s="9" t="s">
        <v>143</v>
      </c>
      <c r="H69" s="11"/>
      <c r="I69" s="11"/>
      <c r="J69" s="11"/>
      <c r="K69" s="11"/>
    </row>
    <row r="70" spans="1:11">
      <c r="A70" s="4">
        <f>SUBTOTAL(3,$C$2:C70)</f>
        <v>69</v>
      </c>
      <c r="B70" s="4"/>
      <c r="C70" s="5" t="s">
        <v>395</v>
      </c>
      <c r="D70" s="6">
        <v>40</v>
      </c>
      <c r="E70" s="5" t="s">
        <v>217</v>
      </c>
      <c r="F70" s="17">
        <v>43406</v>
      </c>
      <c r="G70" s="5" t="s">
        <v>97</v>
      </c>
      <c r="H70" s="6">
        <v>12</v>
      </c>
      <c r="I70" s="6">
        <v>540</v>
      </c>
      <c r="J70" s="6">
        <v>27</v>
      </c>
      <c r="K70" s="6">
        <v>567</v>
      </c>
    </row>
    <row r="71" spans="1:11">
      <c r="A71" s="4">
        <f>SUBTOTAL(3,$C$2:C71)</f>
        <v>70</v>
      </c>
      <c r="B71" s="4"/>
      <c r="C71" s="5" t="s">
        <v>387</v>
      </c>
      <c r="D71" s="6">
        <v>40</v>
      </c>
      <c r="E71" s="5" t="s">
        <v>52</v>
      </c>
      <c r="F71" s="9"/>
      <c r="G71" s="5" t="s">
        <v>103</v>
      </c>
      <c r="H71" s="6">
        <v>513</v>
      </c>
      <c r="I71" s="6">
        <v>20520</v>
      </c>
      <c r="J71" s="6">
        <v>1026</v>
      </c>
      <c r="K71" s="6">
        <v>21546</v>
      </c>
    </row>
    <row r="72" spans="1:11">
      <c r="A72" s="4">
        <f>SUBTOTAL(3,$C$2:C72)</f>
        <v>71</v>
      </c>
      <c r="B72" s="4"/>
      <c r="C72" s="5" t="s">
        <v>329</v>
      </c>
      <c r="D72" s="6">
        <v>80</v>
      </c>
      <c r="E72" s="5" t="s">
        <v>316</v>
      </c>
      <c r="F72" s="9"/>
      <c r="G72" s="5" t="s">
        <v>138</v>
      </c>
      <c r="H72" s="6">
        <v>513</v>
      </c>
      <c r="I72" s="6">
        <v>41040</v>
      </c>
      <c r="J72" s="6">
        <v>2052</v>
      </c>
      <c r="K72" s="6">
        <v>43092</v>
      </c>
    </row>
    <row r="73" spans="1:11">
      <c r="A73" s="4">
        <f>SUBTOTAL(3,$C$2:C73)</f>
        <v>72</v>
      </c>
      <c r="B73" s="4"/>
      <c r="C73" s="5" t="s">
        <v>432</v>
      </c>
      <c r="D73" s="6">
        <v>15</v>
      </c>
      <c r="E73" s="5" t="s">
        <v>162</v>
      </c>
      <c r="F73" s="17">
        <v>43406</v>
      </c>
      <c r="G73" s="5" t="s">
        <v>111</v>
      </c>
      <c r="H73" s="6">
        <v>0</v>
      </c>
      <c r="I73" s="6">
        <v>0</v>
      </c>
      <c r="J73" s="6">
        <v>0</v>
      </c>
      <c r="K73" s="6">
        <v>0</v>
      </c>
    </row>
    <row r="74" spans="1:11">
      <c r="A74" s="4">
        <f>SUBTOTAL(3,$C$2:C74)</f>
        <v>73</v>
      </c>
      <c r="B74" s="4"/>
      <c r="C74" s="5" t="s">
        <v>451</v>
      </c>
      <c r="D74" s="6">
        <v>15</v>
      </c>
      <c r="E74" s="5" t="s">
        <v>162</v>
      </c>
      <c r="F74" s="17">
        <v>43406</v>
      </c>
      <c r="G74" s="5" t="s">
        <v>111</v>
      </c>
      <c r="H74" s="6">
        <v>0</v>
      </c>
      <c r="I74" s="6">
        <v>0</v>
      </c>
      <c r="J74" s="6">
        <v>0</v>
      </c>
      <c r="K74" s="6">
        <v>0</v>
      </c>
    </row>
    <row r="75" spans="1:11">
      <c r="A75" s="4">
        <f>SUBTOTAL(3,$C$2:C75)</f>
        <v>74</v>
      </c>
      <c r="B75" s="4"/>
      <c r="C75" s="5" t="s">
        <v>394</v>
      </c>
      <c r="D75" s="6">
        <v>35</v>
      </c>
      <c r="E75" s="5" t="s">
        <v>86</v>
      </c>
      <c r="F75" s="17">
        <v>43392</v>
      </c>
      <c r="G75" s="5"/>
      <c r="H75" s="6"/>
      <c r="I75" s="6"/>
      <c r="J75" s="6"/>
      <c r="K75" s="6"/>
    </row>
    <row r="76" spans="1:11">
      <c r="A76" s="4">
        <f>SUBTOTAL(3,$C$2:C76)</f>
        <v>75</v>
      </c>
      <c r="B76" s="4"/>
      <c r="C76" s="5" t="s">
        <v>467</v>
      </c>
      <c r="D76" s="6">
        <v>35</v>
      </c>
      <c r="E76" s="5" t="s">
        <v>85</v>
      </c>
      <c r="F76" s="17">
        <v>43409</v>
      </c>
      <c r="G76" s="5"/>
      <c r="H76" s="6"/>
      <c r="I76" s="6"/>
      <c r="J76" s="6"/>
      <c r="K76" s="6"/>
    </row>
    <row r="77" spans="1:11">
      <c r="A77" s="4">
        <f>SUBTOTAL(3,$C$2:C77)</f>
        <v>76</v>
      </c>
      <c r="B77" s="4"/>
      <c r="C77" s="5" t="s">
        <v>474</v>
      </c>
      <c r="D77" s="6">
        <v>20</v>
      </c>
      <c r="E77" s="5" t="s">
        <v>90</v>
      </c>
      <c r="F77" s="17">
        <v>43403</v>
      </c>
      <c r="G77" s="5"/>
      <c r="H77" s="6"/>
      <c r="I77" s="6"/>
      <c r="J77" s="6"/>
      <c r="K77" s="6"/>
    </row>
    <row r="78" spans="1:11">
      <c r="A78" s="4">
        <f>SUBTOTAL(3,$C$2:C78)</f>
        <v>77</v>
      </c>
      <c r="B78" s="4"/>
      <c r="C78" s="5" t="s">
        <v>453</v>
      </c>
      <c r="D78" s="6">
        <v>20</v>
      </c>
      <c r="E78" s="5" t="s">
        <v>167</v>
      </c>
      <c r="F78" s="17">
        <v>43406</v>
      </c>
      <c r="G78" s="5" t="s">
        <v>503</v>
      </c>
      <c r="H78" s="6">
        <v>12</v>
      </c>
      <c r="I78" s="6">
        <v>240</v>
      </c>
      <c r="J78" s="6">
        <v>12</v>
      </c>
      <c r="K78" s="6">
        <v>252</v>
      </c>
    </row>
    <row r="79" spans="1:11">
      <c r="A79" s="4">
        <f>SUBTOTAL(3,$C$2:C79)</f>
        <v>78</v>
      </c>
      <c r="B79" s="4"/>
      <c r="C79" s="5" t="s">
        <v>471</v>
      </c>
      <c r="D79" s="6">
        <v>30</v>
      </c>
      <c r="E79" s="5" t="s">
        <v>293</v>
      </c>
      <c r="F79" s="17">
        <v>43406</v>
      </c>
      <c r="G79" s="5" t="s">
        <v>135</v>
      </c>
      <c r="H79" s="6">
        <v>491</v>
      </c>
      <c r="I79" s="6">
        <v>12275</v>
      </c>
      <c r="J79" s="6">
        <v>613.75</v>
      </c>
      <c r="K79" s="6">
        <v>12888.75</v>
      </c>
    </row>
    <row r="80" spans="1:11">
      <c r="A80" s="4">
        <f>SUBTOTAL(3,$C$2:C80)</f>
        <v>79</v>
      </c>
      <c r="B80" s="4" t="s">
        <v>74</v>
      </c>
      <c r="C80" s="5" t="s">
        <v>187</v>
      </c>
      <c r="D80" s="6">
        <v>30</v>
      </c>
      <c r="E80" s="9" t="s">
        <v>89</v>
      </c>
      <c r="F80" s="17">
        <v>43468</v>
      </c>
      <c r="G80" s="5" t="s">
        <v>103</v>
      </c>
      <c r="H80" s="6">
        <v>513</v>
      </c>
      <c r="I80" s="6">
        <v>25650</v>
      </c>
      <c r="J80" s="6">
        <v>1282.5</v>
      </c>
      <c r="K80" s="6">
        <v>26932.5</v>
      </c>
    </row>
    <row r="81" spans="1:11">
      <c r="A81" s="4">
        <f>SUBTOTAL(3,$C$2:C81)</f>
        <v>80</v>
      </c>
      <c r="B81" s="4"/>
      <c r="C81" s="5" t="s">
        <v>460</v>
      </c>
      <c r="D81" s="6">
        <v>40</v>
      </c>
      <c r="E81" s="5" t="s">
        <v>306</v>
      </c>
      <c r="F81" s="17">
        <v>43403</v>
      </c>
      <c r="G81" s="5"/>
      <c r="H81" s="6"/>
      <c r="I81" s="6"/>
      <c r="J81" s="6"/>
      <c r="K81" s="6"/>
    </row>
    <row r="82" spans="1:11">
      <c r="A82" s="4">
        <f>SUBTOTAL(3,$C$2:C82)</f>
        <v>81</v>
      </c>
      <c r="B82" s="4"/>
      <c r="C82" s="5" t="s">
        <v>286</v>
      </c>
      <c r="D82" s="6">
        <v>40</v>
      </c>
      <c r="E82" s="5" t="s">
        <v>166</v>
      </c>
      <c r="F82" s="17">
        <v>43404</v>
      </c>
      <c r="G82" s="7" t="s">
        <v>119</v>
      </c>
      <c r="H82" s="6">
        <v>509</v>
      </c>
      <c r="I82" s="6">
        <v>33085</v>
      </c>
      <c r="J82" s="6">
        <v>1654.25</v>
      </c>
      <c r="K82" s="5"/>
    </row>
    <row r="83" spans="1:11">
      <c r="A83" s="4">
        <f>SUBTOTAL(3,$C$2:C83)</f>
        <v>82</v>
      </c>
      <c r="B83" s="4"/>
      <c r="C83" s="5" t="s">
        <v>406</v>
      </c>
      <c r="D83" s="6">
        <v>40</v>
      </c>
      <c r="E83" s="5" t="s">
        <v>42</v>
      </c>
      <c r="F83" s="9"/>
      <c r="G83" s="5" t="s">
        <v>124</v>
      </c>
      <c r="H83" s="6">
        <v>549</v>
      </c>
      <c r="I83" s="6">
        <v>21960</v>
      </c>
      <c r="J83" s="6">
        <v>1098</v>
      </c>
      <c r="K83" s="6">
        <v>23058</v>
      </c>
    </row>
    <row r="84" spans="1:11">
      <c r="A84" s="4">
        <f>SUBTOTAL(3,$C$2:C84)</f>
        <v>83</v>
      </c>
      <c r="B84" s="4"/>
      <c r="C84" s="5" t="s">
        <v>404</v>
      </c>
      <c r="D84" s="6">
        <v>40</v>
      </c>
      <c r="E84" s="5" t="s">
        <v>168</v>
      </c>
      <c r="F84" s="9"/>
      <c r="G84" s="5" t="s">
        <v>135</v>
      </c>
      <c r="H84" s="6">
        <v>491</v>
      </c>
      <c r="I84" s="6">
        <v>17185</v>
      </c>
      <c r="J84" s="6">
        <v>859.25</v>
      </c>
      <c r="K84" s="6">
        <v>18044.25</v>
      </c>
    </row>
    <row r="85" spans="1:11">
      <c r="A85" s="4">
        <f>SUBTOTAL(3,$C$2:C85)</f>
        <v>84</v>
      </c>
      <c r="B85" s="4"/>
      <c r="C85" s="5" t="s">
        <v>475</v>
      </c>
      <c r="D85" s="6">
        <v>50</v>
      </c>
      <c r="E85" s="5" t="s">
        <v>242</v>
      </c>
      <c r="F85" s="17">
        <v>43406</v>
      </c>
      <c r="G85" s="5" t="s">
        <v>104</v>
      </c>
      <c r="H85" s="6">
        <v>12</v>
      </c>
      <c r="I85" s="6">
        <v>600</v>
      </c>
      <c r="J85" s="6">
        <v>30</v>
      </c>
      <c r="K85" s="6">
        <v>630</v>
      </c>
    </row>
    <row r="86" spans="1:11">
      <c r="A86" s="4">
        <f>SUBTOTAL(3,$C$2:C86)</f>
        <v>85</v>
      </c>
      <c r="B86" s="4"/>
      <c r="C86" s="5" t="s">
        <v>391</v>
      </c>
      <c r="D86" s="6">
        <v>50</v>
      </c>
      <c r="E86" s="5" t="s">
        <v>242</v>
      </c>
      <c r="F86" s="17">
        <v>43403</v>
      </c>
      <c r="G86" s="5" t="s">
        <v>104</v>
      </c>
      <c r="H86" s="6">
        <v>12</v>
      </c>
      <c r="I86" s="6">
        <v>600</v>
      </c>
      <c r="J86" s="6">
        <v>30</v>
      </c>
      <c r="K86" s="6">
        <v>630</v>
      </c>
    </row>
    <row r="87" spans="1:11">
      <c r="A87" s="4">
        <f>SUBTOTAL(3,$C$2:C87)</f>
        <v>86</v>
      </c>
      <c r="B87" s="4"/>
      <c r="C87" s="5" t="s">
        <v>179</v>
      </c>
      <c r="D87" s="6">
        <v>60</v>
      </c>
      <c r="E87" s="5" t="s">
        <v>2</v>
      </c>
      <c r="F87" s="17">
        <v>43404</v>
      </c>
      <c r="G87" s="5" t="s">
        <v>127</v>
      </c>
      <c r="H87" s="6">
        <v>479</v>
      </c>
      <c r="I87" s="6">
        <v>28740</v>
      </c>
      <c r="J87" s="6">
        <v>1437</v>
      </c>
      <c r="K87" s="6">
        <v>30177</v>
      </c>
    </row>
    <row r="88" spans="1:11">
      <c r="A88" s="4">
        <f>SUBTOTAL(3,$C$2:C88)</f>
        <v>87</v>
      </c>
      <c r="B88" s="4"/>
      <c r="C88" s="5" t="s">
        <v>452</v>
      </c>
      <c r="D88" s="6">
        <v>50</v>
      </c>
      <c r="E88" s="5" t="s">
        <v>310</v>
      </c>
      <c r="F88" s="17">
        <v>43406</v>
      </c>
      <c r="G88" s="5" t="s">
        <v>500</v>
      </c>
      <c r="H88" s="6">
        <v>500</v>
      </c>
      <c r="I88" s="6">
        <v>25000</v>
      </c>
      <c r="J88" s="6">
        <v>1250</v>
      </c>
      <c r="K88" s="6">
        <v>26250</v>
      </c>
    </row>
    <row r="89" spans="1:11">
      <c r="A89" s="4">
        <f>SUBTOTAL(3,$C$2:C89)</f>
        <v>88</v>
      </c>
      <c r="B89" s="4"/>
      <c r="C89" s="5" t="s">
        <v>407</v>
      </c>
      <c r="D89" s="6">
        <v>50</v>
      </c>
      <c r="E89" s="5" t="s">
        <v>228</v>
      </c>
      <c r="F89" s="17">
        <v>43405</v>
      </c>
      <c r="G89" s="5" t="s">
        <v>100</v>
      </c>
      <c r="H89" s="6">
        <v>508</v>
      </c>
      <c r="I89" s="6">
        <v>22860</v>
      </c>
      <c r="J89" s="6">
        <v>1143</v>
      </c>
      <c r="K89" s="6">
        <v>24003</v>
      </c>
    </row>
    <row r="90" spans="1:11">
      <c r="A90" s="4">
        <f>SUBTOTAL(3,$C$2:C90)</f>
        <v>89</v>
      </c>
      <c r="B90" s="4"/>
      <c r="C90" s="5" t="s">
        <v>365</v>
      </c>
      <c r="D90" s="6">
        <v>15</v>
      </c>
      <c r="E90" s="19" t="s">
        <v>150</v>
      </c>
      <c r="F90" s="17">
        <v>43404</v>
      </c>
      <c r="G90" s="5"/>
      <c r="H90" s="6"/>
      <c r="I90" s="6"/>
      <c r="J90" s="6"/>
      <c r="K90" s="6"/>
    </row>
    <row r="91" spans="1:11">
      <c r="A91" s="4">
        <f>SUBTOTAL(3,$C$2:C91)</f>
        <v>90</v>
      </c>
      <c r="B91" s="4"/>
      <c r="C91" s="5" t="s">
        <v>389</v>
      </c>
      <c r="D91" s="6">
        <v>40</v>
      </c>
      <c r="E91" s="5" t="s">
        <v>294</v>
      </c>
      <c r="F91" s="9"/>
      <c r="G91" s="7" t="s">
        <v>119</v>
      </c>
      <c r="H91" s="6">
        <v>509</v>
      </c>
      <c r="I91" s="6">
        <v>20360</v>
      </c>
      <c r="J91" s="6">
        <v>1018</v>
      </c>
      <c r="K91" s="5"/>
    </row>
    <row r="92" spans="1:11">
      <c r="A92" s="4">
        <f>SUBTOTAL(3,$C$2:C92)</f>
        <v>91</v>
      </c>
      <c r="B92" s="4"/>
      <c r="C92" s="5" t="s">
        <v>369</v>
      </c>
      <c r="D92" s="6">
        <v>45</v>
      </c>
      <c r="E92" s="5" t="s">
        <v>46</v>
      </c>
      <c r="F92" s="17">
        <v>43403</v>
      </c>
      <c r="G92" s="7"/>
      <c r="H92" s="6"/>
      <c r="I92" s="6"/>
      <c r="J92" s="6"/>
      <c r="K92" s="5"/>
    </row>
    <row r="93" spans="1:11">
      <c r="A93" s="4">
        <f>SUBTOTAL(3,$C$2:C93)</f>
        <v>92</v>
      </c>
      <c r="B93" s="4"/>
      <c r="C93" s="5" t="s">
        <v>454</v>
      </c>
      <c r="D93" s="6">
        <v>50</v>
      </c>
      <c r="E93" s="5" t="s">
        <v>87</v>
      </c>
      <c r="F93" s="17">
        <v>43405</v>
      </c>
      <c r="G93" s="5" t="s">
        <v>100</v>
      </c>
      <c r="H93" s="6">
        <v>508</v>
      </c>
      <c r="I93" s="6">
        <v>25400</v>
      </c>
      <c r="J93" s="6">
        <v>1270</v>
      </c>
      <c r="K93" s="6">
        <v>26670</v>
      </c>
    </row>
    <row r="94" spans="1:11">
      <c r="A94" s="4">
        <f>SUBTOTAL(3,$C$2:C94)</f>
        <v>93</v>
      </c>
      <c r="B94" s="4"/>
      <c r="C94" s="5" t="s">
        <v>468</v>
      </c>
      <c r="D94" s="6">
        <v>50</v>
      </c>
      <c r="E94" s="5" t="s">
        <v>303</v>
      </c>
      <c r="F94" s="9"/>
      <c r="G94" s="5" t="s">
        <v>117</v>
      </c>
      <c r="H94" s="6">
        <v>0</v>
      </c>
      <c r="I94" s="6">
        <v>0</v>
      </c>
      <c r="J94" s="6">
        <v>0</v>
      </c>
      <c r="K94" s="6">
        <v>0</v>
      </c>
    </row>
    <row r="95" spans="1:11">
      <c r="A95" s="4">
        <f>SUBTOTAL(3,$C$2:C95)</f>
        <v>94</v>
      </c>
      <c r="B95" s="4"/>
      <c r="C95" s="5" t="s">
        <v>408</v>
      </c>
      <c r="D95" s="6">
        <v>40</v>
      </c>
      <c r="E95" s="5" t="s">
        <v>93</v>
      </c>
      <c r="F95" s="17">
        <v>43406</v>
      </c>
      <c r="G95" s="5" t="s">
        <v>105</v>
      </c>
      <c r="H95" s="6">
        <v>469</v>
      </c>
      <c r="I95" s="6">
        <v>18760</v>
      </c>
      <c r="J95" s="6">
        <v>938</v>
      </c>
      <c r="K95" s="6">
        <v>19698</v>
      </c>
    </row>
    <row r="96" spans="1:11">
      <c r="A96" s="4">
        <f>SUBTOTAL(3,$C$2:C96)</f>
        <v>95</v>
      </c>
      <c r="B96" s="4"/>
      <c r="C96" s="5" t="s">
        <v>195</v>
      </c>
      <c r="D96" s="6">
        <v>50</v>
      </c>
      <c r="E96" s="5" t="s">
        <v>492</v>
      </c>
      <c r="F96" s="9"/>
      <c r="G96" s="5" t="s">
        <v>99</v>
      </c>
      <c r="H96" s="6">
        <v>509</v>
      </c>
      <c r="I96" s="6"/>
      <c r="J96" s="6"/>
      <c r="K96" s="6"/>
    </row>
    <row r="97" spans="1:11">
      <c r="A97" s="4">
        <f>SUBTOTAL(3,$C$2:C97)</f>
        <v>96</v>
      </c>
      <c r="B97" s="4" t="s">
        <v>233</v>
      </c>
      <c r="C97" s="5" t="s">
        <v>476</v>
      </c>
      <c r="D97" s="6">
        <v>60</v>
      </c>
      <c r="E97" s="9" t="s">
        <v>308</v>
      </c>
      <c r="F97" s="17">
        <v>43469</v>
      </c>
      <c r="G97" s="5"/>
      <c r="H97" s="6"/>
      <c r="I97" s="6"/>
      <c r="J97" s="6"/>
      <c r="K97" s="6"/>
    </row>
    <row r="98" spans="1:11">
      <c r="A98" s="4">
        <f>SUBTOTAL(3,$C$2:C98)</f>
        <v>97</v>
      </c>
      <c r="B98" s="4"/>
      <c r="C98" s="5" t="s">
        <v>450</v>
      </c>
      <c r="D98" s="6">
        <v>60</v>
      </c>
      <c r="E98" s="5" t="s">
        <v>92</v>
      </c>
      <c r="F98" s="9"/>
      <c r="G98" s="5" t="s">
        <v>107</v>
      </c>
      <c r="H98" s="6">
        <v>506</v>
      </c>
      <c r="I98" s="6">
        <v>30360</v>
      </c>
      <c r="J98" s="6">
        <v>1518</v>
      </c>
      <c r="K98" s="6">
        <v>31878</v>
      </c>
    </row>
    <row r="99" spans="1:11">
      <c r="A99" s="4">
        <f>SUBTOTAL(3,$C$2:C99)</f>
        <v>98</v>
      </c>
      <c r="B99" s="4"/>
      <c r="C99" s="5" t="s">
        <v>477</v>
      </c>
      <c r="D99" s="6">
        <v>40</v>
      </c>
      <c r="E99" s="5" t="s">
        <v>313</v>
      </c>
      <c r="F99" s="17">
        <v>43406</v>
      </c>
      <c r="G99" s="5" t="s">
        <v>496</v>
      </c>
      <c r="H99" s="6">
        <v>512</v>
      </c>
      <c r="I99" s="6">
        <v>17920</v>
      </c>
      <c r="J99" s="6">
        <v>896</v>
      </c>
      <c r="K99" s="6">
        <v>18816</v>
      </c>
    </row>
    <row r="100" spans="1:11">
      <c r="A100" s="4">
        <f>SUBTOTAL(3,$C$2:C100)</f>
        <v>99</v>
      </c>
      <c r="B100" s="4" t="s">
        <v>233</v>
      </c>
      <c r="C100" s="5" t="s">
        <v>330</v>
      </c>
      <c r="D100" s="6">
        <v>60</v>
      </c>
      <c r="E100" s="9" t="s">
        <v>28</v>
      </c>
      <c r="F100" s="17">
        <v>43469</v>
      </c>
      <c r="G100" s="9"/>
      <c r="H100" s="11"/>
      <c r="I100" s="11"/>
      <c r="J100" s="11"/>
      <c r="K100" s="11"/>
    </row>
    <row r="101" spans="1:11">
      <c r="A101" s="4">
        <f>SUBTOTAL(3,$C$2:C101)</f>
        <v>100</v>
      </c>
      <c r="B101" s="4"/>
      <c r="C101" s="5" t="s">
        <v>409</v>
      </c>
      <c r="D101" s="6">
        <v>40</v>
      </c>
      <c r="E101" s="5" t="s">
        <v>295</v>
      </c>
      <c r="F101" s="9"/>
      <c r="G101" s="5" t="s">
        <v>127</v>
      </c>
      <c r="H101" s="6">
        <v>479</v>
      </c>
      <c r="I101" s="6">
        <v>19160</v>
      </c>
      <c r="J101" s="6">
        <v>958</v>
      </c>
      <c r="K101" s="6">
        <v>20118</v>
      </c>
    </row>
    <row r="102" spans="1:11">
      <c r="A102" s="4">
        <f>SUBTOTAL(3,$C$2:C102)</f>
        <v>101</v>
      </c>
      <c r="B102" s="4" t="s">
        <v>233</v>
      </c>
      <c r="C102" s="5" t="s">
        <v>336</v>
      </c>
      <c r="D102" s="6">
        <v>60</v>
      </c>
      <c r="E102" s="23" t="s">
        <v>213</v>
      </c>
      <c r="F102" s="17">
        <v>43469</v>
      </c>
      <c r="G102" s="9" t="s">
        <v>125</v>
      </c>
      <c r="H102" s="11">
        <v>120</v>
      </c>
      <c r="I102" s="11">
        <v>21600</v>
      </c>
      <c r="J102" s="11">
        <v>1080</v>
      </c>
      <c r="K102" s="11">
        <v>22680</v>
      </c>
    </row>
    <row r="103" spans="1:11">
      <c r="A103" s="4">
        <f>SUBTOTAL(3,$C$2:C103)</f>
        <v>102</v>
      </c>
      <c r="B103" s="4" t="s">
        <v>233</v>
      </c>
      <c r="C103" s="5" t="s">
        <v>349</v>
      </c>
      <c r="D103" s="6">
        <v>60</v>
      </c>
      <c r="E103" s="9" t="s">
        <v>314</v>
      </c>
      <c r="F103" s="17">
        <v>43469</v>
      </c>
      <c r="G103" s="5" t="s">
        <v>116</v>
      </c>
      <c r="H103" s="6">
        <v>389</v>
      </c>
      <c r="I103" s="6">
        <v>23340</v>
      </c>
      <c r="J103" s="6">
        <v>1167</v>
      </c>
      <c r="K103" s="6">
        <v>24507</v>
      </c>
    </row>
    <row r="104" spans="1:11">
      <c r="A104" s="4">
        <f>SUBTOTAL(3,$C$2:C104)</f>
        <v>103</v>
      </c>
      <c r="B104" s="4" t="s">
        <v>233</v>
      </c>
      <c r="C104" s="5" t="s">
        <v>343</v>
      </c>
      <c r="D104" s="6">
        <v>60</v>
      </c>
      <c r="E104" s="25" t="s">
        <v>17</v>
      </c>
      <c r="F104" s="17">
        <v>43469</v>
      </c>
      <c r="G104" s="7" t="s">
        <v>108</v>
      </c>
      <c r="H104" s="6">
        <v>482</v>
      </c>
      <c r="I104" s="6">
        <v>28920</v>
      </c>
      <c r="J104" s="5"/>
      <c r="K104" s="5"/>
    </row>
    <row r="105" spans="1:11">
      <c r="A105" s="4">
        <f>SUBTOTAL(3,$C$2:C105)</f>
        <v>104</v>
      </c>
      <c r="B105" s="4"/>
      <c r="C105" s="5" t="s">
        <v>396</v>
      </c>
      <c r="D105" s="6">
        <v>45</v>
      </c>
      <c r="E105" s="5" t="s">
        <v>56</v>
      </c>
      <c r="F105" s="9"/>
      <c r="G105" s="5" t="s">
        <v>122</v>
      </c>
      <c r="H105" s="6">
        <v>12</v>
      </c>
      <c r="I105" s="6">
        <v>540</v>
      </c>
      <c r="J105" s="6">
        <v>27</v>
      </c>
      <c r="K105" s="6">
        <v>567</v>
      </c>
    </row>
    <row r="106" spans="1:11">
      <c r="A106" s="4">
        <f>SUBTOTAL(3,$C$2:C106)</f>
        <v>105</v>
      </c>
      <c r="B106" s="4" t="s">
        <v>233</v>
      </c>
      <c r="C106" s="5" t="s">
        <v>177</v>
      </c>
      <c r="D106" s="6">
        <v>120</v>
      </c>
      <c r="E106" s="9" t="s">
        <v>243</v>
      </c>
      <c r="F106" s="17">
        <v>43469</v>
      </c>
      <c r="G106" s="5"/>
      <c r="H106" s="6"/>
      <c r="I106" s="6"/>
      <c r="J106" s="6"/>
      <c r="K106" s="6"/>
    </row>
    <row r="107" spans="1:11">
      <c r="A107" s="4">
        <f>SUBTOTAL(3,$C$2:C107)</f>
        <v>106</v>
      </c>
      <c r="B107" s="4"/>
      <c r="C107" s="5" t="s">
        <v>363</v>
      </c>
      <c r="D107" s="6">
        <v>45</v>
      </c>
      <c r="E107" s="19" t="s">
        <v>3</v>
      </c>
      <c r="F107" s="17">
        <v>43404</v>
      </c>
      <c r="G107" s="5" t="s">
        <v>99</v>
      </c>
      <c r="H107" s="6">
        <v>509</v>
      </c>
      <c r="I107" s="6">
        <v>22905</v>
      </c>
      <c r="J107" s="6">
        <v>1145.25</v>
      </c>
      <c r="K107" s="6">
        <v>24050.25</v>
      </c>
    </row>
    <row r="108" spans="1:11">
      <c r="A108" s="4">
        <f>SUBTOTAL(3,$C$2:C108)</f>
        <v>107</v>
      </c>
      <c r="B108" s="4" t="s">
        <v>233</v>
      </c>
      <c r="C108" s="5" t="s">
        <v>344</v>
      </c>
      <c r="D108" s="6">
        <v>60</v>
      </c>
      <c r="E108" s="9" t="s">
        <v>64</v>
      </c>
      <c r="F108" s="17">
        <v>43469</v>
      </c>
      <c r="G108" s="5" t="s">
        <v>97</v>
      </c>
      <c r="H108" s="6">
        <v>468</v>
      </c>
      <c r="I108" s="6">
        <v>28080</v>
      </c>
      <c r="J108" s="6">
        <v>1404</v>
      </c>
      <c r="K108" s="6">
        <v>29484</v>
      </c>
    </row>
    <row r="109" spans="1:11">
      <c r="A109" s="4">
        <f>SUBTOTAL(3,$C$2:C109)</f>
        <v>108</v>
      </c>
      <c r="B109" s="4"/>
      <c r="C109" s="5" t="s">
        <v>463</v>
      </c>
      <c r="D109" s="6">
        <v>40</v>
      </c>
      <c r="E109" s="5" t="s">
        <v>37</v>
      </c>
      <c r="F109" s="17">
        <v>43406</v>
      </c>
      <c r="G109" s="5" t="s">
        <v>105</v>
      </c>
      <c r="H109" s="6">
        <v>12</v>
      </c>
      <c r="I109" s="6">
        <v>480</v>
      </c>
      <c r="J109" s="6">
        <v>24</v>
      </c>
      <c r="K109" s="6">
        <v>504</v>
      </c>
    </row>
    <row r="110" spans="1:11">
      <c r="A110" s="4">
        <f>SUBTOTAL(3,$C$2:C110)</f>
        <v>109</v>
      </c>
      <c r="B110" s="4"/>
      <c r="C110" s="5" t="s">
        <v>370</v>
      </c>
      <c r="D110" s="6">
        <v>40</v>
      </c>
      <c r="E110" s="19" t="s">
        <v>150</v>
      </c>
      <c r="F110" s="17">
        <v>43405</v>
      </c>
      <c r="G110" s="5"/>
      <c r="H110" s="6"/>
      <c r="I110" s="6"/>
      <c r="J110" s="6"/>
      <c r="K110" s="6"/>
    </row>
    <row r="111" spans="1:11">
      <c r="A111" s="4">
        <f>SUBTOTAL(3,$C$2:C111)</f>
        <v>110</v>
      </c>
      <c r="B111" s="4"/>
      <c r="C111" s="5" t="s">
        <v>416</v>
      </c>
      <c r="D111" s="6">
        <v>30</v>
      </c>
      <c r="E111" s="5" t="s">
        <v>49</v>
      </c>
      <c r="F111" s="17">
        <v>43406</v>
      </c>
      <c r="G111" s="5" t="s">
        <v>503</v>
      </c>
      <c r="H111" s="6">
        <v>500</v>
      </c>
      <c r="I111" s="6">
        <v>22500</v>
      </c>
      <c r="J111" s="6">
        <v>1125</v>
      </c>
      <c r="K111" s="6">
        <v>23625</v>
      </c>
    </row>
    <row r="112" spans="1:11">
      <c r="A112" s="4">
        <f>SUBTOTAL(3,$C$2:C112)</f>
        <v>111</v>
      </c>
      <c r="B112" s="4"/>
      <c r="C112" s="5" t="s">
        <v>356</v>
      </c>
      <c r="D112" s="6">
        <v>60</v>
      </c>
      <c r="E112" s="5" t="s">
        <v>202</v>
      </c>
      <c r="F112" s="9"/>
      <c r="G112" s="5" t="s">
        <v>98</v>
      </c>
      <c r="H112" s="6">
        <v>498</v>
      </c>
      <c r="I112" s="6">
        <v>29880</v>
      </c>
      <c r="J112" s="6">
        <v>1494</v>
      </c>
      <c r="K112" s="6">
        <v>31374</v>
      </c>
    </row>
    <row r="113" spans="1:11">
      <c r="A113" s="4">
        <f>SUBTOTAL(3,$C$2:C113)</f>
        <v>112</v>
      </c>
      <c r="B113" s="4"/>
      <c r="C113" s="5" t="s">
        <v>353</v>
      </c>
      <c r="D113" s="6">
        <v>60</v>
      </c>
      <c r="E113" s="5" t="s">
        <v>239</v>
      </c>
      <c r="F113" s="17">
        <v>43404</v>
      </c>
      <c r="G113" s="5"/>
      <c r="H113" s="6"/>
      <c r="I113" s="6"/>
      <c r="J113" s="6"/>
      <c r="K113" s="6"/>
    </row>
    <row r="114" spans="1:11">
      <c r="A114" s="4">
        <f>SUBTOTAL(3,$C$2:C114)</f>
        <v>113</v>
      </c>
      <c r="B114" s="4"/>
      <c r="C114" s="5" t="s">
        <v>380</v>
      </c>
      <c r="D114" s="6">
        <v>40</v>
      </c>
      <c r="E114" s="5" t="s">
        <v>43</v>
      </c>
      <c r="F114" s="17">
        <v>43403</v>
      </c>
      <c r="G114" s="5" t="s">
        <v>112</v>
      </c>
      <c r="H114" s="6">
        <v>12</v>
      </c>
      <c r="I114" s="6">
        <v>480</v>
      </c>
      <c r="J114" s="6">
        <v>24</v>
      </c>
      <c r="K114" s="6">
        <v>504</v>
      </c>
    </row>
    <row r="115" spans="1:11">
      <c r="A115" s="4">
        <f>SUBTOTAL(3,$C$2:C115)</f>
        <v>114</v>
      </c>
      <c r="B115" s="4"/>
      <c r="C115" s="5" t="s">
        <v>362</v>
      </c>
      <c r="D115" s="6">
        <v>40</v>
      </c>
      <c r="E115" s="5" t="s">
        <v>7</v>
      </c>
      <c r="F115" s="9"/>
      <c r="G115" s="5" t="s">
        <v>112</v>
      </c>
      <c r="H115" s="6">
        <v>12</v>
      </c>
      <c r="I115" s="6">
        <v>480</v>
      </c>
      <c r="J115" s="6">
        <v>24</v>
      </c>
      <c r="K115" s="6">
        <v>504</v>
      </c>
    </row>
    <row r="116" spans="1:11">
      <c r="A116" s="4">
        <f>SUBTOTAL(3,$C$2:C116)</f>
        <v>115</v>
      </c>
      <c r="B116" s="4"/>
      <c r="C116" s="5" t="s">
        <v>478</v>
      </c>
      <c r="D116" s="6">
        <v>30</v>
      </c>
      <c r="E116" s="5" t="s">
        <v>57</v>
      </c>
      <c r="F116" s="17">
        <v>43406</v>
      </c>
      <c r="G116" s="5" t="s">
        <v>106</v>
      </c>
      <c r="H116" s="6">
        <v>513</v>
      </c>
      <c r="I116" s="6">
        <v>15390</v>
      </c>
      <c r="J116" s="6">
        <v>769.5</v>
      </c>
      <c r="K116" s="6">
        <v>16159.5</v>
      </c>
    </row>
    <row r="117" spans="1:11">
      <c r="A117" s="4">
        <f>SUBTOTAL(3,$C$2:C117)</f>
        <v>116</v>
      </c>
      <c r="B117" s="4"/>
      <c r="C117" s="5" t="s">
        <v>455</v>
      </c>
      <c r="D117" s="6">
        <v>30</v>
      </c>
      <c r="E117" s="5" t="s">
        <v>164</v>
      </c>
      <c r="F117" s="17">
        <v>43406</v>
      </c>
      <c r="G117" s="5" t="s">
        <v>109</v>
      </c>
      <c r="H117" s="6">
        <v>1490</v>
      </c>
      <c r="I117" s="6">
        <v>59600</v>
      </c>
      <c r="J117" s="6">
        <v>2980</v>
      </c>
      <c r="K117" s="6">
        <v>62580</v>
      </c>
    </row>
    <row r="118" spans="1:11">
      <c r="A118" s="4">
        <f>SUBTOTAL(3,$C$2:C118)</f>
        <v>117</v>
      </c>
      <c r="B118" s="4"/>
      <c r="C118" s="5" t="s">
        <v>402</v>
      </c>
      <c r="D118" s="6">
        <v>30</v>
      </c>
      <c r="E118" s="5" t="s">
        <v>218</v>
      </c>
      <c r="F118" s="9"/>
      <c r="G118" s="5"/>
      <c r="H118" s="6"/>
      <c r="I118" s="6"/>
      <c r="J118" s="6"/>
      <c r="K118" s="6"/>
    </row>
    <row r="119" spans="1:11">
      <c r="A119" s="4">
        <f>SUBTOTAL(3,$C$2:C119)</f>
        <v>118</v>
      </c>
      <c r="B119" s="4"/>
      <c r="C119" s="5" t="s">
        <v>469</v>
      </c>
      <c r="D119" s="6">
        <v>30</v>
      </c>
      <c r="E119" s="5" t="s">
        <v>53</v>
      </c>
      <c r="F119" s="17">
        <v>43406</v>
      </c>
      <c r="G119" s="5" t="s">
        <v>106</v>
      </c>
      <c r="H119" s="6">
        <v>513</v>
      </c>
      <c r="I119" s="6">
        <v>15390</v>
      </c>
      <c r="J119" s="6">
        <v>769.5</v>
      </c>
      <c r="K119" s="6">
        <v>16159.5</v>
      </c>
    </row>
    <row r="120" spans="1:11">
      <c r="A120" s="4">
        <f>SUBTOTAL(3,$C$2:C120)</f>
        <v>119</v>
      </c>
      <c r="B120" s="4"/>
      <c r="C120" s="5" t="s">
        <v>410</v>
      </c>
      <c r="D120" s="6">
        <v>35</v>
      </c>
      <c r="E120" s="5" t="s">
        <v>219</v>
      </c>
      <c r="F120" s="9"/>
      <c r="G120" s="5" t="s">
        <v>115</v>
      </c>
      <c r="H120" s="6">
        <v>549</v>
      </c>
      <c r="I120" s="6">
        <v>19215</v>
      </c>
      <c r="J120" s="6">
        <v>960.75</v>
      </c>
      <c r="K120" s="6">
        <v>20175.75</v>
      </c>
    </row>
    <row r="121" spans="1:11">
      <c r="A121" s="4">
        <f>SUBTOTAL(3,$C$2:C121)</f>
        <v>120</v>
      </c>
      <c r="B121" s="4"/>
      <c r="C121" s="5" t="s">
        <v>456</v>
      </c>
      <c r="D121" s="6">
        <v>50</v>
      </c>
      <c r="E121" s="5" t="s">
        <v>230</v>
      </c>
      <c r="F121" s="9"/>
      <c r="G121" s="5" t="s">
        <v>137</v>
      </c>
      <c r="H121" s="6">
        <v>499</v>
      </c>
      <c r="I121" s="6">
        <v>24950</v>
      </c>
      <c r="J121" s="6">
        <v>1247.5</v>
      </c>
      <c r="K121" s="6">
        <v>26197.5</v>
      </c>
    </row>
    <row r="122" spans="1:11">
      <c r="A122" s="4">
        <f>SUBTOTAL(3,$C$2:C122)</f>
        <v>121</v>
      </c>
      <c r="B122" s="4" t="s">
        <v>232</v>
      </c>
      <c r="C122" s="5" t="s">
        <v>361</v>
      </c>
      <c r="D122" s="6">
        <v>10</v>
      </c>
      <c r="E122" s="9" t="s">
        <v>226</v>
      </c>
      <c r="F122" s="17">
        <v>43406</v>
      </c>
      <c r="G122" s="5" t="s">
        <v>97</v>
      </c>
      <c r="H122" s="6">
        <v>468</v>
      </c>
      <c r="I122" s="6">
        <v>7020</v>
      </c>
      <c r="J122" s="6">
        <v>351</v>
      </c>
      <c r="K122" s="6">
        <v>7371</v>
      </c>
    </row>
    <row r="123" spans="1:11">
      <c r="A123" s="4">
        <f>SUBTOTAL(3,$C$2:C123)</f>
        <v>122</v>
      </c>
      <c r="B123" s="4" t="s">
        <v>233</v>
      </c>
      <c r="C123" s="5" t="s">
        <v>354</v>
      </c>
      <c r="D123" s="6">
        <v>70</v>
      </c>
      <c r="E123" s="9" t="s">
        <v>312</v>
      </c>
      <c r="F123" s="17">
        <v>43469</v>
      </c>
      <c r="G123" s="5" t="s">
        <v>130</v>
      </c>
      <c r="H123" s="6">
        <v>491</v>
      </c>
      <c r="I123" s="6">
        <v>34370</v>
      </c>
      <c r="J123" s="6">
        <v>1718.5</v>
      </c>
      <c r="K123" s="6">
        <v>36088.5</v>
      </c>
    </row>
    <row r="124" spans="1:11">
      <c r="A124" s="4">
        <f>SUBTOTAL(3,$C$2:C124)</f>
        <v>123</v>
      </c>
      <c r="B124" s="4"/>
      <c r="C124" s="5" t="s">
        <v>472</v>
      </c>
      <c r="D124" s="6">
        <v>50</v>
      </c>
      <c r="E124" s="5" t="s">
        <v>296</v>
      </c>
      <c r="F124" s="9"/>
      <c r="G124" s="5" t="s">
        <v>126</v>
      </c>
      <c r="H124" s="6">
        <v>8</v>
      </c>
      <c r="I124" s="6">
        <v>400</v>
      </c>
      <c r="J124" s="6">
        <v>20</v>
      </c>
      <c r="K124" s="6">
        <v>420</v>
      </c>
    </row>
    <row r="125" spans="1:11">
      <c r="A125" s="4">
        <f>SUBTOTAL(3,$C$2:C125)</f>
        <v>124</v>
      </c>
      <c r="B125" s="4"/>
      <c r="C125" s="5" t="s">
        <v>372</v>
      </c>
      <c r="D125" s="6">
        <v>50</v>
      </c>
      <c r="E125" s="5" t="s">
        <v>311</v>
      </c>
      <c r="F125" s="17">
        <v>43406</v>
      </c>
      <c r="G125" s="5" t="s">
        <v>98</v>
      </c>
      <c r="H125" s="6">
        <v>498</v>
      </c>
      <c r="I125" s="6">
        <v>24900</v>
      </c>
      <c r="J125" s="6">
        <v>1245</v>
      </c>
      <c r="K125" s="6">
        <v>26145</v>
      </c>
    </row>
    <row r="126" spans="1:11">
      <c r="A126" s="4">
        <f>SUBTOTAL(3,$C$2:C126)</f>
        <v>125</v>
      </c>
      <c r="B126" s="4"/>
      <c r="C126" s="5" t="s">
        <v>397</v>
      </c>
      <c r="D126" s="6">
        <v>40</v>
      </c>
      <c r="E126" s="5" t="s">
        <v>19</v>
      </c>
      <c r="F126" s="9"/>
      <c r="G126" s="5" t="s">
        <v>129</v>
      </c>
      <c r="H126" s="6">
        <v>498</v>
      </c>
      <c r="I126" s="6">
        <v>19920</v>
      </c>
      <c r="J126" s="6">
        <v>996</v>
      </c>
      <c r="K126" s="6">
        <v>20916</v>
      </c>
    </row>
    <row r="127" spans="1:11">
      <c r="A127" s="4">
        <f>SUBTOTAL(3,$C$2:C127)</f>
        <v>126</v>
      </c>
      <c r="B127" s="4"/>
      <c r="C127" s="5" t="s">
        <v>457</v>
      </c>
      <c r="D127" s="6">
        <v>60</v>
      </c>
      <c r="E127" s="5" t="s">
        <v>203</v>
      </c>
      <c r="F127" s="9"/>
      <c r="G127" s="5" t="s">
        <v>111</v>
      </c>
      <c r="H127" s="6">
        <v>620</v>
      </c>
      <c r="I127" s="6">
        <v>37200</v>
      </c>
      <c r="J127" s="6">
        <v>1860</v>
      </c>
      <c r="K127" s="6">
        <v>39060</v>
      </c>
    </row>
    <row r="128" spans="1:11">
      <c r="A128" s="4">
        <f>SUBTOTAL(3,$C$2:C128)</f>
        <v>127</v>
      </c>
      <c r="B128" s="4"/>
      <c r="C128" s="5" t="s">
        <v>465</v>
      </c>
      <c r="D128" s="6">
        <v>50</v>
      </c>
      <c r="E128" s="5" t="s">
        <v>82</v>
      </c>
      <c r="F128" s="17">
        <v>43406</v>
      </c>
      <c r="G128" s="5" t="s">
        <v>98</v>
      </c>
      <c r="H128" s="6">
        <v>12</v>
      </c>
      <c r="I128" s="6">
        <v>600</v>
      </c>
      <c r="J128" s="6">
        <v>30</v>
      </c>
      <c r="K128" s="6">
        <v>630</v>
      </c>
    </row>
    <row r="129" spans="1:11">
      <c r="A129" s="4">
        <f>SUBTOTAL(3,$C$2:C129)</f>
        <v>128</v>
      </c>
      <c r="B129" s="4"/>
      <c r="C129" s="5" t="s">
        <v>458</v>
      </c>
      <c r="D129" s="6">
        <v>40</v>
      </c>
      <c r="E129" s="5" t="s">
        <v>50</v>
      </c>
      <c r="F129" s="17">
        <v>43403</v>
      </c>
      <c r="G129" s="9" t="s">
        <v>143</v>
      </c>
      <c r="H129" s="11"/>
      <c r="I129" s="11"/>
      <c r="J129" s="11"/>
      <c r="K129" s="11"/>
    </row>
    <row r="130" spans="1:11">
      <c r="A130" s="4">
        <f>SUBTOTAL(3,$C$2:C130)</f>
        <v>129</v>
      </c>
      <c r="B130" s="4"/>
      <c r="C130" s="5" t="s">
        <v>398</v>
      </c>
      <c r="D130" s="6">
        <v>30</v>
      </c>
      <c r="E130" s="5" t="s">
        <v>84</v>
      </c>
      <c r="F130" s="9"/>
      <c r="G130" s="5" t="s">
        <v>129</v>
      </c>
      <c r="H130" s="6">
        <v>498</v>
      </c>
      <c r="I130" s="6">
        <v>24900</v>
      </c>
      <c r="J130" s="6">
        <v>1245</v>
      </c>
      <c r="K130" s="6">
        <v>26145</v>
      </c>
    </row>
    <row r="131" spans="1:11">
      <c r="A131" s="4">
        <f>SUBTOTAL(3,$C$2:C131)</f>
        <v>130</v>
      </c>
      <c r="B131" s="4"/>
      <c r="C131" s="5" t="s">
        <v>459</v>
      </c>
      <c r="D131" s="6">
        <v>40</v>
      </c>
      <c r="E131" s="5" t="s">
        <v>204</v>
      </c>
      <c r="F131" s="17">
        <v>43406</v>
      </c>
      <c r="G131" s="5" t="s">
        <v>106</v>
      </c>
      <c r="H131" s="6">
        <v>513</v>
      </c>
      <c r="I131" s="6">
        <v>20520</v>
      </c>
      <c r="J131" s="6">
        <v>1026</v>
      </c>
      <c r="K131" s="6">
        <v>21546</v>
      </c>
    </row>
    <row r="132" spans="1:11">
      <c r="A132" s="4">
        <f>SUBTOTAL(3,$C$2:C132)</f>
        <v>131</v>
      </c>
      <c r="B132" s="4"/>
      <c r="C132" s="5" t="s">
        <v>448</v>
      </c>
      <c r="D132" s="6">
        <v>100</v>
      </c>
      <c r="E132" s="5" t="s">
        <v>227</v>
      </c>
      <c r="F132" s="9"/>
      <c r="G132" s="5" t="s">
        <v>120</v>
      </c>
      <c r="H132" s="6">
        <v>519</v>
      </c>
      <c r="I132" s="6">
        <v>51900</v>
      </c>
      <c r="J132" s="6">
        <v>2595</v>
      </c>
      <c r="K132" s="6">
        <v>54495</v>
      </c>
    </row>
    <row r="133" spans="1:11">
      <c r="A133" s="4">
        <f>SUBTOTAL(3,$C$2:C133)</f>
        <v>132</v>
      </c>
      <c r="B133" s="4"/>
      <c r="C133" s="5" t="s">
        <v>411</v>
      </c>
      <c r="D133" s="6">
        <v>50</v>
      </c>
      <c r="E133" s="5" t="s">
        <v>227</v>
      </c>
      <c r="F133" s="17"/>
      <c r="G133" s="9" t="s">
        <v>120</v>
      </c>
      <c r="H133" s="11">
        <v>519</v>
      </c>
      <c r="I133" s="11">
        <v>51900</v>
      </c>
      <c r="J133" s="11">
        <v>2595</v>
      </c>
      <c r="K133" s="11">
        <v>54495</v>
      </c>
    </row>
    <row r="134" spans="1:11">
      <c r="A134" s="4">
        <f>SUBTOTAL(3,$C$2:C134)</f>
        <v>133</v>
      </c>
      <c r="B134" s="4"/>
      <c r="C134" s="5" t="s">
        <v>461</v>
      </c>
      <c r="D134" s="6">
        <v>45</v>
      </c>
      <c r="E134" s="5" t="s">
        <v>32</v>
      </c>
      <c r="F134" s="17">
        <v>43406</v>
      </c>
      <c r="G134" s="5" t="s">
        <v>101</v>
      </c>
      <c r="H134" s="6">
        <v>57</v>
      </c>
      <c r="I134" s="6">
        <v>2565</v>
      </c>
      <c r="J134" s="6">
        <v>128.25</v>
      </c>
      <c r="K134" s="6">
        <v>2693.25</v>
      </c>
    </row>
    <row r="135" spans="1:11">
      <c r="A135" s="4">
        <f>SUBTOTAL(3,$C$2:C135)</f>
        <v>134</v>
      </c>
      <c r="B135" s="4"/>
      <c r="C135" s="5" t="s">
        <v>462</v>
      </c>
      <c r="D135" s="6">
        <v>40</v>
      </c>
      <c r="E135" s="5" t="s">
        <v>38</v>
      </c>
      <c r="F135" s="9"/>
      <c r="G135" s="5" t="s">
        <v>110</v>
      </c>
      <c r="H135" s="6">
        <v>1352</v>
      </c>
      <c r="I135" s="6">
        <v>54080</v>
      </c>
      <c r="J135" s="6">
        <v>2704</v>
      </c>
      <c r="K135" s="6">
        <v>56784</v>
      </c>
    </row>
    <row r="136" spans="1:11">
      <c r="A136" s="4">
        <f>SUBTOTAL(3,$C$2:C136)</f>
        <v>135</v>
      </c>
      <c r="B136" s="4"/>
      <c r="C136" s="5" t="s">
        <v>412</v>
      </c>
      <c r="D136" s="6">
        <v>45</v>
      </c>
      <c r="E136" s="5" t="s">
        <v>223</v>
      </c>
      <c r="F136" s="9"/>
      <c r="G136" s="7" t="s">
        <v>119</v>
      </c>
      <c r="H136" s="6">
        <v>509</v>
      </c>
      <c r="I136" s="6">
        <v>22905</v>
      </c>
      <c r="J136" s="6">
        <v>1145.25</v>
      </c>
      <c r="K136" s="5"/>
    </row>
    <row r="137" spans="1:11">
      <c r="A137" s="4">
        <f>SUBTOTAL(3,$C$2:C137)</f>
        <v>136</v>
      </c>
      <c r="B137" s="4"/>
      <c r="C137" s="5" t="s">
        <v>375</v>
      </c>
      <c r="D137" s="6">
        <v>50</v>
      </c>
      <c r="E137" s="5" t="s">
        <v>15</v>
      </c>
      <c r="F137" s="17">
        <v>43406</v>
      </c>
      <c r="G137" s="5" t="s">
        <v>136</v>
      </c>
      <c r="H137" s="6">
        <v>0</v>
      </c>
      <c r="I137" s="6">
        <v>0</v>
      </c>
      <c r="J137" s="6">
        <v>0</v>
      </c>
      <c r="K137" s="6">
        <v>0</v>
      </c>
    </row>
    <row r="138" spans="1:11">
      <c r="A138" s="4">
        <f>SUBTOTAL(3,$C$2:C138)</f>
        <v>137</v>
      </c>
      <c r="B138" s="4"/>
      <c r="C138" s="5" t="s">
        <v>253</v>
      </c>
      <c r="D138" s="6">
        <v>50</v>
      </c>
      <c r="E138" s="5" t="s">
        <v>297</v>
      </c>
      <c r="F138" s="17">
        <v>43402</v>
      </c>
      <c r="G138" s="9"/>
      <c r="H138" s="11"/>
      <c r="I138" s="11"/>
      <c r="J138" s="11"/>
      <c r="K138" s="11"/>
    </row>
    <row r="139" spans="1:11">
      <c r="A139" s="4">
        <f>SUBTOTAL(3,$C$2:C139)</f>
        <v>138</v>
      </c>
      <c r="B139" s="4"/>
      <c r="C139" s="5" t="s">
        <v>449</v>
      </c>
      <c r="D139" s="6">
        <v>40</v>
      </c>
      <c r="E139" s="5" t="s">
        <v>58</v>
      </c>
      <c r="F139" s="17">
        <v>43409</v>
      </c>
      <c r="G139" s="9"/>
      <c r="H139" s="11"/>
      <c r="I139" s="11"/>
      <c r="J139" s="11"/>
      <c r="K139" s="11"/>
    </row>
    <row r="140" spans="1:11">
      <c r="A140" s="4">
        <f>SUBTOTAL(3,$C$2:C140)</f>
        <v>139</v>
      </c>
      <c r="B140" s="4"/>
      <c r="C140" s="5" t="s">
        <v>473</v>
      </c>
      <c r="D140" s="6">
        <v>40</v>
      </c>
      <c r="E140" s="5" t="s">
        <v>39</v>
      </c>
      <c r="F140" s="17">
        <v>43406</v>
      </c>
      <c r="G140" s="5" t="s">
        <v>131</v>
      </c>
      <c r="H140" s="6">
        <v>1719</v>
      </c>
      <c r="I140" s="6">
        <v>68760</v>
      </c>
      <c r="J140" s="6">
        <v>3438</v>
      </c>
      <c r="K140" s="6">
        <v>72198</v>
      </c>
    </row>
    <row r="141" spans="1:11">
      <c r="A141" s="4">
        <f>SUBTOTAL(3,$C$2:C141)</f>
        <v>140</v>
      </c>
      <c r="B141" s="4"/>
      <c r="C141" s="5" t="s">
        <v>470</v>
      </c>
      <c r="D141" s="6">
        <v>40</v>
      </c>
      <c r="E141" s="5" t="s">
        <v>221</v>
      </c>
      <c r="F141" s="17">
        <v>43406</v>
      </c>
      <c r="G141" s="5" t="s">
        <v>113</v>
      </c>
      <c r="H141" s="6">
        <v>1281</v>
      </c>
      <c r="I141" s="6">
        <v>51240</v>
      </c>
      <c r="J141" s="6">
        <v>2562</v>
      </c>
      <c r="K141" s="6">
        <v>53802</v>
      </c>
    </row>
    <row r="142" spans="1:11">
      <c r="A142" s="4">
        <f>SUBTOTAL(3,$C$2:C142)</f>
        <v>141</v>
      </c>
      <c r="B142" s="4"/>
      <c r="C142" s="5" t="s">
        <v>403</v>
      </c>
      <c r="D142" s="6">
        <v>35</v>
      </c>
      <c r="E142" s="5" t="s">
        <v>221</v>
      </c>
      <c r="F142" s="9"/>
      <c r="G142" s="5" t="s">
        <v>102</v>
      </c>
      <c r="H142" s="6">
        <v>482</v>
      </c>
      <c r="I142" s="6">
        <v>16870</v>
      </c>
      <c r="J142" s="6">
        <v>843.5</v>
      </c>
      <c r="K142" s="6">
        <v>17713.5</v>
      </c>
    </row>
    <row r="143" spans="1:11">
      <c r="A143" s="4">
        <f>SUBTOTAL(3,$C$2:C143)</f>
        <v>142</v>
      </c>
      <c r="B143" s="4"/>
      <c r="C143" s="5" t="s">
        <v>464</v>
      </c>
      <c r="D143" s="6">
        <v>60</v>
      </c>
      <c r="E143" s="5" t="s">
        <v>309</v>
      </c>
      <c r="F143" s="9"/>
      <c r="G143" s="7" t="s">
        <v>502</v>
      </c>
      <c r="H143" s="6">
        <v>478</v>
      </c>
      <c r="I143" s="6">
        <v>28680</v>
      </c>
      <c r="J143" s="6">
        <v>1434</v>
      </c>
      <c r="K143" s="5"/>
    </row>
    <row r="144" spans="1:11">
      <c r="A144" s="4">
        <f>SUBTOTAL(3,$C$2:C144)</f>
        <v>143</v>
      </c>
      <c r="B144" s="4"/>
      <c r="C144" s="5" t="s">
        <v>466</v>
      </c>
      <c r="D144" s="6">
        <v>30</v>
      </c>
      <c r="E144" s="5" t="s">
        <v>225</v>
      </c>
      <c r="F144" s="9"/>
      <c r="G144" s="5" t="s">
        <v>100</v>
      </c>
      <c r="H144" s="6">
        <v>508</v>
      </c>
      <c r="I144" s="6">
        <v>22860</v>
      </c>
      <c r="J144" s="6">
        <v>1143</v>
      </c>
      <c r="K144" s="6">
        <v>24003</v>
      </c>
    </row>
    <row r="145" spans="1:11">
      <c r="A145" s="4">
        <f>SUBTOTAL(3,$C$2:C145)</f>
        <v>144</v>
      </c>
      <c r="B145" s="4"/>
      <c r="C145" s="5" t="s">
        <v>384</v>
      </c>
      <c r="D145" s="6">
        <v>30</v>
      </c>
      <c r="E145" s="5" t="s">
        <v>298</v>
      </c>
      <c r="F145" s="17">
        <v>43405</v>
      </c>
      <c r="G145" s="5" t="s">
        <v>121</v>
      </c>
      <c r="H145" s="6">
        <v>8</v>
      </c>
      <c r="I145" s="6">
        <v>240</v>
      </c>
      <c r="J145" s="6">
        <v>12</v>
      </c>
      <c r="K145" s="6">
        <v>252</v>
      </c>
    </row>
    <row r="146" spans="1:11">
      <c r="A146" s="4">
        <f>SUBTOTAL(3,$C$2:C146)</f>
        <v>145</v>
      </c>
      <c r="B146" s="4"/>
      <c r="C146" s="5" t="s">
        <v>400</v>
      </c>
      <c r="D146" s="6">
        <v>30</v>
      </c>
      <c r="E146" s="5" t="s">
        <v>53</v>
      </c>
      <c r="F146" s="9"/>
      <c r="G146" s="5" t="s">
        <v>106</v>
      </c>
      <c r="H146" s="6">
        <v>513</v>
      </c>
      <c r="I146" s="6">
        <v>15390</v>
      </c>
      <c r="J146" s="6">
        <v>769.5</v>
      </c>
      <c r="K146" s="6">
        <v>16159.5</v>
      </c>
    </row>
    <row r="147" spans="1:11">
      <c r="A147" s="4">
        <f>SUBTOTAL(3,$C$2:C147)</f>
        <v>146</v>
      </c>
      <c r="B147" s="4"/>
      <c r="C147" s="5" t="s">
        <v>485</v>
      </c>
      <c r="D147" s="6">
        <v>200</v>
      </c>
      <c r="E147" s="5" t="s">
        <v>215</v>
      </c>
      <c r="F147" s="9"/>
      <c r="G147" s="5" t="s">
        <v>139</v>
      </c>
      <c r="H147" s="6">
        <v>62</v>
      </c>
      <c r="I147" s="6">
        <v>12400</v>
      </c>
      <c r="J147" s="6">
        <v>620</v>
      </c>
      <c r="K147" s="6">
        <v>13020</v>
      </c>
    </row>
    <row r="148" spans="1:11">
      <c r="A148" s="4">
        <f>SUBTOTAL(3,$C$2:C148)</f>
        <v>147</v>
      </c>
      <c r="B148" s="4"/>
      <c r="C148" s="5" t="s">
        <v>172</v>
      </c>
      <c r="D148" s="6">
        <v>12</v>
      </c>
      <c r="E148" s="5" t="s">
        <v>229</v>
      </c>
      <c r="F148" s="17">
        <v>43406</v>
      </c>
      <c r="G148" s="5" t="s">
        <v>138</v>
      </c>
      <c r="H148" s="6">
        <v>12</v>
      </c>
      <c r="I148" s="6">
        <v>144</v>
      </c>
      <c r="J148" s="6">
        <v>7.2</v>
      </c>
      <c r="K148" s="6">
        <v>151.19999999999999</v>
      </c>
    </row>
    <row r="149" spans="1:11">
      <c r="A149" s="4">
        <f>SUBTOTAL(3,$C$2:C149)</f>
        <v>148</v>
      </c>
      <c r="B149" s="4"/>
      <c r="C149" s="5" t="s">
        <v>484</v>
      </c>
      <c r="D149" s="6">
        <v>50</v>
      </c>
      <c r="E149" s="5" t="s">
        <v>45</v>
      </c>
      <c r="F149" s="9"/>
      <c r="G149" s="5" t="s">
        <v>136</v>
      </c>
      <c r="H149" s="6">
        <v>1636</v>
      </c>
      <c r="I149" s="6">
        <v>81800</v>
      </c>
      <c r="J149" s="6">
        <v>4090</v>
      </c>
      <c r="K149" s="6">
        <v>85890</v>
      </c>
    </row>
    <row r="150" spans="1:11">
      <c r="A150" s="4">
        <f>SUBTOTAL(3,$C$2:C150)</f>
        <v>149</v>
      </c>
      <c r="B150" s="4"/>
      <c r="C150" s="5" t="s">
        <v>414</v>
      </c>
      <c r="D150" s="6">
        <v>5</v>
      </c>
      <c r="E150" s="19" t="s">
        <v>160</v>
      </c>
      <c r="F150" s="17">
        <v>43406</v>
      </c>
      <c r="G150" s="5" t="s">
        <v>104</v>
      </c>
      <c r="H150" s="6">
        <v>507</v>
      </c>
      <c r="I150" s="6">
        <v>2535</v>
      </c>
      <c r="J150" s="6">
        <v>126.75</v>
      </c>
      <c r="K150" s="6">
        <v>2661.75</v>
      </c>
    </row>
    <row r="151" spans="1:11">
      <c r="A151" s="4">
        <f>SUBTOTAL(3,$C$2:C151)</f>
        <v>150</v>
      </c>
      <c r="B151" s="4"/>
      <c r="C151" s="5" t="s">
        <v>486</v>
      </c>
      <c r="D151" s="6">
        <v>16</v>
      </c>
      <c r="E151" s="5" t="s">
        <v>154</v>
      </c>
      <c r="F151" s="17">
        <v>43406</v>
      </c>
      <c r="G151" s="7" t="s">
        <v>119</v>
      </c>
      <c r="H151" s="6">
        <v>12</v>
      </c>
      <c r="I151" s="6">
        <v>192</v>
      </c>
      <c r="J151" s="6">
        <v>9.6000000000000014</v>
      </c>
      <c r="K151" s="5"/>
    </row>
    <row r="152" spans="1:11">
      <c r="A152" s="4">
        <f>SUBTOTAL(3,$C$2:C152)</f>
        <v>151</v>
      </c>
      <c r="B152" s="4"/>
      <c r="C152" s="5" t="s">
        <v>480</v>
      </c>
      <c r="D152" s="6">
        <v>20</v>
      </c>
      <c r="E152" s="5" t="s">
        <v>205</v>
      </c>
      <c r="F152" s="9"/>
      <c r="G152" s="5" t="s">
        <v>122</v>
      </c>
      <c r="H152" s="6">
        <v>505</v>
      </c>
      <c r="I152" s="6">
        <v>10100</v>
      </c>
      <c r="J152" s="6">
        <v>505</v>
      </c>
      <c r="K152" s="6">
        <v>10605</v>
      </c>
    </row>
    <row r="153" spans="1:11">
      <c r="A153" s="4">
        <f>SUBTOTAL(3,$C$2:C153)</f>
        <v>152</v>
      </c>
      <c r="B153" s="4"/>
      <c r="C153" s="5" t="s">
        <v>390</v>
      </c>
      <c r="D153" s="6">
        <v>20</v>
      </c>
      <c r="E153" s="5" t="s">
        <v>205</v>
      </c>
      <c r="F153" s="17">
        <v>43403</v>
      </c>
      <c r="G153" s="5" t="s">
        <v>122</v>
      </c>
      <c r="H153" s="6">
        <v>505</v>
      </c>
      <c r="I153" s="6">
        <v>10100</v>
      </c>
      <c r="J153" s="6">
        <v>505</v>
      </c>
      <c r="K153" s="6">
        <v>10605</v>
      </c>
    </row>
    <row r="154" spans="1:11">
      <c r="A154" s="4">
        <f>SUBTOTAL(3,$C$2:C154)</f>
        <v>153</v>
      </c>
      <c r="B154" s="4" t="s">
        <v>233</v>
      </c>
      <c r="C154" s="5" t="s">
        <v>338</v>
      </c>
      <c r="D154" s="6">
        <v>120</v>
      </c>
      <c r="E154" s="9" t="s">
        <v>23</v>
      </c>
      <c r="F154" s="17">
        <v>43469</v>
      </c>
      <c r="G154" s="5" t="s">
        <v>145</v>
      </c>
      <c r="H154" s="6">
        <v>508</v>
      </c>
      <c r="I154" s="6">
        <v>35560</v>
      </c>
      <c r="J154" s="6">
        <v>1778</v>
      </c>
      <c r="K154" s="6">
        <v>37338</v>
      </c>
    </row>
    <row r="155" spans="1:11">
      <c r="A155" s="4">
        <f>SUBTOTAL(3,$C$2:C155)</f>
        <v>154</v>
      </c>
      <c r="B155" s="4"/>
      <c r="C155" s="5" t="s">
        <v>357</v>
      </c>
      <c r="D155" s="6">
        <v>60</v>
      </c>
      <c r="E155" s="5" t="s">
        <v>13</v>
      </c>
      <c r="F155" s="9"/>
      <c r="G155" s="5" t="s">
        <v>122</v>
      </c>
      <c r="H155" s="6">
        <v>505</v>
      </c>
      <c r="I155" s="6">
        <v>30300</v>
      </c>
      <c r="J155" s="6">
        <v>1515</v>
      </c>
      <c r="K155" s="6">
        <v>31815</v>
      </c>
    </row>
    <row r="156" spans="1:11">
      <c r="A156" s="4">
        <f>SUBTOTAL(3,$C$2:C156)</f>
        <v>155</v>
      </c>
      <c r="B156" s="4"/>
      <c r="C156" s="5" t="s">
        <v>174</v>
      </c>
      <c r="D156" s="6">
        <v>45</v>
      </c>
      <c r="E156" s="5" t="s">
        <v>47</v>
      </c>
      <c r="F156" s="17">
        <v>43406</v>
      </c>
      <c r="G156" s="5" t="s">
        <v>104</v>
      </c>
      <c r="H156" s="6">
        <v>507</v>
      </c>
      <c r="I156" s="6">
        <v>22815</v>
      </c>
      <c r="J156" s="6">
        <v>1140.75</v>
      </c>
      <c r="K156" s="6">
        <v>23955.75</v>
      </c>
    </row>
    <row r="157" spans="1:11">
      <c r="A157" s="4">
        <f>SUBTOTAL(3,$C$2:C157)</f>
        <v>156</v>
      </c>
      <c r="B157" s="4" t="s">
        <v>233</v>
      </c>
      <c r="C157" s="5" t="s">
        <v>173</v>
      </c>
      <c r="D157" s="6">
        <v>120</v>
      </c>
      <c r="E157" s="9" t="s">
        <v>18</v>
      </c>
      <c r="F157" s="17">
        <v>43469</v>
      </c>
      <c r="G157" s="5"/>
      <c r="H157" s="6"/>
      <c r="I157" s="6"/>
      <c r="J157" s="6"/>
      <c r="K157" s="6"/>
    </row>
    <row r="158" spans="1:11">
      <c r="A158" s="4">
        <f>SUBTOTAL(3,$C$2:C158)</f>
        <v>157</v>
      </c>
      <c r="B158" s="4"/>
      <c r="C158" s="5" t="s">
        <v>373</v>
      </c>
      <c r="D158" s="6">
        <v>45</v>
      </c>
      <c r="E158" s="5" t="s">
        <v>83</v>
      </c>
      <c r="F158" s="17">
        <v>43406</v>
      </c>
      <c r="G158" s="5" t="s">
        <v>102</v>
      </c>
      <c r="H158" s="6">
        <v>482</v>
      </c>
      <c r="I158" s="6">
        <v>21690</v>
      </c>
      <c r="J158" s="6">
        <v>1084.5</v>
      </c>
      <c r="K158" s="6">
        <v>22774.5</v>
      </c>
    </row>
    <row r="159" spans="1:11">
      <c r="A159" s="4">
        <f>SUBTOTAL(3,$C$2:C159)</f>
        <v>158</v>
      </c>
      <c r="B159" s="4"/>
      <c r="C159" s="5" t="s">
        <v>374</v>
      </c>
      <c r="D159" s="6">
        <v>45</v>
      </c>
      <c r="E159" s="9" t="s">
        <v>214</v>
      </c>
      <c r="F159" s="17">
        <v>43403</v>
      </c>
      <c r="G159" s="5" t="s">
        <v>102</v>
      </c>
      <c r="H159" s="6">
        <v>482</v>
      </c>
      <c r="I159" s="6">
        <v>21690</v>
      </c>
      <c r="J159" s="6">
        <v>1084.5</v>
      </c>
      <c r="K159" s="6">
        <v>22774.5</v>
      </c>
    </row>
    <row r="160" spans="1:11">
      <c r="A160" s="4">
        <f>SUBTOTAL(3,$C$2:C160)</f>
        <v>159</v>
      </c>
      <c r="B160" s="4"/>
      <c r="C160" s="5" t="s">
        <v>175</v>
      </c>
      <c r="D160" s="6">
        <v>40</v>
      </c>
      <c r="E160" s="5" t="s">
        <v>8</v>
      </c>
      <c r="F160" s="17">
        <v>43406</v>
      </c>
      <c r="G160" s="5" t="s">
        <v>141</v>
      </c>
      <c r="H160" s="6">
        <v>455</v>
      </c>
      <c r="I160" s="6">
        <v>18200</v>
      </c>
      <c r="J160" s="6">
        <v>910</v>
      </c>
      <c r="K160" s="6">
        <v>19110</v>
      </c>
    </row>
    <row r="161" spans="1:11">
      <c r="A161" s="4">
        <f>SUBTOTAL(3,$C$2:C161)</f>
        <v>160</v>
      </c>
      <c r="B161" s="4"/>
      <c r="C161" s="5" t="s">
        <v>342</v>
      </c>
      <c r="D161" s="6">
        <v>40</v>
      </c>
      <c r="E161" s="5" t="s">
        <v>34</v>
      </c>
      <c r="F161" s="17">
        <v>43403</v>
      </c>
      <c r="G161" s="9"/>
      <c r="H161" s="11"/>
      <c r="I161" s="11"/>
      <c r="J161" s="11"/>
      <c r="K161" s="11"/>
    </row>
    <row r="162" spans="1:11">
      <c r="A162" s="4">
        <f>SUBTOTAL(3,$C$2:C162)</f>
        <v>161</v>
      </c>
      <c r="B162" s="4"/>
      <c r="C162" s="5" t="s">
        <v>483</v>
      </c>
      <c r="D162" s="6">
        <v>50</v>
      </c>
      <c r="E162" s="5" t="s">
        <v>29</v>
      </c>
      <c r="F162" s="17">
        <v>43406</v>
      </c>
      <c r="G162" s="5" t="s">
        <v>497</v>
      </c>
      <c r="H162" s="6">
        <v>469</v>
      </c>
      <c r="I162" s="6">
        <v>23450</v>
      </c>
      <c r="J162" s="6">
        <v>1172.5</v>
      </c>
      <c r="K162" s="6">
        <v>24622.5</v>
      </c>
    </row>
    <row r="163" spans="1:11">
      <c r="A163" s="4">
        <f>SUBTOTAL(3,$C$2:C163)</f>
        <v>162</v>
      </c>
      <c r="B163" s="4"/>
      <c r="C163" s="5" t="s">
        <v>487</v>
      </c>
      <c r="D163" s="6">
        <v>60</v>
      </c>
      <c r="E163" s="5" t="s">
        <v>4</v>
      </c>
      <c r="F163" s="9"/>
      <c r="G163" s="5" t="s">
        <v>140</v>
      </c>
      <c r="H163" s="6">
        <v>496</v>
      </c>
      <c r="I163" s="6">
        <v>29760</v>
      </c>
      <c r="J163" s="6">
        <v>1488</v>
      </c>
      <c r="K163" s="6">
        <v>31248</v>
      </c>
    </row>
    <row r="164" spans="1:11">
      <c r="A164" s="4">
        <f>SUBTOTAL(3,$C$2:C164)</f>
        <v>163</v>
      </c>
      <c r="B164" s="4" t="s">
        <v>233</v>
      </c>
      <c r="C164" s="5" t="s">
        <v>351</v>
      </c>
      <c r="D164" s="6">
        <v>120</v>
      </c>
      <c r="E164" s="9" t="s">
        <v>22</v>
      </c>
      <c r="F164" s="17">
        <v>43469</v>
      </c>
      <c r="G164" s="5" t="s">
        <v>142</v>
      </c>
      <c r="H164" s="6">
        <v>459</v>
      </c>
      <c r="I164" s="6">
        <v>32130</v>
      </c>
      <c r="J164" s="6">
        <v>1606.5</v>
      </c>
      <c r="K164" s="6">
        <v>33736.5</v>
      </c>
    </row>
    <row r="165" spans="1:11">
      <c r="A165" s="4">
        <f>SUBTOTAL(3,$C$2:C165)</f>
        <v>164</v>
      </c>
      <c r="B165" s="4"/>
      <c r="C165" s="5" t="s">
        <v>376</v>
      </c>
      <c r="D165" s="6">
        <v>40</v>
      </c>
      <c r="E165" s="5" t="s">
        <v>24</v>
      </c>
      <c r="F165" s="9"/>
      <c r="G165" s="5" t="s">
        <v>135</v>
      </c>
      <c r="H165" s="6">
        <v>8</v>
      </c>
      <c r="I165" s="6">
        <v>320</v>
      </c>
      <c r="J165" s="6">
        <v>16</v>
      </c>
      <c r="K165" s="6">
        <v>336</v>
      </c>
    </row>
    <row r="166" spans="1:11">
      <c r="A166" s="4">
        <f>SUBTOTAL(3,$C$2:C166)</f>
        <v>165</v>
      </c>
      <c r="B166" s="4"/>
      <c r="C166" s="5" t="s">
        <v>405</v>
      </c>
      <c r="D166" s="6">
        <v>40</v>
      </c>
      <c r="E166" s="5" t="s">
        <v>9</v>
      </c>
      <c r="F166" s="9"/>
      <c r="G166" s="5" t="s">
        <v>112</v>
      </c>
      <c r="H166" s="6">
        <v>513</v>
      </c>
      <c r="I166" s="6">
        <v>20520</v>
      </c>
      <c r="J166" s="6">
        <v>1026</v>
      </c>
      <c r="K166" s="6">
        <v>21546</v>
      </c>
    </row>
    <row r="167" spans="1:11">
      <c r="A167" s="4">
        <f>SUBTOTAL(3,$C$2:C167)</f>
        <v>166</v>
      </c>
      <c r="B167" s="4"/>
      <c r="C167" s="5" t="s">
        <v>488</v>
      </c>
      <c r="D167" s="6">
        <v>60</v>
      </c>
      <c r="E167" s="5" t="s">
        <v>163</v>
      </c>
      <c r="F167" s="9"/>
      <c r="G167" s="5" t="s">
        <v>137</v>
      </c>
      <c r="H167" s="6">
        <v>499</v>
      </c>
      <c r="I167" s="6">
        <v>29940</v>
      </c>
      <c r="J167" s="6">
        <v>1497</v>
      </c>
      <c r="K167" s="6">
        <v>31437</v>
      </c>
    </row>
    <row r="168" spans="1:11">
      <c r="A168" s="4">
        <f>SUBTOTAL(3,$C$2:C168)</f>
        <v>167</v>
      </c>
      <c r="B168" s="4"/>
      <c r="C168" s="5" t="s">
        <v>186</v>
      </c>
      <c r="D168" s="6">
        <v>50</v>
      </c>
      <c r="E168" s="5" t="s">
        <v>48</v>
      </c>
      <c r="F168" s="9"/>
      <c r="G168" s="5" t="s">
        <v>495</v>
      </c>
      <c r="H168" s="6">
        <v>480</v>
      </c>
      <c r="I168" s="6">
        <v>24000</v>
      </c>
      <c r="J168" s="6">
        <v>1200</v>
      </c>
      <c r="K168" s="6">
        <v>25200</v>
      </c>
    </row>
    <row r="169" spans="1:11">
      <c r="A169" s="4">
        <f>SUBTOTAL(3,$C$2:C169)</f>
        <v>168</v>
      </c>
      <c r="B169" s="4"/>
      <c r="C169" s="5" t="s">
        <v>287</v>
      </c>
      <c r="D169" s="6">
        <v>50</v>
      </c>
      <c r="E169" s="5" t="s">
        <v>94</v>
      </c>
      <c r="F169" s="9"/>
      <c r="G169" s="5" t="s">
        <v>132</v>
      </c>
      <c r="H169" s="6">
        <v>511</v>
      </c>
      <c r="I169" s="6">
        <v>25550</v>
      </c>
      <c r="J169" s="6">
        <v>1277.5</v>
      </c>
      <c r="K169" s="6">
        <v>26827.5</v>
      </c>
    </row>
    <row r="170" spans="1:11">
      <c r="A170" s="4">
        <f>SUBTOTAL(3,$C$2:C170)</f>
        <v>169</v>
      </c>
      <c r="B170" s="4"/>
      <c r="C170" s="5" t="s">
        <v>401</v>
      </c>
      <c r="D170" s="6">
        <v>30</v>
      </c>
      <c r="E170" s="5" t="s">
        <v>216</v>
      </c>
      <c r="F170" s="9"/>
      <c r="G170" s="5" t="s">
        <v>137</v>
      </c>
      <c r="H170" s="6">
        <v>499</v>
      </c>
      <c r="I170" s="6">
        <v>19960</v>
      </c>
      <c r="J170" s="6">
        <v>998</v>
      </c>
      <c r="K170" s="6">
        <v>20958</v>
      </c>
    </row>
    <row r="171" spans="1:11">
      <c r="A171" s="4">
        <f>SUBTOTAL(3,$C$2:C171)</f>
        <v>170</v>
      </c>
      <c r="B171" s="4"/>
      <c r="C171" s="5" t="s">
        <v>192</v>
      </c>
      <c r="D171" s="6">
        <v>60</v>
      </c>
      <c r="E171" s="5" t="s">
        <v>2</v>
      </c>
      <c r="F171" s="17">
        <v>43404</v>
      </c>
      <c r="G171" s="5" t="s">
        <v>127</v>
      </c>
      <c r="H171" s="6">
        <v>479</v>
      </c>
      <c r="I171" s="6">
        <v>28740</v>
      </c>
      <c r="J171" s="6">
        <v>1437</v>
      </c>
      <c r="K171" s="6">
        <v>30177</v>
      </c>
    </row>
    <row r="172" spans="1:11">
      <c r="A172" s="4">
        <f>SUBTOTAL(3,$C$2:C172)</f>
        <v>171</v>
      </c>
      <c r="B172" s="4"/>
      <c r="C172" s="5" t="s">
        <v>482</v>
      </c>
      <c r="D172" s="6">
        <v>80</v>
      </c>
      <c r="E172" s="5" t="s">
        <v>305</v>
      </c>
      <c r="F172" s="17">
        <v>43406</v>
      </c>
      <c r="G172" s="5" t="s">
        <v>139</v>
      </c>
      <c r="H172" s="6">
        <v>62</v>
      </c>
      <c r="I172" s="6">
        <v>4960</v>
      </c>
      <c r="J172" s="6">
        <v>248</v>
      </c>
      <c r="K172" s="6">
        <v>5208</v>
      </c>
    </row>
    <row r="173" spans="1:11">
      <c r="A173" s="4">
        <f>SUBTOTAL(3,$C$2:C173)</f>
        <v>172</v>
      </c>
      <c r="B173" s="4"/>
      <c r="C173" s="5" t="s">
        <v>345</v>
      </c>
      <c r="D173" s="6">
        <v>65</v>
      </c>
      <c r="E173" s="5" t="s">
        <v>166</v>
      </c>
      <c r="F173" s="9"/>
      <c r="G173" s="7" t="s">
        <v>119</v>
      </c>
      <c r="H173" s="6">
        <v>509</v>
      </c>
      <c r="I173" s="6">
        <v>33085</v>
      </c>
      <c r="J173" s="6">
        <v>1654.25</v>
      </c>
      <c r="K173" s="5"/>
    </row>
    <row r="174" spans="1:11">
      <c r="A174" s="4">
        <f>SUBTOTAL(3,$C$2:C174)</f>
        <v>173</v>
      </c>
      <c r="B174" s="4"/>
      <c r="C174" s="5" t="s">
        <v>377</v>
      </c>
      <c r="D174" s="6">
        <v>30</v>
      </c>
      <c r="E174" s="5" t="s">
        <v>165</v>
      </c>
      <c r="F174" s="17">
        <v>43406</v>
      </c>
      <c r="G174" s="5" t="s">
        <v>503</v>
      </c>
      <c r="H174" s="6">
        <v>500</v>
      </c>
      <c r="I174" s="6">
        <v>15000</v>
      </c>
      <c r="J174" s="6">
        <v>750</v>
      </c>
      <c r="K174" s="6">
        <v>15750</v>
      </c>
    </row>
    <row r="175" spans="1:11">
      <c r="A175" s="4">
        <f>SUBTOTAL(3,$C$2:C175)</f>
        <v>174</v>
      </c>
      <c r="B175" s="4"/>
      <c r="C175" s="5" t="s">
        <v>378</v>
      </c>
      <c r="D175" s="6">
        <v>12</v>
      </c>
      <c r="E175" s="5" t="s">
        <v>169</v>
      </c>
      <c r="F175" s="9"/>
      <c r="G175" s="5" t="s">
        <v>496</v>
      </c>
      <c r="H175" s="6">
        <v>512</v>
      </c>
      <c r="I175" s="6">
        <v>6144</v>
      </c>
      <c r="J175" s="6">
        <v>307.20000000000005</v>
      </c>
      <c r="K175" s="6">
        <v>6451.2</v>
      </c>
    </row>
    <row r="176" spans="1:11">
      <c r="A176" s="4">
        <f>SUBTOTAL(3,$C$2:C176)</f>
        <v>175</v>
      </c>
      <c r="B176" s="4"/>
      <c r="C176" s="5" t="s">
        <v>348</v>
      </c>
      <c r="D176" s="6">
        <v>60</v>
      </c>
      <c r="E176" s="5" t="s">
        <v>317</v>
      </c>
      <c r="F176" s="9"/>
      <c r="G176" s="5" t="s">
        <v>112</v>
      </c>
      <c r="H176" s="6">
        <v>513</v>
      </c>
      <c r="I176" s="6">
        <v>30780</v>
      </c>
      <c r="J176" s="6">
        <v>1539</v>
      </c>
      <c r="K176" s="6">
        <v>32319</v>
      </c>
    </row>
    <row r="177" spans="1:11">
      <c r="A177" s="4">
        <f>SUBTOTAL(3,$C$2:C177)</f>
        <v>176</v>
      </c>
      <c r="B177" s="4"/>
      <c r="C177" s="5" t="s">
        <v>170</v>
      </c>
      <c r="D177" s="6">
        <v>45</v>
      </c>
      <c r="E177" s="5" t="s">
        <v>33</v>
      </c>
      <c r="F177" s="9"/>
      <c r="G177" s="5" t="s">
        <v>99</v>
      </c>
      <c r="H177" s="6">
        <v>509</v>
      </c>
      <c r="I177" s="6">
        <v>22905</v>
      </c>
      <c r="J177" s="6">
        <v>1145.25</v>
      </c>
      <c r="K177" s="6">
        <v>24050.25</v>
      </c>
    </row>
    <row r="178" spans="1:11">
      <c r="A178" s="4">
        <f>SUBTOTAL(3,$C$2:C178)</f>
        <v>177</v>
      </c>
      <c r="B178" s="4"/>
      <c r="C178" s="5" t="s">
        <v>481</v>
      </c>
      <c r="D178" s="6">
        <v>40</v>
      </c>
      <c r="E178" s="5" t="s">
        <v>5</v>
      </c>
      <c r="F178" s="17">
        <v>43406</v>
      </c>
      <c r="G178" s="5"/>
      <c r="H178" s="6"/>
      <c r="I178" s="6"/>
      <c r="J178" s="6"/>
      <c r="K178" s="6"/>
    </row>
    <row r="179" spans="1:11">
      <c r="A179" s="4">
        <f>SUBTOTAL(3,$C$2:C179)</f>
        <v>178</v>
      </c>
      <c r="B179" s="4"/>
      <c r="C179" s="5" t="s">
        <v>381</v>
      </c>
      <c r="D179" s="6">
        <v>40</v>
      </c>
      <c r="E179" s="5" t="s">
        <v>10</v>
      </c>
      <c r="F179" s="9"/>
      <c r="G179" s="5" t="s">
        <v>127</v>
      </c>
      <c r="H179" s="6">
        <v>12</v>
      </c>
      <c r="I179" s="6">
        <v>480</v>
      </c>
      <c r="J179" s="6">
        <v>24</v>
      </c>
      <c r="K179" s="6">
        <v>504</v>
      </c>
    </row>
    <row r="180" spans="1:11">
      <c r="A180" s="4">
        <f>SUBTOTAL(3,$C$2:C180)</f>
        <v>179</v>
      </c>
      <c r="B180" s="4"/>
      <c r="C180" s="5" t="s">
        <v>415</v>
      </c>
      <c r="D180" s="6">
        <v>40</v>
      </c>
      <c r="E180" s="5" t="s">
        <v>1</v>
      </c>
      <c r="F180" s="9"/>
      <c r="G180" s="5" t="s">
        <v>124</v>
      </c>
      <c r="H180" s="6">
        <v>8</v>
      </c>
      <c r="I180" s="6">
        <v>320</v>
      </c>
      <c r="J180" s="6">
        <v>16</v>
      </c>
      <c r="K180" s="6">
        <v>336</v>
      </c>
    </row>
    <row r="181" spans="1:11">
      <c r="A181" s="4">
        <f>SUBTOTAL(3,$C$2:C181)</f>
        <v>180</v>
      </c>
      <c r="B181" s="4"/>
      <c r="C181" s="5" t="s">
        <v>489</v>
      </c>
      <c r="D181" s="6">
        <v>50</v>
      </c>
      <c r="E181" s="5" t="s">
        <v>299</v>
      </c>
      <c r="F181" s="17">
        <v>43406</v>
      </c>
      <c r="G181" s="5" t="s">
        <v>125</v>
      </c>
      <c r="H181" s="6">
        <v>500</v>
      </c>
      <c r="I181" s="6">
        <v>25000</v>
      </c>
      <c r="J181" s="6">
        <v>1250</v>
      </c>
      <c r="K181" s="6">
        <v>26250</v>
      </c>
    </row>
    <row r="182" spans="1:11">
      <c r="A182" s="4">
        <f>SUBTOTAL(3,$C$2:C182)</f>
        <v>181</v>
      </c>
      <c r="B182" s="4"/>
      <c r="C182" s="5" t="s">
        <v>171</v>
      </c>
      <c r="D182" s="6">
        <v>50</v>
      </c>
      <c r="E182" s="5" t="s">
        <v>300</v>
      </c>
      <c r="F182" s="17">
        <v>43398</v>
      </c>
      <c r="G182" s="5" t="s">
        <v>125</v>
      </c>
      <c r="H182" s="6">
        <v>500</v>
      </c>
      <c r="I182" s="6">
        <v>25000</v>
      </c>
      <c r="J182" s="6">
        <v>1250</v>
      </c>
      <c r="K182" s="6">
        <v>26250</v>
      </c>
    </row>
    <row r="183" spans="1:11">
      <c r="A183" s="4">
        <f>SUBTOTAL(3,$C$2:C183)</f>
        <v>182</v>
      </c>
      <c r="B183" s="4"/>
      <c r="C183" s="5" t="s">
        <v>193</v>
      </c>
      <c r="D183" s="6">
        <v>50</v>
      </c>
      <c r="E183" s="5" t="s">
        <v>300</v>
      </c>
      <c r="F183" s="17">
        <v>43431</v>
      </c>
      <c r="G183" s="5" t="s">
        <v>125</v>
      </c>
      <c r="H183" s="6">
        <v>500</v>
      </c>
      <c r="I183" s="6">
        <v>25000</v>
      </c>
      <c r="J183" s="6">
        <v>1250</v>
      </c>
      <c r="K183" s="6">
        <v>26250</v>
      </c>
    </row>
    <row r="184" spans="1:11">
      <c r="A184" s="4">
        <f>SUBTOTAL(3,$C$2:C184)</f>
        <v>183</v>
      </c>
      <c r="B184" s="4"/>
      <c r="C184" s="5" t="s">
        <v>288</v>
      </c>
      <c r="D184" s="6">
        <v>120</v>
      </c>
      <c r="E184" s="5" t="s">
        <v>304</v>
      </c>
      <c r="F184" s="9"/>
      <c r="G184" s="5" t="s">
        <v>132</v>
      </c>
      <c r="H184" s="6">
        <v>511</v>
      </c>
      <c r="I184" s="6">
        <v>40880</v>
      </c>
      <c r="J184" s="6">
        <v>2044</v>
      </c>
      <c r="K184" s="6">
        <v>42924</v>
      </c>
    </row>
    <row r="185" spans="1:11">
      <c r="A185" s="4">
        <f>SUBTOTAL(3,$C$2:C185)</f>
        <v>184</v>
      </c>
      <c r="B185" s="4" t="s">
        <v>233</v>
      </c>
      <c r="C185" s="5" t="s">
        <v>355</v>
      </c>
      <c r="D185" s="6">
        <v>60</v>
      </c>
      <c r="E185" s="9" t="s">
        <v>25</v>
      </c>
      <c r="F185" s="17">
        <v>43469</v>
      </c>
      <c r="G185" s="5" t="s">
        <v>129</v>
      </c>
      <c r="H185" s="6">
        <v>498</v>
      </c>
      <c r="I185" s="6">
        <v>29880</v>
      </c>
      <c r="J185" s="6">
        <v>1494</v>
      </c>
      <c r="K185" s="6">
        <v>31374</v>
      </c>
    </row>
    <row r="186" spans="1:11">
      <c r="A186" s="4">
        <f>SUBTOTAL(3,$C$2:C186)</f>
        <v>185</v>
      </c>
      <c r="B186" s="4" t="s">
        <v>233</v>
      </c>
      <c r="C186" s="5" t="s">
        <v>350</v>
      </c>
      <c r="D186" s="6">
        <v>60</v>
      </c>
      <c r="E186" s="9" t="s">
        <v>20</v>
      </c>
      <c r="F186" s="17">
        <v>43469</v>
      </c>
      <c r="G186" s="5" t="s">
        <v>146</v>
      </c>
      <c r="H186" s="6">
        <v>536</v>
      </c>
      <c r="I186" s="6">
        <v>32160</v>
      </c>
      <c r="J186" s="6">
        <v>1608</v>
      </c>
      <c r="K186" s="6">
        <v>33768</v>
      </c>
    </row>
    <row r="187" spans="1:11">
      <c r="A187" s="4">
        <f>SUBTOTAL(3,$C$2:C187)</f>
        <v>186</v>
      </c>
      <c r="B187" s="4"/>
      <c r="C187" s="5" t="s">
        <v>359</v>
      </c>
      <c r="D187" s="6">
        <v>50</v>
      </c>
      <c r="E187" s="5" t="s">
        <v>14</v>
      </c>
      <c r="F187" s="9"/>
      <c r="G187" s="5" t="s">
        <v>132</v>
      </c>
      <c r="H187" s="6">
        <v>511</v>
      </c>
      <c r="I187" s="6">
        <v>25550</v>
      </c>
      <c r="J187" s="6">
        <v>1277.5</v>
      </c>
      <c r="K187" s="6">
        <v>26827.5</v>
      </c>
    </row>
    <row r="188" spans="1:11">
      <c r="A188" s="4">
        <f>SUBTOTAL(3,$C$2:C188)</f>
        <v>187</v>
      </c>
      <c r="B188" s="4"/>
      <c r="C188" s="5" t="s">
        <v>399</v>
      </c>
      <c r="D188" s="6">
        <v>40</v>
      </c>
      <c r="E188" s="5" t="s">
        <v>96</v>
      </c>
      <c r="F188" s="17">
        <v>43406</v>
      </c>
      <c r="G188" s="5" t="s">
        <v>98</v>
      </c>
      <c r="H188" s="6">
        <v>498</v>
      </c>
      <c r="I188" s="6">
        <v>19920</v>
      </c>
      <c r="J188" s="6">
        <v>996</v>
      </c>
      <c r="K188" s="6">
        <v>20916</v>
      </c>
    </row>
    <row r="189" spans="1:11">
      <c r="A189" s="4">
        <f>SUBTOTAL(3,$C$2:C189)</f>
        <v>188</v>
      </c>
      <c r="B189" s="4"/>
      <c r="C189" s="5" t="s">
        <v>188</v>
      </c>
      <c r="D189" s="6">
        <v>40</v>
      </c>
      <c r="E189" s="5" t="s">
        <v>224</v>
      </c>
      <c r="F189" s="17">
        <v>43406</v>
      </c>
      <c r="G189" s="5" t="s">
        <v>118</v>
      </c>
      <c r="H189" s="6">
        <v>543</v>
      </c>
      <c r="I189" s="6">
        <v>21720</v>
      </c>
      <c r="J189" s="6">
        <v>1086</v>
      </c>
      <c r="K189" s="6">
        <v>22806</v>
      </c>
    </row>
    <row r="190" spans="1:11">
      <c r="A190" s="4">
        <f>SUBTOTAL(3,$C$2:C190)</f>
        <v>189</v>
      </c>
      <c r="B190" s="4"/>
      <c r="C190" s="5" t="s">
        <v>479</v>
      </c>
      <c r="D190" s="6">
        <v>40</v>
      </c>
      <c r="E190" s="19" t="s">
        <v>150</v>
      </c>
      <c r="F190" s="17">
        <v>43403</v>
      </c>
      <c r="G190" s="5"/>
      <c r="H190" s="6"/>
      <c r="I190" s="6"/>
      <c r="J190" s="6"/>
      <c r="K190" s="6"/>
    </row>
    <row r="191" spans="1:11">
      <c r="A191" s="4">
        <f>SUBTOTAL(3,$C$2:C191)</f>
        <v>190</v>
      </c>
      <c r="B191" s="4"/>
      <c r="C191" s="5" t="s">
        <v>346</v>
      </c>
      <c r="D191" s="6">
        <v>55</v>
      </c>
      <c r="E191" s="5" t="s">
        <v>185</v>
      </c>
      <c r="F191" s="17">
        <v>43468</v>
      </c>
      <c r="G191" s="5" t="s">
        <v>106</v>
      </c>
      <c r="H191" s="6">
        <v>513</v>
      </c>
      <c r="I191" s="6">
        <v>30780</v>
      </c>
      <c r="J191" s="6">
        <v>1539</v>
      </c>
      <c r="K191" s="6">
        <v>32319</v>
      </c>
    </row>
    <row r="192" spans="1:11">
      <c r="A192" s="4">
        <f>SUBTOTAL(3,$C$2:C192)</f>
        <v>191</v>
      </c>
      <c r="B192" s="4"/>
      <c r="C192" s="5" t="s">
        <v>147</v>
      </c>
      <c r="D192" s="6">
        <v>55</v>
      </c>
      <c r="E192" s="5" t="s">
        <v>184</v>
      </c>
      <c r="F192" s="17">
        <v>43468</v>
      </c>
      <c r="G192" s="5" t="s">
        <v>114</v>
      </c>
      <c r="H192" s="6">
        <v>1324</v>
      </c>
      <c r="I192" s="6">
        <v>79440</v>
      </c>
      <c r="J192" s="6">
        <v>3972</v>
      </c>
      <c r="K192" s="6">
        <v>83412</v>
      </c>
    </row>
  </sheetData>
  <phoneticPr fontId="12" type="noConversion"/>
  <conditionalFormatting sqref="C4">
    <cfRule type="duplicateValues" dxfId="37" priority="19"/>
  </conditionalFormatting>
  <conditionalFormatting sqref="C9:C10">
    <cfRule type="duplicateValues" dxfId="36" priority="38"/>
  </conditionalFormatting>
  <conditionalFormatting sqref="C11">
    <cfRule type="duplicateValues" dxfId="35" priority="20"/>
  </conditionalFormatting>
  <conditionalFormatting sqref="C15:C16">
    <cfRule type="duplicateValues" dxfId="34" priority="24"/>
  </conditionalFormatting>
  <conditionalFormatting sqref="C20">
    <cfRule type="duplicateValues" dxfId="33" priority="36"/>
  </conditionalFormatting>
  <conditionalFormatting sqref="C21">
    <cfRule type="duplicateValues" dxfId="32" priority="25"/>
  </conditionalFormatting>
  <conditionalFormatting sqref="C43">
    <cfRule type="duplicateValues" dxfId="31" priority="26"/>
  </conditionalFormatting>
  <conditionalFormatting sqref="C53">
    <cfRule type="duplicateValues" dxfId="30" priority="5"/>
  </conditionalFormatting>
  <conditionalFormatting sqref="C54">
    <cfRule type="duplicateValues" dxfId="29" priority="23"/>
  </conditionalFormatting>
  <conditionalFormatting sqref="C62">
    <cfRule type="duplicateValues" dxfId="28" priority="33"/>
  </conditionalFormatting>
  <conditionalFormatting sqref="C68">
    <cfRule type="duplicateValues" dxfId="27" priority="11"/>
  </conditionalFormatting>
  <conditionalFormatting sqref="C69">
    <cfRule type="duplicateValues" dxfId="26" priority="2"/>
  </conditionalFormatting>
  <conditionalFormatting sqref="C73">
    <cfRule type="duplicateValues" dxfId="25" priority="6"/>
  </conditionalFormatting>
  <conditionalFormatting sqref="C76">
    <cfRule type="duplicateValues" dxfId="24" priority="28"/>
  </conditionalFormatting>
  <conditionalFormatting sqref="C81">
    <cfRule type="duplicateValues" dxfId="23" priority="13"/>
  </conditionalFormatting>
  <conditionalFormatting sqref="C82">
    <cfRule type="duplicateValues" dxfId="22" priority="9"/>
  </conditionalFormatting>
  <conditionalFormatting sqref="C86">
    <cfRule type="duplicateValues" dxfId="21" priority="12"/>
  </conditionalFormatting>
  <conditionalFormatting sqref="C87">
    <cfRule type="duplicateValues" dxfId="20" priority="8"/>
  </conditionalFormatting>
  <conditionalFormatting sqref="C89">
    <cfRule type="duplicateValues" dxfId="19" priority="7"/>
  </conditionalFormatting>
  <conditionalFormatting sqref="C92">
    <cfRule type="duplicateValues" dxfId="18" priority="22"/>
  </conditionalFormatting>
  <conditionalFormatting sqref="C97">
    <cfRule type="duplicateValues" dxfId="17" priority="21"/>
  </conditionalFormatting>
  <conditionalFormatting sqref="C100">
    <cfRule type="duplicateValues" dxfId="16" priority="34"/>
  </conditionalFormatting>
  <conditionalFormatting sqref="C102">
    <cfRule type="duplicateValues" dxfId="15" priority="29"/>
  </conditionalFormatting>
  <conditionalFormatting sqref="C106">
    <cfRule type="duplicateValues" dxfId="14" priority="30"/>
  </conditionalFormatting>
  <conditionalFormatting sqref="C107">
    <cfRule type="duplicateValues" dxfId="13" priority="10"/>
  </conditionalFormatting>
  <conditionalFormatting sqref="C114">
    <cfRule type="duplicateValues" dxfId="12" priority="18"/>
  </conditionalFormatting>
  <conditionalFormatting sqref="C119">
    <cfRule type="duplicateValues" dxfId="11" priority="16"/>
  </conditionalFormatting>
  <conditionalFormatting sqref="C129">
    <cfRule type="duplicateValues" dxfId="10" priority="27"/>
  </conditionalFormatting>
  <conditionalFormatting sqref="C133">
    <cfRule type="duplicateValues" dxfId="9" priority="37"/>
  </conditionalFormatting>
  <conditionalFormatting sqref="C138:C139">
    <cfRule type="duplicateValues" dxfId="8" priority="35"/>
  </conditionalFormatting>
  <conditionalFormatting sqref="C146">
    <cfRule type="duplicateValues" dxfId="7" priority="15"/>
  </conditionalFormatting>
  <conditionalFormatting sqref="C150">
    <cfRule type="duplicateValues" dxfId="6" priority="4"/>
  </conditionalFormatting>
  <conditionalFormatting sqref="C153">
    <cfRule type="duplicateValues" dxfId="5" priority="14"/>
  </conditionalFormatting>
  <conditionalFormatting sqref="C159">
    <cfRule type="duplicateValues" dxfId="4" priority="17"/>
  </conditionalFormatting>
  <conditionalFormatting sqref="C161">
    <cfRule type="duplicateValues" dxfId="3" priority="31"/>
  </conditionalFormatting>
  <conditionalFormatting sqref="C181">
    <cfRule type="duplicateValues" dxfId="2" priority="32"/>
  </conditionalFormatting>
  <conditionalFormatting sqref="C182 C134:C137 C1:C3 C12:C14 C140:C145 C101 C63:C67 C162:C180 C108:C113 C103:C105 C77:C80 C130:C132 C44:C52 C17:C19 C55:C61 C93:C96 C98:C99 C5:C8 C115:C118 C160 C120:C128 C147:C149 C154:C158 C83:C85 C88 C70:C72 C90:C91 C74:C75 C151:C152 C184:C1048576 C22:C42">
    <cfRule type="duplicateValues" dxfId="1" priority="39"/>
  </conditionalFormatting>
  <conditionalFormatting sqref="C183">
    <cfRule type="duplicateValues" dxfId="0" priority="1"/>
  </conditionalFormatting>
  <pageMargins left="0.69999998807907104" right="0.69999998807907104" top="0.75" bottom="0.75" header="0.30000001192092896" footer="0.30000001192092896"/>
  <pageSetup paperSize="9" scale="80" fitToHeight="0" orientation="landscape" verticalDpi="203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33">
    <tabColor rgb="FF92D050"/>
  </sheetPr>
  <dimension ref="A1:D12"/>
  <sheetViews>
    <sheetView zoomScaleNormal="100" zoomScaleSheetLayoutView="75" workbookViewId="0">
      <selection activeCell="G4" sqref="G4"/>
    </sheetView>
  </sheetViews>
  <sheetFormatPr defaultColWidth="9" defaultRowHeight="16.5"/>
  <cols>
    <col min="1" max="1" width="4.875" style="10" customWidth="1"/>
    <col min="2" max="2" width="159.625" customWidth="1"/>
    <col min="4" max="4" width="13.125" customWidth="1"/>
  </cols>
  <sheetData>
    <row r="1" spans="1:4" ht="19.5" customHeight="1">
      <c r="A1" s="14"/>
      <c r="B1" s="15" t="s">
        <v>148</v>
      </c>
      <c r="C1" s="16" t="s">
        <v>263</v>
      </c>
      <c r="D1" s="12">
        <v>43384</v>
      </c>
    </row>
    <row r="2" spans="1:4">
      <c r="A2" s="13">
        <f>SUBTOTAL(3,$B$2:B2)</f>
        <v>1</v>
      </c>
      <c r="B2" t="s">
        <v>62</v>
      </c>
      <c r="C2" s="16" t="s">
        <v>271</v>
      </c>
      <c r="D2" s="12">
        <v>43550</v>
      </c>
    </row>
    <row r="3" spans="1:4">
      <c r="A3" s="13">
        <f>SUBTOTAL(3,$B$2:B3)</f>
        <v>2</v>
      </c>
      <c r="B3" t="s">
        <v>61</v>
      </c>
    </row>
    <row r="4" spans="1:4">
      <c r="A4" s="13">
        <f>SUBTOTAL(3,$B$2:B4)</f>
        <v>3</v>
      </c>
      <c r="B4" t="s">
        <v>181</v>
      </c>
    </row>
    <row r="5" spans="1:4">
      <c r="A5" s="13">
        <f>SUBTOTAL(3,$B$2:B5)</f>
        <v>4</v>
      </c>
      <c r="B5" t="s">
        <v>198</v>
      </c>
    </row>
    <row r="6" spans="1:4">
      <c r="A6" s="13">
        <f>SUBTOTAL(3,$B$2:B6)</f>
        <v>5</v>
      </c>
      <c r="B6" t="s">
        <v>180</v>
      </c>
    </row>
    <row r="7" spans="1:4">
      <c r="A7" s="13">
        <f>SUBTOTAL(3,$B$2:B7)</f>
        <v>6</v>
      </c>
      <c r="B7" t="s">
        <v>182</v>
      </c>
    </row>
    <row r="8" spans="1:4">
      <c r="A8" s="13">
        <f>SUBTOTAL(3,$B$2:B8)</f>
        <v>7</v>
      </c>
      <c r="B8" t="s">
        <v>245</v>
      </c>
    </row>
    <row r="9" spans="1:4">
      <c r="A9" s="13">
        <f>SUBTOTAL(3,$B$2:B9)</f>
        <v>8</v>
      </c>
      <c r="B9" t="s">
        <v>176</v>
      </c>
    </row>
    <row r="10" spans="1:4">
      <c r="A10" s="13">
        <f>SUBTOTAL(3,$B$2:B10)</f>
        <v>9</v>
      </c>
      <c r="B10" t="s">
        <v>183</v>
      </c>
    </row>
    <row r="11" spans="1:4">
      <c r="A11" s="13">
        <f>SUBTOTAL(3,$B$2:B11)</f>
        <v>10</v>
      </c>
      <c r="B11" t="s">
        <v>238</v>
      </c>
    </row>
    <row r="12" spans="1:4">
      <c r="A12" s="13">
        <f>SUBTOTAL(3,$B$2:B12)</f>
        <v>11</v>
      </c>
      <c r="B12" t="s">
        <v>149</v>
      </c>
    </row>
  </sheetData>
  <phoneticPr fontId="12" type="noConversion"/>
  <pageMargins left="0.69999998807907104" right="0.69999998807907104" top="0.75" bottom="0.75" header="0.30000001192092896" footer="0.30000001192092896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 지정된 범위</vt:lpstr>
      </vt:variant>
      <vt:variant>
        <vt:i4>32</vt:i4>
      </vt:variant>
    </vt:vector>
  </HeadingPairs>
  <TitlesOfParts>
    <vt:vector size="58" baseType="lpstr">
      <vt:lpstr>글로벌리더스&amp;석식식단표</vt:lpstr>
      <vt:lpstr>유아식단표</vt:lpstr>
      <vt:lpstr>레시피북</vt:lpstr>
      <vt:lpstr>08-03</vt:lpstr>
      <vt:lpstr>08-04</vt:lpstr>
      <vt:lpstr>08-05</vt:lpstr>
      <vt:lpstr>08-06</vt:lpstr>
      <vt:lpstr>08-07</vt:lpstr>
      <vt:lpstr>08-10</vt:lpstr>
      <vt:lpstr>08-11</vt:lpstr>
      <vt:lpstr>08-12</vt:lpstr>
      <vt:lpstr>08-13</vt:lpstr>
      <vt:lpstr>08-14</vt:lpstr>
      <vt:lpstr>08-18</vt:lpstr>
      <vt:lpstr>08-19</vt:lpstr>
      <vt:lpstr>08-20</vt:lpstr>
      <vt:lpstr>08-21</vt:lpstr>
      <vt:lpstr>08-24</vt:lpstr>
      <vt:lpstr>08-25</vt:lpstr>
      <vt:lpstr>08-26</vt:lpstr>
      <vt:lpstr>08-27</vt:lpstr>
      <vt:lpstr>08-28</vt:lpstr>
      <vt:lpstr>08-30</vt:lpstr>
      <vt:lpstr>08-03 (2)</vt:lpstr>
      <vt:lpstr>급식_반찬</vt:lpstr>
      <vt:lpstr>HowToUse</vt:lpstr>
      <vt:lpstr>'08-03'!Print_Area</vt:lpstr>
      <vt:lpstr>'08-03 (2)'!Print_Area</vt:lpstr>
      <vt:lpstr>'08-04'!Print_Area</vt:lpstr>
      <vt:lpstr>'08-05'!Print_Area</vt:lpstr>
      <vt:lpstr>'08-06'!Print_Area</vt:lpstr>
      <vt:lpstr>'08-07'!Print_Area</vt:lpstr>
      <vt:lpstr>'08-10'!Print_Area</vt:lpstr>
      <vt:lpstr>'08-11'!Print_Area</vt:lpstr>
      <vt:lpstr>'08-12'!Print_Area</vt:lpstr>
      <vt:lpstr>'08-13'!Print_Area</vt:lpstr>
      <vt:lpstr>'08-14'!Print_Area</vt:lpstr>
      <vt:lpstr>'08-18'!Print_Area</vt:lpstr>
      <vt:lpstr>'08-19'!Print_Area</vt:lpstr>
      <vt:lpstr>'08-20'!Print_Area</vt:lpstr>
      <vt:lpstr>'08-21'!Print_Area</vt:lpstr>
      <vt:lpstr>'08-24'!Print_Area</vt:lpstr>
      <vt:lpstr>'08-25'!Print_Area</vt:lpstr>
      <vt:lpstr>'08-26'!Print_Area</vt:lpstr>
      <vt:lpstr>'08-27'!Print_Area</vt:lpstr>
      <vt:lpstr>'08-28'!Print_Area</vt:lpstr>
      <vt:lpstr>'08-30'!Print_Area</vt:lpstr>
      <vt:lpstr>'글로벌리더스&amp;석식식단표'!Print_Area</vt:lpstr>
      <vt:lpstr>급식_반찬!Print_Area</vt:lpstr>
      <vt:lpstr>레시피북!Print_Area</vt:lpstr>
      <vt:lpstr>유아식단표!Print_Area</vt:lpstr>
      <vt:lpstr>레시피북!Print_Titles</vt:lpstr>
      <vt:lpstr>김치</vt:lpstr>
      <vt:lpstr>반찬1</vt:lpstr>
      <vt:lpstr>반찬2</vt:lpstr>
      <vt:lpstr>반찬3</vt:lpstr>
      <vt:lpstr>반찬4</vt:lpstr>
      <vt:lpstr>온라인국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2026-08-10T23:39:12Z</cp:lastPrinted>
  <dcterms:created xsi:type="dcterms:W3CDTF">2018-09-21T05:42:35Z</dcterms:created>
  <dcterms:modified xsi:type="dcterms:W3CDTF">2026-08-18T07:44:10Z</dcterms:modified>
  <cp:version>0906.0200.01</cp:version>
</cp:coreProperties>
</file>